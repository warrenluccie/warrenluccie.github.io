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BA6D545-BE85-4FA6-AF23-F28B5E64D5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个股历史新高" sheetId="4" r:id="rId1"/>
    <sheet name="data" sheetId="1" state="veryHidden" r:id="rId2"/>
    <sheet name="Wind模板" sheetId="5" state="veryHidden" r:id="rId3"/>
  </sheets>
  <externalReferences>
    <externalReference r:id="rId4"/>
  </externalReferences>
  <definedNames>
    <definedName name="_xlnm._FilterDatabase" localSheetId="1" hidden="1">data!$D$1:$D$5500</definedName>
  </definedNames>
  <calcPr calcId="191029"/>
</workbook>
</file>

<file path=xl/calcChain.xml><?xml version="1.0" encoding="utf-8"?>
<calcChain xmlns="http://schemas.openxmlformats.org/spreadsheetml/2006/main">
  <c r="G2" i="1" l="1"/>
  <c r="B3" i="1" s="1"/>
  <c r="D4" i="4"/>
  <c r="D5494" i="1" l="1"/>
  <c r="D5495" i="1"/>
  <c r="D5496" i="1"/>
  <c r="D5497" i="1"/>
  <c r="E5494" i="1" l="1"/>
  <c r="E5495" i="1"/>
  <c r="E5496" i="1"/>
  <c r="E5497" i="1"/>
  <c r="E5498" i="1"/>
  <c r="E5499" i="1"/>
  <c r="E550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6" i="1"/>
  <c r="B2" i="1" l="1"/>
  <c r="A6" i="1"/>
  <c r="D5477" i="1"/>
  <c r="D5397" i="1"/>
  <c r="D5381" i="1"/>
  <c r="D5492" i="1"/>
  <c r="D5476" i="1"/>
  <c r="D5460" i="1"/>
  <c r="D5444" i="1"/>
  <c r="D5428" i="1"/>
  <c r="D5412" i="1"/>
  <c r="D5396" i="1"/>
  <c r="D5380" i="1"/>
  <c r="D5475" i="1"/>
  <c r="D5490" i="1"/>
  <c r="D5378" i="1"/>
  <c r="D5425" i="1"/>
  <c r="D5424" i="1"/>
  <c r="D5423" i="1"/>
  <c r="D5391" i="1"/>
  <c r="D5375" i="1"/>
  <c r="D5461" i="1"/>
  <c r="D5427" i="1"/>
  <c r="D5458" i="1"/>
  <c r="D5489" i="1"/>
  <c r="D5441" i="1"/>
  <c r="D5456" i="1"/>
  <c r="D5487" i="1"/>
  <c r="D5407" i="1"/>
  <c r="D5486" i="1"/>
  <c r="D5470" i="1"/>
  <c r="D5454" i="1"/>
  <c r="D5438" i="1"/>
  <c r="D5422" i="1"/>
  <c r="D5406" i="1"/>
  <c r="D5390" i="1"/>
  <c r="D5374" i="1"/>
  <c r="D5373" i="1"/>
  <c r="D5372" i="1"/>
  <c r="D5429" i="1"/>
  <c r="D5459" i="1"/>
  <c r="D5474" i="1"/>
  <c r="D5442" i="1"/>
  <c r="D5377" i="1"/>
  <c r="D5392" i="1"/>
  <c r="D5471" i="1"/>
  <c r="D5469" i="1"/>
  <c r="D5405" i="1"/>
  <c r="D5403" i="1"/>
  <c r="D5413" i="1"/>
  <c r="D5370" i="1"/>
  <c r="D5379" i="1"/>
  <c r="D5473" i="1"/>
  <c r="D5488" i="1"/>
  <c r="D5453" i="1"/>
  <c r="D5369" i="1"/>
  <c r="D5493" i="1"/>
  <c r="D5395" i="1"/>
  <c r="D5426" i="1"/>
  <c r="D5409" i="1"/>
  <c r="D5440" i="1"/>
  <c r="D5455" i="1"/>
  <c r="D5421" i="1"/>
  <c r="D5468" i="1"/>
  <c r="D5420" i="1"/>
  <c r="D5483" i="1"/>
  <c r="D5451" i="1"/>
  <c r="D5419" i="1"/>
  <c r="D5466" i="1"/>
  <c r="D5418" i="1"/>
  <c r="D5481" i="1"/>
  <c r="D5417" i="1"/>
  <c r="D5480" i="1"/>
  <c r="D5432" i="1"/>
  <c r="D5416" i="1"/>
  <c r="D5400" i="1"/>
  <c r="D5384" i="1"/>
  <c r="D5368" i="1"/>
  <c r="D5491" i="1"/>
  <c r="D5411" i="1"/>
  <c r="D5410" i="1"/>
  <c r="D5393" i="1"/>
  <c r="D5408" i="1"/>
  <c r="D5439" i="1"/>
  <c r="D5437" i="1"/>
  <c r="D5484" i="1"/>
  <c r="D5436" i="1"/>
  <c r="D5388" i="1"/>
  <c r="D5435" i="1"/>
  <c r="D5371" i="1"/>
  <c r="D5450" i="1"/>
  <c r="D5386" i="1"/>
  <c r="D5465" i="1"/>
  <c r="D5433" i="1"/>
  <c r="D5385" i="1"/>
  <c r="D5464" i="1"/>
  <c r="D5479" i="1"/>
  <c r="D5463" i="1"/>
  <c r="D5447" i="1"/>
  <c r="D5431" i="1"/>
  <c r="D5415" i="1"/>
  <c r="D5399" i="1"/>
  <c r="D5383" i="1"/>
  <c r="D5367" i="1"/>
  <c r="D5445" i="1"/>
  <c r="D5443" i="1"/>
  <c r="D5394" i="1"/>
  <c r="D5457" i="1"/>
  <c r="D5472" i="1"/>
  <c r="D5376" i="1"/>
  <c r="D5485" i="1"/>
  <c r="D5389" i="1"/>
  <c r="D5452" i="1"/>
  <c r="D5404" i="1"/>
  <c r="D5467" i="1"/>
  <c r="D5387" i="1"/>
  <c r="D5482" i="1"/>
  <c r="D5434" i="1"/>
  <c r="D5402" i="1"/>
  <c r="D5449" i="1"/>
  <c r="D5401" i="1"/>
  <c r="D5448" i="1"/>
  <c r="D5478" i="1"/>
  <c r="D5462" i="1"/>
  <c r="D5446" i="1"/>
  <c r="D5430" i="1"/>
  <c r="D5414" i="1"/>
  <c r="D5398" i="1"/>
  <c r="D5382" i="1"/>
  <c r="D5366" i="1"/>
  <c r="D5365" i="1"/>
  <c r="D5364" i="1"/>
  <c r="D2910" i="1"/>
  <c r="D4996" i="1"/>
  <c r="D4823" i="1"/>
  <c r="D4295" i="1"/>
  <c r="D4594" i="1"/>
  <c r="D4778" i="1"/>
  <c r="D4313" i="1"/>
  <c r="D2917" i="1"/>
  <c r="D4991" i="1"/>
  <c r="D5045" i="1"/>
  <c r="D3703" i="1"/>
  <c r="D3894" i="1"/>
  <c r="D4936" i="1"/>
  <c r="D4954" i="1"/>
  <c r="D4170" i="1"/>
  <c r="D3301" i="1"/>
  <c r="D4901" i="1"/>
  <c r="D4782" i="1"/>
  <c r="D3726" i="1"/>
  <c r="D3642" i="1"/>
  <c r="D4700" i="1"/>
  <c r="D5268" i="1"/>
  <c r="D5119" i="1"/>
  <c r="D5073" i="1"/>
  <c r="D3532" i="1"/>
  <c r="D4866" i="1"/>
  <c r="D3619" i="1"/>
  <c r="D5301" i="1"/>
  <c r="D2800" i="1"/>
  <c r="D5210" i="1"/>
  <c r="D5329" i="1"/>
  <c r="D5234" i="1"/>
  <c r="D5197" i="1"/>
  <c r="D5140" i="1"/>
  <c r="D4534" i="1"/>
  <c r="D4439" i="1"/>
  <c r="D4507" i="1"/>
  <c r="D2958" i="1"/>
  <c r="D5249" i="1"/>
  <c r="D4634" i="1"/>
  <c r="D3078" i="1"/>
  <c r="D5189" i="1"/>
  <c r="D4331" i="1"/>
  <c r="D4074" i="1"/>
  <c r="D4367" i="1"/>
  <c r="D3413" i="1"/>
  <c r="D4781" i="1"/>
  <c r="D3823" i="1"/>
  <c r="D4284" i="1"/>
  <c r="D4135" i="1"/>
  <c r="D5008" i="1"/>
  <c r="D2885" i="1"/>
  <c r="D4844" i="1"/>
  <c r="D3437" i="1"/>
  <c r="D5263" i="1"/>
  <c r="D3882" i="1"/>
  <c r="D3676" i="1"/>
  <c r="D4816" i="1"/>
  <c r="D4348" i="1"/>
  <c r="D4506" i="1"/>
  <c r="D2944" i="1"/>
  <c r="D5121" i="1"/>
  <c r="D4417" i="1"/>
  <c r="D5043" i="1"/>
  <c r="D3316" i="1"/>
  <c r="D5284" i="1"/>
  <c r="D5111" i="1"/>
  <c r="D4605" i="1"/>
  <c r="D4735" i="1"/>
  <c r="D2873" i="1"/>
  <c r="D4779" i="1"/>
  <c r="D4955" i="1"/>
  <c r="D3222" i="1"/>
  <c r="D4912" i="1"/>
  <c r="D4475" i="1"/>
  <c r="D5244" i="1"/>
  <c r="D4489" i="1"/>
  <c r="D2994" i="1"/>
  <c r="D4515" i="1"/>
  <c r="D4993" i="1"/>
  <c r="D4500" i="1"/>
  <c r="D5178" i="1"/>
  <c r="D5212" i="1"/>
  <c r="D3737" i="1"/>
  <c r="D4764" i="1"/>
  <c r="D4402" i="1"/>
  <c r="D4133" i="1"/>
  <c r="D4682" i="1"/>
  <c r="D4974" i="1"/>
  <c r="D5238" i="1"/>
  <c r="D3822" i="1"/>
  <c r="D3305" i="1"/>
  <c r="D4272" i="1"/>
  <c r="D5265" i="1"/>
  <c r="D820" i="1"/>
  <c r="D3899" i="1"/>
  <c r="D4026" i="1"/>
  <c r="D3985" i="1"/>
  <c r="D3392" i="1"/>
  <c r="D4009" i="1"/>
  <c r="D3796" i="1"/>
  <c r="D2796" i="1"/>
  <c r="D1883" i="1"/>
  <c r="D3461" i="1"/>
  <c r="D4849" i="1"/>
  <c r="D1060" i="1"/>
  <c r="D2064" i="1"/>
  <c r="D3264" i="1"/>
  <c r="D4051" i="1"/>
  <c r="D3825" i="1"/>
  <c r="D1436" i="1"/>
  <c r="D2487" i="1"/>
  <c r="D2955" i="1"/>
  <c r="D378" i="1"/>
  <c r="D2919" i="1"/>
  <c r="D5186" i="1"/>
  <c r="D3852" i="1"/>
  <c r="D3755" i="1"/>
  <c r="D222" i="1"/>
  <c r="D2557" i="1"/>
  <c r="D2451" i="1"/>
  <c r="D2452" i="1"/>
  <c r="D2441" i="1"/>
  <c r="D3962" i="1"/>
  <c r="D1013" i="1"/>
  <c r="D5363" i="1"/>
  <c r="D5241" i="1"/>
  <c r="D4747" i="1"/>
  <c r="D5207" i="1"/>
  <c r="D4252" i="1"/>
  <c r="D4213" i="1"/>
  <c r="D5245" i="1"/>
  <c r="D5139" i="1"/>
  <c r="D3135" i="1"/>
  <c r="D4603" i="1"/>
  <c r="D4472" i="1"/>
  <c r="D5321" i="1"/>
  <c r="D5079" i="1"/>
  <c r="D4401" i="1"/>
  <c r="D4753" i="1"/>
  <c r="D4451" i="1"/>
  <c r="D4774" i="1"/>
  <c r="D3966" i="1"/>
  <c r="D4795" i="1"/>
  <c r="D4943" i="1"/>
  <c r="D4237" i="1"/>
  <c r="D4073" i="1"/>
  <c r="D4493" i="1"/>
  <c r="D5213" i="1"/>
  <c r="D4492" i="1"/>
  <c r="D3054" i="1"/>
  <c r="D4220" i="1"/>
  <c r="D4549" i="1"/>
  <c r="D4003" i="1"/>
  <c r="D3641" i="1"/>
  <c r="D5320" i="1"/>
  <c r="D4771" i="1"/>
  <c r="D4510" i="1"/>
  <c r="D5135" i="1"/>
  <c r="D4548" i="1"/>
  <c r="D3303" i="1"/>
  <c r="D4456" i="1"/>
  <c r="D5037" i="1"/>
  <c r="D4731" i="1"/>
  <c r="D3581" i="1"/>
  <c r="D4571" i="1"/>
  <c r="D3497" i="1"/>
  <c r="D3159" i="1"/>
  <c r="D4494" i="1"/>
  <c r="D3953" i="1"/>
  <c r="D4545" i="1"/>
  <c r="D5278" i="1"/>
  <c r="D4595" i="1"/>
  <c r="D3402" i="1"/>
  <c r="D4134" i="1"/>
  <c r="D4314" i="1"/>
  <c r="D5087" i="1"/>
  <c r="D3928" i="1"/>
  <c r="D2730" i="1"/>
  <c r="D4524" i="1"/>
  <c r="D4424" i="1"/>
  <c r="D4362" i="1"/>
  <c r="D3198" i="1"/>
  <c r="D4364" i="1"/>
  <c r="D4693" i="1"/>
  <c r="D4583" i="1"/>
  <c r="D3809" i="1"/>
  <c r="D5114" i="1"/>
  <c r="D4278" i="1"/>
  <c r="D4532" i="1"/>
  <c r="D5279" i="1"/>
  <c r="D5035" i="1"/>
  <c r="D3230" i="1"/>
  <c r="D4027" i="1"/>
  <c r="D5181" i="1"/>
  <c r="D5242" i="1"/>
  <c r="D4961" i="1"/>
  <c r="D4950" i="1"/>
  <c r="D3883" i="1"/>
  <c r="D4848" i="1"/>
  <c r="D4686" i="1"/>
  <c r="D3990" i="1"/>
  <c r="D5314" i="1"/>
  <c r="D4488" i="1"/>
  <c r="D3763" i="1"/>
  <c r="D5046" i="1"/>
  <c r="D5288" i="1"/>
  <c r="D4138" i="1"/>
  <c r="D3450" i="1"/>
  <c r="D4733" i="1"/>
  <c r="D5077" i="1"/>
  <c r="D4514" i="1"/>
  <c r="D4243" i="1"/>
  <c r="D2682" i="1"/>
  <c r="D5319" i="1"/>
  <c r="D4958" i="1"/>
  <c r="D4196" i="1"/>
  <c r="D5240" i="1"/>
  <c r="D3835" i="1"/>
  <c r="D4250" i="1"/>
  <c r="D5286" i="1"/>
  <c r="D2742" i="1"/>
  <c r="D4926" i="1"/>
  <c r="D4588" i="1"/>
  <c r="D4197" i="1"/>
  <c r="D4748" i="1"/>
  <c r="D4218" i="1"/>
  <c r="D4522" i="1"/>
  <c r="D3005" i="1"/>
  <c r="D3557" i="1"/>
  <c r="D4819" i="1"/>
  <c r="D4596" i="1"/>
  <c r="D3108" i="1"/>
  <c r="D4459" i="1"/>
  <c r="D5105" i="1"/>
  <c r="D5015" i="1"/>
  <c r="D4768" i="1"/>
  <c r="D5280" i="1"/>
  <c r="D5029" i="1"/>
  <c r="D4263" i="1"/>
  <c r="D2681" i="1"/>
  <c r="D3964" i="1"/>
  <c r="D4994" i="1"/>
  <c r="D2694" i="1"/>
  <c r="D4233" i="1"/>
  <c r="D2850" i="1"/>
  <c r="D5239" i="1"/>
  <c r="D5126" i="1"/>
  <c r="D4147" i="1"/>
  <c r="D4608" i="1"/>
  <c r="D5018" i="1"/>
  <c r="D4430" i="1"/>
  <c r="D4673" i="1"/>
  <c r="D2922" i="1"/>
  <c r="D4157" i="1"/>
  <c r="D4732" i="1"/>
  <c r="D4341" i="1"/>
  <c r="D4892" i="1"/>
  <c r="D5206" i="1"/>
  <c r="D4666" i="1"/>
  <c r="D4205" i="1"/>
  <c r="D5143" i="1"/>
  <c r="D5171" i="1"/>
  <c r="D3979" i="1"/>
  <c r="D3252" i="1"/>
  <c r="D3041" i="1"/>
  <c r="D4648" i="1"/>
  <c r="D5159" i="1"/>
  <c r="D4831" i="1"/>
  <c r="D3725" i="1"/>
  <c r="D4333" i="1"/>
  <c r="D4455" i="1"/>
  <c r="D3233" i="1"/>
  <c r="D4132" i="1"/>
  <c r="D3907" i="1"/>
  <c r="D3665" i="1"/>
  <c r="D5041" i="1"/>
  <c r="D4063" i="1"/>
  <c r="D4786" i="1"/>
  <c r="D3618" i="1"/>
  <c r="D4484" i="1"/>
  <c r="D5221" i="1"/>
  <c r="D4525" i="1"/>
  <c r="D4435" i="1"/>
  <c r="D4877" i="1"/>
  <c r="D2394" i="1"/>
  <c r="D2790" i="1"/>
  <c r="D4340" i="1"/>
  <c r="D4485" i="1"/>
  <c r="D4306" i="1"/>
  <c r="D4656" i="1"/>
  <c r="D3977" i="1"/>
  <c r="D4385" i="1"/>
  <c r="D3632" i="1"/>
  <c r="D5315" i="1"/>
  <c r="D4318" i="1"/>
  <c r="D3396" i="1"/>
  <c r="D3209" i="1"/>
  <c r="D4828" i="1"/>
  <c r="D5325" i="1"/>
  <c r="D4452" i="1"/>
  <c r="D3526" i="1"/>
  <c r="D2906" i="1"/>
  <c r="D4793" i="1"/>
  <c r="D2872" i="1"/>
  <c r="D3842" i="1"/>
  <c r="D3817" i="1"/>
  <c r="D1540" i="1"/>
  <c r="D3781" i="1"/>
  <c r="D3035" i="1"/>
  <c r="D2488" i="1"/>
  <c r="D1014" i="1"/>
  <c r="D2708" i="1"/>
  <c r="D5032" i="1"/>
  <c r="D4564" i="1"/>
  <c r="D4391" i="1"/>
  <c r="D5158" i="1"/>
  <c r="D3820" i="1"/>
  <c r="D4540" i="1"/>
  <c r="D2981" i="1"/>
  <c r="D3834" i="1"/>
  <c r="D4352" i="1"/>
  <c r="D4613" i="1"/>
  <c r="D5050" i="1"/>
  <c r="D3390" i="1"/>
  <c r="D3880" i="1"/>
  <c r="D4813" i="1"/>
  <c r="D4846" i="1"/>
  <c r="D4875" i="1"/>
  <c r="D4785" i="1"/>
  <c r="D4206" i="1"/>
  <c r="D4240" i="1"/>
  <c r="D3126" i="1"/>
  <c r="D5218" i="1"/>
  <c r="D4321" i="1"/>
  <c r="D5326" i="1"/>
  <c r="D4377" i="1"/>
  <c r="D2813" i="1"/>
  <c r="D4290" i="1"/>
  <c r="D3904" i="1"/>
  <c r="D4869" i="1"/>
  <c r="D5297" i="1"/>
  <c r="D5224" i="1"/>
  <c r="D5152" i="1"/>
  <c r="D4358" i="1"/>
  <c r="D4084" i="1"/>
  <c r="D4708" i="1"/>
  <c r="D4725" i="1"/>
  <c r="D5302" i="1"/>
  <c r="D4944" i="1"/>
  <c r="D4744" i="1"/>
  <c r="D3655" i="1"/>
  <c r="D4002" i="1"/>
  <c r="D4703" i="1"/>
  <c r="D4757" i="1"/>
  <c r="D5194" i="1"/>
  <c r="D3558" i="1"/>
  <c r="D4422" i="1"/>
  <c r="D4957" i="1"/>
  <c r="D3149" i="1"/>
  <c r="D3701" i="1"/>
  <c r="D3546" i="1"/>
  <c r="D4398" i="1"/>
  <c r="D4432" i="1"/>
  <c r="D3294" i="1"/>
  <c r="D3499" i="1"/>
  <c r="D4465" i="1"/>
  <c r="D5085" i="1"/>
  <c r="D4271" i="1"/>
  <c r="D3606" i="1"/>
  <c r="D4482" i="1"/>
  <c r="D5067" i="1"/>
  <c r="D5013" i="1"/>
  <c r="D5333" i="1"/>
  <c r="D4872" i="1"/>
  <c r="D4627" i="1"/>
  <c r="D4729" i="1"/>
  <c r="D2766" i="1"/>
  <c r="D4182" i="1"/>
  <c r="D4679" i="1"/>
  <c r="D5193" i="1"/>
  <c r="D4450" i="1"/>
  <c r="D3749" i="1"/>
  <c r="D4327" i="1"/>
  <c r="D3387" i="1"/>
  <c r="D4414" i="1"/>
  <c r="D4535" i="1"/>
  <c r="D5338" i="1"/>
  <c r="D3988" i="1"/>
  <c r="D4614" i="1"/>
  <c r="D4810" i="1"/>
  <c r="D3293" i="1"/>
  <c r="D2870" i="1"/>
  <c r="D3714" i="1"/>
  <c r="D4602" i="1"/>
  <c r="D4636" i="1"/>
  <c r="D3462" i="1"/>
  <c r="D4504" i="1"/>
  <c r="D5303" i="1"/>
  <c r="D4307" i="1"/>
  <c r="D3136" i="1"/>
  <c r="D3786" i="1"/>
  <c r="D4662" i="1"/>
  <c r="D5247" i="1"/>
  <c r="D4784" i="1"/>
  <c r="D3808" i="1"/>
  <c r="D5042" i="1"/>
  <c r="D4939" i="1"/>
  <c r="D4397" i="1"/>
  <c r="D4923" i="1"/>
  <c r="D3061" i="1"/>
  <c r="D1566" i="1"/>
  <c r="D1662" i="1"/>
  <c r="D4011" i="1"/>
  <c r="D4978" i="1"/>
  <c r="D5161" i="1"/>
  <c r="D2727" i="1"/>
  <c r="D4983" i="1"/>
  <c r="D3449" i="1"/>
  <c r="D4738" i="1"/>
  <c r="D5156" i="1"/>
  <c r="D4825" i="1"/>
  <c r="D4486" i="1"/>
  <c r="D4651" i="1"/>
  <c r="D4913" i="1"/>
  <c r="D4551" i="1"/>
  <c r="D2934" i="1"/>
  <c r="D4998" i="1"/>
  <c r="D3738" i="1"/>
  <c r="D5356" i="1"/>
  <c r="D4214" i="1"/>
  <c r="D3799" i="1"/>
  <c r="D4383" i="1"/>
  <c r="D4236" i="1"/>
  <c r="D5196" i="1"/>
  <c r="D4710" i="1"/>
  <c r="D4434" i="1"/>
  <c r="D5076" i="1"/>
  <c r="D3858" i="1"/>
  <c r="D4698" i="1"/>
  <c r="D4908" i="1"/>
  <c r="D5063" i="1"/>
  <c r="D4751" i="1"/>
  <c r="D4096" i="1"/>
  <c r="D3125" i="1"/>
  <c r="D4995" i="1"/>
  <c r="D4580" i="1"/>
  <c r="D5305" i="1"/>
  <c r="D2871" i="1"/>
  <c r="D5175" i="1"/>
  <c r="D4048" i="1"/>
  <c r="D4882" i="1"/>
  <c r="D4990" i="1"/>
  <c r="D4586" i="1"/>
  <c r="D5054" i="1"/>
  <c r="D4999" i="1"/>
  <c r="D5093" i="1"/>
  <c r="D4743" i="1"/>
  <c r="D4938" i="1"/>
  <c r="D5190" i="1"/>
  <c r="D3833" i="1"/>
  <c r="D4521" i="1"/>
  <c r="D4622" i="1"/>
  <c r="D4339" i="1"/>
  <c r="D4655" i="1"/>
  <c r="D5266" i="1"/>
  <c r="D5337" i="1"/>
  <c r="D4902" i="1"/>
  <c r="D3917" i="1"/>
  <c r="D3623" i="1"/>
  <c r="D4300" i="1"/>
  <c r="D4511" i="1"/>
  <c r="D4261" i="1"/>
  <c r="D5316" i="1"/>
  <c r="D4156" i="1"/>
  <c r="D3306" i="1"/>
  <c r="D3269" i="1"/>
  <c r="D3517" i="1"/>
  <c r="D5097" i="1"/>
  <c r="D5208" i="1"/>
  <c r="D3015" i="1"/>
  <c r="D4049" i="1"/>
  <c r="D2705" i="1"/>
  <c r="D5101" i="1"/>
  <c r="D5134" i="1"/>
  <c r="D2889" i="1"/>
  <c r="D5222" i="1"/>
  <c r="D5311" i="1"/>
  <c r="D5285" i="1"/>
  <c r="D4911" i="1"/>
  <c r="D3784" i="1"/>
  <c r="D4609" i="1"/>
  <c r="D4025" i="1"/>
  <c r="D4162" i="1"/>
  <c r="D4790" i="1"/>
  <c r="D4543" i="1"/>
  <c r="D4799" i="1"/>
  <c r="D5016" i="1"/>
  <c r="D5340" i="1"/>
  <c r="D4301" i="1"/>
  <c r="D4787" i="1"/>
  <c r="D2804" i="1"/>
  <c r="D4444" i="1"/>
  <c r="D4632" i="1"/>
  <c r="D4427" i="1"/>
  <c r="D5351" i="1"/>
  <c r="D2801" i="1"/>
  <c r="D4215" i="1"/>
  <c r="D4338" i="1"/>
  <c r="D2901" i="1"/>
  <c r="D2307" i="1"/>
  <c r="D3139" i="1"/>
  <c r="D1877" i="1"/>
  <c r="D1981" i="1"/>
  <c r="D430" i="1"/>
  <c r="D3323" i="1"/>
  <c r="D1612" i="1"/>
  <c r="D286" i="1"/>
  <c r="D2840" i="1"/>
  <c r="D54" i="1"/>
  <c r="D3381" i="1"/>
  <c r="D3782" i="1"/>
  <c r="D3270" i="1"/>
  <c r="D2535" i="1"/>
  <c r="D3776" i="1"/>
  <c r="D2780" i="1"/>
  <c r="D5118" i="1"/>
  <c r="D3343" i="1"/>
  <c r="D4871" i="1"/>
  <c r="D1709" i="1"/>
  <c r="D4148" i="1"/>
  <c r="D2332" i="1"/>
  <c r="D1516" i="1"/>
  <c r="D1855" i="1"/>
  <c r="D2760" i="1"/>
  <c r="D3320" i="1"/>
  <c r="D954" i="1"/>
  <c r="D2033" i="1"/>
  <c r="D3764" i="1"/>
  <c r="D2380" i="1"/>
  <c r="D1640" i="1"/>
  <c r="D4947" i="1"/>
  <c r="D2946" i="1"/>
  <c r="D4904" i="1"/>
  <c r="D4645" i="1"/>
  <c r="D4969" i="1"/>
  <c r="D3053" i="1"/>
  <c r="D4660" i="1"/>
  <c r="D4626" i="1"/>
  <c r="D4683" i="1"/>
  <c r="D5071" i="1"/>
  <c r="D4808" i="1"/>
  <c r="D4705" i="1"/>
  <c r="D5024" i="1"/>
  <c r="D4072" i="1"/>
  <c r="D3065" i="1"/>
  <c r="D3643" i="1"/>
  <c r="D4667" i="1"/>
  <c r="D5120" i="1"/>
  <c r="D4941" i="1"/>
  <c r="D4817" i="1"/>
  <c r="D5133" i="1"/>
  <c r="D4704" i="1"/>
  <c r="D4443" i="1"/>
  <c r="D4896" i="1"/>
  <c r="D4474" i="1"/>
  <c r="D2676" i="1"/>
  <c r="D3868" i="1"/>
  <c r="D4529" i="1"/>
  <c r="D3617" i="1"/>
  <c r="D3161" i="1"/>
  <c r="D5300" i="1"/>
  <c r="D5056" i="1"/>
  <c r="D4889" i="1"/>
  <c r="D3114" i="1"/>
  <c r="D4701" i="1"/>
  <c r="D4789" i="1"/>
  <c r="D4730" i="1"/>
  <c r="D3221" i="1"/>
  <c r="D3906" i="1"/>
  <c r="D4229" i="1"/>
  <c r="D4276" i="1"/>
  <c r="D5215" i="1"/>
  <c r="D4952" i="1"/>
  <c r="D5229" i="1"/>
  <c r="D4292" i="1"/>
  <c r="D2693" i="1"/>
  <c r="D2921" i="1"/>
  <c r="D4287" i="1"/>
  <c r="D4325" i="1"/>
  <c r="D5264" i="1"/>
  <c r="D4741" i="1"/>
  <c r="D4599" i="1"/>
  <c r="D2706" i="1"/>
  <c r="D4062" i="1"/>
  <c r="D4587" i="1"/>
  <c r="D2862" i="1"/>
  <c r="D4997" i="1"/>
  <c r="D4316" i="1"/>
  <c r="D4036" i="1"/>
  <c r="D4659" i="1"/>
  <c r="D3785" i="1"/>
  <c r="D5026" i="1"/>
  <c r="D5052" i="1"/>
  <c r="D1780" i="1"/>
  <c r="D4512" i="1"/>
  <c r="D3282" i="1"/>
  <c r="D5074" i="1"/>
  <c r="D4933" i="1"/>
  <c r="D4874" i="1"/>
  <c r="D4404" i="1"/>
  <c r="D4098" i="1"/>
  <c r="D1350" i="1"/>
  <c r="D4420" i="1"/>
  <c r="D5359" i="1"/>
  <c r="D5096" i="1"/>
  <c r="D4380" i="1"/>
  <c r="D4436" i="1"/>
  <c r="D5082" i="1"/>
  <c r="D3666" i="1"/>
  <c r="D3328" i="1"/>
  <c r="D4469" i="1"/>
  <c r="D4752" i="1"/>
  <c r="D4604" i="1"/>
  <c r="D4216" i="1"/>
  <c r="D2874" i="1"/>
  <c r="D2861" i="1"/>
  <c r="D4207" i="1"/>
  <c r="D2368" i="1"/>
  <c r="D5201" i="1"/>
  <c r="D2964" i="1"/>
  <c r="D5021" i="1"/>
  <c r="D4925" i="1"/>
  <c r="D4909" i="1"/>
  <c r="D5170" i="1"/>
  <c r="D4231" i="1"/>
  <c r="D713" i="1"/>
  <c r="D146" i="1"/>
  <c r="D4125" i="1"/>
  <c r="D4687" i="1"/>
  <c r="D2710" i="1"/>
  <c r="D3935" i="1"/>
  <c r="D3872" i="1"/>
  <c r="D892" i="1"/>
  <c r="D413" i="1"/>
  <c r="D3086" i="1"/>
  <c r="D2704" i="1"/>
  <c r="D4758" i="1"/>
  <c r="D5165" i="1"/>
  <c r="D5254" i="1"/>
  <c r="D4726" i="1"/>
  <c r="D4989" i="1"/>
  <c r="D2820" i="1"/>
  <c r="D5162" i="1"/>
  <c r="D4440" i="1"/>
  <c r="D4740" i="1"/>
  <c r="D4244" i="1"/>
  <c r="D4618" i="1"/>
  <c r="D455" i="1"/>
  <c r="D4354" i="1"/>
  <c r="D3582" i="1"/>
  <c r="D4724" i="1"/>
  <c r="D4480" i="1"/>
  <c r="D5124" i="1"/>
  <c r="D3662" i="1"/>
  <c r="D4202" i="1"/>
  <c r="D4109" i="1"/>
  <c r="D4280" i="1"/>
  <c r="D4706" i="1"/>
  <c r="D3234" i="1"/>
  <c r="D4780" i="1"/>
  <c r="D4297" i="1"/>
  <c r="D5092" i="1"/>
  <c r="D4371" i="1"/>
  <c r="D4437" i="1"/>
  <c r="D4761" i="1"/>
  <c r="D5113" i="1"/>
  <c r="D2802" i="1"/>
  <c r="D4840" i="1"/>
  <c r="D4984" i="1"/>
  <c r="D4663" i="1"/>
  <c r="D4992" i="1"/>
  <c r="D4870" i="1"/>
  <c r="D4368" i="1"/>
  <c r="D4050" i="1"/>
  <c r="D5306" i="1"/>
  <c r="D4563" i="1"/>
  <c r="D4864" i="1"/>
  <c r="D4873" i="1"/>
  <c r="D4762" i="1"/>
  <c r="D3030" i="1"/>
  <c r="D4776" i="1"/>
  <c r="D4827" i="1"/>
  <c r="D4843" i="1"/>
  <c r="D4624" i="1"/>
  <c r="D5110" i="1"/>
  <c r="D4255" i="1"/>
  <c r="D5362" i="1"/>
  <c r="D2778" i="1"/>
  <c r="D4516" i="1"/>
  <c r="D4850" i="1"/>
  <c r="D3329" i="1"/>
  <c r="D4960" i="1"/>
  <c r="D2749" i="1"/>
  <c r="D5094" i="1"/>
  <c r="D4539" i="1"/>
  <c r="D4581" i="1"/>
  <c r="D4905" i="1"/>
  <c r="D5257" i="1"/>
  <c r="D3389" i="1"/>
  <c r="D5044" i="1"/>
  <c r="D2979" i="1"/>
  <c r="D4807" i="1"/>
  <c r="D4247" i="1"/>
  <c r="D5014" i="1"/>
  <c r="D4680" i="1"/>
  <c r="D4935" i="1"/>
  <c r="D2837" i="1"/>
  <c r="D4707" i="1"/>
  <c r="D2819" i="1"/>
  <c r="D5017" i="1"/>
  <c r="D4906" i="1"/>
  <c r="D3210" i="1"/>
  <c r="D4765" i="1"/>
  <c r="D5007" i="1"/>
  <c r="D4702" i="1"/>
  <c r="D4390" i="1"/>
  <c r="D2929" i="1"/>
  <c r="D4447" i="1"/>
  <c r="D5355" i="1"/>
  <c r="D4854" i="1"/>
  <c r="D4845" i="1"/>
  <c r="D3318" i="1"/>
  <c r="D4328" i="1"/>
  <c r="D4256" i="1"/>
  <c r="D3292" i="1"/>
  <c r="D4517" i="1"/>
  <c r="D4719" i="1"/>
  <c r="D5000" i="1"/>
  <c r="D5049" i="1"/>
  <c r="D5292" i="1"/>
  <c r="D3569" i="1"/>
  <c r="D4171" i="1"/>
  <c r="D3550" i="1"/>
  <c r="D2852" i="1"/>
  <c r="D1744" i="1"/>
  <c r="D2992" i="1"/>
  <c r="D4119" i="1"/>
  <c r="D582" i="1"/>
  <c r="D3167" i="1"/>
  <c r="D756" i="1"/>
  <c r="D2882" i="1"/>
  <c r="D3037" i="1"/>
  <c r="D3534" i="1"/>
  <c r="D4883" i="1"/>
  <c r="D3806" i="1"/>
  <c r="D3185" i="1"/>
  <c r="D4760" i="1"/>
  <c r="D5270" i="1"/>
  <c r="D5295" i="1"/>
  <c r="D3715" i="1"/>
  <c r="D4965" i="1"/>
  <c r="D4556" i="1"/>
  <c r="D4337" i="1"/>
  <c r="D5342" i="1"/>
  <c r="D3739" i="1"/>
  <c r="D5009" i="1"/>
  <c r="D4574" i="1"/>
  <c r="D5225" i="1"/>
  <c r="D3191" i="1"/>
  <c r="D4639" i="1"/>
  <c r="D4644" i="1"/>
  <c r="D5123" i="1"/>
  <c r="D5005" i="1"/>
  <c r="D4463" i="1"/>
  <c r="D5282" i="1"/>
  <c r="D4745" i="1"/>
  <c r="D3401" i="1"/>
  <c r="D4688" i="1"/>
  <c r="D5136" i="1"/>
  <c r="D4631" i="1"/>
  <c r="D3521" i="1"/>
  <c r="D5188" i="1"/>
  <c r="D5343" i="1"/>
  <c r="D4986" i="1"/>
  <c r="D5322" i="1"/>
  <c r="D3767" i="1"/>
  <c r="D3950" i="1"/>
  <c r="D4647" i="1"/>
  <c r="D5256" i="1"/>
  <c r="D4696" i="1"/>
  <c r="D4389" i="1"/>
  <c r="D4296" i="1"/>
  <c r="D3438" i="1"/>
  <c r="D4097" i="1"/>
  <c r="D4479" i="1"/>
  <c r="D3522" i="1"/>
  <c r="D4985" i="1"/>
  <c r="D5153" i="1"/>
  <c r="D2825" i="1"/>
  <c r="D4230" i="1"/>
  <c r="D2888" i="1"/>
  <c r="D4783" i="1"/>
  <c r="D4223" i="1"/>
  <c r="D5267" i="1"/>
  <c r="D5149" i="1"/>
  <c r="D4607" i="1"/>
  <c r="D2970" i="1"/>
  <c r="D4937" i="1"/>
  <c r="D3249" i="1"/>
  <c r="D4832" i="1"/>
  <c r="D4260" i="1"/>
  <c r="D4775" i="1"/>
  <c r="D3689" i="1"/>
  <c r="D5357" i="1"/>
  <c r="D3751" i="1"/>
  <c r="D5130" i="1"/>
  <c r="D798" i="1"/>
  <c r="D3911" i="1"/>
  <c r="D4094" i="1"/>
  <c r="D4815" i="1"/>
  <c r="D3257" i="1"/>
  <c r="D4900" i="1"/>
  <c r="D5012" i="1"/>
  <c r="D3245" i="1"/>
  <c r="D4855" i="1"/>
  <c r="D4235" i="1"/>
  <c r="D4537" i="1"/>
  <c r="D5166" i="1"/>
  <c r="D5272" i="1"/>
  <c r="D2729" i="1"/>
  <c r="D5066" i="1"/>
  <c r="D4822" i="1"/>
  <c r="D4376" i="1"/>
  <c r="D4653" i="1"/>
  <c r="D5345" i="1"/>
  <c r="D4412" i="1"/>
  <c r="D4410" i="1"/>
  <c r="D4962" i="1"/>
  <c r="D4466" i="1"/>
  <c r="D4123" i="1"/>
  <c r="D5191" i="1"/>
  <c r="D4241" i="1"/>
  <c r="D3607" i="1"/>
  <c r="D4616" i="1"/>
  <c r="D5039" i="1"/>
  <c r="D4987" i="1"/>
  <c r="D4640" i="1"/>
  <c r="D4467" i="1"/>
  <c r="D4210" i="1"/>
  <c r="D5260" i="1"/>
  <c r="D4274" i="1"/>
  <c r="D5129" i="1"/>
  <c r="D3745" i="1"/>
  <c r="D2759" i="1"/>
  <c r="D5027" i="1"/>
  <c r="D5150" i="1"/>
  <c r="D5080" i="1"/>
  <c r="D4357" i="1"/>
  <c r="D4428" i="1"/>
  <c r="D5310" i="1"/>
  <c r="D4370" i="1"/>
  <c r="D2897" i="1"/>
  <c r="D1672" i="1"/>
  <c r="D4966" i="1"/>
  <c r="D4945" i="1"/>
  <c r="D4797" i="1"/>
  <c r="D4239" i="1"/>
  <c r="D5144" i="1"/>
  <c r="D3463" i="1"/>
  <c r="D5106" i="1"/>
  <c r="D2142" i="1"/>
  <c r="D5312" i="1"/>
  <c r="D5335" i="1"/>
  <c r="D4445" i="1"/>
  <c r="D4323" i="1"/>
  <c r="D5304" i="1"/>
  <c r="D4190" i="1"/>
  <c r="D5131" i="1"/>
  <c r="D2671" i="1"/>
  <c r="D4635" i="1"/>
  <c r="D4643" i="1"/>
  <c r="D3775" i="1"/>
  <c r="D4418" i="1"/>
  <c r="D4852" i="1"/>
  <c r="D4384" i="1"/>
  <c r="D2903" i="1"/>
  <c r="D2208" i="1"/>
  <c r="D5330" i="1"/>
  <c r="D4268" i="1"/>
  <c r="D4501" i="1"/>
  <c r="D4847" i="1"/>
  <c r="D4513" i="1"/>
  <c r="D4468" i="1"/>
  <c r="D2942" i="1"/>
  <c r="D4118" i="1"/>
  <c r="D5360" i="1"/>
  <c r="D4664" i="1"/>
  <c r="D4681" i="1"/>
  <c r="D4407" i="1"/>
  <c r="D3919" i="1"/>
  <c r="D4275" i="1"/>
  <c r="D5117" i="1"/>
  <c r="D3314" i="1"/>
  <c r="D4555" i="1"/>
  <c r="D3955" i="1"/>
  <c r="D4637" i="1"/>
  <c r="D4491" i="1"/>
  <c r="D4270" i="1"/>
  <c r="D4336" i="1"/>
  <c r="D5274" i="1"/>
  <c r="D4561" i="1"/>
  <c r="D4055" i="1"/>
  <c r="D4621" i="1"/>
  <c r="D4349" i="1"/>
  <c r="D4562" i="1"/>
  <c r="D2969" i="1"/>
  <c r="D4576" i="1"/>
  <c r="D3727" i="1"/>
  <c r="D3732" i="1"/>
  <c r="D4552" i="1"/>
  <c r="D3124" i="1"/>
  <c r="D3309" i="1"/>
  <c r="D3960" i="1"/>
  <c r="D2478" i="1"/>
  <c r="D1683" i="1"/>
  <c r="D335" i="1"/>
  <c r="D772" i="1"/>
  <c r="D2154" i="1"/>
  <c r="D4031" i="1"/>
  <c r="D1710" i="1"/>
  <c r="D1960" i="1"/>
  <c r="D4163" i="1"/>
  <c r="D4078" i="1"/>
  <c r="D2343" i="1"/>
  <c r="D3218" i="1"/>
  <c r="D4024" i="1"/>
  <c r="D3528" i="1"/>
  <c r="D2685" i="1"/>
  <c r="D2593" i="1"/>
  <c r="D3096" i="1"/>
  <c r="D1394" i="1"/>
  <c r="D1742" i="1"/>
  <c r="D1666" i="1"/>
  <c r="D3709" i="1"/>
  <c r="D5040" i="1"/>
  <c r="D3812" i="1"/>
  <c r="D4842" i="1"/>
  <c r="D4107" i="1"/>
  <c r="D2893" i="1"/>
  <c r="D4859" i="1"/>
  <c r="D5276" i="1"/>
  <c r="D5227" i="1"/>
  <c r="D4408" i="1"/>
  <c r="D3246" i="1"/>
  <c r="D4411" i="1"/>
  <c r="D5169" i="1"/>
  <c r="D4366" i="1"/>
  <c r="D3374" i="1"/>
  <c r="D3857" i="1"/>
  <c r="D4416" i="1"/>
  <c r="D5235" i="1"/>
  <c r="D4145" i="1"/>
  <c r="D4159" i="1"/>
  <c r="D4533" i="1"/>
  <c r="D4893" i="1"/>
  <c r="D5068" i="1"/>
  <c r="D3605" i="1"/>
  <c r="D4579" i="1"/>
  <c r="D4577" i="1"/>
  <c r="D5095" i="1"/>
  <c r="D4638" i="1"/>
  <c r="D4538" i="1"/>
  <c r="D4075" i="1"/>
  <c r="D4942" i="1"/>
  <c r="D4387" i="1"/>
  <c r="D4329" i="1"/>
  <c r="D4976" i="1"/>
  <c r="D4880" i="1"/>
  <c r="D4839" i="1"/>
  <c r="D4014" i="1"/>
  <c r="D3612" i="1"/>
  <c r="D5003" i="1"/>
  <c r="D4111" i="1"/>
  <c r="D4193" i="1"/>
  <c r="D4612" i="1"/>
  <c r="D3414" i="1"/>
  <c r="D4554" i="1"/>
  <c r="D5313" i="1"/>
  <c r="D3214" i="1"/>
  <c r="D3518" i="1"/>
  <c r="D4037" i="1"/>
  <c r="D4568" i="1"/>
  <c r="D5328" i="1"/>
  <c r="D2814" i="1"/>
  <c r="D5183" i="1"/>
  <c r="D4677" i="1"/>
  <c r="D3568" i="1"/>
  <c r="D5248" i="1"/>
  <c r="D3773" i="1"/>
  <c r="D4867" i="1"/>
  <c r="D4721" i="1"/>
  <c r="D4305" i="1"/>
  <c r="D4829" i="1"/>
  <c r="D4718" i="1"/>
  <c r="D3536" i="1"/>
  <c r="D5086" i="1"/>
  <c r="D3679" i="1"/>
  <c r="D4473" i="1"/>
  <c r="D3991" i="1"/>
  <c r="D4988" i="1"/>
  <c r="D4361" i="1"/>
  <c r="D4279" i="1"/>
  <c r="D2686" i="1"/>
  <c r="D4691" i="1"/>
  <c r="D4582" i="1"/>
  <c r="D4953" i="1"/>
  <c r="D4804" i="1"/>
  <c r="D4530" i="1"/>
  <c r="D3631" i="1"/>
  <c r="D5250" i="1"/>
  <c r="D3442" i="1"/>
  <c r="D4438" i="1"/>
  <c r="D3664" i="1"/>
  <c r="D4968" i="1"/>
  <c r="D4324" i="1"/>
  <c r="D3583" i="1"/>
  <c r="D5327" i="1"/>
  <c r="D5275" i="1"/>
  <c r="D4320" i="1"/>
  <c r="D4803" i="1"/>
  <c r="D5011" i="1"/>
  <c r="D5246" i="1"/>
  <c r="D3916" i="1"/>
  <c r="D4553" i="1"/>
  <c r="D3535" i="1"/>
  <c r="D3930" i="1"/>
  <c r="D3889" i="1"/>
  <c r="D4885" i="1"/>
  <c r="D3943" i="1"/>
  <c r="D4814" i="1"/>
  <c r="D3798" i="1"/>
  <c r="D4734" i="1"/>
  <c r="D3547" i="1"/>
  <c r="D4712" i="1"/>
  <c r="D5031" i="1"/>
  <c r="D5115" i="1"/>
  <c r="D5251" i="1"/>
  <c r="D3654" i="1"/>
  <c r="D4573" i="1"/>
  <c r="D4907" i="1"/>
  <c r="D2881" i="1"/>
  <c r="D5141" i="1"/>
  <c r="D4916" i="1"/>
  <c r="D3638" i="1"/>
  <c r="D4759" i="1"/>
  <c r="D4429" i="1"/>
  <c r="D3017" i="1"/>
  <c r="D4723" i="1"/>
  <c r="D5102" i="1"/>
  <c r="D3787" i="1"/>
  <c r="D5290" i="1"/>
  <c r="D1817" i="1"/>
  <c r="D5347" i="1"/>
  <c r="D3426" i="1"/>
  <c r="D4108" i="1"/>
  <c r="D4697" i="1"/>
  <c r="D4281" i="1"/>
  <c r="D3850" i="1"/>
  <c r="D4033" i="1"/>
  <c r="D3359" i="1"/>
  <c r="D4565" i="1"/>
  <c r="D4982" i="1"/>
  <c r="D3942" i="1"/>
  <c r="D4878" i="1"/>
  <c r="D4282" i="1"/>
  <c r="D3892" i="1"/>
  <c r="D5211" i="1"/>
  <c r="D2139" i="1"/>
  <c r="D4800" i="1"/>
  <c r="D4835" i="1"/>
  <c r="D4717" i="1"/>
  <c r="D4915" i="1"/>
  <c r="D4689" i="1"/>
  <c r="D4674" i="1"/>
  <c r="D5262" i="1"/>
  <c r="D1721" i="1"/>
  <c r="D4221" i="1"/>
  <c r="D4343" i="1"/>
  <c r="D4615" i="1"/>
  <c r="D5081" i="1"/>
  <c r="D4737" i="1"/>
  <c r="D4699" i="1"/>
  <c r="D5148" i="1"/>
  <c r="D1901" i="1"/>
  <c r="D4199" i="1"/>
  <c r="D4311" i="1"/>
  <c r="D2753" i="1"/>
  <c r="D4841" i="1"/>
  <c r="D5103" i="1"/>
  <c r="D3994" i="1"/>
  <c r="D4821" i="1"/>
  <c r="D4805" i="1"/>
  <c r="D4503" i="1"/>
  <c r="D5174" i="1"/>
  <c r="D4086" i="1"/>
  <c r="D5022" i="1"/>
  <c r="D5187" i="1"/>
  <c r="D4060" i="1"/>
  <c r="D4898" i="1"/>
  <c r="D3667" i="1"/>
  <c r="D5230" i="1"/>
  <c r="D4979" i="1"/>
  <c r="D4861" i="1"/>
  <c r="D5287" i="1"/>
  <c r="D5138" i="1"/>
  <c r="D4818" i="1"/>
  <c r="D4286" i="1"/>
  <c r="D3869" i="1"/>
  <c r="D5291" i="1"/>
  <c r="D4487" i="1"/>
  <c r="D3353" i="1"/>
  <c r="D4853" i="1"/>
  <c r="D5199" i="1"/>
  <c r="D5233" i="1"/>
  <c r="D4246" i="1"/>
  <c r="D862" i="1"/>
  <c r="D3913" i="1"/>
  <c r="D127" i="1"/>
  <c r="D918" i="1"/>
  <c r="D5273" i="1"/>
  <c r="D3633" i="1"/>
  <c r="D3653" i="1"/>
  <c r="D2219" i="1"/>
  <c r="D650" i="1"/>
  <c r="D1493" i="1"/>
  <c r="D2275" i="1"/>
  <c r="D4345" i="1"/>
  <c r="D4212" i="1"/>
  <c r="D5112" i="1"/>
  <c r="D4304" i="1"/>
  <c r="D5051" i="1"/>
  <c r="D2826" i="1"/>
  <c r="D3931" i="1"/>
  <c r="D5122" i="1"/>
  <c r="D5217" i="1"/>
  <c r="D4464" i="1"/>
  <c r="D4838" i="1"/>
  <c r="D3879" i="1"/>
  <c r="D4971" i="1"/>
  <c r="D4921" i="1"/>
  <c r="D5089" i="1"/>
  <c r="D1837" i="1"/>
  <c r="D3341" i="1"/>
  <c r="D4670" i="1"/>
  <c r="D4922" i="1"/>
  <c r="D4914" i="1"/>
  <c r="D5296" i="1"/>
  <c r="D5172" i="1"/>
  <c r="D4453" i="1"/>
  <c r="D3925" i="1"/>
  <c r="D3077" i="1"/>
  <c r="D4684" i="1"/>
  <c r="D3918" i="1"/>
  <c r="D5084" i="1"/>
  <c r="D4920" i="1"/>
  <c r="D4110" i="1"/>
  <c r="D5034" i="1"/>
  <c r="D342" i="1"/>
  <c r="D4928" i="1"/>
  <c r="D4356" i="1"/>
  <c r="D4249" i="1"/>
  <c r="D4448" i="1"/>
  <c r="D5195" i="1"/>
  <c r="D3498" i="1"/>
  <c r="D4350" i="1"/>
  <c r="D2868" i="1"/>
  <c r="D5361" i="1"/>
  <c r="D4365" i="1"/>
  <c r="D5030" i="1"/>
  <c r="D2886" i="1"/>
  <c r="D4862" i="1"/>
  <c r="D4881" i="1"/>
  <c r="D4523" i="1"/>
  <c r="D3805" i="1"/>
  <c r="D4399" i="1"/>
  <c r="D5176" i="1"/>
  <c r="D2718" i="1"/>
  <c r="D5341" i="1"/>
  <c r="D4714" i="1"/>
  <c r="D4245" i="1"/>
  <c r="D3559" i="1"/>
  <c r="D4756" i="1"/>
  <c r="D4972" i="1"/>
  <c r="D4888" i="1"/>
  <c r="D3845" i="1"/>
  <c r="D5228" i="1"/>
  <c r="D4253" i="1"/>
  <c r="D4499" i="1"/>
  <c r="D4177" i="1"/>
  <c r="D4620" i="1"/>
  <c r="D4567" i="1"/>
  <c r="D4824" i="1"/>
  <c r="D4393" i="1"/>
  <c r="D4592" i="1"/>
  <c r="D4183" i="1"/>
  <c r="D3678" i="1"/>
  <c r="D4812" i="1"/>
  <c r="D4332" i="1"/>
  <c r="D4232" i="1"/>
  <c r="D4509" i="1"/>
  <c r="D5198" i="1"/>
  <c r="D3066" i="1"/>
  <c r="D4266" i="1"/>
  <c r="D5025" i="1"/>
  <c r="D4222" i="1"/>
  <c r="D4415" i="1"/>
  <c r="D5047" i="1"/>
  <c r="D5309" i="1"/>
  <c r="D5258" i="1"/>
  <c r="D3965" i="1"/>
  <c r="D4895" i="1"/>
  <c r="D4353" i="1"/>
  <c r="D4283" i="1"/>
  <c r="D3186" i="1"/>
  <c r="D5336" i="1"/>
  <c r="D5090" i="1"/>
  <c r="D3451" i="1"/>
  <c r="D4191" i="1"/>
  <c r="D4457" i="1"/>
  <c r="D4219" i="1"/>
  <c r="D2798" i="1"/>
  <c r="D4204" i="1"/>
  <c r="D1874" i="1"/>
  <c r="D2856" i="1"/>
  <c r="D3268" i="1"/>
  <c r="D2610" i="1"/>
  <c r="D4918" i="1"/>
  <c r="D4606" i="1"/>
  <c r="D5127" i="1"/>
  <c r="D3545" i="1"/>
  <c r="D3511" i="1"/>
  <c r="D4258" i="1"/>
  <c r="D4209" i="1"/>
  <c r="D3165" i="1"/>
  <c r="D4742" i="1"/>
  <c r="D4959" i="1"/>
  <c r="D4695" i="1"/>
  <c r="D3113" i="1"/>
  <c r="D4728" i="1"/>
  <c r="D3457" i="1"/>
  <c r="D3447" i="1"/>
  <c r="D4065" i="1"/>
  <c r="D4310" i="1"/>
  <c r="D5334" i="1"/>
  <c r="D5019" i="1"/>
  <c r="D5061" i="1"/>
  <c r="D5088" i="1"/>
  <c r="D3810" i="1"/>
  <c r="D4642" i="1"/>
  <c r="D3997" i="1"/>
  <c r="D4259" i="1"/>
  <c r="D5252" i="1"/>
  <c r="D4894" i="1"/>
  <c r="D3972" i="1"/>
  <c r="D4167" i="1"/>
  <c r="D4857" i="1"/>
  <c r="D5209" i="1"/>
  <c r="D3692" i="1"/>
  <c r="D5062" i="1"/>
  <c r="D4591" i="1"/>
  <c r="D5331" i="1"/>
  <c r="D4598" i="1"/>
  <c r="D4315" i="1"/>
  <c r="D4858" i="1"/>
  <c r="D4956" i="1"/>
  <c r="D2703" i="1"/>
  <c r="D3844" i="1"/>
  <c r="D4711" i="1"/>
  <c r="D4406" i="1"/>
  <c r="D5204" i="1"/>
  <c r="D4308" i="1"/>
  <c r="D3601" i="1"/>
  <c r="D4597" i="1"/>
  <c r="D2863" i="1"/>
  <c r="D4471" i="1"/>
  <c r="D4087" i="1"/>
  <c r="D5060" i="1"/>
  <c r="D5205" i="1"/>
  <c r="D4498" i="1"/>
  <c r="D4671" i="1"/>
  <c r="D5214" i="1"/>
  <c r="D3929" i="1"/>
  <c r="D5072" i="1"/>
  <c r="D4975" i="1"/>
  <c r="D5038" i="1"/>
  <c r="D4116" i="1"/>
  <c r="D4242" i="1"/>
  <c r="D5001" i="1"/>
  <c r="D4542" i="1"/>
  <c r="D5163" i="1"/>
  <c r="D3691" i="1"/>
  <c r="D4879" i="1"/>
  <c r="D4228" i="1"/>
  <c r="D4766" i="1"/>
  <c r="D4267" i="1"/>
  <c r="D5002" i="1"/>
  <c r="D4536" i="1"/>
  <c r="D4665" i="1"/>
  <c r="D3677" i="1"/>
  <c r="D5023" i="1"/>
  <c r="D5055" i="1"/>
  <c r="D5348" i="1"/>
  <c r="D4211" i="1"/>
  <c r="D4716" i="1"/>
  <c r="D4763" i="1"/>
  <c r="D4694" i="1"/>
  <c r="D3425" i="1"/>
  <c r="D4887" i="1"/>
  <c r="D4433" i="1"/>
  <c r="D4201" i="1"/>
  <c r="D4931" i="1"/>
  <c r="D3832" i="1"/>
  <c r="D4836" i="1"/>
  <c r="D4478" i="1"/>
  <c r="D5216" i="1"/>
  <c r="D4289" i="1"/>
  <c r="D5182" i="1"/>
  <c r="D4736" i="1"/>
  <c r="D4386" i="1"/>
  <c r="D3846" i="1"/>
  <c r="D4288" i="1"/>
  <c r="D5223" i="1"/>
  <c r="D5058" i="1"/>
  <c r="D5232" i="1"/>
  <c r="D5028" i="1"/>
  <c r="D4749" i="1"/>
  <c r="D4254" i="1"/>
  <c r="D3594" i="1"/>
  <c r="D1577" i="1"/>
  <c r="D5099" i="1"/>
  <c r="D3366" i="1"/>
  <c r="D4302" i="1"/>
  <c r="D4619" i="1"/>
  <c r="D4257" i="1"/>
  <c r="D4769" i="1"/>
  <c r="D3162" i="1"/>
  <c r="D4139" i="1"/>
  <c r="D5137" i="1"/>
  <c r="D3847" i="1"/>
  <c r="D5358" i="1"/>
  <c r="D4560" i="1"/>
  <c r="D3905" i="1"/>
  <c r="D4657" i="1"/>
  <c r="D4546" i="1"/>
  <c r="D2583" i="1"/>
  <c r="D4396" i="1"/>
  <c r="D4012" i="1"/>
  <c r="D5064" i="1"/>
  <c r="D4720" i="1"/>
  <c r="D3473" i="1"/>
  <c r="D4572" i="1"/>
  <c r="D4739" i="1"/>
  <c r="D3038" i="1"/>
  <c r="D4226" i="1"/>
  <c r="D3604" i="1"/>
  <c r="D4528" i="1"/>
  <c r="D4788" i="1"/>
  <c r="D3088" i="1"/>
  <c r="D4458" i="1"/>
  <c r="D4374" i="1"/>
  <c r="D3963" i="1"/>
  <c r="D3460" i="1"/>
  <c r="D3510" i="1"/>
  <c r="D5255" i="1"/>
  <c r="D4330" i="1"/>
  <c r="D2982" i="1"/>
  <c r="D4949" i="1"/>
  <c r="D5075" i="1"/>
  <c r="D4970" i="1"/>
  <c r="D4403" i="1"/>
  <c r="D4285" i="1"/>
  <c r="D4421" i="1"/>
  <c r="D4277" i="1"/>
  <c r="D4449" i="1"/>
  <c r="D4801" i="1"/>
  <c r="D5353" i="1"/>
  <c r="D5200" i="1"/>
  <c r="D4833" i="1"/>
  <c r="D4180" i="1"/>
  <c r="D4303" i="1"/>
  <c r="D4924" i="1"/>
  <c r="D5168" i="1"/>
  <c r="D3871" i="1"/>
  <c r="D4497" i="1"/>
  <c r="D4767" i="1"/>
  <c r="D5078" i="1"/>
  <c r="D3748" i="1"/>
  <c r="D4409" i="1"/>
  <c r="D4224" i="1"/>
  <c r="D3750" i="1"/>
  <c r="D4431" i="1"/>
  <c r="D4000" i="1"/>
  <c r="D4505" i="1"/>
  <c r="D4646" i="1"/>
  <c r="D4265" i="1"/>
  <c r="D4590" i="1"/>
  <c r="D4520" i="1"/>
  <c r="D3150" i="1"/>
  <c r="D3762" i="1"/>
  <c r="D5053" i="1"/>
  <c r="D5243" i="1"/>
  <c r="D4547" i="1"/>
  <c r="D4446" i="1"/>
  <c r="D4423" i="1"/>
  <c r="D2737" i="1"/>
  <c r="D4593" i="1"/>
  <c r="D5145" i="1"/>
  <c r="D4746" i="1"/>
  <c r="D5317" i="1"/>
  <c r="D5350" i="1"/>
  <c r="D5299" i="1"/>
  <c r="D4483" i="1"/>
  <c r="D4934" i="1"/>
  <c r="D4891" i="1"/>
  <c r="D5146" i="1"/>
  <c r="D4675" i="1"/>
  <c r="D3051" i="1"/>
  <c r="D4079" i="1"/>
  <c r="D3228" i="1"/>
  <c r="D2829" i="1"/>
  <c r="D3205" i="1"/>
  <c r="D3937" i="1"/>
  <c r="D2346" i="1"/>
  <c r="D1035" i="1"/>
  <c r="D2947" i="1"/>
  <c r="D244" i="1"/>
  <c r="D2734" i="1"/>
  <c r="D2978" i="1"/>
  <c r="D4676" i="1"/>
  <c r="D5004" i="1"/>
  <c r="D5179" i="1"/>
  <c r="D3591" i="1"/>
  <c r="D4346" i="1"/>
  <c r="D4633" i="1"/>
  <c r="D4860" i="1"/>
  <c r="D3951" i="1"/>
  <c r="D5154" i="1"/>
  <c r="D4334" i="1"/>
  <c r="D4806" i="1"/>
  <c r="D4890" i="1"/>
  <c r="D4158" i="1"/>
  <c r="D5132" i="1"/>
  <c r="D5352" i="1"/>
  <c r="D3408" i="1"/>
  <c r="D5226" i="1"/>
  <c r="D4394" i="1"/>
  <c r="D4856" i="1"/>
  <c r="D4584" i="1"/>
  <c r="D4378" i="1"/>
  <c r="D3232" i="1"/>
  <c r="D3018" i="1"/>
  <c r="D3033" i="1"/>
  <c r="D5318" i="1"/>
  <c r="D3486" i="1"/>
  <c r="D5231" i="1"/>
  <c r="D4981" i="1"/>
  <c r="D2898" i="1"/>
  <c r="D3523" i="1"/>
  <c r="D5192" i="1"/>
  <c r="D3118" i="1"/>
  <c r="D3342" i="1"/>
  <c r="D4248" i="1"/>
  <c r="D4837" i="1"/>
  <c r="D3735" i="1"/>
  <c r="D4425" i="1"/>
  <c r="D4777" i="1"/>
  <c r="D3330" i="1"/>
  <c r="D4798" i="1"/>
  <c r="D5281" i="1"/>
  <c r="D4502" i="1"/>
  <c r="D4477" i="1"/>
  <c r="D5070" i="1"/>
  <c r="D4426" i="1"/>
  <c r="D4405" i="1"/>
  <c r="D4690" i="1"/>
  <c r="D4441" i="1"/>
  <c r="D4600" i="1"/>
  <c r="D4085" i="1"/>
  <c r="D4557" i="1"/>
  <c r="D4200" i="1"/>
  <c r="D3169" i="1"/>
  <c r="D3376" i="1"/>
  <c r="D4198" i="1"/>
  <c r="D5010" i="1"/>
  <c r="D4312" i="1"/>
  <c r="D3630" i="1"/>
  <c r="D4796" i="1"/>
  <c r="D5125" i="1"/>
  <c r="D3895" i="1"/>
  <c r="D5069" i="1"/>
  <c r="D3954" i="1"/>
  <c r="D4518" i="1"/>
  <c r="D4692" i="1"/>
  <c r="D4652" i="1"/>
  <c r="D3811" i="1"/>
  <c r="D4015" i="1"/>
  <c r="D4569" i="1"/>
  <c r="D4039" i="1"/>
  <c r="D2945" i="1"/>
  <c r="D4820" i="1"/>
  <c r="D5184" i="1"/>
  <c r="D5323" i="1"/>
  <c r="D4061" i="1"/>
  <c r="D4481" i="1"/>
  <c r="D4570" i="1"/>
  <c r="D4967" i="1"/>
  <c r="D4208" i="1"/>
  <c r="D3173" i="1"/>
  <c r="D4792" i="1"/>
  <c r="D4754" i="1"/>
  <c r="D4930" i="1"/>
  <c r="D5104" i="1"/>
  <c r="D3313" i="1"/>
  <c r="D4309" i="1"/>
  <c r="D4641" i="1"/>
  <c r="D2909" i="1"/>
  <c r="D4946" i="1"/>
  <c r="D3774" i="1"/>
  <c r="D4940" i="1"/>
  <c r="D4392" i="1"/>
  <c r="D4335" i="1"/>
  <c r="D4830" i="1"/>
  <c r="D4168" i="1"/>
  <c r="D3242" i="1"/>
  <c r="D3243" i="1"/>
  <c r="D2890" i="1"/>
  <c r="D3203" i="1"/>
  <c r="D1253" i="1"/>
  <c r="D2225" i="1"/>
  <c r="D2067" i="1"/>
  <c r="D2444" i="1"/>
  <c r="D2513" i="1"/>
  <c r="D2879" i="1"/>
  <c r="D1924" i="1"/>
  <c r="D5107" i="1"/>
  <c r="D3593" i="1"/>
  <c r="D3571" i="1"/>
  <c r="D4495" i="1"/>
  <c r="D4099" i="1"/>
  <c r="D4251" i="1"/>
  <c r="D4508" i="1"/>
  <c r="D5294" i="1"/>
  <c r="D3195" i="1"/>
  <c r="D725" i="1"/>
  <c r="D2745" i="1"/>
  <c r="D1805" i="1"/>
  <c r="D2328" i="1"/>
  <c r="D2334" i="1"/>
  <c r="D2405" i="1"/>
  <c r="D83" i="1"/>
  <c r="D4755" i="1"/>
  <c r="D3411" i="1"/>
  <c r="D3211" i="1"/>
  <c r="D3656" i="1"/>
  <c r="D460" i="1"/>
  <c r="D3753" i="1"/>
  <c r="D1818" i="1"/>
  <c r="D3657" i="1"/>
  <c r="D4019" i="1"/>
  <c r="D3107" i="1"/>
  <c r="D3733" i="1"/>
  <c r="D4578" i="1"/>
  <c r="D2933" i="1"/>
  <c r="D4217" i="1"/>
  <c r="D2699" i="1"/>
  <c r="D1754" i="1"/>
  <c r="D2643" i="1"/>
  <c r="D4100" i="1"/>
  <c r="D3731" i="1"/>
  <c r="D3958" i="1"/>
  <c r="D240" i="1"/>
  <c r="D4811" i="1"/>
  <c r="D4045" i="1"/>
  <c r="D1985" i="1"/>
  <c r="D1578" i="1"/>
  <c r="D2907" i="1"/>
  <c r="D1669" i="1"/>
  <c r="D1080" i="1"/>
  <c r="D3456" i="1"/>
  <c r="D3369" i="1"/>
  <c r="D2740" i="1"/>
  <c r="D2463" i="1"/>
  <c r="D2166" i="1"/>
  <c r="D162" i="1"/>
  <c r="D2056" i="1"/>
  <c r="D3544" i="1"/>
  <c r="D3838" i="1"/>
  <c r="D118" i="1"/>
  <c r="D4117" i="1"/>
  <c r="D5100" i="1"/>
  <c r="D3152" i="1"/>
  <c r="D4101" i="1"/>
  <c r="D1626" i="1"/>
  <c r="D3504" i="1"/>
  <c r="D3227" i="1"/>
  <c r="D3119" i="1"/>
  <c r="D4010" i="1"/>
  <c r="D3297" i="1"/>
  <c r="D2918" i="1"/>
  <c r="D3754" i="1"/>
  <c r="D2382" i="1"/>
  <c r="D948" i="1"/>
  <c r="D2785" i="1"/>
  <c r="D3180" i="1"/>
  <c r="D2435" i="1"/>
  <c r="D3514" i="1"/>
  <c r="D4143" i="1"/>
  <c r="D2689" i="1"/>
  <c r="D2865" i="1"/>
  <c r="D2554" i="1"/>
  <c r="D2931" i="1"/>
  <c r="D3713" i="1"/>
  <c r="D1768" i="1"/>
  <c r="D3640" i="1"/>
  <c r="D2465" i="1"/>
  <c r="D3813" i="1"/>
  <c r="D2429" i="1"/>
  <c r="D2447" i="1"/>
  <c r="D2867" i="1"/>
  <c r="D2783" i="1"/>
  <c r="D4165" i="1"/>
  <c r="D4124" i="1"/>
  <c r="D1103" i="1"/>
  <c r="D2058" i="1"/>
  <c r="D2526" i="1"/>
  <c r="D927" i="1"/>
  <c r="D3386" i="1"/>
  <c r="D630" i="1"/>
  <c r="D408" i="1"/>
  <c r="D310" i="1"/>
  <c r="D2345" i="1"/>
  <c r="D1410" i="1"/>
  <c r="D2572" i="1"/>
  <c r="D1729" i="1"/>
  <c r="D4046" i="1"/>
  <c r="D2678" i="1"/>
  <c r="D2379" i="1"/>
  <c r="D2281" i="1"/>
  <c r="D928" i="1"/>
  <c r="D1091" i="1"/>
  <c r="D3106" i="1"/>
  <c r="D1764" i="1"/>
  <c r="D3213" i="1"/>
  <c r="D4187" i="1"/>
  <c r="D2038" i="1"/>
  <c r="D206" i="1"/>
  <c r="D270" i="1"/>
  <c r="D3095" i="1"/>
  <c r="D997" i="1"/>
  <c r="D3734" i="1"/>
  <c r="D1800" i="1"/>
  <c r="D1881" i="1"/>
  <c r="D3043" i="1"/>
  <c r="D466" i="1"/>
  <c r="D940" i="1"/>
  <c r="D3356" i="1"/>
  <c r="D953" i="1"/>
  <c r="D2985" i="1"/>
  <c r="D2635" i="1"/>
  <c r="D3388" i="1"/>
  <c r="D4419" i="1"/>
  <c r="D5346" i="1"/>
  <c r="D5116" i="1"/>
  <c r="D4195" i="1"/>
  <c r="D4442" i="1"/>
  <c r="D4298" i="1"/>
  <c r="D5236" i="1"/>
  <c r="D4919" i="1"/>
  <c r="D4851" i="1"/>
  <c r="D3896" i="1"/>
  <c r="D1920" i="1"/>
  <c r="D2420" i="1"/>
  <c r="D1541" i="1"/>
  <c r="D4185" i="1"/>
  <c r="D1660" i="1"/>
  <c r="D989" i="1"/>
  <c r="D1678" i="1"/>
  <c r="D2696" i="1"/>
  <c r="D2956" i="1"/>
  <c r="D3344" i="1"/>
  <c r="D3863" i="1"/>
  <c r="D3690" i="1"/>
  <c r="D3039" i="1"/>
  <c r="D2283" i="1"/>
  <c r="D3804" i="1"/>
  <c r="D2464" i="1"/>
  <c r="D3104" i="1"/>
  <c r="D1746" i="1"/>
  <c r="D2817" i="1"/>
  <c r="D1573" i="1"/>
  <c r="D2877" i="1"/>
  <c r="D4149" i="1"/>
  <c r="D3998" i="1"/>
  <c r="D4131" i="1"/>
  <c r="D3645" i="1"/>
  <c r="D3397" i="1"/>
  <c r="D3436" i="1"/>
  <c r="D2133" i="1"/>
  <c r="D4172" i="1"/>
  <c r="D2212" i="1"/>
  <c r="D3686" i="1"/>
  <c r="D3772" i="1"/>
  <c r="D1565" i="1"/>
  <c r="D3074" i="1"/>
  <c r="D338" i="1"/>
  <c r="D2743" i="1"/>
  <c r="D1255" i="1"/>
  <c r="D3188" i="1"/>
  <c r="D3025" i="1"/>
  <c r="D3629" i="1"/>
  <c r="D3743" i="1"/>
  <c r="D3650" i="1"/>
  <c r="D2793" i="1"/>
  <c r="D1542" i="1"/>
  <c r="D2117" i="1"/>
  <c r="D3693" i="1"/>
  <c r="D2081" i="1"/>
  <c r="D2640" i="1"/>
  <c r="D2853" i="1"/>
  <c r="D3543" i="1"/>
  <c r="D2185" i="1"/>
  <c r="D869" i="1"/>
  <c r="D3199" i="1"/>
  <c r="D3524" i="1"/>
  <c r="D1697" i="1"/>
  <c r="D3255" i="1"/>
  <c r="D3284" i="1"/>
  <c r="D1300" i="1"/>
  <c r="D1384" i="1"/>
  <c r="D2586" i="1"/>
  <c r="D3251" i="1"/>
  <c r="D3744" i="1"/>
  <c r="D4623" i="1"/>
  <c r="D5020" i="1"/>
  <c r="D4791" i="1"/>
  <c r="D5164" i="1"/>
  <c r="D3540" i="1"/>
  <c r="D4344" i="1"/>
  <c r="D5203" i="1"/>
  <c r="D3047" i="1"/>
  <c r="D4617" i="1"/>
  <c r="D5059" i="1"/>
  <c r="D2620" i="1"/>
  <c r="D4519" i="1"/>
  <c r="D1647" i="1"/>
  <c r="D3067" i="1"/>
  <c r="D2973" i="1"/>
  <c r="D5354" i="1"/>
  <c r="D2728" i="1"/>
  <c r="D2329" i="1"/>
  <c r="D3885" i="1"/>
  <c r="D1779" i="1"/>
  <c r="D2415" i="1"/>
  <c r="D4140" i="1"/>
  <c r="D1301" i="1"/>
  <c r="D3003" i="1"/>
  <c r="D3490" i="1"/>
  <c r="D3697" i="1"/>
  <c r="D3122" i="1"/>
  <c r="D2357" i="1"/>
  <c r="D3575" i="1"/>
  <c r="D2549" i="1"/>
  <c r="D635" i="1"/>
  <c r="D3398" i="1"/>
  <c r="D3595" i="1"/>
  <c r="D1600" i="1"/>
  <c r="D2262" i="1"/>
  <c r="D2986" i="1"/>
  <c r="D2523" i="1"/>
  <c r="D3740" i="1"/>
  <c r="D3592" i="1"/>
  <c r="D137" i="1"/>
  <c r="D3624" i="1"/>
  <c r="D3354" i="1"/>
  <c r="D3747" i="1"/>
  <c r="D2477" i="1"/>
  <c r="D3867" i="1"/>
  <c r="D742" i="1"/>
  <c r="D4973" i="1"/>
  <c r="D3446" i="1"/>
  <c r="D2330" i="1"/>
  <c r="D2714" i="1"/>
  <c r="D2739" i="1"/>
  <c r="D3995" i="1"/>
  <c r="D2957" i="1"/>
  <c r="D1836" i="1"/>
  <c r="D3373" i="1"/>
  <c r="D3616" i="1"/>
  <c r="D2127" i="1"/>
  <c r="D2954" i="1"/>
  <c r="D3477" i="1"/>
  <c r="D2319" i="1"/>
  <c r="D3192" i="1"/>
  <c r="D1705" i="1"/>
  <c r="D3627" i="1"/>
  <c r="D3717" i="1"/>
  <c r="D3235" i="1"/>
  <c r="D1674" i="1"/>
  <c r="D3028" i="1"/>
  <c r="D2926" i="1"/>
  <c r="D3105" i="1"/>
  <c r="D1062" i="1"/>
  <c r="D2147" i="1"/>
  <c r="D3110" i="1"/>
  <c r="D2042" i="1"/>
  <c r="D2892" i="1"/>
  <c r="D830" i="1"/>
  <c r="D3154" i="1"/>
  <c r="D3978" i="1"/>
  <c r="D3967" i="1"/>
  <c r="D4146" i="1"/>
  <c r="D4773" i="1"/>
  <c r="D4238" i="1"/>
  <c r="D4713" i="1"/>
  <c r="D4917" i="1"/>
  <c r="D4122" i="1"/>
  <c r="D3828" i="1"/>
  <c r="D4413" i="1"/>
  <c r="D150" i="1"/>
  <c r="D3172" i="1"/>
  <c r="D2310" i="1"/>
  <c r="D148" i="1"/>
  <c r="D3371" i="1"/>
  <c r="D3274" i="1"/>
  <c r="D2782" i="1"/>
  <c r="D35" i="1"/>
  <c r="D3574" i="1"/>
  <c r="D2938" i="1"/>
  <c r="D4104" i="1"/>
  <c r="D3649" i="1"/>
  <c r="D4105" i="1"/>
  <c r="D4164" i="1"/>
  <c r="D3481" i="1"/>
  <c r="D1793" i="1"/>
  <c r="D3064" i="1"/>
  <c r="D3765" i="1"/>
  <c r="D388" i="1"/>
  <c r="D3317" i="1"/>
  <c r="D902" i="1"/>
  <c r="D2843" i="1"/>
  <c r="D398" i="1"/>
  <c r="D3890" i="1"/>
  <c r="D3761" i="1"/>
  <c r="D3577" i="1"/>
  <c r="D2525" i="1"/>
  <c r="D2286" i="1"/>
  <c r="D2352" i="1"/>
  <c r="D3663" i="1"/>
  <c r="D3827" i="1"/>
  <c r="D3970" i="1"/>
  <c r="D2092" i="1"/>
  <c r="D1830" i="1"/>
  <c r="D2571" i="1"/>
  <c r="D2438" i="1"/>
  <c r="D3560" i="1"/>
  <c r="D3454" i="1"/>
  <c r="D3683" i="1"/>
  <c r="D2805" i="1"/>
  <c r="D1109" i="1"/>
  <c r="D3860" i="1"/>
  <c r="D3008" i="1"/>
  <c r="D2977" i="1"/>
  <c r="D3250" i="1"/>
  <c r="D3947" i="1"/>
  <c r="D3076" i="1"/>
  <c r="D4034" i="1"/>
  <c r="D3886" i="1"/>
  <c r="D1529" i="1"/>
  <c r="D2269" i="1"/>
  <c r="D1833" i="1"/>
  <c r="D2731" i="1"/>
  <c r="D4040" i="1"/>
  <c r="D3370" i="1"/>
  <c r="D2538" i="1"/>
  <c r="D3696" i="1"/>
  <c r="D1613" i="1"/>
  <c r="D1213" i="1"/>
  <c r="D2489" i="1"/>
  <c r="D2065" i="1"/>
  <c r="D2178" i="1"/>
  <c r="D3479" i="1"/>
  <c r="D3275" i="1"/>
  <c r="D2972" i="1"/>
  <c r="D1204" i="1"/>
  <c r="D2095" i="1"/>
  <c r="D662" i="1"/>
  <c r="D3395" i="1"/>
  <c r="D3355" i="1"/>
  <c r="D1794" i="1"/>
  <c r="D2466" i="1"/>
  <c r="D4160" i="1"/>
  <c r="D389" i="1"/>
  <c r="D1290" i="1"/>
  <c r="D912" i="1"/>
  <c r="D3288" i="1"/>
  <c r="D3225" i="1"/>
  <c r="D2857" i="1"/>
  <c r="D2514" i="1"/>
  <c r="D3862" i="1"/>
  <c r="D4089" i="1"/>
  <c r="D2256" i="1"/>
  <c r="D589" i="1"/>
  <c r="D2715" i="1"/>
  <c r="D1699" i="1"/>
  <c r="D225" i="1"/>
  <c r="D2076" i="1"/>
  <c r="D1450" i="1"/>
  <c r="D2130" i="1"/>
  <c r="D4650" i="1"/>
  <c r="D1144" i="1"/>
  <c r="D2008" i="1"/>
  <c r="D2151" i="1"/>
  <c r="D686" i="1"/>
  <c r="D351" i="1"/>
  <c r="D1651" i="1"/>
  <c r="D2371" i="1"/>
  <c r="D1040" i="1"/>
  <c r="D1241" i="1"/>
  <c r="D3644" i="1"/>
  <c r="D2218" i="1"/>
  <c r="D76" i="1"/>
  <c r="D856" i="1"/>
  <c r="D514" i="1"/>
  <c r="D1863" i="1"/>
  <c r="D265" i="1"/>
  <c r="D3636" i="1"/>
  <c r="D491" i="1"/>
  <c r="D1582" i="1"/>
  <c r="D2336" i="1"/>
  <c r="D2162" i="1"/>
  <c r="D2098" i="1"/>
  <c r="D2777" i="1"/>
  <c r="D5180" i="1"/>
  <c r="D4363" i="1"/>
  <c r="D5324" i="1"/>
  <c r="D3487" i="1"/>
  <c r="D5237" i="1"/>
  <c r="D5259" i="1"/>
  <c r="D2724" i="1"/>
  <c r="D4381" i="1"/>
  <c r="D3637" i="1"/>
  <c r="D3898" i="1"/>
  <c r="D2404" i="1"/>
  <c r="D3177" i="1"/>
  <c r="D2930" i="1"/>
  <c r="D3961" i="1"/>
  <c r="D3206" i="1"/>
  <c r="D1614" i="1"/>
  <c r="D774" i="1"/>
  <c r="D4032" i="1"/>
  <c r="D3537" i="1"/>
  <c r="D2939" i="1"/>
  <c r="D3175" i="1"/>
  <c r="D3614" i="1"/>
  <c r="D34" i="1"/>
  <c r="D2454" i="1"/>
  <c r="D126" i="1"/>
  <c r="D4058" i="1"/>
  <c r="D2908" i="1"/>
  <c r="D2190" i="1"/>
  <c r="D2199" i="1"/>
  <c r="D1594" i="1"/>
  <c r="D2020" i="1"/>
  <c r="D2260" i="1"/>
  <c r="D1841" i="1"/>
  <c r="D2224" i="1"/>
  <c r="D3553" i="1"/>
  <c r="D3507" i="1"/>
  <c r="D3682" i="1"/>
  <c r="D1865" i="1"/>
  <c r="D2308" i="1"/>
  <c r="D4083" i="1"/>
  <c r="D3538" i="1"/>
  <c r="D936" i="1"/>
  <c r="D3229" i="1"/>
  <c r="D4559" i="1"/>
  <c r="D57" i="1"/>
  <c r="D246" i="1"/>
  <c r="D2770" i="1"/>
  <c r="D4001" i="1"/>
  <c r="D3151" i="1"/>
  <c r="D2333" i="1"/>
  <c r="D3565" i="1"/>
  <c r="D3597" i="1"/>
  <c r="D1009" i="1"/>
  <c r="D4155" i="1"/>
  <c r="D2499" i="1"/>
  <c r="D1553" i="1"/>
  <c r="D3555" i="1"/>
  <c r="D3552" i="1"/>
  <c r="D3687" i="1"/>
  <c r="D2198" i="1"/>
  <c r="D3223" i="1"/>
  <c r="D3878" i="1"/>
  <c r="D2103" i="1"/>
  <c r="D4375" i="1"/>
  <c r="D3087" i="1"/>
  <c r="D3580" i="1"/>
  <c r="D3168" i="1"/>
  <c r="D252" i="1"/>
  <c r="D659" i="1"/>
  <c r="D1686" i="1"/>
  <c r="D3220" i="1"/>
  <c r="D4178" i="1"/>
  <c r="D3483" i="1"/>
  <c r="D2619" i="1"/>
  <c r="D2725" i="1"/>
  <c r="D3673" i="1"/>
  <c r="D1184" i="1"/>
  <c r="D1445" i="1"/>
  <c r="D2211" i="1"/>
  <c r="D2584" i="1"/>
  <c r="D3531" i="1"/>
  <c r="D2309" i="1"/>
  <c r="D2967" i="1"/>
  <c r="D2387" i="1"/>
  <c r="D3020" i="1"/>
  <c r="D2719" i="1"/>
  <c r="D3084" i="1"/>
  <c r="D1396" i="1"/>
  <c r="D3926" i="1"/>
  <c r="D2680" i="1"/>
  <c r="D3503" i="1"/>
  <c r="D691" i="1"/>
  <c r="D2588" i="1"/>
  <c r="D2109" i="1"/>
  <c r="D3315" i="1"/>
  <c r="D2302" i="1"/>
  <c r="D1919" i="1"/>
  <c r="D1816" i="1"/>
  <c r="D979" i="1"/>
  <c r="D3902" i="1"/>
  <c r="D20" i="1"/>
  <c r="D2114" i="1"/>
  <c r="D1245" i="1"/>
  <c r="D1913" i="1"/>
  <c r="D3132" i="1"/>
  <c r="D479" i="1"/>
  <c r="D1998" i="1"/>
  <c r="D3758" i="1"/>
  <c r="D59" i="1"/>
  <c r="D593" i="1"/>
  <c r="D1476" i="1"/>
  <c r="D2317" i="1"/>
  <c r="D822" i="1"/>
  <c r="D187" i="1"/>
  <c r="D4013" i="1"/>
  <c r="D900" i="1"/>
  <c r="D485" i="1"/>
  <c r="D565" i="1"/>
  <c r="D3444" i="1"/>
  <c r="D1696" i="1"/>
  <c r="D4360" i="1"/>
  <c r="D4610" i="1"/>
  <c r="D5339" i="1"/>
  <c r="D4373" i="1"/>
  <c r="D3859" i="1"/>
  <c r="D3570" i="1"/>
  <c r="D5293" i="1"/>
  <c r="D2585" i="1"/>
  <c r="D3881" i="1"/>
  <c r="D3639" i="1"/>
  <c r="D2822" i="1"/>
  <c r="D3794" i="1"/>
  <c r="D5048" i="1"/>
  <c r="D3363" i="1"/>
  <c r="D2784" i="1"/>
  <c r="D3422" i="1"/>
  <c r="D3671" i="1"/>
  <c r="D1046" i="1"/>
  <c r="D3058" i="1"/>
  <c r="D4400" i="1"/>
  <c r="D2297" i="1"/>
  <c r="D1492" i="1"/>
  <c r="D3910" i="1"/>
  <c r="D537" i="1"/>
  <c r="D1348" i="1"/>
  <c r="D4152" i="1"/>
  <c r="D1970" i="1"/>
  <c r="D3403" i="1"/>
  <c r="D340" i="1"/>
  <c r="D3358" i="1"/>
  <c r="D1262" i="1"/>
  <c r="D3420" i="1"/>
  <c r="D3647" i="1"/>
  <c r="D3027" i="1"/>
  <c r="D4658" i="1"/>
  <c r="D3620" i="1"/>
  <c r="D3072" i="1"/>
  <c r="D3584" i="1"/>
  <c r="D1891" i="1"/>
  <c r="D4038" i="1"/>
  <c r="D5173" i="1"/>
  <c r="D2118" i="1"/>
  <c r="D3909" i="1"/>
  <c r="D3430" i="1"/>
  <c r="D3873" i="1"/>
  <c r="D482" i="1"/>
  <c r="D3944" i="1"/>
  <c r="D4322" i="1"/>
  <c r="D3265" i="1"/>
  <c r="D2736" i="1"/>
  <c r="D3296" i="1"/>
  <c r="D3166" i="1"/>
  <c r="D2486" i="1"/>
  <c r="D1323" i="1"/>
  <c r="D2639" i="1"/>
  <c r="D3659" i="1"/>
  <c r="D3759" i="1"/>
  <c r="D3333" i="1"/>
  <c r="D4932" i="1"/>
  <c r="D2899" i="1"/>
  <c r="D1452" i="1"/>
  <c r="D640" i="1"/>
  <c r="D5177" i="1"/>
  <c r="D4066" i="1"/>
  <c r="D3837" i="1"/>
  <c r="D4030" i="1"/>
  <c r="D2916" i="1"/>
  <c r="D3452" i="1"/>
  <c r="D2021" i="1"/>
  <c r="D1266" i="1"/>
  <c r="D3541" i="1"/>
  <c r="D3554" i="1"/>
  <c r="D3668" i="1"/>
  <c r="D3034" i="1"/>
  <c r="D3158" i="1"/>
  <c r="D3142" i="1"/>
  <c r="D2563" i="1"/>
  <c r="D4071" i="1"/>
  <c r="D3795" i="1"/>
  <c r="D3029" i="1"/>
  <c r="D3912" i="1"/>
  <c r="D2702" i="1"/>
  <c r="D2687" i="1"/>
  <c r="D2202" i="1"/>
  <c r="D1723" i="1"/>
  <c r="D2369" i="1"/>
  <c r="D2291" i="1"/>
  <c r="D2746" i="1"/>
  <c r="D3999" i="1"/>
  <c r="D2854" i="1"/>
  <c r="D2928" i="1"/>
  <c r="D617" i="1"/>
  <c r="D3056" i="1"/>
  <c r="D2276" i="1"/>
  <c r="D2653" i="1"/>
  <c r="D586" i="1"/>
  <c r="D2606" i="1"/>
  <c r="D588" i="1"/>
  <c r="D1906" i="1"/>
  <c r="D3706" i="1"/>
  <c r="D2044" i="1"/>
  <c r="D402" i="1"/>
  <c r="D1383" i="1"/>
  <c r="D2786" i="1"/>
  <c r="D2527" i="1"/>
  <c r="D735" i="1"/>
  <c r="D2641" i="1"/>
  <c r="D45" i="1"/>
  <c r="D2353" i="1"/>
  <c r="D628" i="1"/>
  <c r="D2647" i="1"/>
  <c r="D2295" i="1"/>
  <c r="D2113" i="1"/>
  <c r="D1183" i="1"/>
  <c r="D817" i="1"/>
  <c r="D2604" i="1"/>
  <c r="D2222" i="1"/>
  <c r="D2483" i="1"/>
  <c r="D1560" i="1"/>
  <c r="D905" i="1"/>
  <c r="D1490" i="1"/>
  <c r="D913" i="1"/>
  <c r="D203" i="1"/>
  <c r="D2424" i="1"/>
  <c r="D3685" i="1"/>
  <c r="D3803" i="1"/>
  <c r="D1655" i="1"/>
  <c r="D2096" i="1"/>
  <c r="D471" i="1"/>
  <c r="D449" i="1"/>
  <c r="D1467" i="1"/>
  <c r="D2518" i="1"/>
  <c r="D1724" i="1"/>
  <c r="D29" i="1"/>
  <c r="D4460" i="1"/>
  <c r="D4169" i="1"/>
  <c r="D4977" i="1"/>
  <c r="D4531" i="1"/>
  <c r="D4884" i="1"/>
  <c r="D3520" i="1"/>
  <c r="D4865" i="1"/>
  <c r="D4470" i="1"/>
  <c r="D4319" i="1"/>
  <c r="D2068" i="1"/>
  <c r="D4041" i="1"/>
  <c r="D1187" i="1"/>
  <c r="D3694" i="1"/>
  <c r="D4017" i="1"/>
  <c r="D2559" i="1"/>
  <c r="D2866" i="1"/>
  <c r="D3608" i="1"/>
  <c r="D320" i="1"/>
  <c r="D3098" i="1"/>
  <c r="D3702" i="1"/>
  <c r="D3956" i="1"/>
  <c r="D3130" i="1"/>
  <c r="D2773" i="1"/>
  <c r="D2342" i="1"/>
  <c r="D3321" i="1"/>
  <c r="D2034" i="1"/>
  <c r="D3093" i="1"/>
  <c r="D1432" i="1"/>
  <c r="D2925" i="1"/>
  <c r="D1638" i="1"/>
  <c r="D2497" i="1"/>
  <c r="D2847" i="1"/>
  <c r="D3980" i="1"/>
  <c r="D3174" i="1"/>
  <c r="D3406" i="1"/>
  <c r="D1602" i="1"/>
  <c r="D1528" i="1"/>
  <c r="D3241" i="1"/>
  <c r="D2842" i="1"/>
  <c r="D1254" i="1"/>
  <c r="D3421" i="1"/>
  <c r="D4069" i="1"/>
  <c r="D2177" i="1"/>
  <c r="D2709" i="1"/>
  <c r="D2524" i="1"/>
  <c r="D2322" i="1"/>
  <c r="D2674" i="1"/>
  <c r="D2046" i="1"/>
  <c r="D1869" i="1"/>
  <c r="D1948" i="1"/>
  <c r="D3509" i="1"/>
  <c r="D2427" i="1"/>
  <c r="D2070" i="1"/>
  <c r="D2049" i="1"/>
  <c r="D4927" i="1"/>
  <c r="D3001" i="1"/>
  <c r="D3435" i="1"/>
  <c r="D2453" i="1"/>
  <c r="D3062" i="1"/>
  <c r="D1911" i="1"/>
  <c r="D1574" i="1"/>
  <c r="D1331" i="1"/>
  <c r="D3704" i="1"/>
  <c r="D2176" i="1"/>
  <c r="D2271" i="1"/>
  <c r="D3289" i="1"/>
  <c r="D2776" i="1"/>
  <c r="D1601" i="1"/>
  <c r="D2243" i="1"/>
  <c r="D2989" i="1"/>
  <c r="D3394" i="1"/>
  <c r="D1878" i="1"/>
  <c r="D3379" i="1"/>
  <c r="D3272" i="1"/>
  <c r="D2609" i="1"/>
  <c r="D3843" i="1"/>
  <c r="D2112" i="1"/>
  <c r="D3050" i="1"/>
  <c r="D2875" i="1"/>
  <c r="D3368" i="1"/>
  <c r="D2186" i="1"/>
  <c r="D677" i="1"/>
  <c r="D293" i="1"/>
  <c r="D879" i="1"/>
  <c r="D894" i="1"/>
  <c r="D3357" i="1"/>
  <c r="D2769" i="1"/>
  <c r="D1481" i="1"/>
  <c r="D3854" i="1"/>
  <c r="D5202" i="1"/>
  <c r="D2417" i="1"/>
  <c r="D1588" i="1"/>
  <c r="D1812" i="1"/>
  <c r="D2507" i="1"/>
  <c r="D3816" i="1"/>
  <c r="D709" i="1"/>
  <c r="D1946" i="1"/>
  <c r="D545" i="1"/>
  <c r="D1753" i="1"/>
  <c r="D1453" i="1"/>
  <c r="D1667" i="1"/>
  <c r="D2053" i="1"/>
  <c r="D391" i="1"/>
  <c r="D337" i="1"/>
  <c r="D2348" i="1"/>
  <c r="D1489" i="1"/>
  <c r="D1847" i="1"/>
  <c r="D2446" i="1"/>
  <c r="D2277" i="1"/>
  <c r="D2028" i="1"/>
  <c r="D1497" i="1"/>
  <c r="D2616" i="1"/>
  <c r="D1844" i="1"/>
  <c r="D1976" i="1"/>
  <c r="D1607" i="1"/>
  <c r="D2090" i="1"/>
  <c r="D5185" i="1"/>
  <c r="D3102" i="1"/>
  <c r="D4273" i="1"/>
  <c r="D4347" i="1"/>
  <c r="D5349" i="1"/>
  <c r="D5109" i="1"/>
  <c r="D5269" i="1"/>
  <c r="D5160" i="1"/>
  <c r="D4023" i="1"/>
  <c r="D294" i="1"/>
  <c r="D1047" i="1"/>
  <c r="D1912" i="1"/>
  <c r="D1866" i="1"/>
  <c r="D4150" i="1"/>
  <c r="D3155" i="1"/>
  <c r="D2550" i="1"/>
  <c r="D3099" i="1"/>
  <c r="D459" i="1"/>
  <c r="D5091" i="1"/>
  <c r="D1685" i="1"/>
  <c r="D5283" i="1"/>
  <c r="D3672" i="1"/>
  <c r="D3802" i="1"/>
  <c r="D15" i="1"/>
  <c r="D1889" i="1"/>
  <c r="D3023" i="1"/>
  <c r="D3708" i="1"/>
  <c r="D2976" i="1"/>
  <c r="D2097" i="1"/>
  <c r="D2043" i="1"/>
  <c r="D1852" i="1"/>
  <c r="D2887" i="1"/>
  <c r="D4052" i="1"/>
  <c r="D3893" i="1"/>
  <c r="D1397" i="1"/>
  <c r="D3407" i="1"/>
  <c r="D3658" i="1"/>
  <c r="D176" i="1"/>
  <c r="D1962" i="1"/>
  <c r="D3412" i="1"/>
  <c r="D3934" i="1"/>
  <c r="D4184" i="1"/>
  <c r="D3100" i="1"/>
  <c r="D2175" i="1"/>
  <c r="D2618" i="1"/>
  <c r="D2628" i="1"/>
  <c r="D4770" i="1"/>
  <c r="D3915" i="1"/>
  <c r="D3094" i="1"/>
  <c r="D3326" i="1"/>
  <c r="D3849" i="1"/>
  <c r="D3419" i="1"/>
  <c r="D1947" i="1"/>
  <c r="D2555" i="1"/>
  <c r="D1648" i="1"/>
  <c r="D2869" i="1"/>
  <c r="D3851" i="1"/>
  <c r="D1374" i="1"/>
  <c r="D3746" i="1"/>
  <c r="D3661" i="1"/>
  <c r="D2234" i="1"/>
  <c r="D1971" i="1"/>
  <c r="D2009" i="1"/>
  <c r="D3111" i="1"/>
  <c r="D3256" i="1"/>
  <c r="D292" i="1"/>
  <c r="D2911" i="1"/>
  <c r="D3298" i="1"/>
  <c r="D2400" i="1"/>
  <c r="D3045" i="1"/>
  <c r="D3466" i="1"/>
  <c r="D3983" i="1"/>
  <c r="D2806" i="1"/>
  <c r="D3325" i="1"/>
  <c r="D3876" i="1"/>
  <c r="D598" i="1"/>
  <c r="D130" i="1"/>
  <c r="D4090" i="1"/>
  <c r="D2331" i="1"/>
  <c r="D1716" i="1"/>
  <c r="D3352" i="1"/>
  <c r="D5344" i="1"/>
  <c r="D3818" i="1"/>
  <c r="D3336" i="1"/>
  <c r="D1277" i="1"/>
  <c r="D4355" i="1"/>
  <c r="D2851" i="1"/>
  <c r="D2720" i="1"/>
  <c r="D3248" i="1"/>
  <c r="D3651" i="1"/>
  <c r="D5271" i="1"/>
  <c r="D2905" i="1"/>
  <c r="D1001" i="1"/>
  <c r="D1019" i="1"/>
  <c r="D2844" i="1"/>
  <c r="D4649" i="1"/>
  <c r="D164" i="1"/>
  <c r="D3409" i="1"/>
  <c r="D1316" i="1"/>
  <c r="D1608" i="1"/>
  <c r="D1011" i="1"/>
  <c r="D2004" i="1"/>
  <c r="D3969" i="1"/>
  <c r="D2470" i="1"/>
  <c r="D2920" i="1"/>
  <c r="D179" i="1"/>
  <c r="D476" i="1"/>
  <c r="D1302" i="1"/>
  <c r="D339" i="1"/>
  <c r="D2106" i="1"/>
  <c r="D53" i="1"/>
  <c r="D3335" i="1"/>
  <c r="D4351" i="1"/>
  <c r="D4834" i="1"/>
  <c r="D4342" i="1"/>
  <c r="D4234" i="1"/>
  <c r="D4566" i="1"/>
  <c r="D4294" i="1"/>
  <c r="D2763" i="1"/>
  <c r="D2656" i="1"/>
  <c r="D3147" i="1"/>
  <c r="D4115" i="1"/>
  <c r="D3200" i="1"/>
  <c r="D4668" i="1"/>
  <c r="D3276" i="1"/>
  <c r="D52" i="1"/>
  <c r="D1226" i="1"/>
  <c r="D3848" i="1"/>
  <c r="D4175" i="1"/>
  <c r="D2900" i="1"/>
  <c r="D5307" i="1"/>
  <c r="D3244" i="1"/>
  <c r="D2738" i="1"/>
  <c r="D3864" i="1"/>
  <c r="D3887" i="1"/>
  <c r="D3277" i="1"/>
  <c r="D1707" i="1"/>
  <c r="D3590" i="1"/>
  <c r="D3884" i="1"/>
  <c r="D420" i="1"/>
  <c r="D2838" i="1"/>
  <c r="D3393" i="1"/>
  <c r="D2493" i="1"/>
  <c r="D3259" i="1"/>
  <c r="D4722" i="1"/>
  <c r="D3367" i="1"/>
  <c r="D1636" i="1"/>
  <c r="D1549" i="1"/>
  <c r="D3013" i="1"/>
  <c r="D1398" i="1"/>
  <c r="D4008" i="1"/>
  <c r="D2768" i="1"/>
  <c r="D965" i="1"/>
  <c r="D2876" i="1"/>
  <c r="D2495" i="1"/>
  <c r="D3589" i="1"/>
  <c r="D3428" i="1"/>
  <c r="D2226" i="1"/>
  <c r="D2816" i="1"/>
  <c r="D3621" i="1"/>
  <c r="D2093" i="1"/>
  <c r="D4112" i="1"/>
  <c r="D3839" i="1"/>
  <c r="D3121" i="1"/>
  <c r="D2698" i="1"/>
  <c r="D4181" i="1"/>
  <c r="D3060" i="1"/>
  <c r="D3196" i="1"/>
  <c r="D3347" i="1"/>
  <c r="D3771" i="1"/>
  <c r="D2512" i="1"/>
  <c r="D4088" i="1"/>
  <c r="D3207" i="1"/>
  <c r="D533" i="1"/>
  <c r="D3443" i="1"/>
  <c r="D2996" i="1"/>
  <c r="D111" i="1"/>
  <c r="D2278" i="1"/>
  <c r="D3508" i="1"/>
  <c r="D2915" i="1"/>
  <c r="D2140" i="1"/>
  <c r="D1524" i="1"/>
  <c r="D4262" i="1"/>
  <c r="D3525" i="1"/>
  <c r="D5261" i="1"/>
  <c r="D3814" i="1"/>
  <c r="D4388" i="1"/>
  <c r="D3946" i="1"/>
  <c r="D3424" i="1"/>
  <c r="D1851" i="1"/>
  <c r="D2675" i="1"/>
  <c r="D3280" i="1"/>
  <c r="D3596" i="1"/>
  <c r="D3710" i="1"/>
  <c r="D2692" i="1"/>
  <c r="D3418" i="1"/>
  <c r="D3700" i="1"/>
  <c r="D1061" i="1"/>
  <c r="D3178" i="1"/>
  <c r="D3319" i="1"/>
  <c r="D3286" i="1"/>
  <c r="D1309" i="1"/>
  <c r="D3148" i="1"/>
  <c r="D350" i="1"/>
  <c r="D2508" i="1"/>
  <c r="D1903" i="1"/>
  <c r="D393" i="1"/>
  <c r="D1969" i="1"/>
  <c r="D1081" i="1"/>
  <c r="D3417" i="1"/>
  <c r="D30" i="1"/>
  <c r="D3187" i="1"/>
  <c r="D1111" i="1"/>
  <c r="D326" i="1"/>
  <c r="D3790" i="1"/>
  <c r="D863" i="1"/>
  <c r="D1931" i="1"/>
  <c r="D517" i="1"/>
  <c r="D1340" i="1"/>
  <c r="D1616" i="1"/>
  <c r="D1182" i="1"/>
  <c r="D845" i="1"/>
  <c r="D2649" i="1"/>
  <c r="D2035" i="1"/>
  <c r="D547" i="1"/>
  <c r="D842" i="1"/>
  <c r="D3261" i="1"/>
  <c r="D699" i="1"/>
  <c r="D1141" i="1"/>
  <c r="D91" i="1"/>
  <c r="D2146" i="1"/>
  <c r="D1548" i="1"/>
  <c r="D1048" i="1"/>
  <c r="D1979" i="1"/>
  <c r="D2274" i="1"/>
  <c r="D1757" i="1"/>
  <c r="D5219" i="1"/>
  <c r="D4876" i="1"/>
  <c r="D4980" i="1"/>
  <c r="D4964" i="1"/>
  <c r="D2827" i="1"/>
  <c r="D1206" i="1"/>
  <c r="D4264" i="1"/>
  <c r="D4951" i="1"/>
  <c r="D3952" i="1"/>
  <c r="D2914" i="1"/>
  <c r="D3695" i="1"/>
  <c r="D2818" i="1"/>
  <c r="D2560" i="1"/>
  <c r="D3019" i="1"/>
  <c r="D2808" i="1"/>
  <c r="D2030" i="1"/>
  <c r="D2644" i="1"/>
  <c r="D2691" i="1"/>
  <c r="D2116" i="1"/>
  <c r="D2370" i="1"/>
  <c r="D3146" i="1"/>
  <c r="D1840" i="1"/>
  <c r="D3164" i="1"/>
  <c r="D374" i="1"/>
  <c r="D4028" i="1"/>
  <c r="D3348" i="1"/>
  <c r="D2810" i="1"/>
  <c r="D2104" i="1"/>
  <c r="D3010" i="1"/>
  <c r="D1083" i="1"/>
  <c r="D1406" i="1"/>
  <c r="D4382" i="1"/>
  <c r="D676" i="1"/>
  <c r="D3290" i="1"/>
  <c r="D3914" i="1"/>
  <c r="D917" i="1"/>
  <c r="D2645" i="1"/>
  <c r="D1328" i="1"/>
  <c r="D3634" i="1"/>
  <c r="D2355" i="1"/>
  <c r="D2858" i="1"/>
  <c r="D4091" i="1"/>
  <c r="D3770" i="1"/>
  <c r="D329" i="1"/>
  <c r="D3073" i="1"/>
  <c r="D2490" i="1"/>
  <c r="D2991" i="1"/>
  <c r="D1828" i="1"/>
  <c r="D3797" i="1"/>
  <c r="D2669" i="1"/>
  <c r="D4054" i="1"/>
  <c r="D2646" i="1"/>
  <c r="D1059" i="1"/>
  <c r="D3432" i="1"/>
  <c r="D3324" i="1"/>
  <c r="D4144" i="1"/>
  <c r="D3445" i="1"/>
  <c r="D3578" i="1"/>
  <c r="D2031" i="1"/>
  <c r="D3567" i="1"/>
  <c r="D51" i="1"/>
  <c r="D1590" i="1"/>
  <c r="D3429" i="1"/>
  <c r="D1876" i="1"/>
  <c r="D3698" i="1"/>
  <c r="D1345" i="1"/>
  <c r="D1984" i="1"/>
  <c r="D5147" i="1"/>
  <c r="D2522" i="1"/>
  <c r="D4863" i="1"/>
  <c r="D2537" i="1"/>
  <c r="D2711" i="1"/>
  <c r="D4043" i="1"/>
  <c r="D2597" i="1"/>
  <c r="D1815" i="1"/>
  <c r="D2055" i="1"/>
  <c r="D718" i="1"/>
  <c r="D3586" i="1"/>
  <c r="D2214" i="1"/>
  <c r="D3722" i="1"/>
  <c r="D3097" i="1"/>
  <c r="D3433" i="1"/>
  <c r="D3004" i="1"/>
  <c r="D1745" i="1"/>
  <c r="D347" i="1"/>
  <c r="D3181" i="1"/>
  <c r="D438" i="1"/>
  <c r="D1133" i="1"/>
  <c r="D3674" i="1"/>
  <c r="D3416" i="1"/>
  <c r="D2937" i="1"/>
  <c r="D4035" i="1"/>
  <c r="D3197" i="1"/>
  <c r="D1790" i="1"/>
  <c r="D612" i="1"/>
  <c r="D1188" i="1"/>
  <c r="D960" i="1"/>
  <c r="D497" i="1"/>
  <c r="D1265" i="1"/>
  <c r="D1581" i="1"/>
  <c r="D2546" i="1"/>
  <c r="D744" i="1"/>
  <c r="D991" i="1"/>
  <c r="D1418" i="1"/>
  <c r="D22" i="1"/>
  <c r="D513" i="1"/>
  <c r="D279" i="1"/>
  <c r="D1849" i="1"/>
  <c r="D381" i="1"/>
  <c r="D3474" i="1"/>
  <c r="D4462" i="1"/>
  <c r="D4359" i="1"/>
  <c r="D4629" i="1"/>
  <c r="D4550" i="1"/>
  <c r="D4194" i="1"/>
  <c r="D3042" i="1"/>
  <c r="D4203" i="1"/>
  <c r="D4121" i="1"/>
  <c r="D2392" i="1"/>
  <c r="D4142" i="1"/>
  <c r="D2832" i="1"/>
  <c r="D3933" i="1"/>
  <c r="D3040" i="1"/>
  <c r="D2658" i="1"/>
  <c r="D4903" i="1"/>
  <c r="D2298" i="1"/>
  <c r="D2733" i="1"/>
  <c r="D3467" i="1"/>
  <c r="D1110" i="1"/>
  <c r="D2836" i="1"/>
  <c r="D4130" i="1"/>
  <c r="D3311" i="1"/>
  <c r="D1045" i="1"/>
  <c r="D3987" i="1"/>
  <c r="D3566" i="1"/>
  <c r="D2080" i="1"/>
  <c r="D1205" i="1"/>
  <c r="D2683" i="1"/>
  <c r="D3349" i="1"/>
  <c r="D3626" i="1"/>
  <c r="D2631" i="1"/>
  <c r="D3253" i="1"/>
  <c r="D3208" i="1"/>
  <c r="D3011" i="1"/>
  <c r="D3793" i="1"/>
  <c r="D3345" i="1"/>
  <c r="D1822" i="1"/>
  <c r="D3819" i="1"/>
  <c r="D759" i="1"/>
  <c r="D2849" i="1"/>
  <c r="D4678" i="1"/>
  <c r="D3239" i="1"/>
  <c r="D2764" i="1"/>
  <c r="D3920" i="1"/>
  <c r="D4153" i="1"/>
  <c r="D3031" i="1"/>
  <c r="D2247" i="1"/>
  <c r="D3476" i="1"/>
  <c r="D3057" i="1"/>
  <c r="D3563" i="1"/>
  <c r="D3968" i="1"/>
  <c r="D1559" i="1"/>
  <c r="D2775" i="1"/>
  <c r="D2833" i="1"/>
  <c r="D3724" i="1"/>
  <c r="D3840" i="1"/>
  <c r="D1585" i="1"/>
  <c r="D4227" i="1"/>
  <c r="D3475" i="1"/>
  <c r="D1766" i="1"/>
  <c r="D4630" i="1"/>
  <c r="D3266" i="1"/>
  <c r="D5298" i="1"/>
  <c r="D2791" i="1"/>
  <c r="D3829" i="1"/>
  <c r="D3299" i="1"/>
  <c r="D3587" i="1"/>
  <c r="D2529" i="1"/>
  <c r="D2045" i="1"/>
  <c r="D3351" i="1"/>
  <c r="D2320" i="1"/>
  <c r="D2971" i="1"/>
  <c r="D1632" i="1"/>
  <c r="D3539" i="1"/>
  <c r="D4628" i="1"/>
  <c r="D5036" i="1"/>
  <c r="D4772" i="1"/>
  <c r="D3684" i="1"/>
  <c r="D2754" i="1"/>
  <c r="D5167" i="1"/>
  <c r="D4899" i="1"/>
  <c r="D5108" i="1"/>
  <c r="D5098" i="1"/>
  <c r="D4092" i="1"/>
  <c r="D3699" i="1"/>
  <c r="D3267" i="1"/>
  <c r="D3598" i="1"/>
  <c r="D2574" i="1"/>
  <c r="D4070" i="1"/>
  <c r="D2684" i="1"/>
  <c r="D3337" i="1"/>
  <c r="D2614" i="1"/>
  <c r="D3836" i="1"/>
  <c r="D2949" i="1"/>
  <c r="D3780" i="1"/>
  <c r="D3865" i="1"/>
  <c r="D3974" i="1"/>
  <c r="D4174" i="1"/>
  <c r="D2164" i="1"/>
  <c r="D3830" i="1"/>
  <c r="D4490" i="1"/>
  <c r="D1776" i="1"/>
  <c r="D2261" i="1"/>
  <c r="D1739" i="1"/>
  <c r="D3551" i="1"/>
  <c r="D4029" i="1"/>
  <c r="D3778" i="1"/>
  <c r="D2596" i="1"/>
  <c r="D3247" i="1"/>
  <c r="D3287" i="1"/>
  <c r="D3310" i="1"/>
  <c r="D2548" i="1"/>
  <c r="D1576" i="1"/>
  <c r="D3801" i="1"/>
  <c r="D2950" i="1"/>
  <c r="D2757" i="1"/>
  <c r="D341" i="1"/>
  <c r="D1914" i="1"/>
  <c r="D3101" i="1"/>
  <c r="D2830" i="1"/>
  <c r="D3116" i="1"/>
  <c r="D2959" i="1"/>
  <c r="D3736" i="1"/>
  <c r="D1986" i="1"/>
  <c r="D1949" i="1"/>
  <c r="D4886" i="1"/>
  <c r="D2389" i="1"/>
  <c r="D4496" i="1"/>
  <c r="D4077" i="1"/>
  <c r="D2717" i="1"/>
  <c r="D3891" i="1"/>
  <c r="D1722" i="1"/>
  <c r="D1758" i="1"/>
  <c r="D2912" i="1"/>
  <c r="D2941" i="1"/>
  <c r="D4948" i="1"/>
  <c r="D2878" i="1"/>
  <c r="D3049" i="1"/>
  <c r="D2069" i="1"/>
  <c r="D2960" i="1"/>
  <c r="D1806" i="1"/>
  <c r="D2237" i="1"/>
  <c r="D2144" i="1"/>
  <c r="D4007" i="1"/>
  <c r="D2948" i="1"/>
  <c r="D3602" i="1"/>
  <c r="D3283" i="1"/>
  <c r="D3240" i="1"/>
  <c r="D3120" i="1"/>
  <c r="D3515" i="1"/>
  <c r="D880" i="1"/>
  <c r="D1804" i="1"/>
  <c r="D4081" i="1"/>
  <c r="D2238" i="1"/>
  <c r="D4022" i="1"/>
  <c r="D1158" i="1"/>
  <c r="D2561" i="1"/>
  <c r="D724" i="1"/>
  <c r="D1741" i="1"/>
  <c r="D4053" i="1"/>
  <c r="D3117" i="1"/>
  <c r="D4068" i="1"/>
  <c r="D567" i="1"/>
  <c r="D2321" i="1"/>
  <c r="D4685" i="1"/>
  <c r="D2285" i="1"/>
  <c r="D3219" i="1"/>
  <c r="D633" i="1"/>
  <c r="D3688" i="1"/>
  <c r="D467" i="1"/>
  <c r="D2630" i="1"/>
  <c r="D3385" i="1"/>
  <c r="D2399" i="1"/>
  <c r="D613" i="1"/>
  <c r="D1634" i="1"/>
  <c r="D1313" i="1"/>
  <c r="D532" i="1"/>
  <c r="D665" i="1"/>
  <c r="D2569" i="1"/>
  <c r="D1718" i="1"/>
  <c r="D108" i="1"/>
  <c r="D969" i="1"/>
  <c r="D2883" i="1"/>
  <c r="D4317" i="1"/>
  <c r="D3377" i="1"/>
  <c r="D4461" i="1"/>
  <c r="D4794" i="1"/>
  <c r="D4291" i="1"/>
  <c r="D5142" i="1"/>
  <c r="D4897" i="1"/>
  <c r="D5155" i="1"/>
  <c r="D5083" i="1"/>
  <c r="D2787" i="1"/>
  <c r="D3874" i="1"/>
  <c r="D1456" i="1"/>
  <c r="D3984" i="1"/>
  <c r="D3527" i="1"/>
  <c r="D3423" i="1"/>
  <c r="D3081" i="1"/>
  <c r="D531" i="1"/>
  <c r="D3279" i="1"/>
  <c r="D3901" i="1"/>
  <c r="D2845" i="1"/>
  <c r="D4189" i="1"/>
  <c r="D2381" i="1"/>
  <c r="D1827" i="1"/>
  <c r="D2245" i="1"/>
  <c r="D4929" i="1"/>
  <c r="D1252" i="1"/>
  <c r="D3262" i="1"/>
  <c r="D4004" i="1"/>
  <c r="D3052" i="1"/>
  <c r="D884" i="1"/>
  <c r="D3680" i="1"/>
  <c r="D2722" i="1"/>
  <c r="D1770" i="1"/>
  <c r="D581" i="1"/>
  <c r="D3936" i="1"/>
  <c r="D1899" i="1"/>
  <c r="D3384" i="1"/>
  <c r="D2792" i="1"/>
  <c r="D1444" i="1"/>
  <c r="D3080" i="1"/>
  <c r="D2923" i="1"/>
  <c r="D484" i="1"/>
  <c r="D3625" i="1"/>
  <c r="D916" i="1"/>
  <c r="D3888" i="1"/>
  <c r="D4661" i="1"/>
  <c r="D1684" i="1"/>
  <c r="D2741" i="1"/>
  <c r="D3923" i="1"/>
  <c r="D4106" i="1"/>
  <c r="D3327" i="1"/>
  <c r="D534" i="1"/>
  <c r="D1846" i="1"/>
  <c r="D3007" i="1"/>
  <c r="D3372" i="1"/>
  <c r="D3465" i="1"/>
  <c r="D3153" i="1"/>
  <c r="D4179" i="1"/>
  <c r="D2859" i="1"/>
  <c r="D3254" i="1"/>
  <c r="D1791" i="1"/>
  <c r="D3331" i="1"/>
  <c r="D3556" i="1"/>
  <c r="D3513" i="1"/>
  <c r="D2951" i="1"/>
  <c r="D2815" i="1"/>
  <c r="D1888" i="1"/>
  <c r="D2779" i="1"/>
  <c r="D2088" i="1"/>
  <c r="D4103" i="1"/>
  <c r="D4016" i="1"/>
  <c r="D3375" i="1"/>
  <c r="D3496" i="1"/>
  <c r="D2894" i="1"/>
  <c r="D3986" i="1"/>
  <c r="D3024" i="1"/>
  <c r="D1276" i="1"/>
  <c r="D1734" i="1"/>
  <c r="D2995" i="1"/>
  <c r="D3091" i="1"/>
  <c r="D1556" i="1"/>
  <c r="D3002" i="1"/>
  <c r="D4809" i="1"/>
  <c r="D3134" i="1"/>
  <c r="D1926" i="1"/>
  <c r="D2621" i="1"/>
  <c r="D2993" i="1"/>
  <c r="D3711" i="1"/>
  <c r="D1995" i="1"/>
  <c r="D4020" i="1"/>
  <c r="D1959" i="1"/>
  <c r="D3338" i="1"/>
  <c r="D26" i="1"/>
  <c r="D2506" i="1"/>
  <c r="D243" i="1"/>
  <c r="D2460" i="1"/>
  <c r="D1299" i="1"/>
  <c r="D220" i="1"/>
  <c r="D3137" i="1"/>
  <c r="D2013" i="1"/>
  <c r="D1521" i="1"/>
  <c r="D1508" i="1"/>
  <c r="D866" i="1"/>
  <c r="D311" i="1"/>
  <c r="D1138" i="1"/>
  <c r="D2188" i="1"/>
  <c r="D470" i="1"/>
  <c r="D637" i="1"/>
  <c r="D2625" i="1"/>
  <c r="D154" i="1"/>
  <c r="D730" i="1"/>
  <c r="D4669" i="1"/>
  <c r="D4225" i="1"/>
  <c r="D5057" i="1"/>
  <c r="D4369" i="1"/>
  <c r="D4709" i="1"/>
  <c r="D5289" i="1"/>
  <c r="D3138" i="1"/>
  <c r="D4476" i="1"/>
  <c r="D4299" i="1"/>
  <c r="D2998" i="1"/>
  <c r="D3410" i="1"/>
  <c r="D3144" i="1"/>
  <c r="D1890" i="1"/>
  <c r="D2756" i="1"/>
  <c r="D3831" i="1"/>
  <c r="D3945" i="1"/>
  <c r="D616" i="1"/>
  <c r="D3807" i="1"/>
  <c r="D1715" i="1"/>
  <c r="D3109" i="1"/>
  <c r="D3026" i="1"/>
  <c r="D3339" i="1"/>
  <c r="D3613" i="1"/>
  <c r="D457" i="1"/>
  <c r="D2393" i="1"/>
  <c r="D1923" i="1"/>
  <c r="D821" i="1"/>
  <c r="D4114" i="1"/>
  <c r="D3729" i="1"/>
  <c r="D506" i="1"/>
  <c r="D2953" i="1"/>
  <c r="D2677" i="1"/>
  <c r="D2690" i="1"/>
  <c r="D2153" i="1"/>
  <c r="D1762" i="1"/>
  <c r="D2781" i="1"/>
  <c r="D4326" i="1"/>
  <c r="D768" i="1"/>
  <c r="D3973" i="1"/>
  <c r="D3877" i="1"/>
  <c r="D2765" i="1"/>
  <c r="D3471" i="1"/>
  <c r="D5332" i="1"/>
  <c r="D3069" i="1"/>
  <c r="D2200" i="1"/>
  <c r="D3291" i="1"/>
  <c r="D1571" i="1"/>
  <c r="D2356" i="1"/>
  <c r="D1756" i="1"/>
  <c r="D3718" i="1"/>
  <c r="D3610" i="1"/>
  <c r="D3489" i="1"/>
  <c r="D572" i="1"/>
  <c r="D3940" i="1"/>
  <c r="D3012" i="1"/>
  <c r="D1972" i="1"/>
  <c r="D1973" i="1"/>
  <c r="D3924" i="1"/>
  <c r="D4044" i="1"/>
  <c r="D4047" i="1"/>
  <c r="D3129" i="1"/>
  <c r="D2774" i="1"/>
  <c r="D4192" i="1"/>
  <c r="D2789" i="1"/>
  <c r="D3215" i="1"/>
  <c r="D3201" i="1"/>
  <c r="D3669" i="1"/>
  <c r="D2864" i="1"/>
  <c r="D649" i="1"/>
  <c r="D2943" i="1"/>
  <c r="D4126" i="1"/>
  <c r="D2896" i="1"/>
  <c r="D1098" i="1"/>
  <c r="D3730" i="1"/>
  <c r="D3989" i="1"/>
  <c r="D2961" i="1"/>
  <c r="D3470" i="1"/>
  <c r="D2003" i="1"/>
  <c r="D4963" i="1"/>
  <c r="D1898" i="1"/>
  <c r="D2700" i="1"/>
  <c r="D2828" i="1"/>
  <c r="D3491" i="1"/>
  <c r="D3480" i="1"/>
  <c r="D193" i="1"/>
  <c r="D4057" i="1"/>
  <c r="D3519" i="1"/>
  <c r="D2824" i="1"/>
  <c r="D3600" i="1"/>
  <c r="D2913" i="1"/>
  <c r="D3707" i="1"/>
  <c r="D2622" i="1"/>
  <c r="D2401" i="1"/>
  <c r="D2327" i="1"/>
  <c r="D3469" i="1"/>
  <c r="D2668" i="1"/>
  <c r="D2290" i="1"/>
  <c r="D1617" i="1"/>
  <c r="D3183" i="1"/>
  <c r="D1179" i="1"/>
  <c r="D186" i="1"/>
  <c r="D3090" i="1"/>
  <c r="D5220" i="1"/>
  <c r="D3258" i="1"/>
  <c r="D4589" i="1"/>
  <c r="D4527" i="1"/>
  <c r="D3941" i="1"/>
  <c r="D5033" i="1"/>
  <c r="D4293" i="1"/>
  <c r="D4541" i="1"/>
  <c r="D2358" i="1"/>
  <c r="D1733" i="1"/>
  <c r="D2455" i="1"/>
  <c r="D3760" i="1"/>
  <c r="D2751" i="1"/>
  <c r="D2657" i="1"/>
  <c r="D2701" i="1"/>
  <c r="D2473" i="1"/>
  <c r="D3900" i="1"/>
  <c r="D4868" i="1"/>
  <c r="D3141" i="1"/>
  <c r="D3501" i="1"/>
  <c r="D2904" i="1"/>
  <c r="D1961" i="1"/>
  <c r="D1381" i="1"/>
  <c r="D149" i="1"/>
  <c r="D3082" i="1"/>
  <c r="D4585" i="1"/>
  <c r="D3721" i="1"/>
  <c r="D2474" i="1"/>
  <c r="D2448" i="1"/>
  <c r="D600" i="1"/>
  <c r="D1649" i="1"/>
  <c r="D4654" i="1"/>
  <c r="D245" i="1"/>
  <c r="D1853" i="1"/>
  <c r="D2416" i="1"/>
  <c r="D2476" i="1"/>
  <c r="D2564" i="1"/>
  <c r="D3156" i="1"/>
  <c r="D1937" i="1"/>
  <c r="D3332" i="1"/>
  <c r="D2406" i="1"/>
  <c r="D1755" i="1"/>
  <c r="D3660" i="1"/>
  <c r="D289" i="1"/>
  <c r="D3719" i="1"/>
  <c r="D3055" i="1"/>
  <c r="D3792" i="1"/>
  <c r="D2762" i="1"/>
  <c r="D3391" i="1"/>
  <c r="D3140" i="1"/>
  <c r="D3981" i="1"/>
  <c r="D555" i="1"/>
  <c r="D2496" i="1"/>
  <c r="D3083" i="1"/>
  <c r="D2391" i="1"/>
  <c r="D1530" i="1"/>
  <c r="D2236" i="1"/>
  <c r="D2128" i="1"/>
  <c r="D3628" i="1"/>
  <c r="D450" i="1"/>
  <c r="D2974" i="1"/>
  <c r="D102" i="1"/>
  <c r="D3821" i="1"/>
  <c r="D1535" i="1"/>
  <c r="D2189" i="1"/>
  <c r="D5277" i="1"/>
  <c r="D3455" i="1"/>
  <c r="D3009" i="1"/>
  <c r="D2598" i="1"/>
  <c r="D4672" i="1"/>
  <c r="D3226" i="1"/>
  <c r="D2935" i="1"/>
  <c r="D3364" i="1"/>
  <c r="D1902" i="1"/>
  <c r="D3304" i="1"/>
  <c r="D714" i="1"/>
  <c r="D3128" i="1"/>
  <c r="D3022" i="1"/>
  <c r="D4186" i="1"/>
  <c r="D3115" i="1"/>
  <c r="D2475" i="1"/>
  <c r="D1950" i="1"/>
  <c r="D2848" i="1"/>
  <c r="D2150" i="1"/>
  <c r="D3789" i="1"/>
  <c r="D3092" i="1"/>
  <c r="D3742" i="1"/>
  <c r="D3549" i="1"/>
  <c r="D2165" i="1"/>
  <c r="D3870" i="1"/>
  <c r="D3752" i="1"/>
  <c r="D4021" i="1"/>
  <c r="D3932" i="1"/>
  <c r="D2123" i="1"/>
  <c r="D426" i="1"/>
  <c r="D3712" i="1"/>
  <c r="D2016" i="1"/>
  <c r="D2305" i="1"/>
  <c r="D212" i="1"/>
  <c r="D2634" i="1"/>
  <c r="D1146" i="1"/>
  <c r="D1618" i="1"/>
  <c r="D4129" i="1"/>
  <c r="D2359" i="1"/>
  <c r="D1475" i="1"/>
  <c r="D2241" i="1"/>
  <c r="D1619" i="1"/>
  <c r="D365" i="1"/>
  <c r="D3562" i="1"/>
  <c r="D2591" i="1"/>
  <c r="D1230" i="1"/>
  <c r="D3312" i="1"/>
  <c r="D79" i="1"/>
  <c r="D763" i="1"/>
  <c r="D769" i="1"/>
  <c r="D1637" i="1"/>
  <c r="D4526" i="1"/>
  <c r="D2539" i="1"/>
  <c r="D3464" i="1"/>
  <c r="D3866" i="1"/>
  <c r="D4558" i="1"/>
  <c r="D3302" i="1"/>
  <c r="D3855" i="1"/>
  <c r="D2975" i="1"/>
  <c r="D4715" i="1"/>
  <c r="D3992" i="1"/>
  <c r="D786" i="1"/>
  <c r="D181" i="1"/>
  <c r="D121" i="1"/>
  <c r="D2611" i="1"/>
  <c r="D2771" i="1"/>
  <c r="D1193" i="1"/>
  <c r="D746" i="1"/>
  <c r="D2375" i="1"/>
  <c r="D525" i="1"/>
  <c r="D1563" i="1"/>
  <c r="D2363" i="1"/>
  <c r="D1761" i="1"/>
  <c r="D2821" i="1"/>
  <c r="D1026" i="1"/>
  <c r="D542" i="1"/>
  <c r="D1750" i="1"/>
  <c r="D3193" i="1"/>
  <c r="D977" i="1"/>
  <c r="D4826" i="1"/>
  <c r="D2197" i="1"/>
  <c r="D2110" i="1"/>
  <c r="D1659" i="1"/>
  <c r="D1513" i="1"/>
  <c r="D2504" i="1"/>
  <c r="D643" i="1"/>
  <c r="D2326" i="1"/>
  <c r="D818" i="1"/>
  <c r="D125" i="1"/>
  <c r="D924" i="1"/>
  <c r="D952" i="1"/>
  <c r="D1870" i="1"/>
  <c r="D2533" i="1"/>
  <c r="D1480" i="1"/>
  <c r="D3561" i="1"/>
  <c r="D2094" i="1"/>
  <c r="D3190" i="1"/>
  <c r="D603" i="1"/>
  <c r="D2547" i="1"/>
  <c r="D1934" i="1"/>
  <c r="D2484" i="1"/>
  <c r="D3260" i="1"/>
  <c r="D1104" i="1"/>
  <c r="D527" i="1"/>
  <c r="D1792" i="1"/>
  <c r="D2577" i="1"/>
  <c r="D1198" i="1"/>
  <c r="D477" i="1"/>
  <c r="D1575" i="1"/>
  <c r="D1181" i="1"/>
  <c r="D3184" i="1"/>
  <c r="D2372" i="1"/>
  <c r="D1993" i="1"/>
  <c r="D3441" i="1"/>
  <c r="D17" i="1"/>
  <c r="D3362" i="1"/>
  <c r="D3295" i="1"/>
  <c r="D661" i="1"/>
  <c r="D3506" i="1"/>
  <c r="D3922" i="1"/>
  <c r="D764" i="1"/>
  <c r="D1347" i="1"/>
  <c r="D703" i="1"/>
  <c r="D198" i="1"/>
  <c r="D1196" i="1"/>
  <c r="D1682" i="1"/>
  <c r="D3236" i="1"/>
  <c r="D1551" i="1"/>
  <c r="D321" i="1"/>
  <c r="D2066" i="1"/>
  <c r="D1308" i="1"/>
  <c r="D480" i="1"/>
  <c r="D1592" i="1"/>
  <c r="D1428" i="1"/>
  <c r="D422" i="1"/>
  <c r="D854" i="1"/>
  <c r="D1759" i="1"/>
  <c r="D1831" i="1"/>
  <c r="D1284" i="1"/>
  <c r="D1974" i="1"/>
  <c r="D1281" i="1"/>
  <c r="D2419" i="1"/>
  <c r="D1738" i="1"/>
  <c r="D1064" i="1"/>
  <c r="D2395" i="1"/>
  <c r="D1774" i="1"/>
  <c r="D1343" i="1"/>
  <c r="D299" i="1"/>
  <c r="D7" i="1"/>
  <c r="D1751" i="1"/>
  <c r="D2145" i="1"/>
  <c r="D2590" i="1"/>
  <c r="D599" i="1"/>
  <c r="D2566" i="1"/>
  <c r="D128" i="1"/>
  <c r="D1368" i="1"/>
  <c r="D1807" i="1"/>
  <c r="D107" i="1"/>
  <c r="D2624" i="1"/>
  <c r="D1150" i="1"/>
  <c r="D658" i="1"/>
  <c r="D727" i="1"/>
  <c r="D1395" i="1"/>
  <c r="D594" i="1"/>
  <c r="D427" i="1"/>
  <c r="D1765" i="1"/>
  <c r="D571" i="1"/>
  <c r="D73" i="1"/>
  <c r="D1334" i="1"/>
  <c r="D1264" i="1"/>
  <c r="D278" i="1"/>
  <c r="D1069" i="1"/>
  <c r="D1505" i="1"/>
  <c r="D2019" i="1"/>
  <c r="D1695" i="1"/>
  <c r="D1404" i="1"/>
  <c r="D317" i="1"/>
  <c r="D1525" i="1"/>
  <c r="D1260" i="1"/>
  <c r="D5157" i="1"/>
  <c r="D5006" i="1"/>
  <c r="D4136" i="1"/>
  <c r="D4128" i="1"/>
  <c r="D3875" i="1"/>
  <c r="D4727" i="1"/>
  <c r="D4802" i="1"/>
  <c r="D990" i="1"/>
  <c r="D2831" i="1"/>
  <c r="D2083" i="1"/>
  <c r="D2670" i="1"/>
  <c r="D1082" i="1"/>
  <c r="D605" i="1"/>
  <c r="D2072" i="1"/>
  <c r="D933" i="1"/>
  <c r="D767" i="1"/>
  <c r="D835" i="1"/>
  <c r="D810" i="1"/>
  <c r="D88" i="1"/>
  <c r="D2137" i="1"/>
  <c r="D1484" i="1"/>
  <c r="D2659" i="1"/>
  <c r="D1318" i="1"/>
  <c r="D3705" i="1"/>
  <c r="D1387" i="1"/>
  <c r="D1587" i="1"/>
  <c r="D2398" i="1"/>
  <c r="D1221" i="1"/>
  <c r="D271" i="1"/>
  <c r="D3482" i="1"/>
  <c r="D1294" i="1"/>
  <c r="D1101" i="1"/>
  <c r="D762" i="1"/>
  <c r="D1169" i="1"/>
  <c r="D715" i="1"/>
  <c r="D1113" i="1"/>
  <c r="D1263" i="1"/>
  <c r="D710" i="1"/>
  <c r="D304" i="1"/>
  <c r="D802" i="1"/>
  <c r="D3777" i="1"/>
  <c r="D975" i="1"/>
  <c r="D3346" i="1"/>
  <c r="D2107" i="1"/>
  <c r="D24" i="1"/>
  <c r="D2122" i="1"/>
  <c r="D2469" i="1"/>
  <c r="D784" i="1"/>
  <c r="D2436" i="1"/>
  <c r="D2605" i="1"/>
  <c r="D2315" i="1"/>
  <c r="D1752" i="1"/>
  <c r="D2160" i="1"/>
  <c r="D522" i="1"/>
  <c r="D3529" i="1"/>
  <c r="D1342" i="1"/>
  <c r="D153" i="1"/>
  <c r="D1547" i="1"/>
  <c r="D2485" i="1"/>
  <c r="D2233" i="1"/>
  <c r="D4093" i="1"/>
  <c r="D2102" i="1"/>
  <c r="D1407" i="1"/>
  <c r="D285" i="1"/>
  <c r="D1033" i="1"/>
  <c r="D14" i="1"/>
  <c r="D2707" i="1"/>
  <c r="D421" i="1"/>
  <c r="D711" i="1"/>
  <c r="D2963" i="1"/>
  <c r="D1311" i="1"/>
  <c r="D1944" i="1"/>
  <c r="D2565" i="1"/>
  <c r="D1326" i="1"/>
  <c r="D2182" i="1"/>
  <c r="D346" i="1"/>
  <c r="D2927" i="1"/>
  <c r="D1041" i="1"/>
  <c r="D499" i="1"/>
  <c r="D688" i="1"/>
  <c r="D1147" i="1"/>
  <c r="D92" i="1"/>
  <c r="D2431" i="1"/>
  <c r="D946" i="1"/>
  <c r="D2157" i="1"/>
  <c r="D440" i="1"/>
  <c r="D826" i="1"/>
  <c r="D2665" i="1"/>
  <c r="D741" i="1"/>
  <c r="D168" i="1"/>
  <c r="D951" i="1"/>
  <c r="D2181" i="1"/>
  <c r="D1005" i="1"/>
  <c r="D3300" i="1"/>
  <c r="D1872" i="1"/>
  <c r="D123" i="1"/>
  <c r="D607" i="1"/>
  <c r="D656" i="1"/>
  <c r="D1251" i="1"/>
  <c r="D2148" i="1"/>
  <c r="D2936" i="1"/>
  <c r="D1965" i="1"/>
  <c r="D216" i="1"/>
  <c r="D1413" i="1"/>
  <c r="D2158" i="1"/>
  <c r="D1786" i="1"/>
  <c r="D1168" i="1"/>
  <c r="D1163" i="1"/>
  <c r="D1072" i="1"/>
  <c r="D1298" i="1"/>
  <c r="D860" i="1"/>
  <c r="D1527" i="1"/>
  <c r="D2087" i="1"/>
  <c r="D266" i="1"/>
  <c r="D1143" i="1"/>
  <c r="D839" i="1"/>
  <c r="D1839" i="1"/>
  <c r="D2498" i="1"/>
  <c r="D745" i="1"/>
  <c r="D1295" i="1"/>
  <c r="D1808" i="1"/>
  <c r="D1232" i="1"/>
  <c r="D4611" i="1"/>
  <c r="D3059" i="1"/>
  <c r="D2834" i="1"/>
  <c r="D4395" i="1"/>
  <c r="D3495" i="1"/>
  <c r="D1703" i="1"/>
  <c r="D3405" i="1"/>
  <c r="D2652" i="1"/>
  <c r="D1494" i="1"/>
  <c r="D2169" i="1"/>
  <c r="D4067" i="1"/>
  <c r="D318" i="1"/>
  <c r="D1740" i="1"/>
  <c r="D1377" i="1"/>
  <c r="D1862" i="1"/>
  <c r="D277" i="1"/>
  <c r="D2206" i="1"/>
  <c r="D779" i="1"/>
  <c r="D976" i="1"/>
  <c r="D1782" i="1"/>
  <c r="D1003" i="1"/>
  <c r="D1307" i="1"/>
  <c r="D1645" i="1"/>
  <c r="D2335" i="1"/>
  <c r="D2607" i="1"/>
  <c r="D1186" i="1"/>
  <c r="D1231" i="1"/>
  <c r="D248" i="1"/>
  <c r="D3488" i="1"/>
  <c r="D1802" i="1"/>
  <c r="D1371" i="1"/>
  <c r="D2673" i="1"/>
  <c r="D473" i="1"/>
  <c r="D93" i="1"/>
  <c r="D2459" i="1"/>
  <c r="D1925" i="1"/>
  <c r="D1599" i="1"/>
  <c r="D3021" i="1"/>
  <c r="D1895" i="1"/>
  <c r="D3548" i="1"/>
  <c r="D184" i="1"/>
  <c r="D1871" i="1"/>
  <c r="D2573" i="1"/>
  <c r="D364" i="1"/>
  <c r="D1157" i="1"/>
  <c r="D3572" i="1"/>
  <c r="D2841" i="1"/>
  <c r="D1907" i="1"/>
  <c r="D1161" i="1"/>
  <c r="D1370" i="1"/>
  <c r="D110" i="1"/>
  <c r="D702" i="1"/>
  <c r="D1691" i="1"/>
  <c r="D41" i="1"/>
  <c r="D77" i="1"/>
  <c r="D2172" i="1"/>
  <c r="D1039" i="1"/>
  <c r="D428" i="1"/>
  <c r="D1933" i="1"/>
  <c r="D262" i="1"/>
  <c r="D175" i="1"/>
  <c r="D752" i="1"/>
  <c r="D696" i="1"/>
  <c r="D583" i="1"/>
  <c r="D3103" i="1"/>
  <c r="D2054" i="1"/>
  <c r="D1361" i="1"/>
  <c r="D2502" i="1"/>
  <c r="D1689" i="1"/>
  <c r="D1644" i="1"/>
  <c r="D1257" i="1"/>
  <c r="D4379" i="1"/>
  <c r="D2795" i="1"/>
  <c r="D3492" i="1"/>
  <c r="D3564" i="1"/>
  <c r="D2807" i="1"/>
  <c r="D3194" i="1"/>
  <c r="D3427" i="1"/>
  <c r="D2324" i="1"/>
  <c r="D2679" i="1"/>
  <c r="D1391" i="1"/>
  <c r="D3112" i="1"/>
  <c r="D2209" i="1"/>
  <c r="D40" i="1"/>
  <c r="D1227" i="1"/>
  <c r="D516" i="1"/>
  <c r="D2105" i="1"/>
  <c r="D627" i="1"/>
  <c r="D2666" i="1"/>
  <c r="D1658" i="1"/>
  <c r="D1610" i="1"/>
  <c r="D1747" i="1"/>
  <c r="D2362" i="1"/>
  <c r="D3576" i="1"/>
  <c r="D2143" i="1"/>
  <c r="D1285" i="1"/>
  <c r="D1894" i="1"/>
  <c r="D505" i="1"/>
  <c r="D2014" i="1"/>
  <c r="D3182" i="1"/>
  <c r="D3334" i="1"/>
  <c r="D2361" i="1"/>
  <c r="D2204" i="1"/>
  <c r="D1932" i="1"/>
  <c r="D814" i="1"/>
  <c r="D1657" i="1"/>
  <c r="D1935" i="1"/>
  <c r="D1233" i="1"/>
  <c r="D1769" i="1"/>
  <c r="D2425" i="1"/>
  <c r="D2528" i="1"/>
  <c r="D2232" i="1"/>
  <c r="D302" i="1"/>
  <c r="D1778" i="1"/>
  <c r="D1606" i="1"/>
  <c r="D1623" i="1"/>
  <c r="D760" i="1"/>
  <c r="D1957" i="1"/>
  <c r="D233" i="1"/>
  <c r="D272" i="1"/>
  <c r="D2300" i="1"/>
  <c r="D1641" i="1"/>
  <c r="D1357" i="1"/>
  <c r="D801" i="1"/>
  <c r="D2023" i="1"/>
  <c r="D2384" i="1"/>
  <c r="D1393" i="1"/>
  <c r="D1195" i="1"/>
  <c r="D415" i="1"/>
  <c r="D3458" i="1"/>
  <c r="D231" i="1"/>
  <c r="D3757" i="1"/>
  <c r="D2788" i="1"/>
  <c r="D904" i="1"/>
  <c r="D8" i="1"/>
  <c r="D1044" i="1"/>
  <c r="D3127" i="1"/>
  <c r="D914" i="1"/>
  <c r="D2637" i="1"/>
  <c r="D2988" i="1"/>
  <c r="D2663" i="1"/>
  <c r="D704" i="1"/>
  <c r="D3176" i="1"/>
  <c r="D432" i="1"/>
  <c r="D1679" i="1"/>
  <c r="D3365" i="1"/>
  <c r="D898" i="1"/>
  <c r="D32" i="1"/>
  <c r="D2255" i="1"/>
  <c r="D9" i="1"/>
  <c r="D1726" i="1"/>
  <c r="D919" i="1"/>
  <c r="D733" i="1"/>
  <c r="D778" i="1"/>
  <c r="D37" i="1"/>
  <c r="D2259" i="1"/>
  <c r="D1379" i="1"/>
  <c r="D1112" i="1"/>
  <c r="D1207" i="1"/>
  <c r="D1880" i="1"/>
  <c r="D332" i="1"/>
  <c r="D1720" i="1"/>
  <c r="D2126" i="1"/>
  <c r="D2231" i="1"/>
  <c r="D1105" i="1"/>
  <c r="D783" i="1"/>
  <c r="D2174" i="1"/>
  <c r="D561" i="1"/>
  <c r="D1988" i="1"/>
  <c r="D2540" i="1"/>
  <c r="D227" i="1"/>
  <c r="D1164" i="1"/>
  <c r="D2578" i="1"/>
  <c r="D689" i="1"/>
  <c r="D288" i="1"/>
  <c r="D396" i="1"/>
  <c r="D1534" i="1"/>
  <c r="D1591" i="1"/>
  <c r="D1154" i="1"/>
  <c r="D1352" i="1"/>
  <c r="D849" i="1"/>
  <c r="D2627" i="1"/>
  <c r="D295" i="1"/>
  <c r="D394" i="1"/>
  <c r="D651" i="1"/>
  <c r="D163" i="1"/>
  <c r="D139" i="1"/>
  <c r="D3089" i="1"/>
  <c r="D4910" i="1"/>
  <c r="D2966" i="1"/>
  <c r="D906" i="1"/>
  <c r="D2997" i="1"/>
  <c r="D3079" i="1"/>
  <c r="D2595" i="1"/>
  <c r="D96" i="1"/>
  <c r="D101" i="1"/>
  <c r="D1803" i="1"/>
  <c r="D808" i="1"/>
  <c r="D403" i="1"/>
  <c r="D1049" i="1"/>
  <c r="D552" i="1"/>
  <c r="D1917" i="1"/>
  <c r="D189" i="1"/>
  <c r="D1748" i="1"/>
  <c r="D4005" i="1"/>
  <c r="D89" i="1"/>
  <c r="D112" i="1"/>
  <c r="D747" i="1"/>
  <c r="D624" i="1"/>
  <c r="D2323" i="1"/>
  <c r="D2129" i="1"/>
  <c r="D2520" i="1"/>
  <c r="D1586" i="1"/>
  <c r="D1943" i="1"/>
  <c r="D2648" i="1"/>
  <c r="D685" i="1"/>
  <c r="D1382" i="1"/>
  <c r="D1908" i="1"/>
  <c r="D2082" i="1"/>
  <c r="D109" i="1"/>
  <c r="D199" i="1"/>
  <c r="D669" i="1"/>
  <c r="D298" i="1"/>
  <c r="D1278" i="1"/>
  <c r="D264" i="1"/>
  <c r="D1055" i="1"/>
  <c r="D472" i="1"/>
  <c r="D985" i="1"/>
  <c r="D1330" i="1"/>
  <c r="D1564" i="1"/>
  <c r="D1860" i="1"/>
  <c r="D1531" i="1"/>
  <c r="D2270" i="1"/>
  <c r="D1517" i="1"/>
  <c r="D3231" i="1"/>
  <c r="D94" i="1"/>
  <c r="D138" i="1"/>
  <c r="D3949" i="1"/>
  <c r="D1968" i="1"/>
  <c r="D3494" i="1"/>
  <c r="D3160" i="1"/>
  <c r="D3861" i="1"/>
  <c r="D433" i="1"/>
  <c r="D441" i="1"/>
  <c r="D2006" i="1"/>
  <c r="D234" i="1"/>
  <c r="D3071" i="1"/>
  <c r="D2503" i="1"/>
  <c r="D2553" i="1"/>
  <c r="D3440" i="1"/>
  <c r="D410" i="1"/>
  <c r="D1392" i="1"/>
  <c r="D3505" i="1"/>
  <c r="D1646" i="1"/>
  <c r="D3927" i="1"/>
  <c r="D1304" i="1"/>
  <c r="D1214" i="1"/>
  <c r="D197" i="1"/>
  <c r="D568" i="1"/>
  <c r="D2481" i="1"/>
  <c r="D1719" i="1"/>
  <c r="D362" i="1"/>
  <c r="D2556" i="1"/>
  <c r="D1915" i="1"/>
  <c r="D1029" i="1"/>
  <c r="D297" i="1"/>
  <c r="D2433" i="1"/>
  <c r="D2027" i="1"/>
  <c r="D1219" i="1"/>
  <c r="D1474" i="1"/>
  <c r="D717" i="1"/>
  <c r="D1353" i="1"/>
  <c r="D1954" i="1"/>
  <c r="D770" i="1"/>
  <c r="D851" i="1"/>
  <c r="D615" i="1"/>
  <c r="D590" i="1"/>
  <c r="D3841" i="1"/>
  <c r="D238" i="1"/>
  <c r="D1131" i="1"/>
  <c r="D1441" i="1"/>
  <c r="D1656" i="1"/>
  <c r="D343" i="1"/>
  <c r="D719" i="1"/>
  <c r="D397" i="1"/>
  <c r="D16" i="1"/>
  <c r="D2163" i="1"/>
  <c r="D890" i="1"/>
  <c r="D2712" i="1"/>
  <c r="D328" i="1"/>
  <c r="D1775" i="1"/>
  <c r="D58" i="1"/>
  <c r="D766" i="1"/>
  <c r="D876" i="1"/>
  <c r="D1364" i="1"/>
  <c r="D2168" i="1"/>
  <c r="D962" i="1"/>
  <c r="D885" i="1"/>
  <c r="D369" i="1"/>
  <c r="D3307" i="1"/>
  <c r="D169" i="1"/>
  <c r="D2374" i="1"/>
  <c r="D2479" i="1"/>
  <c r="D1283" i="1"/>
  <c r="D331" i="1"/>
  <c r="D5308" i="1"/>
  <c r="D964" i="1"/>
  <c r="D2426" i="1"/>
  <c r="D2536" i="1"/>
  <c r="D3533" i="1"/>
  <c r="D1000" i="1"/>
  <c r="D3133" i="1"/>
  <c r="D425" i="1"/>
  <c r="D4151" i="1"/>
  <c r="D2101" i="1"/>
  <c r="D3635" i="1"/>
  <c r="D3044" i="1"/>
  <c r="D570" i="1"/>
  <c r="D1122" i="1"/>
  <c r="D1321" i="1"/>
  <c r="D1145" i="1"/>
  <c r="D2073" i="1"/>
  <c r="D3939" i="1"/>
  <c r="D2411" i="1"/>
  <c r="D269" i="1"/>
  <c r="D2294" i="1"/>
  <c r="D211" i="1"/>
  <c r="D1838" i="1"/>
  <c r="D1569" i="1"/>
  <c r="D2187" i="1"/>
  <c r="D1821" i="1"/>
  <c r="D1422" i="1"/>
  <c r="D3500" i="1"/>
  <c r="D2632" i="1"/>
  <c r="D564" i="1"/>
  <c r="D1438" i="1"/>
  <c r="D841" i="1"/>
  <c r="D1401" i="1"/>
  <c r="D1268" i="1"/>
  <c r="D13" i="1"/>
  <c r="D2311" i="1"/>
  <c r="D2301" i="1"/>
  <c r="D2965" i="1"/>
  <c r="D2494" i="1"/>
  <c r="D1346" i="1"/>
  <c r="D1859" i="1"/>
  <c r="D2263" i="1"/>
  <c r="D1462" i="1"/>
  <c r="D1708" i="1"/>
  <c r="D2579" i="1"/>
  <c r="D274" i="1"/>
  <c r="D1411" i="1"/>
  <c r="D2299" i="1"/>
  <c r="D636" i="1"/>
  <c r="D1856" i="1"/>
  <c r="D2377" i="1"/>
  <c r="D2306" i="1"/>
  <c r="D2196" i="1"/>
  <c r="D1850" i="1"/>
  <c r="D2758" i="1"/>
  <c r="D1558" i="1"/>
  <c r="D255" i="1"/>
  <c r="D1622" i="1"/>
  <c r="D2246" i="1"/>
  <c r="D664" i="1"/>
  <c r="D4076" i="1"/>
  <c r="D1743" i="1"/>
  <c r="D653" i="1"/>
  <c r="D858" i="1"/>
  <c r="D3378" i="1"/>
  <c r="D1128" i="1"/>
  <c r="D3897" i="1"/>
  <c r="D1021" i="1"/>
  <c r="D3448" i="1"/>
  <c r="D1446" i="1"/>
  <c r="D1409" i="1"/>
  <c r="D1097" i="1"/>
  <c r="D2541" i="1"/>
  <c r="D2846" i="1"/>
  <c r="D462" i="1"/>
  <c r="D1681" i="1"/>
  <c r="D1680" i="1"/>
  <c r="D899" i="1"/>
  <c r="D909" i="1"/>
  <c r="D660" i="1"/>
  <c r="D2924" i="1"/>
  <c r="D2091" i="1"/>
  <c r="D2456" i="1"/>
  <c r="D1120" i="1"/>
  <c r="D334" i="1"/>
  <c r="D1360" i="1"/>
  <c r="D682" i="1"/>
  <c r="D312" i="1"/>
  <c r="D1269" i="1"/>
  <c r="D740" i="1"/>
  <c r="D2661" i="1"/>
  <c r="D1466" i="1"/>
  <c r="D1515" i="1"/>
  <c r="D743" i="1"/>
  <c r="D2282" i="1"/>
  <c r="D103" i="1"/>
  <c r="D4080" i="1"/>
  <c r="D400" i="1"/>
  <c r="D2289" i="1"/>
  <c r="D2268" i="1"/>
  <c r="D754" i="1"/>
  <c r="D242" i="1"/>
  <c r="D2039" i="1"/>
  <c r="D1964" i="1"/>
  <c r="D97" i="1"/>
  <c r="D1810" i="1"/>
  <c r="D195" i="1"/>
  <c r="D1771" i="1"/>
  <c r="D1185" i="1"/>
  <c r="D2467" i="1"/>
  <c r="D883" i="1"/>
  <c r="D1329" i="1"/>
  <c r="D943" i="1"/>
  <c r="D282" i="1"/>
  <c r="D652" i="1"/>
  <c r="D488" i="1"/>
  <c r="D144" i="1"/>
  <c r="D4269" i="1"/>
  <c r="D4166" i="1"/>
  <c r="D2100" i="1"/>
  <c r="D3434" i="1"/>
  <c r="D3516" i="1"/>
  <c r="D2115" i="1"/>
  <c r="D868" i="1"/>
  <c r="D3189" i="1"/>
  <c r="D3493" i="1"/>
  <c r="D2940" i="1"/>
  <c r="D1349" i="1"/>
  <c r="D1050" i="1"/>
  <c r="D1369" i="1"/>
  <c r="D2367" i="1"/>
  <c r="D3585" i="1"/>
  <c r="D2449" i="1"/>
  <c r="D1717" i="1"/>
  <c r="D1472" i="1"/>
  <c r="D576" i="1"/>
  <c r="D1910" i="1"/>
  <c r="D2376" i="1"/>
  <c r="D646" i="1"/>
  <c r="D2462" i="1"/>
  <c r="D2340" i="1"/>
  <c r="D1336" i="1"/>
  <c r="D4064" i="1"/>
  <c r="D1842" i="1"/>
  <c r="D1092" i="1"/>
  <c r="D2041" i="1"/>
  <c r="D3903" i="1"/>
  <c r="D2079" i="1"/>
  <c r="D3976" i="1"/>
  <c r="D2716" i="1"/>
  <c r="D224" i="1"/>
  <c r="D1066" i="1"/>
  <c r="D833" i="1"/>
  <c r="D411" i="1"/>
  <c r="D1692" i="1"/>
  <c r="D2354" i="1"/>
  <c r="D1561" i="1"/>
  <c r="D693" i="1"/>
  <c r="D1767" i="1"/>
  <c r="D4018" i="1"/>
  <c r="D829" i="1"/>
  <c r="D1385" i="1"/>
  <c r="D2378" i="1"/>
  <c r="D1229" i="1"/>
  <c r="D970" i="1"/>
  <c r="D815" i="1"/>
  <c r="D1292" i="1"/>
  <c r="D3542" i="1"/>
  <c r="D2576" i="1"/>
  <c r="D967" i="1"/>
  <c r="D1867" i="1"/>
  <c r="D2443" i="1"/>
  <c r="D280" i="1"/>
  <c r="D43" i="1"/>
  <c r="D2521" i="1"/>
  <c r="D893" i="1"/>
  <c r="D2414" i="1"/>
  <c r="D2138" i="1"/>
  <c r="D773" i="1"/>
  <c r="D3959" i="1"/>
  <c r="D2170" i="1"/>
  <c r="D1536" i="1"/>
  <c r="D2660" i="1"/>
  <c r="D1826" i="1"/>
  <c r="D2532" i="1"/>
  <c r="D1633" i="1"/>
  <c r="D915" i="1"/>
  <c r="D1980" i="1"/>
  <c r="D213" i="1"/>
  <c r="D1873" i="1"/>
  <c r="D2695" i="1"/>
  <c r="D2655" i="1"/>
  <c r="D1628" i="1"/>
  <c r="D3202" i="1"/>
  <c r="D1376" i="1"/>
  <c r="D828" i="1"/>
  <c r="D1140" i="1"/>
  <c r="D560" i="1"/>
  <c r="D1088" i="1"/>
  <c r="D634" i="1"/>
  <c r="D644" i="1"/>
  <c r="D1714" i="1"/>
  <c r="D2492" i="1"/>
  <c r="D1335" i="1"/>
  <c r="D1305" i="1"/>
  <c r="D1772" i="1"/>
  <c r="D115" i="1"/>
  <c r="D861" i="1"/>
  <c r="D68" i="1"/>
  <c r="D2339" i="1"/>
  <c r="D631" i="1"/>
  <c r="D1940" i="1"/>
  <c r="D210" i="1"/>
  <c r="D788" i="1"/>
  <c r="D1087" i="1"/>
  <c r="D1491" i="1"/>
  <c r="D1415" i="1"/>
  <c r="D591" i="1"/>
  <c r="D2156" i="1"/>
  <c r="D737" i="1"/>
  <c r="D1078" i="1"/>
  <c r="D152" i="1"/>
  <c r="D2037" i="1"/>
  <c r="D1875" i="1"/>
  <c r="D90" i="1"/>
  <c r="D356" i="1"/>
  <c r="D87" i="1"/>
  <c r="D837" i="1"/>
  <c r="D1533" i="1"/>
  <c r="D1545" i="1"/>
  <c r="D563" i="1"/>
  <c r="D1139" i="1"/>
  <c r="D834" i="1"/>
  <c r="D526" i="1"/>
  <c r="D1246" i="1"/>
  <c r="D929" i="1"/>
  <c r="D489" i="1"/>
  <c r="D373" i="1"/>
  <c r="D33" i="1"/>
  <c r="D750" i="1"/>
  <c r="D1966" i="1"/>
  <c r="D1763" i="1"/>
  <c r="D731" i="1"/>
  <c r="D857" i="1"/>
  <c r="D4750" i="1"/>
  <c r="D1958" i="1"/>
  <c r="D3171" i="1"/>
  <c r="D1732" i="1"/>
  <c r="D1650" i="1"/>
  <c r="D2248" i="1"/>
  <c r="D2990" i="1"/>
  <c r="D2010" i="1"/>
  <c r="D4042" i="1"/>
  <c r="D124" i="1"/>
  <c r="D823" i="1"/>
  <c r="D3382" i="1"/>
  <c r="D257" i="1"/>
  <c r="D2288" i="1"/>
  <c r="D215" i="1"/>
  <c r="D3157" i="1"/>
  <c r="D1737" i="1"/>
  <c r="D2167" i="1"/>
  <c r="D1240" i="1"/>
  <c r="D3484" i="1"/>
  <c r="D3431" i="1"/>
  <c r="D3720" i="1"/>
  <c r="D2085" i="1"/>
  <c r="D159" i="1"/>
  <c r="D209" i="1"/>
  <c r="D60" i="1"/>
  <c r="D1306" i="1"/>
  <c r="D831" i="1"/>
  <c r="D2267" i="1"/>
  <c r="D503" i="1"/>
  <c r="D249" i="1"/>
  <c r="D1700" i="1"/>
  <c r="D1341" i="1"/>
  <c r="D1448" i="1"/>
  <c r="D937" i="1"/>
  <c r="D1635" i="1"/>
  <c r="D390" i="1"/>
  <c r="D3273" i="1"/>
  <c r="D3615" i="1"/>
  <c r="D519" i="1"/>
  <c r="D3599" i="1"/>
  <c r="D540" i="1"/>
  <c r="D2227" i="1"/>
  <c r="D3000" i="1"/>
  <c r="D2061" i="1"/>
  <c r="D3048" i="1"/>
  <c r="D2511" i="1"/>
  <c r="D3340" i="1"/>
  <c r="D1963" i="1"/>
  <c r="D3380" i="1"/>
  <c r="D39" i="1"/>
  <c r="D4127" i="1"/>
  <c r="D3769" i="1"/>
  <c r="D720" i="1"/>
  <c r="D1116" i="1"/>
  <c r="D596" i="1"/>
  <c r="D1085" i="1"/>
  <c r="D1434" i="1"/>
  <c r="D2608" i="1"/>
  <c r="D69" i="1"/>
  <c r="D105" i="1"/>
  <c r="D1030" i="1"/>
  <c r="D1951" i="1"/>
  <c r="D2287" i="1"/>
  <c r="D384" i="1"/>
  <c r="D1701" i="1"/>
  <c r="D942" i="1"/>
  <c r="D1857" i="1"/>
  <c r="D3399" i="1"/>
  <c r="D1538" i="1"/>
  <c r="D74" i="1"/>
  <c r="D1735" i="1"/>
  <c r="D465" i="1"/>
  <c r="D903" i="1"/>
  <c r="D3728" i="1"/>
  <c r="D1218" i="1"/>
  <c r="D2365" i="1"/>
  <c r="D657" i="1"/>
  <c r="D2534" i="1"/>
  <c r="D273" i="1"/>
  <c r="D895" i="1"/>
  <c r="D887" i="1"/>
  <c r="D3788" i="1"/>
  <c r="D877" i="1"/>
  <c r="D2519" i="1"/>
  <c r="D2193" i="1"/>
  <c r="D692" i="1"/>
  <c r="D1032" i="1"/>
  <c r="D2505" i="1"/>
  <c r="D178" i="1"/>
  <c r="D587" i="1"/>
  <c r="D901" i="1"/>
  <c r="D535" i="1"/>
  <c r="D1882" i="1"/>
  <c r="D263" i="1"/>
  <c r="D679" i="1"/>
  <c r="D19" i="1"/>
  <c r="D998" i="1"/>
  <c r="D360" i="1"/>
  <c r="D439" i="1"/>
  <c r="D1611" i="1"/>
  <c r="D3993" i="1"/>
  <c r="D352" i="1"/>
  <c r="D447" i="1"/>
  <c r="D794" i="1"/>
  <c r="D800" i="1"/>
  <c r="D2258" i="1"/>
  <c r="D2002" i="1"/>
  <c r="D986" i="1"/>
  <c r="D5065" i="1"/>
  <c r="D2984" i="1"/>
  <c r="D1202" i="1"/>
  <c r="D2141" i="1"/>
  <c r="D2213" i="1"/>
  <c r="D3948" i="1"/>
  <c r="D1788" i="1"/>
  <c r="D10" i="1"/>
  <c r="D3285" i="1"/>
  <c r="D1555" i="1"/>
  <c r="D47" i="1"/>
  <c r="D3063" i="1"/>
  <c r="D296" i="1"/>
  <c r="D521" i="1"/>
  <c r="D3502" i="1"/>
  <c r="D2084" i="1"/>
  <c r="D819" i="1"/>
  <c r="D2980" i="1"/>
  <c r="D376" i="1"/>
  <c r="D982" i="1"/>
  <c r="D1938" i="1"/>
  <c r="D3400" i="1"/>
  <c r="D324" i="1"/>
  <c r="D2325" i="1"/>
  <c r="D1694" i="1"/>
  <c r="D1832" i="1"/>
  <c r="D2296" i="1"/>
  <c r="D3016" i="1"/>
  <c r="D2074" i="1"/>
  <c r="D2516" i="1"/>
  <c r="D219" i="1"/>
  <c r="D2472" i="1"/>
  <c r="D2744" i="1"/>
  <c r="D608" i="1"/>
  <c r="D290" i="1"/>
  <c r="D237" i="1"/>
  <c r="D1936" i="1"/>
  <c r="D1389" i="1"/>
  <c r="D2551" i="1"/>
  <c r="D3609" i="1"/>
  <c r="D354" i="1"/>
  <c r="D1237" i="1"/>
  <c r="D3068" i="1"/>
  <c r="D700" i="1"/>
  <c r="D1501" i="1"/>
  <c r="D4095" i="1"/>
  <c r="D412" i="1"/>
  <c r="D1172" i="1"/>
  <c r="D1504" i="1"/>
  <c r="D353" i="1"/>
  <c r="D2500" i="1"/>
  <c r="D1170" i="1"/>
  <c r="D2664" i="1"/>
  <c r="D825" i="1"/>
  <c r="D2509" i="1"/>
  <c r="D2026" i="1"/>
  <c r="D510" i="1"/>
  <c r="D1115" i="1"/>
  <c r="D2750" i="1"/>
  <c r="D3681" i="1"/>
  <c r="D3768" i="1"/>
  <c r="D5128" i="1"/>
  <c r="D3383" i="1"/>
  <c r="D2280" i="1"/>
  <c r="D4188" i="1"/>
  <c r="D1887" i="1"/>
  <c r="D2726" i="1"/>
  <c r="D2755" i="1"/>
  <c r="D3179" i="1"/>
  <c r="D2131" i="1"/>
  <c r="D3361" i="1"/>
  <c r="D1783" i="1"/>
  <c r="D2120" i="1"/>
  <c r="D3741" i="1"/>
  <c r="D1234" i="1"/>
  <c r="D1712" i="1"/>
  <c r="D2650" i="1"/>
  <c r="D1482" i="1"/>
  <c r="D3212" i="1"/>
  <c r="D3646" i="1"/>
  <c r="D1967" i="1"/>
  <c r="D49" i="1"/>
  <c r="D4059" i="1"/>
  <c r="D1991" i="1"/>
  <c r="D2347" i="1"/>
  <c r="D1671" i="1"/>
  <c r="D2860" i="1"/>
  <c r="D1557" i="1"/>
  <c r="D2077" i="1"/>
  <c r="D71" i="1"/>
  <c r="D1325" i="1"/>
  <c r="D1423" i="1"/>
  <c r="D1435" i="1"/>
  <c r="D207" i="1"/>
  <c r="D1275" i="1"/>
  <c r="D1086" i="1"/>
  <c r="D1929" i="1"/>
  <c r="D791" i="1"/>
  <c r="D1057" i="1"/>
  <c r="D3723" i="1"/>
  <c r="D1643" i="1"/>
  <c r="D723" i="1"/>
  <c r="D2249" i="1"/>
  <c r="D1711" i="1"/>
  <c r="D1868" i="1"/>
  <c r="D2799" i="1"/>
  <c r="D1997" i="1"/>
  <c r="D523" i="1"/>
  <c r="D2242" i="1"/>
  <c r="D2823" i="1"/>
  <c r="D1897" i="1"/>
  <c r="D2835" i="1"/>
  <c r="D2902" i="1"/>
  <c r="D2747" i="1"/>
  <c r="D443" i="1"/>
  <c r="D2152" i="1"/>
  <c r="D846" i="1"/>
  <c r="D625" i="1"/>
  <c r="D2697" i="1"/>
  <c r="D1921" i="1"/>
  <c r="D2050" i="1"/>
  <c r="D2442" i="1"/>
  <c r="D1653" i="1"/>
  <c r="D3622" i="1"/>
  <c r="D3756" i="1"/>
  <c r="D323" i="1"/>
  <c r="D182" i="1"/>
  <c r="D258" i="1"/>
  <c r="D3415" i="1"/>
  <c r="D2349" i="1"/>
  <c r="D3145" i="1"/>
  <c r="D1242" i="1"/>
  <c r="D2216" i="1"/>
  <c r="D3237" i="1"/>
  <c r="D963" i="1"/>
  <c r="D1024" i="1"/>
  <c r="D498" i="1"/>
  <c r="D2337" i="1"/>
  <c r="D1580" i="1"/>
  <c r="D300" i="1"/>
  <c r="D792" i="1"/>
  <c r="D1135" i="1"/>
  <c r="D31" i="1"/>
  <c r="D2364" i="1"/>
  <c r="D1093" i="1"/>
  <c r="D2385" i="1"/>
  <c r="D1627" i="1"/>
  <c r="D1999" i="1"/>
  <c r="D2240" i="1"/>
  <c r="D1259" i="1"/>
  <c r="D601" i="1"/>
  <c r="D2015" i="1"/>
  <c r="D1151" i="1"/>
  <c r="D2809" i="1"/>
  <c r="D319" i="1"/>
  <c r="D1442" i="1"/>
  <c r="D1570" i="1"/>
  <c r="D1286" i="1"/>
  <c r="D930" i="1"/>
  <c r="D1485" i="1"/>
  <c r="D1363" i="1"/>
  <c r="D2615" i="1"/>
  <c r="D2229" i="1"/>
  <c r="D2530" i="1"/>
  <c r="D1319" i="1"/>
  <c r="D1498" i="1"/>
  <c r="D1076" i="1"/>
  <c r="D132" i="1"/>
  <c r="D1125" i="1"/>
  <c r="D716" i="1"/>
  <c r="D648" i="1"/>
  <c r="D3468" i="1"/>
  <c r="D327" i="1"/>
  <c r="D2839" i="1"/>
  <c r="D131" i="1"/>
  <c r="D556" i="1"/>
  <c r="D1861" i="1"/>
  <c r="D260" i="1"/>
  <c r="D251" i="1"/>
  <c r="D436" i="1"/>
  <c r="D2761" i="1"/>
  <c r="D4544" i="1"/>
  <c r="D626" i="1"/>
  <c r="D2748" i="1"/>
  <c r="D4601" i="1"/>
  <c r="D1012" i="1"/>
  <c r="D1661" i="1"/>
  <c r="D3670" i="1"/>
  <c r="D2437" i="1"/>
  <c r="D2017" i="1"/>
  <c r="D1248" i="1"/>
  <c r="D166" i="1"/>
  <c r="D3588" i="1"/>
  <c r="D1706" i="1"/>
  <c r="D2060" i="1"/>
  <c r="D135" i="1"/>
  <c r="D732" i="1"/>
  <c r="D36" i="1"/>
  <c r="D2642" i="1"/>
  <c r="D2265" i="1"/>
  <c r="D1095" i="1"/>
  <c r="D1652" i="1"/>
  <c r="D832" i="1"/>
  <c r="D2201" i="1"/>
  <c r="D171" i="1"/>
  <c r="D1730" i="1"/>
  <c r="D881" i="1"/>
  <c r="D1296" i="1"/>
  <c r="D1386" i="1"/>
  <c r="D4082" i="1"/>
  <c r="D2207" i="1"/>
  <c r="D2040" i="1"/>
  <c r="D2589" i="1"/>
  <c r="D2025" i="1"/>
  <c r="D2221" i="1"/>
  <c r="D2000" i="1"/>
  <c r="D1071" i="1"/>
  <c r="D1835" i="1"/>
  <c r="D2121" i="1"/>
  <c r="D1956" i="1"/>
  <c r="D827" i="1"/>
  <c r="D2482" i="1"/>
  <c r="D2383" i="1"/>
  <c r="D308" i="1"/>
  <c r="D816" i="1"/>
  <c r="D142" i="1"/>
  <c r="D276" i="1"/>
  <c r="D1825" i="1"/>
  <c r="D654" i="1"/>
  <c r="D2752" i="1"/>
  <c r="D3131" i="1"/>
  <c r="D2059" i="1"/>
  <c r="D1223" i="1"/>
  <c r="D3800" i="1"/>
  <c r="D177" i="1"/>
  <c r="D579" i="1"/>
  <c r="D2794" i="1"/>
  <c r="D3014" i="1"/>
  <c r="D994" i="1"/>
  <c r="D2440" i="1"/>
  <c r="D623" i="1"/>
  <c r="D42" i="1"/>
  <c r="D771" i="1"/>
  <c r="D1470" i="1"/>
  <c r="D1366" i="1"/>
  <c r="D1443" i="1"/>
  <c r="D3826" i="1"/>
  <c r="D809" i="1"/>
  <c r="D1177" i="1"/>
  <c r="D1427" i="1"/>
  <c r="D1554" i="1"/>
  <c r="D4625" i="1"/>
  <c r="D3204" i="1"/>
  <c r="D3453" i="1"/>
  <c r="D3170" i="1"/>
  <c r="D100" i="1"/>
  <c r="D2032" i="1"/>
  <c r="D3308" i="1"/>
  <c r="D4154" i="1"/>
  <c r="D1858" i="1"/>
  <c r="D1854" i="1"/>
  <c r="D2390" i="1"/>
  <c r="D935" i="1"/>
  <c r="D314" i="1"/>
  <c r="D1174" i="1"/>
  <c r="D95" i="1"/>
  <c r="D2471" i="1"/>
  <c r="D3271" i="1"/>
  <c r="D1067" i="1"/>
  <c r="D1843" i="1"/>
  <c r="D2215" i="1"/>
  <c r="D3648" i="1"/>
  <c r="D550" i="1"/>
  <c r="D1203" i="1"/>
  <c r="D3791" i="1"/>
  <c r="D2458" i="1"/>
  <c r="D874" i="1"/>
  <c r="D1787" i="1"/>
  <c r="D2136" i="1"/>
  <c r="D442" i="1"/>
  <c r="D2205" i="1"/>
  <c r="D1939" i="1"/>
  <c r="D3853" i="1"/>
  <c r="D458" i="1"/>
  <c r="D2545" i="1"/>
  <c r="D1216" i="1"/>
  <c r="D4176" i="1"/>
  <c r="D1955" i="1"/>
  <c r="D1597" i="1"/>
  <c r="D2293" i="1"/>
  <c r="D3478" i="1"/>
  <c r="D1424" i="1"/>
  <c r="D803" i="1"/>
  <c r="D1814" i="1"/>
  <c r="D1189" i="1"/>
  <c r="D2432" i="1"/>
  <c r="D1518" i="1"/>
  <c r="D2254" i="1"/>
  <c r="D1795" i="1"/>
  <c r="D543" i="1"/>
  <c r="D562" i="1"/>
  <c r="D2517" i="1"/>
  <c r="D367" i="1"/>
  <c r="D1123" i="1"/>
  <c r="D28" i="1"/>
  <c r="D573" i="1"/>
  <c r="D357" i="1"/>
  <c r="D1217" i="1"/>
  <c r="D1642" i="1"/>
  <c r="D173" i="1"/>
  <c r="D580" i="1"/>
  <c r="D133" i="1"/>
  <c r="D1781" i="1"/>
  <c r="D2125" i="1"/>
  <c r="D3322" i="1"/>
  <c r="D468" i="1"/>
  <c r="D2089" i="1"/>
  <c r="D3350" i="1"/>
  <c r="D2184" i="1"/>
  <c r="D239" i="1"/>
  <c r="D1834" i="1"/>
  <c r="D896" i="1"/>
  <c r="D375" i="1"/>
  <c r="D2932" i="1"/>
  <c r="D2228" i="1"/>
  <c r="D2235" i="1"/>
  <c r="D1199" i="1"/>
  <c r="D1051" i="1"/>
  <c r="D495" i="1"/>
  <c r="D639" i="1"/>
  <c r="D194" i="1"/>
  <c r="D202" i="1"/>
  <c r="D113" i="1"/>
  <c r="D1916" i="1"/>
  <c r="D61" i="1"/>
  <c r="D275" i="1"/>
  <c r="D1020" i="1"/>
  <c r="D1016" i="1"/>
  <c r="D2428" i="1"/>
  <c r="D1544" i="1"/>
  <c r="D1412" i="1"/>
  <c r="D48" i="1"/>
  <c r="D1945" i="1"/>
  <c r="D1094" i="1"/>
  <c r="D114" i="1"/>
  <c r="D268" i="1"/>
  <c r="D1107" i="1"/>
  <c r="D871" i="1"/>
  <c r="D1162" i="1"/>
  <c r="D1461" i="1"/>
  <c r="D824" i="1"/>
  <c r="D25" i="1"/>
  <c r="D1365" i="1"/>
  <c r="D1595" i="1"/>
  <c r="D1511" i="1"/>
  <c r="D1405" i="1"/>
  <c r="D1210" i="1"/>
  <c r="D1426" i="1"/>
  <c r="D1510" i="1"/>
  <c r="D190" i="1"/>
  <c r="D2047" i="1"/>
  <c r="D386" i="1"/>
  <c r="D1367" i="1"/>
  <c r="D2987" i="1"/>
  <c r="D2732" i="1"/>
  <c r="D2811" i="1"/>
  <c r="D2880" i="1"/>
  <c r="D2884" i="1"/>
  <c r="D678" i="1"/>
  <c r="D3675" i="1"/>
  <c r="D3224" i="1"/>
  <c r="D3652" i="1"/>
  <c r="D2135" i="1"/>
  <c r="D1631" i="1"/>
  <c r="D1664" i="1"/>
  <c r="D1609" i="1"/>
  <c r="D3459" i="1"/>
  <c r="D1596" i="1"/>
  <c r="D1848" i="1"/>
  <c r="D143" i="1"/>
  <c r="D4372" i="1"/>
  <c r="D191" i="1"/>
  <c r="D3938" i="1"/>
  <c r="D1994" i="1"/>
  <c r="D3075" i="1"/>
  <c r="D2450" i="1"/>
  <c r="D1031" i="1"/>
  <c r="D2086" i="1"/>
  <c r="D4102" i="1"/>
  <c r="D464" i="1"/>
  <c r="D1129" i="1"/>
  <c r="D4454" i="1"/>
  <c r="D474" i="1"/>
  <c r="D2434" i="1"/>
  <c r="D3046" i="1"/>
  <c r="D647" i="1"/>
  <c r="D956" i="1"/>
  <c r="D141" i="1"/>
  <c r="D407" i="1"/>
  <c r="D1904" i="1"/>
  <c r="D972" i="1"/>
  <c r="D1440" i="1"/>
  <c r="D4056" i="1"/>
  <c r="D363" i="1"/>
  <c r="D1509" i="1"/>
  <c r="D2567" i="1"/>
  <c r="D2968" i="1"/>
  <c r="D5151" i="1"/>
  <c r="D2667" i="1"/>
  <c r="D2344" i="1"/>
  <c r="D1605" i="1"/>
  <c r="D371" i="1"/>
  <c r="D947" i="1"/>
  <c r="D1670" i="1"/>
  <c r="D546" i="1"/>
  <c r="D1282" i="1"/>
  <c r="D1629" i="1"/>
  <c r="D1267" i="1"/>
  <c r="D2253" i="1"/>
  <c r="D2314" i="1"/>
  <c r="D2599" i="1"/>
  <c r="D511" i="1"/>
  <c r="D1121" i="1"/>
  <c r="D1460" i="1"/>
  <c r="D1713" i="1"/>
  <c r="D1654" i="1"/>
  <c r="D507" i="1"/>
  <c r="D1996" i="1"/>
  <c r="D493" i="1"/>
  <c r="D1625" i="1"/>
  <c r="D1043" i="1"/>
  <c r="D183" i="1"/>
  <c r="D1727" i="1"/>
  <c r="D558" i="1"/>
  <c r="D50" i="1"/>
  <c r="D1704" i="1"/>
  <c r="D592" i="1"/>
  <c r="D870" i="1"/>
  <c r="D4141" i="1"/>
  <c r="D1687" i="1"/>
  <c r="D1155" i="1"/>
  <c r="D578" i="1"/>
  <c r="D1225" i="1"/>
  <c r="D1068" i="1"/>
  <c r="D1017" i="1"/>
  <c r="D2051" i="1"/>
  <c r="D463" i="1"/>
  <c r="D235" i="1"/>
  <c r="D620" i="1"/>
  <c r="D1905" i="1"/>
  <c r="D382" i="1"/>
  <c r="D1287" i="1"/>
  <c r="D697" i="1"/>
  <c r="D907" i="1"/>
  <c r="D2397" i="1"/>
  <c r="D1303" i="1"/>
  <c r="D843" i="1"/>
  <c r="D2161" i="1"/>
  <c r="D2422" i="1"/>
  <c r="D813" i="1"/>
  <c r="D765" i="1"/>
  <c r="D2468" i="1"/>
  <c r="D1063" i="1"/>
  <c r="D1760" i="1"/>
  <c r="D401" i="1"/>
  <c r="D3957" i="1"/>
  <c r="D3281" i="1"/>
  <c r="D2581" i="1"/>
  <c r="D3824" i="1"/>
  <c r="D3975" i="1"/>
  <c r="D2272" i="1"/>
  <c r="D3815" i="1"/>
  <c r="D3485" i="1"/>
  <c r="D2688" i="1"/>
  <c r="D3603" i="1"/>
  <c r="D2007" i="1"/>
  <c r="D1194" i="1"/>
  <c r="D2078" i="1"/>
  <c r="D3217" i="1"/>
  <c r="D481" i="1"/>
  <c r="D315" i="1"/>
  <c r="D1211" i="1"/>
  <c r="D1280" i="1"/>
  <c r="D434" i="1"/>
  <c r="D3971" i="1"/>
  <c r="D254" i="1"/>
  <c r="D2418" i="1"/>
  <c r="D2510" i="1"/>
  <c r="D1010" i="1"/>
  <c r="D3216" i="1"/>
  <c r="D1900" i="1"/>
  <c r="D454" i="1"/>
  <c r="D945" i="1"/>
  <c r="D3716" i="1"/>
  <c r="D1539" i="1"/>
  <c r="D3032" i="1"/>
  <c r="D3921" i="1"/>
  <c r="D2812" i="1"/>
  <c r="D1058" i="1"/>
  <c r="D1359" i="1"/>
  <c r="D984" i="1"/>
  <c r="D2273" i="1"/>
  <c r="D2195" i="1"/>
  <c r="D136" i="1"/>
  <c r="D853" i="1"/>
  <c r="D530" i="1"/>
  <c r="D1201" i="1"/>
  <c r="D1454" i="1"/>
  <c r="D3439" i="1"/>
  <c r="D923" i="1"/>
  <c r="D1879" i="1"/>
  <c r="D1333" i="1"/>
  <c r="D2183" i="1"/>
  <c r="D1567" i="1"/>
  <c r="D712" i="1"/>
  <c r="D2582" i="1"/>
  <c r="D518" i="1"/>
  <c r="D2461" i="1"/>
  <c r="D2575" i="1"/>
  <c r="D2651" i="1"/>
  <c r="D1824" i="1"/>
  <c r="D104" i="1"/>
  <c r="D974" i="1"/>
  <c r="D3263" i="1"/>
  <c r="D908" i="1"/>
  <c r="D3779" i="1"/>
  <c r="D2430" i="1"/>
  <c r="D2654" i="1"/>
  <c r="D1036" i="1"/>
  <c r="D2626" i="1"/>
  <c r="D2171" i="1"/>
  <c r="D667" i="1"/>
  <c r="D84" i="1"/>
  <c r="D2119" i="1"/>
  <c r="D2562" i="1"/>
  <c r="D414" i="1"/>
  <c r="D1989" i="1"/>
  <c r="D1624" i="1"/>
  <c r="D4137" i="1"/>
  <c r="D2439" i="1"/>
  <c r="D2155" i="1"/>
  <c r="D1864" i="1"/>
  <c r="D852" i="1"/>
  <c r="D1451" i="1"/>
  <c r="D1478" i="1"/>
  <c r="D1479" i="1"/>
  <c r="D3856" i="1"/>
  <c r="D1332" i="1"/>
  <c r="D536" i="1"/>
  <c r="D355" i="1"/>
  <c r="D1250" i="1"/>
  <c r="D569" i="1"/>
  <c r="D46" i="1"/>
  <c r="D1197" i="1"/>
  <c r="D2403" i="1"/>
  <c r="D1990" i="1"/>
  <c r="D67" i="1"/>
  <c r="D1238" i="1"/>
  <c r="D383" i="1"/>
  <c r="D120" i="1"/>
  <c r="D1532" i="1"/>
  <c r="D416" i="1"/>
  <c r="D707" i="1"/>
  <c r="D461" i="1"/>
  <c r="D1322" i="1"/>
  <c r="D2192" i="1"/>
  <c r="D2601" i="1"/>
  <c r="D1148" i="1"/>
  <c r="D675" i="1"/>
  <c r="D1312" i="1"/>
  <c r="D2075" i="1"/>
  <c r="D2735" i="1"/>
  <c r="D999" i="1"/>
  <c r="D2672" i="1"/>
  <c r="D3278" i="1"/>
  <c r="D3143" i="1"/>
  <c r="D1829" i="1"/>
  <c r="D2855" i="1"/>
  <c r="D2713" i="1"/>
  <c r="D3472" i="1"/>
  <c r="D4161" i="1"/>
  <c r="D2962" i="1"/>
  <c r="D366" i="1"/>
  <c r="D891" i="1"/>
  <c r="D1693" i="1"/>
  <c r="D1256" i="1"/>
  <c r="D2257" i="1"/>
  <c r="D1002" i="1"/>
  <c r="D1896" i="1"/>
  <c r="D1159" i="1"/>
  <c r="D256" i="1"/>
  <c r="D1884" i="1"/>
  <c r="D2312" i="1"/>
  <c r="D966" i="1"/>
  <c r="D2423" i="1"/>
  <c r="D520" i="1"/>
  <c r="D726" i="1"/>
  <c r="D172" i="1"/>
  <c r="D666" i="1"/>
  <c r="D1496" i="1"/>
  <c r="D1982" i="1"/>
  <c r="D867" i="1"/>
  <c r="D1702" i="1"/>
  <c r="D2542" i="1"/>
  <c r="D2772" i="1"/>
  <c r="D2983" i="1"/>
  <c r="D668" i="1"/>
  <c r="D424" i="1"/>
  <c r="D1089" i="1"/>
  <c r="D2629" i="1"/>
  <c r="D3766" i="1"/>
  <c r="D486" i="1"/>
  <c r="D3611" i="1"/>
  <c r="D1668" i="1"/>
  <c r="D2558" i="1"/>
  <c r="D3908" i="1"/>
  <c r="D1568" i="1"/>
  <c r="D2544" i="1"/>
  <c r="D3123" i="1"/>
  <c r="D1338" i="1"/>
  <c r="D305" i="1"/>
  <c r="D4006" i="1"/>
  <c r="D687" i="1"/>
  <c r="D3783" i="1"/>
  <c r="D1178" i="1"/>
  <c r="D2149" i="1"/>
  <c r="D359" i="1"/>
  <c r="D2071" i="1"/>
  <c r="D836" i="1"/>
  <c r="D221" i="1"/>
  <c r="D777" i="1"/>
  <c r="D1584" i="1"/>
  <c r="D1399" i="1"/>
  <c r="D452" i="1"/>
  <c r="D673" i="1"/>
  <c r="D2531" i="1"/>
  <c r="D2592" i="1"/>
  <c r="D1362" i="1"/>
  <c r="D2594" i="1"/>
  <c r="D1114" i="1"/>
  <c r="D1813" i="1"/>
  <c r="D1514" i="1"/>
  <c r="D557" i="1"/>
  <c r="D2501" i="1"/>
  <c r="D180" i="1"/>
  <c r="D158" i="1"/>
  <c r="D4173" i="1"/>
  <c r="D1543" i="1"/>
  <c r="D515" i="1"/>
  <c r="D196" i="1"/>
  <c r="D1604" i="1"/>
  <c r="D1798" i="1"/>
  <c r="D793" i="1"/>
  <c r="D2292" i="1"/>
  <c r="D736" i="1"/>
  <c r="D161" i="1"/>
  <c r="D380" i="1"/>
  <c r="D1173" i="1"/>
  <c r="D444" i="1"/>
  <c r="D1167" i="1"/>
  <c r="D2132" i="1"/>
  <c r="D1388" i="1"/>
  <c r="D483" i="1"/>
  <c r="D1809" i="1"/>
  <c r="D840" i="1"/>
  <c r="D1801" i="1"/>
  <c r="D377" i="1"/>
  <c r="D1297" i="1"/>
  <c r="D1698" i="1"/>
  <c r="D1117" i="1"/>
  <c r="D2408" i="1"/>
  <c r="D1270" i="1"/>
  <c r="D775" i="1"/>
  <c r="D404" i="1"/>
  <c r="D1725" i="1"/>
  <c r="D500" i="1"/>
  <c r="D971" i="1"/>
  <c r="D119" i="1"/>
  <c r="D2638" i="1"/>
  <c r="D926" i="1"/>
  <c r="D1152" i="1"/>
  <c r="D1630" i="1"/>
  <c r="D1589" i="1"/>
  <c r="D2413" i="1"/>
  <c r="D1096" i="1"/>
  <c r="D2220" i="1"/>
  <c r="D3404" i="1"/>
  <c r="D1192" i="1"/>
  <c r="D306" i="1"/>
  <c r="D1447" i="1"/>
  <c r="D1471" i="1"/>
  <c r="D638" i="1"/>
  <c r="D1314" i="1"/>
  <c r="D27" i="1"/>
  <c r="D1819" i="1"/>
  <c r="D920" i="1"/>
  <c r="D1317" i="1"/>
  <c r="D671" i="1"/>
  <c r="D1784" i="1"/>
  <c r="D1224" i="1"/>
  <c r="D614" i="1"/>
  <c r="D287" i="1"/>
  <c r="D1421" i="1"/>
  <c r="D1274" i="1"/>
  <c r="D307" i="1"/>
  <c r="D1042" i="1"/>
  <c r="D409" i="1"/>
  <c r="D602" i="1"/>
  <c r="D1378" i="1"/>
  <c r="D116" i="1"/>
  <c r="D1130" i="1"/>
  <c r="D451" i="1"/>
  <c r="D574" i="1"/>
  <c r="D475" i="1"/>
  <c r="D1402" i="1"/>
  <c r="D188" i="1"/>
  <c r="D921" i="1"/>
  <c r="D1823" i="1"/>
  <c r="D875" i="1"/>
  <c r="D2111" i="1"/>
  <c r="D950" i="1"/>
  <c r="D1315" i="1"/>
  <c r="D781" i="1"/>
  <c r="D1416" i="1"/>
  <c r="D795" i="1"/>
  <c r="D1676" i="1"/>
  <c r="D995" i="1"/>
  <c r="D1512" i="1"/>
  <c r="D2402" i="1"/>
  <c r="D889" i="1"/>
  <c r="D2633" i="1"/>
  <c r="D2005" i="1"/>
  <c r="D151" i="1"/>
  <c r="D228" i="1"/>
  <c r="D855" i="1"/>
  <c r="D445" i="1"/>
  <c r="D80" i="1"/>
  <c r="D223" i="1"/>
  <c r="D541" i="1"/>
  <c r="D453" i="1"/>
  <c r="D806" i="1"/>
  <c r="D629" i="1"/>
  <c r="D1928" i="1"/>
  <c r="D1458" i="1"/>
  <c r="D2662" i="1"/>
  <c r="D1375" i="1"/>
  <c r="D619" i="1"/>
  <c r="D1429" i="1"/>
  <c r="D1124" i="1"/>
  <c r="D1209" i="1"/>
  <c r="D934" i="1"/>
  <c r="D2409" i="1"/>
  <c r="D1523" i="1"/>
  <c r="D250" i="1"/>
  <c r="D981" i="1"/>
  <c r="D1320" i="1"/>
  <c r="D64" i="1"/>
  <c r="D174" i="1"/>
  <c r="D2613" i="1"/>
  <c r="D609" i="1"/>
  <c r="D1507" i="1"/>
  <c r="D395" i="1"/>
  <c r="D1244" i="1"/>
  <c r="D1038" i="1"/>
  <c r="D1469" i="1"/>
  <c r="D405" i="1"/>
  <c r="D799" i="1"/>
  <c r="D708" i="1"/>
  <c r="D1796" i="1"/>
  <c r="D544" i="1"/>
  <c r="D261" i="1"/>
  <c r="D925" i="1"/>
  <c r="D502" i="1"/>
  <c r="D739" i="1"/>
  <c r="D419" i="1"/>
  <c r="D167" i="1"/>
  <c r="D1459" i="1"/>
  <c r="D147" i="1"/>
  <c r="D301" i="1"/>
  <c r="D2313" i="1"/>
  <c r="D1235" i="1"/>
  <c r="D548" i="1"/>
  <c r="D1927" i="1"/>
  <c r="D23" i="1"/>
  <c r="D978" i="1"/>
  <c r="D1344" i="1"/>
  <c r="D2063" i="1"/>
  <c r="D1408" i="1"/>
  <c r="D1153" i="1"/>
  <c r="D1075" i="1"/>
  <c r="D3573" i="1"/>
  <c r="D2412" i="1"/>
  <c r="D554" i="1"/>
  <c r="D2203" i="1"/>
  <c r="D1550" i="1"/>
  <c r="D3982" i="1"/>
  <c r="D888" i="1"/>
  <c r="D423" i="1"/>
  <c r="D761" i="1"/>
  <c r="D1390" i="1"/>
  <c r="D429" i="1"/>
  <c r="D504" i="1"/>
  <c r="D996" i="1"/>
  <c r="D1488" i="1"/>
  <c r="D309" i="1"/>
  <c r="D790" i="1"/>
  <c r="D496" i="1"/>
  <c r="D1579" i="1"/>
  <c r="D1639" i="1"/>
  <c r="D217" i="1"/>
  <c r="D993" i="1"/>
  <c r="D1006" i="1"/>
  <c r="D2244" i="1"/>
  <c r="D1291" i="1"/>
  <c r="D2445" i="1"/>
  <c r="D5253" i="1"/>
  <c r="D3579" i="1"/>
  <c r="D1845" i="1"/>
  <c r="D1403" i="1"/>
  <c r="D1127" i="1"/>
  <c r="D72" i="1"/>
  <c r="D1777" i="1"/>
  <c r="D134" i="1"/>
  <c r="D2052" i="1"/>
  <c r="D1249" i="1"/>
  <c r="D253" i="1"/>
  <c r="D922" i="1"/>
  <c r="D865" i="1"/>
  <c r="D1373" i="1"/>
  <c r="D1431" i="1"/>
  <c r="D2018" i="1"/>
  <c r="D1212" i="1"/>
  <c r="D611" i="1"/>
  <c r="D1175" i="1"/>
  <c r="D2012" i="1"/>
  <c r="D1228" i="1"/>
  <c r="D882" i="1"/>
  <c r="D437" i="1"/>
  <c r="D478" i="1"/>
  <c r="D1941" i="1"/>
  <c r="D938" i="1"/>
  <c r="D236" i="1"/>
  <c r="D1074" i="1"/>
  <c r="D1008" i="1"/>
  <c r="D847" i="1"/>
  <c r="D3006" i="1"/>
  <c r="D1126" i="1"/>
  <c r="D1477" i="1"/>
  <c r="D2217" i="1"/>
  <c r="D106" i="1"/>
  <c r="D165" i="1"/>
  <c r="D524" i="1"/>
  <c r="D1142" i="1"/>
  <c r="D99" i="1"/>
  <c r="D1522" i="1"/>
  <c r="D1004" i="1"/>
  <c r="D157" i="1"/>
  <c r="D214" i="1"/>
  <c r="D538" i="1"/>
  <c r="D379" i="1"/>
  <c r="D322" i="1"/>
  <c r="D1052" i="1"/>
  <c r="D3163" i="1"/>
  <c r="D1799" i="1"/>
  <c r="D4575" i="1"/>
  <c r="D81" i="1"/>
  <c r="D1073" i="1"/>
  <c r="D226" i="1"/>
  <c r="D3996" i="1"/>
  <c r="D3530" i="1"/>
  <c r="D3070" i="1"/>
  <c r="D1675" i="1"/>
  <c r="D2223" i="1"/>
  <c r="D2351" i="1"/>
  <c r="D1503" i="1"/>
  <c r="D2480" i="1"/>
  <c r="D2600" i="1"/>
  <c r="D1191" i="1"/>
  <c r="D1909" i="1"/>
  <c r="D2024" i="1"/>
  <c r="D1473" i="1"/>
  <c r="D1339" i="1"/>
  <c r="D66" i="1"/>
  <c r="D446" i="1"/>
  <c r="D1502" i="1"/>
  <c r="D1222" i="1"/>
  <c r="D1084" i="1"/>
  <c r="D751" i="1"/>
  <c r="D681" i="1"/>
  <c r="D734" i="1"/>
  <c r="D2421" i="1"/>
  <c r="D931" i="1"/>
  <c r="D358" i="1"/>
  <c r="D86" i="1"/>
  <c r="D448" i="1"/>
  <c r="D2001" i="1"/>
  <c r="D1136" i="1"/>
  <c r="D1922" i="1"/>
  <c r="D738" i="1"/>
  <c r="D2341" i="1"/>
  <c r="D1690" i="1"/>
  <c r="D1437" i="1"/>
  <c r="D2767" i="1"/>
  <c r="D2266" i="1"/>
  <c r="D345" i="1"/>
  <c r="D1028" i="1"/>
  <c r="D1022" i="1"/>
  <c r="D2373" i="1"/>
  <c r="D348" i="1"/>
  <c r="D259" i="1"/>
  <c r="D706" i="1"/>
  <c r="D753" i="1"/>
  <c r="D1663" i="1"/>
  <c r="D2022" i="1"/>
  <c r="D2316" i="1"/>
  <c r="D4113" i="1"/>
  <c r="D2099" i="1"/>
  <c r="D3036" i="1"/>
  <c r="D722" i="1"/>
  <c r="D232" i="1"/>
  <c r="D1149" i="1"/>
  <c r="D655" i="1"/>
  <c r="D1811" i="1"/>
  <c r="D1239" i="1"/>
  <c r="D205" i="1"/>
  <c r="D1487" i="1"/>
  <c r="D2179" i="1"/>
  <c r="D344" i="1"/>
  <c r="D549" i="1"/>
  <c r="D632" i="1"/>
  <c r="D958" i="1"/>
  <c r="D325" i="1"/>
  <c r="D435" i="1"/>
  <c r="D1977" i="1"/>
  <c r="D208" i="1"/>
  <c r="D368" i="1"/>
  <c r="D1236" i="1"/>
  <c r="D2587" i="1"/>
  <c r="D968" i="1"/>
  <c r="D160" i="1"/>
  <c r="D672" i="1"/>
  <c r="D749" i="1"/>
  <c r="D949" i="1"/>
  <c r="D417" i="1"/>
  <c r="D2210" i="1"/>
  <c r="D864" i="1"/>
  <c r="D330" i="1"/>
  <c r="D1118" i="1"/>
  <c r="D281" i="1"/>
  <c r="D1106" i="1"/>
  <c r="D698" i="1"/>
  <c r="D75" i="1"/>
  <c r="D2230" i="1"/>
  <c r="D201" i="1"/>
  <c r="D748" i="1"/>
  <c r="D192" i="1"/>
  <c r="D1983" i="1"/>
  <c r="D1677" i="1"/>
  <c r="D1773" i="1"/>
  <c r="D2617" i="1"/>
  <c r="D789" i="1"/>
  <c r="D1108" i="1"/>
  <c r="D618" i="1"/>
  <c r="D2515" i="1"/>
  <c r="D1355" i="1"/>
  <c r="D2612" i="1"/>
  <c r="D38" i="1"/>
  <c r="D333" i="1"/>
  <c r="D1007" i="1"/>
  <c r="D1070" i="1"/>
  <c r="D1100" i="1"/>
  <c r="D694" i="1"/>
  <c r="D812" i="1"/>
  <c r="D2062" i="1"/>
  <c r="D1380" i="1"/>
  <c r="D787" i="1"/>
  <c r="D1018" i="1"/>
  <c r="D2134" i="1"/>
  <c r="D4120" i="1"/>
  <c r="D2952" i="1"/>
  <c r="D2252" i="1"/>
  <c r="D553" i="1"/>
  <c r="D469" i="1"/>
  <c r="D122" i="1"/>
  <c r="D796" i="1"/>
  <c r="D1506" i="1"/>
  <c r="D2318" i="1"/>
  <c r="D3360" i="1"/>
  <c r="D2386" i="1"/>
  <c r="D78" i="1"/>
  <c r="D680" i="1"/>
  <c r="D1433" i="1"/>
  <c r="D721" i="1"/>
  <c r="D939" i="1"/>
  <c r="D1603" i="1"/>
  <c r="D983" i="1"/>
  <c r="D18" i="1"/>
  <c r="D695" i="1"/>
  <c r="D267" i="1"/>
  <c r="D897" i="1"/>
  <c r="D1520" i="1"/>
  <c r="D1953" i="1"/>
  <c r="D1449" i="1"/>
  <c r="D1171" i="1"/>
  <c r="D3512" i="1"/>
  <c r="D63" i="1"/>
  <c r="D1562" i="1"/>
  <c r="D399" i="1"/>
  <c r="D2552" i="1"/>
  <c r="D494" i="1"/>
  <c r="D1156" i="1"/>
  <c r="D757" i="1"/>
  <c r="D1327" i="1"/>
  <c r="D1893" i="1"/>
  <c r="D508" i="1"/>
  <c r="D361" i="1"/>
  <c r="D1483" i="1"/>
  <c r="D156" i="1"/>
  <c r="D501" i="1"/>
  <c r="D1027" i="1"/>
  <c r="D1975" i="1"/>
  <c r="D1337" i="1"/>
  <c r="D1425" i="1"/>
  <c r="D2388" i="1"/>
  <c r="D1688" i="1"/>
  <c r="D1289" i="1"/>
  <c r="D1942" i="1"/>
  <c r="D1736" i="1"/>
  <c r="D559" i="1"/>
  <c r="D663" i="1"/>
  <c r="D1417" i="1"/>
  <c r="D2191" i="1"/>
  <c r="D1499" i="1"/>
  <c r="D595" i="1"/>
  <c r="D370" i="1"/>
  <c r="D1324" i="1"/>
  <c r="D1056" i="1"/>
  <c r="D2721" i="1"/>
  <c r="D1673" i="1"/>
  <c r="D3085" i="1"/>
  <c r="D2250" i="1"/>
  <c r="D1552" i="1"/>
  <c r="D1215" i="1"/>
  <c r="D2284" i="1"/>
  <c r="D804" i="1"/>
  <c r="D2303" i="1"/>
  <c r="D492" i="1"/>
  <c r="D728" i="1"/>
  <c r="D1621" i="1"/>
  <c r="D1797" i="1"/>
  <c r="D1526" i="1"/>
  <c r="D2239" i="1"/>
  <c r="D1665" i="1"/>
  <c r="D1065" i="1"/>
  <c r="D645" i="1"/>
  <c r="D2011" i="1"/>
  <c r="D1119" i="1"/>
  <c r="D170" i="1"/>
  <c r="D1160" i="1"/>
  <c r="D1134" i="1"/>
  <c r="D1728" i="1"/>
  <c r="D349" i="1"/>
  <c r="D490" i="1"/>
  <c r="D585" i="1"/>
  <c r="D872" i="1"/>
  <c r="D1102" i="1"/>
  <c r="D509" i="1"/>
  <c r="D1176" i="1"/>
  <c r="D797" i="1"/>
  <c r="D776" i="1"/>
  <c r="D2636" i="1"/>
  <c r="D2623" i="1"/>
  <c r="D117" i="1"/>
  <c r="D2048" i="1"/>
  <c r="D1015" i="1"/>
  <c r="D528" i="1"/>
  <c r="D886" i="1"/>
  <c r="D729" i="1"/>
  <c r="D1310" i="1"/>
  <c r="D805" i="1"/>
  <c r="D1420" i="1"/>
  <c r="D705" i="1"/>
  <c r="D785" i="1"/>
  <c r="D431" i="1"/>
  <c r="D55" i="1"/>
  <c r="D2603" i="1"/>
  <c r="D2194" i="1"/>
  <c r="D641" i="1"/>
  <c r="D957" i="1"/>
  <c r="D1583" i="1"/>
  <c r="D385" i="1"/>
  <c r="D604" i="1"/>
  <c r="D850" i="1"/>
  <c r="D2570" i="1"/>
  <c r="D1455" i="1"/>
  <c r="D140" i="1"/>
  <c r="D992" i="1"/>
  <c r="D241" i="1"/>
  <c r="D2797" i="1"/>
  <c r="D1054" i="1"/>
  <c r="D336" i="1"/>
  <c r="D1519" i="1"/>
  <c r="D2159" i="1"/>
  <c r="D1457" i="1"/>
  <c r="D418" i="1"/>
  <c r="D838" i="1"/>
  <c r="D1358" i="1"/>
  <c r="D316" i="1"/>
  <c r="D12" i="1"/>
  <c r="D959" i="1"/>
  <c r="D597" i="1"/>
  <c r="D11" i="1"/>
  <c r="D2108" i="1"/>
  <c r="D1137" i="1"/>
  <c r="D932" i="1"/>
  <c r="D2350" i="1"/>
  <c r="D230" i="1"/>
  <c r="D606" i="1"/>
  <c r="D2251" i="1"/>
  <c r="D1419" i="1"/>
  <c r="D811" i="1"/>
  <c r="D185" i="1"/>
  <c r="D1079" i="1"/>
  <c r="D2366" i="1"/>
  <c r="D780" i="1"/>
  <c r="D2803" i="1"/>
  <c r="D1077" i="1"/>
  <c r="D941" i="1"/>
  <c r="D1749" i="1"/>
  <c r="D1495" i="1"/>
  <c r="D755" i="1"/>
  <c r="D529" i="1"/>
  <c r="D1261" i="1"/>
  <c r="D1372" i="1"/>
  <c r="D782" i="1"/>
  <c r="D621" i="1"/>
  <c r="D973" i="1"/>
  <c r="D807" i="1"/>
  <c r="D44" i="1"/>
  <c r="D944" i="1"/>
  <c r="D1785" i="1"/>
  <c r="D1351" i="1"/>
  <c r="D1293" i="1"/>
  <c r="D910" i="1"/>
  <c r="D1354" i="1"/>
  <c r="D155" i="1"/>
  <c r="D1820" i="1"/>
  <c r="D247" i="1"/>
  <c r="D85" i="1"/>
  <c r="D2602" i="1"/>
  <c r="D1731" i="1"/>
  <c r="D988" i="1"/>
  <c r="D1930" i="1"/>
  <c r="D1023" i="1"/>
  <c r="D1465" i="1"/>
  <c r="D129" i="1"/>
  <c r="D1987" i="1"/>
  <c r="D1279" i="1"/>
  <c r="D1180" i="1"/>
  <c r="D1886" i="1"/>
  <c r="D2057" i="1"/>
  <c r="D1464" i="1"/>
  <c r="D2723" i="1"/>
  <c r="D2568" i="1"/>
  <c r="D3238" i="1"/>
  <c r="D1546" i="1"/>
  <c r="D65" i="1"/>
  <c r="D1099" i="1"/>
  <c r="D1615" i="1"/>
  <c r="D2029" i="1"/>
  <c r="D980" i="1"/>
  <c r="D1166" i="1"/>
  <c r="D1053" i="1"/>
  <c r="D406" i="1"/>
  <c r="D1430" i="1"/>
  <c r="D1190" i="1"/>
  <c r="D961" i="1"/>
  <c r="D859" i="1"/>
  <c r="D387" i="1"/>
  <c r="D1200" i="1"/>
  <c r="D642" i="1"/>
  <c r="D1273" i="1"/>
  <c r="D2999" i="1"/>
  <c r="D2264" i="1"/>
  <c r="D98" i="1"/>
  <c r="D878" i="1"/>
  <c r="D200" i="1"/>
  <c r="D2124" i="1"/>
  <c r="D844" i="1"/>
  <c r="D2410" i="1"/>
  <c r="D2580" i="1"/>
  <c r="D56" i="1"/>
  <c r="D2173" i="1"/>
  <c r="D1537" i="1"/>
  <c r="D82" i="1"/>
  <c r="D1468" i="1"/>
  <c r="D1918" i="1"/>
  <c r="D2407" i="1"/>
  <c r="D1272" i="1"/>
  <c r="D1572" i="1"/>
  <c r="D1620" i="1"/>
  <c r="D2457" i="1"/>
  <c r="D1992" i="1"/>
  <c r="D2304" i="1"/>
  <c r="D1271" i="1"/>
  <c r="D1247" i="1"/>
  <c r="D283" i="1"/>
  <c r="D1952" i="1"/>
  <c r="D873" i="1"/>
  <c r="D313" i="1"/>
  <c r="D70" i="1"/>
  <c r="D577" i="1"/>
  <c r="D1598" i="1"/>
  <c r="D1258" i="1"/>
  <c r="D284" i="1"/>
  <c r="D291" i="1"/>
  <c r="D987" i="1"/>
  <c r="D566" i="1"/>
  <c r="D1400" i="1"/>
  <c r="D456" i="1"/>
  <c r="D670" i="1"/>
  <c r="D2543" i="1"/>
  <c r="D683" i="1"/>
  <c r="D487" i="1"/>
  <c r="D2491" i="1"/>
  <c r="D1414" i="1"/>
  <c r="D1789" i="1"/>
  <c r="D1208" i="1"/>
  <c r="D701" i="1"/>
  <c r="D204" i="1"/>
  <c r="D2396" i="1"/>
  <c r="D2895" i="1"/>
  <c r="D62" i="1"/>
  <c r="D2360" i="1"/>
  <c r="D372" i="1"/>
  <c r="D551" i="1"/>
  <c r="D1463" i="1"/>
  <c r="D539" i="1"/>
  <c r="D1288" i="1"/>
  <c r="D2891" i="1"/>
  <c r="D674" i="1"/>
  <c r="D1034" i="1"/>
  <c r="D1037" i="1"/>
  <c r="D955" i="1"/>
  <c r="D690" i="1"/>
  <c r="D1243" i="1"/>
  <c r="D575" i="1"/>
  <c r="D1885" i="1"/>
  <c r="D2036" i="1"/>
  <c r="D911" i="1"/>
  <c r="D21" i="1"/>
  <c r="D229" i="1"/>
  <c r="D1978" i="1"/>
  <c r="D145" i="1"/>
  <c r="D584" i="1"/>
  <c r="D218" i="1"/>
  <c r="D758" i="1"/>
  <c r="D2338" i="1"/>
  <c r="D1090" i="1"/>
  <c r="D512" i="1"/>
  <c r="D392" i="1"/>
  <c r="D684" i="1"/>
  <c r="D1486" i="1"/>
  <c r="D1132" i="1"/>
  <c r="D1356" i="1"/>
  <c r="D1025" i="1"/>
  <c r="D610" i="1"/>
  <c r="D848" i="1"/>
  <c r="D1892" i="1"/>
  <c r="D1439" i="1"/>
  <c r="D303" i="1"/>
  <c r="D2180" i="1"/>
  <c r="D1500" i="1"/>
  <c r="D2279" i="1"/>
  <c r="D1220" i="1"/>
  <c r="D622" i="1"/>
  <c r="D1165" i="1"/>
  <c r="D1593" i="1"/>
  <c r="D6" i="1"/>
  <c r="E5365" i="1" l="1"/>
  <c r="E5381" i="1"/>
  <c r="E5397" i="1"/>
  <c r="E5413" i="1"/>
  <c r="E5429" i="1"/>
  <c r="E5445" i="1"/>
  <c r="E5461" i="1"/>
  <c r="E5477" i="1"/>
  <c r="E5493" i="1"/>
  <c r="E5366" i="1"/>
  <c r="E5382" i="1"/>
  <c r="E5398" i="1"/>
  <c r="E5414" i="1"/>
  <c r="E5430" i="1"/>
  <c r="E5446" i="1"/>
  <c r="E5462" i="1"/>
  <c r="E5478" i="1"/>
  <c r="E5367" i="1"/>
  <c r="E5383" i="1"/>
  <c r="E5399" i="1"/>
  <c r="E5415" i="1"/>
  <c r="E5431" i="1"/>
  <c r="E5447" i="1"/>
  <c r="E5463" i="1"/>
  <c r="E5479" i="1"/>
  <c r="E5368" i="1"/>
  <c r="E5384" i="1"/>
  <c r="E5400" i="1"/>
  <c r="E5416" i="1"/>
  <c r="E5432" i="1"/>
  <c r="E5448" i="1"/>
  <c r="E5464" i="1"/>
  <c r="E5480" i="1"/>
  <c r="E5369" i="1"/>
  <c r="E5385" i="1"/>
  <c r="E5401" i="1"/>
  <c r="E5417" i="1"/>
  <c r="E5433" i="1"/>
  <c r="E5449" i="1"/>
  <c r="E5465" i="1"/>
  <c r="E5481" i="1"/>
  <c r="E5370" i="1"/>
  <c r="E5386" i="1"/>
  <c r="E5402" i="1"/>
  <c r="E5418" i="1"/>
  <c r="E5434" i="1"/>
  <c r="E5450" i="1"/>
  <c r="E5466" i="1"/>
  <c r="E5482" i="1"/>
  <c r="E5371" i="1"/>
  <c r="E5387" i="1"/>
  <c r="E5403" i="1"/>
  <c r="E5419" i="1"/>
  <c r="E5435" i="1"/>
  <c r="E5451" i="1"/>
  <c r="E5467" i="1"/>
  <c r="E5483" i="1"/>
  <c r="E5372" i="1"/>
  <c r="E5388" i="1"/>
  <c r="E5404" i="1"/>
  <c r="E5420" i="1"/>
  <c r="E5436" i="1"/>
  <c r="E5452" i="1"/>
  <c r="E5468" i="1"/>
  <c r="E5484" i="1"/>
  <c r="E5373" i="1"/>
  <c r="E5389" i="1"/>
  <c r="E5405" i="1"/>
  <c r="E5421" i="1"/>
  <c r="E5437" i="1"/>
  <c r="E5453" i="1"/>
  <c r="E5469" i="1"/>
  <c r="E5485" i="1"/>
  <c r="E5374" i="1"/>
  <c r="E5390" i="1"/>
  <c r="E5406" i="1"/>
  <c r="E5422" i="1"/>
  <c r="E5438" i="1"/>
  <c r="E5454" i="1"/>
  <c r="E5470" i="1"/>
  <c r="E5486" i="1"/>
  <c r="E5375" i="1"/>
  <c r="E5391" i="1"/>
  <c r="E5407" i="1"/>
  <c r="E5423" i="1"/>
  <c r="E5439" i="1"/>
  <c r="E5455" i="1"/>
  <c r="E5471" i="1"/>
  <c r="E5487" i="1"/>
  <c r="E5376" i="1"/>
  <c r="E5392" i="1"/>
  <c r="E5408" i="1"/>
  <c r="E5424" i="1"/>
  <c r="E5440" i="1"/>
  <c r="E5456" i="1"/>
  <c r="E5472" i="1"/>
  <c r="E5488" i="1"/>
  <c r="E5377" i="1"/>
  <c r="E5393" i="1"/>
  <c r="E5409" i="1"/>
  <c r="E5425" i="1"/>
  <c r="E5441" i="1"/>
  <c r="E5457" i="1"/>
  <c r="E5473" i="1"/>
  <c r="E5489" i="1"/>
  <c r="E5378" i="1"/>
  <c r="E5394" i="1"/>
  <c r="E5410" i="1"/>
  <c r="E5426" i="1"/>
  <c r="E5442" i="1"/>
  <c r="E5458" i="1"/>
  <c r="E5474" i="1"/>
  <c r="E5490" i="1"/>
  <c r="E5379" i="1"/>
  <c r="E5395" i="1"/>
  <c r="E5411" i="1"/>
  <c r="E5427" i="1"/>
  <c r="E5443" i="1"/>
  <c r="E5459" i="1"/>
  <c r="E5475" i="1"/>
  <c r="E5491" i="1"/>
  <c r="E5380" i="1"/>
  <c r="E5396" i="1"/>
  <c r="E5412" i="1"/>
  <c r="E5428" i="1"/>
  <c r="E5444" i="1"/>
  <c r="E5460" i="1"/>
  <c r="E5476" i="1"/>
  <c r="E5492" i="1"/>
  <c r="E5363" i="1"/>
  <c r="E2694" i="1"/>
  <c r="E3183" i="1"/>
  <c r="E1729" i="1"/>
  <c r="E314" i="1"/>
  <c r="E86" i="1"/>
  <c r="E2149" i="1"/>
  <c r="E433" i="1"/>
  <c r="E1258" i="1"/>
  <c r="E1588" i="1"/>
  <c r="E1914" i="1"/>
  <c r="E936" i="1"/>
  <c r="E2836" i="1"/>
  <c r="E3635" i="1"/>
  <c r="E138" i="1"/>
  <c r="E3238" i="1"/>
  <c r="E1307" i="1"/>
  <c r="E1314" i="1"/>
  <c r="E2539" i="1"/>
  <c r="E160" i="1"/>
  <c r="E868" i="1"/>
  <c r="E3588" i="1"/>
  <c r="E776" i="1"/>
  <c r="E448" i="1"/>
  <c r="E1301" i="1"/>
  <c r="E842" i="1"/>
  <c r="E128" i="1"/>
  <c r="E1783" i="1"/>
  <c r="E1974" i="1"/>
  <c r="E727" i="1"/>
  <c r="E1745" i="1"/>
  <c r="E1342" i="1"/>
  <c r="E1233" i="1"/>
  <c r="E2699" i="1"/>
  <c r="E3131" i="1"/>
  <c r="E1324" i="1"/>
  <c r="E1064" i="1"/>
  <c r="E334" i="1"/>
  <c r="E1199" i="1"/>
  <c r="E3911" i="1"/>
  <c r="E586" i="1"/>
  <c r="E4024" i="1"/>
  <c r="E553" i="1"/>
  <c r="E2863" i="1"/>
  <c r="E308" i="1"/>
  <c r="E2374" i="1"/>
  <c r="E2012" i="1"/>
  <c r="E2048" i="1"/>
  <c r="E226" i="1"/>
  <c r="E1247" i="1"/>
  <c r="E4417" i="1"/>
  <c r="E74" i="1"/>
  <c r="E38" i="1"/>
  <c r="E1048" i="1"/>
  <c r="E4262" i="1"/>
  <c r="E147" i="1"/>
  <c r="E1041" i="1"/>
  <c r="E635" i="1"/>
  <c r="E1273" i="1"/>
  <c r="E1512" i="1"/>
  <c r="E3359" i="1"/>
  <c r="E1110" i="1"/>
  <c r="E3501" i="1"/>
  <c r="E1316" i="1"/>
  <c r="E428" i="1"/>
  <c r="E3952" i="1"/>
  <c r="E3244" i="1"/>
  <c r="E2162" i="1"/>
  <c r="E1550" i="1"/>
  <c r="E247" i="1"/>
  <c r="E2636" i="1"/>
  <c r="E2458" i="1"/>
  <c r="E3088" i="1"/>
  <c r="E1792" i="1"/>
  <c r="E1654" i="1"/>
  <c r="E851" i="1"/>
  <c r="E1620" i="1"/>
  <c r="E600" i="1"/>
  <c r="E437" i="1"/>
  <c r="E822" i="1"/>
  <c r="E2911" i="1"/>
  <c r="E2718" i="1"/>
  <c r="E863" i="1"/>
  <c r="E1905" i="1"/>
  <c r="E273" i="1"/>
  <c r="E2995" i="1"/>
  <c r="E3390" i="1"/>
  <c r="E707" i="1"/>
  <c r="E918" i="1"/>
  <c r="E300" i="1"/>
  <c r="E773" i="1"/>
  <c r="E2391" i="1"/>
  <c r="E76" i="1"/>
  <c r="E2547" i="1"/>
  <c r="E978" i="1"/>
  <c r="E1519" i="1"/>
  <c r="E1189" i="1"/>
  <c r="E328" i="1"/>
  <c r="E613" i="1"/>
  <c r="E1002" i="1"/>
  <c r="E22" i="1"/>
  <c r="E3681" i="1"/>
  <c r="E3366" i="1"/>
  <c r="E1469" i="1"/>
  <c r="E29" i="1"/>
  <c r="E919" i="1"/>
  <c r="E1556" i="1"/>
  <c r="E624" i="1"/>
  <c r="E2890" i="1"/>
  <c r="E1463" i="1"/>
  <c r="E1320" i="1"/>
  <c r="E254" i="1"/>
  <c r="E1282" i="1"/>
  <c r="E1103" i="1"/>
  <c r="E80" i="1"/>
  <c r="E127" i="1"/>
  <c r="E4740" i="1"/>
  <c r="E2792" i="1"/>
  <c r="E144" i="1"/>
  <c r="E1580" i="1"/>
  <c r="E1590" i="1"/>
  <c r="E2001" i="1"/>
  <c r="E499" i="1"/>
  <c r="E4091" i="1"/>
  <c r="E3234" i="1"/>
  <c r="E830" i="1"/>
  <c r="E158" i="1"/>
  <c r="E2958" i="1"/>
  <c r="E1005" i="1"/>
  <c r="E2189" i="1"/>
  <c r="E3399" i="1"/>
  <c r="E790" i="1"/>
  <c r="E511" i="1"/>
  <c r="E914" i="1"/>
  <c r="E2476" i="1"/>
  <c r="E1190" i="1"/>
  <c r="E366" i="1"/>
  <c r="E104" i="1"/>
  <c r="E2144" i="1"/>
  <c r="E1260" i="1"/>
  <c r="E1379" i="1"/>
  <c r="E4515" i="1"/>
  <c r="E2000" i="1"/>
  <c r="E1385" i="1"/>
  <c r="E214" i="1"/>
  <c r="E1312" i="1"/>
  <c r="E3619" i="1"/>
  <c r="E1671" i="1"/>
  <c r="E3386" i="1"/>
  <c r="E270" i="1"/>
  <c r="E2589" i="1"/>
  <c r="E2743" i="1"/>
  <c r="E269" i="1"/>
  <c r="E1618" i="1"/>
  <c r="E1941" i="1"/>
  <c r="E3012" i="1"/>
  <c r="E709" i="1"/>
  <c r="E3318" i="1"/>
  <c r="E4298" i="1"/>
  <c r="E917" i="1"/>
  <c r="E3165" i="1"/>
  <c r="E3151" i="1"/>
  <c r="E971" i="1"/>
  <c r="E2545" i="1"/>
  <c r="E2298" i="1"/>
  <c r="E1843" i="1"/>
  <c r="E2596" i="1"/>
  <c r="E3026" i="1"/>
  <c r="E1826" i="1"/>
  <c r="E1033" i="1"/>
  <c r="E798" i="1"/>
  <c r="E263" i="1"/>
  <c r="E4391" i="1"/>
  <c r="E2499" i="1"/>
  <c r="E3257" i="1"/>
  <c r="E618" i="1"/>
  <c r="E3339" i="1"/>
  <c r="E3095" i="1"/>
  <c r="E2217" i="1"/>
  <c r="E31" i="1"/>
  <c r="E306" i="1"/>
  <c r="E1611" i="1"/>
  <c r="E4518" i="1"/>
  <c r="E2156" i="1"/>
  <c r="E446" i="1"/>
  <c r="E823" i="1"/>
  <c r="E1397" i="1"/>
  <c r="E500" i="1"/>
  <c r="E3445" i="1"/>
  <c r="E619" i="1"/>
  <c r="E1892" i="1"/>
  <c r="E142" i="1"/>
  <c r="E1012" i="1"/>
  <c r="E2146" i="1"/>
  <c r="E3696" i="1"/>
  <c r="E1079" i="1"/>
  <c r="E3510" i="1"/>
  <c r="E1093" i="1"/>
  <c r="E1536" i="1"/>
  <c r="E4157" i="1"/>
  <c r="E3029" i="1"/>
  <c r="E926" i="1"/>
  <c r="E1340" i="1"/>
  <c r="E1624" i="1"/>
  <c r="E2304" i="1"/>
  <c r="E46" i="1"/>
  <c r="E3200" i="1"/>
  <c r="E2622" i="1"/>
  <c r="E215" i="1"/>
  <c r="E307" i="1"/>
  <c r="E1690" i="1"/>
  <c r="E1265" i="1"/>
  <c r="E3188" i="1"/>
  <c r="E2684" i="1"/>
  <c r="E1791" i="1"/>
  <c r="E447" i="1"/>
  <c r="E2145" i="1"/>
  <c r="E1285" i="1"/>
  <c r="E551" i="1"/>
  <c r="E4499" i="1"/>
  <c r="E650" i="1"/>
  <c r="E2267" i="1"/>
  <c r="E623" i="1"/>
  <c r="E1846" i="1"/>
  <c r="E1376" i="1"/>
  <c r="E2615" i="1"/>
  <c r="E403" i="1"/>
  <c r="E3160" i="1"/>
  <c r="E1408" i="1"/>
  <c r="E159" i="1"/>
  <c r="E1612" i="1"/>
  <c r="E116" i="1"/>
  <c r="E1330" i="1"/>
  <c r="E1547" i="1"/>
  <c r="E788" i="1"/>
  <c r="E134" i="1"/>
  <c r="E759" i="1"/>
  <c r="E1509" i="1"/>
  <c r="E1304" i="1"/>
  <c r="E2662" i="1"/>
  <c r="E569" i="1"/>
  <c r="E1898" i="1"/>
  <c r="E2010" i="1"/>
  <c r="E2635" i="1"/>
  <c r="E340" i="1"/>
  <c r="E890" i="1"/>
  <c r="E2315" i="1"/>
  <c r="E256" i="1"/>
  <c r="E2754" i="1"/>
  <c r="E2094" i="1"/>
  <c r="E583" i="1"/>
  <c r="E2236" i="1"/>
  <c r="E124" i="1"/>
  <c r="E797" i="1"/>
  <c r="E230" i="1"/>
  <c r="E2228" i="1"/>
  <c r="E3225" i="1"/>
  <c r="E1840" i="1"/>
  <c r="E544" i="1"/>
  <c r="E714" i="1"/>
  <c r="E1092" i="1"/>
  <c r="E963" i="1"/>
  <c r="E2317" i="1"/>
  <c r="E2309" i="1"/>
  <c r="E2535" i="1"/>
  <c r="E293" i="1"/>
  <c r="E1412" i="1"/>
  <c r="E1526" i="1"/>
  <c r="E150" i="1"/>
  <c r="E2465" i="1"/>
  <c r="E3031" i="1"/>
  <c r="E604" i="1"/>
  <c r="E3229" i="1"/>
  <c r="E795" i="1"/>
  <c r="E1723" i="1"/>
  <c r="E2959" i="1"/>
  <c r="E2061" i="1"/>
  <c r="E614" i="1"/>
  <c r="E1801" i="1"/>
  <c r="E165" i="1"/>
  <c r="E956" i="1"/>
  <c r="E255" i="1"/>
  <c r="E1651" i="1"/>
  <c r="E999" i="1"/>
  <c r="E3614" i="1"/>
  <c r="E1160" i="1"/>
  <c r="E2986" i="1"/>
  <c r="E2806" i="1"/>
  <c r="E2387" i="1"/>
  <c r="E1543" i="1"/>
  <c r="E430" i="1"/>
  <c r="E2069" i="1"/>
  <c r="E338" i="1"/>
  <c r="E634" i="1"/>
  <c r="E933" i="1"/>
  <c r="E916" i="1"/>
  <c r="E1703" i="1"/>
  <c r="E15" i="1"/>
  <c r="E2686" i="1"/>
  <c r="E1977" i="1"/>
  <c r="E4815" i="1"/>
  <c r="E1218" i="1"/>
  <c r="E2005" i="1"/>
  <c r="E1575" i="1"/>
  <c r="E924" i="1"/>
  <c r="E507" i="1"/>
  <c r="E1347" i="1"/>
  <c r="E190" i="1"/>
  <c r="E459" i="1"/>
  <c r="E599" i="1"/>
  <c r="E610" i="1"/>
  <c r="E1206" i="1"/>
  <c r="E184" i="1"/>
  <c r="E382" i="1"/>
  <c r="E1868" i="1"/>
  <c r="E3371" i="1"/>
  <c r="E1579" i="1"/>
  <c r="E1976" i="1"/>
  <c r="E3078" i="1"/>
  <c r="E728" i="1"/>
  <c r="E1570" i="1"/>
  <c r="E1503" i="1"/>
  <c r="E64" i="1"/>
  <c r="E2811" i="1"/>
  <c r="E1060" i="1"/>
  <c r="E164" i="1"/>
  <c r="E2557" i="1"/>
  <c r="E7" i="1"/>
  <c r="E1714" i="1"/>
  <c r="E1568" i="1"/>
  <c r="E1090" i="1"/>
  <c r="E1413" i="1"/>
  <c r="E550" i="1"/>
  <c r="E1930" i="1"/>
  <c r="E1475" i="1"/>
  <c r="E1172" i="1"/>
  <c r="E2160" i="1"/>
  <c r="E19" i="1"/>
  <c r="E620" i="1"/>
  <c r="E383" i="1"/>
  <c r="E895" i="1"/>
  <c r="E1354" i="1"/>
  <c r="E43" i="1"/>
  <c r="E2274" i="1"/>
  <c r="E503" i="1"/>
  <c r="E1522" i="1"/>
  <c r="E1297" i="1"/>
  <c r="E2654" i="1"/>
  <c r="E3043" i="1"/>
  <c r="E4102" i="1"/>
  <c r="E1761" i="1"/>
  <c r="E2035" i="1"/>
  <c r="E2122" i="1"/>
  <c r="E3586" i="1"/>
  <c r="E2310" i="1"/>
  <c r="E3267" i="1"/>
  <c r="E2940" i="1"/>
  <c r="E2392" i="1"/>
  <c r="E1179" i="1"/>
  <c r="E118" i="1"/>
  <c r="E1138" i="1"/>
  <c r="E4900" i="1"/>
  <c r="E2553" i="1"/>
  <c r="E1171" i="1"/>
  <c r="E1355" i="1"/>
  <c r="E1185" i="1"/>
  <c r="E834" i="1"/>
  <c r="E2247" i="1"/>
  <c r="E3100" i="1"/>
  <c r="E3881" i="1"/>
  <c r="E748" i="1"/>
  <c r="E140" i="1"/>
  <c r="E1219" i="1"/>
  <c r="E1502" i="1"/>
  <c r="E2946" i="1"/>
  <c r="E3982" i="1"/>
  <c r="E272" i="1"/>
  <c r="E3991" i="1"/>
  <c r="E1500" i="1"/>
  <c r="E827" i="1"/>
  <c r="E2749" i="1"/>
  <c r="E3127" i="1"/>
  <c r="E930" i="1"/>
  <c r="E1679" i="1"/>
  <c r="E2021" i="1"/>
  <c r="E27" i="1"/>
  <c r="E1878" i="1"/>
  <c r="E1101" i="1"/>
  <c r="E862" i="1"/>
  <c r="E543" i="1"/>
  <c r="E311" i="1"/>
  <c r="E337" i="1"/>
  <c r="E2633" i="1"/>
  <c r="E2576" i="1"/>
  <c r="E681" i="1"/>
  <c r="E755" i="1"/>
  <c r="E1176" i="1"/>
  <c r="E1076" i="1"/>
  <c r="E2878" i="1"/>
  <c r="E96" i="1"/>
  <c r="E832" i="1"/>
  <c r="E663" i="1"/>
  <c r="E436" i="1"/>
  <c r="E1381" i="1"/>
  <c r="E45" i="1"/>
  <c r="E1035" i="1"/>
  <c r="E889" i="1"/>
  <c r="E1635" i="1"/>
  <c r="E2674" i="1"/>
  <c r="E1272" i="1"/>
  <c r="E3553" i="1"/>
  <c r="E3721" i="1"/>
  <c r="E1295" i="1"/>
  <c r="E1015" i="1"/>
  <c r="E2480" i="1"/>
  <c r="E1640" i="1"/>
  <c r="E3441" i="1"/>
  <c r="E1425" i="1"/>
  <c r="E2594" i="1"/>
  <c r="E453" i="1"/>
  <c r="E1245" i="1"/>
  <c r="E199" i="1"/>
  <c r="E908" i="1"/>
  <c r="E1059" i="1"/>
  <c r="E508" i="1"/>
  <c r="E905" i="1"/>
  <c r="E1711" i="1"/>
  <c r="E2336" i="1"/>
  <c r="E1450" i="1"/>
  <c r="E4055" i="1"/>
  <c r="E2123" i="1"/>
  <c r="E4945" i="1"/>
  <c r="E770" i="1"/>
  <c r="E1302" i="1"/>
  <c r="E777" i="1"/>
  <c r="E202" i="1"/>
  <c r="E710" i="1"/>
  <c r="E2074" i="1"/>
  <c r="E1040" i="1"/>
  <c r="E1628" i="1"/>
  <c r="E1596" i="1"/>
  <c r="E329" i="1"/>
  <c r="E5364" i="1"/>
  <c r="E1024" i="1"/>
  <c r="E2461" i="1"/>
  <c r="E1034" i="1"/>
  <c r="E1217" i="1"/>
  <c r="E1454" i="1"/>
  <c r="E1487" i="1"/>
  <c r="E3878" i="1"/>
  <c r="E2942" i="1"/>
  <c r="E975" i="1"/>
  <c r="E1116" i="1"/>
  <c r="E2367" i="1"/>
  <c r="E1904" i="1"/>
  <c r="E407" i="1"/>
  <c r="E2073" i="1"/>
  <c r="E91" i="1"/>
  <c r="E740" i="1"/>
  <c r="E200" i="1"/>
  <c r="E973" i="1"/>
  <c r="E4948" i="1"/>
  <c r="E2179" i="1"/>
  <c r="E1834" i="1"/>
  <c r="E248" i="1"/>
  <c r="E297" i="1"/>
  <c r="E1386" i="1"/>
  <c r="E732" i="1"/>
  <c r="E3067" i="1"/>
  <c r="E625" i="1"/>
  <c r="E1853" i="1"/>
  <c r="E176" i="1"/>
  <c r="E883" i="1"/>
  <c r="E2120" i="1"/>
  <c r="E3280" i="1"/>
  <c r="E93" i="1"/>
  <c r="E2645" i="1"/>
  <c r="E466" i="1"/>
  <c r="E856" i="1"/>
  <c r="E1262" i="1"/>
  <c r="E4546" i="1"/>
  <c r="E101" i="1"/>
  <c r="E2522" i="1"/>
  <c r="E1168" i="1"/>
  <c r="E315" i="1"/>
  <c r="E3107" i="1"/>
  <c r="E913" i="1"/>
  <c r="E808" i="1"/>
  <c r="E557" i="1"/>
  <c r="E2254" i="1"/>
  <c r="E837" i="1"/>
  <c r="E246" i="1"/>
  <c r="E812" i="1"/>
  <c r="E431" i="1"/>
  <c r="E987" i="1"/>
  <c r="E1686" i="1"/>
  <c r="E71" i="1"/>
  <c r="E1758" i="1"/>
  <c r="E4137" i="1"/>
  <c r="E2759" i="1"/>
  <c r="E2919" i="1"/>
  <c r="E2879" i="1"/>
  <c r="E695" i="1"/>
  <c r="E260" i="1"/>
  <c r="E802" i="1"/>
  <c r="E2672" i="1"/>
  <c r="E2604" i="1"/>
  <c r="E1855" i="1"/>
  <c r="E1452" i="1"/>
  <c r="E5126" i="1"/>
  <c r="E3748" i="1"/>
  <c r="E3572" i="1"/>
  <c r="E361" i="1"/>
  <c r="E546" i="1"/>
  <c r="E3699" i="1"/>
  <c r="E50" i="1"/>
  <c r="E2629" i="1"/>
  <c r="E2676" i="1"/>
  <c r="E2731" i="1"/>
  <c r="E167" i="1"/>
  <c r="E582" i="1"/>
  <c r="E1128" i="1"/>
  <c r="E2018" i="1"/>
  <c r="E111" i="1"/>
  <c r="E463" i="1"/>
  <c r="E3313" i="1"/>
  <c r="E72" i="1"/>
  <c r="E2255" i="1"/>
  <c r="E1710" i="1"/>
  <c r="E1496" i="1"/>
  <c r="E554" i="1"/>
  <c r="E1865" i="1"/>
  <c r="E1221" i="1"/>
  <c r="E1599" i="1"/>
  <c r="E10" i="1"/>
  <c r="E2541" i="1"/>
  <c r="E805" i="1"/>
  <c r="E1760" i="1"/>
  <c r="E753" i="1"/>
  <c r="E375" i="1"/>
  <c r="E4188" i="1"/>
  <c r="E1659" i="1"/>
  <c r="E409" i="1"/>
  <c r="E4616" i="1"/>
  <c r="E1104" i="1"/>
  <c r="E2325" i="1"/>
  <c r="E873" i="1"/>
  <c r="E864" i="1"/>
  <c r="E711" i="1"/>
  <c r="E193" i="1"/>
  <c r="E1595" i="1"/>
  <c r="E1315" i="1"/>
  <c r="E326" i="1"/>
  <c r="E332" i="1"/>
  <c r="E784" i="1"/>
  <c r="E2049" i="1"/>
  <c r="E130" i="1"/>
  <c r="E2838" i="1"/>
  <c r="E2318" i="1"/>
  <c r="E648" i="1"/>
  <c r="E4222" i="1"/>
  <c r="E36" i="1"/>
  <c r="E3705" i="1"/>
  <c r="E2565" i="1"/>
  <c r="E2788" i="1"/>
  <c r="E2175" i="1"/>
  <c r="E42" i="1"/>
  <c r="E1236" i="1"/>
  <c r="E705" i="1"/>
  <c r="E1719" i="1"/>
  <c r="E194" i="1"/>
  <c r="E3755" i="1"/>
  <c r="E153" i="1"/>
  <c r="E994" i="1"/>
  <c r="E541" i="1"/>
  <c r="E2483" i="1"/>
  <c r="E8" i="1"/>
  <c r="E577" i="1"/>
  <c r="E32" i="1"/>
  <c r="E235" i="1"/>
  <c r="E1683" i="1"/>
  <c r="E4269" i="1"/>
  <c r="E1439" i="1"/>
  <c r="E3888" i="1"/>
  <c r="E2704" i="1"/>
  <c r="E3692" i="1"/>
  <c r="E1429" i="1"/>
  <c r="E2881" i="1"/>
  <c r="E2293" i="1"/>
  <c r="E615" i="1"/>
  <c r="E4158" i="1"/>
  <c r="E5209" i="1"/>
  <c r="E1897" i="1"/>
  <c r="E2105" i="1"/>
  <c r="E1268" i="1"/>
  <c r="E335" i="1"/>
  <c r="E656" i="1"/>
  <c r="E1484" i="1"/>
  <c r="E505" i="1"/>
  <c r="E83" i="1"/>
  <c r="E1058" i="1"/>
  <c r="E1188" i="1"/>
  <c r="E1466" i="1"/>
  <c r="E1460" i="1"/>
  <c r="E1856" i="1"/>
  <c r="E1395" i="1"/>
  <c r="E1448" i="1"/>
  <c r="E2064" i="1"/>
  <c r="E3032" i="1"/>
  <c r="E1264" i="1"/>
  <c r="E1114" i="1"/>
  <c r="E968" i="1"/>
  <c r="E2471" i="1"/>
  <c r="E1577" i="1"/>
  <c r="E1191" i="1"/>
  <c r="E1164" i="1"/>
  <c r="E169" i="1"/>
  <c r="E497" i="1"/>
  <c r="E100" i="1"/>
  <c r="E1276" i="1"/>
  <c r="E779" i="1"/>
  <c r="E556" i="1"/>
  <c r="E341" i="1"/>
  <c r="E2936" i="1"/>
  <c r="E980" i="1"/>
  <c r="E1991" i="1"/>
  <c r="E365" i="1"/>
  <c r="E504" i="1"/>
  <c r="E1370" i="1"/>
  <c r="E1009" i="1"/>
  <c r="E3684" i="1"/>
  <c r="E110" i="1"/>
  <c r="E1927" i="1"/>
  <c r="E2451" i="1"/>
  <c r="E218" i="1"/>
  <c r="E894" i="1"/>
  <c r="E2544" i="1"/>
  <c r="E969" i="1"/>
  <c r="E952" i="1"/>
  <c r="E1886" i="1"/>
  <c r="E2968" i="1"/>
  <c r="E1075" i="1"/>
  <c r="E897" i="1"/>
  <c r="E1514" i="1"/>
  <c r="E422" i="1"/>
  <c r="E1274" i="1"/>
  <c r="E792" i="1"/>
  <c r="E3222" i="1"/>
  <c r="E736" i="1"/>
  <c r="E629" i="1"/>
  <c r="E1928" i="1"/>
  <c r="E1143" i="1"/>
  <c r="E4645" i="1"/>
  <c r="E58" i="1"/>
  <c r="E1433" i="1"/>
  <c r="E233" i="1"/>
  <c r="E786" i="1"/>
  <c r="E1816" i="1"/>
  <c r="E559" i="1"/>
  <c r="E3623" i="1"/>
  <c r="E2818" i="1"/>
  <c r="E1807" i="1"/>
  <c r="E3147" i="1"/>
  <c r="E1876" i="1"/>
  <c r="E605" i="1"/>
  <c r="E2322" i="1"/>
  <c r="E2306" i="1"/>
  <c r="E902" i="1"/>
  <c r="E589" i="1"/>
  <c r="E49" i="1"/>
  <c r="E1559" i="1"/>
  <c r="E2355" i="1"/>
  <c r="E84" i="1"/>
  <c r="E2071" i="1"/>
  <c r="E2932" i="1"/>
  <c r="E376" i="1"/>
  <c r="E1016" i="1"/>
  <c r="E584" i="1"/>
  <c r="E310" i="1"/>
  <c r="E1803" i="1"/>
  <c r="E799" i="1"/>
  <c r="E682" i="1"/>
  <c r="E3886" i="1"/>
  <c r="E775" i="1"/>
  <c r="E1389" i="1"/>
  <c r="E1252" i="1"/>
  <c r="E514" i="1"/>
  <c r="E2687" i="1"/>
  <c r="E238" i="1"/>
  <c r="E821" i="1"/>
  <c r="E2482" i="1"/>
  <c r="E906" i="1"/>
  <c r="E1056" i="1"/>
  <c r="E658" i="1"/>
  <c r="E1709" i="1"/>
  <c r="E2196" i="1"/>
  <c r="E3565" i="1"/>
  <c r="E3269" i="1"/>
  <c r="E1546" i="1"/>
  <c r="E344" i="1"/>
  <c r="E2385" i="1"/>
  <c r="E1802" i="1"/>
  <c r="E1739" i="1"/>
  <c r="E3595" i="1"/>
  <c r="E2860" i="1"/>
  <c r="E1940" i="1"/>
  <c r="E253" i="1"/>
  <c r="E1563" i="1"/>
  <c r="E48" i="1"/>
  <c r="E3130" i="1"/>
  <c r="E1650" i="1"/>
  <c r="E1449" i="1"/>
  <c r="E4678" i="1"/>
  <c r="E3579" i="1"/>
  <c r="E2799" i="1"/>
  <c r="E4123" i="1"/>
  <c r="E400" i="1"/>
  <c r="E669" i="1"/>
  <c r="E451" i="1"/>
  <c r="E3585" i="1"/>
  <c r="E2405" i="1"/>
  <c r="E780" i="1"/>
  <c r="E2377" i="1"/>
  <c r="E2101" i="1"/>
  <c r="E997" i="1"/>
  <c r="E1994" i="1"/>
  <c r="E1633" i="1"/>
  <c r="E1488" i="1"/>
  <c r="E1636" i="1"/>
  <c r="E1177" i="1"/>
  <c r="E1018" i="1"/>
  <c r="E758" i="1"/>
  <c r="E602" i="1"/>
  <c r="E2066" i="1"/>
  <c r="E405" i="1"/>
  <c r="E95" i="1"/>
  <c r="E953" i="1"/>
  <c r="E762" i="1"/>
  <c r="E2268" i="1"/>
  <c r="E810" i="1"/>
  <c r="E1632" i="1"/>
  <c r="E2133" i="1"/>
  <c r="E89" i="1"/>
  <c r="E2710" i="1"/>
  <c r="E119" i="1"/>
  <c r="E4171" i="1"/>
  <c r="E1531" i="1"/>
  <c r="E432" i="1"/>
  <c r="E1532" i="1"/>
  <c r="E1251" i="1"/>
  <c r="E1943" i="1"/>
  <c r="E487" i="1"/>
  <c r="E477" i="1"/>
  <c r="E2360" i="1"/>
  <c r="E528" i="1"/>
  <c r="E475" i="1"/>
  <c r="E325" i="1"/>
  <c r="E429" i="1"/>
  <c r="E1108" i="1"/>
  <c r="E287" i="1"/>
  <c r="E385" i="1"/>
  <c r="E998" i="1"/>
  <c r="E1854" i="1"/>
  <c r="E2334" i="1"/>
  <c r="E1169" i="1"/>
  <c r="E715" i="1"/>
  <c r="E1893" i="1"/>
  <c r="E983" i="1"/>
  <c r="E993" i="1"/>
  <c r="E789" i="1"/>
  <c r="E2192" i="1"/>
  <c r="E2026" i="1"/>
  <c r="E3484" i="1"/>
  <c r="E1603" i="1"/>
  <c r="E374" i="1"/>
  <c r="E4270" i="1"/>
  <c r="E205" i="1"/>
  <c r="E961" i="1"/>
  <c r="E1396" i="1"/>
  <c r="E1003" i="1"/>
  <c r="E1343" i="1"/>
  <c r="E1184" i="1"/>
  <c r="E1989" i="1"/>
  <c r="E3591" i="1"/>
  <c r="E501" i="1"/>
  <c r="E1310" i="1"/>
  <c r="E743" i="1"/>
  <c r="E819" i="1"/>
  <c r="E1535" i="1"/>
  <c r="E1443" i="1"/>
  <c r="E1908" i="1"/>
  <c r="E3896" i="1"/>
  <c r="E473" i="1"/>
  <c r="E609" i="1"/>
  <c r="E1243" i="1"/>
  <c r="E1357" i="1"/>
  <c r="E1150" i="1"/>
  <c r="E3207" i="1"/>
  <c r="E1069" i="1"/>
  <c r="E1141" i="1"/>
  <c r="E2720" i="1"/>
  <c r="E2767" i="1"/>
  <c r="E120" i="1"/>
  <c r="E211" i="1"/>
  <c r="E1292" i="1"/>
  <c r="E3123" i="1"/>
  <c r="E2612" i="1"/>
  <c r="E694" i="1"/>
  <c r="E725" i="1"/>
  <c r="E1517" i="1"/>
  <c r="E3142" i="1"/>
  <c r="E1549" i="1"/>
  <c r="E1373" i="1"/>
  <c r="E651" i="1"/>
  <c r="E1759" i="1"/>
  <c r="E3053" i="1"/>
  <c r="E1708" i="1"/>
  <c r="E2657" i="1"/>
  <c r="E2950" i="1"/>
  <c r="E2949" i="1"/>
  <c r="E4680" i="1"/>
  <c r="E3104" i="1"/>
  <c r="E794" i="1"/>
  <c r="E1119" i="1"/>
  <c r="E1000" i="1"/>
  <c r="E251" i="1"/>
  <c r="E4093" i="1"/>
  <c r="E4583" i="1"/>
  <c r="E491" i="1"/>
  <c r="E188" i="1"/>
  <c r="E1100" i="1"/>
  <c r="E2789" i="1"/>
  <c r="E1554" i="1"/>
  <c r="E1689" i="1"/>
  <c r="E2342" i="1"/>
  <c r="E637" i="1"/>
  <c r="E720" i="1"/>
  <c r="E1318" i="1"/>
  <c r="E3162" i="1"/>
  <c r="E3734" i="1"/>
  <c r="E157" i="1"/>
  <c r="E1668" i="1"/>
  <c r="E3190" i="1"/>
  <c r="E2283" i="1"/>
  <c r="E5362" i="1"/>
  <c r="E646" i="1"/>
  <c r="E2980" i="1"/>
  <c r="E934" i="1"/>
  <c r="E1610" i="1"/>
  <c r="E234" i="1"/>
  <c r="E1842" i="1"/>
  <c r="E1372" i="1"/>
  <c r="E426" i="1"/>
  <c r="E232" i="1"/>
  <c r="E2219" i="1"/>
  <c r="E1687" i="1"/>
  <c r="E595" i="1"/>
  <c r="E1032" i="1"/>
  <c r="E686" i="1"/>
  <c r="E2689" i="1"/>
  <c r="E1401" i="1"/>
  <c r="E442" i="1"/>
  <c r="E701" i="1"/>
  <c r="E3105" i="1"/>
  <c r="E1814" i="1"/>
  <c r="E1435" i="1"/>
  <c r="E1623" i="1"/>
  <c r="E923" i="1"/>
  <c r="E3558" i="1"/>
  <c r="E1698" i="1"/>
  <c r="E2358" i="1"/>
  <c r="E1815" i="1"/>
  <c r="E3370" i="1"/>
  <c r="E3163" i="1"/>
  <c r="E592" i="1"/>
  <c r="E389" i="1"/>
  <c r="E716" i="1"/>
  <c r="E1925" i="1"/>
  <c r="E318" i="1"/>
  <c r="E171" i="1"/>
  <c r="E1678" i="1"/>
  <c r="E708" i="1"/>
  <c r="E1965" i="1"/>
  <c r="E1082" i="1"/>
  <c r="E678" i="1"/>
  <c r="E781" i="1"/>
  <c r="E3253" i="1"/>
  <c r="E2829" i="1"/>
  <c r="E992" i="1"/>
  <c r="E259" i="1"/>
  <c r="E1004" i="1"/>
  <c r="E1778" i="1"/>
  <c r="E1162" i="1"/>
  <c r="E4344" i="1"/>
  <c r="E749" i="1"/>
  <c r="E2431" i="1"/>
  <c r="E1115" i="1"/>
  <c r="E3852" i="1"/>
  <c r="E959" i="1"/>
  <c r="E2577" i="1"/>
  <c r="E2447" i="1"/>
  <c r="E28" i="1"/>
  <c r="E1481" i="1"/>
  <c r="E2111" i="1"/>
  <c r="E1084" i="1"/>
  <c r="E1737" i="1"/>
  <c r="E2043" i="1"/>
  <c r="E1306" i="1"/>
  <c r="E948" i="1"/>
  <c r="E829" i="1"/>
  <c r="E1157" i="1"/>
  <c r="E107" i="1"/>
  <c r="E1387" i="1"/>
  <c r="E578" i="1"/>
  <c r="E2396" i="1"/>
  <c r="E518" i="1"/>
  <c r="E112" i="1"/>
  <c r="E3393" i="1"/>
  <c r="E3873" i="1"/>
  <c r="E937" i="1"/>
  <c r="E1384" i="1"/>
  <c r="E1822" i="1"/>
  <c r="E17" i="1"/>
  <c r="E787" i="1"/>
  <c r="E139" i="1"/>
  <c r="E512" i="1"/>
  <c r="E1461" i="1"/>
  <c r="E1232" i="1"/>
  <c r="E1534" i="1"/>
  <c r="E3223" i="1"/>
  <c r="E1600" i="1"/>
  <c r="E143" i="1"/>
  <c r="E1120" i="1"/>
  <c r="E1839" i="1"/>
  <c r="E1748" i="1"/>
  <c r="E3948" i="1"/>
  <c r="E1118" i="1"/>
  <c r="E2824" i="1"/>
  <c r="E1445" i="1"/>
  <c r="E900" i="1"/>
  <c r="E2801" i="1"/>
  <c r="E1984" i="1"/>
  <c r="E2350" i="1"/>
  <c r="E717" i="1"/>
  <c r="E2398" i="1"/>
  <c r="E1181" i="1"/>
  <c r="E644" i="1"/>
  <c r="E4709" i="1"/>
  <c r="E421" i="1"/>
  <c r="E3148" i="1"/>
  <c r="E73" i="1"/>
  <c r="E721" i="1"/>
  <c r="E1137" i="1"/>
  <c r="E1031" i="1"/>
  <c r="E2252" i="1"/>
  <c r="E1426" i="1"/>
  <c r="E4568" i="1"/>
  <c r="E460" i="1"/>
  <c r="E185" i="1"/>
  <c r="E1929" i="1"/>
  <c r="E1224" i="1"/>
  <c r="E1348" i="1"/>
  <c r="E213" i="1"/>
  <c r="E1806" i="1"/>
  <c r="E333" i="1"/>
  <c r="E25" i="1"/>
  <c r="E1870" i="1"/>
  <c r="E843" i="1"/>
  <c r="E283" i="1"/>
  <c r="E741" i="1"/>
  <c r="E5213" i="1"/>
  <c r="E1657" i="1"/>
  <c r="E2924" i="1"/>
  <c r="E135" i="1"/>
  <c r="E858" i="1"/>
  <c r="E1124" i="1"/>
  <c r="E723" i="1"/>
  <c r="E3536" i="1"/>
  <c r="E3355" i="1"/>
  <c r="E4056" i="1"/>
  <c r="E1664" i="1"/>
  <c r="E191" i="1"/>
  <c r="E877" i="1"/>
  <c r="E4254" i="1"/>
  <c r="E39" i="1"/>
  <c r="E388" i="1"/>
  <c r="E4424" i="1"/>
  <c r="E5014" i="1"/>
  <c r="E2492" i="1"/>
  <c r="E4392" i="1"/>
  <c r="E866" i="1"/>
  <c r="E1601" i="1"/>
  <c r="E558" i="1"/>
  <c r="E966" i="1"/>
  <c r="E1132" i="1"/>
  <c r="E4209" i="1"/>
  <c r="E3538" i="1"/>
  <c r="E1902" i="1"/>
  <c r="E872" i="1"/>
  <c r="E1885" i="1"/>
  <c r="E449" i="1"/>
  <c r="E1641" i="1"/>
  <c r="E1257" i="1"/>
  <c r="E2055" i="1"/>
  <c r="E4071" i="1"/>
  <c r="E548" i="1"/>
  <c r="E839" i="1"/>
  <c r="E1332" i="1"/>
  <c r="E636" i="1"/>
  <c r="E1567" i="1"/>
  <c r="E733" i="1"/>
  <c r="E1098" i="1"/>
  <c r="E549" i="1"/>
  <c r="E3446" i="1"/>
  <c r="E316" i="1"/>
  <c r="E443" i="1"/>
  <c r="E766" i="1"/>
  <c r="E378" i="1"/>
  <c r="E434" i="1"/>
  <c r="E319" i="1"/>
  <c r="E1903" i="1"/>
  <c r="E2517" i="1"/>
  <c r="E2923" i="1"/>
  <c r="E1917" i="1"/>
  <c r="E228" i="1"/>
  <c r="E357" i="1"/>
  <c r="E1025" i="1"/>
  <c r="E509" i="1"/>
  <c r="E3035" i="1"/>
  <c r="E1349" i="1"/>
  <c r="E372" i="1"/>
  <c r="E3515" i="1"/>
  <c r="E1083" i="1"/>
  <c r="E152" i="1"/>
  <c r="E1895" i="1"/>
  <c r="E3047" i="1"/>
  <c r="E2332" i="1"/>
  <c r="E617" i="1"/>
  <c r="E3381" i="1"/>
  <c r="E1465" i="1"/>
  <c r="E41" i="1"/>
  <c r="E1539" i="1"/>
  <c r="E575" i="1"/>
  <c r="E1762" i="1"/>
  <c r="E645" i="1"/>
  <c r="E4500" i="1"/>
  <c r="E2388" i="1"/>
  <c r="E4792" i="1"/>
  <c r="E1691" i="1"/>
  <c r="E1286" i="1"/>
  <c r="E79" i="1"/>
  <c r="E1571" i="1"/>
  <c r="E3937" i="1"/>
  <c r="E946" i="1"/>
  <c r="E2967" i="1"/>
  <c r="E2141" i="1"/>
  <c r="E4358" i="1"/>
  <c r="E3855" i="1"/>
  <c r="E2450" i="1"/>
  <c r="E1799" i="1"/>
  <c r="E3074" i="1"/>
  <c r="E1743" i="1"/>
  <c r="E1528" i="1"/>
  <c r="E2276" i="1"/>
  <c r="E925" i="1"/>
  <c r="E2058" i="1"/>
  <c r="E117" i="1"/>
  <c r="E2204" i="1"/>
  <c r="E1270" i="1"/>
  <c r="E1135" i="1"/>
  <c r="E2634" i="1"/>
  <c r="E2184" i="1"/>
  <c r="E1557" i="1"/>
  <c r="E4083" i="1"/>
  <c r="E3079" i="1"/>
  <c r="E3206" i="1"/>
  <c r="E78" i="1"/>
  <c r="E4238" i="1"/>
  <c r="E1344" i="1"/>
  <c r="E1416" i="1"/>
  <c r="E4458" i="1"/>
  <c r="E3369" i="1"/>
  <c r="E1192" i="1"/>
  <c r="E2418" i="1"/>
  <c r="E47" i="1"/>
  <c r="E1825" i="1"/>
  <c r="E4885" i="1"/>
  <c r="E1688" i="1"/>
  <c r="E2383" i="1"/>
  <c r="E4138" i="1"/>
  <c r="E1499" i="1"/>
  <c r="E3249" i="1"/>
  <c r="E697" i="1"/>
  <c r="E4749" i="1"/>
  <c r="E977" i="1"/>
  <c r="E4000" i="1"/>
  <c r="E207" i="1"/>
  <c r="E4587" i="1"/>
  <c r="E2158" i="1"/>
  <c r="E4250" i="1"/>
  <c r="E3715" i="1"/>
  <c r="E1681" i="1"/>
  <c r="E137" i="1"/>
  <c r="E568" i="1"/>
  <c r="E3144" i="1"/>
  <c r="E2701" i="1"/>
  <c r="E3759" i="1"/>
  <c r="E1235" i="1"/>
  <c r="E203" i="1"/>
  <c r="E3332" i="1"/>
  <c r="E3723" i="1"/>
  <c r="E2803" i="1"/>
  <c r="E2907" i="1"/>
  <c r="E4911" i="1"/>
  <c r="E525" i="1"/>
  <c r="E3232" i="1"/>
  <c r="E4903" i="1"/>
  <c r="E768" i="1"/>
  <c r="E3921" i="1"/>
  <c r="E955" i="1"/>
  <c r="E4335" i="1"/>
  <c r="E2913" i="1"/>
  <c r="E4436" i="1"/>
  <c r="E2668" i="1"/>
  <c r="E2867" i="1"/>
  <c r="E3494" i="1"/>
  <c r="E2166" i="1"/>
  <c r="E4821" i="1"/>
  <c r="E2904" i="1"/>
  <c r="E2984" i="1"/>
  <c r="E2215" i="1"/>
  <c r="E3061" i="1"/>
  <c r="E63" i="1"/>
  <c r="E703" i="1"/>
  <c r="E4636" i="1"/>
  <c r="E2502" i="1"/>
  <c r="E3687" i="1"/>
  <c r="E4849" i="1"/>
  <c r="E3301" i="1"/>
  <c r="E2023" i="1"/>
  <c r="E684" i="1"/>
  <c r="E168" i="1"/>
  <c r="E4813" i="1"/>
  <c r="E5008" i="1"/>
  <c r="E1097" i="1"/>
  <c r="E2497" i="1"/>
  <c r="E3804" i="1"/>
  <c r="E1471" i="1"/>
  <c r="E2887" i="1"/>
  <c r="E3597" i="1"/>
  <c r="E3266" i="1"/>
  <c r="E3633" i="1"/>
  <c r="E4318" i="1"/>
  <c r="E3785" i="1"/>
  <c r="E136" i="1"/>
  <c r="E216" i="1"/>
  <c r="E935" i="1"/>
  <c r="E1382" i="1"/>
  <c r="E257" i="1"/>
  <c r="E1881" i="1"/>
  <c r="E1464" i="1"/>
  <c r="E1050" i="1"/>
  <c r="E3184" i="1"/>
  <c r="E1740" i="1"/>
  <c r="E68" i="1"/>
  <c r="E675" i="1"/>
  <c r="E841" i="1"/>
  <c r="E2014" i="1"/>
  <c r="E2068" i="1"/>
  <c r="E2258" i="1"/>
  <c r="E4654" i="1"/>
  <c r="E3007" i="1"/>
  <c r="E1980" i="1"/>
  <c r="E756" i="1"/>
  <c r="E5229" i="1"/>
  <c r="E3375" i="1"/>
  <c r="E561" i="1"/>
  <c r="E2520" i="1"/>
  <c r="E2029" i="1"/>
  <c r="E5003" i="1"/>
  <c r="E2132" i="1"/>
  <c r="E1351" i="1"/>
  <c r="E2327" i="1"/>
  <c r="E2411" i="1"/>
  <c r="E560" i="1"/>
  <c r="E3408" i="1"/>
  <c r="E2041" i="1"/>
  <c r="E1529" i="1"/>
  <c r="E1696" i="1"/>
  <c r="E869" i="1"/>
  <c r="E3549" i="1"/>
  <c r="E765" i="1"/>
  <c r="E1935" i="1"/>
  <c r="E2308" i="1"/>
  <c r="E3605" i="1"/>
  <c r="E4109" i="1"/>
  <c r="E82" i="1"/>
  <c r="E4733" i="1"/>
  <c r="E1399" i="1"/>
  <c r="E3187" i="1"/>
  <c r="E2724" i="1"/>
  <c r="E2343" i="1"/>
  <c r="E4036" i="1"/>
  <c r="E4746" i="1"/>
  <c r="E3895" i="1"/>
  <c r="E1447" i="1"/>
  <c r="E750" i="1"/>
  <c r="E940" i="1"/>
  <c r="E3897" i="1"/>
  <c r="E2769" i="1"/>
  <c r="E3377" i="1"/>
  <c r="E401" i="1"/>
  <c r="E2269" i="1"/>
  <c r="E2549" i="1"/>
  <c r="E2512" i="1"/>
  <c r="E903" i="1"/>
  <c r="E2188" i="1"/>
  <c r="E2933" i="1"/>
  <c r="E3055" i="1"/>
  <c r="E21" i="1"/>
  <c r="E692" i="1"/>
  <c r="E2658" i="1"/>
  <c r="E5215" i="1"/>
  <c r="E4607" i="1"/>
  <c r="E2290" i="1"/>
  <c r="E674" i="1"/>
  <c r="E2233" i="1"/>
  <c r="E3691" i="1"/>
  <c r="E20" i="1"/>
  <c r="E5142" i="1"/>
  <c r="E5035" i="1"/>
  <c r="E4430" i="1"/>
  <c r="E680" i="1"/>
  <c r="E2357" i="1"/>
  <c r="E4033" i="1"/>
  <c r="E3783" i="1"/>
  <c r="E1776" i="1"/>
  <c r="E3788" i="1"/>
  <c r="E4438" i="1"/>
  <c r="E754" i="1"/>
  <c r="E4356" i="1"/>
  <c r="E688" i="1"/>
  <c r="E3139" i="1"/>
  <c r="E2929" i="1"/>
  <c r="E1631" i="1"/>
  <c r="E1126" i="1"/>
  <c r="E763" i="1"/>
  <c r="E1700" i="1"/>
  <c r="E2931" i="1"/>
  <c r="E698" i="1"/>
  <c r="E336" i="1"/>
  <c r="E1617" i="1"/>
  <c r="E530" i="1"/>
  <c r="E1572" i="1"/>
  <c r="E1639" i="1"/>
  <c r="E1133" i="1"/>
  <c r="E1244" i="1"/>
  <c r="E70" i="1"/>
  <c r="E1107" i="1"/>
  <c r="E2002" i="1"/>
  <c r="E850" i="1"/>
  <c r="E888" i="1"/>
  <c r="E1726" i="1"/>
  <c r="E5281" i="1"/>
  <c r="E949" i="1"/>
  <c r="E1144" i="1"/>
  <c r="E3551" i="1"/>
  <c r="E3647" i="1"/>
  <c r="E359" i="1"/>
  <c r="E2628" i="1"/>
  <c r="E286" i="1"/>
  <c r="E279" i="1"/>
  <c r="E2348" i="1"/>
  <c r="E4293" i="1"/>
  <c r="E3975" i="1"/>
  <c r="E1682" i="1"/>
  <c r="E3525" i="1"/>
  <c r="E1294" i="1"/>
  <c r="E653" i="1"/>
  <c r="E3552" i="1"/>
  <c r="E563" i="1"/>
  <c r="E719" i="1"/>
  <c r="E3609" i="1"/>
  <c r="E129" i="1"/>
  <c r="E944" i="1"/>
  <c r="E5032" i="1"/>
  <c r="E2239" i="1"/>
  <c r="E67" i="1"/>
  <c r="E438" i="1"/>
  <c r="E2113" i="1"/>
  <c r="E3477" i="1"/>
  <c r="E69" i="1"/>
  <c r="E2567" i="1"/>
  <c r="E537" i="1"/>
  <c r="E1573" i="1"/>
  <c r="E1359" i="1"/>
  <c r="E785" i="1"/>
  <c r="E3112" i="1"/>
  <c r="E2240" i="1"/>
  <c r="E2470" i="1"/>
  <c r="E3735" i="1"/>
  <c r="E3240" i="1"/>
  <c r="E1523" i="1"/>
  <c r="E2292" i="1"/>
  <c r="E3227" i="1"/>
  <c r="E241" i="1"/>
  <c r="E3749" i="1"/>
  <c r="E2609" i="1"/>
  <c r="E1293" i="1"/>
  <c r="E1775" i="1"/>
  <c r="E683" i="1"/>
  <c r="E1473" i="1"/>
  <c r="E517" i="1"/>
  <c r="E642" i="1"/>
  <c r="E1741" i="1"/>
  <c r="E2081" i="1"/>
  <c r="E1670" i="1"/>
  <c r="E1541" i="1"/>
  <c r="E1415" i="1"/>
  <c r="E1609" i="1"/>
  <c r="E3345" i="1"/>
  <c r="E3323" i="1"/>
  <c r="E1742" i="1"/>
  <c r="E4914" i="1"/>
  <c r="E996" i="1"/>
  <c r="E1074" i="1"/>
  <c r="E1734" i="1"/>
  <c r="E2427" i="1"/>
  <c r="E1787" i="1"/>
  <c r="E670" i="1"/>
  <c r="E4405" i="1"/>
  <c r="E1309" i="1"/>
  <c r="E2649" i="1"/>
  <c r="E2777" i="1"/>
  <c r="E679" i="1"/>
  <c r="E836" i="1"/>
  <c r="E2331" i="1"/>
  <c r="E1613" i="1"/>
  <c r="E237" i="1"/>
  <c r="E1537" i="1"/>
  <c r="E206" i="1"/>
  <c r="E1653" i="1"/>
  <c r="E113" i="1"/>
  <c r="E2534" i="1"/>
  <c r="E1046" i="1"/>
  <c r="E161" i="1"/>
  <c r="E4660" i="1"/>
  <c r="E5122" i="1"/>
  <c r="E3946" i="1"/>
  <c r="E3455" i="1"/>
  <c r="E2106" i="1"/>
  <c r="E402" i="1"/>
  <c r="E535" i="1"/>
  <c r="E3548" i="1"/>
  <c r="E1366" i="1"/>
  <c r="E1378" i="1"/>
  <c r="E370" i="1"/>
  <c r="E4464" i="1"/>
  <c r="E2075" i="1"/>
  <c r="E5249" i="1"/>
  <c r="E590" i="1"/>
  <c r="E2112" i="1"/>
  <c r="E1638" i="1"/>
  <c r="E1468" i="1"/>
  <c r="E734" i="1"/>
  <c r="E2356" i="1"/>
  <c r="E4595" i="1"/>
  <c r="E2169" i="1"/>
  <c r="E2221" i="1"/>
  <c r="E2469" i="1"/>
  <c r="E989" i="1"/>
  <c r="E1364" i="1"/>
  <c r="E4394" i="1"/>
  <c r="E5294" i="1"/>
  <c r="E2335" i="1"/>
  <c r="E1147" i="1"/>
  <c r="E1805" i="1"/>
  <c r="E3097" i="1"/>
  <c r="E587" i="1"/>
  <c r="E3841" i="1"/>
  <c r="E974" i="1"/>
  <c r="E4763" i="1"/>
  <c r="E608" i="1"/>
  <c r="E412" i="1"/>
  <c r="E1428" i="1"/>
  <c r="E2180" i="1"/>
  <c r="E2047" i="1"/>
  <c r="E175" i="1"/>
  <c r="E2921" i="1"/>
  <c r="E596" i="1"/>
  <c r="E2070" i="1"/>
  <c r="E1414" i="1"/>
  <c r="E1153" i="1"/>
  <c r="E4935" i="1"/>
  <c r="E4929" i="1"/>
  <c r="E4192" i="1"/>
  <c r="E3395" i="1"/>
  <c r="E1648" i="1"/>
  <c r="E282" i="1"/>
  <c r="E2728" i="1"/>
  <c r="E898" i="1"/>
  <c r="E979" i="1"/>
  <c r="E2938" i="1"/>
  <c r="E2865" i="1"/>
  <c r="E1367" i="1"/>
  <c r="E1422" i="1"/>
  <c r="E3103" i="1"/>
  <c r="E1456" i="1"/>
  <c r="E601" i="1"/>
  <c r="E2874" i="1"/>
  <c r="E4329" i="1"/>
  <c r="E387" i="1"/>
  <c r="E2020" i="1"/>
  <c r="E1491" i="1"/>
  <c r="E1391" i="1"/>
  <c r="E1511" i="1"/>
  <c r="E195" i="1"/>
  <c r="E3158" i="1"/>
  <c r="E2925" i="1"/>
  <c r="E478" i="1"/>
  <c r="E1121" i="1"/>
  <c r="E5071" i="1"/>
  <c r="E4053" i="1"/>
  <c r="E626" i="1"/>
  <c r="E4825" i="1"/>
  <c r="E2891" i="1"/>
  <c r="E722" i="1"/>
  <c r="E803" i="1"/>
  <c r="E2375" i="1"/>
  <c r="E1039" i="1"/>
  <c r="E4730" i="1"/>
  <c r="E2725" i="1"/>
  <c r="E3334" i="1"/>
  <c r="E667" i="1"/>
  <c r="E2691" i="1"/>
  <c r="E1505" i="1"/>
  <c r="E4248" i="1"/>
  <c r="E40" i="1"/>
  <c r="E2187" i="1"/>
  <c r="E1972" i="1"/>
  <c r="E5089" i="1"/>
  <c r="E1744" i="1"/>
  <c r="E665" i="1"/>
  <c r="E2407" i="1"/>
  <c r="E1506" i="1"/>
  <c r="E1677" i="1"/>
  <c r="E2839" i="1"/>
  <c r="E607" i="1"/>
  <c r="E2650" i="1"/>
  <c r="E502" i="1"/>
  <c r="E413" i="1"/>
  <c r="E2591" i="1"/>
  <c r="E2883" i="1"/>
  <c r="E1113" i="1"/>
  <c r="E3919" i="1"/>
  <c r="E1642" i="1"/>
  <c r="E99" i="1"/>
  <c r="E4620" i="1"/>
  <c r="E2420" i="1"/>
  <c r="E2895" i="1"/>
  <c r="E465" i="1"/>
  <c r="E148" i="1"/>
  <c r="E920" i="1"/>
  <c r="E2661" i="1"/>
  <c r="E567" i="1"/>
  <c r="E1053" i="1"/>
  <c r="E691" i="1"/>
  <c r="E2555" i="1"/>
  <c r="E4517" i="1"/>
  <c r="E406" i="1"/>
  <c r="E1888" i="1"/>
  <c r="E312" i="1"/>
  <c r="E865" i="1"/>
  <c r="E4870" i="1"/>
  <c r="E2554" i="1"/>
  <c r="E267" i="1"/>
  <c r="E155" i="1"/>
  <c r="E290" i="1"/>
  <c r="E3438" i="1"/>
  <c r="E1423" i="1"/>
  <c r="E1313" i="1"/>
  <c r="E227" i="1"/>
  <c r="E1027" i="1"/>
  <c r="E3243" i="1"/>
  <c r="E724" i="1"/>
  <c r="E2224" i="1"/>
  <c r="E1824" i="1"/>
  <c r="E1749" i="1"/>
  <c r="E1793" i="1"/>
  <c r="E844" i="1"/>
  <c r="E3981" i="1"/>
  <c r="E904" i="1"/>
  <c r="E612" i="1"/>
  <c r="E2474" i="1"/>
  <c r="E2353" i="1"/>
  <c r="E1866" i="1"/>
  <c r="E1476" i="1"/>
  <c r="E1675" i="1"/>
  <c r="E3153" i="1"/>
  <c r="E3542" i="1"/>
  <c r="E1175" i="1"/>
  <c r="E712" i="1"/>
  <c r="E2006" i="1"/>
  <c r="E1774" i="1"/>
  <c r="E2301" i="1"/>
  <c r="E2449" i="1"/>
  <c r="E1962" i="1"/>
  <c r="E4954" i="1"/>
  <c r="E1593" i="1"/>
  <c r="E4245" i="1"/>
  <c r="E1214" i="1"/>
  <c r="E1099" i="1"/>
  <c r="E268" i="1"/>
  <c r="E671" i="1"/>
  <c r="E4482" i="1"/>
  <c r="E4638" i="1"/>
  <c r="E3869" i="1"/>
  <c r="E3195" i="1"/>
  <c r="E2051" i="1"/>
  <c r="E1278" i="1"/>
  <c r="E242" i="1"/>
  <c r="E1673" i="1"/>
  <c r="E3228" i="1"/>
  <c r="E285" i="1"/>
  <c r="E630" i="1"/>
  <c r="E1779" i="1"/>
  <c r="E4322" i="1"/>
  <c r="E3659" i="1"/>
  <c r="E3368" i="1"/>
  <c r="E4921" i="1"/>
  <c r="E2807" i="1"/>
  <c r="E2592" i="1"/>
  <c r="E154" i="1"/>
  <c r="E687" i="1"/>
  <c r="E2515" i="1"/>
  <c r="E2899" i="1"/>
  <c r="E3707" i="1"/>
  <c r="E4080" i="1"/>
  <c r="E2627" i="1"/>
  <c r="E1955" i="1"/>
  <c r="E5246" i="1"/>
  <c r="E88" i="1"/>
  <c r="E217" i="1"/>
  <c r="E2095" i="1"/>
  <c r="E638" i="1"/>
  <c r="E323" i="1"/>
  <c r="E702" i="1"/>
  <c r="E1662" i="1"/>
  <c r="E1997" i="1"/>
  <c r="E2286" i="1"/>
  <c r="E1850" i="1"/>
  <c r="E3806" i="1"/>
  <c r="E4281" i="1"/>
  <c r="E2854" i="1"/>
  <c r="E2735" i="1"/>
  <c r="E132" i="1"/>
  <c r="E417" i="1"/>
  <c r="E1281" i="1"/>
  <c r="E1472" i="1"/>
  <c r="E265" i="1"/>
  <c r="E454" i="1"/>
  <c r="E266" i="1"/>
  <c r="E2077" i="1"/>
  <c r="E2551" i="1"/>
  <c r="E3476" i="1"/>
  <c r="E291" i="1"/>
  <c r="E146" i="1"/>
  <c r="E3168" i="1"/>
  <c r="E713" i="1"/>
  <c r="E3436" i="1"/>
  <c r="E3415" i="1"/>
  <c r="E958" i="1"/>
  <c r="E2918" i="1"/>
  <c r="E2504" i="1"/>
  <c r="E524" i="1"/>
  <c r="E5026" i="1"/>
  <c r="E1894" i="1"/>
  <c r="E2896" i="1"/>
  <c r="E1915" i="1"/>
  <c r="E534" i="1"/>
  <c r="E1249" i="1"/>
  <c r="E2739" i="1"/>
  <c r="E639" i="1"/>
  <c r="E2264" i="1"/>
  <c r="E4753" i="1"/>
  <c r="E3750" i="1"/>
  <c r="E603" i="1"/>
  <c r="E3194" i="1"/>
  <c r="E1444" i="1"/>
  <c r="E4597" i="1"/>
  <c r="E296" i="1"/>
  <c r="E1724" i="1"/>
  <c r="E2046" i="1"/>
  <c r="E2324" i="1"/>
  <c r="E145" i="1"/>
  <c r="E1406" i="1"/>
  <c r="E1564" i="1"/>
  <c r="E3862" i="1"/>
  <c r="E1508" i="1"/>
  <c r="E3046" i="1"/>
  <c r="E893" i="1"/>
  <c r="E5234" i="1"/>
  <c r="E3118" i="1"/>
  <c r="E2009" i="1"/>
  <c r="E4946" i="1"/>
  <c r="E170" i="1"/>
  <c r="E1248" i="1"/>
  <c r="E2439" i="1"/>
  <c r="E3261" i="1"/>
  <c r="E655" i="1"/>
  <c r="E2253" i="1"/>
  <c r="E887" i="1"/>
  <c r="E1067" i="1"/>
  <c r="E2059" i="1"/>
  <c r="E18" i="1"/>
  <c r="E441" i="1"/>
  <c r="E131" i="1"/>
  <c r="E3967" i="1"/>
  <c r="E2250" i="1"/>
  <c r="E2886" i="1"/>
  <c r="E4092" i="1"/>
  <c r="E5283" i="1"/>
  <c r="E2530" i="1"/>
  <c r="E1627" i="1"/>
  <c r="E4223" i="1"/>
  <c r="E4426" i="1"/>
  <c r="E367" i="1"/>
  <c r="E4505" i="1"/>
  <c r="E4395" i="1"/>
  <c r="E2082" i="1"/>
  <c r="E3013" i="1"/>
  <c r="E1368" i="1"/>
  <c r="E2508" i="1"/>
  <c r="E4134" i="1"/>
  <c r="E1303" i="1"/>
  <c r="E1643" i="1"/>
  <c r="E2244" i="1"/>
  <c r="E52" i="1"/>
  <c r="E482" i="1"/>
  <c r="E244" i="1"/>
  <c r="E220" i="1"/>
  <c r="E1750" i="1"/>
  <c r="E1163" i="1"/>
  <c r="E4701" i="1"/>
  <c r="E81" i="1"/>
  <c r="E1931" i="1"/>
  <c r="E1127" i="1"/>
  <c r="E1540" i="1"/>
  <c r="E360" i="1"/>
  <c r="E2928" i="1"/>
  <c r="E922" i="1"/>
  <c r="E3470" i="1"/>
  <c r="E1457" i="1"/>
  <c r="E2570" i="1"/>
  <c r="E1827" i="1"/>
  <c r="E622" i="1"/>
  <c r="E2908" i="1"/>
  <c r="E1605" i="1"/>
  <c r="E2514" i="1"/>
  <c r="E2884" i="1"/>
  <c r="E380" i="1"/>
  <c r="E2345" i="1"/>
  <c r="E1106" i="1"/>
  <c r="E4584" i="1"/>
  <c r="E281" i="1"/>
  <c r="E481" i="1"/>
  <c r="E4286" i="1"/>
  <c r="E1211" i="1"/>
  <c r="E2181" i="1"/>
  <c r="E1973" i="1"/>
  <c r="E942" i="1"/>
  <c r="E2363" i="1"/>
  <c r="E4472" i="1"/>
  <c r="E1971" i="1"/>
  <c r="E2960" i="1"/>
  <c r="E939" i="1"/>
  <c r="E3196" i="1"/>
  <c r="E884" i="1"/>
  <c r="E4536" i="1"/>
  <c r="E2003" i="1"/>
  <c r="E793" i="1"/>
  <c r="E2033" i="1"/>
  <c r="E2779" i="1"/>
  <c r="E2473" i="1"/>
  <c r="E1390" i="1"/>
  <c r="E204" i="1"/>
  <c r="E3340" i="1"/>
  <c r="E1697" i="1"/>
  <c r="E1857" i="1"/>
  <c r="E1261" i="1"/>
  <c r="E224" i="1"/>
  <c r="E4277" i="1"/>
  <c r="E3532" i="1"/>
  <c r="E1656" i="1"/>
  <c r="E572" i="1"/>
  <c r="E1091" i="1"/>
  <c r="E1369" i="1"/>
  <c r="E1889" i="1"/>
  <c r="E1680" i="1"/>
  <c r="E3757" i="1"/>
  <c r="E2380" i="1"/>
  <c r="E427" i="1"/>
  <c r="E2714" i="1"/>
  <c r="E1716" i="1"/>
  <c r="E5300" i="1"/>
  <c r="E964" i="1"/>
  <c r="E1754" i="1"/>
  <c r="E3951" i="1"/>
  <c r="E867" i="1"/>
  <c r="E3920" i="1"/>
  <c r="E5052" i="1"/>
  <c r="E4704" i="1"/>
  <c r="E2389" i="1"/>
  <c r="E1441" i="1"/>
  <c r="E1606" i="1"/>
  <c r="E187" i="1"/>
  <c r="E564" i="1"/>
  <c r="E1844" i="1"/>
  <c r="E757" i="1"/>
  <c r="E1337" i="1"/>
  <c r="E1583" i="1"/>
  <c r="E1066" i="1"/>
  <c r="E2097" i="1"/>
  <c r="E65" i="1"/>
  <c r="E2448" i="1"/>
  <c r="E2716" i="1"/>
  <c r="E3789" i="1"/>
  <c r="E2819" i="1"/>
  <c r="E1405" i="1"/>
  <c r="E3101" i="1"/>
  <c r="E3758" i="1"/>
  <c r="E1794" i="1"/>
  <c r="E1510" i="1"/>
  <c r="E539" i="1"/>
  <c r="E13" i="1"/>
  <c r="E2750" i="1"/>
  <c r="E2143" i="1"/>
  <c r="E4077" i="1"/>
  <c r="E1701" i="1"/>
  <c r="E445" i="1"/>
  <c r="E2775" i="1"/>
  <c r="E2245" i="1"/>
  <c r="E2366" i="1"/>
  <c r="E1081" i="1"/>
  <c r="E1706" i="1"/>
  <c r="E4467" i="1"/>
  <c r="E700" i="1"/>
  <c r="E2601" i="1"/>
  <c r="E4754" i="1"/>
  <c r="E4478" i="1"/>
  <c r="E2974" i="1"/>
  <c r="E3780" i="1"/>
  <c r="E1660" i="1"/>
  <c r="E484" i="1"/>
  <c r="E1736" i="1"/>
  <c r="E1440" i="1"/>
  <c r="E506" i="1"/>
  <c r="E2757" i="1"/>
  <c r="E1996" i="1"/>
  <c r="E3099" i="1"/>
  <c r="E3832" i="1"/>
  <c r="E5355" i="1"/>
  <c r="E61" i="1"/>
  <c r="E2372" i="1"/>
  <c r="E2888" i="1"/>
  <c r="E1751" i="1"/>
  <c r="E3199" i="1"/>
  <c r="E2862" i="1"/>
  <c r="E3237" i="1"/>
  <c r="E783" i="1"/>
  <c r="E450" i="1"/>
  <c r="E4332" i="1"/>
  <c r="E3039" i="1"/>
  <c r="E4182" i="1"/>
  <c r="E264" i="1"/>
  <c r="E4310" i="1"/>
  <c r="E2313" i="1"/>
  <c r="E44" i="1"/>
  <c r="E1753" i="1"/>
  <c r="E313" i="1"/>
  <c r="E1328" i="1"/>
  <c r="E1125" i="1"/>
  <c r="E2208" i="1"/>
  <c r="E3062" i="1"/>
  <c r="E5352" i="1"/>
  <c r="E2013" i="1"/>
  <c r="E77" i="1"/>
  <c r="E574" i="1"/>
  <c r="E536" i="1"/>
  <c r="E3020" i="1"/>
  <c r="E419" i="1"/>
  <c r="E2039" i="1"/>
  <c r="E4655" i="1"/>
  <c r="E4002" i="1"/>
  <c r="E2764" i="1"/>
  <c r="E4768" i="1"/>
  <c r="E3756" i="1"/>
  <c r="E1732" i="1"/>
  <c r="E531" i="1"/>
  <c r="E5290" i="1"/>
  <c r="E1808" i="1"/>
  <c r="E1263" i="1"/>
  <c r="E1576" i="1"/>
  <c r="E2467" i="1"/>
  <c r="E1139" i="1"/>
  <c r="E3944" i="1"/>
  <c r="E5331" i="1"/>
  <c r="E2344" i="1"/>
  <c r="E3950" i="1"/>
  <c r="E2825" i="1"/>
  <c r="E4698" i="1"/>
  <c r="E2685" i="1"/>
  <c r="E4876" i="1"/>
  <c r="E1159" i="1"/>
  <c r="E2944" i="1"/>
  <c r="E1841" i="1"/>
  <c r="E611" i="1"/>
  <c r="E2441" i="1"/>
  <c r="E1142" i="1"/>
  <c r="E3767" i="1"/>
  <c r="E1961" i="1"/>
  <c r="E540" i="1"/>
  <c r="E3511" i="1"/>
  <c r="E2653" i="1"/>
  <c r="E3802" i="1"/>
  <c r="E2760" i="1"/>
  <c r="E4521" i="1"/>
  <c r="E3085" i="1"/>
  <c r="E1345" i="1"/>
  <c r="E2232" i="1"/>
  <c r="E2235" i="1"/>
  <c r="E2296" i="1"/>
  <c r="E2632" i="1"/>
  <c r="E555" i="1"/>
  <c r="E1203" i="1"/>
  <c r="E1308" i="1"/>
  <c r="E1398" i="1"/>
  <c r="E1072" i="1"/>
  <c r="E398" i="1"/>
  <c r="E2746" i="1"/>
  <c r="E156" i="1"/>
  <c r="E456" i="1"/>
  <c r="E2478" i="1"/>
  <c r="E938" i="1"/>
  <c r="E4480" i="1"/>
  <c r="E874" i="1"/>
  <c r="E444" i="1"/>
  <c r="E3503" i="1"/>
  <c r="E2656" i="1"/>
  <c r="E1770" i="1"/>
  <c r="E3417" i="1"/>
  <c r="E3159" i="1"/>
  <c r="E1963" i="1"/>
  <c r="E418" i="1"/>
  <c r="E520" i="1"/>
  <c r="E423" i="1"/>
  <c r="E1290" i="1"/>
  <c r="E174" i="1"/>
  <c r="E2827" i="1"/>
  <c r="E984" i="1"/>
  <c r="E1008" i="1"/>
  <c r="E2646" i="1"/>
  <c r="E1877" i="1"/>
  <c r="E415" i="1"/>
  <c r="E3152" i="1"/>
  <c r="E4352" i="1"/>
  <c r="E1148" i="1"/>
  <c r="E1341" i="1"/>
  <c r="E921" i="1"/>
  <c r="E54" i="1"/>
  <c r="E3414" i="1"/>
  <c r="E274" i="1"/>
  <c r="E2641" i="1"/>
  <c r="E1967" i="1"/>
  <c r="E498" i="1"/>
  <c r="E275" i="1"/>
  <c r="E1129" i="1"/>
  <c r="E907" i="1"/>
  <c r="E1161" i="1"/>
  <c r="E182" i="1"/>
  <c r="E2278" i="1"/>
  <c r="E690" i="1"/>
  <c r="E804" i="1"/>
  <c r="E771" i="1"/>
  <c r="E4950" i="1"/>
  <c r="E2996" i="1"/>
  <c r="E3882" i="1"/>
  <c r="E2858" i="1"/>
  <c r="E3676" i="1"/>
  <c r="E3740" i="1"/>
  <c r="E392" i="1"/>
  <c r="E141" i="1"/>
  <c r="E4627" i="1"/>
  <c r="E2543" i="1"/>
  <c r="E1011" i="1"/>
  <c r="E1240" i="1"/>
  <c r="E1733" i="1"/>
  <c r="E1926" i="1"/>
  <c r="E3129" i="1"/>
  <c r="E3792" i="1"/>
  <c r="E581" i="1"/>
  <c r="E2707" i="1"/>
  <c r="E1291" i="1"/>
  <c r="E3910" i="1"/>
  <c r="E1201" i="1"/>
  <c r="E1204" i="1"/>
  <c r="E4727" i="1"/>
  <c r="E3344" i="1"/>
  <c r="E3128" i="1"/>
  <c r="E90" i="1"/>
  <c r="E2462" i="1"/>
  <c r="E1950" i="1"/>
  <c r="E3143" i="1"/>
  <c r="E1879" i="1"/>
  <c r="E1180" i="1"/>
  <c r="E2734" i="1"/>
  <c r="E2015" i="1"/>
  <c r="E4563" i="1"/>
  <c r="E1848" i="1"/>
  <c r="E3115" i="1"/>
  <c r="E2978" i="1"/>
  <c r="E4154" i="1"/>
  <c r="E1407" i="1"/>
  <c r="E381" i="1"/>
  <c r="E1013" i="1"/>
  <c r="E2510" i="1"/>
  <c r="E4187" i="1"/>
  <c r="E1234" i="1"/>
  <c r="E4511" i="1"/>
  <c r="E3421" i="1"/>
  <c r="E3972" i="1"/>
  <c r="E573" i="1"/>
  <c r="E1038" i="1"/>
  <c r="E2104" i="1"/>
  <c r="E2423" i="1"/>
  <c r="E532" i="1"/>
  <c r="E3242" i="1"/>
  <c r="E480" i="1"/>
  <c r="E2159" i="1"/>
  <c r="E1918" i="1"/>
  <c r="E4112" i="1"/>
  <c r="E954" i="1"/>
  <c r="E4916" i="1"/>
  <c r="E2574" i="1"/>
  <c r="E1773" i="1"/>
  <c r="E166" i="1"/>
  <c r="E1363" i="1"/>
  <c r="E875" i="1"/>
  <c r="E1672" i="1"/>
  <c r="E410" i="1"/>
  <c r="E1158" i="1"/>
  <c r="E252" i="1"/>
  <c r="E1812" i="1"/>
  <c r="E1553" i="1"/>
  <c r="E1123" i="1"/>
  <c r="E2484" i="1"/>
  <c r="E1020" i="1"/>
  <c r="E2114" i="1"/>
  <c r="E1945" i="1"/>
  <c r="E1970" i="1"/>
  <c r="E649" i="1"/>
  <c r="E752" i="1"/>
  <c r="E1566" i="1"/>
  <c r="E1810" i="1"/>
  <c r="E2303" i="1"/>
  <c r="E2062" i="1"/>
  <c r="E457" i="1"/>
  <c r="E3387" i="1"/>
  <c r="E3327" i="1"/>
  <c r="E594" i="1"/>
  <c r="E852" i="1"/>
  <c r="E4353" i="1"/>
  <c r="E298" i="1"/>
  <c r="E1477" i="1"/>
  <c r="E4853" i="1"/>
  <c r="E4714" i="1"/>
  <c r="E1591" i="1"/>
  <c r="E2784" i="1"/>
  <c r="E1767" i="1"/>
  <c r="E439" i="1"/>
  <c r="E570" i="1"/>
  <c r="E738" i="1"/>
  <c r="E355" i="1"/>
  <c r="E4854" i="1"/>
  <c r="E2291" i="1"/>
  <c r="E1621" i="1"/>
  <c r="E1010" i="1"/>
  <c r="E2142" i="1"/>
  <c r="E1665" i="1"/>
  <c r="E3864" i="1"/>
  <c r="E2524" i="1"/>
  <c r="E239" i="1"/>
  <c r="E3443" i="1"/>
  <c r="E494" i="1"/>
  <c r="E3333" i="1"/>
  <c r="E351" i="1"/>
  <c r="E2682" i="1"/>
  <c r="E5018" i="1"/>
  <c r="E4373" i="1"/>
  <c r="E4919" i="1"/>
  <c r="E1432" i="1"/>
  <c r="E510" i="1"/>
  <c r="E3033" i="1"/>
  <c r="E1277" i="1"/>
  <c r="E1130" i="1"/>
  <c r="E3794" i="1"/>
  <c r="E1507" i="1"/>
  <c r="E3246" i="1"/>
  <c r="E1674" i="1"/>
  <c r="E1109" i="1"/>
  <c r="E2017" i="1"/>
  <c r="E115" i="1"/>
  <c r="E627" i="1"/>
  <c r="E1542" i="1"/>
  <c r="E1795" i="1"/>
  <c r="E824" i="1"/>
  <c r="E2459" i="1"/>
  <c r="E891" i="1"/>
  <c r="E384" i="1"/>
  <c r="E826" i="1"/>
  <c r="E1520" i="1"/>
  <c r="E2538" i="1"/>
  <c r="E3146" i="1"/>
  <c r="E3701" i="1"/>
  <c r="E4175" i="1"/>
  <c r="E1170" i="1"/>
  <c r="E2619" i="1"/>
  <c r="E772" i="1"/>
  <c r="E1080" i="1"/>
  <c r="E981" i="1"/>
  <c r="E2205" i="1"/>
  <c r="E3906" i="1"/>
  <c r="E3294" i="1"/>
  <c r="E458" i="1"/>
  <c r="E2052" i="1"/>
  <c r="E1614" i="1"/>
  <c r="E3231" i="1"/>
  <c r="E2851" i="1"/>
  <c r="E284" i="1"/>
  <c r="E5025" i="1"/>
  <c r="E3351" i="1"/>
  <c r="E2617" i="1"/>
  <c r="E4779" i="1"/>
  <c r="E1042" i="1"/>
  <c r="E35" i="1"/>
  <c r="E1182" i="1"/>
  <c r="E386" i="1"/>
  <c r="E1329" i="1"/>
  <c r="E995" i="1"/>
  <c r="E2165" i="1"/>
  <c r="E1615" i="1"/>
  <c r="E2955" i="1"/>
  <c r="E1852" i="1"/>
  <c r="E542" i="1"/>
  <c r="E3281" i="1"/>
  <c r="E181" i="1"/>
  <c r="E774" i="1"/>
  <c r="E4184" i="1"/>
  <c r="E1830" i="1"/>
  <c r="E1436" i="1"/>
  <c r="E1085" i="1"/>
  <c r="E2669" i="1"/>
  <c r="E3716" i="1"/>
  <c r="E2085" i="1"/>
  <c r="E4275" i="1"/>
  <c r="E737" i="1"/>
  <c r="E1166" i="1"/>
  <c r="E3984" i="1"/>
  <c r="E965" i="1"/>
  <c r="E660" i="1"/>
  <c r="E4501" i="1"/>
  <c r="E4697" i="1"/>
  <c r="E1383" i="1"/>
  <c r="E1087" i="1"/>
  <c r="E1578" i="1"/>
  <c r="E3220" i="1"/>
  <c r="E4216" i="1"/>
  <c r="E414" i="1"/>
  <c r="E990" i="1"/>
  <c r="E2119" i="1"/>
  <c r="E397" i="1"/>
  <c r="E835" i="1"/>
  <c r="E1874" i="1"/>
  <c r="E4816" i="1"/>
  <c r="E59" i="1"/>
  <c r="E1317" i="1"/>
  <c r="E2371" i="1"/>
  <c r="E2741" i="1"/>
  <c r="E1419" i="1"/>
  <c r="E1713" i="1"/>
  <c r="E3434" i="1"/>
  <c r="E960" i="1"/>
  <c r="E4474" i="1"/>
  <c r="E885" i="1"/>
  <c r="E809" i="1"/>
  <c r="E928" i="1"/>
  <c r="E579" i="1"/>
  <c r="E4731" i="1"/>
  <c r="E3169" i="1"/>
  <c r="E2027" i="1"/>
  <c r="E3505" i="1"/>
  <c r="E1555" i="1"/>
  <c r="E1594" i="1"/>
  <c r="E1998" i="1"/>
  <c r="E2399" i="1"/>
  <c r="E3709" i="1"/>
  <c r="E371" i="1"/>
  <c r="E742" i="1"/>
  <c r="E1134" i="1"/>
  <c r="E2569" i="1"/>
  <c r="E488" i="1"/>
  <c r="E1833" i="1"/>
  <c r="E1322" i="1"/>
  <c r="E746" i="1"/>
  <c r="E250" i="1"/>
  <c r="E3992" i="1"/>
  <c r="E201" i="1"/>
  <c r="E3141" i="1"/>
  <c r="E3214" i="1"/>
  <c r="E3420" i="1"/>
  <c r="E396" i="1"/>
  <c r="E2168" i="1"/>
  <c r="E845" i="1"/>
  <c r="E4544" i="1"/>
  <c r="E469" i="1"/>
  <c r="E846" i="1"/>
  <c r="E222" i="1"/>
  <c r="E1047" i="1"/>
  <c r="E5291" i="1"/>
  <c r="E5053" i="1"/>
  <c r="E4221" i="1"/>
  <c r="E231" i="1"/>
  <c r="E764" i="1"/>
  <c r="E4908" i="1"/>
  <c r="E3425" i="1"/>
  <c r="E1346" i="1"/>
  <c r="E3590" i="1"/>
  <c r="E37" i="1"/>
  <c r="E4388" i="1"/>
  <c r="E1493" i="1"/>
  <c r="E1111" i="1"/>
  <c r="E3034" i="1"/>
  <c r="E796" i="1"/>
  <c r="E2256" i="1"/>
  <c r="E4960" i="1"/>
  <c r="E838" i="1"/>
  <c r="E3309" i="1"/>
  <c r="E899" i="1"/>
  <c r="E3531" i="1"/>
  <c r="E4679" i="1"/>
  <c r="E2814" i="1"/>
  <c r="E55" i="1"/>
  <c r="E1462" i="1"/>
  <c r="E2384" i="1"/>
  <c r="E1331" i="1"/>
  <c r="E3224" i="1"/>
  <c r="E4246" i="1"/>
  <c r="E3136" i="1"/>
  <c r="E1516" i="1"/>
  <c r="E2740" i="1"/>
  <c r="E2506" i="1"/>
  <c r="E643" i="1"/>
  <c r="E1266" i="1"/>
  <c r="E3040" i="1"/>
  <c r="E2127" i="1"/>
  <c r="E343" i="1"/>
  <c r="E440" i="1"/>
  <c r="E2173" i="1"/>
  <c r="E1821" i="1"/>
  <c r="E3954" i="1"/>
  <c r="E3765" i="1"/>
  <c r="E2706" i="1"/>
  <c r="E358" i="1"/>
  <c r="E489" i="1"/>
  <c r="E2415" i="1"/>
  <c r="E943" i="1"/>
  <c r="E1831" i="1"/>
  <c r="E4135" i="1"/>
  <c r="E1907" i="1"/>
  <c r="E1513" i="1"/>
  <c r="E1222" i="1"/>
  <c r="E3479" i="1"/>
  <c r="E860" i="1"/>
  <c r="E1054" i="1"/>
  <c r="E730" i="1"/>
  <c r="E2700" i="1"/>
  <c r="E1280" i="1"/>
  <c r="E3547" i="1"/>
  <c r="E3850" i="1"/>
  <c r="E2843" i="1"/>
  <c r="E4279" i="1"/>
  <c r="E1771" i="1"/>
  <c r="E3357" i="1"/>
  <c r="E3714" i="1"/>
  <c r="E4596" i="1"/>
  <c r="E4153" i="1"/>
  <c r="E4598" i="1"/>
  <c r="E3466" i="1"/>
  <c r="E1796" i="1"/>
  <c r="E1021" i="1"/>
  <c r="E4995" i="1"/>
  <c r="E3860" i="1"/>
  <c r="E5148" i="1"/>
  <c r="E2397" i="1"/>
  <c r="E5020" i="1"/>
  <c r="E5050" i="1"/>
  <c r="E3768" i="1"/>
  <c r="E1561" i="1"/>
  <c r="E1271" i="1"/>
  <c r="E395" i="1"/>
  <c r="E1587" i="1"/>
  <c r="E4873" i="1"/>
  <c r="E967" i="1"/>
  <c r="E3416" i="1"/>
  <c r="E3302" i="1"/>
  <c r="E767" i="1"/>
  <c r="E3027" i="1"/>
  <c r="E2810" i="1"/>
  <c r="E1409" i="1"/>
  <c r="E2257" i="1"/>
  <c r="E24" i="1"/>
  <c r="E1045" i="1"/>
  <c r="E3686" i="1"/>
  <c r="E3036" i="1"/>
  <c r="E1746" i="1"/>
  <c r="E696" i="1"/>
  <c r="E1582" i="1"/>
  <c r="E1817" i="1"/>
  <c r="E2614" i="1"/>
  <c r="E4179" i="1"/>
  <c r="E4441" i="1"/>
  <c r="E4425" i="1"/>
  <c r="E2783" i="1"/>
  <c r="E2246" i="1"/>
  <c r="E1586" i="1"/>
  <c r="E3997" i="1"/>
  <c r="E2786" i="1"/>
  <c r="E1326" i="1"/>
  <c r="E1959" i="1"/>
  <c r="E5315" i="1"/>
  <c r="E4869" i="1"/>
  <c r="E1237" i="1"/>
  <c r="E5114" i="1"/>
  <c r="E4140" i="1"/>
  <c r="E4409" i="1"/>
  <c r="E1208" i="1"/>
  <c r="E5220" i="1"/>
  <c r="E4066" i="1"/>
  <c r="E1195" i="1"/>
  <c r="E4548" i="1"/>
  <c r="E2429" i="1"/>
  <c r="E435" i="1"/>
  <c r="E4865" i="1"/>
  <c r="E4249" i="1"/>
  <c r="E2861" i="1"/>
  <c r="E5057" i="1"/>
  <c r="E2395" i="1"/>
  <c r="E5211" i="1"/>
  <c r="E3861" i="1"/>
  <c r="E4324" i="1"/>
  <c r="E3489" i="1"/>
  <c r="E4253" i="1"/>
  <c r="E4390" i="1"/>
  <c r="E1246" i="1"/>
  <c r="E2727" i="1"/>
  <c r="E2624" i="1"/>
  <c r="E4694" i="1"/>
  <c r="E3210" i="1"/>
  <c r="E3277" i="1"/>
  <c r="E3459" i="1"/>
  <c r="E1987" i="1"/>
  <c r="E3840" i="1"/>
  <c r="E4198" i="1"/>
  <c r="E2866" i="1"/>
  <c r="E598" i="1"/>
  <c r="E516" i="1"/>
  <c r="E2031" i="1"/>
  <c r="E5212" i="1"/>
  <c r="E3546" i="1"/>
  <c r="E3468" i="1"/>
  <c r="E2364" i="1"/>
  <c r="E2092" i="1"/>
  <c r="E5326" i="1"/>
  <c r="E828" i="1"/>
  <c r="E4021" i="1"/>
  <c r="E1165" i="1"/>
  <c r="E162" i="1"/>
  <c r="E4256" i="1"/>
  <c r="E4399" i="1"/>
  <c r="E1186" i="1"/>
  <c r="E931" i="1"/>
  <c r="E4836" i="1"/>
  <c r="E1625" i="1"/>
  <c r="E4881" i="1"/>
  <c r="E2823" i="1"/>
  <c r="E3166" i="1"/>
  <c r="E5170" i="1"/>
  <c r="E4610" i="1"/>
  <c r="E2513" i="1"/>
  <c r="E4161" i="1"/>
  <c r="E4156" i="1"/>
  <c r="E3087" i="1"/>
  <c r="E5192" i="1"/>
  <c r="E3102" i="1"/>
  <c r="E2875" i="1"/>
  <c r="E2182" i="1"/>
  <c r="E2362" i="1"/>
  <c r="E4943" i="1"/>
  <c r="E2977" i="1"/>
  <c r="E4023" i="1"/>
  <c r="E1637" i="1"/>
  <c r="E1498" i="1"/>
  <c r="E4648" i="1"/>
  <c r="E1023" i="1"/>
  <c r="E523" i="1"/>
  <c r="E1695" i="1"/>
  <c r="E5348" i="1"/>
  <c r="E3587" i="1"/>
  <c r="E331" i="1"/>
  <c r="E3782" i="1"/>
  <c r="E4343" i="1"/>
  <c r="E2456" i="1"/>
  <c r="E4772" i="1"/>
  <c r="E3770" i="1"/>
  <c r="E2729" i="1"/>
  <c r="E2365" i="1"/>
  <c r="E4561" i="1"/>
  <c r="E565" i="1"/>
  <c r="E4193" i="1"/>
  <c r="E3490" i="1"/>
  <c r="E1229" i="1"/>
  <c r="E1057" i="1"/>
  <c r="E3467" i="1"/>
  <c r="E1661" i="1"/>
  <c r="E4235" i="1"/>
  <c r="E496" i="1"/>
  <c r="E3837" i="1"/>
  <c r="E327" i="1"/>
  <c r="E4806" i="1"/>
  <c r="E5240" i="1"/>
  <c r="E53" i="1"/>
  <c r="E4338" i="1"/>
  <c r="E114" i="1"/>
  <c r="E2802" i="1"/>
  <c r="E2999" i="1"/>
  <c r="E2837" i="1"/>
  <c r="E2859" i="1"/>
  <c r="E2195" i="1"/>
  <c r="E2025" i="1"/>
  <c r="E4089" i="1"/>
  <c r="E1912" i="1"/>
  <c r="E1404" i="1"/>
  <c r="E3394" i="1"/>
  <c r="E4145" i="1"/>
  <c r="E726" i="1"/>
  <c r="E3491" i="1"/>
  <c r="E4576" i="1"/>
  <c r="E2828" i="1"/>
  <c r="E4011" i="1"/>
  <c r="E2347" i="1"/>
  <c r="E192" i="1"/>
  <c r="E3245" i="1"/>
  <c r="E1882" i="1"/>
  <c r="E2019" i="1"/>
  <c r="E1427" i="1"/>
  <c r="E3150" i="1"/>
  <c r="E1095" i="1"/>
  <c r="E3816" i="1"/>
  <c r="E1275" i="1"/>
  <c r="E2521" i="1"/>
  <c r="E2737" i="1"/>
  <c r="E2177" i="1"/>
  <c r="E3876" i="1"/>
  <c r="E545" i="1"/>
  <c r="E3718" i="1"/>
  <c r="E2444" i="1"/>
  <c r="E4297" i="1"/>
  <c r="E4311" i="1"/>
  <c r="E1255" i="1"/>
  <c r="E4241" i="1"/>
  <c r="E1424" i="1"/>
  <c r="E2989" i="1"/>
  <c r="E2265" i="1"/>
  <c r="E2271" i="1"/>
  <c r="E4857" i="1"/>
  <c r="E4799" i="1"/>
  <c r="E2719" i="1"/>
  <c r="E2952" i="1"/>
  <c r="E3821" i="1"/>
  <c r="E1934" i="1"/>
  <c r="E4716" i="1"/>
  <c r="E4725" i="1"/>
  <c r="E848" i="1"/>
  <c r="E1900" i="1"/>
  <c r="E2032" i="1"/>
  <c r="E2763" i="1"/>
  <c r="E616" i="1"/>
  <c r="E1722" i="1"/>
  <c r="E1725" i="1"/>
  <c r="E3069" i="1"/>
  <c r="E945" i="1"/>
  <c r="E859" i="1"/>
  <c r="E4411" i="1"/>
  <c r="E4930" i="1"/>
  <c r="E1663" i="1"/>
  <c r="E4939" i="1"/>
  <c r="E1017" i="1"/>
  <c r="E4685" i="1"/>
  <c r="E1096" i="1"/>
  <c r="E3364" i="1"/>
  <c r="E1829" i="1"/>
  <c r="E2390" i="1"/>
  <c r="E3527" i="1"/>
  <c r="E673" i="1"/>
  <c r="E3744" i="1"/>
  <c r="E1946" i="1"/>
  <c r="E2242" i="1"/>
  <c r="E2370" i="1"/>
  <c r="E97" i="1"/>
  <c r="E2626" i="1"/>
  <c r="E2090" i="1"/>
  <c r="E2501" i="1"/>
  <c r="E2024" i="1"/>
  <c r="E4807" i="1"/>
  <c r="E2920" i="1"/>
  <c r="E271" i="1"/>
  <c r="E121" i="1"/>
  <c r="E2588" i="1"/>
  <c r="E1442" i="1"/>
  <c r="E2598" i="1"/>
  <c r="E2903" i="1"/>
  <c r="E621" i="1"/>
  <c r="E363" i="1"/>
  <c r="E3071" i="1"/>
  <c r="E2065" i="1"/>
  <c r="E3516" i="1"/>
  <c r="E2314" i="1"/>
  <c r="E305" i="1"/>
  <c r="E2494" i="1"/>
  <c r="E2197" i="1"/>
  <c r="E3286" i="1"/>
  <c r="E2766" i="1"/>
  <c r="E5013" i="1"/>
  <c r="E2435" i="1"/>
  <c r="E2583" i="1"/>
  <c r="E2869" i="1"/>
  <c r="E60" i="1"/>
  <c r="E4143" i="1"/>
  <c r="E3335" i="1"/>
  <c r="E2121" i="1"/>
  <c r="E3923" i="1"/>
  <c r="E4407" i="1"/>
  <c r="E3805" i="1"/>
  <c r="E2455" i="1"/>
  <c r="E1604" i="1"/>
  <c r="E2495" i="1"/>
  <c r="E3964" i="1"/>
  <c r="E30" i="1"/>
  <c r="E5092" i="1"/>
  <c r="E1777" i="1"/>
  <c r="E3235" i="1"/>
  <c r="E3859" i="1"/>
  <c r="E5253" i="1"/>
  <c r="E4040" i="1"/>
  <c r="E3170" i="1"/>
  <c r="E1699" i="1"/>
  <c r="E3610" i="1"/>
  <c r="E729" i="1"/>
  <c r="E2831" i="1"/>
  <c r="E3673" i="1"/>
  <c r="E1239" i="1"/>
  <c r="E2414" i="1"/>
  <c r="E3204" i="1"/>
  <c r="E4647" i="1"/>
  <c r="E2607" i="1"/>
  <c r="E1835" i="1"/>
  <c r="E3331" i="1"/>
  <c r="E4389" i="1"/>
  <c r="E4888" i="1"/>
  <c r="E163" i="1"/>
  <c r="E5115" i="1"/>
  <c r="E3363" i="1"/>
  <c r="E3197" i="1"/>
  <c r="E3730" i="1"/>
  <c r="E5206" i="1"/>
  <c r="E1869" i="1"/>
  <c r="E2445" i="1"/>
  <c r="E2393" i="1"/>
  <c r="E1899" i="1"/>
  <c r="E11" i="1"/>
  <c r="E3927" i="1"/>
  <c r="E1819" i="1"/>
  <c r="E4455" i="1"/>
  <c r="E3562" i="1"/>
  <c r="E4319" i="1"/>
  <c r="E1676" i="1"/>
  <c r="E2152" i="1"/>
  <c r="E2176" i="1"/>
  <c r="E3743" i="1"/>
  <c r="E1105" i="1"/>
  <c r="E1336" i="1"/>
  <c r="E3962" i="1"/>
  <c r="E2726" i="1"/>
  <c r="E4823" i="1"/>
  <c r="E2708" i="1"/>
  <c r="E3311" i="1"/>
  <c r="E4626" i="1"/>
  <c r="E815" i="1"/>
  <c r="E3367" i="1"/>
  <c r="E4628" i="1"/>
  <c r="E5164" i="1"/>
  <c r="E1279" i="1"/>
  <c r="E303" i="1"/>
  <c r="E4633" i="1"/>
  <c r="E1921" i="1"/>
  <c r="E56" i="1"/>
  <c r="E751" i="1"/>
  <c r="E1071" i="1"/>
  <c r="E461" i="1"/>
  <c r="E1937" i="1"/>
  <c r="E2631" i="1"/>
  <c r="E280" i="1"/>
  <c r="E3173" i="1"/>
  <c r="E901" i="1"/>
  <c r="E2307" i="1"/>
  <c r="E1283" i="1"/>
  <c r="E3775" i="1"/>
  <c r="E1068" i="1"/>
  <c r="E3823" i="1"/>
  <c r="E4611" i="1"/>
  <c r="E2935" i="1"/>
  <c r="E3665" i="1"/>
  <c r="E3254" i="1"/>
  <c r="E4448" i="1"/>
  <c r="E4042" i="1"/>
  <c r="E2116" i="1"/>
  <c r="E1847" i="1"/>
  <c r="E854" i="1"/>
  <c r="E1102" i="1"/>
  <c r="E4440" i="1"/>
  <c r="E2773" i="1"/>
  <c r="E1985" i="1"/>
  <c r="E3239" i="1"/>
  <c r="E2129" i="1"/>
  <c r="E941" i="1"/>
  <c r="E1193" i="1"/>
  <c r="E566" i="1"/>
  <c r="E57" i="1"/>
  <c r="E2664" i="1"/>
  <c r="E4538" i="1"/>
  <c r="E3202" i="1"/>
  <c r="E3629" i="1"/>
  <c r="E3282" i="1"/>
  <c r="E3011" i="1"/>
  <c r="E3410" i="1"/>
  <c r="E1446" i="1"/>
  <c r="E2927" i="1"/>
  <c r="E3488" i="1"/>
  <c r="E3082" i="1"/>
  <c r="E3256" i="1"/>
  <c r="E1669" i="1"/>
  <c r="E2998" i="1"/>
  <c r="E2805" i="1"/>
  <c r="E4398" i="1"/>
  <c r="E4420" i="1"/>
  <c r="E664" i="1"/>
  <c r="E1063" i="1"/>
  <c r="E3731" i="1"/>
  <c r="E452" i="1"/>
  <c r="E1622" i="1"/>
  <c r="E3003" i="1"/>
  <c r="E5068" i="1"/>
  <c r="E2130" i="1"/>
  <c r="E3970" i="1"/>
  <c r="E3252" i="1"/>
  <c r="E4028" i="1"/>
  <c r="E4094" i="1"/>
  <c r="E4384" i="1"/>
  <c r="E186" i="1"/>
  <c r="E985" i="1"/>
  <c r="E342" i="1"/>
  <c r="E2295" i="1"/>
  <c r="E1393" i="1"/>
  <c r="E1253" i="1"/>
  <c r="E3073" i="1"/>
  <c r="E2034" i="1"/>
  <c r="E1558" i="1"/>
  <c r="E1339" i="1"/>
  <c r="E1738" i="1"/>
  <c r="E1453" i="1"/>
  <c r="E529" i="1"/>
  <c r="E9" i="1"/>
  <c r="E3568" i="1"/>
  <c r="E5313" i="1"/>
  <c r="E666" i="1"/>
  <c r="E349" i="1"/>
  <c r="E3976" i="1"/>
  <c r="E593" i="1"/>
  <c r="E2312" i="1"/>
  <c r="E3178" i="1"/>
  <c r="E4875" i="1"/>
  <c r="E2563" i="1"/>
  <c r="E2821" i="1"/>
  <c r="E33" i="1"/>
  <c r="E2412" i="1"/>
  <c r="E2108" i="1"/>
  <c r="E4052" i="1"/>
  <c r="E1438" i="1"/>
  <c r="E3727" i="1"/>
  <c r="E1001" i="1"/>
  <c r="E5128" i="1"/>
  <c r="E2816" i="1"/>
  <c r="E3598" i="1"/>
  <c r="E2987" i="1"/>
  <c r="E3175" i="1"/>
  <c r="E5307" i="1"/>
  <c r="E1655" i="1"/>
  <c r="E3607" i="1"/>
  <c r="E5061" i="1"/>
  <c r="E817" i="1"/>
  <c r="E4634" i="1"/>
  <c r="E5204" i="1"/>
  <c r="E467" i="1"/>
  <c r="E2496" i="1"/>
  <c r="E857" i="1"/>
  <c r="E1019" i="1"/>
  <c r="E4371" i="1"/>
  <c r="E2446" i="1"/>
  <c r="E14" i="1"/>
  <c r="E5316" i="1"/>
  <c r="E814" i="1"/>
  <c r="E3717" i="1"/>
  <c r="E3226" i="1"/>
  <c r="E3945" i="1"/>
  <c r="E3279" i="1"/>
  <c r="E816" i="1"/>
  <c r="E4012" i="1"/>
  <c r="E2079" i="1"/>
  <c r="E5182" i="1"/>
  <c r="E5129" i="1"/>
  <c r="E1530" i="1"/>
  <c r="E2937" i="1"/>
  <c r="E606" i="1"/>
  <c r="E330" i="1"/>
  <c r="E3891" i="1"/>
  <c r="E4776" i="1"/>
  <c r="E3191" i="1"/>
  <c r="E4284" i="1"/>
  <c r="E2083" i="1"/>
  <c r="E1884" i="1"/>
  <c r="E4016" i="1"/>
  <c r="E3520" i="1"/>
  <c r="E3264" i="1"/>
  <c r="E4265" i="1"/>
  <c r="E5243" i="1"/>
  <c r="E1823" i="1"/>
  <c r="E547" i="1"/>
  <c r="E1873" i="1"/>
  <c r="E62" i="1"/>
  <c r="E3566" i="1"/>
  <c r="E2678" i="1"/>
  <c r="E219" i="1"/>
  <c r="E3056" i="1"/>
  <c r="E4932" i="1"/>
  <c r="E1634" i="1"/>
  <c r="E4432" i="1"/>
  <c r="E210" i="1"/>
  <c r="E1880" i="1"/>
  <c r="E1300" i="1"/>
  <c r="E3820" i="1"/>
  <c r="E813" i="1"/>
  <c r="E3799" i="1"/>
  <c r="E2118" i="1"/>
  <c r="E3024" i="1"/>
  <c r="E4342" i="1"/>
  <c r="E404" i="1"/>
  <c r="E178" i="1"/>
  <c r="E878" i="1"/>
  <c r="E3825" i="1"/>
  <c r="E2900" i="1"/>
  <c r="E3124" i="1"/>
  <c r="E2812" i="1"/>
  <c r="E3828" i="1"/>
  <c r="E1960" i="1"/>
  <c r="E1602" i="1"/>
  <c r="E1178" i="1"/>
  <c r="E2174" i="1"/>
  <c r="E2147" i="1"/>
  <c r="E1527" i="1"/>
  <c r="E2787" i="1"/>
  <c r="E3557" i="1"/>
  <c r="E4601" i="1"/>
  <c r="E2378" i="1"/>
  <c r="E4173" i="1"/>
  <c r="E831" i="1"/>
  <c r="E5304" i="1"/>
  <c r="E1051" i="1"/>
  <c r="E1920" i="1"/>
  <c r="E538" i="1"/>
  <c r="E1515" i="1"/>
  <c r="E2485" i="1"/>
  <c r="E1007" i="1"/>
  <c r="E2914" i="1"/>
  <c r="E2382" i="1"/>
  <c r="E177" i="1"/>
  <c r="E1200" i="1"/>
  <c r="E1525" i="1"/>
  <c r="E1752" i="1"/>
  <c r="E2050" i="1"/>
  <c r="E3064" i="1"/>
  <c r="E1213" i="1"/>
  <c r="E3449" i="1"/>
  <c r="E1707" i="1"/>
  <c r="E5176" i="1"/>
  <c r="E3057" i="1"/>
  <c r="E3563" i="1"/>
  <c r="E5139" i="1"/>
  <c r="E4580" i="1"/>
  <c r="E5158" i="1"/>
  <c r="E4327" i="1"/>
  <c r="E3212" i="1"/>
  <c r="E5350" i="1"/>
  <c r="E3693" i="1"/>
  <c r="E1485" i="1"/>
  <c r="E3198" i="1"/>
  <c r="E3540" i="1"/>
  <c r="E5179" i="1"/>
  <c r="E3534" i="1"/>
  <c r="E3760" i="1"/>
  <c r="E2260" i="1"/>
  <c r="E3947" i="1"/>
  <c r="E1883" i="1"/>
  <c r="E3474" i="1"/>
  <c r="E4990" i="1"/>
  <c r="E1790" i="1"/>
  <c r="E5132" i="1"/>
  <c r="E4232" i="1"/>
  <c r="E3017" i="1"/>
  <c r="E2552" i="1"/>
  <c r="E1837" i="1"/>
  <c r="E5178" i="1"/>
  <c r="E1875" i="1"/>
  <c r="E2463" i="1"/>
  <c r="E2585" i="1"/>
  <c r="E3001" i="1"/>
  <c r="E5001" i="1"/>
  <c r="E3262" i="1"/>
  <c r="E2758" i="1"/>
  <c r="E5254" i="1"/>
  <c r="E4843" i="1"/>
  <c r="E5225" i="1"/>
  <c r="E4909" i="1"/>
  <c r="E2202" i="1"/>
  <c r="E5083" i="1"/>
  <c r="E2655" i="1"/>
  <c r="E2203" i="1"/>
  <c r="E3442" i="1"/>
  <c r="E519" i="1"/>
  <c r="E513" i="1"/>
  <c r="E2917" i="1"/>
  <c r="E3875" i="1"/>
  <c r="E1730" i="1"/>
  <c r="E3021" i="1"/>
  <c r="E2536" i="1"/>
  <c r="E1430" i="1"/>
  <c r="E2338" i="1"/>
  <c r="E800" i="1"/>
  <c r="E183" i="1"/>
  <c r="E4767" i="1"/>
  <c r="E849" i="1"/>
  <c r="E1049" i="1"/>
  <c r="E1489" i="1"/>
  <c r="E2880" i="1"/>
  <c r="E1356" i="1"/>
  <c r="E2299" i="1"/>
  <c r="E3643" i="1"/>
  <c r="E4668" i="1"/>
  <c r="E2063" i="1"/>
  <c r="E1562" i="1"/>
  <c r="E5239" i="1"/>
  <c r="E2060" i="1"/>
  <c r="E2755" i="1"/>
  <c r="E4419" i="1"/>
  <c r="E1646" i="1"/>
  <c r="E1952" i="1"/>
  <c r="E657" i="1"/>
  <c r="E4351" i="1"/>
  <c r="E3379" i="1"/>
  <c r="E5289" i="1"/>
  <c r="E1518" i="1"/>
  <c r="E2603" i="1"/>
  <c r="E4941" i="1"/>
  <c r="E3722" i="1"/>
  <c r="E4309" i="1"/>
  <c r="E3008" i="1"/>
  <c r="E2155" i="1"/>
  <c r="E3898" i="1"/>
  <c r="E881" i="1"/>
  <c r="E3995" i="1"/>
  <c r="E4535" i="1"/>
  <c r="E2981" i="1"/>
  <c r="E3567" i="1"/>
  <c r="E1223" i="1"/>
  <c r="E490" i="1"/>
  <c r="E2333" i="1"/>
  <c r="E4845" i="1"/>
  <c r="E2558" i="1"/>
  <c r="E3019" i="1"/>
  <c r="E390" i="1"/>
  <c r="E3698" i="1"/>
  <c r="E276" i="1"/>
  <c r="E3613" i="1"/>
  <c r="E5051" i="1"/>
  <c r="E4101" i="1"/>
  <c r="E3092" i="1"/>
  <c r="E2531" i="1"/>
  <c r="E2354" i="1"/>
  <c r="E1560" i="1"/>
  <c r="E5168" i="1"/>
  <c r="E2533" i="1"/>
  <c r="E2621" i="1"/>
  <c r="E2460" i="1"/>
  <c r="E1652" i="1"/>
  <c r="E4051" i="1"/>
  <c r="E4445" i="1"/>
  <c r="E2605" i="1"/>
  <c r="E571" i="1"/>
  <c r="E2832" i="1"/>
  <c r="E3752" i="1"/>
  <c r="E2548" i="1"/>
  <c r="E5109" i="1"/>
  <c r="E304" i="1"/>
  <c r="E2800" i="1"/>
  <c r="E3980" i="1"/>
  <c r="E4022" i="1"/>
  <c r="E4046" i="1"/>
  <c r="E4068" i="1"/>
  <c r="E597" i="1"/>
  <c r="E3149" i="1"/>
  <c r="E172" i="1"/>
  <c r="E706" i="1"/>
  <c r="E92" i="1"/>
  <c r="E3135" i="1"/>
  <c r="E1241" i="1"/>
  <c r="E2416" i="1"/>
  <c r="E2115" i="1"/>
  <c r="E1721" i="1"/>
  <c r="E1187" i="1"/>
  <c r="E2882" i="1"/>
  <c r="E3822" i="1"/>
  <c r="E3398" i="1"/>
  <c r="E5177" i="1"/>
  <c r="E3426" i="1"/>
  <c r="E1231" i="1"/>
  <c r="E2191" i="1"/>
  <c r="E2163" i="1"/>
  <c r="E3845" i="1"/>
  <c r="E1666" i="1"/>
  <c r="E4005" i="1"/>
  <c r="E1365" i="1"/>
  <c r="E347" i="1"/>
  <c r="E2817" i="1"/>
  <c r="E4723" i="1"/>
  <c r="E1911" i="1"/>
  <c r="E1061" i="1"/>
  <c r="E345" i="1"/>
  <c r="E2698" i="1"/>
  <c r="E2243" i="1"/>
  <c r="E4460" i="1"/>
  <c r="E2542" i="1"/>
  <c r="E173" i="1"/>
  <c r="E2464" i="1"/>
  <c r="E3356" i="1"/>
  <c r="E1352" i="1"/>
  <c r="E4034" i="1"/>
  <c r="E2030" i="1"/>
  <c r="E408" i="1"/>
  <c r="E3645" i="1"/>
  <c r="E693" i="1"/>
  <c r="E910" i="1"/>
  <c r="E3502" i="1"/>
  <c r="E2422" i="1"/>
  <c r="E1073" i="1"/>
  <c r="E3867" i="1"/>
  <c r="E5353" i="1"/>
  <c r="E126" i="1"/>
  <c r="E1992" i="1"/>
  <c r="E3287" i="1"/>
  <c r="E2007" i="1"/>
  <c r="E4330" i="1"/>
  <c r="E2421" i="1"/>
  <c r="E3810" i="1"/>
  <c r="E1832" i="1"/>
  <c r="E3049" i="1"/>
  <c r="E515" i="1"/>
  <c r="E2185" i="1"/>
  <c r="E2695" i="1"/>
  <c r="E4670" i="1"/>
  <c r="E2778" i="1"/>
  <c r="E912" i="1"/>
  <c r="E1431" i="1"/>
  <c r="E1052" i="1"/>
  <c r="E4030" i="1"/>
  <c r="E2231" i="1"/>
  <c r="E1949" i="1"/>
  <c r="E2780" i="1"/>
  <c r="E3241" i="1"/>
  <c r="E3406" i="1"/>
  <c r="E223" i="1"/>
  <c r="E221" i="1"/>
  <c r="E3879" i="1"/>
  <c r="E3471" i="1"/>
  <c r="E2137" i="1"/>
  <c r="E209" i="1"/>
  <c r="E1727" i="1"/>
  <c r="E5082" i="1"/>
  <c r="E4159" i="1"/>
  <c r="E2167" i="1"/>
  <c r="E353" i="1"/>
  <c r="E633" i="1"/>
  <c r="E4867" i="1"/>
  <c r="E1486" i="1"/>
  <c r="E1259" i="1"/>
  <c r="E3677" i="1"/>
  <c r="E972" i="1"/>
  <c r="E1924" i="1"/>
  <c r="E1361" i="1"/>
  <c r="E2670" i="1"/>
  <c r="E1630" i="1"/>
  <c r="E2840" i="1"/>
  <c r="E3297" i="1"/>
  <c r="E3660" i="1"/>
  <c r="E4752" i="1"/>
  <c r="E4713" i="1"/>
  <c r="E425" i="1"/>
  <c r="E5343" i="1"/>
  <c r="E685" i="1"/>
  <c r="E2848" i="1"/>
  <c r="E4712" i="1"/>
  <c r="E676" i="1"/>
  <c r="E2915" i="1"/>
  <c r="E1269" i="1"/>
  <c r="E2648" i="1"/>
  <c r="E1467" i="1"/>
  <c r="E4600" i="1"/>
  <c r="E4170" i="1"/>
  <c r="E2490" i="1"/>
  <c r="E2511" i="1"/>
  <c r="E3272" i="1"/>
  <c r="E3310" i="1"/>
  <c r="E3537" i="1"/>
  <c r="E4185" i="1"/>
  <c r="E1504" i="1"/>
  <c r="E3493" i="1"/>
  <c r="E2200" i="1"/>
  <c r="E4231" i="1"/>
  <c r="E2151" i="1"/>
  <c r="E1645" i="1"/>
  <c r="E631" i="1"/>
  <c r="E4999" i="1"/>
  <c r="E4695" i="1"/>
  <c r="E3312" i="1"/>
  <c r="E1470" i="1"/>
  <c r="E1538" i="1"/>
  <c r="E3325" i="1"/>
  <c r="E1717" i="1"/>
  <c r="E2468" i="1"/>
  <c r="E5312" i="1"/>
  <c r="E4321" i="1"/>
  <c r="E2680" i="1"/>
  <c r="E485" i="1"/>
  <c r="E5298" i="1"/>
  <c r="E4362" i="1"/>
  <c r="E34" i="1"/>
  <c r="E5060" i="1"/>
  <c r="E2157" i="1"/>
  <c r="E4832" i="1"/>
  <c r="E3729" i="1"/>
  <c r="E2934" i="1"/>
  <c r="E420" i="1"/>
  <c r="E106" i="1"/>
  <c r="E4257" i="1"/>
  <c r="E3826" i="1"/>
  <c r="E464" i="1"/>
  <c r="E3336" i="1"/>
  <c r="E1212" i="1"/>
  <c r="E769" i="1"/>
  <c r="E3431" i="1"/>
  <c r="E3790" i="1"/>
  <c r="E4273" i="1"/>
  <c r="E4189" i="1"/>
  <c r="E4862" i="1"/>
  <c r="E3155" i="1"/>
  <c r="E4113" i="1"/>
  <c r="E1936" i="1"/>
  <c r="E4998" i="1"/>
  <c r="E3713" i="1"/>
  <c r="E3712" i="1"/>
  <c r="E2153" i="1"/>
  <c r="E1325" i="1"/>
  <c r="E927" i="1"/>
  <c r="E1626" i="1"/>
  <c r="E2842" i="1"/>
  <c r="E3444" i="1"/>
  <c r="E2864" i="1"/>
  <c r="E288" i="1"/>
  <c r="E2056" i="1"/>
  <c r="E2994" i="1"/>
  <c r="E108" i="1"/>
  <c r="E1459" i="1"/>
  <c r="E2109" i="1"/>
  <c r="E109" i="1"/>
  <c r="E4357" i="1"/>
  <c r="E2408" i="1"/>
  <c r="E2894" i="1"/>
  <c r="E1437" i="1"/>
  <c r="E3611" i="1"/>
  <c r="E3903" i="1"/>
  <c r="E261" i="1"/>
  <c r="E3119" i="1"/>
  <c r="E2135" i="1"/>
  <c r="E3824" i="1"/>
  <c r="E4463" i="1"/>
  <c r="E1451" i="1"/>
  <c r="E2639" i="1"/>
  <c r="E1156" i="1"/>
  <c r="E986" i="1"/>
  <c r="E4578" i="1"/>
  <c r="E718" i="1"/>
  <c r="E3818" i="1"/>
  <c r="E4624" i="1"/>
  <c r="E1649" i="1"/>
  <c r="E3874" i="1"/>
  <c r="E1569" i="1"/>
  <c r="E672" i="1"/>
  <c r="E3388" i="1"/>
  <c r="E5265" i="1"/>
  <c r="E2711" i="1"/>
  <c r="E1798" i="1"/>
  <c r="E4928" i="1"/>
  <c r="E1597" i="1"/>
  <c r="E2516" i="1"/>
  <c r="E1957" i="1"/>
  <c r="E2930" i="1"/>
  <c r="E2305" i="1"/>
  <c r="E1296" i="1"/>
  <c r="E3621" i="1"/>
  <c r="E486" i="1"/>
  <c r="E2761" i="1"/>
  <c r="E3114" i="1"/>
  <c r="E3580" i="1"/>
  <c r="E1117" i="1"/>
  <c r="E240" i="1"/>
  <c r="E4577" i="1"/>
  <c r="E2430" i="1"/>
  <c r="E1225" i="1"/>
  <c r="E5188" i="1"/>
  <c r="E4868" i="1"/>
  <c r="E4485" i="1"/>
  <c r="E2263" i="1"/>
  <c r="E5073" i="1"/>
  <c r="E4656" i="1"/>
  <c r="E5033" i="1"/>
  <c r="E5046" i="1"/>
  <c r="E5107" i="1"/>
  <c r="E4439" i="1"/>
  <c r="E3018" i="1"/>
  <c r="E3929" i="1"/>
  <c r="E4359" i="1"/>
  <c r="E3942" i="1"/>
  <c r="E1403" i="1"/>
  <c r="E4067" i="1"/>
  <c r="E1916" i="1"/>
  <c r="E2457" i="1"/>
  <c r="E929" i="1"/>
  <c r="E2170" i="1"/>
  <c r="E4488" i="1"/>
  <c r="E4838" i="1"/>
  <c r="E2850" i="1"/>
  <c r="E2481" i="1"/>
  <c r="E4484" i="1"/>
  <c r="E1030" i="1"/>
  <c r="E847" i="1"/>
  <c r="E4025" i="1"/>
  <c r="E3320" i="1"/>
  <c r="E2794" i="1"/>
  <c r="E23" i="1"/>
  <c r="E4789" i="1"/>
  <c r="E1944" i="1"/>
  <c r="E2213" i="1"/>
  <c r="E1421" i="1"/>
  <c r="E2042" i="1"/>
  <c r="E4498" i="1"/>
  <c r="E3574" i="1"/>
  <c r="E1804" i="1"/>
  <c r="E4737" i="1"/>
  <c r="E1938" i="1"/>
  <c r="E3080" i="1"/>
  <c r="E3500" i="1"/>
  <c r="E2856" i="1"/>
  <c r="E3678" i="1"/>
  <c r="E5195" i="1"/>
  <c r="E2489" i="1"/>
  <c r="E2194" i="1"/>
  <c r="E2709" i="1"/>
  <c r="E2261" i="1"/>
  <c r="E2297" i="1"/>
  <c r="E3211" i="1"/>
  <c r="E4964" i="1"/>
  <c r="E1939" i="1"/>
  <c r="E818" i="1"/>
  <c r="E2038" i="1"/>
  <c r="E4927" i="1"/>
  <c r="E4178" i="1"/>
  <c r="E5076" i="1"/>
  <c r="E3971" i="1"/>
  <c r="E1455" i="1"/>
  <c r="E3973" i="1"/>
  <c r="E3385" i="1"/>
  <c r="E4741" i="1"/>
  <c r="E3290" i="1"/>
  <c r="E391" i="1"/>
  <c r="E133" i="1"/>
  <c r="E3324" i="1"/>
  <c r="E12" i="1"/>
  <c r="E1458" i="1"/>
  <c r="E2611" i="1"/>
  <c r="E896" i="1"/>
  <c r="E628" i="1"/>
  <c r="E3931" i="1"/>
  <c r="E1951" i="1"/>
  <c r="E5150" i="1"/>
  <c r="E4205" i="1"/>
  <c r="E2339" i="1"/>
  <c r="E4039" i="1"/>
  <c r="E3688" i="1"/>
  <c r="E2054" i="1"/>
  <c r="E3513" i="1"/>
  <c r="E3779" i="1"/>
  <c r="E5080" i="1"/>
  <c r="E3172" i="1"/>
  <c r="E4063" i="1"/>
  <c r="E2379" i="1"/>
  <c r="E2277" i="1"/>
  <c r="E2568" i="1"/>
  <c r="E3177" i="1"/>
  <c r="E1197" i="1"/>
  <c r="E591" i="1"/>
  <c r="E1978" i="1"/>
  <c r="E782" i="1"/>
  <c r="E2841" i="1"/>
  <c r="E4871" i="1"/>
  <c r="E3083" i="1"/>
  <c r="E179" i="1"/>
  <c r="E4726" i="1"/>
  <c r="E4017" i="1"/>
  <c r="E377" i="1"/>
  <c r="E3276" i="1"/>
  <c r="E585" i="1"/>
  <c r="E393" i="1"/>
  <c r="E289" i="1"/>
  <c r="E4897" i="1"/>
  <c r="E4447" i="1"/>
  <c r="E4433" i="1"/>
  <c r="E4686" i="1"/>
  <c r="E704" i="1"/>
  <c r="E4167" i="1"/>
  <c r="E3193" i="1"/>
  <c r="E4983" i="1"/>
  <c r="E2500" i="1"/>
  <c r="E2096" i="1"/>
  <c r="E495" i="1"/>
  <c r="E3343" i="1"/>
  <c r="E807" i="1"/>
  <c r="E3117" i="1"/>
  <c r="E699" i="1"/>
  <c r="E1394" i="1"/>
  <c r="E2560" i="1"/>
  <c r="E552" i="1"/>
  <c r="E5224" i="1"/>
  <c r="E4174" i="1"/>
  <c r="E394" i="1"/>
  <c r="E3637" i="1"/>
  <c r="E3926" i="1"/>
  <c r="E3248" i="1"/>
  <c r="E2428" i="1"/>
  <c r="E1896" i="1"/>
  <c r="E1215" i="1"/>
  <c r="E647" i="1"/>
  <c r="E2503" i="1"/>
  <c r="E640" i="1"/>
  <c r="E5175" i="1"/>
  <c r="E4992" i="1"/>
  <c r="E2630" i="1"/>
  <c r="E309" i="1"/>
  <c r="E2751" i="1"/>
  <c r="E2898" i="1"/>
  <c r="E471" i="1"/>
  <c r="E3215" i="1"/>
  <c r="E2326" i="1"/>
  <c r="E4665" i="1"/>
  <c r="E5293" i="1"/>
  <c r="E1922" i="1"/>
  <c r="E4982" i="1"/>
  <c r="E1400" i="1"/>
  <c r="E1910" i="1"/>
  <c r="E871" i="1"/>
  <c r="E4986" i="1"/>
  <c r="E5228" i="1"/>
  <c r="E5131" i="1"/>
  <c r="E4172" i="1"/>
  <c r="E3514" i="1"/>
  <c r="E3137" i="1"/>
  <c r="E1891" i="1"/>
  <c r="E4292" i="1"/>
  <c r="E1545" i="1"/>
  <c r="E739" i="1"/>
  <c r="E2201" i="1"/>
  <c r="E576" i="1"/>
  <c r="E105" i="1"/>
  <c r="E1220" i="1"/>
  <c r="E791" i="1"/>
  <c r="E3912" i="1"/>
  <c r="E3010" i="1"/>
  <c r="E1490" i="1"/>
  <c r="E85" i="1"/>
  <c r="E1044" i="1"/>
  <c r="E3915" i="1"/>
  <c r="E2110" i="1"/>
  <c r="E522" i="1"/>
  <c r="E1202" i="1"/>
  <c r="E2572" i="1"/>
  <c r="E2600" i="1"/>
  <c r="E3908" i="1"/>
  <c r="E526" i="1"/>
  <c r="E2323" i="1"/>
  <c r="E4050" i="1"/>
  <c r="E4100" i="1"/>
  <c r="E2579" i="1"/>
  <c r="E2540" i="1"/>
  <c r="E479" i="1"/>
  <c r="E3423" i="1"/>
  <c r="E1327" i="1"/>
  <c r="E4263" i="1"/>
  <c r="E2220" i="1"/>
  <c r="E2618" i="1"/>
  <c r="E3176" i="1"/>
  <c r="E4317" i="1"/>
  <c r="E3829" i="1"/>
  <c r="E4082" i="1"/>
  <c r="E4970" i="1"/>
  <c r="E122" i="1"/>
  <c r="E988" i="1"/>
  <c r="E4099" i="1"/>
  <c r="E2885" i="1"/>
  <c r="E761" i="1"/>
  <c r="E4150" i="1"/>
  <c r="E324" i="1"/>
  <c r="E4260" i="1"/>
  <c r="E299" i="1"/>
  <c r="E1966" i="1"/>
  <c r="E2349" i="1"/>
  <c r="E2909" i="1"/>
  <c r="E4739" i="1"/>
  <c r="E1788" i="1"/>
  <c r="E1988" i="1"/>
  <c r="E1953" i="1"/>
  <c r="E3271" i="1"/>
  <c r="E4828" i="1"/>
  <c r="E1388" i="1"/>
  <c r="E4667" i="1"/>
  <c r="E3121" i="1"/>
  <c r="E947" i="1"/>
  <c r="E3094" i="1"/>
  <c r="E521" i="1"/>
  <c r="E2100" i="1"/>
  <c r="E3447" i="1"/>
  <c r="E4904" i="1"/>
  <c r="E4575" i="1"/>
  <c r="E5157" i="1"/>
  <c r="E1820" i="1"/>
  <c r="E3963" i="1"/>
  <c r="E4987" i="1"/>
  <c r="E4347" i="1"/>
  <c r="E3703" i="1"/>
  <c r="E3270" i="1"/>
  <c r="E5275" i="1"/>
  <c r="E2550" i="1"/>
  <c r="E3475" i="1"/>
  <c r="E3909" i="1"/>
  <c r="E94" i="1"/>
  <c r="E4651" i="1"/>
  <c r="E3653" i="1"/>
  <c r="E2781" i="1"/>
  <c r="E4166" i="1"/>
  <c r="E1420" i="1"/>
  <c r="E3181" i="1"/>
  <c r="E1360" i="1"/>
  <c r="E3711" i="1"/>
  <c r="E321" i="1"/>
  <c r="E1647" i="1"/>
  <c r="E4506" i="1"/>
  <c r="E5324" i="1"/>
  <c r="E3469" i="1"/>
  <c r="E5134" i="1"/>
  <c r="E3487" i="1"/>
  <c r="E3836" i="1"/>
  <c r="E3284" i="1"/>
  <c r="E2659" i="1"/>
  <c r="E3741" i="1"/>
  <c r="E1813" i="1"/>
  <c r="E5012" i="1"/>
  <c r="E976" i="1"/>
  <c r="E2067" i="1"/>
  <c r="E2667" i="1"/>
  <c r="E3938" i="1"/>
  <c r="E3573" i="1"/>
  <c r="E5106" i="1"/>
  <c r="E4952" i="1"/>
  <c r="E3045" i="1"/>
  <c r="E2756" i="1"/>
  <c r="E5309" i="1"/>
  <c r="E4826" i="1"/>
  <c r="E4129" i="1"/>
  <c r="E1228" i="1"/>
  <c r="E4537" i="1"/>
  <c r="E3289" i="1"/>
  <c r="E2207" i="1"/>
  <c r="E3429" i="1"/>
  <c r="E1828" i="1"/>
  <c r="E2136" i="1"/>
  <c r="E2813" i="1"/>
  <c r="E806" i="1"/>
  <c r="E4829" i="1"/>
  <c r="E4879" i="1"/>
  <c r="E5010" i="1"/>
  <c r="E2262" i="1"/>
  <c r="E4076" i="1"/>
  <c r="E2424" i="1"/>
  <c r="E2877" i="1"/>
  <c r="E3747" i="1"/>
  <c r="E2437" i="1"/>
  <c r="E2011" i="1"/>
  <c r="E5227" i="1"/>
  <c r="E4606" i="1"/>
  <c r="E2715" i="1"/>
  <c r="E3870" i="1"/>
  <c r="E4585" i="1"/>
  <c r="E3773" i="1"/>
  <c r="E1712" i="1"/>
  <c r="E1287" i="1"/>
  <c r="E4283" i="1"/>
  <c r="E2889" i="1"/>
  <c r="E3594" i="1"/>
  <c r="E4809" i="1"/>
  <c r="E5244" i="1"/>
  <c r="E5196" i="1"/>
  <c r="E125" i="1"/>
  <c r="E4722" i="1"/>
  <c r="E4494" i="1"/>
  <c r="E3089" i="1"/>
  <c r="E4268" i="1"/>
  <c r="E4798" i="1"/>
  <c r="E3478" i="1"/>
  <c r="E4047" i="1"/>
  <c r="E4994" i="1"/>
  <c r="E5049" i="1"/>
  <c r="E476" i="1"/>
  <c r="E5171" i="1"/>
  <c r="E3050" i="1"/>
  <c r="E3606" i="1"/>
  <c r="E4168" i="1"/>
  <c r="E4366" i="1"/>
  <c r="E5123" i="1"/>
  <c r="E5349" i="1"/>
  <c r="E4702" i="1"/>
  <c r="E4509" i="1"/>
  <c r="E4934" i="1"/>
  <c r="E348" i="1"/>
  <c r="E3058" i="1"/>
  <c r="E4038" i="1"/>
  <c r="E3350" i="1"/>
  <c r="E3308" i="1"/>
  <c r="E5130" i="1"/>
  <c r="E1932" i="1"/>
  <c r="E2351" i="1"/>
  <c r="E151" i="1"/>
  <c r="E2037" i="1"/>
  <c r="E87" i="1"/>
  <c r="E3133" i="1"/>
  <c r="E668" i="1"/>
  <c r="E3218" i="1"/>
  <c r="E4350" i="1"/>
  <c r="E4201" i="1"/>
  <c r="E3769" i="1"/>
  <c r="E4917" i="1"/>
  <c r="E1658" i="1"/>
  <c r="E4732" i="1"/>
  <c r="E4795" i="1"/>
  <c r="E4949" i="1"/>
  <c r="E4562" i="1"/>
  <c r="E2486" i="1"/>
  <c r="E1028" i="1"/>
  <c r="E5335" i="1"/>
  <c r="E1861" i="1"/>
  <c r="E915" i="1"/>
  <c r="E4348" i="1"/>
  <c r="E4755" i="1"/>
  <c r="E1619" i="1"/>
  <c r="E4533" i="1"/>
  <c r="E4604" i="1"/>
  <c r="E4707" i="1"/>
  <c r="E2804" i="1"/>
  <c r="E3258" i="1"/>
  <c r="E4114" i="1"/>
  <c r="E3545" i="1"/>
  <c r="E4613" i="1"/>
  <c r="E2316" i="1"/>
  <c r="E3998" i="1"/>
  <c r="E5354" i="1"/>
  <c r="E3578" i="1"/>
  <c r="E2404" i="1"/>
  <c r="E3933" i="1"/>
  <c r="E416" i="1"/>
  <c r="E735" i="1"/>
  <c r="E3060" i="1"/>
  <c r="E4770" i="1"/>
  <c r="E4852" i="1"/>
  <c r="E4631" i="1"/>
  <c r="E2988" i="1"/>
  <c r="E2834" i="1"/>
  <c r="E3171" i="1"/>
  <c r="E3462" i="1"/>
  <c r="E3316" i="1"/>
  <c r="E3298" i="1"/>
  <c r="E3754" i="1"/>
  <c r="E689" i="1"/>
  <c r="E3925" i="1"/>
  <c r="E2288" i="1"/>
  <c r="E2795" i="1"/>
  <c r="E662" i="1"/>
  <c r="E5230" i="1"/>
  <c r="E1299" i="1"/>
  <c r="E4341" i="1"/>
  <c r="E2957" i="1"/>
  <c r="E5305" i="1"/>
  <c r="E5165" i="1"/>
  <c r="E1478" i="1"/>
  <c r="E4664" i="1"/>
  <c r="E1216" i="1"/>
  <c r="E2675" i="1"/>
  <c r="E5257" i="1"/>
  <c r="E2452" i="1"/>
  <c r="E4571" i="1"/>
  <c r="E4169" i="1"/>
  <c r="E1969" i="1"/>
  <c r="E3668" i="1"/>
  <c r="E352" i="1"/>
  <c r="E1667" i="1"/>
  <c r="E1198" i="1"/>
  <c r="E4095" i="1"/>
  <c r="E4550" i="1"/>
  <c r="E2150" i="1"/>
  <c r="E3106" i="1"/>
  <c r="E2413" i="1"/>
  <c r="E3122" i="1"/>
  <c r="E2559" i="1"/>
  <c r="E4991" i="1"/>
  <c r="E320" i="1"/>
  <c r="E2748" i="1"/>
  <c r="E4183" i="1"/>
  <c r="E4609" i="1"/>
  <c r="E3695" i="1"/>
  <c r="E2575" i="1"/>
  <c r="E1948" i="1"/>
  <c r="E3922" i="1"/>
  <c r="E3472" i="1"/>
  <c r="E4662" i="1"/>
  <c r="E3292" i="1"/>
  <c r="E5320" i="1"/>
  <c r="E3116" i="1"/>
  <c r="E5238" i="1"/>
  <c r="E4581" i="1"/>
  <c r="E4851" i="1"/>
  <c r="E75" i="1"/>
  <c r="E4644" i="1"/>
  <c r="E4165" i="1"/>
  <c r="E1174" i="1"/>
  <c r="E4801" i="1"/>
  <c r="E3322" i="1"/>
  <c r="E3418" i="1"/>
  <c r="E5093" i="1"/>
  <c r="E3006" i="1"/>
  <c r="E4796" i="1"/>
  <c r="E4349" i="1"/>
  <c r="E2040" i="1"/>
  <c r="E1958" i="1"/>
  <c r="E3663" i="1"/>
  <c r="E5255" i="1"/>
  <c r="E4969" i="1"/>
  <c r="E3396" i="1"/>
  <c r="E5058" i="1"/>
  <c r="E3076" i="1"/>
  <c r="E4414" i="1"/>
  <c r="E5197" i="1"/>
  <c r="E2990" i="1"/>
  <c r="E4469" i="1"/>
  <c r="E3593" i="1"/>
  <c r="E4526" i="1"/>
  <c r="E2762" i="1"/>
  <c r="E4534" i="1"/>
  <c r="E1375" i="1"/>
  <c r="E4240" i="1"/>
  <c r="E3528" i="1"/>
  <c r="E1685" i="1"/>
  <c r="E3626" i="1"/>
  <c r="E5340" i="1"/>
  <c r="E2876" i="1"/>
  <c r="E1644" i="1"/>
  <c r="E1608" i="1"/>
  <c r="E3849" i="1"/>
  <c r="E4370" i="1"/>
  <c r="E4009" i="1"/>
  <c r="E1338" i="1"/>
  <c r="E527" i="1"/>
  <c r="E1785" i="1"/>
  <c r="E3689" i="1"/>
  <c r="E5327" i="1"/>
  <c r="E1859" i="1"/>
  <c r="E3708" i="1"/>
  <c r="E2688" i="1"/>
  <c r="E3797" i="1"/>
  <c r="E4289" i="1"/>
  <c r="E3763" i="1"/>
  <c r="E3671" i="1"/>
  <c r="E4234" i="1"/>
  <c r="E5102" i="1"/>
  <c r="E5278" i="1"/>
  <c r="E180" i="1"/>
  <c r="E3787" i="1"/>
  <c r="E3914" i="1"/>
  <c r="E778" i="1"/>
  <c r="E2214" i="1"/>
  <c r="E3564" i="1"/>
  <c r="E2311" i="1"/>
  <c r="E2178" i="1"/>
  <c r="E2571" i="1"/>
  <c r="E4555" i="1"/>
  <c r="E3543" i="1"/>
  <c r="E1993" i="1"/>
  <c r="E4266" i="1"/>
  <c r="E2578" i="1"/>
  <c r="E5330" i="1"/>
  <c r="E5029" i="1"/>
  <c r="E4682" i="1"/>
  <c r="E1780" i="1"/>
  <c r="E2640" i="1"/>
  <c r="E4442" i="1"/>
  <c r="E3603" i="1"/>
  <c r="E1136" i="1"/>
  <c r="E1501" i="1"/>
  <c r="E3382" i="1"/>
  <c r="E2341" i="1"/>
  <c r="E4251" i="1"/>
  <c r="E2472" i="1"/>
  <c r="E4720" i="1"/>
  <c r="E3098" i="1"/>
  <c r="E4421" i="1"/>
  <c r="E4062" i="1"/>
  <c r="E1284" i="1"/>
  <c r="E3639" i="1"/>
  <c r="E3373" i="1"/>
  <c r="E4989" i="1"/>
  <c r="E3411" i="1"/>
  <c r="E2793" i="1"/>
  <c r="E3682" i="1"/>
  <c r="E2285" i="1"/>
  <c r="E3448" i="1"/>
  <c r="E4132" i="1"/>
  <c r="E2234" i="1"/>
  <c r="E3737" i="1"/>
  <c r="E4261" i="1"/>
  <c r="E1565" i="1"/>
  <c r="E3961" i="1"/>
  <c r="E1607" i="1"/>
  <c r="E855" i="1"/>
  <c r="E3260" i="1"/>
  <c r="E4786" i="1"/>
  <c r="E2124" i="1"/>
  <c r="E3966" i="1"/>
  <c r="E2282" i="1"/>
  <c r="E4315" i="1"/>
  <c r="E932" i="1"/>
  <c r="E4861" i="1"/>
  <c r="E5233" i="1"/>
  <c r="E4957" i="1"/>
  <c r="E3096" i="1"/>
  <c r="E2406" i="1"/>
  <c r="E4163" i="1"/>
  <c r="E3642" i="1"/>
  <c r="E1492" i="1"/>
  <c r="E3217" i="1"/>
  <c r="E3630" i="1"/>
  <c r="E2616" i="1"/>
  <c r="E4905" i="1"/>
  <c r="E3983" i="1"/>
  <c r="E3940" i="1"/>
  <c r="E3070" i="1"/>
  <c r="E4483" i="1"/>
  <c r="E2693" i="1"/>
  <c r="E4360" i="1"/>
  <c r="E4070" i="1"/>
  <c r="E3764" i="1"/>
  <c r="E1183" i="1"/>
  <c r="E4131" i="1"/>
  <c r="E5042" i="1"/>
  <c r="E3307" i="1"/>
  <c r="E4054" i="1"/>
  <c r="E2922" i="1"/>
  <c r="E2523" i="1"/>
  <c r="E4300" i="1"/>
  <c r="E4718" i="1"/>
  <c r="E3851" i="1"/>
  <c r="E4802" i="1"/>
  <c r="E4473" i="1"/>
  <c r="E4860" i="1"/>
  <c r="E5214" i="1"/>
  <c r="E4552" i="1"/>
  <c r="E4968" i="1"/>
  <c r="E2507" i="1"/>
  <c r="E4299" i="1"/>
  <c r="E2259" i="1"/>
  <c r="E3052" i="1"/>
  <c r="E3454" i="1"/>
  <c r="E5310" i="1"/>
  <c r="E3725" i="1"/>
  <c r="E1975" i="1"/>
  <c r="E3397" i="1"/>
  <c r="E4820" i="1"/>
  <c r="E1544" i="1"/>
  <c r="E2518" i="1"/>
  <c r="E1757" i="1"/>
  <c r="E1763" i="1"/>
  <c r="E4495" i="1"/>
  <c r="E2225" i="1"/>
  <c r="E2172" i="1"/>
  <c r="E4530" i="1"/>
  <c r="E5252" i="1"/>
  <c r="E5361" i="1"/>
  <c r="E3004" i="1"/>
  <c r="E1887" i="1"/>
  <c r="E4313" i="1"/>
  <c r="E2625" i="1"/>
  <c r="E1036" i="1"/>
  <c r="E1909" i="1"/>
  <c r="E659" i="1"/>
  <c r="E3631" i="1"/>
  <c r="E745" i="1"/>
  <c r="E1731" i="1"/>
  <c r="E5267" i="1"/>
  <c r="E3732" i="1"/>
  <c r="E3005" i="1"/>
  <c r="E2602" i="1"/>
  <c r="E4090" i="1"/>
  <c r="E1863" i="1"/>
  <c r="E2973" i="1"/>
  <c r="E2620" i="1"/>
  <c r="E4162" i="1"/>
  <c r="E1371" i="1"/>
  <c r="E2985" i="1"/>
  <c r="E4400" i="1"/>
  <c r="E5002" i="1"/>
  <c r="E2771" i="1"/>
  <c r="E5287" i="1"/>
  <c r="E5258" i="1"/>
  <c r="E5096" i="1"/>
  <c r="E2562" i="1"/>
  <c r="E2210" i="1"/>
  <c r="E5036" i="1"/>
  <c r="E4177" i="1"/>
  <c r="E3273" i="1"/>
  <c r="E5358" i="1"/>
  <c r="E3738" i="1"/>
  <c r="E833" i="1"/>
  <c r="E4646" i="1"/>
  <c r="E3636" i="1"/>
  <c r="E4280" i="1"/>
  <c r="E4015" i="1"/>
  <c r="E4693" i="1"/>
  <c r="E4522" i="1"/>
  <c r="E4367" i="1"/>
  <c r="E350" i="1"/>
  <c r="E2797" i="1"/>
  <c r="E2434" i="1"/>
  <c r="E2745" i="1"/>
  <c r="E3813" i="1"/>
  <c r="E3550" i="1"/>
  <c r="E243" i="1"/>
  <c r="E4553" i="1"/>
  <c r="E26" i="1"/>
  <c r="E4539" i="1"/>
  <c r="E5016" i="1"/>
  <c r="E3905" i="1"/>
  <c r="E4122" i="1"/>
  <c r="E278" i="1"/>
  <c r="E5302" i="1"/>
  <c r="E1755" i="1"/>
  <c r="E4951" i="1"/>
  <c r="E2702" i="1"/>
  <c r="E3994" i="1"/>
  <c r="E2845" i="1"/>
  <c r="E2590" i="1"/>
  <c r="E2613" i="1"/>
  <c r="E3077" i="1"/>
  <c r="E2941" i="1"/>
  <c r="E4291" i="1"/>
  <c r="E2022" i="1"/>
  <c r="E3894" i="1"/>
  <c r="E4669" i="1"/>
  <c r="E2798" i="1"/>
  <c r="E2975" i="1"/>
  <c r="E1319" i="1"/>
  <c r="E1849" i="1"/>
  <c r="E4007" i="1"/>
  <c r="E4003" i="1"/>
  <c r="E2493" i="1"/>
  <c r="E3844" i="1"/>
  <c r="E5047" i="1"/>
  <c r="E2690" i="1"/>
  <c r="E2853" i="1"/>
  <c r="E4639" i="1"/>
  <c r="E4126" i="1"/>
  <c r="E4748" i="1"/>
  <c r="E3985" i="1"/>
  <c r="E4049" i="1"/>
  <c r="E1089" i="1"/>
  <c r="E1392" i="1"/>
  <c r="E302" i="1"/>
  <c r="E3622" i="1"/>
  <c r="E4965" i="1"/>
  <c r="E5028" i="1"/>
  <c r="E4805" i="1"/>
  <c r="E3125" i="1"/>
  <c r="E3306" i="1"/>
  <c r="E3341" i="1"/>
  <c r="E2076" i="1"/>
  <c r="E4032" i="1"/>
  <c r="E4858" i="1"/>
  <c r="E4119" i="1"/>
  <c r="E1964" i="1"/>
  <c r="E4110" i="1"/>
  <c r="E2036" i="1"/>
  <c r="E1014" i="1"/>
  <c r="E3512" i="1"/>
  <c r="E4706" i="1"/>
  <c r="E379" i="1"/>
  <c r="E5271" i="1"/>
  <c r="E3439" i="1"/>
  <c r="E1592" i="1"/>
  <c r="E2744" i="1"/>
  <c r="E2992" i="1"/>
  <c r="E2696" i="1"/>
  <c r="E3934" i="1"/>
  <c r="E2782" i="1"/>
  <c r="E258" i="1"/>
  <c r="E5208" i="1"/>
  <c r="E5322" i="1"/>
  <c r="E4967" i="1"/>
  <c r="E4787" i="1"/>
  <c r="E212" i="1"/>
  <c r="E3482" i="1"/>
  <c r="E5269" i="1"/>
  <c r="E4108" i="1"/>
  <c r="E4774" i="1"/>
  <c r="E4152" i="1"/>
  <c r="E3208" i="1"/>
  <c r="E3400" i="1"/>
  <c r="E5284" i="1"/>
  <c r="E4923" i="1"/>
  <c r="E4938" i="1"/>
  <c r="E3753" i="1"/>
  <c r="E3522" i="1"/>
  <c r="E3028" i="1"/>
  <c r="E4557" i="1"/>
  <c r="E5072" i="1"/>
  <c r="E262" i="1"/>
  <c r="E3138" i="1"/>
  <c r="E2491" i="1"/>
  <c r="E3185" i="1"/>
  <c r="E4468" i="1"/>
  <c r="E4574" i="1"/>
  <c r="E4074" i="1"/>
  <c r="E3968" i="1"/>
  <c r="E3917" i="1"/>
  <c r="E2475" i="1"/>
  <c r="E3720" i="1"/>
  <c r="E3203" i="1"/>
  <c r="E3858" i="1"/>
  <c r="E4705" i="1"/>
  <c r="E2586" i="1"/>
  <c r="E4272" i="1"/>
  <c r="E3492" i="1"/>
  <c r="E4976" i="1"/>
  <c r="E4971" i="1"/>
  <c r="E3801" i="1"/>
  <c r="E2644" i="1"/>
  <c r="E4452" i="1"/>
  <c r="E2134" i="1"/>
  <c r="E4658" i="1"/>
  <c r="E3987" i="1"/>
  <c r="E3583" i="1"/>
  <c r="E5085" i="1"/>
  <c r="E1862" i="1"/>
  <c r="E2509" i="1"/>
  <c r="E1585" i="1"/>
  <c r="E2953" i="1"/>
  <c r="E3450" i="1"/>
  <c r="E2847" i="1"/>
  <c r="E1152" i="1"/>
  <c r="E4226" i="1"/>
  <c r="E2091" i="1"/>
  <c r="E4444" i="1"/>
  <c r="E3288" i="1"/>
  <c r="E1497" i="1"/>
  <c r="E364" i="1"/>
  <c r="E3809" i="1"/>
  <c r="E1616" i="1"/>
  <c r="E801" i="1"/>
  <c r="E3839" i="1"/>
  <c r="E2057" i="1"/>
  <c r="E4410" i="1"/>
  <c r="E4834" i="1"/>
  <c r="E4621" i="1"/>
  <c r="E4141" i="1"/>
  <c r="E957" i="1"/>
  <c r="E4117" i="1"/>
  <c r="E5235" i="1"/>
  <c r="E3433" i="1"/>
  <c r="E4864" i="1"/>
  <c r="E2730" i="1"/>
  <c r="E3413" i="1"/>
  <c r="E3774" i="1"/>
  <c r="E3627" i="1"/>
  <c r="E3866" i="1"/>
  <c r="E3422" i="1"/>
  <c r="E5090" i="1"/>
  <c r="E4340" i="1"/>
  <c r="E5272" i="1"/>
  <c r="E3134" i="1"/>
  <c r="E2939" i="1"/>
  <c r="E5270" i="1"/>
  <c r="E3300" i="1"/>
  <c r="E2419" i="1"/>
  <c r="E4103" i="1"/>
  <c r="E4899" i="1"/>
  <c r="E4812" i="1"/>
  <c r="E4778" i="1"/>
  <c r="E4305" i="1"/>
  <c r="E4690" i="1"/>
  <c r="E4975" i="1"/>
  <c r="E4831" i="1"/>
  <c r="E4252" i="1"/>
  <c r="E5199" i="1"/>
  <c r="E2637" i="1"/>
  <c r="E4684" i="1"/>
  <c r="E2582" i="1"/>
  <c r="E492" i="1"/>
  <c r="E1986" i="1"/>
  <c r="E3338" i="1"/>
  <c r="E5119" i="1"/>
  <c r="E1402" i="1"/>
  <c r="E3791" i="1"/>
  <c r="E4556" i="1"/>
  <c r="E4427" i="1"/>
  <c r="E911" i="1"/>
  <c r="E1289" i="1"/>
  <c r="E2712" i="1"/>
  <c r="E3800" i="1"/>
  <c r="E4788" i="1"/>
  <c r="E4295" i="1"/>
  <c r="E3890" i="1"/>
  <c r="E1789" i="1"/>
  <c r="E4781" i="1"/>
  <c r="E2287" i="1"/>
  <c r="E4018" i="1"/>
  <c r="E1230" i="1"/>
  <c r="E3996" i="1"/>
  <c r="E3374" i="1"/>
  <c r="E5000" i="1"/>
  <c r="E470" i="1"/>
  <c r="E3700" i="1"/>
  <c r="E3977" i="1"/>
  <c r="E3072" i="1"/>
  <c r="E3463" i="1"/>
  <c r="E2230" i="1"/>
  <c r="E882" i="1"/>
  <c r="E3685" i="1"/>
  <c r="E3625" i="1"/>
  <c r="E4766" i="1"/>
  <c r="E3838" i="1"/>
  <c r="E1131" i="1"/>
  <c r="E5113" i="1"/>
  <c r="E4264" i="1"/>
  <c r="E4794" i="1"/>
  <c r="E3575" i="1"/>
  <c r="E4401" i="1"/>
  <c r="E2403" i="1"/>
  <c r="E3854" i="1"/>
  <c r="E3807" i="1"/>
  <c r="E102" i="1"/>
  <c r="E4573" i="1"/>
  <c r="E1968" i="1"/>
  <c r="E1747" i="1"/>
  <c r="E5161" i="1"/>
  <c r="E2249" i="1"/>
  <c r="E66" i="1"/>
  <c r="E294" i="1"/>
  <c r="E2438" i="1"/>
  <c r="E468" i="1"/>
  <c r="E4449" i="1"/>
  <c r="E951" i="1"/>
  <c r="E5135" i="1"/>
  <c r="E1479" i="1"/>
  <c r="E2868" i="1"/>
  <c r="E4118" i="1"/>
  <c r="E4481" i="1"/>
  <c r="E1411" i="1"/>
  <c r="E4586" i="1"/>
  <c r="E3539" i="1"/>
  <c r="E292" i="1"/>
  <c r="E4528" i="1"/>
  <c r="E5347" i="1"/>
  <c r="E3068" i="1"/>
  <c r="E747" i="1"/>
  <c r="E3157" i="1"/>
  <c r="E4363" i="1"/>
  <c r="E3669" i="1"/>
  <c r="E3108" i="1"/>
  <c r="E4377" i="1"/>
  <c r="E2765" i="1"/>
  <c r="E4010" i="1"/>
  <c r="E3581" i="1"/>
  <c r="E825" i="1"/>
  <c r="E5094" i="1"/>
  <c r="E5273" i="1"/>
  <c r="E4064" i="1"/>
  <c r="E4255" i="1"/>
  <c r="E2951" i="1"/>
  <c r="E3419" i="1"/>
  <c r="E4106" i="1"/>
  <c r="E5091" i="1"/>
  <c r="E3109" i="1"/>
  <c r="E1196" i="1"/>
  <c r="E2519" i="1"/>
  <c r="E2963" i="1"/>
  <c r="E2993" i="1"/>
  <c r="E3803" i="1"/>
  <c r="E5186" i="1"/>
  <c r="E4096" i="1"/>
  <c r="E2857" i="1"/>
  <c r="E4519" i="1"/>
  <c r="E4454" i="1"/>
  <c r="E317" i="1"/>
  <c r="E411" i="1"/>
  <c r="E5160" i="1"/>
  <c r="E5153" i="1"/>
  <c r="E5210" i="1"/>
  <c r="E4793" i="1"/>
  <c r="E853" i="1"/>
  <c r="E2703" i="1"/>
  <c r="E4757" i="1"/>
  <c r="E3365" i="1"/>
  <c r="E4013" i="1"/>
  <c r="E2969" i="1"/>
  <c r="E5174" i="1"/>
  <c r="E3521" i="1"/>
  <c r="E4035" i="1"/>
  <c r="E3432" i="1"/>
  <c r="E5277" i="1"/>
  <c r="E2216" i="1"/>
  <c r="E580" i="1"/>
  <c r="E2098" i="1"/>
  <c r="E4197" i="1"/>
  <c r="E870" i="1"/>
  <c r="E1995" i="1"/>
  <c r="E4346" i="1"/>
  <c r="E2610" i="1"/>
  <c r="E876" i="1"/>
  <c r="E4213" i="1"/>
  <c r="E1334" i="1"/>
  <c r="E1194" i="1"/>
  <c r="E3661" i="1"/>
  <c r="E3299" i="1"/>
  <c r="E5112" i="1"/>
  <c r="E5301" i="1"/>
  <c r="E4570" i="1"/>
  <c r="E3391" i="1"/>
  <c r="E3814" i="1"/>
  <c r="E2747" i="1"/>
  <c r="E1305" i="1"/>
  <c r="E4883" i="1"/>
  <c r="E5308" i="1"/>
  <c r="E840" i="1"/>
  <c r="E1548" i="1"/>
  <c r="E424" i="1"/>
  <c r="E3638" i="1"/>
  <c r="E5017" i="1"/>
  <c r="E3628" i="1"/>
  <c r="E1167" i="1"/>
  <c r="E5318" i="1"/>
  <c r="E4551" i="1"/>
  <c r="E3771" i="1"/>
  <c r="E2131" i="1"/>
  <c r="E3833" i="1"/>
  <c r="E3205" i="1"/>
  <c r="E5066" i="1"/>
  <c r="E1112" i="1"/>
  <c r="E2238" i="1"/>
  <c r="E2284" i="1"/>
  <c r="E4383" i="1"/>
  <c r="E5055" i="1"/>
  <c r="E2401" i="1"/>
  <c r="E3278" i="1"/>
  <c r="E5100" i="1"/>
  <c r="E4048" i="1"/>
  <c r="E2229" i="1"/>
  <c r="E4088" i="1"/>
  <c r="E3617" i="1"/>
  <c r="E4922" i="1"/>
  <c r="E5184" i="1"/>
  <c r="E3871" i="1"/>
  <c r="E4282" i="1"/>
  <c r="E4060" i="1"/>
  <c r="E5321" i="1"/>
  <c r="E3969" i="1"/>
  <c r="E123" i="1"/>
  <c r="E2815" i="1"/>
  <c r="E3251" i="1"/>
  <c r="E4996" i="1"/>
  <c r="E2103" i="1"/>
  <c r="E3675" i="1"/>
  <c r="E5183" i="1"/>
  <c r="E2835" i="1"/>
  <c r="E4120" i="1"/>
  <c r="E4745" i="1"/>
  <c r="E1122" i="1"/>
  <c r="E399" i="1"/>
  <c r="E5328" i="1"/>
  <c r="E2593" i="1"/>
  <c r="E493" i="1"/>
  <c r="E3604" i="1"/>
  <c r="E3889" i="1"/>
  <c r="E4635" i="1"/>
  <c r="E3518" i="1"/>
  <c r="E1145" i="1"/>
  <c r="E455" i="1"/>
  <c r="E373" i="1"/>
  <c r="E533" i="1"/>
  <c r="E4866" i="1"/>
  <c r="E2086" i="1"/>
  <c r="E3016" i="1"/>
  <c r="E4592" i="1"/>
  <c r="E3577" i="1"/>
  <c r="E4466" i="1"/>
  <c r="E2870" i="1"/>
  <c r="E1238" i="1"/>
  <c r="E3978" i="1"/>
  <c r="E3090" i="1"/>
  <c r="E2906" i="1"/>
  <c r="E2272" i="1"/>
  <c r="E4244" i="1"/>
  <c r="E3044" i="1"/>
  <c r="E2893" i="1"/>
  <c r="E1022" i="1"/>
  <c r="E3936" i="1"/>
  <c r="E4057" i="1"/>
  <c r="E2796" i="1"/>
  <c r="E3683" i="1"/>
  <c r="E2790" i="1"/>
  <c r="E2679" i="1"/>
  <c r="E4659" i="1"/>
  <c r="E3086" i="1"/>
  <c r="E1267" i="1"/>
  <c r="E2983" i="1"/>
  <c r="E2652" i="1"/>
  <c r="E3762" i="1"/>
  <c r="E3349" i="1"/>
  <c r="E4835" i="1"/>
  <c r="E4630" i="1"/>
  <c r="E2830" i="1"/>
  <c r="E2004" i="1"/>
  <c r="E1521" i="1"/>
  <c r="E1026" i="1"/>
  <c r="E2982" i="1"/>
  <c r="E4124" i="1"/>
  <c r="E5040" i="1"/>
  <c r="E1055" i="1"/>
  <c r="E4955" i="1"/>
  <c r="E4958" i="1"/>
  <c r="E4155" i="1"/>
  <c r="E2053" i="1"/>
  <c r="E1482" i="1"/>
  <c r="E4910" i="1"/>
  <c r="E3907" i="1"/>
  <c r="E5247" i="1"/>
  <c r="E4961" i="1"/>
  <c r="E3186" i="1"/>
  <c r="E4761" i="1"/>
  <c r="E2972" i="1"/>
  <c r="E1990" i="1"/>
  <c r="E2606" i="1"/>
  <c r="E3644" i="1"/>
  <c r="E2752" i="1"/>
  <c r="E4710" i="1"/>
  <c r="E3293" i="1"/>
  <c r="E5056" i="1"/>
  <c r="E5101" i="1"/>
  <c r="E4428" i="1"/>
  <c r="E5162" i="1"/>
  <c r="E4699" i="1"/>
  <c r="E2608" i="1"/>
  <c r="E1906" i="1"/>
  <c r="E5344" i="1"/>
  <c r="E189" i="1"/>
  <c r="E1094" i="1"/>
  <c r="E3465" i="1"/>
  <c r="E4918" i="1"/>
  <c r="E5005" i="1"/>
  <c r="E3893" i="1"/>
  <c r="E3015" i="1"/>
  <c r="E4800" i="1"/>
  <c r="E1693" i="1"/>
  <c r="E4084" i="1"/>
  <c r="E4372" i="1"/>
  <c r="E5173" i="1"/>
  <c r="E1715" i="1"/>
  <c r="E2139" i="1"/>
  <c r="E3819" i="1"/>
  <c r="E2093" i="1"/>
  <c r="E2099" i="1"/>
  <c r="E3932" i="1"/>
  <c r="E2966" i="1"/>
  <c r="E1584" i="1"/>
  <c r="E3865" i="1"/>
  <c r="E3440" i="1"/>
  <c r="E2902" i="1"/>
  <c r="E4008" i="1"/>
  <c r="E4715" i="1"/>
  <c r="E3372" i="1"/>
  <c r="E1417" i="1"/>
  <c r="E3658" i="1"/>
  <c r="E5288" i="1"/>
  <c r="E3885" i="1"/>
  <c r="E2956" i="1"/>
  <c r="E2140" i="1"/>
  <c r="E2078" i="1"/>
  <c r="E3409" i="1"/>
  <c r="E3830" i="1"/>
  <c r="E2948" i="1"/>
  <c r="E4151" i="1"/>
  <c r="E3509" i="1"/>
  <c r="E5099" i="1"/>
  <c r="E4314" i="1"/>
  <c r="E1694" i="1"/>
  <c r="E3646" i="1"/>
  <c r="E3651" i="1"/>
  <c r="E4069" i="1"/>
  <c r="E4674" i="1"/>
  <c r="E2443" i="1"/>
  <c r="E3524" i="1"/>
  <c r="E2945" i="1"/>
  <c r="E3427" i="1"/>
  <c r="E3533" i="1"/>
  <c r="E4271" i="1"/>
  <c r="E4431" i="1"/>
  <c r="E3746" i="1"/>
  <c r="E1207" i="1"/>
  <c r="E2359" i="1"/>
  <c r="E3690" i="1"/>
  <c r="E1288" i="1"/>
  <c r="E3953" i="1"/>
  <c r="E4896" i="1"/>
  <c r="E632" i="1"/>
  <c r="E3694" i="1"/>
  <c r="E4247" i="1"/>
  <c r="E4456" i="1"/>
  <c r="E4086" i="1"/>
  <c r="E4031" i="1"/>
  <c r="E3481" i="1"/>
  <c r="E5360" i="1"/>
  <c r="E5217" i="1"/>
  <c r="E2820" i="1"/>
  <c r="E1350" i="1"/>
  <c r="E2394" i="1"/>
  <c r="E5193" i="1"/>
  <c r="E4345" i="1"/>
  <c r="E2651" i="1"/>
  <c r="E2556" i="1"/>
  <c r="E2525" i="1"/>
  <c r="E3930" i="1"/>
  <c r="E3831" i="1"/>
  <c r="E1335" i="1"/>
  <c r="E5023" i="1"/>
  <c r="E652" i="1"/>
  <c r="E2647" i="1"/>
  <c r="E5152" i="1"/>
  <c r="E5282" i="1"/>
  <c r="E5345" i="1"/>
  <c r="E277" i="1"/>
  <c r="E2346" i="1"/>
  <c r="E2211" i="1"/>
  <c r="E3483" i="1"/>
  <c r="E2294" i="1"/>
  <c r="E4567" i="1"/>
  <c r="E1226" i="1"/>
  <c r="E3742" i="1"/>
  <c r="E4125" i="1"/>
  <c r="E2237" i="1"/>
  <c r="E3435" i="1"/>
  <c r="E2376" i="1"/>
  <c r="E4019" i="1"/>
  <c r="E4237" i="1"/>
  <c r="E1629" i="1"/>
  <c r="E1062" i="1"/>
  <c r="E2964" i="1"/>
  <c r="E4220" i="1"/>
  <c r="E3330" i="1"/>
  <c r="E1704" i="1"/>
  <c r="E3354" i="1"/>
  <c r="E3601" i="1"/>
  <c r="E4081" i="1"/>
  <c r="E3317" i="1"/>
  <c r="E5223" i="1"/>
  <c r="E2733" i="1"/>
  <c r="E4675" i="1"/>
  <c r="E5292" i="1"/>
  <c r="E1923" i="1"/>
  <c r="E1418" i="1"/>
  <c r="E4387" i="1"/>
  <c r="E2433" i="1"/>
  <c r="E2599" i="1"/>
  <c r="E1979" i="1"/>
  <c r="E1765" i="1"/>
  <c r="E3140" i="1"/>
  <c r="E4681" i="1"/>
  <c r="E4098" i="1"/>
  <c r="E4894" i="1"/>
  <c r="E3772" i="1"/>
  <c r="E731" i="1"/>
  <c r="E3887" i="1"/>
  <c r="E4589" i="1"/>
  <c r="E3739" i="1"/>
  <c r="E4128" i="1"/>
  <c r="E4489" i="1"/>
  <c r="E4847" i="1"/>
  <c r="E5015" i="1"/>
  <c r="E5062" i="1"/>
  <c r="E4632" i="1"/>
  <c r="E4527" i="1"/>
  <c r="E4136" i="1"/>
  <c r="E2532" i="1"/>
  <c r="E970" i="1"/>
  <c r="E2125" i="1"/>
  <c r="E103" i="1"/>
  <c r="E3216" i="1"/>
  <c r="E3063" i="1"/>
  <c r="E1872" i="1"/>
  <c r="E225" i="1"/>
  <c r="E51" i="1"/>
  <c r="E3900" i="1"/>
  <c r="E4079" i="1"/>
  <c r="E5030" i="1"/>
  <c r="E4278" i="1"/>
  <c r="E3412" i="1"/>
  <c r="E744" i="1"/>
  <c r="E3201" i="1"/>
  <c r="E4267" i="1"/>
  <c r="E2102" i="1"/>
  <c r="E661" i="1"/>
  <c r="E4416" i="1"/>
  <c r="E1766" i="1"/>
  <c r="E1353" i="1"/>
  <c r="E4764" i="1"/>
  <c r="E3437" i="1"/>
  <c r="E1769" i="1"/>
  <c r="E4413" i="1"/>
  <c r="E2683" i="1"/>
  <c r="E3913" i="1"/>
  <c r="E2732" i="1"/>
  <c r="E4893" i="1"/>
  <c r="E2916" i="1"/>
  <c r="E1781" i="1"/>
  <c r="E2855" i="1"/>
  <c r="E3848" i="1"/>
  <c r="E4450" i="1"/>
  <c r="E3974" i="1"/>
  <c r="E4760" i="1"/>
  <c r="E2281" i="1"/>
  <c r="E3084" i="1"/>
  <c r="E3111" i="1"/>
  <c r="E4529" i="1"/>
  <c r="E3014" i="1"/>
  <c r="E3589" i="1"/>
  <c r="E2537" i="1"/>
  <c r="E2666" i="1"/>
  <c r="E2386" i="1"/>
  <c r="E3457" i="1"/>
  <c r="E5333" i="1"/>
  <c r="E4687" i="1"/>
  <c r="E4848" i="1"/>
  <c r="E3877" i="1"/>
  <c r="E3259" i="1"/>
  <c r="E5325" i="1"/>
  <c r="E4027" i="1"/>
  <c r="E5346" i="1"/>
  <c r="E3360" i="1"/>
  <c r="E3305" i="1"/>
  <c r="E4673" i="1"/>
  <c r="E5074" i="1"/>
  <c r="E301" i="1"/>
  <c r="E5146" i="1"/>
  <c r="E4666" i="1"/>
  <c r="E3132" i="1"/>
  <c r="E2713" i="1"/>
  <c r="E4541" i="1"/>
  <c r="E2833" i="1"/>
  <c r="E1146" i="1"/>
  <c r="E5151" i="1"/>
  <c r="E2409" i="1"/>
  <c r="E5329" i="1"/>
  <c r="E4808" i="1"/>
  <c r="E5201" i="1"/>
  <c r="E4376" i="1"/>
  <c r="E3706" i="1"/>
  <c r="E5095" i="1"/>
  <c r="E3751" i="1"/>
  <c r="E3798" i="1"/>
  <c r="E4824" i="1"/>
  <c r="E5063" i="1"/>
  <c r="E1702" i="1"/>
  <c r="E4475" i="1"/>
  <c r="E3667" i="1"/>
  <c r="E5022" i="1"/>
  <c r="E4814" i="1"/>
  <c r="E3853" i="1"/>
  <c r="E4696" i="1"/>
  <c r="E2660" i="1"/>
  <c r="E5103" i="1"/>
  <c r="E4465" i="1"/>
  <c r="E1890" i="1"/>
  <c r="E3009" i="1"/>
  <c r="E5124" i="1"/>
  <c r="E1786" i="1"/>
  <c r="E5155" i="1"/>
  <c r="E3618" i="1"/>
  <c r="E3697" i="1"/>
  <c r="E2705" i="1"/>
  <c r="E3303" i="1"/>
  <c r="E2772" i="1"/>
  <c r="E4306" i="1"/>
  <c r="E4790" i="1"/>
  <c r="E4429" i="1"/>
  <c r="E5167" i="1"/>
  <c r="E4219" i="1"/>
  <c r="E5259" i="1"/>
  <c r="E3342" i="1"/>
  <c r="E483" i="1"/>
  <c r="E1574" i="1"/>
  <c r="E4212" i="1"/>
  <c r="E16" i="1"/>
  <c r="E3337" i="1"/>
  <c r="E2319" i="1"/>
  <c r="E3892" i="1"/>
  <c r="E3154" i="1"/>
  <c r="E2595" i="1"/>
  <c r="E4382" i="1"/>
  <c r="E1495" i="1"/>
  <c r="E5141" i="1"/>
  <c r="E4045" i="1"/>
  <c r="E4259" i="1"/>
  <c r="E3093" i="1"/>
  <c r="E3555" i="1"/>
  <c r="E4532" i="1"/>
  <c r="E3560" i="1"/>
  <c r="E2717" i="1"/>
  <c r="E3038" i="1"/>
  <c r="E4844" i="1"/>
  <c r="E4661" i="1"/>
  <c r="E5125" i="1"/>
  <c r="E880" i="1"/>
  <c r="E4130" i="1"/>
  <c r="E3247" i="1"/>
  <c r="E3456" i="1"/>
  <c r="E4396" i="1"/>
  <c r="E4296" i="1"/>
  <c r="E3884" i="1"/>
  <c r="E3571" i="1"/>
  <c r="E3362" i="1"/>
  <c r="E4773" i="1"/>
  <c r="E3733" i="1"/>
  <c r="E2107" i="1"/>
  <c r="E2546" i="1"/>
  <c r="E3042" i="1"/>
  <c r="E588" i="1"/>
  <c r="E3453" i="1"/>
  <c r="E861" i="1"/>
  <c r="E2381" i="1"/>
  <c r="E5276" i="1"/>
  <c r="E982" i="1"/>
  <c r="E1209" i="1"/>
  <c r="E4859" i="1"/>
  <c r="E4493" i="1"/>
  <c r="E4572" i="1"/>
  <c r="E2584" i="1"/>
  <c r="E4988" i="1"/>
  <c r="E5207" i="1"/>
  <c r="E4290" i="1"/>
  <c r="E3679" i="1"/>
  <c r="E4210" i="1"/>
  <c r="E3872" i="1"/>
  <c r="E3856" i="1"/>
  <c r="E2138" i="1"/>
  <c r="E2681" i="1"/>
  <c r="E4590" i="1"/>
  <c r="E4037" i="1"/>
  <c r="E3600" i="1"/>
  <c r="E5065" i="1"/>
  <c r="E4191" i="1"/>
  <c r="E4457" i="1"/>
  <c r="E4139" i="1"/>
  <c r="E1494" i="1"/>
  <c r="E4691" i="1"/>
  <c r="E4653" i="1"/>
  <c r="E5140" i="1"/>
  <c r="E4307" i="1"/>
  <c r="E1250" i="1"/>
  <c r="E4750" i="1"/>
  <c r="E5108" i="1"/>
  <c r="E3048" i="1"/>
  <c r="E2970" i="1"/>
  <c r="E4841" i="1"/>
  <c r="E5359" i="1"/>
  <c r="E4308" i="1"/>
  <c r="E4839" i="1"/>
  <c r="E3901" i="1"/>
  <c r="E3957" i="1"/>
  <c r="E4708" i="1"/>
  <c r="E4001" i="1"/>
  <c r="E4747" i="1"/>
  <c r="E3075" i="1"/>
  <c r="E1981" i="1"/>
  <c r="E4491" i="1"/>
  <c r="E5159" i="1"/>
  <c r="E1077" i="1"/>
  <c r="E811" i="1"/>
  <c r="E1088" i="1"/>
  <c r="E4336" i="1"/>
  <c r="E4569" i="1"/>
  <c r="E5221" i="1"/>
  <c r="E3458" i="1"/>
  <c r="E2872" i="1"/>
  <c r="E4758" i="1"/>
  <c r="E4981" i="1"/>
  <c r="E4657" i="1"/>
  <c r="E472" i="1"/>
  <c r="E5144" i="1"/>
  <c r="E4846" i="1"/>
  <c r="E5041" i="1"/>
  <c r="E3023" i="1"/>
  <c r="E2926" i="1"/>
  <c r="E4361" i="1"/>
  <c r="E4365" i="1"/>
  <c r="E4784" i="1"/>
  <c r="E1901" i="1"/>
  <c r="E5064" i="1"/>
  <c r="E3570" i="1"/>
  <c r="E2087" i="1"/>
  <c r="E2677" i="1"/>
  <c r="E4203" i="1"/>
  <c r="E3182" i="1"/>
  <c r="E2084" i="1"/>
  <c r="E4087" i="1"/>
  <c r="E4462" i="1"/>
  <c r="E3979" i="1"/>
  <c r="E3602" i="1"/>
  <c r="E3066" i="1"/>
  <c r="E4418" i="1"/>
  <c r="E4963" i="1"/>
  <c r="E4196" i="1"/>
  <c r="E3989" i="1"/>
  <c r="E5084" i="1"/>
  <c r="E1818" i="1"/>
  <c r="E3556" i="1"/>
  <c r="E4734" i="1"/>
  <c r="E4717" i="1"/>
  <c r="E2328" i="1"/>
  <c r="E1720" i="1"/>
  <c r="E1551" i="1"/>
  <c r="E2774" i="1"/>
  <c r="E2673" i="1"/>
  <c r="E4566" i="1"/>
  <c r="E4840" i="1"/>
  <c r="E4512" i="1"/>
  <c r="E4381" i="1"/>
  <c r="E2045" i="1"/>
  <c r="E3724" i="1"/>
  <c r="E2330" i="1"/>
  <c r="E4842" i="1"/>
  <c r="E3941" i="1"/>
  <c r="E4962" i="1"/>
  <c r="E3899" i="1"/>
  <c r="E4058" i="1"/>
  <c r="E1210" i="1"/>
  <c r="E5342" i="1"/>
  <c r="E4856" i="1"/>
  <c r="E5200" i="1"/>
  <c r="E3274" i="1"/>
  <c r="E2329" i="1"/>
  <c r="E3670" i="1"/>
  <c r="E5250" i="1"/>
  <c r="E2770" i="1"/>
  <c r="E4111" i="1"/>
  <c r="E4700" i="1"/>
  <c r="E5105" i="1"/>
  <c r="E4979" i="1"/>
  <c r="E4877" i="1"/>
  <c r="E4579" i="1"/>
  <c r="E3649" i="1"/>
  <c r="E4218" i="1"/>
  <c r="E3842" i="1"/>
  <c r="E4756" i="1"/>
  <c r="E1552" i="1"/>
  <c r="E4822" i="1"/>
  <c r="E5110" i="1"/>
  <c r="E4215" i="1"/>
  <c r="E3576" i="1"/>
  <c r="E4953" i="1"/>
  <c r="E909" i="1"/>
  <c r="E3126" i="1"/>
  <c r="E4195" i="1"/>
  <c r="E3392" i="1"/>
  <c r="E4884" i="1"/>
  <c r="E3486" i="1"/>
  <c r="E4044" i="1"/>
  <c r="E4602" i="1"/>
  <c r="E5009" i="1"/>
  <c r="E2692" i="1"/>
  <c r="E2209" i="1"/>
  <c r="E2808" i="1"/>
  <c r="E4408" i="1"/>
  <c r="E4931" i="1"/>
  <c r="E879" i="1"/>
  <c r="E4671" i="1"/>
  <c r="E4085" i="1"/>
  <c r="E2369" i="1"/>
  <c r="E2352" i="1"/>
  <c r="E4325" i="1"/>
  <c r="E1809" i="1"/>
  <c r="E3827" i="1"/>
  <c r="E3956" i="1"/>
  <c r="E3179" i="1"/>
  <c r="E4364" i="1"/>
  <c r="E98" i="1"/>
  <c r="E5219" i="1"/>
  <c r="E4650" i="1"/>
  <c r="E4640" i="1"/>
  <c r="E5319" i="1"/>
  <c r="E3559" i="1"/>
  <c r="E4777" i="1"/>
  <c r="E2529" i="1"/>
  <c r="E3847" i="1"/>
  <c r="E5241" i="1"/>
  <c r="E4020" i="1"/>
  <c r="E2971" i="1"/>
  <c r="E4316" i="1"/>
  <c r="E5045" i="1"/>
  <c r="E2453" i="1"/>
  <c r="E3473" i="1"/>
  <c r="E1533" i="1"/>
  <c r="E5285" i="1"/>
  <c r="E339" i="1"/>
  <c r="E1006" i="1"/>
  <c r="E3702" i="1"/>
  <c r="E5231" i="1"/>
  <c r="E2279" i="1"/>
  <c r="E4508" i="1"/>
  <c r="E1772" i="1"/>
  <c r="E892" i="1"/>
  <c r="E4459" i="1"/>
  <c r="E4303" i="1"/>
  <c r="E3766" i="1"/>
  <c r="E1242" i="1"/>
  <c r="E4355" i="1"/>
  <c r="E1942" i="1"/>
  <c r="E5156" i="1"/>
  <c r="E2897" i="1"/>
  <c r="E3275" i="1"/>
  <c r="E4649" i="1"/>
  <c r="E3192" i="1"/>
  <c r="E3664" i="1"/>
  <c r="E5007" i="1"/>
  <c r="E4622" i="1"/>
  <c r="E4374" i="1"/>
  <c r="E2852" i="1"/>
  <c r="E3958" i="1"/>
  <c r="E2193" i="1"/>
  <c r="E197" i="1"/>
  <c r="E4947" i="1"/>
  <c r="E322" i="1"/>
  <c r="E4997" i="1"/>
  <c r="E4302" i="1"/>
  <c r="E4978" i="1"/>
  <c r="E2947" i="1"/>
  <c r="E249" i="1"/>
  <c r="E3781" i="1"/>
  <c r="E4593" i="1"/>
  <c r="E3843" i="1"/>
  <c r="E5137" i="1"/>
  <c r="E4227" i="1"/>
  <c r="E3648" i="1"/>
  <c r="E3233" i="1"/>
  <c r="E4547" i="1"/>
  <c r="E4785" i="1"/>
  <c r="E1919" i="1"/>
  <c r="E4549" i="1"/>
  <c r="E4115" i="1"/>
  <c r="E3145" i="1"/>
  <c r="E2962" i="1"/>
  <c r="E3319" i="1"/>
  <c r="E3314" i="1"/>
  <c r="E4743" i="1"/>
  <c r="E4514" i="1"/>
  <c r="E1705" i="1"/>
  <c r="E1065" i="1"/>
  <c r="E3569" i="1"/>
  <c r="E2183" i="1"/>
  <c r="E3174" i="1"/>
  <c r="E3213" i="1"/>
  <c r="E3834" i="1"/>
  <c r="E3285" i="1"/>
  <c r="E4887" i="1"/>
  <c r="E4637" i="1"/>
  <c r="E198" i="1"/>
  <c r="E4496" i="1"/>
  <c r="E4176" i="1"/>
  <c r="E5194" i="1"/>
  <c r="E4368" i="1"/>
  <c r="E5048" i="1"/>
  <c r="E3835" i="1"/>
  <c r="E2117" i="1"/>
  <c r="E2528" i="1"/>
  <c r="E3943" i="1"/>
  <c r="E5314" i="1"/>
  <c r="E5024" i="1"/>
  <c r="E4434" i="1"/>
  <c r="E3255" i="1"/>
  <c r="E5087" i="1"/>
  <c r="E4242" i="1"/>
  <c r="E4513" i="1"/>
  <c r="E5181" i="1"/>
  <c r="E3002" i="1"/>
  <c r="E3965" i="1"/>
  <c r="E3499" i="1"/>
  <c r="E4490" i="1"/>
  <c r="E4564" i="1"/>
  <c r="E5251" i="1"/>
  <c r="E4736" i="1"/>
  <c r="E5116" i="1"/>
  <c r="E4652" i="1"/>
  <c r="E4214" i="1"/>
  <c r="E5127" i="1"/>
  <c r="E236" i="1"/>
  <c r="E4524" i="1"/>
  <c r="E4882" i="1"/>
  <c r="E4837" i="1"/>
  <c r="E4907" i="1"/>
  <c r="E2212" i="1"/>
  <c r="E5256" i="1"/>
  <c r="E2275" i="1"/>
  <c r="E4980" i="1"/>
  <c r="E4207" i="1"/>
  <c r="E4406" i="1"/>
  <c r="E2273" i="1"/>
  <c r="E4878" i="1"/>
  <c r="E3283" i="1"/>
  <c r="E3986" i="1"/>
  <c r="E4615" i="1"/>
  <c r="E2580" i="1"/>
  <c r="E4328" i="1"/>
  <c r="E4937" i="1"/>
  <c r="E2266" i="1"/>
  <c r="E4728" i="1"/>
  <c r="E5248" i="1"/>
  <c r="E4915" i="1"/>
  <c r="E229" i="1"/>
  <c r="E4619" i="1"/>
  <c r="E4554" i="1"/>
  <c r="E5019" i="1"/>
  <c r="E5070" i="1"/>
  <c r="E4285" i="1"/>
  <c r="E5097" i="1"/>
  <c r="E1838" i="1"/>
  <c r="E4692" i="1"/>
  <c r="E4148" i="1"/>
  <c r="E3544" i="1"/>
  <c r="E4470" i="1"/>
  <c r="E3616" i="1"/>
  <c r="E4542" i="1"/>
  <c r="E2410" i="1"/>
  <c r="E5357" i="1"/>
  <c r="E4735" i="1"/>
  <c r="E1227" i="1"/>
  <c r="E2044" i="1"/>
  <c r="E1205" i="1"/>
  <c r="E4925" i="1"/>
  <c r="E3236" i="1"/>
  <c r="E4144" i="1"/>
  <c r="E2505" i="1"/>
  <c r="E1782" i="1"/>
  <c r="E1871" i="1"/>
  <c r="E5081" i="1"/>
  <c r="E4643" i="1"/>
  <c r="E3389" i="1"/>
  <c r="E1155" i="1"/>
  <c r="E3081" i="1"/>
  <c r="E4379" i="1"/>
  <c r="E2340" i="1"/>
  <c r="E4229" i="1"/>
  <c r="E2223" i="1"/>
  <c r="E2738" i="1"/>
  <c r="E4236" i="1"/>
  <c r="E3519" i="1"/>
  <c r="E4993" i="1"/>
  <c r="E1982" i="1"/>
  <c r="E4818" i="1"/>
  <c r="E3291" i="1"/>
  <c r="E1581" i="1"/>
  <c r="E3315" i="1"/>
  <c r="E5236" i="1"/>
  <c r="E3640" i="1"/>
  <c r="E1298" i="1"/>
  <c r="E4711" i="1"/>
  <c r="E4625" i="1"/>
  <c r="E4605" i="1"/>
  <c r="E2846" i="1"/>
  <c r="E4984" i="1"/>
  <c r="E5086" i="1"/>
  <c r="E3812" i="1"/>
  <c r="E5279" i="1"/>
  <c r="E4334" i="1"/>
  <c r="E1867" i="1"/>
  <c r="E4892" i="1"/>
  <c r="E4751" i="1"/>
  <c r="E5039" i="1"/>
  <c r="E3000" i="1"/>
  <c r="E4224" i="1"/>
  <c r="E3326" i="1"/>
  <c r="E4703" i="1"/>
  <c r="E5004" i="1"/>
  <c r="E3657" i="1"/>
  <c r="E3025" i="1"/>
  <c r="E4520" i="1"/>
  <c r="E2426" i="1"/>
  <c r="E3960" i="1"/>
  <c r="E4924" i="1"/>
  <c r="E4880" i="1"/>
  <c r="E2128" i="1"/>
  <c r="E2028" i="1"/>
  <c r="E3808" i="1"/>
  <c r="E4385" i="1"/>
  <c r="E4742" i="1"/>
  <c r="E3424" i="1"/>
  <c r="E2361" i="1"/>
  <c r="E4623" i="1"/>
  <c r="E2337" i="1"/>
  <c r="E3296" i="1"/>
  <c r="E4560" i="1"/>
  <c r="E3530" i="1"/>
  <c r="E5261" i="1"/>
  <c r="E4097" i="1"/>
  <c r="E5216" i="1"/>
  <c r="E4354" i="1"/>
  <c r="E2008" i="1"/>
  <c r="E1797" i="1"/>
  <c r="E2072" i="1"/>
  <c r="E4453" i="1"/>
  <c r="E4810" i="1"/>
  <c r="E4782" i="1"/>
  <c r="E5334" i="1"/>
  <c r="E641" i="1"/>
  <c r="E1029" i="1"/>
  <c r="E3620" i="1"/>
  <c r="E5336" i="1"/>
  <c r="E1474" i="1"/>
  <c r="E2280" i="1"/>
  <c r="E3030" i="1"/>
  <c r="E3219" i="1"/>
  <c r="E3784" i="1"/>
  <c r="E5237" i="1"/>
  <c r="E4830" i="1"/>
  <c r="E3993" i="1"/>
  <c r="E4886" i="1"/>
  <c r="E4243" i="1"/>
  <c r="E3378" i="1"/>
  <c r="E4492" i="1"/>
  <c r="E4415" i="1"/>
  <c r="E3728" i="1"/>
  <c r="E1254" i="1"/>
  <c r="E5038" i="1"/>
  <c r="E4629" i="1"/>
  <c r="E3209" i="1"/>
  <c r="E3868" i="1"/>
  <c r="E3110" i="1"/>
  <c r="E4940" i="1"/>
  <c r="E3883" i="1"/>
  <c r="E5264" i="1"/>
  <c r="E369" i="1"/>
  <c r="E4780" i="1"/>
  <c r="E2826" i="1"/>
  <c r="E4942" i="1"/>
  <c r="E1480" i="1"/>
  <c r="E2671" i="1"/>
  <c r="E1362" i="1"/>
  <c r="E4059" i="1"/>
  <c r="E208" i="1"/>
  <c r="E2126" i="1"/>
  <c r="E4545" i="1"/>
  <c r="E3517" i="1"/>
  <c r="E5317" i="1"/>
  <c r="E3632" i="1"/>
  <c r="E4617" i="1"/>
  <c r="E2487" i="1"/>
  <c r="E2581" i="1"/>
  <c r="E3506" i="1"/>
  <c r="E2241" i="1"/>
  <c r="E3674" i="1"/>
  <c r="E3672" i="1"/>
  <c r="E2785" i="1"/>
  <c r="E3059" i="1"/>
  <c r="E3428" i="1"/>
  <c r="E1524" i="1"/>
  <c r="E4206" i="1"/>
  <c r="E4683" i="1"/>
  <c r="E3113" i="1"/>
  <c r="E2566" i="1"/>
  <c r="E5163" i="1"/>
  <c r="E2425" i="1"/>
  <c r="E5149" i="1"/>
  <c r="E2302" i="1"/>
  <c r="E1078" i="1"/>
  <c r="E4759" i="1"/>
  <c r="E2976" i="1"/>
  <c r="E1983" i="1"/>
  <c r="E4225" i="1"/>
  <c r="E3250" i="1"/>
  <c r="E4540" i="1"/>
  <c r="E2154" i="1"/>
  <c r="E3041" i="1"/>
  <c r="E3221" i="1"/>
  <c r="E2527" i="1"/>
  <c r="E2417" i="1"/>
  <c r="E5037" i="1"/>
  <c r="E4202" i="1"/>
  <c r="E196" i="1"/>
  <c r="E4147" i="1"/>
  <c r="E4676" i="1"/>
  <c r="E354" i="1"/>
  <c r="E4803" i="1"/>
  <c r="E1374" i="1"/>
  <c r="E2289" i="1"/>
  <c r="E3402" i="1"/>
  <c r="E2776" i="1"/>
  <c r="E2479" i="1"/>
  <c r="E4738" i="1"/>
  <c r="E3523" i="1"/>
  <c r="E5138" i="1"/>
  <c r="E3535" i="1"/>
  <c r="E2697" i="1"/>
  <c r="E2206" i="1"/>
  <c r="E4393" i="1"/>
  <c r="E5118" i="1"/>
  <c r="E5172" i="1"/>
  <c r="E3452" i="1"/>
  <c r="E5286" i="1"/>
  <c r="E3526" i="1"/>
  <c r="E4797" i="1"/>
  <c r="E3156" i="1"/>
  <c r="E5133" i="1"/>
  <c r="E3745" i="1"/>
  <c r="E3164" i="1"/>
  <c r="E5299" i="1"/>
  <c r="E2991" i="1"/>
  <c r="E4977" i="1"/>
  <c r="E4819" i="1"/>
  <c r="E4833" i="1"/>
  <c r="E5351" i="1"/>
  <c r="E5006" i="1"/>
  <c r="E5222" i="1"/>
  <c r="E760" i="1"/>
  <c r="E3795" i="1"/>
  <c r="E4287" i="1"/>
  <c r="E3666" i="1"/>
  <c r="E5232" i="1"/>
  <c r="E4944" i="1"/>
  <c r="E3634" i="1"/>
  <c r="E3404" i="1"/>
  <c r="E2892" i="1"/>
  <c r="E1151" i="1"/>
  <c r="E5337" i="1"/>
  <c r="E4326" i="1"/>
  <c r="E4642" i="1"/>
  <c r="E2477" i="1"/>
  <c r="E4276" i="1"/>
  <c r="E2171" i="1"/>
  <c r="E2226" i="1"/>
  <c r="E4230" i="1"/>
  <c r="E3180" i="1"/>
  <c r="E2526" i="1"/>
  <c r="E1434" i="1"/>
  <c r="E4423" i="1"/>
  <c r="E3959" i="1"/>
  <c r="E3091" i="1"/>
  <c r="E4312" i="1"/>
  <c r="E1173" i="1"/>
  <c r="E2442" i="1"/>
  <c r="E4323" i="1"/>
  <c r="E4402" i="1"/>
  <c r="E5226" i="1"/>
  <c r="E2943" i="1"/>
  <c r="E5242" i="1"/>
  <c r="E4724" i="1"/>
  <c r="E4582" i="1"/>
  <c r="E5117" i="1"/>
  <c r="E4320" i="1"/>
  <c r="E4476" i="1"/>
  <c r="E4912" i="1"/>
  <c r="E4443" i="1"/>
  <c r="E4160" i="1"/>
  <c r="E4827" i="1"/>
  <c r="E362" i="1"/>
  <c r="E3990" i="1"/>
  <c r="E3265" i="1"/>
  <c r="E4559" i="1"/>
  <c r="E3541" i="1"/>
  <c r="E3498" i="1"/>
  <c r="E1692" i="1"/>
  <c r="E5332" i="1"/>
  <c r="E2822" i="1"/>
  <c r="E5054" i="1"/>
  <c r="E2597" i="1"/>
  <c r="E4199" i="1"/>
  <c r="E4898" i="1"/>
  <c r="E4913" i="1"/>
  <c r="E245" i="1"/>
  <c r="E2321" i="1"/>
  <c r="E2587" i="1"/>
  <c r="E5044" i="1"/>
  <c r="E4006" i="1"/>
  <c r="E5027" i="1"/>
  <c r="E2742" i="1"/>
  <c r="E3376" i="1"/>
  <c r="E4959" i="1"/>
  <c r="E3680" i="1"/>
  <c r="E2643" i="1"/>
  <c r="E3918" i="1"/>
  <c r="E4889" i="1"/>
  <c r="E3358" i="1"/>
  <c r="E3584" i="1"/>
  <c r="E3328" i="1"/>
  <c r="E4543" i="1"/>
  <c r="E3776" i="1"/>
  <c r="E2080" i="1"/>
  <c r="E4378" i="1"/>
  <c r="E4599" i="1"/>
  <c r="E2498" i="1"/>
  <c r="E2227" i="1"/>
  <c r="E4239" i="1"/>
  <c r="E3902" i="1"/>
  <c r="E2573" i="1"/>
  <c r="E3596" i="1"/>
  <c r="E4026" i="1"/>
  <c r="E3120" i="1"/>
  <c r="E3815" i="1"/>
  <c r="E962" i="1"/>
  <c r="E4612" i="1"/>
  <c r="E2873" i="1"/>
  <c r="E2016" i="1"/>
  <c r="E3383" i="1"/>
  <c r="E3304" i="1"/>
  <c r="E950" i="1"/>
  <c r="E4208" i="1"/>
  <c r="E2642" i="1"/>
  <c r="E1768" i="1"/>
  <c r="E4663" i="1"/>
  <c r="E3704" i="1"/>
  <c r="E5034" i="1"/>
  <c r="E1764" i="1"/>
  <c r="E4771" i="1"/>
  <c r="E5303" i="1"/>
  <c r="E5296" i="1"/>
  <c r="E3401" i="1"/>
  <c r="E1860" i="1"/>
  <c r="E4228" i="1"/>
  <c r="E2623" i="1"/>
  <c r="E4180" i="1"/>
  <c r="E4901" i="1"/>
  <c r="E3295" i="1"/>
  <c r="E1086" i="1"/>
  <c r="E4817" i="1"/>
  <c r="E1956" i="1"/>
  <c r="E2088" i="1"/>
  <c r="E3582" i="1"/>
  <c r="E5245" i="1"/>
  <c r="E3662" i="1"/>
  <c r="E4936" i="1"/>
  <c r="E5356" i="1"/>
  <c r="E3599" i="1"/>
  <c r="E5297" i="1"/>
  <c r="E4164" i="1"/>
  <c r="E4775" i="1"/>
  <c r="E4437" i="1"/>
  <c r="E2901" i="1"/>
  <c r="E1154" i="1"/>
  <c r="E1410" i="1"/>
  <c r="E3485" i="1"/>
  <c r="E2961" i="1"/>
  <c r="E4258" i="1"/>
  <c r="E3329" i="1"/>
  <c r="E4729" i="1"/>
  <c r="E1811" i="1"/>
  <c r="E2218" i="1"/>
  <c r="E4874" i="1"/>
  <c r="E4073" i="1"/>
  <c r="E3268" i="1"/>
  <c r="E4721" i="1"/>
  <c r="E5136" i="1"/>
  <c r="E5191" i="1"/>
  <c r="E2432" i="1"/>
  <c r="E356" i="1"/>
  <c r="E2954" i="1"/>
  <c r="E2736" i="1"/>
  <c r="E5190" i="1"/>
  <c r="E4274" i="1"/>
  <c r="E3641" i="1"/>
  <c r="E4811" i="1"/>
  <c r="E2373" i="1"/>
  <c r="E1037" i="1"/>
  <c r="E2979" i="1"/>
  <c r="E3554" i="1"/>
  <c r="E2402" i="1"/>
  <c r="E2722" i="1"/>
  <c r="E5180" i="1"/>
  <c r="E4920" i="1"/>
  <c r="E4104" i="1"/>
  <c r="E5268" i="1"/>
  <c r="E4486" i="1"/>
  <c r="E3710" i="1"/>
  <c r="E5218" i="1"/>
  <c r="E1851" i="1"/>
  <c r="E4565" i="1"/>
  <c r="E3504" i="1"/>
  <c r="E1380" i="1"/>
  <c r="E3949" i="1"/>
  <c r="E3022" i="1"/>
  <c r="E2768" i="1"/>
  <c r="E4762" i="1"/>
  <c r="E4337" i="1"/>
  <c r="E2488" i="1"/>
  <c r="E5203" i="1"/>
  <c r="E346" i="1"/>
  <c r="E1718" i="1"/>
  <c r="E4217" i="1"/>
  <c r="E4078" i="1"/>
  <c r="E3786" i="1"/>
  <c r="E5187" i="1"/>
  <c r="E3880" i="1"/>
  <c r="E3361" i="1"/>
  <c r="E2186" i="1"/>
  <c r="E5043" i="1"/>
  <c r="E5306" i="1"/>
  <c r="E1684" i="1"/>
  <c r="E5021" i="1"/>
  <c r="E4719" i="1"/>
  <c r="E3507" i="1"/>
  <c r="E654" i="1"/>
  <c r="E3348" i="1"/>
  <c r="E3346" i="1"/>
  <c r="E3054" i="1"/>
  <c r="E4765" i="1"/>
  <c r="E5059" i="1"/>
  <c r="E4451" i="1"/>
  <c r="E4043" i="1"/>
  <c r="E2844" i="1"/>
  <c r="E2721" i="1"/>
  <c r="E2199" i="1"/>
  <c r="E3460" i="1"/>
  <c r="E3592" i="1"/>
  <c r="E2089" i="1"/>
  <c r="E4594" i="1"/>
  <c r="E4895" i="1"/>
  <c r="E5067" i="1"/>
  <c r="E5077" i="1"/>
  <c r="E1589" i="1"/>
  <c r="E5266" i="1"/>
  <c r="E4149" i="1"/>
  <c r="E5323" i="1"/>
  <c r="E2561" i="1"/>
  <c r="E3988" i="1"/>
  <c r="E3461" i="1"/>
  <c r="E4065" i="1"/>
  <c r="E1999" i="1"/>
  <c r="E3495" i="1"/>
  <c r="E1728" i="1"/>
  <c r="E2663" i="1"/>
  <c r="E4200" i="1"/>
  <c r="E3726" i="1"/>
  <c r="E4504" i="1"/>
  <c r="E1864" i="1"/>
  <c r="E3916" i="1"/>
  <c r="E3508" i="1"/>
  <c r="E5166" i="1"/>
  <c r="E4301" i="1"/>
  <c r="E3561" i="1"/>
  <c r="E3935" i="1"/>
  <c r="E5198" i="1"/>
  <c r="E4204" i="1"/>
  <c r="E3999" i="1"/>
  <c r="E1483" i="1"/>
  <c r="E5189" i="1"/>
  <c r="E1323" i="1"/>
  <c r="E3796" i="1"/>
  <c r="E4608" i="1"/>
  <c r="E2440" i="1"/>
  <c r="E4190" i="1"/>
  <c r="E4891" i="1"/>
  <c r="E3955" i="1"/>
  <c r="E2148" i="1"/>
  <c r="E5154" i="1"/>
  <c r="E4588" i="1"/>
  <c r="E3405" i="1"/>
  <c r="E4014" i="1"/>
  <c r="E5079" i="1"/>
  <c r="E3650" i="1"/>
  <c r="E5205" i="1"/>
  <c r="E1358" i="1"/>
  <c r="E3347" i="1"/>
  <c r="E991" i="1"/>
  <c r="E4422" i="1"/>
  <c r="E4863" i="1"/>
  <c r="E3924" i="1"/>
  <c r="E4973" i="1"/>
  <c r="E3904" i="1"/>
  <c r="E3263" i="1"/>
  <c r="E2270" i="1"/>
  <c r="E1333" i="1"/>
  <c r="E295" i="1"/>
  <c r="E4133" i="1"/>
  <c r="E4906" i="1"/>
  <c r="E4479" i="1"/>
  <c r="E4497" i="1"/>
  <c r="E3761" i="1"/>
  <c r="E1933" i="1"/>
  <c r="E1598" i="1"/>
  <c r="E2723" i="1"/>
  <c r="E2161" i="1"/>
  <c r="E1140" i="1"/>
  <c r="E3612" i="1"/>
  <c r="E820" i="1"/>
  <c r="E4061" i="1"/>
  <c r="E4375" i="1"/>
  <c r="E3230" i="1"/>
  <c r="E2638" i="1"/>
  <c r="E3161" i="1"/>
  <c r="E1070" i="1"/>
  <c r="E5147" i="1"/>
  <c r="E4233" i="1"/>
  <c r="E5011" i="1"/>
  <c r="E3777" i="1"/>
  <c r="E2400" i="1"/>
  <c r="E2198" i="1"/>
  <c r="E4985" i="1"/>
  <c r="E1256" i="1"/>
  <c r="E4503" i="1"/>
  <c r="E4127" i="1"/>
  <c r="E4339" i="1"/>
  <c r="E4523" i="1"/>
  <c r="E3407" i="1"/>
  <c r="E1784" i="1"/>
  <c r="E3655" i="1"/>
  <c r="E5341" i="1"/>
  <c r="E1735" i="1"/>
  <c r="E1845" i="1"/>
  <c r="E3352" i="1"/>
  <c r="E5104" i="1"/>
  <c r="E4507" i="1"/>
  <c r="E474" i="1"/>
  <c r="E4933" i="1"/>
  <c r="E4926" i="1"/>
  <c r="E4614" i="1"/>
  <c r="E3719" i="1"/>
  <c r="E4116" i="1"/>
  <c r="E4855" i="1"/>
  <c r="E4186" i="1"/>
  <c r="E2753" i="1"/>
  <c r="E2997" i="1"/>
  <c r="E4531" i="1"/>
  <c r="E5185" i="1"/>
  <c r="E2164" i="1"/>
  <c r="E4525" i="1"/>
  <c r="E4487" i="1"/>
  <c r="E2251" i="1"/>
  <c r="E1321" i="1"/>
  <c r="E4902" i="1"/>
  <c r="E3189" i="1"/>
  <c r="E4502" i="1"/>
  <c r="E4872" i="1"/>
  <c r="E5311" i="1"/>
  <c r="E3608" i="1"/>
  <c r="E2248" i="1"/>
  <c r="E5098" i="1"/>
  <c r="E3736" i="1"/>
  <c r="E4181" i="1"/>
  <c r="E1377" i="1"/>
  <c r="E2454" i="1"/>
  <c r="E1913" i="1"/>
  <c r="E4072" i="1"/>
  <c r="E4516" i="1"/>
  <c r="E3496" i="1"/>
  <c r="E2791" i="1"/>
  <c r="E4974" i="1"/>
  <c r="E1756" i="1"/>
  <c r="E4211" i="1"/>
  <c r="E5088" i="1"/>
  <c r="E4677" i="1"/>
  <c r="E368" i="1"/>
  <c r="E4471" i="1"/>
  <c r="E4105" i="1"/>
  <c r="E3793" i="1"/>
  <c r="E2300" i="1"/>
  <c r="E4107" i="1"/>
  <c r="E5202" i="1"/>
  <c r="E4510" i="1"/>
  <c r="E3403" i="1"/>
  <c r="E5120" i="1"/>
  <c r="E4146" i="1"/>
  <c r="E3464" i="1"/>
  <c r="E1954" i="1"/>
  <c r="E5260" i="1"/>
  <c r="E5280" i="1"/>
  <c r="E3857" i="1"/>
  <c r="E4386" i="1"/>
  <c r="E4890" i="1"/>
  <c r="E2912" i="1"/>
  <c r="E4804" i="1"/>
  <c r="E3654" i="1"/>
  <c r="E1947" i="1"/>
  <c r="E3624" i="1"/>
  <c r="E4194" i="1"/>
  <c r="E3863" i="1"/>
  <c r="E4641" i="1"/>
  <c r="E4558" i="1"/>
  <c r="E1836" i="1"/>
  <c r="E4369" i="1"/>
  <c r="E677" i="1"/>
  <c r="E3497" i="1"/>
  <c r="E1800" i="1"/>
  <c r="E4403" i="1"/>
  <c r="E4075" i="1"/>
  <c r="E2466" i="1"/>
  <c r="E3615" i="1"/>
  <c r="E1149" i="1"/>
  <c r="E3451" i="1"/>
  <c r="E5145" i="1"/>
  <c r="E4591" i="1"/>
  <c r="E4966" i="1"/>
  <c r="E5121" i="1"/>
  <c r="E5069" i="1"/>
  <c r="E2368" i="1"/>
  <c r="E4404" i="1"/>
  <c r="E4477" i="1"/>
  <c r="E4041" i="1"/>
  <c r="E4333" i="1"/>
  <c r="E5295" i="1"/>
  <c r="E3051" i="1"/>
  <c r="E4688" i="1"/>
  <c r="E3480" i="1"/>
  <c r="E2222" i="1"/>
  <c r="E3817" i="1"/>
  <c r="E5031" i="1"/>
  <c r="E4672" i="1"/>
  <c r="E4769" i="1"/>
  <c r="E4029" i="1"/>
  <c r="E3065" i="1"/>
  <c r="E562" i="1"/>
  <c r="E3384" i="1"/>
  <c r="E3939" i="1"/>
  <c r="E3380" i="1"/>
  <c r="E1858" i="1"/>
  <c r="E3652" i="1"/>
  <c r="E4397" i="1"/>
  <c r="E5339" i="1"/>
  <c r="E5169" i="1"/>
  <c r="E3353" i="1"/>
  <c r="E886" i="1"/>
  <c r="E2871" i="1"/>
  <c r="E2665" i="1"/>
  <c r="E2436" i="1"/>
  <c r="E4956" i="1"/>
  <c r="E2809" i="1"/>
  <c r="E4446" i="1"/>
  <c r="E4004" i="1"/>
  <c r="E4850" i="1"/>
  <c r="E5262" i="1"/>
  <c r="E4142" i="1"/>
  <c r="E5263" i="1"/>
  <c r="E3846" i="1"/>
  <c r="E4294" i="1"/>
  <c r="E5143" i="1"/>
  <c r="E5274" i="1"/>
  <c r="E149" i="1"/>
  <c r="E2965" i="1"/>
  <c r="E4121" i="1"/>
  <c r="E3430" i="1"/>
  <c r="E2849" i="1"/>
  <c r="E3778" i="1"/>
  <c r="E3037" i="1"/>
  <c r="E4972" i="1"/>
  <c r="E3529" i="1"/>
  <c r="E4461" i="1"/>
  <c r="E5338" i="1"/>
  <c r="E2905" i="1"/>
  <c r="E4689" i="1"/>
  <c r="E4380" i="1"/>
  <c r="E4603" i="1"/>
  <c r="E3321" i="1"/>
  <c r="E3656" i="1"/>
  <c r="E4618" i="1"/>
  <c r="E1043" i="1"/>
  <c r="E2564" i="1"/>
  <c r="E5075" i="1"/>
  <c r="E5078" i="1"/>
  <c r="E462" i="1"/>
  <c r="E4331" i="1"/>
  <c r="E2910" i="1"/>
  <c r="E5111" i="1"/>
  <c r="E4288" i="1"/>
  <c r="E4412" i="1"/>
  <c r="E3167" i="1"/>
  <c r="E1311" i="1"/>
  <c r="E3928" i="1"/>
  <c r="E4783" i="1"/>
  <c r="E4304" i="1"/>
  <c r="E3811" i="1"/>
  <c r="E2190" i="1"/>
  <c r="E2320" i="1"/>
  <c r="E4791" i="1"/>
  <c r="E4435" i="1"/>
  <c r="E4744" i="1"/>
  <c r="E6" i="1"/>
  <c r="C10" i="4" l="1"/>
  <c r="C39" i="4"/>
  <c r="C40" i="4"/>
  <c r="C57" i="4"/>
  <c r="C37" i="4"/>
  <c r="C50" i="4"/>
  <c r="C35" i="4"/>
  <c r="C53" i="4"/>
  <c r="C12" i="4"/>
  <c r="C28" i="4"/>
  <c r="C52" i="4"/>
  <c r="C59" i="4"/>
  <c r="C24" i="4"/>
  <c r="C41" i="4"/>
  <c r="C14" i="4"/>
  <c r="C47" i="4"/>
  <c r="C30" i="4"/>
  <c r="C32" i="4"/>
  <c r="C42" i="4"/>
  <c r="C22" i="4"/>
  <c r="C44" i="4"/>
  <c r="C17" i="4"/>
  <c r="C55" i="4"/>
  <c r="C18" i="4"/>
  <c r="C11" i="4"/>
  <c r="C65" i="4"/>
  <c r="C25" i="4"/>
  <c r="C34" i="4"/>
  <c r="C26" i="4"/>
  <c r="C62" i="4"/>
  <c r="C27" i="4"/>
  <c r="C8" i="4"/>
  <c r="C60" i="4"/>
  <c r="C51" i="4"/>
  <c r="C9" i="4"/>
  <c r="C36" i="4"/>
  <c r="C63" i="4"/>
  <c r="C31" i="4"/>
  <c r="C19" i="4"/>
  <c r="C56" i="4"/>
  <c r="C33" i="4"/>
  <c r="C58" i="4"/>
  <c r="C61" i="4"/>
  <c r="C15" i="4"/>
  <c r="C45" i="4"/>
  <c r="C16" i="4"/>
  <c r="C13" i="4"/>
  <c r="C46" i="4"/>
  <c r="C49" i="4"/>
  <c r="C54" i="4"/>
  <c r="C20" i="4"/>
  <c r="C48" i="4"/>
  <c r="C23" i="4"/>
  <c r="C38" i="4"/>
  <c r="C21" i="4"/>
  <c r="C64" i="4"/>
  <c r="C29" i="4"/>
  <c r="C43" i="4"/>
  <c r="G65" i="4" l="1"/>
  <c r="F65" i="4"/>
  <c r="H65" i="4"/>
  <c r="D65" i="4"/>
  <c r="E65" i="4"/>
  <c r="H64" i="4"/>
  <c r="E64" i="4"/>
  <c r="D64" i="4"/>
  <c r="G64" i="4"/>
  <c r="F64" i="4"/>
  <c r="G62" i="4"/>
  <c r="F58" i="4"/>
  <c r="G56" i="4"/>
  <c r="E60" i="4"/>
  <c r="H60" i="4"/>
  <c r="H58" i="4"/>
  <c r="F56" i="4"/>
  <c r="G63" i="4"/>
  <c r="H59" i="4"/>
  <c r="E59" i="4"/>
  <c r="G59" i="4"/>
  <c r="D57" i="4"/>
  <c r="E61" i="4"/>
  <c r="D62" i="4"/>
  <c r="D58" i="4"/>
  <c r="E56" i="4"/>
  <c r="E58" i="4"/>
  <c r="D59" i="4"/>
  <c r="E63" i="4"/>
  <c r="H63" i="4"/>
  <c r="H57" i="4"/>
  <c r="G61" i="4"/>
  <c r="F60" i="4"/>
  <c r="H62" i="4"/>
  <c r="D63" i="4"/>
  <c r="F57" i="4"/>
  <c r="G58" i="4"/>
  <c r="E62" i="4"/>
  <c r="G60" i="4"/>
  <c r="F62" i="4"/>
  <c r="F63" i="4"/>
  <c r="F59" i="4"/>
  <c r="G57" i="4"/>
  <c r="H61" i="4"/>
  <c r="H56" i="4"/>
  <c r="D60" i="4"/>
  <c r="D61" i="4"/>
  <c r="E57" i="4"/>
  <c r="D56" i="4"/>
  <c r="F61" i="4"/>
  <c r="F29" i="4"/>
  <c r="F47" i="4"/>
  <c r="D26" i="4"/>
  <c r="E15" i="4"/>
  <c r="F43" i="4"/>
  <c r="F28" i="4"/>
  <c r="F12" i="4"/>
  <c r="D18" i="4"/>
  <c r="D55" i="4"/>
  <c r="F31" i="4"/>
  <c r="D23" i="4"/>
  <c r="F37" i="4"/>
  <c r="G22" i="4"/>
  <c r="G42" i="4"/>
  <c r="E51" i="4"/>
  <c r="F49" i="4"/>
  <c r="H10" i="4"/>
  <c r="E48" i="4"/>
  <c r="F42" i="4"/>
  <c r="E53" i="4"/>
  <c r="D20" i="4"/>
  <c r="E40" i="4"/>
  <c r="E22" i="4"/>
  <c r="G38" i="4"/>
  <c r="E49" i="4"/>
  <c r="E29" i="4"/>
  <c r="G47" i="4"/>
  <c r="E26" i="4"/>
  <c r="H34" i="4"/>
  <c r="D43" i="4"/>
  <c r="G28" i="4"/>
  <c r="G12" i="4"/>
  <c r="G53" i="4"/>
  <c r="H55" i="4"/>
  <c r="D31" i="4"/>
  <c r="H23" i="4"/>
  <c r="D37" i="4"/>
  <c r="E42" i="4"/>
  <c r="H51" i="4"/>
  <c r="G49" i="4"/>
  <c r="G10" i="4"/>
  <c r="D51" i="4"/>
  <c r="D35" i="4"/>
  <c r="D48" i="4"/>
  <c r="G36" i="4"/>
  <c r="H29" i="4"/>
  <c r="E47" i="4"/>
  <c r="G24" i="4"/>
  <c r="E34" i="4"/>
  <c r="E43" i="4"/>
  <c r="D28" i="4"/>
  <c r="H53" i="4"/>
  <c r="G55" i="4"/>
  <c r="E31" i="4"/>
  <c r="G23" i="4"/>
  <c r="H49" i="4"/>
  <c r="G17" i="4"/>
  <c r="H40" i="4"/>
  <c r="G40" i="4"/>
  <c r="G30" i="4"/>
  <c r="D44" i="4"/>
  <c r="F23" i="4"/>
  <c r="G9" i="4"/>
  <c r="G29" i="4"/>
  <c r="D47" i="4"/>
  <c r="D41" i="4"/>
  <c r="H24" i="4"/>
  <c r="F34" i="4"/>
  <c r="G43" i="4"/>
  <c r="G33" i="4"/>
  <c r="D53" i="4"/>
  <c r="E55" i="4"/>
  <c r="H31" i="4"/>
  <c r="H48" i="4"/>
  <c r="D42" i="4"/>
  <c r="F51" i="4"/>
  <c r="H32" i="4"/>
  <c r="G32" i="4"/>
  <c r="G39" i="4"/>
  <c r="F27" i="4"/>
  <c r="D29" i="4"/>
  <c r="F14" i="4"/>
  <c r="F41" i="4"/>
  <c r="D24" i="4"/>
  <c r="D34" i="4"/>
  <c r="H33" i="4"/>
  <c r="F53" i="4"/>
  <c r="F55" i="4"/>
  <c r="F17" i="4"/>
  <c r="F48" i="4"/>
  <c r="H42" i="4"/>
  <c r="D32" i="4"/>
  <c r="D33" i="4"/>
  <c r="F32" i="4"/>
  <c r="D30" i="4"/>
  <c r="D10" i="4"/>
  <c r="H12" i="4"/>
  <c r="F10" i="4"/>
  <c r="D46" i="4"/>
  <c r="D14" i="4"/>
  <c r="G41" i="4"/>
  <c r="E24" i="4"/>
  <c r="G34" i="4"/>
  <c r="F25" i="4"/>
  <c r="F30" i="4"/>
  <c r="E28" i="4"/>
  <c r="E46" i="4"/>
  <c r="G14" i="4"/>
  <c r="H41" i="4"/>
  <c r="F24" i="4"/>
  <c r="H25" i="4"/>
  <c r="F33" i="4"/>
  <c r="D21" i="4"/>
  <c r="E35" i="4"/>
  <c r="E17" i="4"/>
  <c r="G48" i="4"/>
  <c r="H54" i="4"/>
  <c r="E18" i="4"/>
  <c r="D49" i="4"/>
  <c r="F46" i="4"/>
  <c r="E14" i="4"/>
  <c r="E41" i="4"/>
  <c r="G13" i="4"/>
  <c r="D25" i="4"/>
  <c r="E33" i="4"/>
  <c r="G21" i="4"/>
  <c r="G35" i="4"/>
  <c r="H17" i="4"/>
  <c r="E36" i="4"/>
  <c r="H20" i="4"/>
  <c r="D40" i="4"/>
  <c r="E32" i="4"/>
  <c r="F21" i="4"/>
  <c r="D17" i="4"/>
  <c r="G20" i="4"/>
  <c r="E9" i="4"/>
  <c r="F52" i="4"/>
  <c r="G46" i="4"/>
  <c r="H14" i="4"/>
  <c r="G45" i="4"/>
  <c r="D13" i="4"/>
  <c r="E25" i="4"/>
  <c r="F11" i="4"/>
  <c r="F35" i="4"/>
  <c r="H44" i="4"/>
  <c r="D15" i="4"/>
  <c r="H46" i="4"/>
  <c r="D16" i="4"/>
  <c r="H45" i="4"/>
  <c r="F13" i="4"/>
  <c r="G25" i="4"/>
  <c r="E11" i="4"/>
  <c r="H21" i="4"/>
  <c r="H35" i="4"/>
  <c r="G50" i="4"/>
  <c r="E44" i="4"/>
  <c r="F36" i="4"/>
  <c r="E20" i="4"/>
  <c r="F40" i="4"/>
  <c r="F39" i="4"/>
  <c r="E30" i="4"/>
  <c r="E54" i="4"/>
  <c r="H30" i="4"/>
  <c r="E19" i="4"/>
  <c r="G19" i="4"/>
  <c r="D9" i="4"/>
  <c r="F8" i="4"/>
  <c r="H16" i="4"/>
  <c r="E45" i="4"/>
  <c r="E13" i="4"/>
  <c r="G52" i="4"/>
  <c r="D11" i="4"/>
  <c r="E21" i="4"/>
  <c r="H38" i="4"/>
  <c r="D50" i="4"/>
  <c r="G44" i="4"/>
  <c r="D36" i="4"/>
  <c r="F20" i="4"/>
  <c r="H39" i="4"/>
  <c r="E39" i="4"/>
  <c r="G8" i="4"/>
  <c r="E8" i="4"/>
  <c r="F16" i="4"/>
  <c r="F45" i="4"/>
  <c r="H13" i="4"/>
  <c r="G27" i="4"/>
  <c r="H52" i="4"/>
  <c r="H11" i="4"/>
  <c r="D19" i="4"/>
  <c r="E38" i="4"/>
  <c r="E50" i="4"/>
  <c r="F44" i="4"/>
  <c r="H36" i="4"/>
  <c r="F9" i="4"/>
  <c r="G54" i="4"/>
  <c r="D38" i="4"/>
  <c r="G37" i="4"/>
  <c r="D54" i="4"/>
  <c r="H8" i="4"/>
  <c r="G16" i="4"/>
  <c r="D45" i="4"/>
  <c r="H15" i="4"/>
  <c r="E27" i="4"/>
  <c r="E52" i="4"/>
  <c r="G11" i="4"/>
  <c r="F18" i="4"/>
  <c r="F50" i="4"/>
  <c r="D22" i="4"/>
  <c r="G51" i="4"/>
  <c r="D8" i="4"/>
  <c r="E16" i="4"/>
  <c r="F26" i="4"/>
  <c r="F15" i="4"/>
  <c r="H27" i="4"/>
  <c r="D52" i="4"/>
  <c r="E12" i="4"/>
  <c r="G18" i="4"/>
  <c r="F19" i="4"/>
  <c r="F38" i="4"/>
  <c r="H50" i="4"/>
  <c r="H37" i="4"/>
  <c r="H22" i="4"/>
  <c r="H9" i="4"/>
  <c r="F54" i="4"/>
  <c r="D39" i="4"/>
  <c r="H26" i="4"/>
  <c r="H47" i="4"/>
  <c r="G26" i="4"/>
  <c r="G15" i="4"/>
  <c r="D27" i="4"/>
  <c r="H43" i="4"/>
  <c r="H28" i="4"/>
  <c r="D12" i="4"/>
  <c r="H18" i="4"/>
  <c r="H19" i="4"/>
  <c r="G31" i="4"/>
  <c r="E23" i="4"/>
  <c r="E37" i="4"/>
  <c r="F22" i="4"/>
  <c r="E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6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<sst xmlns="http://schemas.openxmlformats.org/spreadsheetml/2006/main" count="11007" uniqueCount="11007">
  <si>
    <t>数据集名称</t>
  </si>
  <si>
    <t>板块成分</t>
  </si>
  <si>
    <t>日期</t>
  </si>
  <si>
    <t>板块ID</t>
  </si>
  <si>
    <t>a001010100000000</t>
  </si>
  <si>
    <t>date</t>
  </si>
  <si>
    <t>最新调整日期</t>
  </si>
  <si>
    <t>wind_code</t>
    <phoneticPr fontId="1" type="noConversion"/>
  </si>
  <si>
    <t>Wind代码</t>
  </si>
  <si>
    <t>sec_name</t>
  </si>
  <si>
    <t>证券名称</t>
  </si>
  <si>
    <t>000002.SZ</t>
  </si>
  <si>
    <t>万科A</t>
  </si>
  <si>
    <t>000004.SZ</t>
  </si>
  <si>
    <t>000006.SZ</t>
  </si>
  <si>
    <t>深振业A</t>
  </si>
  <si>
    <t>000007.SZ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</si>
  <si>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</si>
  <si>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</si>
  <si>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</si>
  <si>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</si>
  <si>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</si>
  <si>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</si>
  <si>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</si>
  <si>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</si>
  <si>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</si>
  <si>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</si>
  <si>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</si>
  <si>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</si>
  <si>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</si>
  <si>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</si>
  <si>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</si>
  <si>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</si>
  <si>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</si>
  <si>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</si>
  <si>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</si>
  <si>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</si>
  <si>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</si>
  <si>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</si>
  <si>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</si>
  <si>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</si>
  <si>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</si>
  <si>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</si>
  <si>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</si>
  <si>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</si>
  <si>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</si>
  <si>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</si>
  <si>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</si>
  <si>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</si>
  <si>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</si>
  <si>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</si>
  <si>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</si>
  <si>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</si>
  <si>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</si>
  <si>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</si>
  <si>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</si>
  <si>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</si>
  <si>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</si>
  <si>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</si>
  <si>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</si>
  <si>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</si>
  <si>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</si>
  <si>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</si>
  <si>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</si>
  <si>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</si>
  <si>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</si>
  <si>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</si>
  <si>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</si>
  <si>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</si>
  <si>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</si>
  <si>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</si>
  <si>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</si>
  <si>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</si>
  <si>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</si>
  <si>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</si>
  <si>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</si>
  <si>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</si>
  <si>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</si>
  <si>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</si>
  <si>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</si>
  <si>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</si>
  <si>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</si>
  <si>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</si>
  <si>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</si>
  <si>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</si>
  <si>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</si>
  <si>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</si>
  <si>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</si>
  <si>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</si>
  <si>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</si>
  <si>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</si>
  <si>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</si>
  <si>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</si>
  <si>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</si>
  <si>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</si>
  <si>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</si>
  <si>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</si>
  <si>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</si>
  <si>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</si>
  <si>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</si>
  <si>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</si>
  <si>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</si>
  <si>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</si>
  <si>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</si>
  <si>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</si>
  <si>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</si>
  <si>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</si>
  <si>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</si>
  <si>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</si>
  <si>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</si>
  <si>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</si>
  <si>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</si>
  <si>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</si>
  <si>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</si>
  <si>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</si>
  <si>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</si>
  <si>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</si>
  <si>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</si>
  <si>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</si>
  <si>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</si>
  <si>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</si>
  <si>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</si>
  <si>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</si>
  <si>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</si>
  <si>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</si>
  <si>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</si>
  <si>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</si>
  <si>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</si>
  <si>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</si>
  <si>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</si>
  <si>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</si>
  <si>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</si>
  <si>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</si>
  <si>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</si>
  <si>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</si>
  <si>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</si>
  <si>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</si>
  <si>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</si>
  <si>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</si>
  <si>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</si>
  <si>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</si>
  <si>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</si>
  <si>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</si>
  <si>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</si>
  <si>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</si>
  <si>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</si>
  <si>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</si>
  <si>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</si>
  <si>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</si>
  <si>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</si>
  <si>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</si>
  <si>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</si>
  <si>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</si>
  <si>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</si>
  <si>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</si>
  <si>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</si>
  <si>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</si>
  <si>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</si>
  <si>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</si>
  <si>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</si>
  <si>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</si>
  <si>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</si>
  <si>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</si>
  <si>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</si>
  <si>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</si>
  <si>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</si>
  <si>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</si>
  <si>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</si>
  <si>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</si>
  <si>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</si>
  <si>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</si>
  <si>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</si>
  <si>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</si>
  <si>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</si>
  <si>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</si>
  <si>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</si>
  <si>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</si>
  <si>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</si>
  <si>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000488.SZ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</si>
  <si>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</si>
  <si>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</si>
  <si>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</si>
  <si>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</si>
  <si>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</si>
  <si>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</si>
  <si>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</si>
  <si>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000505.SZ</t>
  </si>
  <si>
    <t>京粮控股</t>
  </si>
  <si>
    <t>000506.SZ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</si>
  <si>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</si>
  <si>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</si>
  <si>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</si>
  <si>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</si>
  <si>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</si>
  <si>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</si>
  <si>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</si>
  <si>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</si>
  <si>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</si>
  <si>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</si>
  <si>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</si>
  <si>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</si>
  <si>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</si>
  <si>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</si>
  <si>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</si>
  <si>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</si>
  <si>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</si>
  <si>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</si>
  <si>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</si>
  <si>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</si>
  <si>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</si>
  <si>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</si>
  <si>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</si>
  <si>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</si>
  <si>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</si>
  <si>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</si>
  <si>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</si>
  <si>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</si>
  <si>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</si>
  <si>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</si>
  <si>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</si>
  <si>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</si>
  <si>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</si>
  <si>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</si>
  <si>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</si>
  <si>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</si>
  <si>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</si>
  <si>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</si>
  <si>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</si>
  <si>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</si>
  <si>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</si>
  <si>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</si>
  <si>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</si>
  <si>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</si>
  <si>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</si>
  <si>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</si>
  <si>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</si>
  <si>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</si>
  <si>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</si>
  <si>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</si>
  <si>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</si>
  <si>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</si>
  <si>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</si>
  <si>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</si>
  <si>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</si>
  <si>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</si>
  <si>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</si>
  <si>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</si>
  <si>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</si>
  <si>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</si>
  <si>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</si>
  <si>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</si>
  <si>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</si>
  <si>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</si>
  <si>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</si>
  <si>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</si>
  <si>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</si>
  <si>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</si>
  <si>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</si>
  <si>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</si>
  <si>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</si>
  <si>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</si>
  <si>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</si>
  <si>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</si>
  <si>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</si>
  <si>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</si>
  <si>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</si>
  <si>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</si>
  <si>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</si>
  <si>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</si>
  <si>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</si>
  <si>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</si>
  <si>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</si>
  <si>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</si>
  <si>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</si>
  <si>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</si>
  <si>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</si>
  <si>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</si>
  <si>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</si>
  <si>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</si>
  <si>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</si>
  <si>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</si>
  <si>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</si>
  <si>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</si>
  <si>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</si>
  <si>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</si>
  <si>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</si>
  <si>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</si>
  <si>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</si>
  <si>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</si>
  <si>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</si>
  <si>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</si>
  <si>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</si>
  <si>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</si>
  <si>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</si>
  <si>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</si>
  <si>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</si>
  <si>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</si>
  <si>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</si>
  <si>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</si>
  <si>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</si>
  <si>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</si>
  <si>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</si>
  <si>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</si>
  <si>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</si>
  <si>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</si>
  <si>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</si>
  <si>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</si>
  <si>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</si>
  <si>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</si>
  <si>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</si>
  <si>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</si>
  <si>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</si>
  <si>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</si>
  <si>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</si>
  <si>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</si>
  <si>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</si>
  <si>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</si>
  <si>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</si>
  <si>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</si>
  <si>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</si>
  <si>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</si>
  <si>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</si>
  <si>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</si>
  <si>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</si>
  <si>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</si>
  <si>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</si>
  <si>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</si>
  <si>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</si>
  <si>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</si>
  <si>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000609.SZ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</si>
  <si>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</si>
  <si>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</si>
  <si>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</si>
  <si>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</si>
  <si>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</si>
  <si>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</si>
  <si>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</si>
  <si>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</si>
  <si>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</si>
  <si>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</si>
  <si>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</si>
  <si>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</si>
  <si>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</si>
  <si>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</si>
  <si>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</si>
  <si>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</si>
  <si>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</si>
  <si>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</si>
  <si>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</si>
  <si>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</si>
  <si>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</si>
  <si>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</si>
  <si>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</si>
  <si>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</si>
  <si>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</si>
  <si>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</si>
  <si>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</si>
  <si>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</si>
  <si>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</si>
  <si>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</si>
  <si>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</si>
  <si>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</si>
  <si>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</si>
  <si>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000638.SZ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</si>
  <si>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</si>
  <si>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</si>
  <si>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</si>
  <si>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</si>
  <si>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</si>
  <si>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</si>
  <si>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</si>
  <si>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</si>
  <si>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</si>
  <si>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</si>
  <si>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</si>
  <si>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</si>
  <si>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</si>
  <si>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</si>
  <si>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</si>
  <si>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</si>
  <si>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</si>
  <si>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</si>
  <si>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</si>
  <si>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</si>
  <si>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</si>
  <si>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</si>
  <si>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</si>
  <si>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</si>
  <si>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</si>
  <si>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</si>
  <si>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</si>
  <si>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</si>
  <si>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</si>
  <si>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</si>
  <si>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</si>
  <si>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</si>
  <si>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</si>
  <si>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</si>
  <si>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</si>
  <si>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</si>
  <si>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</si>
  <si>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</si>
  <si>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</si>
  <si>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</si>
  <si>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</si>
  <si>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</si>
  <si>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</si>
  <si>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</si>
  <si>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</si>
  <si>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</si>
  <si>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</si>
  <si>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</si>
  <si>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</si>
  <si>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</si>
  <si>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</si>
  <si>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</si>
  <si>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000692.SZ</t>
  </si>
  <si>
    <t>000695.SZ</t>
  </si>
  <si>
    <t>滨海能源</t>
  </si>
  <si>
    <t>000697.SZ</t>
  </si>
  <si>
    <t>000698.SZ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</si>
  <si>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</si>
  <si>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</si>
  <si>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</si>
  <si>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</si>
  <si>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</si>
  <si>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</si>
  <si>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</si>
  <si>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</si>
  <si>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</si>
  <si>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</si>
  <si>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</si>
  <si>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</si>
  <si>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</si>
  <si>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</si>
  <si>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</si>
  <si>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</si>
  <si>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</si>
  <si>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</si>
  <si>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</si>
  <si>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000712.SZ</t>
  </si>
  <si>
    <t>锦龙股份</t>
  </si>
  <si>
    <t>000713.SZ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</si>
  <si>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</si>
  <si>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</si>
  <si>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</si>
  <si>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</si>
  <si>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</si>
  <si>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</si>
  <si>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</si>
  <si>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</si>
  <si>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</si>
  <si>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</si>
  <si>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</si>
  <si>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</si>
  <si>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</si>
  <si>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</si>
  <si>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</si>
  <si>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</si>
  <si>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</si>
  <si>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</si>
  <si>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</si>
  <si>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</si>
  <si>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</si>
  <si>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</si>
  <si>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</si>
  <si>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</si>
  <si>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</si>
  <si>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</si>
  <si>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</si>
  <si>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</si>
  <si>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</si>
  <si>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</si>
  <si>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</si>
  <si>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</si>
  <si>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</si>
  <si>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</si>
  <si>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</si>
  <si>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</si>
  <si>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</si>
  <si>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</si>
  <si>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</si>
  <si>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</si>
  <si>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</si>
  <si>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</si>
  <si>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</si>
  <si>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</si>
  <si>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</si>
  <si>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</si>
  <si>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000753.SZ</t>
  </si>
  <si>
    <t>漳州发展</t>
  </si>
  <si>
    <t>000755.SZ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</si>
  <si>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</si>
  <si>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</si>
  <si>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</si>
  <si>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</si>
  <si>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</si>
  <si>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</si>
  <si>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</si>
  <si>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</si>
  <si>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</si>
  <si>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</si>
  <si>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</si>
  <si>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</si>
  <si>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</si>
  <si>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</si>
  <si>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</si>
  <si>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</si>
  <si>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</si>
  <si>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</si>
  <si>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</si>
  <si>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</si>
  <si>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</si>
  <si>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</si>
  <si>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</si>
  <si>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</si>
  <si>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</si>
  <si>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</si>
  <si>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</si>
  <si>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000783.SZ</t>
  </si>
  <si>
    <t>长江证券</t>
  </si>
  <si>
    <t>000785.SZ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</si>
  <si>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</si>
  <si>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</si>
  <si>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</si>
  <si>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</si>
  <si>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</si>
  <si>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</si>
  <si>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</si>
  <si>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</si>
  <si>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</si>
  <si>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</si>
  <si>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</si>
  <si>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</si>
  <si>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</si>
  <si>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000795.SZ</t>
  </si>
  <si>
    <t>英洛华</t>
  </si>
  <si>
    <t>000796.SZ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</si>
  <si>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</si>
  <si>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</si>
  <si>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</si>
  <si>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</si>
  <si>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</si>
  <si>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</si>
  <si>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</si>
  <si>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</si>
  <si>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</si>
  <si>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</si>
  <si>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</si>
  <si>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</si>
  <si>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</si>
  <si>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</si>
  <si>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</si>
  <si>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</si>
  <si>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</si>
  <si>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</si>
  <si>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</si>
  <si>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</si>
  <si>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</si>
  <si>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</si>
  <si>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</si>
  <si>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</si>
  <si>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</si>
  <si>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</si>
  <si>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</si>
  <si>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</si>
  <si>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</si>
  <si>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</si>
  <si>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</si>
  <si>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</si>
  <si>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</si>
  <si>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</si>
  <si>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000821.SZ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</si>
  <si>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</si>
  <si>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</si>
  <si>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</si>
  <si>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</si>
  <si>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</si>
  <si>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</si>
  <si>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</si>
  <si>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</si>
  <si>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</si>
  <si>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</si>
  <si>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</si>
  <si>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</si>
  <si>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</si>
  <si>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</si>
  <si>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</si>
  <si>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</si>
  <si>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</si>
  <si>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</si>
  <si>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</si>
  <si>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</si>
  <si>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</si>
  <si>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</si>
  <si>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</si>
  <si>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</si>
  <si>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</si>
  <si>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</si>
  <si>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</si>
  <si>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</si>
  <si>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</si>
  <si>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</si>
  <si>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</si>
  <si>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</si>
  <si>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</si>
  <si>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</si>
  <si>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</si>
  <si>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</si>
  <si>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</si>
  <si>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</si>
  <si>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</si>
  <si>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</si>
  <si>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</si>
  <si>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</si>
  <si>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</si>
  <si>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</si>
  <si>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</si>
  <si>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</si>
  <si>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</si>
  <si>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</si>
  <si>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</si>
  <si>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</si>
  <si>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</si>
  <si>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</si>
  <si>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</si>
  <si>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</si>
  <si>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</si>
  <si>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</si>
  <si>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</si>
  <si>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</si>
  <si>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</si>
  <si>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</si>
  <si>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</si>
  <si>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</si>
  <si>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</si>
  <si>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</si>
  <si>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</si>
  <si>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</si>
  <si>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</si>
  <si>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</si>
  <si>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</si>
  <si>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</si>
  <si>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</si>
  <si>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</si>
  <si>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</si>
  <si>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</si>
  <si>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</si>
  <si>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</si>
  <si>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</si>
  <si>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</si>
  <si>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</si>
  <si>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</si>
  <si>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</si>
  <si>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</si>
  <si>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</si>
  <si>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</si>
  <si>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</si>
  <si>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</si>
  <si>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</si>
  <si>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</si>
  <si>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</si>
  <si>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</si>
  <si>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000905.SZ</t>
  </si>
  <si>
    <t>厦门港务</t>
  </si>
  <si>
    <t>000906.SZ</t>
  </si>
  <si>
    <t>浙商中拓</t>
  </si>
  <si>
    <t>000908.SZ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</si>
  <si>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</si>
  <si>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</si>
  <si>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</si>
  <si>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</si>
  <si>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</si>
  <si>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</si>
  <si>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</si>
  <si>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</si>
  <si>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</si>
  <si>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</si>
  <si>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</si>
  <si>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</si>
  <si>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</si>
  <si>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</si>
  <si>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</si>
  <si>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</si>
  <si>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</si>
  <si>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</si>
  <si>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</si>
  <si>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</si>
  <si>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</si>
  <si>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</si>
  <si>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</si>
  <si>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</si>
  <si>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</si>
  <si>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</si>
  <si>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</si>
  <si>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</si>
  <si>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</si>
  <si>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</si>
  <si>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</si>
  <si>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</si>
  <si>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</si>
  <si>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</si>
  <si>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</si>
  <si>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</si>
  <si>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</si>
  <si>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</si>
  <si>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</si>
  <si>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</si>
  <si>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</si>
  <si>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</si>
  <si>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</si>
  <si>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</si>
  <si>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</si>
  <si>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</si>
  <si>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</si>
  <si>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</si>
  <si>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</si>
  <si>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</si>
  <si>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</si>
  <si>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</si>
  <si>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</si>
  <si>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</si>
  <si>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</si>
  <si>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</si>
  <si>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</si>
  <si>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</si>
  <si>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</si>
  <si>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</si>
  <si>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</si>
  <si>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</si>
  <si>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</si>
  <si>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</si>
  <si>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</si>
  <si>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</si>
  <si>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</si>
  <si>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</si>
  <si>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</si>
  <si>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</si>
  <si>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</si>
  <si>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</si>
  <si>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</si>
  <si>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</si>
  <si>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</si>
  <si>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</si>
  <si>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</si>
  <si>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</si>
  <si>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</si>
  <si>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</si>
  <si>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</si>
  <si>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</si>
  <si>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</si>
  <si>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</si>
  <si>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</si>
  <si>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</si>
  <si>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</si>
  <si>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</si>
  <si>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000973.SZ</t>
  </si>
  <si>
    <t>佛塑科技</t>
  </si>
  <si>
    <t>000975.SZ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</si>
  <si>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</si>
  <si>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</si>
  <si>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</si>
  <si>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</si>
  <si>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</si>
  <si>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</si>
  <si>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</si>
  <si>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</si>
  <si>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</si>
  <si>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</si>
  <si>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</si>
  <si>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</si>
  <si>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</si>
  <si>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</si>
  <si>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</si>
  <si>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</si>
  <si>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</si>
  <si>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</si>
  <si>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</si>
  <si>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</si>
  <si>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</si>
  <si>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</si>
  <si>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</si>
  <si>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</si>
  <si>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</si>
  <si>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</si>
  <si>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</si>
  <si>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</si>
  <si>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</si>
  <si>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</si>
  <si>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</si>
  <si>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</si>
  <si>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</si>
  <si>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</si>
  <si>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</si>
  <si>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</si>
  <si>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</si>
  <si>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</si>
  <si>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</si>
  <si>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</si>
  <si>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</si>
  <si>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</si>
  <si>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</si>
  <si>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</si>
  <si>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</si>
  <si>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</si>
  <si>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</si>
  <si>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</si>
  <si>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</si>
  <si>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</si>
  <si>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</si>
  <si>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</si>
  <si>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</si>
  <si>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</si>
  <si>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</si>
  <si>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</si>
  <si>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</si>
  <si>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</si>
  <si>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</si>
  <si>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</si>
  <si>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</si>
  <si>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</si>
  <si>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</si>
  <si>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</si>
  <si>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</si>
  <si>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</si>
  <si>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</si>
  <si>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</si>
  <si>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</si>
  <si>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</si>
  <si>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</si>
  <si>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</si>
  <si>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</si>
  <si>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</si>
  <si>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</si>
  <si>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</si>
  <si>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</si>
  <si>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</si>
  <si>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</si>
  <si>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</si>
  <si>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</si>
  <si>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</si>
  <si>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</si>
  <si>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</si>
  <si>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</si>
  <si>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</si>
  <si>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</si>
  <si>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</si>
  <si>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</si>
  <si>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</si>
  <si>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</si>
  <si>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</si>
  <si>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</si>
  <si>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</si>
  <si>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</si>
  <si>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</si>
  <si>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</si>
  <si>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</si>
  <si>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</si>
  <si>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</si>
  <si>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</si>
  <si>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</si>
  <si>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</si>
  <si>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</si>
  <si>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</si>
  <si>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</si>
  <si>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</si>
  <si>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</si>
  <si>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</si>
  <si>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001278.SZ</t>
  </si>
  <si>
    <t>一彬科技</t>
  </si>
  <si>
    <t>001282.SZ</t>
  </si>
  <si>
    <t>三联锻造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</si>
  <si>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</si>
  <si>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</si>
  <si>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</si>
  <si>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</si>
  <si>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</si>
  <si>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</si>
  <si>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</si>
  <si>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</si>
  <si>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</si>
  <si>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</si>
  <si>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</si>
  <si>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</si>
  <si>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</si>
  <si>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</si>
  <si>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</si>
  <si>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</si>
  <si>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</si>
  <si>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</si>
  <si>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</si>
  <si>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</si>
  <si>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</si>
  <si>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</si>
  <si>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</si>
  <si>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</si>
  <si>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</si>
  <si>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</si>
  <si>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</si>
  <si>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</si>
  <si>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</si>
  <si>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</si>
  <si>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</si>
  <si>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</si>
  <si>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</si>
  <si>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</si>
  <si>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</si>
  <si>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</si>
  <si>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</si>
  <si>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</si>
  <si>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</si>
  <si>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</si>
  <si>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</si>
  <si>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</si>
  <si>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</si>
  <si>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</si>
  <si>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</si>
  <si>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</si>
  <si>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</si>
  <si>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</si>
  <si>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</si>
  <si>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</si>
  <si>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</si>
  <si>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</si>
  <si>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</si>
  <si>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</si>
  <si>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</si>
  <si>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</si>
  <si>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</si>
  <si>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</si>
  <si>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</si>
  <si>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</si>
  <si>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</si>
  <si>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</si>
  <si>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</si>
  <si>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</si>
  <si>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</si>
  <si>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</si>
  <si>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001358.SZ</t>
  </si>
  <si>
    <t>兴欣新材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</si>
  <si>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</si>
  <si>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</si>
  <si>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</si>
  <si>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</si>
  <si>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</si>
  <si>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</si>
  <si>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</si>
  <si>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</si>
  <si>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</si>
  <si>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</si>
  <si>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</si>
  <si>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</si>
  <si>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</si>
  <si>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</si>
  <si>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</si>
  <si>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</si>
  <si>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</si>
  <si>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</si>
  <si>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001387.SZ</t>
  </si>
  <si>
    <t>雪祺电气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</si>
  <si>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</si>
  <si>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</si>
  <si>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</si>
  <si>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</si>
  <si>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</si>
  <si>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</si>
  <si>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</si>
  <si>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</si>
  <si>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</si>
  <si>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</si>
  <si>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</si>
  <si>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</si>
  <si>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</si>
  <si>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</si>
  <si>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</si>
  <si>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</si>
  <si>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</si>
  <si>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</si>
  <si>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</si>
  <si>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</si>
  <si>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</si>
  <si>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</si>
  <si>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</si>
  <si>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</si>
  <si>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</si>
  <si>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</si>
  <si>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</si>
  <si>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</si>
  <si>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</si>
  <si>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</si>
  <si>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</si>
  <si>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</si>
  <si>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</si>
  <si>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</si>
  <si>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</si>
  <si>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</si>
  <si>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</si>
  <si>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</si>
  <si>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</si>
  <si>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</si>
  <si>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</si>
  <si>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</si>
  <si>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</si>
  <si>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</si>
  <si>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</si>
  <si>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</si>
  <si>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</si>
  <si>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</si>
  <si>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</si>
  <si>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</si>
  <si>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</si>
  <si>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</si>
  <si>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</si>
  <si>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</si>
  <si>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</si>
  <si>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</si>
  <si>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</si>
  <si>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</si>
  <si>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</si>
  <si>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</si>
  <si>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</si>
  <si>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</si>
  <si>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</si>
  <si>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</si>
  <si>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</si>
  <si>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</si>
  <si>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</si>
  <si>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</si>
  <si>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</si>
  <si>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</si>
  <si>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</si>
  <si>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</si>
  <si>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</si>
  <si>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</si>
  <si>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</si>
  <si>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</si>
  <si>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</si>
  <si>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</si>
  <si>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</si>
  <si>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</si>
  <si>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</si>
  <si>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</si>
  <si>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</si>
  <si>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</si>
  <si>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</si>
  <si>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</si>
  <si>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</si>
  <si>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</si>
  <si>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</si>
  <si>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</si>
  <si>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</si>
  <si>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</si>
  <si>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</si>
  <si>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</si>
  <si>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</si>
  <si>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</si>
  <si>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</si>
  <si>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</si>
  <si>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</si>
  <si>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</si>
  <si>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</si>
  <si>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</si>
  <si>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</si>
  <si>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</si>
  <si>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</si>
  <si>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</si>
  <si>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</si>
  <si>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002053.SZ</t>
  </si>
  <si>
    <t>云南能投</t>
  </si>
  <si>
    <t>002054.SZ</t>
  </si>
  <si>
    <t>德美化工</t>
  </si>
  <si>
    <t>002055.SZ</t>
  </si>
  <si>
    <t>002056.SZ</t>
  </si>
  <si>
    <t>横店东磁</t>
  </si>
  <si>
    <t>002057.SZ</t>
  </si>
  <si>
    <t>中钢天源</t>
  </si>
  <si>
    <t>002058.SZ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</si>
  <si>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</si>
  <si>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</si>
  <si>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</si>
  <si>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</si>
  <si>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</si>
  <si>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</si>
  <si>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</si>
  <si>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</si>
  <si>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</si>
  <si>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</si>
  <si>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</si>
  <si>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</si>
  <si>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</si>
  <si>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</si>
  <si>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</si>
  <si>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</si>
  <si>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</si>
  <si>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</si>
  <si>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</si>
  <si>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</si>
  <si>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</si>
  <si>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</si>
  <si>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</si>
  <si>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</si>
  <si>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</si>
  <si>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</si>
  <si>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</si>
  <si>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</si>
  <si>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</si>
  <si>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</si>
  <si>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</si>
  <si>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</si>
  <si>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</si>
  <si>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</si>
  <si>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</si>
  <si>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</si>
  <si>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</si>
  <si>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</si>
  <si>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</si>
  <si>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</si>
  <si>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</si>
  <si>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</si>
  <si>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</si>
  <si>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</si>
  <si>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</si>
  <si>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</si>
  <si>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</si>
  <si>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</si>
  <si>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</si>
  <si>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</si>
  <si>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</si>
  <si>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</si>
  <si>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</si>
  <si>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</si>
  <si>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</si>
  <si>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</si>
  <si>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</si>
  <si>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</si>
  <si>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</si>
  <si>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</si>
  <si>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</si>
  <si>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</si>
  <si>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</si>
  <si>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</si>
  <si>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</si>
  <si>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</si>
  <si>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</si>
  <si>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</si>
  <si>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</si>
  <si>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</si>
  <si>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</si>
  <si>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</si>
  <si>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</si>
  <si>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</si>
  <si>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</si>
  <si>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</si>
  <si>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</si>
  <si>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</si>
  <si>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</si>
  <si>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</si>
  <si>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</si>
  <si>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</si>
  <si>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</si>
  <si>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</si>
  <si>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</si>
  <si>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</si>
  <si>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</si>
  <si>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</si>
  <si>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</si>
  <si>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</si>
  <si>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</si>
  <si>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</si>
  <si>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</si>
  <si>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</si>
  <si>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</si>
  <si>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</si>
  <si>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</si>
  <si>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</si>
  <si>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</si>
  <si>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</si>
  <si>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</si>
  <si>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</si>
  <si>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</si>
  <si>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</si>
  <si>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</si>
  <si>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</si>
  <si>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</si>
  <si>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</si>
  <si>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</si>
  <si>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</si>
  <si>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</si>
  <si>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</si>
  <si>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</si>
  <si>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</si>
  <si>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</si>
  <si>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</si>
  <si>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</si>
  <si>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</si>
  <si>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</si>
  <si>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</si>
  <si>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</si>
  <si>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</si>
  <si>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</si>
  <si>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</si>
  <si>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</si>
  <si>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</si>
  <si>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</si>
  <si>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</si>
  <si>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</si>
  <si>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</si>
  <si>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</si>
  <si>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</si>
  <si>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</si>
  <si>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</si>
  <si>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</si>
  <si>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</si>
  <si>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</si>
  <si>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</si>
  <si>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</si>
  <si>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</si>
  <si>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</si>
  <si>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</si>
  <si>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</si>
  <si>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</si>
  <si>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</si>
  <si>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</si>
  <si>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</si>
  <si>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</si>
  <si>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</si>
  <si>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</si>
  <si>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</si>
  <si>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</si>
  <si>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</si>
  <si>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</si>
  <si>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</si>
  <si>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</si>
  <si>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</si>
  <si>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</si>
  <si>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</si>
  <si>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</si>
  <si>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</si>
  <si>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</si>
  <si>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</si>
  <si>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</si>
  <si>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</si>
  <si>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</si>
  <si>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</si>
  <si>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</si>
  <si>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</si>
  <si>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</si>
  <si>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</si>
  <si>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</si>
  <si>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</si>
  <si>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</si>
  <si>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</si>
  <si>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</si>
  <si>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</si>
  <si>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</si>
  <si>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</si>
  <si>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</si>
  <si>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</si>
  <si>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</si>
  <si>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</si>
  <si>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</si>
  <si>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</si>
  <si>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</si>
  <si>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</si>
  <si>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</si>
  <si>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</si>
  <si>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</si>
  <si>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</si>
  <si>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</si>
  <si>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</si>
  <si>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</si>
  <si>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</si>
  <si>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</si>
  <si>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</si>
  <si>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</si>
  <si>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</si>
  <si>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</si>
  <si>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</si>
  <si>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</si>
  <si>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</si>
  <si>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</si>
  <si>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</si>
  <si>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</si>
  <si>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</si>
  <si>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</si>
  <si>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</si>
  <si>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</si>
  <si>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</si>
  <si>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</si>
  <si>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</si>
  <si>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</si>
  <si>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</si>
  <si>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</si>
  <si>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</si>
  <si>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</si>
  <si>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</si>
  <si>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</si>
  <si>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</si>
  <si>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</si>
  <si>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</si>
  <si>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</si>
  <si>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</si>
  <si>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</si>
  <si>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</si>
  <si>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</si>
  <si>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</si>
  <si>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</si>
  <si>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</si>
  <si>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</si>
  <si>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</si>
  <si>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</si>
  <si>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</si>
  <si>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</si>
  <si>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</si>
  <si>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</si>
  <si>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</si>
  <si>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</si>
  <si>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</si>
  <si>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</si>
  <si>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</si>
  <si>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</si>
  <si>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</si>
  <si>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</si>
  <si>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</si>
  <si>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</si>
  <si>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</si>
  <si>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</si>
  <si>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</si>
  <si>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</si>
  <si>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</si>
  <si>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</si>
  <si>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</si>
  <si>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</si>
  <si>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</si>
  <si>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002200.SZ</t>
  </si>
  <si>
    <t>002201.SZ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</si>
  <si>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</si>
  <si>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</si>
  <si>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</si>
  <si>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</si>
  <si>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</si>
  <si>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</si>
  <si>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</si>
  <si>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</si>
  <si>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</si>
  <si>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</si>
  <si>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</si>
  <si>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</si>
  <si>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</si>
  <si>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</si>
  <si>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</si>
  <si>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</si>
  <si>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</si>
  <si>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</si>
  <si>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</si>
  <si>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002212.SZ</t>
  </si>
  <si>
    <t>天融信</t>
  </si>
  <si>
    <t>002213.SZ</t>
  </si>
  <si>
    <t>大为股份</t>
  </si>
  <si>
    <t>002214.SZ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</si>
  <si>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</si>
  <si>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</si>
  <si>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</si>
  <si>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</si>
  <si>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</si>
  <si>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</si>
  <si>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</si>
  <si>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</si>
  <si>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</si>
  <si>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</si>
  <si>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</si>
  <si>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</si>
  <si>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</si>
  <si>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</si>
  <si>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</si>
  <si>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</si>
  <si>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</si>
  <si>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</si>
  <si>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</si>
  <si>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</si>
  <si>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</si>
  <si>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</si>
  <si>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</si>
  <si>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</si>
  <si>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</si>
  <si>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</si>
  <si>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</si>
  <si>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</si>
  <si>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</si>
  <si>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</si>
  <si>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</si>
  <si>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</si>
  <si>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</si>
  <si>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</si>
  <si>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</si>
  <si>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</si>
  <si>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</si>
  <si>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</si>
  <si>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</si>
  <si>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</si>
  <si>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</si>
  <si>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</si>
  <si>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</si>
  <si>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</si>
  <si>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</si>
  <si>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</si>
  <si>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</si>
  <si>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</si>
  <si>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</si>
  <si>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</si>
  <si>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</si>
  <si>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</si>
  <si>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</si>
  <si>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</si>
  <si>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</si>
  <si>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</si>
  <si>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</si>
  <si>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</si>
  <si>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</si>
  <si>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</si>
  <si>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</si>
  <si>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</si>
  <si>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</si>
  <si>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</si>
  <si>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</si>
  <si>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</si>
  <si>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</si>
  <si>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</si>
  <si>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</si>
  <si>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</si>
  <si>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002252.SZ</t>
  </si>
  <si>
    <t>上海莱士</t>
  </si>
  <si>
    <t>002253.SZ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</si>
  <si>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</si>
  <si>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</si>
  <si>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</si>
  <si>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</si>
  <si>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</si>
  <si>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</si>
  <si>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</si>
  <si>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</si>
  <si>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</si>
  <si>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</si>
  <si>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</si>
  <si>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</si>
  <si>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</si>
  <si>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</si>
  <si>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</si>
  <si>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</si>
  <si>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</si>
  <si>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</si>
  <si>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</si>
  <si>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</si>
  <si>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</si>
  <si>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</si>
  <si>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</si>
  <si>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</si>
  <si>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</si>
  <si>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</si>
  <si>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</si>
  <si>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</si>
  <si>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</si>
  <si>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</si>
  <si>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</si>
  <si>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</si>
  <si>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</si>
  <si>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</si>
  <si>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</si>
  <si>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</si>
  <si>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</si>
  <si>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</si>
  <si>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</si>
  <si>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</si>
  <si>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</si>
  <si>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</si>
  <si>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</si>
  <si>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</si>
  <si>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</si>
  <si>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</si>
  <si>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</si>
  <si>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</si>
  <si>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</si>
  <si>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</si>
  <si>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</si>
  <si>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</si>
  <si>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</si>
  <si>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</si>
  <si>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</si>
  <si>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</si>
  <si>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</si>
  <si>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</si>
  <si>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</si>
  <si>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</si>
  <si>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</si>
  <si>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</si>
  <si>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</si>
  <si>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</si>
  <si>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</si>
  <si>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</si>
  <si>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</si>
  <si>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</si>
  <si>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</si>
  <si>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</si>
  <si>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</si>
  <si>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</si>
  <si>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</si>
  <si>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</si>
  <si>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</si>
  <si>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</si>
  <si>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</si>
  <si>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</si>
  <si>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</si>
  <si>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</si>
  <si>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</si>
  <si>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</si>
  <si>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</si>
  <si>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</si>
  <si>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</si>
  <si>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</si>
  <si>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</si>
  <si>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</si>
  <si>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</si>
  <si>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</si>
  <si>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</si>
  <si>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</si>
  <si>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002306.SZ</t>
  </si>
  <si>
    <t>002307.SZ</t>
  </si>
  <si>
    <t>北新路桥</t>
  </si>
  <si>
    <t>002309.SZ</t>
  </si>
  <si>
    <t>002310.SZ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</si>
  <si>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</si>
  <si>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</si>
  <si>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</si>
  <si>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</si>
  <si>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</si>
  <si>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</si>
  <si>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</si>
  <si>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</si>
  <si>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</si>
  <si>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</si>
  <si>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</si>
  <si>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</si>
  <si>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</si>
  <si>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</si>
  <si>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</si>
  <si>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</si>
  <si>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</si>
  <si>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</si>
  <si>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</si>
  <si>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</si>
  <si>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</si>
  <si>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</si>
  <si>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</si>
  <si>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</si>
  <si>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</si>
  <si>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</si>
  <si>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</si>
  <si>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</si>
  <si>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</si>
  <si>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</si>
  <si>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</si>
  <si>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</si>
  <si>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</si>
  <si>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</si>
  <si>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</si>
  <si>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</si>
  <si>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</si>
  <si>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</si>
  <si>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</si>
  <si>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</si>
  <si>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</si>
  <si>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</si>
  <si>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</si>
  <si>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</si>
  <si>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</si>
  <si>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</si>
  <si>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</si>
  <si>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</si>
  <si>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</si>
  <si>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</si>
  <si>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</si>
  <si>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</si>
  <si>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</si>
  <si>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</si>
  <si>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</si>
  <si>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</si>
  <si>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</si>
  <si>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</si>
  <si>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</si>
  <si>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</si>
  <si>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</si>
  <si>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</si>
  <si>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</si>
  <si>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</si>
  <si>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</si>
  <si>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</si>
  <si>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</si>
  <si>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</si>
  <si>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</si>
  <si>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</si>
  <si>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</si>
  <si>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</si>
  <si>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</si>
  <si>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</si>
  <si>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</si>
  <si>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</si>
  <si>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</si>
  <si>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</si>
  <si>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</si>
  <si>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</si>
  <si>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</si>
  <si>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</si>
  <si>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</si>
  <si>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</si>
  <si>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</si>
  <si>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</si>
  <si>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</si>
  <si>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</si>
  <si>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</si>
  <si>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</si>
  <si>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</si>
  <si>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</si>
  <si>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</si>
  <si>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</si>
  <si>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</si>
  <si>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</si>
  <si>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</si>
  <si>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</si>
  <si>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</si>
  <si>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</si>
  <si>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</si>
  <si>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</si>
  <si>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</si>
  <si>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</si>
  <si>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</si>
  <si>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</si>
  <si>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</si>
  <si>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</si>
  <si>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</si>
  <si>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</si>
  <si>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</si>
  <si>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</si>
  <si>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</si>
  <si>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</si>
  <si>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</si>
  <si>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</si>
  <si>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</si>
  <si>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</si>
  <si>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</si>
  <si>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</si>
  <si>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</si>
  <si>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</si>
  <si>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</si>
  <si>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</si>
  <si>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</si>
  <si>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</si>
  <si>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</si>
  <si>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</si>
  <si>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</si>
  <si>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</si>
  <si>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</si>
  <si>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</si>
  <si>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</si>
  <si>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</si>
  <si>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</si>
  <si>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</si>
  <si>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</si>
  <si>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</si>
  <si>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</si>
  <si>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</si>
  <si>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</si>
  <si>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</si>
  <si>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</si>
  <si>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</si>
  <si>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</si>
  <si>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</si>
  <si>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</si>
  <si>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</si>
  <si>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</si>
  <si>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</si>
  <si>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</si>
  <si>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</si>
  <si>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</si>
  <si>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</si>
  <si>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</si>
  <si>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</si>
  <si>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</si>
  <si>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</si>
  <si>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</si>
  <si>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</si>
  <si>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</si>
  <si>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</si>
  <si>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</si>
  <si>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</si>
  <si>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</si>
  <si>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</si>
  <si>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</si>
  <si>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</si>
  <si>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</si>
  <si>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</si>
  <si>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</si>
  <si>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</si>
  <si>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</si>
  <si>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</si>
  <si>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</si>
  <si>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</si>
  <si>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</si>
  <si>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</si>
  <si>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</si>
  <si>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</si>
  <si>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</si>
  <si>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</si>
  <si>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</si>
  <si>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</si>
  <si>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</si>
  <si>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</si>
  <si>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</si>
  <si>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</si>
  <si>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</si>
  <si>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</si>
  <si>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</si>
  <si>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</si>
  <si>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</si>
  <si>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</si>
  <si>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</si>
  <si>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</si>
  <si>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</si>
  <si>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</si>
  <si>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</si>
  <si>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</si>
  <si>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</si>
  <si>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</si>
  <si>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</si>
  <si>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</si>
  <si>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</si>
  <si>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</si>
  <si>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</si>
  <si>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</si>
  <si>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</si>
  <si>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</si>
  <si>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</si>
  <si>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</si>
  <si>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</si>
  <si>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</si>
  <si>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</si>
  <si>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</si>
  <si>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</si>
  <si>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</si>
  <si>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</si>
  <si>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</si>
  <si>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</si>
  <si>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</si>
  <si>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</si>
  <si>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</si>
  <si>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</si>
  <si>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</si>
  <si>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</si>
  <si>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</si>
  <si>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</si>
  <si>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</si>
  <si>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</si>
  <si>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</si>
  <si>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</si>
  <si>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</si>
  <si>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</si>
  <si>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</si>
  <si>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</si>
  <si>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</si>
  <si>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</si>
  <si>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</si>
  <si>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</si>
  <si>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</si>
  <si>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</si>
  <si>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</si>
  <si>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</si>
  <si>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</si>
  <si>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</si>
  <si>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</si>
  <si>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</si>
  <si>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</si>
  <si>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</si>
  <si>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</si>
  <si>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</si>
  <si>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</si>
  <si>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</si>
  <si>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</si>
  <si>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</si>
  <si>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</si>
  <si>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</si>
  <si>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</si>
  <si>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</si>
  <si>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</si>
  <si>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</si>
  <si>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</si>
  <si>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</si>
  <si>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</si>
  <si>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</si>
  <si>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</si>
  <si>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</si>
  <si>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</si>
  <si>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</si>
  <si>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</si>
  <si>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</si>
  <si>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</si>
  <si>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</si>
  <si>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</si>
  <si>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</si>
  <si>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</si>
  <si>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</si>
  <si>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</si>
  <si>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</si>
  <si>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</si>
  <si>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</si>
  <si>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</si>
  <si>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</si>
  <si>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</si>
  <si>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</si>
  <si>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</si>
  <si>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</si>
  <si>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</si>
  <si>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</si>
  <si>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</si>
  <si>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</si>
  <si>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</si>
  <si>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</si>
  <si>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</si>
  <si>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</si>
  <si>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</si>
  <si>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</si>
  <si>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</si>
  <si>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</si>
  <si>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</si>
  <si>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</si>
  <si>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</si>
  <si>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</si>
  <si>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</si>
  <si>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</si>
  <si>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</si>
  <si>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</si>
  <si>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</si>
  <si>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</si>
  <si>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</si>
  <si>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</si>
  <si>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</si>
  <si>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</si>
  <si>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</si>
  <si>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</si>
  <si>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</si>
  <si>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</si>
  <si>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</si>
  <si>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</si>
  <si>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</si>
  <si>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</si>
  <si>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</si>
  <si>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</si>
  <si>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</si>
  <si>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</si>
  <si>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</si>
  <si>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</si>
  <si>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</si>
  <si>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</si>
  <si>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</si>
  <si>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</si>
  <si>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</si>
  <si>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</si>
  <si>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</si>
  <si>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</si>
  <si>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</si>
  <si>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</si>
  <si>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</si>
  <si>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</si>
  <si>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</si>
  <si>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</si>
  <si>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</si>
  <si>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</si>
  <si>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</si>
  <si>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</si>
  <si>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</si>
  <si>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</si>
  <si>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</si>
  <si>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</si>
  <si>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</si>
  <si>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</si>
  <si>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</si>
  <si>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</si>
  <si>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</si>
  <si>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</si>
  <si>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</si>
  <si>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</si>
  <si>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</si>
  <si>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</si>
  <si>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</si>
  <si>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</si>
  <si>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</si>
  <si>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</si>
  <si>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</si>
  <si>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</si>
  <si>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</si>
  <si>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</si>
  <si>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</si>
  <si>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</si>
  <si>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</si>
  <si>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</si>
  <si>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</si>
  <si>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</si>
  <si>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</si>
  <si>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</si>
  <si>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</si>
  <si>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</si>
  <si>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</si>
  <si>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</si>
  <si>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</si>
  <si>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</si>
  <si>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</si>
  <si>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</si>
  <si>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</si>
  <si>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</si>
  <si>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</si>
  <si>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002529.SZ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</si>
  <si>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</si>
  <si>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</si>
  <si>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</si>
  <si>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</si>
  <si>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</si>
  <si>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</si>
  <si>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</si>
  <si>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</si>
  <si>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</si>
  <si>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</si>
  <si>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</si>
  <si>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</si>
  <si>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</si>
  <si>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</si>
  <si>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</si>
  <si>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</si>
  <si>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</si>
  <si>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</si>
  <si>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</si>
  <si>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</si>
  <si>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</si>
  <si>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</si>
  <si>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</si>
  <si>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</si>
  <si>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</si>
  <si>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</si>
  <si>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</si>
  <si>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</si>
  <si>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</si>
  <si>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</si>
  <si>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</si>
  <si>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</si>
  <si>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</si>
  <si>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</si>
  <si>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</si>
  <si>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</si>
  <si>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</si>
  <si>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</si>
  <si>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</si>
  <si>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</si>
  <si>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</si>
  <si>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</si>
  <si>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</si>
  <si>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</si>
  <si>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</si>
  <si>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</si>
  <si>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</si>
  <si>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</si>
  <si>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</si>
  <si>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</si>
  <si>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</si>
  <si>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</si>
  <si>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</si>
  <si>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</si>
  <si>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</si>
  <si>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</si>
  <si>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</si>
  <si>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</si>
  <si>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</si>
  <si>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</si>
  <si>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</si>
  <si>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</si>
  <si>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</si>
  <si>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</si>
  <si>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</si>
  <si>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</si>
  <si>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</si>
  <si>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</si>
  <si>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</si>
  <si>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</si>
  <si>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</si>
  <si>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</si>
  <si>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</si>
  <si>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</si>
  <si>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</si>
  <si>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</si>
  <si>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</si>
  <si>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</si>
  <si>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</si>
  <si>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</si>
  <si>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</si>
  <si>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</si>
  <si>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</si>
  <si>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</si>
  <si>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</si>
  <si>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</si>
  <si>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</si>
  <si>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</si>
  <si>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</si>
  <si>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</si>
  <si>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</si>
  <si>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</si>
  <si>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</si>
  <si>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</si>
  <si>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</si>
  <si>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</si>
  <si>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</si>
  <si>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</si>
  <si>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</si>
  <si>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</si>
  <si>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</si>
  <si>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</si>
  <si>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</si>
  <si>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</si>
  <si>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</si>
  <si>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</si>
  <si>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</si>
  <si>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</si>
  <si>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</si>
  <si>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</si>
  <si>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</si>
  <si>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</si>
  <si>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</si>
  <si>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</si>
  <si>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</si>
  <si>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</si>
  <si>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</si>
  <si>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</si>
  <si>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</si>
  <si>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</si>
  <si>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</si>
  <si>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</si>
  <si>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</si>
  <si>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</si>
  <si>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</si>
  <si>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</si>
  <si>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</si>
  <si>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</si>
  <si>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</si>
  <si>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</si>
  <si>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</si>
  <si>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</si>
  <si>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</si>
  <si>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</si>
  <si>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</si>
  <si>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</si>
  <si>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</si>
  <si>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</si>
  <si>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</si>
  <si>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</si>
  <si>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</si>
  <si>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</si>
  <si>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</si>
  <si>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</si>
  <si>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</si>
  <si>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</si>
  <si>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</si>
  <si>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</si>
  <si>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</si>
  <si>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</si>
  <si>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</si>
  <si>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</si>
  <si>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</si>
  <si>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</si>
  <si>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</si>
  <si>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</si>
  <si>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</si>
  <si>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</si>
  <si>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</si>
  <si>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</si>
  <si>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</si>
  <si>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</si>
  <si>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</si>
  <si>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</si>
  <si>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</si>
  <si>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</si>
  <si>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</si>
  <si>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</si>
  <si>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</si>
  <si>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</si>
  <si>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</si>
  <si>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</si>
  <si>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</si>
  <si>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</si>
  <si>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</si>
  <si>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</si>
  <si>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</si>
  <si>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</si>
  <si>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</si>
  <si>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</si>
  <si>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</si>
  <si>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</si>
  <si>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</si>
  <si>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</si>
  <si>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</si>
  <si>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</si>
  <si>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</si>
  <si>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</si>
  <si>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</si>
  <si>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</si>
  <si>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</si>
  <si>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</si>
  <si>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</si>
  <si>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</si>
  <si>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</si>
  <si>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</si>
  <si>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</si>
  <si>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</si>
  <si>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</si>
  <si>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</si>
  <si>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</si>
  <si>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</si>
  <si>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</si>
  <si>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</si>
  <si>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</si>
  <si>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</si>
  <si>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</si>
  <si>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</si>
  <si>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</si>
  <si>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</si>
  <si>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</si>
  <si>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</si>
  <si>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</si>
  <si>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</si>
  <si>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</si>
  <si>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</si>
  <si>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</si>
  <si>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</si>
  <si>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002648.SZ</t>
  </si>
  <si>
    <t>卫星化学</t>
  </si>
  <si>
    <t>002649.SZ</t>
  </si>
  <si>
    <t>博彦科技</t>
  </si>
  <si>
    <t>002650.SZ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</si>
  <si>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</si>
  <si>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</si>
  <si>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</si>
  <si>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</si>
  <si>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</si>
  <si>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</si>
  <si>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</si>
  <si>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</si>
  <si>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</si>
  <si>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</si>
  <si>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</si>
  <si>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</si>
  <si>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</si>
  <si>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</si>
  <si>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</si>
  <si>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</si>
  <si>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</si>
  <si>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</si>
  <si>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</si>
  <si>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</si>
  <si>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</si>
  <si>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</si>
  <si>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</si>
  <si>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</si>
  <si>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</si>
  <si>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</si>
  <si>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</si>
  <si>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</si>
  <si>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</si>
  <si>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</si>
  <si>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</si>
  <si>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002669.SZ</t>
  </si>
  <si>
    <t>康达新材</t>
  </si>
  <si>
    <t>002670.SZ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</si>
  <si>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</si>
  <si>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</si>
  <si>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</si>
  <si>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</si>
  <si>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</si>
  <si>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</si>
  <si>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</si>
  <si>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</si>
  <si>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</si>
  <si>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</si>
  <si>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</si>
  <si>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</si>
  <si>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</si>
  <si>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</si>
  <si>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</si>
  <si>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</si>
  <si>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</si>
  <si>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</si>
  <si>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</si>
  <si>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</si>
  <si>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</si>
  <si>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</si>
  <si>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</si>
  <si>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</si>
  <si>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</si>
  <si>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</si>
  <si>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</si>
  <si>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</si>
  <si>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</si>
  <si>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</si>
  <si>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</si>
  <si>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</si>
  <si>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</si>
  <si>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</si>
  <si>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</si>
  <si>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</si>
  <si>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</si>
  <si>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</si>
  <si>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</si>
  <si>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</si>
  <si>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</si>
  <si>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</si>
  <si>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</si>
  <si>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</si>
  <si>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</si>
  <si>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</si>
  <si>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</si>
  <si>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</si>
  <si>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</si>
  <si>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</si>
  <si>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</si>
  <si>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</si>
  <si>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</si>
  <si>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</si>
  <si>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</si>
  <si>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</si>
  <si>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</si>
  <si>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</si>
  <si>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</si>
  <si>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</si>
  <si>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</si>
  <si>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</si>
  <si>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</si>
  <si>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</si>
  <si>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</si>
  <si>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</si>
  <si>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</si>
  <si>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</si>
  <si>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</si>
  <si>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</si>
  <si>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002714.SZ</t>
  </si>
  <si>
    <t>牧原股份</t>
  </si>
  <si>
    <t>002715.SZ</t>
  </si>
  <si>
    <t>登云股份</t>
  </si>
  <si>
    <t>002716.SZ</t>
  </si>
  <si>
    <t>002717.SZ</t>
  </si>
  <si>
    <t>002718.SZ</t>
  </si>
  <si>
    <t>友邦吊顶</t>
  </si>
  <si>
    <t>002719.SZ</t>
  </si>
  <si>
    <t>麦趣尔</t>
  </si>
  <si>
    <t>002721.SZ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</si>
  <si>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</si>
  <si>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</si>
  <si>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</si>
  <si>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</si>
  <si>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</si>
  <si>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</si>
  <si>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</si>
  <si>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</si>
  <si>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</si>
  <si>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</si>
  <si>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</si>
  <si>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</si>
  <si>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</si>
  <si>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</si>
  <si>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</si>
  <si>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</si>
  <si>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</si>
  <si>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</si>
  <si>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</si>
  <si>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</si>
  <si>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</si>
  <si>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</si>
  <si>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</si>
  <si>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</si>
  <si>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</si>
  <si>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</si>
  <si>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</si>
  <si>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</si>
  <si>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</si>
  <si>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</si>
  <si>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</si>
  <si>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</si>
  <si>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</si>
  <si>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</si>
  <si>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</si>
  <si>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</si>
  <si>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</si>
  <si>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</si>
  <si>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</si>
  <si>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</si>
  <si>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</si>
  <si>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</si>
  <si>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</si>
  <si>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</si>
  <si>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</si>
  <si>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</si>
  <si>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</si>
  <si>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</si>
  <si>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</si>
  <si>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</si>
  <si>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</si>
  <si>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</si>
  <si>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</si>
  <si>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</si>
  <si>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</si>
  <si>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</si>
  <si>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</si>
  <si>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</si>
  <si>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</si>
  <si>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</si>
  <si>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</si>
  <si>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</si>
  <si>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</si>
  <si>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</si>
  <si>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</si>
  <si>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</si>
  <si>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</si>
  <si>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</si>
  <si>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</si>
  <si>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</si>
  <si>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</si>
  <si>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</si>
  <si>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</si>
  <si>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</si>
  <si>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</si>
  <si>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</si>
  <si>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</si>
  <si>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</si>
  <si>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</si>
  <si>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</si>
  <si>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</si>
  <si>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</si>
  <si>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</si>
  <si>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</si>
  <si>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</si>
  <si>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</si>
  <si>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</si>
  <si>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</si>
  <si>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</si>
  <si>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</si>
  <si>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</si>
  <si>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</si>
  <si>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</si>
  <si>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</si>
  <si>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</si>
  <si>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</si>
  <si>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</si>
  <si>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</si>
  <si>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</si>
  <si>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</si>
  <si>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</si>
  <si>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</si>
  <si>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</si>
  <si>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</si>
  <si>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</si>
  <si>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</si>
  <si>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</si>
  <si>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</si>
  <si>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</si>
  <si>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</si>
  <si>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</si>
  <si>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</si>
  <si>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</si>
  <si>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</si>
  <si>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</si>
  <si>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</si>
  <si>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</si>
  <si>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</si>
  <si>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</si>
  <si>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</si>
  <si>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</si>
  <si>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</si>
  <si>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</si>
  <si>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</si>
  <si>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</si>
  <si>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</si>
  <si>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</si>
  <si>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002799.SZ</t>
  </si>
  <si>
    <t>环球印务</t>
  </si>
  <si>
    <t>002800.SZ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</si>
  <si>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</si>
  <si>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</si>
  <si>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</si>
  <si>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</si>
  <si>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</si>
  <si>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</si>
  <si>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</si>
  <si>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</si>
  <si>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</si>
  <si>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</si>
  <si>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</si>
  <si>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</si>
  <si>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</si>
  <si>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</si>
  <si>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</si>
  <si>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</si>
  <si>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</si>
  <si>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</si>
  <si>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</si>
  <si>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</si>
  <si>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</si>
  <si>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</si>
  <si>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</si>
  <si>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</si>
  <si>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</si>
  <si>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</si>
  <si>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</si>
  <si>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</si>
  <si>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</si>
  <si>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</si>
  <si>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</si>
  <si>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</si>
  <si>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</si>
  <si>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</si>
  <si>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</si>
  <si>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</si>
  <si>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</si>
  <si>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</si>
  <si>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</si>
  <si>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</si>
  <si>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</si>
  <si>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</si>
  <si>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</si>
  <si>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</si>
  <si>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</si>
  <si>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</si>
  <si>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</si>
  <si>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</si>
  <si>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</si>
  <si>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</si>
  <si>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</si>
  <si>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</si>
  <si>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</si>
  <si>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</si>
  <si>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</si>
  <si>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</si>
  <si>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</si>
  <si>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</si>
  <si>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</si>
  <si>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</si>
  <si>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</si>
  <si>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</si>
  <si>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</si>
  <si>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</si>
  <si>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</si>
  <si>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</si>
  <si>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</si>
  <si>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</si>
  <si>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</si>
  <si>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</si>
  <si>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</si>
  <si>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</si>
  <si>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</si>
  <si>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</si>
  <si>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</si>
  <si>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</si>
  <si>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</si>
  <si>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</si>
  <si>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</si>
  <si>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</si>
  <si>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</si>
  <si>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</si>
  <si>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</si>
  <si>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</si>
  <si>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</si>
  <si>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</si>
  <si>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</si>
  <si>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</si>
  <si>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</si>
  <si>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</si>
  <si>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</si>
  <si>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</si>
  <si>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</si>
  <si>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</si>
  <si>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</si>
  <si>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</si>
  <si>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</si>
  <si>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</si>
  <si>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</si>
  <si>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</si>
  <si>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</si>
  <si>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</si>
  <si>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</si>
  <si>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</si>
  <si>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</si>
  <si>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</si>
  <si>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</si>
  <si>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</si>
  <si>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</si>
  <si>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</si>
  <si>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</si>
  <si>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</si>
  <si>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</si>
  <si>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</si>
  <si>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</si>
  <si>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</si>
  <si>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</si>
  <si>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</si>
  <si>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</si>
  <si>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</si>
  <si>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</si>
  <si>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</si>
  <si>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</si>
  <si>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</si>
  <si>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</si>
  <si>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</si>
  <si>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</si>
  <si>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</si>
  <si>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</si>
  <si>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</si>
  <si>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</si>
  <si>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</si>
  <si>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</si>
  <si>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</si>
  <si>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</si>
  <si>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</si>
  <si>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</si>
  <si>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</si>
  <si>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</si>
  <si>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</si>
  <si>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</si>
  <si>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</si>
  <si>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</si>
  <si>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</si>
  <si>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</si>
  <si>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</si>
  <si>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</si>
  <si>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</si>
  <si>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</si>
  <si>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</si>
  <si>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</si>
  <si>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</si>
  <si>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</si>
  <si>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</si>
  <si>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</si>
  <si>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</si>
  <si>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</si>
  <si>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</si>
  <si>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</si>
  <si>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</si>
  <si>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</si>
  <si>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</si>
  <si>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</si>
  <si>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</si>
  <si>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</si>
  <si>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</si>
  <si>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</si>
  <si>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</si>
  <si>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</si>
  <si>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</si>
  <si>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</si>
  <si>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</si>
  <si>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</si>
  <si>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</si>
  <si>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</si>
  <si>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</si>
  <si>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</si>
  <si>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</si>
  <si>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</si>
  <si>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</si>
  <si>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</si>
  <si>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</si>
  <si>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</si>
  <si>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</si>
  <si>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</si>
  <si>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</si>
  <si>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</si>
  <si>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</si>
  <si>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</si>
  <si>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</si>
  <si>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</si>
  <si>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</si>
  <si>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</si>
  <si>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</si>
  <si>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</si>
  <si>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</si>
  <si>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</si>
  <si>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</si>
  <si>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</si>
  <si>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</si>
  <si>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</si>
  <si>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</si>
  <si>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</si>
  <si>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</si>
  <si>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</si>
  <si>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</si>
  <si>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</si>
  <si>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</si>
  <si>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</si>
  <si>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</si>
  <si>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</si>
  <si>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</si>
  <si>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</si>
  <si>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</si>
  <si>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</si>
  <si>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</si>
  <si>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</si>
  <si>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</si>
  <si>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</si>
  <si>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</si>
  <si>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</si>
  <si>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</si>
  <si>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</si>
  <si>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</si>
  <si>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</si>
  <si>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</si>
  <si>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</si>
  <si>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</si>
  <si>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</si>
  <si>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</si>
  <si>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</si>
  <si>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</si>
  <si>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</si>
  <si>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</si>
  <si>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</si>
  <si>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</si>
  <si>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</si>
  <si>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</si>
  <si>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</si>
  <si>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</si>
  <si>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</si>
  <si>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</si>
  <si>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</si>
  <si>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</si>
  <si>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</si>
  <si>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</si>
  <si>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</si>
  <si>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</si>
  <si>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</si>
  <si>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</si>
  <si>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</si>
  <si>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</si>
  <si>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</si>
  <si>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</si>
  <si>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</si>
  <si>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</si>
  <si>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</si>
  <si>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</si>
  <si>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</si>
  <si>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</si>
  <si>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</si>
  <si>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</si>
  <si>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</si>
  <si>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</si>
  <si>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</si>
  <si>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</si>
  <si>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</si>
  <si>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</si>
  <si>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</si>
  <si>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</si>
  <si>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</si>
  <si>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</si>
  <si>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</si>
  <si>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</si>
  <si>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</si>
  <si>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</si>
  <si>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</si>
  <si>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</si>
  <si>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</si>
  <si>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</si>
  <si>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</si>
  <si>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</si>
  <si>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</si>
  <si>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</si>
  <si>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</si>
  <si>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</si>
  <si>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</si>
  <si>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</si>
  <si>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</si>
  <si>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</si>
  <si>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</si>
  <si>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</si>
  <si>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</si>
  <si>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</si>
  <si>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</si>
  <si>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</si>
  <si>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</si>
  <si>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</si>
  <si>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</si>
  <si>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</si>
  <si>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</si>
  <si>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</si>
  <si>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</si>
  <si>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</si>
  <si>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</si>
  <si>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</si>
  <si>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</si>
  <si>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</si>
  <si>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</si>
  <si>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</si>
  <si>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</si>
  <si>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</si>
  <si>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</si>
  <si>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</si>
  <si>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</si>
  <si>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</si>
  <si>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</si>
  <si>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</si>
  <si>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</si>
  <si>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</si>
  <si>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</si>
  <si>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</si>
  <si>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</si>
  <si>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</si>
  <si>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</si>
  <si>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</si>
  <si>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</si>
  <si>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</si>
  <si>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</si>
  <si>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</si>
  <si>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</si>
  <si>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</si>
  <si>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</si>
  <si>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</si>
  <si>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</si>
  <si>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</si>
  <si>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</si>
  <si>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</si>
  <si>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</si>
  <si>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</si>
  <si>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</si>
  <si>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</si>
  <si>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</si>
  <si>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</si>
  <si>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</si>
  <si>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</si>
  <si>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</si>
  <si>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</si>
  <si>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</si>
  <si>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</si>
  <si>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</si>
  <si>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</si>
  <si>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</si>
  <si>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</si>
  <si>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</si>
  <si>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</si>
  <si>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</si>
  <si>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</si>
  <si>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</si>
  <si>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</si>
  <si>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</si>
  <si>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</si>
  <si>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</si>
  <si>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</si>
  <si>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</si>
  <si>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</si>
  <si>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</si>
  <si>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</si>
  <si>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</si>
  <si>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</si>
  <si>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</si>
  <si>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</si>
  <si>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</si>
  <si>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</si>
  <si>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</si>
  <si>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</si>
  <si>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</si>
  <si>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</si>
  <si>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</si>
  <si>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</si>
  <si>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</si>
  <si>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</si>
  <si>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</si>
  <si>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</si>
  <si>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</si>
  <si>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</si>
  <si>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</si>
  <si>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</si>
  <si>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</si>
  <si>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</si>
  <si>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</si>
  <si>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</si>
  <si>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</si>
  <si>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</si>
  <si>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</si>
  <si>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</si>
  <si>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</si>
  <si>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</si>
  <si>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</si>
  <si>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</si>
  <si>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</si>
  <si>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</si>
  <si>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</si>
  <si>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</si>
  <si>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</si>
  <si>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</si>
  <si>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</si>
  <si>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</si>
  <si>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</si>
  <si>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</si>
  <si>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</si>
  <si>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</si>
  <si>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</si>
  <si>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</si>
  <si>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</si>
  <si>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</si>
  <si>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</si>
  <si>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</si>
  <si>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</si>
  <si>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</si>
  <si>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</si>
  <si>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</si>
  <si>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</si>
  <si>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</si>
  <si>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</si>
  <si>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</si>
  <si>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</si>
  <si>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</si>
  <si>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</si>
  <si>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</si>
  <si>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</si>
  <si>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</si>
  <si>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</si>
  <si>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</si>
  <si>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</si>
  <si>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</si>
  <si>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</si>
  <si>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</si>
  <si>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</si>
  <si>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</si>
  <si>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</si>
  <si>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</si>
  <si>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</si>
  <si>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</si>
  <si>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</si>
  <si>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</si>
  <si>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</si>
  <si>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</si>
  <si>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</si>
  <si>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</si>
  <si>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</si>
  <si>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</si>
  <si>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</si>
  <si>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</si>
  <si>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</si>
  <si>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</si>
  <si>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</si>
  <si>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</si>
  <si>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</si>
  <si>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</si>
  <si>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</si>
  <si>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</si>
  <si>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</si>
  <si>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</si>
  <si>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</si>
  <si>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</si>
  <si>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</si>
  <si>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</si>
  <si>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</si>
  <si>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</si>
  <si>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</si>
  <si>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</si>
  <si>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</si>
  <si>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</si>
  <si>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</si>
  <si>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</si>
  <si>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</si>
  <si>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</si>
  <si>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</si>
  <si>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</si>
  <si>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</si>
  <si>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</si>
  <si>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</si>
  <si>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</si>
  <si>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</si>
  <si>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</si>
  <si>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</si>
  <si>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</si>
  <si>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</si>
  <si>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</si>
  <si>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</si>
  <si>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</si>
  <si>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</si>
  <si>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</si>
  <si>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</si>
  <si>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</si>
  <si>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</si>
  <si>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</si>
  <si>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</si>
  <si>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</si>
  <si>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</si>
  <si>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</si>
  <si>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</si>
  <si>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</si>
  <si>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</si>
  <si>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</si>
  <si>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</si>
  <si>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</si>
  <si>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</si>
  <si>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</si>
  <si>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</si>
  <si>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</si>
  <si>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</si>
  <si>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</si>
  <si>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</si>
  <si>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</si>
  <si>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</si>
  <si>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</si>
  <si>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</si>
  <si>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</si>
  <si>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</si>
  <si>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</si>
  <si>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</si>
  <si>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</si>
  <si>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</si>
  <si>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</si>
  <si>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</si>
  <si>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</si>
  <si>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</si>
  <si>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300050.SZ</t>
  </si>
  <si>
    <t>世纪鼎利</t>
  </si>
  <si>
    <t>300051.SZ</t>
  </si>
  <si>
    <t>琏升科技</t>
  </si>
  <si>
    <t>300052.SZ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</si>
  <si>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</si>
  <si>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</si>
  <si>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</si>
  <si>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</si>
  <si>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</si>
  <si>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</si>
  <si>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</si>
  <si>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</si>
  <si>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</si>
  <si>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</si>
  <si>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</si>
  <si>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</si>
  <si>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</si>
  <si>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</si>
  <si>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</si>
  <si>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</si>
  <si>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</si>
  <si>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</si>
  <si>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</si>
  <si>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</si>
  <si>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</si>
  <si>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</si>
  <si>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</si>
  <si>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</si>
  <si>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</si>
  <si>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</si>
  <si>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</si>
  <si>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</si>
  <si>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</si>
  <si>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</si>
  <si>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</si>
  <si>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</si>
  <si>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</si>
  <si>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</si>
  <si>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</si>
  <si>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</si>
  <si>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</si>
  <si>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</si>
  <si>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</si>
  <si>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</si>
  <si>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</si>
  <si>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</si>
  <si>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</si>
  <si>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</si>
  <si>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</si>
  <si>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</si>
  <si>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</si>
  <si>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</si>
  <si>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</si>
  <si>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</si>
  <si>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</si>
  <si>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</si>
  <si>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</si>
  <si>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</si>
  <si>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</si>
  <si>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</si>
  <si>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</si>
  <si>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</si>
  <si>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</si>
  <si>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</si>
  <si>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</si>
  <si>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</si>
  <si>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</si>
  <si>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</si>
  <si>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</si>
  <si>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</si>
  <si>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</si>
  <si>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</si>
  <si>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300092.SZ</t>
  </si>
  <si>
    <t>科新机电</t>
  </si>
  <si>
    <t>300093.SZ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</si>
  <si>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</si>
  <si>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</si>
  <si>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</si>
  <si>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</si>
  <si>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</si>
  <si>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</si>
  <si>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</si>
  <si>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</si>
  <si>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</si>
  <si>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</si>
  <si>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</si>
  <si>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</si>
  <si>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</si>
  <si>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</si>
  <si>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</si>
  <si>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</si>
  <si>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</si>
  <si>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</si>
  <si>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</si>
  <si>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</si>
  <si>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</si>
  <si>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</si>
  <si>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</si>
  <si>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</si>
  <si>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</si>
  <si>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</si>
  <si>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</si>
  <si>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</si>
  <si>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</si>
  <si>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</si>
  <si>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</si>
  <si>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</si>
  <si>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</si>
  <si>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</si>
  <si>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</si>
  <si>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</si>
  <si>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</si>
  <si>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</si>
  <si>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</si>
  <si>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</si>
  <si>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</si>
  <si>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</si>
  <si>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</si>
  <si>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</si>
  <si>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</si>
  <si>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</si>
  <si>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</si>
  <si>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</si>
  <si>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</si>
  <si>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</si>
  <si>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</si>
  <si>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</si>
  <si>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</si>
  <si>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</si>
  <si>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</si>
  <si>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</si>
  <si>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</si>
  <si>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</si>
  <si>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</si>
  <si>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</si>
  <si>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</si>
  <si>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</si>
  <si>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</si>
  <si>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</si>
  <si>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</si>
  <si>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</si>
  <si>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</si>
  <si>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</si>
  <si>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</si>
  <si>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</si>
  <si>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</si>
  <si>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</si>
  <si>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</si>
  <si>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</si>
  <si>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</si>
  <si>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</si>
  <si>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</si>
  <si>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</si>
  <si>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</si>
  <si>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</si>
  <si>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</si>
  <si>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</si>
  <si>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</si>
  <si>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</si>
  <si>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</si>
  <si>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</si>
  <si>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</si>
  <si>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</si>
  <si>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</si>
  <si>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</si>
  <si>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</si>
  <si>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300146.SZ</t>
  </si>
  <si>
    <t>汤臣倍健</t>
  </si>
  <si>
    <t>300147.SZ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</si>
  <si>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</si>
  <si>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</si>
  <si>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</si>
  <si>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</si>
  <si>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</si>
  <si>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</si>
  <si>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</si>
  <si>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</si>
  <si>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</si>
  <si>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</si>
  <si>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</si>
  <si>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</si>
  <si>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</si>
  <si>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</si>
  <si>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</si>
  <si>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</si>
  <si>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</si>
  <si>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</si>
  <si>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</si>
  <si>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</si>
  <si>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</si>
  <si>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</si>
  <si>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</si>
  <si>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</si>
  <si>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</si>
  <si>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</si>
  <si>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</si>
  <si>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</si>
  <si>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</si>
  <si>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</si>
  <si>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</si>
  <si>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</si>
  <si>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</si>
  <si>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</si>
  <si>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</si>
  <si>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</si>
  <si>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</si>
  <si>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</si>
  <si>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</si>
  <si>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</si>
  <si>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</si>
  <si>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</si>
  <si>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</si>
  <si>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</si>
  <si>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</si>
  <si>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</si>
  <si>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300174.SZ</t>
  </si>
  <si>
    <t>元力股份</t>
  </si>
  <si>
    <t>300175.SZ</t>
  </si>
  <si>
    <t>300176.SZ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</si>
  <si>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</si>
  <si>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</si>
  <si>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</si>
  <si>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</si>
  <si>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</si>
  <si>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</si>
  <si>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</si>
  <si>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</si>
  <si>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</si>
  <si>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</si>
  <si>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</si>
  <si>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</si>
  <si>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</si>
  <si>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</si>
  <si>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</si>
  <si>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</si>
  <si>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</si>
  <si>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</si>
  <si>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</si>
  <si>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</si>
  <si>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</si>
  <si>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</si>
  <si>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</si>
  <si>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</si>
  <si>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</si>
  <si>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</si>
  <si>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</si>
  <si>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</si>
  <si>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</si>
  <si>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</si>
  <si>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</si>
  <si>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</si>
  <si>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</si>
  <si>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</si>
  <si>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</si>
  <si>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</si>
  <si>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</si>
  <si>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</si>
  <si>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</si>
  <si>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</si>
  <si>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</si>
  <si>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</si>
  <si>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</si>
  <si>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</si>
  <si>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</si>
  <si>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</si>
  <si>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</si>
  <si>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</si>
  <si>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</si>
  <si>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300206.SZ</t>
  </si>
  <si>
    <t>理邦仪器</t>
  </si>
  <si>
    <t>300207.SZ</t>
  </si>
  <si>
    <t>欣旺达</t>
  </si>
  <si>
    <t>300209.SZ</t>
  </si>
  <si>
    <t>300210.SZ</t>
  </si>
  <si>
    <t>森远股份</t>
  </si>
  <si>
    <t>300211.SZ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</si>
  <si>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</si>
  <si>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</si>
  <si>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</si>
  <si>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</si>
  <si>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</si>
  <si>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</si>
  <si>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</si>
  <si>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</si>
  <si>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</si>
  <si>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</si>
  <si>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</si>
  <si>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</si>
  <si>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</si>
  <si>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</si>
  <si>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</si>
  <si>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</si>
  <si>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</si>
  <si>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</si>
  <si>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</si>
  <si>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</si>
  <si>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</si>
  <si>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</si>
  <si>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</si>
  <si>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</si>
  <si>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</si>
  <si>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</si>
  <si>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</si>
  <si>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</si>
  <si>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</si>
  <si>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</si>
  <si>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</si>
  <si>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</si>
  <si>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</si>
  <si>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</si>
  <si>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</si>
  <si>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</si>
  <si>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</si>
  <si>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</si>
  <si>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</si>
  <si>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</si>
  <si>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</si>
  <si>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</si>
  <si>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</si>
  <si>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</si>
  <si>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</si>
  <si>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</si>
  <si>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</si>
  <si>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</si>
  <si>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</si>
  <si>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</si>
  <si>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</si>
  <si>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</si>
  <si>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</si>
  <si>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</si>
  <si>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</si>
  <si>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</si>
  <si>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</si>
  <si>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</si>
  <si>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</si>
  <si>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</si>
  <si>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</si>
  <si>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</si>
  <si>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</si>
  <si>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</si>
  <si>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</si>
  <si>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</si>
  <si>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</si>
  <si>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</si>
  <si>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</si>
  <si>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</si>
  <si>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</si>
  <si>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</si>
  <si>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</si>
  <si>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</si>
  <si>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</si>
  <si>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</si>
  <si>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</si>
  <si>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</si>
  <si>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</si>
  <si>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</si>
  <si>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</si>
  <si>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</si>
  <si>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</si>
  <si>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</si>
  <si>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</si>
  <si>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</si>
  <si>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</si>
  <si>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</si>
  <si>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</si>
  <si>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</si>
  <si>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</si>
  <si>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</si>
  <si>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</si>
  <si>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</si>
  <si>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</si>
  <si>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</si>
  <si>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</si>
  <si>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</si>
  <si>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</si>
  <si>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</si>
  <si>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</si>
  <si>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</si>
  <si>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</si>
  <si>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</si>
  <si>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</si>
  <si>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</si>
  <si>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</si>
  <si>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</si>
  <si>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</si>
  <si>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</si>
  <si>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</si>
  <si>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</si>
  <si>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</si>
  <si>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</si>
  <si>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</si>
  <si>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</si>
  <si>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</si>
  <si>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</si>
  <si>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</si>
  <si>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</si>
  <si>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</si>
  <si>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</si>
  <si>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</si>
  <si>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</si>
  <si>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</si>
  <si>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</si>
  <si>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</si>
  <si>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</si>
  <si>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</si>
  <si>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</si>
  <si>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</si>
  <si>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</si>
  <si>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</si>
  <si>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</si>
  <si>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</si>
  <si>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</si>
  <si>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</si>
  <si>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</si>
  <si>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</si>
  <si>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</si>
  <si>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</si>
  <si>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</si>
  <si>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</si>
  <si>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</si>
  <si>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</si>
  <si>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</si>
  <si>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</si>
  <si>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</si>
  <si>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</si>
  <si>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</si>
  <si>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</si>
  <si>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</si>
  <si>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</si>
  <si>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</si>
  <si>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</si>
  <si>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</si>
  <si>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</si>
  <si>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</si>
  <si>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</si>
  <si>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</si>
  <si>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</si>
  <si>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</si>
  <si>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</si>
  <si>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</si>
  <si>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</si>
  <si>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</si>
  <si>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</si>
  <si>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</si>
  <si>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</si>
  <si>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</si>
  <si>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</si>
  <si>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</si>
  <si>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</si>
  <si>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</si>
  <si>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</si>
  <si>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</si>
  <si>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</si>
  <si>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</si>
  <si>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</si>
  <si>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</si>
  <si>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</si>
  <si>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</si>
  <si>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</si>
  <si>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</si>
  <si>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</si>
  <si>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</si>
  <si>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</si>
  <si>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</si>
  <si>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</si>
  <si>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</si>
  <si>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</si>
  <si>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</si>
  <si>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</si>
  <si>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</si>
  <si>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</si>
  <si>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</si>
  <si>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</si>
  <si>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</si>
  <si>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</si>
  <si>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</si>
  <si>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</si>
  <si>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</si>
  <si>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</si>
  <si>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</si>
  <si>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</si>
  <si>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</si>
  <si>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</si>
  <si>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</si>
  <si>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</si>
  <si>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</si>
  <si>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</si>
  <si>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</si>
  <si>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</si>
  <si>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</si>
  <si>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</si>
  <si>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</si>
  <si>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</si>
  <si>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</si>
  <si>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</si>
  <si>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</si>
  <si>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</si>
  <si>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</si>
  <si>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</si>
  <si>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</si>
  <si>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</si>
  <si>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</si>
  <si>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</si>
  <si>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</si>
  <si>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</si>
  <si>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</si>
  <si>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</si>
  <si>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</si>
  <si>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</si>
  <si>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</si>
  <si>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300344.SZ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</si>
  <si>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</si>
  <si>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</si>
  <si>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</si>
  <si>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</si>
  <si>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</si>
  <si>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</si>
  <si>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</si>
  <si>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</si>
  <si>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</si>
  <si>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</si>
  <si>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</si>
  <si>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</si>
  <si>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</si>
  <si>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</si>
  <si>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</si>
  <si>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</si>
  <si>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</si>
  <si>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</si>
  <si>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</si>
  <si>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</si>
  <si>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</si>
  <si>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</si>
  <si>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</si>
  <si>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</si>
  <si>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</si>
  <si>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</si>
  <si>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</si>
  <si>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</si>
  <si>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</si>
  <si>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</si>
  <si>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</si>
  <si>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</si>
  <si>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</si>
  <si>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</si>
  <si>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</si>
  <si>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</si>
  <si>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</si>
  <si>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</si>
  <si>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</si>
  <si>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</si>
  <si>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</si>
  <si>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</si>
  <si>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</si>
  <si>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</si>
  <si>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</si>
  <si>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</si>
  <si>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</si>
  <si>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</si>
  <si>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</si>
  <si>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</si>
  <si>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</si>
  <si>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</si>
  <si>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</si>
  <si>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</si>
  <si>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</si>
  <si>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</si>
  <si>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</si>
  <si>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</si>
  <si>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</si>
  <si>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</si>
  <si>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</si>
  <si>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</si>
  <si>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</si>
  <si>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</si>
  <si>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</si>
  <si>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</si>
  <si>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</si>
  <si>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</si>
  <si>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</si>
  <si>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</si>
  <si>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</si>
  <si>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</si>
  <si>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</si>
  <si>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</si>
  <si>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</si>
  <si>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</si>
  <si>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</si>
  <si>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</si>
  <si>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</si>
  <si>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</si>
  <si>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</si>
  <si>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</si>
  <si>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</si>
  <si>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</si>
  <si>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</si>
  <si>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</si>
  <si>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</si>
  <si>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</si>
  <si>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</si>
  <si>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</si>
  <si>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</si>
  <si>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</si>
  <si>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</si>
  <si>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</si>
  <si>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</si>
  <si>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</si>
  <si>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</si>
  <si>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</si>
  <si>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</si>
  <si>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</si>
  <si>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</si>
  <si>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</si>
  <si>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</si>
  <si>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</si>
  <si>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</si>
  <si>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</si>
  <si>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</si>
  <si>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</si>
  <si>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</si>
  <si>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</si>
  <si>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</si>
  <si>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</si>
  <si>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</si>
  <si>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</si>
  <si>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</si>
  <si>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</si>
  <si>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</si>
  <si>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</si>
  <si>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</si>
  <si>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</si>
  <si>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</si>
  <si>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</si>
  <si>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</si>
  <si>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</si>
  <si>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</si>
  <si>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</si>
  <si>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</si>
  <si>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</si>
  <si>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</si>
  <si>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</si>
  <si>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</si>
  <si>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300420.SZ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</si>
  <si>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</si>
  <si>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</si>
  <si>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</si>
  <si>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</si>
  <si>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</si>
  <si>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</si>
  <si>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</si>
  <si>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</si>
  <si>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</si>
  <si>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</si>
  <si>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</si>
  <si>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300427.SZ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</si>
  <si>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</si>
  <si>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</si>
  <si>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</si>
  <si>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</si>
  <si>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</si>
  <si>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</si>
  <si>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</si>
  <si>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</si>
  <si>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</si>
  <si>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</si>
  <si>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</si>
  <si>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</si>
  <si>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</si>
  <si>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</si>
  <si>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</si>
  <si>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</si>
  <si>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</si>
  <si>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</si>
  <si>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</si>
  <si>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</si>
  <si>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</si>
  <si>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</si>
  <si>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</si>
  <si>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</si>
  <si>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</si>
  <si>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</si>
  <si>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</si>
  <si>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</si>
  <si>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</si>
  <si>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</si>
  <si>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</si>
  <si>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</si>
  <si>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</si>
  <si>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</si>
  <si>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</si>
  <si>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</si>
  <si>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</si>
  <si>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</si>
  <si>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</si>
  <si>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</si>
  <si>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</si>
  <si>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</si>
  <si>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</si>
  <si>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</si>
  <si>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</si>
  <si>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</si>
  <si>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</si>
  <si>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</si>
  <si>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</si>
  <si>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</si>
  <si>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</si>
  <si>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</si>
  <si>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</si>
  <si>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</si>
  <si>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</si>
  <si>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</si>
  <si>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</si>
  <si>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</si>
  <si>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</si>
  <si>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</si>
  <si>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</si>
  <si>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</si>
  <si>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</si>
  <si>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300461.SZ</t>
  </si>
  <si>
    <t>田中精机</t>
  </si>
  <si>
    <t>300462.SZ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</si>
  <si>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</si>
  <si>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</si>
  <si>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</si>
  <si>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</si>
  <si>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</si>
  <si>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</si>
  <si>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</si>
  <si>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</si>
  <si>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</si>
  <si>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</si>
  <si>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</si>
  <si>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</si>
  <si>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</si>
  <si>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</si>
  <si>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</si>
  <si>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</si>
  <si>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</si>
  <si>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</si>
  <si>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</si>
  <si>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</si>
  <si>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</si>
  <si>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</si>
  <si>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</si>
  <si>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</si>
  <si>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</si>
  <si>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</si>
  <si>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</si>
  <si>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</si>
  <si>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</si>
  <si>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</si>
  <si>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</si>
  <si>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</si>
  <si>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</si>
  <si>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</si>
  <si>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</si>
  <si>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</si>
  <si>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</si>
  <si>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</si>
  <si>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</si>
  <si>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</si>
  <si>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</si>
  <si>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</si>
  <si>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</si>
  <si>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</si>
  <si>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</si>
  <si>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</si>
  <si>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</si>
  <si>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</si>
  <si>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</si>
  <si>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</si>
  <si>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</si>
  <si>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</si>
  <si>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</si>
  <si>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</si>
  <si>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</si>
  <si>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</si>
  <si>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</si>
  <si>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</si>
  <si>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</si>
  <si>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</si>
  <si>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</si>
  <si>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</si>
  <si>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</si>
  <si>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</si>
  <si>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</si>
  <si>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</si>
  <si>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</si>
  <si>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</si>
  <si>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</si>
  <si>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</si>
  <si>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</si>
  <si>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</si>
  <si>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</si>
  <si>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</si>
  <si>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</si>
  <si>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</si>
  <si>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</si>
  <si>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</si>
  <si>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</si>
  <si>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</si>
  <si>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</si>
  <si>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</si>
  <si>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</si>
  <si>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</si>
  <si>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</si>
  <si>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</si>
  <si>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</si>
  <si>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</si>
  <si>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</si>
  <si>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</si>
  <si>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</si>
  <si>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</si>
  <si>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</si>
  <si>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</si>
  <si>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</si>
  <si>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</si>
  <si>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</si>
  <si>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</si>
  <si>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</si>
  <si>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</si>
  <si>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</si>
  <si>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</si>
  <si>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</si>
  <si>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</si>
  <si>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</si>
  <si>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</si>
  <si>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</si>
  <si>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</si>
  <si>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</si>
  <si>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</si>
  <si>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</si>
  <si>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</si>
  <si>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</si>
  <si>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</si>
  <si>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</si>
  <si>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</si>
  <si>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</si>
  <si>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</si>
  <si>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</si>
  <si>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</si>
  <si>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</si>
  <si>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</si>
  <si>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</si>
  <si>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</si>
  <si>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</si>
  <si>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</si>
  <si>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</si>
  <si>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</si>
  <si>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</si>
  <si>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</si>
  <si>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</si>
  <si>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</si>
  <si>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</si>
  <si>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</si>
  <si>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</si>
  <si>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</si>
  <si>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</si>
  <si>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</si>
  <si>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</si>
  <si>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</si>
  <si>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</si>
  <si>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</si>
  <si>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</si>
  <si>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</si>
  <si>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</si>
  <si>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</si>
  <si>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</si>
  <si>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</si>
  <si>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</si>
  <si>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</si>
  <si>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</si>
  <si>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</si>
  <si>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</si>
  <si>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</si>
  <si>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</si>
  <si>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</si>
  <si>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</si>
  <si>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</si>
  <si>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</si>
  <si>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</si>
  <si>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</si>
  <si>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</si>
  <si>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</si>
  <si>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</si>
  <si>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</si>
  <si>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</si>
  <si>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</si>
  <si>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</si>
  <si>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</si>
  <si>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</si>
  <si>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</si>
  <si>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</si>
  <si>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</si>
  <si>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</si>
  <si>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</si>
  <si>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</si>
  <si>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</si>
  <si>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</si>
  <si>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</si>
  <si>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</si>
  <si>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</si>
  <si>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</si>
  <si>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</si>
  <si>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</si>
  <si>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</si>
  <si>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</si>
  <si>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</si>
  <si>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</si>
  <si>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</si>
  <si>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</si>
  <si>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</si>
  <si>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</si>
  <si>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</si>
  <si>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</si>
  <si>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</si>
  <si>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</si>
  <si>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</si>
  <si>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</si>
  <si>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</si>
  <si>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</si>
  <si>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</si>
  <si>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</si>
  <si>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</si>
  <si>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</si>
  <si>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</si>
  <si>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</si>
  <si>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</si>
  <si>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</si>
  <si>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</si>
  <si>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</si>
  <si>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</si>
  <si>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</si>
  <si>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</si>
  <si>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</si>
  <si>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</si>
  <si>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</si>
  <si>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</si>
  <si>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</si>
  <si>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</si>
  <si>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</si>
  <si>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</si>
  <si>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</si>
  <si>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</si>
  <si>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</si>
  <si>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</si>
  <si>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</si>
  <si>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</si>
  <si>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</si>
  <si>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</si>
  <si>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</si>
  <si>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</si>
  <si>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</si>
  <si>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</si>
  <si>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</si>
  <si>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</si>
  <si>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</si>
  <si>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</si>
  <si>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</si>
  <si>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</si>
  <si>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</si>
  <si>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</si>
  <si>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</si>
  <si>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</si>
  <si>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</si>
  <si>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</si>
  <si>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</si>
  <si>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</si>
  <si>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</si>
  <si>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</si>
  <si>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</si>
  <si>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</si>
  <si>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</si>
  <si>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</si>
  <si>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</si>
  <si>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</si>
  <si>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</si>
  <si>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</si>
  <si>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</si>
  <si>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</si>
  <si>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</si>
  <si>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</si>
  <si>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</si>
  <si>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</si>
  <si>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</si>
  <si>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</si>
  <si>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</si>
  <si>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</si>
  <si>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</si>
  <si>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</si>
  <si>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</si>
  <si>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</si>
  <si>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</si>
  <si>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</si>
  <si>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</si>
  <si>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</si>
  <si>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</si>
  <si>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</si>
  <si>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</si>
  <si>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</si>
  <si>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</si>
  <si>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</si>
  <si>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</si>
  <si>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</si>
  <si>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</si>
  <si>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</si>
  <si>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</si>
  <si>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</si>
  <si>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</si>
  <si>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</si>
  <si>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</si>
  <si>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</si>
  <si>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</si>
  <si>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</si>
  <si>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</si>
  <si>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</si>
  <si>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</si>
  <si>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</si>
  <si>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</si>
  <si>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</si>
  <si>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</si>
  <si>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</si>
  <si>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</si>
  <si>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</si>
  <si>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</si>
  <si>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</si>
  <si>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</si>
  <si>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</si>
  <si>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</si>
  <si>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</si>
  <si>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</si>
  <si>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</si>
  <si>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</si>
  <si>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</si>
  <si>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</si>
  <si>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</si>
  <si>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</si>
  <si>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</si>
  <si>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</si>
  <si>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</si>
  <si>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</si>
  <si>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</si>
  <si>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</si>
  <si>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</si>
  <si>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</si>
  <si>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</si>
  <si>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</si>
  <si>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</si>
  <si>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</si>
  <si>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</si>
  <si>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</si>
  <si>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</si>
  <si>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</si>
  <si>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</si>
  <si>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</si>
  <si>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</si>
  <si>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</si>
  <si>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</si>
  <si>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</si>
  <si>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</si>
  <si>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</si>
  <si>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</si>
  <si>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</si>
  <si>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</si>
  <si>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</si>
  <si>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</si>
  <si>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</si>
  <si>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</si>
  <si>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</si>
  <si>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</si>
  <si>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</si>
  <si>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</si>
  <si>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</si>
  <si>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</si>
  <si>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</si>
  <si>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</si>
  <si>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</si>
  <si>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</si>
  <si>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</si>
  <si>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</si>
  <si>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</si>
  <si>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</si>
  <si>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</si>
  <si>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</si>
  <si>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</si>
  <si>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</si>
  <si>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</si>
  <si>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</si>
  <si>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</si>
  <si>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</si>
  <si>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</si>
  <si>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</si>
  <si>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</si>
  <si>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</si>
  <si>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</si>
  <si>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</si>
  <si>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</si>
  <si>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</si>
  <si>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</si>
  <si>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</si>
  <si>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</si>
  <si>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</si>
  <si>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</si>
  <si>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</si>
  <si>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</si>
  <si>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</si>
  <si>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</si>
  <si>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</si>
  <si>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</si>
  <si>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</si>
  <si>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</si>
  <si>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</si>
  <si>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</si>
  <si>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</si>
  <si>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</si>
  <si>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</si>
  <si>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</si>
  <si>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</si>
  <si>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</si>
  <si>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</si>
  <si>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</si>
  <si>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</si>
  <si>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</si>
  <si>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</si>
  <si>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</si>
  <si>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</si>
  <si>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</si>
  <si>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</si>
  <si>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</si>
  <si>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</si>
  <si>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</si>
  <si>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</si>
  <si>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</si>
  <si>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</si>
  <si>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</si>
  <si>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</si>
  <si>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</si>
  <si>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</si>
  <si>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</si>
  <si>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</si>
  <si>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</si>
  <si>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</si>
  <si>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</si>
  <si>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</si>
  <si>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</si>
  <si>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</si>
  <si>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</si>
  <si>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</si>
  <si>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</si>
  <si>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</si>
  <si>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</si>
  <si>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</si>
  <si>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</si>
  <si>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</si>
  <si>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</si>
  <si>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</si>
  <si>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</si>
  <si>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</si>
  <si>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</si>
  <si>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</si>
  <si>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</si>
  <si>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</si>
  <si>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</si>
  <si>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</si>
  <si>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</si>
  <si>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</si>
  <si>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</si>
  <si>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</si>
  <si>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</si>
  <si>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</si>
  <si>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</si>
  <si>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</si>
  <si>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</si>
  <si>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</si>
  <si>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</si>
  <si>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</si>
  <si>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</si>
  <si>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</si>
  <si>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</si>
  <si>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</si>
  <si>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</si>
  <si>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</si>
  <si>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</si>
  <si>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</si>
  <si>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</si>
  <si>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</si>
  <si>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</si>
  <si>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</si>
  <si>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</si>
  <si>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</si>
  <si>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</si>
  <si>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</si>
  <si>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</si>
  <si>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</si>
  <si>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</si>
  <si>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</si>
  <si>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</si>
  <si>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</si>
  <si>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</si>
  <si>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</si>
  <si>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</si>
  <si>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</si>
  <si>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</si>
  <si>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</si>
  <si>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</si>
  <si>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</si>
  <si>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</si>
  <si>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</si>
  <si>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</si>
  <si>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</si>
  <si>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</si>
  <si>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</si>
  <si>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</si>
  <si>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</si>
  <si>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</si>
  <si>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</si>
  <si>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</si>
  <si>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</si>
  <si>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</si>
  <si>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</si>
  <si>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</si>
  <si>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</si>
  <si>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</si>
  <si>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</si>
  <si>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</si>
  <si>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</si>
  <si>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</si>
  <si>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</si>
  <si>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</si>
  <si>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</si>
  <si>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</si>
  <si>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</si>
  <si>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</si>
  <si>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</si>
  <si>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</si>
  <si>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</si>
  <si>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</si>
  <si>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</si>
  <si>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</si>
  <si>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</si>
  <si>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</si>
  <si>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</si>
  <si>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</si>
  <si>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</si>
  <si>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</si>
  <si>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</si>
  <si>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</si>
  <si>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</si>
  <si>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</si>
  <si>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</si>
  <si>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</si>
  <si>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</si>
  <si>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</si>
  <si>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</si>
  <si>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</si>
  <si>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</si>
  <si>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</si>
  <si>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</si>
  <si>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</si>
  <si>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</si>
  <si>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</si>
  <si>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</si>
  <si>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</si>
  <si>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</si>
  <si>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</si>
  <si>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</si>
  <si>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</si>
  <si>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</si>
  <si>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</si>
  <si>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</si>
  <si>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</si>
  <si>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</si>
  <si>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</si>
  <si>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</si>
  <si>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</si>
  <si>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</si>
  <si>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</si>
  <si>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</si>
  <si>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</si>
  <si>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</si>
  <si>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</si>
  <si>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</si>
  <si>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</si>
  <si>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</si>
  <si>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</si>
  <si>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</si>
  <si>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</si>
  <si>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</si>
  <si>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</si>
  <si>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</si>
  <si>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</si>
  <si>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</si>
  <si>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</si>
  <si>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</si>
  <si>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</si>
  <si>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</si>
  <si>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</si>
  <si>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</si>
  <si>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</si>
  <si>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</si>
  <si>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</si>
  <si>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</si>
  <si>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</si>
  <si>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</si>
  <si>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</si>
  <si>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</si>
  <si>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</si>
  <si>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</si>
  <si>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</si>
  <si>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</si>
  <si>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</si>
  <si>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</si>
  <si>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</si>
  <si>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</si>
  <si>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</si>
  <si>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</si>
  <si>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</si>
  <si>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</si>
  <si>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</si>
  <si>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</si>
  <si>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</si>
  <si>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</si>
  <si>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</si>
  <si>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</si>
  <si>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</si>
  <si>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</si>
  <si>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</si>
  <si>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</si>
  <si>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</si>
  <si>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</si>
  <si>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</si>
  <si>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</si>
  <si>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</si>
  <si>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</si>
  <si>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</si>
  <si>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</si>
  <si>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</si>
  <si>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</si>
  <si>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</si>
  <si>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</si>
  <si>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</si>
  <si>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</si>
  <si>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</si>
  <si>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</si>
  <si>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</si>
  <si>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</si>
  <si>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</si>
  <si>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</si>
  <si>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</si>
  <si>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</si>
  <si>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</si>
  <si>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</si>
  <si>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</si>
  <si>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</si>
  <si>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</si>
  <si>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</si>
  <si>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</si>
  <si>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</si>
  <si>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</si>
  <si>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</si>
  <si>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</si>
  <si>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</si>
  <si>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</si>
  <si>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</si>
  <si>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</si>
  <si>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</si>
  <si>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</si>
  <si>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</si>
  <si>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</si>
  <si>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</si>
  <si>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</si>
  <si>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</si>
  <si>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</si>
  <si>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</si>
  <si>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</si>
  <si>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</si>
  <si>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</si>
  <si>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</si>
  <si>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</si>
  <si>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</si>
  <si>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</si>
  <si>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</si>
  <si>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</si>
  <si>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</si>
  <si>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</si>
  <si>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</si>
  <si>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</si>
  <si>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</si>
  <si>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</si>
  <si>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</si>
  <si>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</si>
  <si>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</si>
  <si>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</si>
  <si>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</si>
  <si>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</si>
  <si>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</si>
  <si>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</si>
  <si>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</si>
  <si>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</si>
  <si>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</si>
  <si>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</si>
  <si>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</si>
  <si>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</si>
  <si>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</si>
  <si>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</si>
  <si>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</si>
  <si>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</si>
  <si>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</si>
  <si>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</si>
  <si>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</si>
  <si>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</si>
  <si>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</si>
  <si>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</si>
  <si>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</si>
  <si>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</si>
  <si>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</si>
  <si>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</si>
  <si>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</si>
  <si>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</si>
  <si>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</si>
  <si>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</si>
  <si>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</si>
  <si>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</si>
  <si>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</si>
  <si>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</si>
  <si>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</si>
  <si>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</si>
  <si>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</si>
  <si>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</si>
  <si>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</si>
  <si>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</si>
  <si>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</si>
  <si>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</si>
  <si>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</si>
  <si>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</si>
  <si>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</si>
  <si>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</si>
  <si>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</si>
  <si>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</si>
  <si>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</si>
  <si>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</si>
  <si>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</si>
  <si>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</si>
  <si>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</si>
  <si>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</si>
  <si>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</si>
  <si>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</si>
  <si>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</si>
  <si>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</si>
  <si>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</si>
  <si>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</si>
  <si>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</si>
  <si>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</si>
  <si>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</si>
  <si>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</si>
  <si>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</si>
  <si>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</si>
  <si>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</si>
  <si>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</si>
  <si>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</si>
  <si>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</si>
  <si>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</si>
  <si>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</si>
  <si>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</si>
  <si>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</si>
  <si>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</si>
  <si>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</si>
  <si>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</si>
  <si>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</si>
  <si>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</si>
  <si>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</si>
  <si>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</si>
  <si>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</si>
  <si>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</si>
  <si>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</si>
  <si>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</si>
  <si>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</si>
  <si>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</si>
  <si>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</si>
  <si>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</si>
  <si>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</si>
  <si>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</si>
  <si>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</si>
  <si>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</si>
  <si>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</si>
  <si>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</si>
  <si>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</si>
  <si>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</si>
  <si>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</si>
  <si>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</si>
  <si>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</si>
  <si>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</si>
  <si>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</si>
  <si>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</si>
  <si>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</si>
  <si>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</si>
  <si>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</si>
  <si>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</si>
  <si>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</si>
  <si>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</si>
  <si>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</si>
  <si>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</si>
  <si>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</si>
  <si>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</si>
  <si>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</si>
  <si>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</si>
  <si>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</si>
  <si>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</si>
  <si>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</si>
  <si>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</si>
  <si>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</si>
  <si>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</si>
  <si>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</si>
  <si>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</si>
  <si>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</si>
  <si>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</si>
  <si>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</si>
  <si>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</si>
  <si>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</si>
  <si>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</si>
  <si>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</si>
  <si>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</si>
  <si>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</si>
  <si>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</si>
  <si>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</si>
  <si>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</si>
  <si>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</si>
  <si>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</si>
  <si>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</si>
  <si>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</si>
  <si>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</si>
  <si>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</si>
  <si>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</si>
  <si>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</si>
  <si>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</si>
  <si>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</si>
  <si>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</si>
  <si>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</si>
  <si>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</si>
  <si>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</si>
  <si>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</si>
  <si>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</si>
  <si>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</si>
  <si>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</si>
  <si>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</si>
  <si>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</si>
  <si>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</si>
  <si>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</si>
  <si>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</si>
  <si>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</si>
  <si>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</si>
  <si>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</si>
  <si>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</si>
  <si>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</si>
  <si>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</si>
  <si>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</si>
  <si>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</si>
  <si>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</si>
  <si>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</si>
  <si>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</si>
  <si>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</si>
  <si>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</si>
  <si>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</si>
  <si>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</si>
  <si>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</si>
  <si>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</si>
  <si>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</si>
  <si>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</si>
  <si>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</si>
  <si>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</si>
  <si>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</si>
  <si>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</si>
  <si>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</si>
  <si>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</si>
  <si>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</si>
  <si>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</si>
  <si>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</si>
  <si>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</si>
  <si>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</si>
  <si>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</si>
  <si>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</si>
  <si>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</si>
  <si>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</si>
  <si>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</si>
  <si>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</si>
  <si>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</si>
  <si>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</si>
  <si>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</si>
  <si>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</si>
  <si>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</si>
  <si>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</si>
  <si>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</si>
  <si>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</si>
  <si>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</si>
  <si>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</si>
  <si>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</si>
  <si>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</si>
  <si>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</si>
  <si>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</si>
  <si>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</si>
  <si>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</si>
  <si>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</si>
  <si>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</si>
  <si>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</si>
  <si>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</si>
  <si>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</si>
  <si>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</si>
  <si>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</si>
  <si>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</si>
  <si>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</si>
  <si>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</si>
  <si>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</si>
  <si>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</si>
  <si>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</si>
  <si>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</si>
  <si>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</si>
  <si>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</si>
  <si>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</si>
  <si>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</si>
  <si>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</si>
  <si>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</si>
  <si>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</si>
  <si>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</si>
  <si>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</si>
  <si>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</si>
  <si>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</si>
  <si>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</si>
  <si>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</si>
  <si>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</si>
  <si>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</si>
  <si>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</si>
  <si>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</si>
  <si>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</si>
  <si>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</si>
  <si>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</si>
  <si>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</si>
  <si>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</si>
  <si>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</si>
  <si>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</si>
  <si>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</si>
  <si>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</si>
  <si>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</si>
  <si>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</si>
  <si>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</si>
  <si>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</si>
  <si>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</si>
  <si>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</si>
  <si>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</si>
  <si>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</si>
  <si>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</si>
  <si>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</si>
  <si>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</si>
  <si>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</si>
  <si>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</si>
  <si>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</si>
  <si>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</si>
  <si>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</si>
  <si>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</si>
  <si>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</si>
  <si>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</si>
  <si>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</si>
  <si>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</si>
  <si>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</si>
  <si>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</si>
  <si>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</si>
  <si>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</si>
  <si>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</si>
  <si>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</si>
  <si>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</si>
  <si>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</si>
  <si>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</si>
  <si>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</si>
  <si>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</si>
  <si>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</si>
  <si>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</si>
  <si>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</si>
  <si>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</si>
  <si>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</si>
  <si>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</si>
  <si>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</si>
  <si>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</si>
  <si>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</si>
  <si>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</si>
  <si>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</si>
  <si>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</si>
  <si>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</si>
  <si>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</si>
  <si>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</si>
  <si>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</si>
  <si>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</si>
  <si>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</si>
  <si>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</si>
  <si>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</si>
  <si>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</si>
  <si>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</si>
  <si>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</si>
  <si>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</si>
  <si>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</si>
  <si>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</si>
  <si>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</si>
  <si>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</si>
  <si>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</si>
  <si>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</si>
  <si>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</si>
  <si>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</si>
  <si>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</si>
  <si>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</si>
  <si>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</si>
  <si>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</si>
  <si>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</si>
  <si>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</si>
  <si>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</si>
  <si>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</si>
  <si>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</si>
  <si>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</si>
  <si>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</si>
  <si>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</si>
  <si>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</si>
  <si>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</si>
  <si>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</si>
  <si>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</si>
  <si>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</si>
  <si>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</si>
  <si>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</si>
  <si>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</si>
  <si>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</si>
  <si>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</si>
  <si>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</si>
  <si>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</si>
  <si>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</si>
  <si>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</si>
  <si>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</si>
  <si>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</si>
  <si>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</si>
  <si>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</si>
  <si>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</si>
  <si>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</si>
  <si>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</si>
  <si>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</si>
  <si>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</si>
  <si>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</si>
  <si>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</si>
  <si>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</si>
  <si>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</si>
  <si>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</si>
  <si>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</si>
  <si>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</si>
  <si>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</si>
  <si>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</si>
  <si>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</si>
  <si>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</si>
  <si>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</si>
  <si>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</si>
  <si>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</si>
  <si>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</si>
  <si>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</si>
  <si>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</si>
  <si>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</si>
  <si>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</si>
  <si>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</si>
  <si>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</si>
  <si>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</si>
  <si>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</si>
  <si>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</si>
  <si>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</si>
  <si>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</si>
  <si>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</si>
  <si>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</si>
  <si>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</si>
  <si>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</si>
  <si>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</si>
  <si>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</si>
  <si>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</si>
  <si>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</si>
  <si>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</si>
  <si>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</si>
  <si>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</si>
  <si>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</si>
  <si>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</si>
  <si>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</si>
  <si>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</si>
  <si>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</si>
  <si>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</si>
  <si>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</si>
  <si>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</si>
  <si>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</si>
  <si>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</si>
  <si>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</si>
  <si>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</si>
  <si>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</si>
  <si>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</si>
  <si>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</si>
  <si>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</si>
  <si>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</si>
  <si>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</si>
  <si>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</si>
  <si>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</si>
  <si>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</si>
  <si>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</si>
  <si>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</si>
  <si>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</si>
  <si>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</si>
  <si>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</si>
  <si>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</si>
  <si>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</si>
  <si>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</si>
  <si>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</si>
  <si>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</si>
  <si>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</si>
  <si>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</si>
  <si>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</si>
  <si>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</si>
  <si>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</si>
  <si>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</si>
  <si>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</si>
  <si>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</si>
  <si>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</si>
  <si>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</si>
  <si>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</si>
  <si>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</si>
  <si>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</si>
  <si>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</si>
  <si>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</si>
  <si>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</si>
  <si>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</si>
  <si>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</si>
  <si>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</si>
  <si>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</si>
  <si>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</si>
  <si>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</si>
  <si>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</si>
  <si>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</si>
  <si>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</si>
  <si>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</si>
  <si>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</si>
  <si>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</si>
  <si>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</si>
  <si>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</si>
  <si>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</si>
  <si>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</si>
  <si>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</si>
  <si>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</si>
  <si>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</si>
  <si>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</si>
  <si>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</si>
  <si>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</si>
  <si>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</si>
  <si>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</si>
  <si>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</si>
  <si>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</si>
  <si>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</si>
  <si>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</si>
  <si>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</si>
  <si>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</si>
  <si>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</si>
  <si>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</si>
  <si>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</si>
  <si>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</si>
  <si>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</si>
  <si>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</si>
  <si>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</si>
  <si>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</si>
  <si>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</si>
  <si>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</si>
  <si>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</si>
  <si>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</si>
  <si>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</si>
  <si>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</si>
  <si>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</si>
  <si>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</si>
  <si>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</si>
  <si>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</si>
  <si>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</si>
  <si>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</si>
  <si>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</si>
  <si>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</si>
  <si>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</si>
  <si>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</si>
  <si>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</si>
  <si>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</si>
  <si>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</si>
  <si>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</si>
  <si>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</si>
  <si>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</si>
  <si>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</si>
  <si>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</si>
  <si>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</si>
  <si>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</si>
  <si>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</si>
  <si>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</si>
  <si>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</si>
  <si>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</si>
  <si>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</si>
  <si>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</si>
  <si>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</si>
  <si>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</si>
  <si>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</si>
  <si>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</si>
  <si>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</si>
  <si>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</si>
  <si>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</si>
  <si>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</si>
  <si>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</si>
  <si>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</si>
  <si>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</si>
  <si>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</si>
  <si>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</si>
  <si>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</si>
  <si>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</si>
  <si>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</si>
  <si>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</si>
  <si>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</si>
  <si>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</si>
  <si>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</si>
  <si>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</si>
  <si>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</si>
  <si>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</si>
  <si>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</si>
  <si>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</si>
  <si>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</si>
  <si>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</si>
  <si>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</si>
  <si>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</si>
  <si>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</si>
  <si>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</si>
  <si>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</si>
  <si>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</si>
  <si>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</si>
  <si>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</si>
  <si>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</si>
  <si>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</si>
  <si>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</si>
  <si>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</si>
  <si>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</si>
  <si>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</si>
  <si>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</si>
  <si>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</si>
  <si>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</si>
  <si>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</si>
  <si>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</si>
  <si>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</si>
  <si>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</si>
  <si>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</si>
  <si>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</si>
  <si>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</si>
  <si>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</si>
  <si>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</si>
  <si>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</si>
  <si>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</si>
  <si>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</si>
  <si>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</si>
  <si>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</si>
  <si>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</si>
  <si>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</si>
  <si>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</si>
  <si>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</si>
  <si>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</si>
  <si>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</si>
  <si>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</si>
  <si>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</si>
  <si>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</si>
  <si>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</si>
  <si>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</si>
  <si>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</si>
  <si>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</si>
  <si>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</si>
  <si>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</si>
  <si>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</si>
  <si>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</si>
  <si>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</si>
  <si>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</si>
  <si>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</si>
  <si>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</si>
  <si>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</si>
  <si>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</si>
  <si>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</si>
  <si>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</si>
  <si>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</si>
  <si>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</si>
  <si>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</si>
  <si>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</si>
  <si>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</si>
  <si>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</si>
  <si>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</si>
  <si>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</si>
  <si>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</si>
  <si>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</si>
  <si>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</si>
  <si>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</si>
  <si>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</si>
  <si>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</si>
  <si>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</si>
  <si>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</si>
  <si>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</si>
  <si>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</si>
  <si>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</si>
  <si>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</si>
  <si>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</si>
  <si>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</si>
  <si>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</si>
  <si>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</si>
  <si>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</si>
  <si>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</si>
  <si>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</si>
  <si>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</si>
  <si>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</si>
  <si>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</si>
  <si>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</si>
  <si>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</si>
  <si>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</si>
  <si>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</si>
  <si>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</si>
  <si>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</si>
  <si>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</si>
  <si>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</si>
  <si>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</si>
  <si>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</si>
  <si>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</si>
  <si>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</si>
  <si>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</si>
  <si>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</si>
  <si>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</si>
  <si>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</si>
  <si>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</si>
  <si>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</si>
  <si>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</si>
  <si>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</si>
  <si>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</si>
  <si>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</si>
  <si>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</si>
  <si>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</si>
  <si>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</si>
  <si>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</si>
  <si>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</si>
  <si>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</si>
  <si>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</si>
  <si>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</si>
  <si>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</si>
  <si>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</si>
  <si>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</si>
  <si>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</si>
  <si>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</si>
  <si>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</si>
  <si>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</si>
  <si>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</si>
  <si>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</si>
  <si>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</si>
  <si>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</si>
  <si>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</si>
  <si>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</si>
  <si>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</si>
  <si>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</si>
  <si>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</si>
  <si>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</si>
  <si>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</si>
  <si>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</si>
  <si>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</si>
  <si>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</si>
  <si>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</si>
  <si>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</si>
  <si>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</si>
  <si>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</si>
  <si>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</si>
  <si>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</si>
  <si>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</si>
  <si>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</si>
  <si>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</si>
  <si>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</si>
  <si>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</si>
  <si>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</si>
  <si>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</si>
  <si>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</si>
  <si>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</si>
  <si>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</si>
  <si>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</si>
  <si>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</si>
  <si>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</si>
  <si>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</si>
  <si>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</si>
  <si>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</si>
  <si>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</si>
  <si>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</si>
  <si>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</si>
  <si>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</si>
  <si>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</si>
  <si>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</si>
  <si>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</si>
  <si>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</si>
  <si>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</si>
  <si>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</si>
  <si>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</si>
  <si>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</si>
  <si>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</si>
  <si>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</si>
  <si>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</si>
  <si>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</si>
  <si>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</si>
  <si>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</si>
  <si>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</si>
  <si>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</si>
  <si>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</si>
  <si>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</si>
  <si>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</si>
  <si>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</si>
  <si>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</si>
  <si>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</si>
  <si>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</si>
  <si>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</si>
  <si>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</si>
  <si>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</si>
  <si>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</si>
  <si>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</si>
  <si>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</si>
  <si>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</si>
  <si>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</si>
  <si>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</si>
  <si>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</si>
  <si>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</si>
  <si>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</si>
  <si>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</si>
  <si>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</si>
  <si>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</si>
  <si>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</si>
  <si>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</si>
  <si>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</si>
  <si>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</si>
  <si>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</si>
  <si>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</si>
  <si>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</si>
  <si>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</si>
  <si>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</si>
  <si>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</si>
  <si>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</si>
  <si>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</si>
  <si>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</si>
  <si>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</si>
  <si>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</si>
  <si>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</si>
  <si>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</si>
  <si>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</si>
  <si>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</si>
  <si>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</si>
  <si>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</si>
  <si>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</si>
  <si>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</si>
  <si>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</si>
  <si>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</si>
  <si>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</si>
  <si>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</si>
  <si>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</si>
  <si>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</si>
  <si>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</si>
  <si>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</si>
  <si>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</si>
  <si>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</si>
  <si>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</si>
  <si>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</si>
  <si>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</si>
  <si>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</si>
  <si>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</si>
  <si>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</si>
  <si>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</si>
  <si>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</si>
  <si>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</si>
  <si>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</si>
  <si>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</si>
  <si>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</si>
  <si>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</si>
  <si>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</si>
  <si>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</si>
  <si>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</si>
  <si>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</si>
  <si>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</si>
  <si>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</si>
  <si>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</si>
  <si>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</si>
  <si>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</si>
  <si>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</si>
  <si>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</si>
  <si>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</si>
  <si>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</si>
  <si>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</si>
  <si>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</si>
  <si>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</si>
  <si>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</si>
  <si>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</si>
  <si>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</si>
  <si>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</si>
  <si>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</si>
  <si>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</si>
  <si>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</si>
  <si>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</si>
  <si>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</si>
  <si>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</si>
  <si>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</si>
  <si>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</si>
  <si>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</si>
  <si>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</si>
  <si>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</si>
  <si>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</si>
  <si>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</si>
  <si>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</si>
  <si>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</si>
  <si>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</si>
  <si>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</si>
  <si>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</si>
  <si>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</si>
  <si>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</si>
  <si>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</si>
  <si>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</si>
  <si>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</si>
  <si>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</si>
  <si>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</si>
  <si>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</si>
  <si>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</si>
  <si>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</si>
  <si>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</si>
  <si>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</si>
  <si>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</si>
  <si>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</si>
  <si>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</si>
  <si>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</si>
  <si>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</si>
  <si>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</si>
  <si>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</si>
  <si>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</si>
  <si>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</si>
  <si>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</si>
  <si>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</si>
  <si>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</si>
  <si>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</si>
  <si>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</si>
  <si>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</si>
  <si>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</si>
  <si>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</si>
  <si>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</si>
  <si>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</si>
  <si>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</si>
  <si>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</si>
  <si>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</si>
  <si>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</si>
  <si>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</si>
  <si>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</si>
  <si>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</si>
  <si>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</si>
  <si>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</si>
  <si>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</si>
  <si>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</si>
  <si>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</si>
  <si>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</si>
  <si>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</si>
  <si>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</si>
  <si>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</si>
  <si>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</si>
  <si>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</si>
  <si>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</si>
  <si>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</si>
  <si>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</si>
  <si>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</si>
  <si>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</si>
  <si>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</si>
  <si>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</si>
  <si>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</si>
  <si>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</si>
  <si>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</si>
  <si>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</si>
  <si>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</si>
  <si>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</si>
  <si>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</si>
  <si>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</si>
  <si>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</si>
  <si>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</si>
  <si>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</si>
  <si>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</si>
  <si>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</si>
  <si>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</si>
  <si>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</si>
  <si>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</si>
  <si>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</si>
  <si>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</si>
  <si>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</si>
  <si>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</si>
  <si>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</si>
  <si>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</si>
  <si>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</si>
  <si>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</si>
  <si>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</si>
  <si>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</si>
  <si>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</si>
  <si>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</si>
  <si>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</si>
  <si>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</si>
  <si>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</si>
  <si>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</si>
  <si>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</si>
  <si>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</si>
  <si>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</si>
  <si>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</si>
  <si>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</si>
  <si>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</si>
  <si>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</si>
  <si>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</si>
  <si>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</si>
  <si>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</si>
  <si>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</si>
  <si>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</si>
  <si>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</si>
  <si>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</si>
  <si>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</si>
  <si>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</si>
  <si>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</si>
  <si>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</si>
  <si>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</si>
  <si>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</si>
  <si>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</si>
  <si>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</si>
  <si>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</si>
  <si>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</si>
  <si>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</si>
  <si>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</si>
  <si>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</si>
  <si>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</si>
  <si>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</si>
  <si>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</si>
  <si>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</si>
  <si>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</si>
  <si>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</si>
  <si>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</si>
  <si>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</si>
  <si>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</si>
  <si>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</si>
  <si>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</si>
  <si>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</si>
  <si>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</si>
  <si>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</si>
  <si>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</si>
  <si>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</si>
  <si>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</si>
  <si>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</si>
  <si>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</si>
  <si>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</si>
  <si>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</si>
  <si>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</si>
  <si>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</si>
  <si>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</si>
  <si>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</si>
  <si>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</si>
  <si>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</si>
  <si>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</si>
  <si>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</si>
  <si>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</si>
  <si>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</si>
  <si>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</si>
  <si>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</si>
  <si>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</si>
  <si>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</si>
  <si>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</si>
  <si>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</si>
  <si>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</si>
  <si>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</si>
  <si>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</si>
  <si>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</si>
  <si>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</si>
  <si>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</si>
  <si>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</si>
  <si>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</si>
  <si>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</si>
  <si>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</si>
  <si>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</si>
  <si>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</si>
  <si>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</si>
  <si>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</si>
  <si>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</si>
  <si>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</si>
  <si>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</si>
  <si>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</si>
  <si>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</si>
  <si>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</si>
  <si>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</si>
  <si>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</si>
  <si>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</si>
  <si>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</si>
  <si>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</si>
  <si>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</si>
  <si>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</si>
  <si>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</si>
  <si>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</si>
  <si>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</si>
  <si>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</si>
  <si>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</si>
  <si>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</si>
  <si>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</si>
  <si>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</si>
  <si>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</si>
  <si>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</si>
  <si>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</si>
  <si>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</si>
  <si>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</si>
  <si>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</si>
  <si>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</si>
  <si>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</si>
  <si>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</si>
  <si>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</si>
  <si>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</si>
  <si>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</si>
  <si>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</si>
  <si>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301459.SZ</t>
  </si>
  <si>
    <t>丰茂股份</t>
  </si>
  <si>
    <t>301468.SZ</t>
  </si>
  <si>
    <t>博盈特焊</t>
  </si>
  <si>
    <t>301469.SZ</t>
  </si>
  <si>
    <t>恒达新材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</si>
  <si>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</si>
  <si>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</si>
  <si>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</si>
  <si>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</si>
  <si>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</si>
  <si>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</si>
  <si>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</si>
  <si>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</si>
  <si>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301498.SZ</t>
  </si>
  <si>
    <t>乖宝宠物</t>
  </si>
  <si>
    <t>301499.SZ</t>
  </si>
  <si>
    <t>维科精密</t>
  </si>
  <si>
    <t>301500.SZ</t>
  </si>
  <si>
    <t>飞南资源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</si>
  <si>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</si>
  <si>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</si>
  <si>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</si>
  <si>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</si>
  <si>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</si>
  <si>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</si>
  <si>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</si>
  <si>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</si>
  <si>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</si>
  <si>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</si>
  <si>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</si>
  <si>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</si>
  <si>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</si>
  <si>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</si>
  <si>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</si>
  <si>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</si>
  <si>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</si>
  <si>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</si>
  <si>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</si>
  <si>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</si>
  <si>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</si>
  <si>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</si>
  <si>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</si>
  <si>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</si>
  <si>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</si>
  <si>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</si>
  <si>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</si>
  <si>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</si>
  <si>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</si>
  <si>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</si>
  <si>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</si>
  <si>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</si>
  <si>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</si>
  <si>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</si>
  <si>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</si>
  <si>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</si>
  <si>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</si>
  <si>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</si>
  <si>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</si>
  <si>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</si>
  <si>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301538.SZ</t>
  </si>
  <si>
    <t>301548.SZ</t>
  </si>
  <si>
    <t>崇德科技</t>
  </si>
  <si>
    <t>301550.SZ</t>
  </si>
  <si>
    <t>301555.SZ</t>
  </si>
  <si>
    <t>惠柏新材</t>
  </si>
  <si>
    <t>301558.SZ</t>
  </si>
  <si>
    <t>三态股份</t>
  </si>
  <si>
    <t>301559.SZ</t>
  </si>
  <si>
    <t>中集环科</t>
  </si>
  <si>
    <t>301566.SZ</t>
  </si>
  <si>
    <t>达利凯普</t>
  </si>
  <si>
    <t>301567.SZ</t>
  </si>
  <si>
    <t>贝隆精密</t>
  </si>
  <si>
    <t>301568.SZ</t>
  </si>
  <si>
    <t>思泰克</t>
  </si>
  <si>
    <t>301577.SZ</t>
  </si>
  <si>
    <t>美信科技</t>
  </si>
  <si>
    <t>301578.SZ</t>
  </si>
  <si>
    <t>辰奕智能</t>
  </si>
  <si>
    <t>301588.SZ</t>
  </si>
  <si>
    <t>美新科技</t>
  </si>
  <si>
    <t>301589.SZ</t>
  </si>
  <si>
    <t>诺瓦星云</t>
  </si>
  <si>
    <t>301591.SZ</t>
  </si>
  <si>
    <t>肯特股份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</si>
  <si>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</si>
  <si>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</si>
  <si>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</si>
  <si>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</si>
  <si>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</si>
  <si>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</si>
  <si>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</si>
  <si>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</si>
  <si>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</si>
  <si>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</si>
  <si>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佳先股份</t>
  </si>
  <si>
    <t>丰光精密</t>
  </si>
  <si>
    <t>雅达股份</t>
  </si>
  <si>
    <t>天润科技</t>
  </si>
  <si>
    <t>新芝生物</t>
  </si>
  <si>
    <t>合肥高科</t>
  </si>
  <si>
    <t>600000.SH</t>
  </si>
  <si>
    <t>浦发银行</t>
  </si>
  <si>
    <t>600004.SH</t>
  </si>
  <si>
    <t>白云机场</t>
  </si>
  <si>
    <t>600006.SH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</si>
  <si>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</si>
  <si>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</si>
  <si>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</si>
  <si>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</si>
  <si>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</si>
  <si>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</si>
  <si>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</si>
  <si>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</si>
  <si>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</si>
  <si>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</si>
  <si>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</si>
  <si>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</si>
  <si>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</si>
  <si>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</si>
  <si>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</si>
  <si>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</si>
  <si>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</si>
  <si>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</si>
  <si>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</si>
  <si>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</si>
  <si>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</si>
  <si>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</si>
  <si>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</si>
  <si>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</si>
  <si>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</si>
  <si>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</si>
  <si>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</si>
  <si>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</si>
  <si>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</si>
  <si>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</si>
  <si>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</si>
  <si>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</si>
  <si>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</si>
  <si>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</si>
  <si>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</si>
  <si>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</si>
  <si>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</si>
  <si>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</si>
  <si>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</si>
  <si>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</si>
  <si>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</si>
  <si>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</si>
  <si>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</si>
  <si>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</si>
  <si>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</si>
  <si>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</si>
  <si>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</si>
  <si>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</si>
  <si>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</si>
  <si>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</si>
  <si>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</si>
  <si>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</si>
  <si>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</si>
  <si>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</si>
  <si>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</si>
  <si>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</si>
  <si>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</si>
  <si>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</si>
  <si>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</si>
  <si>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</si>
  <si>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</si>
  <si>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</si>
  <si>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</si>
  <si>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</si>
  <si>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</si>
  <si>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</si>
  <si>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</si>
  <si>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</si>
  <si>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</si>
  <si>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</si>
  <si>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</si>
  <si>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</si>
  <si>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</si>
  <si>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</si>
  <si>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</si>
  <si>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</si>
  <si>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</si>
  <si>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</si>
  <si>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</si>
  <si>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</si>
  <si>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</si>
  <si>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</si>
  <si>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</si>
  <si>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</si>
  <si>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</si>
  <si>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</si>
  <si>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</si>
  <si>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</si>
  <si>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</si>
  <si>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</si>
  <si>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</si>
  <si>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</si>
  <si>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</si>
  <si>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600071.SH</t>
  </si>
  <si>
    <t>凤凰光学</t>
  </si>
  <si>
    <t>600072.SH</t>
  </si>
  <si>
    <t>中船科技</t>
  </si>
  <si>
    <t>600073.SH</t>
  </si>
  <si>
    <t>600075.SH</t>
  </si>
  <si>
    <t>新疆天业</t>
  </si>
  <si>
    <t>600076.SH</t>
  </si>
  <si>
    <t>康欣新材</t>
  </si>
  <si>
    <t>600078.SH</t>
  </si>
  <si>
    <t>600079.SH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</si>
  <si>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</si>
  <si>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</si>
  <si>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</si>
  <si>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</si>
  <si>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</si>
  <si>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</si>
  <si>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</si>
  <si>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</si>
  <si>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</si>
  <si>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</si>
  <si>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</si>
  <si>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</si>
  <si>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</si>
  <si>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</si>
  <si>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</si>
  <si>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</si>
  <si>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</si>
  <si>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</si>
  <si>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</si>
  <si>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</si>
  <si>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</si>
  <si>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</si>
  <si>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</si>
  <si>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</si>
  <si>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</si>
  <si>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</si>
  <si>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</si>
  <si>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</si>
  <si>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</si>
  <si>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</si>
  <si>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</si>
  <si>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</si>
  <si>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</si>
  <si>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</si>
  <si>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</si>
  <si>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</si>
  <si>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</si>
  <si>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</si>
  <si>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</si>
  <si>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</si>
  <si>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</si>
  <si>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</si>
  <si>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</si>
  <si>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</si>
  <si>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</si>
  <si>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</si>
  <si>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</si>
  <si>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</si>
  <si>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</si>
  <si>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</si>
  <si>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</si>
  <si>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</si>
  <si>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</si>
  <si>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</si>
  <si>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</si>
  <si>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</si>
  <si>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</si>
  <si>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</si>
  <si>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</si>
  <si>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</si>
  <si>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</si>
  <si>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</si>
  <si>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</si>
  <si>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</si>
  <si>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</si>
  <si>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</si>
  <si>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</si>
  <si>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</si>
  <si>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</si>
  <si>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</si>
  <si>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</si>
  <si>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</si>
  <si>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</si>
  <si>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</si>
  <si>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</si>
  <si>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</si>
  <si>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</si>
  <si>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</si>
  <si>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</si>
  <si>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</si>
  <si>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</si>
  <si>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</si>
  <si>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</si>
  <si>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</si>
  <si>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</si>
  <si>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</si>
  <si>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</si>
  <si>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</si>
  <si>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</si>
  <si>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</si>
  <si>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</si>
  <si>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</si>
  <si>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</si>
  <si>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</si>
  <si>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</si>
  <si>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</si>
  <si>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</si>
  <si>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</si>
  <si>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</si>
  <si>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</si>
  <si>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</si>
  <si>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</si>
  <si>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</si>
  <si>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</si>
  <si>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</si>
  <si>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</si>
  <si>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</si>
  <si>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</si>
  <si>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</si>
  <si>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</si>
  <si>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</si>
  <si>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</si>
  <si>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</si>
  <si>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</si>
  <si>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</si>
  <si>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</si>
  <si>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</si>
  <si>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</si>
  <si>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</si>
  <si>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</si>
  <si>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</si>
  <si>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</si>
  <si>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</si>
  <si>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</si>
  <si>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</si>
  <si>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</si>
  <si>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</si>
  <si>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</si>
  <si>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</si>
  <si>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</si>
  <si>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</si>
  <si>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</si>
  <si>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</si>
  <si>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</si>
  <si>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</si>
  <si>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</si>
  <si>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</si>
  <si>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</si>
  <si>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</si>
  <si>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</si>
  <si>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</si>
  <si>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</si>
  <si>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</si>
  <si>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</si>
  <si>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</si>
  <si>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</si>
  <si>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</si>
  <si>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</si>
  <si>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</si>
  <si>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</si>
  <si>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</si>
  <si>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</si>
  <si>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</si>
  <si>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</si>
  <si>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</si>
  <si>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</si>
  <si>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600186.SH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</si>
  <si>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</si>
  <si>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</si>
  <si>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</si>
  <si>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</si>
  <si>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</si>
  <si>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</si>
  <si>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</si>
  <si>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</si>
  <si>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</si>
  <si>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</si>
  <si>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</si>
  <si>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</si>
  <si>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</si>
  <si>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</si>
  <si>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</si>
  <si>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</si>
  <si>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</si>
  <si>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</si>
  <si>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</si>
  <si>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</si>
  <si>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</si>
  <si>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</si>
  <si>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</si>
  <si>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</si>
  <si>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</si>
  <si>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</si>
  <si>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</si>
  <si>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</si>
  <si>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</si>
  <si>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</si>
  <si>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</si>
  <si>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</si>
  <si>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</si>
  <si>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</si>
  <si>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</si>
  <si>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</si>
  <si>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</si>
  <si>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</si>
  <si>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</si>
  <si>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</si>
  <si>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</si>
  <si>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</si>
  <si>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</si>
  <si>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</si>
  <si>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</si>
  <si>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</si>
  <si>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</si>
  <si>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</si>
  <si>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</si>
  <si>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</si>
  <si>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</si>
  <si>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</si>
  <si>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</si>
  <si>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</si>
  <si>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</si>
  <si>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600227.SH</t>
  </si>
  <si>
    <t>赤天化</t>
  </si>
  <si>
    <t>600228.SH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</si>
  <si>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</si>
  <si>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</si>
  <si>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</si>
  <si>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</si>
  <si>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</si>
  <si>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</si>
  <si>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</si>
  <si>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</si>
  <si>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</si>
  <si>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</si>
  <si>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</si>
  <si>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</si>
  <si>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</si>
  <si>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</si>
  <si>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</si>
  <si>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</si>
  <si>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</si>
  <si>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</si>
  <si>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</si>
  <si>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600239.SH</t>
  </si>
  <si>
    <t>云南城投</t>
  </si>
  <si>
    <t>600241.SH</t>
  </si>
  <si>
    <t>时代万恒</t>
  </si>
  <si>
    <t>600243.SH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</si>
  <si>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</si>
  <si>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</si>
  <si>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</si>
  <si>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</si>
  <si>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</si>
  <si>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</si>
  <si>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</si>
  <si>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</si>
  <si>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</si>
  <si>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</si>
  <si>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</si>
  <si>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</si>
  <si>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</si>
  <si>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</si>
  <si>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</si>
  <si>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</si>
  <si>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</si>
  <si>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</si>
  <si>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</si>
  <si>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</si>
  <si>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</si>
  <si>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</si>
  <si>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</si>
  <si>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</si>
  <si>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</si>
  <si>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</si>
  <si>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</si>
  <si>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</si>
  <si>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</si>
  <si>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</si>
  <si>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</si>
  <si>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</si>
  <si>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</si>
  <si>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</si>
  <si>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</si>
  <si>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</si>
  <si>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</si>
  <si>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</si>
  <si>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</si>
  <si>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</si>
  <si>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</si>
  <si>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</si>
  <si>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</si>
  <si>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</si>
  <si>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</si>
  <si>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</si>
  <si>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</si>
  <si>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</si>
  <si>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</si>
  <si>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</si>
  <si>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</si>
  <si>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</si>
  <si>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</si>
  <si>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</si>
  <si>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</si>
  <si>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</si>
  <si>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</si>
  <si>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</si>
  <si>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</si>
  <si>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</si>
  <si>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600288.SH</t>
  </si>
  <si>
    <t>大恒科技</t>
  </si>
  <si>
    <t>600289.SH</t>
  </si>
  <si>
    <t>ST信通</t>
  </si>
  <si>
    <t>600292.SH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</si>
  <si>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</si>
  <si>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</si>
  <si>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</si>
  <si>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</si>
  <si>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</si>
  <si>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</si>
  <si>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</si>
  <si>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</si>
  <si>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</si>
  <si>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</si>
  <si>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</si>
  <si>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</si>
  <si>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</si>
  <si>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</si>
  <si>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</si>
  <si>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</si>
  <si>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</si>
  <si>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</si>
  <si>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</si>
  <si>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</si>
  <si>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</si>
  <si>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</si>
  <si>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</si>
  <si>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</si>
  <si>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</si>
  <si>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</si>
  <si>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</si>
  <si>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</si>
  <si>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</si>
  <si>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</si>
  <si>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</si>
  <si>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</si>
  <si>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</si>
  <si>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</si>
  <si>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</si>
  <si>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</si>
  <si>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</si>
  <si>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</si>
  <si>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</si>
  <si>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</si>
  <si>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</si>
  <si>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</si>
  <si>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</si>
  <si>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</si>
  <si>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</si>
  <si>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</si>
  <si>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</si>
  <si>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</si>
  <si>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</si>
  <si>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</si>
  <si>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</si>
  <si>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</si>
  <si>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</si>
  <si>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</si>
  <si>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</si>
  <si>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</si>
  <si>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</si>
  <si>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</si>
  <si>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</si>
  <si>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</si>
  <si>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</si>
  <si>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</si>
  <si>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</si>
  <si>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</si>
  <si>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</si>
  <si>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</si>
  <si>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</si>
  <si>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</si>
  <si>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</si>
  <si>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</si>
  <si>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</si>
  <si>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</si>
  <si>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</si>
  <si>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</si>
  <si>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</si>
  <si>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</si>
  <si>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</si>
  <si>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</si>
  <si>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</si>
  <si>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</si>
  <si>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</si>
  <si>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</si>
  <si>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</si>
  <si>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</si>
  <si>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</si>
  <si>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</si>
  <si>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</si>
  <si>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</si>
  <si>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</si>
  <si>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</si>
  <si>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</si>
  <si>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</si>
  <si>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600356.SH</t>
  </si>
  <si>
    <t>恒丰纸业</t>
  </si>
  <si>
    <t>600358.SH</t>
  </si>
  <si>
    <t>600359.SH</t>
  </si>
  <si>
    <t>新农开发</t>
  </si>
  <si>
    <t>600360.SH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</si>
  <si>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</si>
  <si>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</si>
  <si>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</si>
  <si>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</si>
  <si>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</si>
  <si>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</si>
  <si>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</si>
  <si>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</si>
  <si>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</si>
  <si>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</si>
  <si>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</si>
  <si>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</si>
  <si>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</si>
  <si>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</si>
  <si>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</si>
  <si>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</si>
  <si>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</si>
  <si>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</si>
  <si>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</si>
  <si>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</si>
  <si>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</si>
  <si>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</si>
  <si>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</si>
  <si>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</si>
  <si>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</si>
  <si>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</si>
  <si>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</si>
  <si>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</si>
  <si>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</si>
  <si>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</si>
  <si>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</si>
  <si>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</si>
  <si>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</si>
  <si>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</si>
  <si>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</si>
  <si>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</si>
  <si>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</si>
  <si>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</si>
  <si>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</si>
  <si>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</si>
  <si>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</si>
  <si>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</si>
  <si>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</si>
  <si>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</si>
  <si>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</si>
  <si>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</si>
  <si>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</si>
  <si>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</si>
  <si>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</si>
  <si>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</si>
  <si>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</si>
  <si>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</si>
  <si>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</si>
  <si>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</si>
  <si>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</si>
  <si>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600397.SH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</si>
  <si>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</si>
  <si>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</si>
  <si>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</si>
  <si>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</si>
  <si>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</si>
  <si>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</si>
  <si>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</si>
  <si>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</si>
  <si>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</si>
  <si>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</si>
  <si>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</si>
  <si>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</si>
  <si>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</si>
  <si>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</si>
  <si>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</si>
  <si>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</si>
  <si>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</si>
  <si>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</si>
  <si>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</si>
  <si>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</si>
  <si>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</si>
  <si>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</si>
  <si>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</si>
  <si>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</si>
  <si>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</si>
  <si>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</si>
  <si>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</si>
  <si>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</si>
  <si>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</si>
  <si>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</si>
  <si>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</si>
  <si>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</si>
  <si>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</si>
  <si>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</si>
  <si>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</si>
  <si>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</si>
  <si>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</si>
  <si>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</si>
  <si>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</si>
  <si>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</si>
  <si>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</si>
  <si>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</si>
  <si>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</si>
  <si>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</si>
  <si>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</si>
  <si>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</si>
  <si>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</si>
  <si>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</si>
  <si>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</si>
  <si>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</si>
  <si>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</si>
  <si>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</si>
  <si>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</si>
  <si>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</si>
  <si>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</si>
  <si>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</si>
  <si>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</si>
  <si>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</si>
  <si>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</si>
  <si>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</si>
  <si>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</si>
  <si>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</si>
  <si>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</si>
  <si>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</si>
  <si>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</si>
  <si>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</si>
  <si>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</si>
  <si>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</si>
  <si>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</si>
  <si>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</si>
  <si>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</si>
  <si>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</si>
  <si>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</si>
  <si>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</si>
  <si>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</si>
  <si>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</si>
  <si>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</si>
  <si>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</si>
  <si>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</si>
  <si>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</si>
  <si>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</si>
  <si>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</si>
  <si>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</si>
  <si>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</si>
  <si>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</si>
  <si>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</si>
  <si>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</si>
  <si>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</si>
  <si>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</si>
  <si>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</si>
  <si>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</si>
  <si>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</si>
  <si>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</si>
  <si>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</si>
  <si>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</si>
  <si>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</si>
  <si>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</si>
  <si>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</si>
  <si>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</si>
  <si>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</si>
  <si>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</si>
  <si>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</si>
  <si>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</si>
  <si>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</si>
  <si>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</si>
  <si>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</si>
  <si>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</si>
  <si>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</si>
  <si>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</si>
  <si>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</si>
  <si>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</si>
  <si>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</si>
  <si>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</si>
  <si>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</si>
  <si>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</si>
  <si>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</si>
  <si>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</si>
  <si>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</si>
  <si>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</si>
  <si>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</si>
  <si>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</si>
  <si>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</si>
  <si>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</si>
  <si>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</si>
  <si>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</si>
  <si>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</si>
  <si>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</si>
  <si>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</si>
  <si>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</si>
  <si>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</si>
  <si>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</si>
  <si>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</si>
  <si>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</si>
  <si>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</si>
  <si>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</si>
  <si>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</si>
  <si>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</si>
  <si>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</si>
  <si>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</si>
  <si>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</si>
  <si>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</si>
  <si>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</si>
  <si>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</si>
  <si>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</si>
  <si>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</si>
  <si>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</si>
  <si>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</si>
  <si>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</si>
  <si>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</si>
  <si>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</si>
  <si>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</si>
  <si>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</si>
  <si>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</si>
  <si>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</si>
  <si>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</si>
  <si>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</si>
  <si>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</si>
  <si>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</si>
  <si>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600519.SH</t>
  </si>
  <si>
    <t>贵州茅台</t>
  </si>
  <si>
    <t>600520.SH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</si>
  <si>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</si>
  <si>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</si>
  <si>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</si>
  <si>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</si>
  <si>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</si>
  <si>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</si>
  <si>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</si>
  <si>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</si>
  <si>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</si>
  <si>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</si>
  <si>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</si>
  <si>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</si>
  <si>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</si>
  <si>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</si>
  <si>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</si>
  <si>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</si>
  <si>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</si>
  <si>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</si>
  <si>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</si>
  <si>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</si>
  <si>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</si>
  <si>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</si>
  <si>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</si>
  <si>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</si>
  <si>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</si>
  <si>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</si>
  <si>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</si>
  <si>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</si>
  <si>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</si>
  <si>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</si>
  <si>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</si>
  <si>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</si>
  <si>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</si>
  <si>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</si>
  <si>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</si>
  <si>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</si>
  <si>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</si>
  <si>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</si>
  <si>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</si>
  <si>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</si>
  <si>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</si>
  <si>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</si>
  <si>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</si>
  <si>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</si>
  <si>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</si>
  <si>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</si>
  <si>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</si>
  <si>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</si>
  <si>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</si>
  <si>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</si>
  <si>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</si>
  <si>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</si>
  <si>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</si>
  <si>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</si>
  <si>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</si>
  <si>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</si>
  <si>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</si>
  <si>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</si>
  <si>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</si>
  <si>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</si>
  <si>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</si>
  <si>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</si>
  <si>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</si>
  <si>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</si>
  <si>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</si>
  <si>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</si>
  <si>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</si>
  <si>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</si>
  <si>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</si>
  <si>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</si>
  <si>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</si>
  <si>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</si>
  <si>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</si>
  <si>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</si>
  <si>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</si>
  <si>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</si>
  <si>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</si>
  <si>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</si>
  <si>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</si>
  <si>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</si>
  <si>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</si>
  <si>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</si>
  <si>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</si>
  <si>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</si>
  <si>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</si>
  <si>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</si>
  <si>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</si>
  <si>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</si>
  <si>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</si>
  <si>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</si>
  <si>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</si>
  <si>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</si>
  <si>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</si>
  <si>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</si>
  <si>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</si>
  <si>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</si>
  <si>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</si>
  <si>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</si>
  <si>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</si>
  <si>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</si>
  <si>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</si>
  <si>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</si>
  <si>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</si>
  <si>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</si>
  <si>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</si>
  <si>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</si>
  <si>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</si>
  <si>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</si>
  <si>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</si>
  <si>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</si>
  <si>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</si>
  <si>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</si>
  <si>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</si>
  <si>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</si>
  <si>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</si>
  <si>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</si>
  <si>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</si>
  <si>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</si>
  <si>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</si>
  <si>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</si>
  <si>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</si>
  <si>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</si>
  <si>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</si>
  <si>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</si>
  <si>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</si>
  <si>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</si>
  <si>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</si>
  <si>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</si>
  <si>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</si>
  <si>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</si>
  <si>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</si>
  <si>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</si>
  <si>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</si>
  <si>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</si>
  <si>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</si>
  <si>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</si>
  <si>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</si>
  <si>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</si>
  <si>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</si>
  <si>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</si>
  <si>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</si>
  <si>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</si>
  <si>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</si>
  <si>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</si>
  <si>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</si>
  <si>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</si>
  <si>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</si>
  <si>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</si>
  <si>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</si>
  <si>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</si>
  <si>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</si>
  <si>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</si>
  <si>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</si>
  <si>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</si>
  <si>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</si>
  <si>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</si>
  <si>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</si>
  <si>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</si>
  <si>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</si>
  <si>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</si>
  <si>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</si>
  <si>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</si>
  <si>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</si>
  <si>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</si>
  <si>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</si>
  <si>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</si>
  <si>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</si>
  <si>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</si>
  <si>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</si>
  <si>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</si>
  <si>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</si>
  <si>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</si>
  <si>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</si>
  <si>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</si>
  <si>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</si>
  <si>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</si>
  <si>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</si>
  <si>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</si>
  <si>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</si>
  <si>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</si>
  <si>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</si>
  <si>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</si>
  <si>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</si>
  <si>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</si>
  <si>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</si>
  <si>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</si>
  <si>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</si>
  <si>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</si>
  <si>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</si>
  <si>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</si>
  <si>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</si>
  <si>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</si>
  <si>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</si>
  <si>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</si>
  <si>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</si>
  <si>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</si>
  <si>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</si>
  <si>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</si>
  <si>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</si>
  <si>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</si>
  <si>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</si>
  <si>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</si>
  <si>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</si>
  <si>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</si>
  <si>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</si>
  <si>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</si>
  <si>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</si>
  <si>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</si>
  <si>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</si>
  <si>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</si>
  <si>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</si>
  <si>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</si>
  <si>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</si>
  <si>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</si>
  <si>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</si>
  <si>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</si>
  <si>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</si>
  <si>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</si>
  <si>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</si>
  <si>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</si>
  <si>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</si>
  <si>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</si>
  <si>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</si>
  <si>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</si>
  <si>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</si>
  <si>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</si>
  <si>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</si>
  <si>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</si>
  <si>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</si>
  <si>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600667.SH</t>
  </si>
  <si>
    <t>太极实业</t>
  </si>
  <si>
    <t>600668.SH</t>
  </si>
  <si>
    <t>尖峰集团</t>
  </si>
  <si>
    <t>600671.SH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</si>
  <si>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</si>
  <si>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</si>
  <si>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</si>
  <si>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</si>
  <si>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</si>
  <si>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</si>
  <si>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</si>
  <si>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</si>
  <si>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</si>
  <si>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</si>
  <si>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</si>
  <si>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</si>
  <si>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</si>
  <si>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</si>
  <si>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</si>
  <si>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</si>
  <si>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</si>
  <si>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</si>
  <si>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</si>
  <si>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</si>
  <si>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</si>
  <si>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</si>
  <si>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</si>
  <si>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</si>
  <si>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</si>
  <si>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</si>
  <si>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</si>
  <si>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</si>
  <si>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</si>
  <si>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</si>
  <si>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</si>
  <si>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</si>
  <si>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</si>
  <si>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</si>
  <si>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</si>
  <si>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</si>
  <si>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</si>
  <si>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</si>
  <si>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</si>
  <si>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</si>
  <si>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</si>
  <si>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</si>
  <si>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</si>
  <si>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</si>
  <si>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</si>
  <si>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</si>
  <si>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</si>
  <si>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</si>
  <si>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</si>
  <si>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</si>
  <si>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</si>
  <si>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</si>
  <si>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</si>
  <si>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</si>
  <si>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</si>
  <si>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</si>
  <si>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</si>
  <si>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</si>
  <si>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</si>
  <si>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</si>
  <si>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</si>
  <si>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</si>
  <si>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</si>
  <si>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</si>
  <si>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</si>
  <si>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</si>
  <si>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</si>
  <si>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</si>
  <si>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</si>
  <si>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</si>
  <si>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</si>
  <si>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</si>
  <si>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</si>
  <si>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</si>
  <si>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</si>
  <si>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</si>
  <si>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</si>
  <si>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</si>
  <si>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</si>
  <si>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</si>
  <si>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</si>
  <si>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</si>
  <si>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</si>
  <si>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</si>
  <si>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</si>
  <si>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</si>
  <si>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</si>
  <si>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</si>
  <si>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</si>
  <si>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</si>
  <si>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</si>
  <si>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</si>
  <si>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</si>
  <si>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</si>
  <si>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</si>
  <si>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</si>
  <si>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</si>
  <si>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</si>
  <si>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</si>
  <si>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</si>
  <si>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</si>
  <si>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</si>
  <si>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</si>
  <si>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600735.SH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</si>
  <si>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</si>
  <si>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</si>
  <si>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</si>
  <si>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</si>
  <si>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</si>
  <si>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</si>
  <si>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</si>
  <si>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</si>
  <si>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</si>
  <si>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</si>
  <si>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</si>
  <si>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</si>
  <si>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</si>
  <si>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600743.SH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</si>
  <si>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</si>
  <si>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</si>
  <si>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</si>
  <si>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</si>
  <si>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</si>
  <si>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</si>
  <si>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</si>
  <si>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</si>
  <si>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</si>
  <si>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</si>
  <si>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</si>
  <si>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600751.SH</t>
  </si>
  <si>
    <t>海航科技</t>
  </si>
  <si>
    <t>600753.SH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</si>
  <si>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</si>
  <si>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</si>
  <si>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</si>
  <si>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</si>
  <si>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</si>
  <si>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</si>
  <si>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</si>
  <si>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</si>
  <si>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</si>
  <si>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</si>
  <si>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</si>
  <si>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</si>
  <si>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</si>
  <si>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</si>
  <si>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</si>
  <si>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</si>
  <si>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</si>
  <si>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</si>
  <si>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</si>
  <si>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</si>
  <si>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</si>
  <si>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</si>
  <si>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</si>
  <si>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</si>
  <si>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</si>
  <si>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</si>
  <si>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</si>
  <si>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</si>
  <si>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</si>
  <si>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</si>
  <si>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</si>
  <si>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</si>
  <si>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</si>
  <si>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</si>
  <si>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</si>
  <si>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</si>
  <si>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</si>
  <si>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</si>
  <si>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</si>
  <si>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</si>
  <si>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</si>
  <si>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</si>
  <si>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</si>
  <si>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</si>
  <si>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</si>
  <si>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</si>
  <si>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</si>
  <si>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</si>
  <si>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</si>
  <si>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</si>
  <si>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</si>
  <si>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</si>
  <si>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</si>
  <si>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</si>
  <si>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</si>
  <si>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</si>
  <si>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</si>
  <si>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</si>
  <si>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</si>
  <si>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</si>
  <si>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</si>
  <si>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</si>
  <si>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</si>
  <si>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</si>
  <si>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</si>
  <si>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</si>
  <si>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</si>
  <si>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</si>
  <si>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</si>
  <si>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</si>
  <si>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</si>
  <si>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</si>
  <si>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</si>
  <si>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</si>
  <si>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</si>
  <si>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</si>
  <si>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</si>
  <si>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</si>
  <si>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</si>
  <si>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</si>
  <si>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</si>
  <si>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</si>
  <si>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</si>
  <si>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</si>
  <si>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</si>
  <si>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</si>
  <si>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</si>
  <si>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</si>
  <si>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</si>
  <si>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</si>
  <si>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</si>
  <si>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</si>
  <si>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</si>
  <si>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</si>
  <si>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</si>
  <si>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</si>
  <si>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</si>
  <si>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</si>
  <si>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</si>
  <si>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</si>
  <si>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</si>
  <si>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</si>
  <si>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</si>
  <si>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</si>
  <si>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</si>
  <si>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</si>
  <si>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</si>
  <si>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</si>
  <si>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</si>
  <si>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</si>
  <si>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</si>
  <si>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</si>
  <si>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</si>
  <si>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</si>
  <si>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</si>
  <si>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</si>
  <si>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</si>
  <si>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</si>
  <si>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</si>
  <si>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</si>
  <si>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</si>
  <si>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</si>
  <si>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</si>
  <si>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</si>
  <si>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</si>
  <si>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</si>
  <si>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</si>
  <si>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</si>
  <si>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</si>
  <si>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</si>
  <si>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</si>
  <si>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</si>
  <si>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</si>
  <si>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</si>
  <si>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</si>
  <si>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</si>
  <si>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</si>
  <si>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</si>
  <si>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</si>
  <si>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</si>
  <si>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</si>
  <si>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</si>
  <si>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</si>
  <si>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</si>
  <si>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</si>
  <si>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</si>
  <si>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</si>
  <si>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</si>
  <si>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</si>
  <si>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</si>
  <si>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</si>
  <si>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</si>
  <si>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</si>
  <si>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</si>
  <si>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</si>
  <si>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</si>
  <si>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</si>
  <si>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</si>
  <si>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</si>
  <si>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</si>
  <si>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</si>
  <si>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</si>
  <si>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</si>
  <si>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</si>
  <si>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</si>
  <si>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</si>
  <si>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</si>
  <si>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</si>
  <si>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</si>
  <si>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</si>
  <si>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</si>
  <si>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</si>
  <si>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</si>
  <si>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</si>
  <si>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</si>
  <si>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</si>
  <si>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</si>
  <si>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</si>
  <si>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</si>
  <si>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</si>
  <si>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</si>
  <si>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</si>
  <si>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</si>
  <si>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</si>
  <si>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</si>
  <si>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</si>
  <si>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</si>
  <si>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</si>
  <si>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</si>
  <si>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</si>
  <si>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</si>
  <si>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</si>
  <si>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</si>
  <si>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</si>
  <si>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</si>
  <si>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</si>
  <si>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</si>
  <si>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</si>
  <si>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</si>
  <si>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</si>
  <si>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</si>
  <si>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</si>
  <si>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</si>
  <si>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</si>
  <si>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</si>
  <si>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</si>
  <si>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</si>
  <si>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</si>
  <si>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</si>
  <si>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</si>
  <si>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</si>
  <si>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</si>
  <si>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</si>
  <si>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</si>
  <si>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</si>
  <si>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</si>
  <si>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</si>
  <si>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</si>
  <si>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</si>
  <si>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</si>
  <si>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</si>
  <si>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</si>
  <si>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</si>
  <si>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</si>
  <si>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</si>
  <si>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</si>
  <si>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</si>
  <si>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</si>
  <si>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</si>
  <si>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</si>
  <si>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</si>
  <si>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</si>
  <si>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</si>
  <si>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</si>
  <si>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</si>
  <si>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</si>
  <si>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</si>
  <si>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</si>
  <si>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</si>
  <si>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</si>
  <si>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</si>
  <si>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</si>
  <si>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</si>
  <si>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</si>
  <si>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</si>
  <si>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</si>
  <si>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</si>
  <si>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</si>
  <si>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</si>
  <si>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</si>
  <si>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</si>
  <si>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</si>
  <si>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</si>
  <si>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</si>
  <si>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</si>
  <si>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</si>
  <si>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</si>
  <si>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</si>
  <si>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</si>
  <si>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</si>
  <si>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</si>
  <si>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</si>
  <si>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</si>
  <si>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</si>
  <si>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</si>
  <si>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600936.SH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</si>
  <si>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</si>
  <si>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</si>
  <si>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</si>
  <si>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</si>
  <si>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</si>
  <si>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</si>
  <si>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</si>
  <si>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</si>
  <si>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</si>
  <si>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</si>
  <si>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</si>
  <si>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</si>
  <si>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</si>
  <si>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</si>
  <si>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</si>
  <si>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</si>
  <si>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</si>
  <si>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</si>
  <si>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</si>
  <si>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</si>
  <si>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</si>
  <si>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</si>
  <si>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</si>
  <si>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</si>
  <si>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</si>
  <si>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</si>
  <si>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</si>
  <si>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</si>
  <si>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</si>
  <si>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</si>
  <si>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</si>
  <si>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</si>
  <si>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</si>
  <si>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</si>
  <si>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</si>
  <si>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</si>
  <si>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</si>
  <si>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</si>
  <si>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</si>
  <si>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</si>
  <si>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</si>
  <si>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</si>
  <si>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</si>
  <si>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</si>
  <si>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</si>
  <si>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</si>
  <si>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</si>
  <si>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</si>
  <si>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</si>
  <si>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</si>
  <si>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</si>
  <si>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</si>
  <si>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</si>
  <si>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</si>
  <si>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</si>
  <si>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</si>
  <si>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</si>
  <si>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</si>
  <si>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</si>
  <si>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</si>
  <si>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</si>
  <si>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</si>
  <si>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</si>
  <si>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</si>
  <si>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</si>
  <si>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</si>
  <si>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</si>
  <si>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</si>
  <si>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</si>
  <si>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</si>
  <si>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</si>
  <si>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</si>
  <si>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</si>
  <si>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</si>
  <si>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</si>
  <si>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</si>
  <si>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</si>
  <si>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</si>
  <si>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</si>
  <si>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</si>
  <si>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</si>
  <si>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</si>
  <si>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</si>
  <si>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</si>
  <si>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</si>
  <si>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</si>
  <si>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</si>
  <si>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</si>
  <si>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</si>
  <si>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</si>
  <si>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</si>
  <si>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</si>
  <si>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</si>
  <si>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</si>
  <si>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</si>
  <si>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</si>
  <si>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</si>
  <si>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</si>
  <si>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</si>
  <si>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</si>
  <si>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</si>
  <si>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</si>
  <si>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</si>
  <si>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</si>
  <si>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</si>
  <si>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</si>
  <si>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</si>
  <si>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</si>
  <si>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</si>
  <si>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</si>
  <si>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</si>
  <si>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</si>
  <si>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</si>
  <si>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</si>
  <si>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</si>
  <si>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</si>
  <si>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</si>
  <si>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</si>
  <si>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</si>
  <si>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</si>
  <si>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</si>
  <si>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</si>
  <si>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</si>
  <si>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</si>
  <si>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</si>
  <si>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</si>
  <si>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</si>
  <si>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</si>
  <si>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</si>
  <si>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</si>
  <si>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</si>
  <si>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</si>
  <si>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</si>
  <si>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</si>
  <si>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</si>
  <si>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</si>
  <si>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</si>
  <si>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</si>
  <si>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</si>
  <si>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</si>
  <si>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</si>
  <si>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</si>
  <si>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</si>
  <si>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</si>
  <si>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</si>
  <si>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</si>
  <si>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</si>
  <si>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</si>
  <si>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</si>
  <si>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</si>
  <si>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</si>
  <si>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</si>
  <si>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</si>
  <si>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</si>
  <si>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</si>
  <si>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</si>
  <si>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</si>
  <si>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</si>
  <si>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</si>
  <si>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</si>
  <si>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</si>
  <si>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</si>
  <si>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</si>
  <si>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</si>
  <si>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</si>
  <si>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</si>
  <si>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</si>
  <si>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</si>
  <si>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</si>
  <si>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</si>
  <si>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</si>
  <si>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</si>
  <si>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</si>
  <si>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</si>
  <si>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</si>
  <si>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</si>
  <si>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</si>
  <si>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</si>
  <si>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</si>
  <si>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</si>
  <si>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</si>
  <si>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</si>
  <si>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</si>
  <si>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</si>
  <si>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</si>
  <si>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</si>
  <si>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</si>
  <si>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</si>
  <si>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</si>
  <si>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</si>
  <si>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</si>
  <si>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</si>
  <si>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</si>
  <si>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</si>
  <si>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</si>
  <si>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</si>
  <si>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</si>
  <si>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</si>
  <si>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</si>
  <si>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</si>
  <si>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</si>
  <si>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</si>
  <si>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</si>
  <si>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</si>
  <si>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</si>
  <si>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</si>
  <si>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</si>
  <si>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</si>
  <si>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</si>
  <si>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</si>
  <si>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</si>
  <si>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</si>
  <si>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</si>
  <si>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</si>
  <si>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</si>
  <si>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</si>
  <si>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</si>
  <si>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</si>
  <si>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</si>
  <si>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</si>
  <si>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</si>
  <si>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</si>
  <si>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</si>
  <si>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</si>
  <si>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</si>
  <si>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</si>
  <si>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</si>
  <si>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</si>
  <si>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</si>
  <si>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</si>
  <si>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</si>
  <si>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</si>
  <si>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</si>
  <si>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</si>
  <si>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</si>
  <si>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</si>
  <si>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</si>
  <si>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</si>
  <si>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</si>
  <si>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</si>
  <si>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</si>
  <si>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</si>
  <si>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</si>
  <si>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</si>
  <si>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</si>
  <si>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</si>
  <si>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</si>
  <si>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</si>
  <si>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</si>
  <si>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</si>
  <si>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</si>
  <si>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</si>
  <si>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</si>
  <si>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</si>
  <si>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</si>
  <si>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</si>
  <si>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</si>
  <si>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</si>
  <si>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</si>
  <si>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</si>
  <si>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</si>
  <si>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</si>
  <si>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</si>
  <si>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</si>
  <si>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</si>
  <si>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</si>
  <si>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</si>
  <si>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</si>
  <si>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</si>
  <si>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</si>
  <si>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</si>
  <si>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</si>
  <si>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</si>
  <si>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</si>
  <si>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</si>
  <si>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</si>
  <si>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</si>
  <si>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</si>
  <si>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</si>
  <si>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</si>
  <si>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</si>
  <si>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</si>
  <si>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</si>
  <si>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</si>
  <si>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</si>
  <si>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</si>
  <si>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</si>
  <si>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</si>
  <si>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</si>
  <si>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</si>
  <si>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</si>
  <si>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</si>
  <si>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</si>
  <si>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</si>
  <si>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601500.SH</t>
  </si>
  <si>
    <t>通用股份</t>
  </si>
  <si>
    <t>601512.SH</t>
  </si>
  <si>
    <t>中新集团</t>
  </si>
  <si>
    <t>601515.SH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</si>
  <si>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</si>
  <si>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</si>
  <si>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</si>
  <si>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</si>
  <si>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</si>
  <si>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</si>
  <si>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</si>
  <si>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</si>
  <si>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</si>
  <si>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</si>
  <si>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</si>
  <si>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</si>
  <si>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</si>
  <si>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</si>
  <si>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</si>
  <si>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</si>
  <si>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</si>
  <si>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</si>
  <si>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</si>
  <si>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</si>
  <si>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</si>
  <si>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</si>
  <si>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</si>
  <si>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</si>
  <si>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</si>
  <si>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</si>
  <si>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</si>
  <si>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</si>
  <si>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</si>
  <si>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</si>
  <si>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</si>
  <si>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</si>
  <si>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</si>
  <si>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</si>
  <si>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</si>
  <si>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</si>
  <si>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</si>
  <si>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</si>
  <si>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</si>
  <si>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</si>
  <si>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</si>
  <si>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</si>
  <si>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</si>
  <si>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</si>
  <si>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</si>
  <si>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</si>
  <si>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</si>
  <si>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</si>
  <si>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</si>
  <si>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</si>
  <si>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</si>
  <si>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</si>
  <si>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</si>
  <si>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</si>
  <si>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</si>
  <si>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</si>
  <si>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</si>
  <si>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</si>
  <si>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</si>
  <si>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</si>
  <si>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</si>
  <si>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</si>
  <si>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</si>
  <si>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</si>
  <si>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</si>
  <si>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</si>
  <si>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</si>
  <si>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</si>
  <si>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</si>
  <si>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</si>
  <si>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</si>
  <si>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</si>
  <si>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</si>
  <si>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</si>
  <si>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</si>
  <si>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</si>
  <si>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</si>
  <si>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</si>
  <si>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</si>
  <si>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</si>
  <si>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</si>
  <si>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</si>
  <si>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</si>
  <si>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</si>
  <si>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</si>
  <si>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</si>
  <si>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</si>
  <si>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</si>
  <si>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</si>
  <si>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</si>
  <si>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</si>
  <si>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</si>
  <si>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</si>
  <si>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</si>
  <si>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</si>
  <si>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</si>
  <si>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</si>
  <si>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</si>
  <si>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</si>
  <si>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</si>
  <si>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</si>
  <si>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</si>
  <si>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</si>
  <si>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</si>
  <si>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</si>
  <si>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</si>
  <si>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</si>
  <si>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</si>
  <si>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</si>
  <si>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</si>
  <si>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</si>
  <si>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</si>
  <si>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</si>
  <si>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</si>
  <si>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</si>
  <si>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</si>
  <si>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</si>
  <si>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</si>
  <si>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</si>
  <si>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</si>
  <si>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</si>
  <si>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</si>
  <si>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</si>
  <si>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</si>
  <si>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</si>
  <si>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</si>
  <si>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</si>
  <si>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</si>
  <si>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</si>
  <si>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</si>
  <si>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</si>
  <si>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</si>
  <si>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</si>
  <si>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</si>
  <si>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</si>
  <si>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</si>
  <si>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</si>
  <si>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</si>
  <si>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</si>
  <si>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</si>
  <si>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</si>
  <si>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</si>
  <si>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</si>
  <si>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</si>
  <si>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</si>
  <si>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</si>
  <si>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</si>
  <si>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</si>
  <si>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</si>
  <si>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</si>
  <si>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</si>
  <si>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</si>
  <si>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</si>
  <si>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</si>
  <si>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</si>
  <si>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</si>
  <si>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</si>
  <si>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</si>
  <si>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</si>
  <si>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</si>
  <si>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</si>
  <si>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</si>
  <si>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</si>
  <si>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</si>
  <si>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</si>
  <si>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</si>
  <si>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</si>
  <si>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</si>
  <si>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</si>
  <si>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</si>
  <si>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</si>
  <si>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</si>
  <si>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</si>
  <si>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</si>
  <si>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</si>
  <si>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</si>
  <si>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</si>
  <si>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</si>
  <si>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</si>
  <si>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</si>
  <si>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</si>
  <si>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</si>
  <si>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</si>
  <si>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</si>
  <si>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</si>
  <si>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</si>
  <si>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</si>
  <si>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</si>
  <si>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</si>
  <si>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</si>
  <si>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</si>
  <si>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</si>
  <si>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</si>
  <si>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</si>
  <si>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</si>
  <si>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</si>
  <si>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</si>
  <si>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</si>
  <si>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</si>
  <si>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</si>
  <si>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</si>
  <si>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</si>
  <si>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</si>
  <si>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</si>
  <si>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</si>
  <si>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</si>
  <si>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</si>
  <si>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</si>
  <si>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</si>
  <si>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</si>
  <si>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</si>
  <si>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</si>
  <si>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</si>
  <si>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</si>
  <si>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</si>
  <si>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</si>
  <si>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</si>
  <si>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</si>
  <si>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</si>
  <si>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</si>
  <si>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</si>
  <si>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</si>
  <si>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</si>
  <si>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</si>
  <si>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</si>
  <si>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</si>
  <si>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</si>
  <si>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</si>
  <si>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</si>
  <si>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</si>
  <si>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</si>
  <si>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</si>
  <si>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</si>
  <si>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</si>
  <si>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</si>
  <si>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</si>
  <si>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</si>
  <si>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</si>
  <si>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</si>
  <si>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</si>
  <si>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</si>
  <si>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</si>
  <si>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</si>
  <si>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</si>
  <si>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</si>
  <si>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</si>
  <si>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</si>
  <si>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</si>
  <si>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</si>
  <si>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</si>
  <si>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</si>
  <si>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</si>
  <si>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</si>
  <si>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</si>
  <si>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</si>
  <si>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</si>
  <si>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</si>
  <si>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</si>
  <si>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</si>
  <si>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</si>
  <si>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</si>
  <si>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</si>
  <si>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</si>
  <si>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</si>
  <si>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</si>
  <si>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</si>
  <si>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</si>
  <si>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</si>
  <si>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</si>
  <si>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</si>
  <si>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</si>
  <si>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</si>
  <si>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</si>
  <si>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</si>
  <si>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</si>
  <si>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</si>
  <si>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</si>
  <si>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</si>
  <si>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</si>
  <si>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</si>
  <si>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</si>
  <si>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</si>
  <si>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</si>
  <si>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</si>
  <si>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</si>
  <si>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</si>
  <si>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</si>
  <si>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</si>
  <si>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</si>
  <si>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</si>
  <si>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</si>
  <si>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</si>
  <si>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</si>
  <si>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</si>
  <si>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</si>
  <si>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</si>
  <si>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</si>
  <si>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</si>
  <si>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</si>
  <si>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</si>
  <si>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</si>
  <si>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</si>
  <si>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</si>
  <si>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</si>
  <si>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</si>
  <si>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</si>
  <si>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</si>
  <si>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</si>
  <si>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</si>
  <si>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</si>
  <si>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</si>
  <si>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</si>
  <si>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</si>
  <si>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</si>
  <si>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</si>
  <si>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</si>
  <si>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</si>
  <si>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</si>
  <si>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</si>
  <si>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</si>
  <si>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</si>
  <si>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</si>
  <si>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</si>
  <si>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</si>
  <si>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</si>
  <si>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</si>
  <si>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</si>
  <si>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</si>
  <si>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</si>
  <si>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</si>
  <si>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</si>
  <si>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</si>
  <si>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</si>
  <si>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</si>
  <si>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</si>
  <si>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</si>
  <si>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</si>
  <si>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</si>
  <si>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</si>
  <si>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</si>
  <si>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</si>
  <si>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</si>
  <si>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</si>
  <si>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</si>
  <si>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</si>
  <si>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</si>
  <si>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</si>
  <si>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</si>
  <si>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</si>
  <si>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</si>
  <si>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</si>
  <si>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</si>
  <si>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</si>
  <si>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</si>
  <si>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</si>
  <si>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</si>
  <si>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</si>
  <si>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</si>
  <si>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</si>
  <si>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</si>
  <si>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</si>
  <si>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</si>
  <si>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</si>
  <si>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</si>
  <si>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</si>
  <si>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</si>
  <si>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</si>
  <si>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</si>
  <si>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</si>
  <si>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</si>
  <si>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</si>
  <si>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</si>
  <si>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</si>
  <si>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</si>
  <si>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</si>
  <si>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</si>
  <si>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</si>
  <si>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</si>
  <si>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</si>
  <si>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</si>
  <si>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</si>
  <si>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</si>
  <si>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</si>
  <si>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</si>
  <si>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</si>
  <si>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</si>
  <si>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</si>
  <si>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</si>
  <si>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</si>
  <si>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</si>
  <si>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</si>
  <si>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</si>
  <si>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</si>
  <si>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</si>
  <si>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</si>
  <si>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</si>
  <si>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</si>
  <si>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</si>
  <si>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</si>
  <si>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</si>
  <si>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</si>
  <si>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</si>
  <si>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</si>
  <si>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</si>
  <si>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</si>
  <si>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</si>
  <si>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</si>
  <si>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</si>
  <si>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</si>
  <si>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</si>
  <si>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</si>
  <si>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</si>
  <si>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</si>
  <si>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</si>
  <si>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</si>
  <si>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</si>
  <si>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603118.SH</t>
  </si>
  <si>
    <t>共进股份</t>
  </si>
  <si>
    <t>603119.SH</t>
  </si>
  <si>
    <t>浙江荣泰</t>
  </si>
  <si>
    <t>603121.SH</t>
  </si>
  <si>
    <t>华培动力</t>
  </si>
  <si>
    <t>603122.SH</t>
  </si>
  <si>
    <t>合富中国</t>
  </si>
  <si>
    <t>603123.SH</t>
  </si>
  <si>
    <t>翠微股份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</si>
  <si>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</si>
  <si>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</si>
  <si>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</si>
  <si>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</si>
  <si>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</si>
  <si>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</si>
  <si>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</si>
  <si>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</si>
  <si>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</si>
  <si>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</si>
  <si>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</si>
  <si>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</si>
  <si>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</si>
  <si>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</si>
  <si>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</si>
  <si>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</si>
  <si>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</si>
  <si>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</si>
  <si>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</si>
  <si>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</si>
  <si>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</si>
  <si>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</si>
  <si>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</si>
  <si>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</si>
  <si>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</si>
  <si>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</si>
  <si>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</si>
  <si>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</si>
  <si>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</si>
  <si>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</si>
  <si>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</si>
  <si>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</si>
  <si>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</si>
  <si>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</si>
  <si>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</si>
  <si>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</si>
  <si>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</si>
  <si>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</si>
  <si>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</si>
  <si>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</si>
  <si>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</si>
  <si>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</si>
  <si>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</si>
  <si>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</si>
  <si>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</si>
  <si>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</si>
  <si>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</si>
  <si>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</si>
  <si>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</si>
  <si>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</si>
  <si>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</si>
  <si>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</si>
  <si>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</si>
  <si>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</si>
  <si>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</si>
  <si>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</si>
  <si>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</si>
  <si>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</si>
  <si>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</si>
  <si>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</si>
  <si>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</si>
  <si>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</si>
  <si>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</si>
  <si>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</si>
  <si>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</si>
  <si>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</si>
  <si>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</si>
  <si>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</si>
  <si>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</si>
  <si>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</si>
  <si>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</si>
  <si>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</si>
  <si>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</si>
  <si>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</si>
  <si>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</si>
  <si>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</si>
  <si>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</si>
  <si>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</si>
  <si>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</si>
  <si>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</si>
  <si>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</si>
  <si>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</si>
  <si>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</si>
  <si>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</si>
  <si>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</si>
  <si>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</si>
  <si>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</si>
  <si>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</si>
  <si>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</si>
  <si>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</si>
  <si>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</si>
  <si>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</si>
  <si>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</si>
  <si>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</si>
  <si>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</si>
  <si>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</si>
  <si>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</si>
  <si>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</si>
  <si>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</si>
  <si>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</si>
  <si>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</si>
  <si>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</si>
  <si>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</si>
  <si>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</si>
  <si>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</si>
  <si>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</si>
  <si>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</si>
  <si>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</si>
  <si>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</si>
  <si>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</si>
  <si>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</si>
  <si>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</si>
  <si>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603203.SH</t>
  </si>
  <si>
    <t>快克智能</t>
  </si>
  <si>
    <t>603206.SH</t>
  </si>
  <si>
    <t>嘉环科技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</si>
  <si>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</si>
  <si>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</si>
  <si>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</si>
  <si>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</si>
  <si>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</si>
  <si>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</si>
  <si>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</si>
  <si>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</si>
  <si>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</si>
  <si>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</si>
  <si>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</si>
  <si>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</si>
  <si>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</si>
  <si>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</si>
  <si>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</si>
  <si>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</si>
  <si>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</si>
  <si>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</si>
  <si>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</si>
  <si>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</si>
  <si>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</si>
  <si>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</si>
  <si>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</si>
  <si>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</si>
  <si>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</si>
  <si>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</si>
  <si>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</si>
  <si>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</si>
  <si>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</si>
  <si>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</si>
  <si>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</si>
  <si>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</si>
  <si>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</si>
  <si>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</si>
  <si>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</si>
  <si>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</si>
  <si>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</si>
  <si>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</si>
  <si>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</si>
  <si>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</si>
  <si>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</si>
  <si>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</si>
  <si>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</si>
  <si>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</si>
  <si>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</si>
  <si>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</si>
  <si>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</si>
  <si>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</si>
  <si>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</si>
  <si>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</si>
  <si>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</si>
  <si>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</si>
  <si>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</si>
  <si>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</si>
  <si>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</si>
  <si>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</si>
  <si>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</si>
  <si>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</si>
  <si>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</si>
  <si>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</si>
  <si>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</si>
  <si>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</si>
  <si>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</si>
  <si>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</si>
  <si>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</si>
  <si>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</si>
  <si>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</si>
  <si>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</si>
  <si>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603266.SH</t>
  </si>
  <si>
    <t>天龙股份</t>
  </si>
  <si>
    <t>603267.SH</t>
  </si>
  <si>
    <t>鸿远电子</t>
  </si>
  <si>
    <t>603268.SH</t>
  </si>
  <si>
    <t>603269.SH</t>
  </si>
  <si>
    <t>海鸥股份</t>
  </si>
  <si>
    <t>603270.SH</t>
  </si>
  <si>
    <t>金帝股份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</si>
  <si>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</si>
  <si>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</si>
  <si>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</si>
  <si>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</si>
  <si>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</si>
  <si>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</si>
  <si>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</si>
  <si>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</si>
  <si>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</si>
  <si>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</si>
  <si>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</si>
  <si>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</si>
  <si>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</si>
  <si>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</si>
  <si>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</si>
  <si>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</si>
  <si>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</si>
  <si>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</si>
  <si>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</si>
  <si>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</si>
  <si>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</si>
  <si>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</si>
  <si>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</si>
  <si>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</si>
  <si>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</si>
  <si>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</si>
  <si>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</si>
  <si>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</si>
  <si>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</si>
  <si>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</si>
  <si>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</si>
  <si>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</si>
  <si>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</si>
  <si>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</si>
  <si>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</si>
  <si>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</si>
  <si>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</si>
  <si>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</si>
  <si>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</si>
  <si>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</si>
  <si>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</si>
  <si>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</si>
  <si>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</si>
  <si>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</si>
  <si>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</si>
  <si>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</si>
  <si>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</si>
  <si>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</si>
  <si>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</si>
  <si>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</si>
  <si>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</si>
  <si>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</si>
  <si>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</si>
  <si>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</si>
  <si>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</si>
  <si>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</si>
  <si>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</si>
  <si>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</si>
  <si>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</si>
  <si>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</si>
  <si>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</si>
  <si>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</si>
  <si>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</si>
  <si>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</si>
  <si>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</si>
  <si>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</si>
  <si>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</si>
  <si>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</si>
  <si>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</si>
  <si>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</si>
  <si>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</si>
  <si>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</si>
  <si>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</si>
  <si>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</si>
  <si>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</si>
  <si>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</si>
  <si>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</si>
  <si>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</si>
  <si>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</si>
  <si>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</si>
  <si>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</si>
  <si>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</si>
  <si>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</si>
  <si>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</si>
  <si>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</si>
  <si>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</si>
  <si>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</si>
  <si>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</si>
  <si>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</si>
  <si>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</si>
  <si>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</si>
  <si>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</si>
  <si>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</si>
  <si>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</si>
  <si>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</si>
  <si>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</si>
  <si>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</si>
  <si>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</si>
  <si>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</si>
  <si>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</si>
  <si>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</si>
  <si>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</si>
  <si>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</si>
  <si>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</si>
  <si>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</si>
  <si>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</si>
  <si>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</si>
  <si>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</si>
  <si>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</si>
  <si>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</si>
  <si>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</si>
  <si>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</si>
  <si>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</si>
  <si>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</si>
  <si>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</si>
  <si>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</si>
  <si>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</si>
  <si>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</si>
  <si>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</si>
  <si>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</si>
  <si>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</si>
  <si>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</si>
  <si>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</si>
  <si>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</si>
  <si>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</si>
  <si>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</si>
  <si>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</si>
  <si>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</si>
  <si>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</si>
  <si>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</si>
  <si>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</si>
  <si>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</si>
  <si>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</si>
  <si>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</si>
  <si>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</si>
  <si>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</si>
  <si>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</si>
  <si>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</si>
  <si>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</si>
  <si>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</si>
  <si>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</si>
  <si>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603373.SH</t>
  </si>
  <si>
    <t>安邦护卫</t>
  </si>
  <si>
    <t>603375.SH</t>
  </si>
  <si>
    <t>盛景微</t>
  </si>
  <si>
    <t>603377.SH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</si>
  <si>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</si>
  <si>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</si>
  <si>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</si>
  <si>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</si>
  <si>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</si>
  <si>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</si>
  <si>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</si>
  <si>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</si>
  <si>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</si>
  <si>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</si>
  <si>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</si>
  <si>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</si>
  <si>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</si>
  <si>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</si>
  <si>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</si>
  <si>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</si>
  <si>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</si>
  <si>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</si>
  <si>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</si>
  <si>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</si>
  <si>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</si>
  <si>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</si>
  <si>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</si>
  <si>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</si>
  <si>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603399.SH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</si>
  <si>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</si>
  <si>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</si>
  <si>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</si>
  <si>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</si>
  <si>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</si>
  <si>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</si>
  <si>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</si>
  <si>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</si>
  <si>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</si>
  <si>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</si>
  <si>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</si>
  <si>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</si>
  <si>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</si>
  <si>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</si>
  <si>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</si>
  <si>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</si>
  <si>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</si>
  <si>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</si>
  <si>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</si>
  <si>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</si>
  <si>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</si>
  <si>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</si>
  <si>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</si>
  <si>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</si>
  <si>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</si>
  <si>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</si>
  <si>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</si>
  <si>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</si>
  <si>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</si>
  <si>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</si>
  <si>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</si>
  <si>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</si>
  <si>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</si>
  <si>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</si>
  <si>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</si>
  <si>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</si>
  <si>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</si>
  <si>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</si>
  <si>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</si>
  <si>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</si>
  <si>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</si>
  <si>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</si>
  <si>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</si>
  <si>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</si>
  <si>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</si>
  <si>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</si>
  <si>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</si>
  <si>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</si>
  <si>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</si>
  <si>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</si>
  <si>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</si>
  <si>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</si>
  <si>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</si>
  <si>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</si>
  <si>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</si>
  <si>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</si>
  <si>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</si>
  <si>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</si>
  <si>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</si>
  <si>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</si>
  <si>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</si>
  <si>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</si>
  <si>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</si>
  <si>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</si>
  <si>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</si>
  <si>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</si>
  <si>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</si>
  <si>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</si>
  <si>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</si>
  <si>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</si>
  <si>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</si>
  <si>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</si>
  <si>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</si>
  <si>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</si>
  <si>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</si>
  <si>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</si>
  <si>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</si>
  <si>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</si>
  <si>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</si>
  <si>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</si>
  <si>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</si>
  <si>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</si>
  <si>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</si>
  <si>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</si>
  <si>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</si>
  <si>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</si>
  <si>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</si>
  <si>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</si>
  <si>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</si>
  <si>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</si>
  <si>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</si>
  <si>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</si>
  <si>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</si>
  <si>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</si>
  <si>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</si>
  <si>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</si>
  <si>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</si>
  <si>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</si>
  <si>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</si>
  <si>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</si>
  <si>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</si>
  <si>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</si>
  <si>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</si>
  <si>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</si>
  <si>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</si>
  <si>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</si>
  <si>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</si>
  <si>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</si>
  <si>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</si>
  <si>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</si>
  <si>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</si>
  <si>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</si>
  <si>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</si>
  <si>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</si>
  <si>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</si>
  <si>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</si>
  <si>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</si>
  <si>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</si>
  <si>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</si>
  <si>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</si>
  <si>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</si>
  <si>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</si>
  <si>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</si>
  <si>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</si>
  <si>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</si>
  <si>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</si>
  <si>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</si>
  <si>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</si>
  <si>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</si>
  <si>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</si>
  <si>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</si>
  <si>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</si>
  <si>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</si>
  <si>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</si>
  <si>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</si>
  <si>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</si>
  <si>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</si>
  <si>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</si>
  <si>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</si>
  <si>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</si>
  <si>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</si>
  <si>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</si>
  <si>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</si>
  <si>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</si>
  <si>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</si>
  <si>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</si>
  <si>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</si>
  <si>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</si>
  <si>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</si>
  <si>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</si>
  <si>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</si>
  <si>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</si>
  <si>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</si>
  <si>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</si>
  <si>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</si>
  <si>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</si>
  <si>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</si>
  <si>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</si>
  <si>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</si>
  <si>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</si>
  <si>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</si>
  <si>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</si>
  <si>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</si>
  <si>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</si>
  <si>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</si>
  <si>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</si>
  <si>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</si>
  <si>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</si>
  <si>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</si>
  <si>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</si>
  <si>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</si>
  <si>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</si>
  <si>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</si>
  <si>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</si>
  <si>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</si>
  <si>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</si>
  <si>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</si>
  <si>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</si>
  <si>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</si>
  <si>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</si>
  <si>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</si>
  <si>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</si>
  <si>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</si>
  <si>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</si>
  <si>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</si>
  <si>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</si>
  <si>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</si>
  <si>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</si>
  <si>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</si>
  <si>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</si>
  <si>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</si>
  <si>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</si>
  <si>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</si>
  <si>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</si>
  <si>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</si>
  <si>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</si>
  <si>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</si>
  <si>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</si>
  <si>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</si>
  <si>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</si>
  <si>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</si>
  <si>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</si>
  <si>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</si>
  <si>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</si>
  <si>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</si>
  <si>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</si>
  <si>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</si>
  <si>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</si>
  <si>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</si>
  <si>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</si>
  <si>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</si>
  <si>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</si>
  <si>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</si>
  <si>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</si>
  <si>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</si>
  <si>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</si>
  <si>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</si>
  <si>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</si>
  <si>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</si>
  <si>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</si>
  <si>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</si>
  <si>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</si>
  <si>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</si>
  <si>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</si>
  <si>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</si>
  <si>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</si>
  <si>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</si>
  <si>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</si>
  <si>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</si>
  <si>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</si>
  <si>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</si>
  <si>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</si>
  <si>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</si>
  <si>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</si>
  <si>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</si>
  <si>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</si>
  <si>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</si>
  <si>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</si>
  <si>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</si>
  <si>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</si>
  <si>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</si>
  <si>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</si>
  <si>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</si>
  <si>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</si>
  <si>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</si>
  <si>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</si>
  <si>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</si>
  <si>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</si>
  <si>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</si>
  <si>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</si>
  <si>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</si>
  <si>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</si>
  <si>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</si>
  <si>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</si>
  <si>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</si>
  <si>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</si>
  <si>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</si>
  <si>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</si>
  <si>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</si>
  <si>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</si>
  <si>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</si>
  <si>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603718.SH</t>
  </si>
  <si>
    <t>海利生物</t>
  </si>
  <si>
    <t>603719.SH</t>
  </si>
  <si>
    <t>良品铺子</t>
  </si>
  <si>
    <t>603721.SH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</si>
  <si>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</si>
  <si>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</si>
  <si>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</si>
  <si>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</si>
  <si>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</si>
  <si>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</si>
  <si>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</si>
  <si>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</si>
  <si>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</si>
  <si>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</si>
  <si>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</si>
  <si>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</si>
  <si>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</si>
  <si>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</si>
  <si>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</si>
  <si>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</si>
  <si>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</si>
  <si>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</si>
  <si>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</si>
  <si>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</si>
  <si>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</si>
  <si>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</si>
  <si>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</si>
  <si>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</si>
  <si>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</si>
  <si>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</si>
  <si>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</si>
  <si>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</si>
  <si>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</si>
  <si>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</si>
  <si>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</si>
  <si>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</si>
  <si>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</si>
  <si>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</si>
  <si>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</si>
  <si>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</si>
  <si>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</si>
  <si>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</si>
  <si>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</si>
  <si>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</si>
  <si>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</si>
  <si>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</si>
  <si>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</si>
  <si>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</si>
  <si>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</si>
  <si>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</si>
  <si>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</si>
  <si>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</si>
  <si>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</si>
  <si>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</si>
  <si>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</si>
  <si>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</si>
  <si>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</si>
  <si>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</si>
  <si>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</si>
  <si>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</si>
  <si>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</si>
  <si>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</si>
  <si>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</si>
  <si>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</si>
  <si>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</si>
  <si>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</si>
  <si>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</si>
  <si>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</si>
  <si>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</si>
  <si>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</si>
  <si>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</si>
  <si>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</si>
  <si>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</si>
  <si>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</si>
  <si>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</si>
  <si>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</si>
  <si>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</si>
  <si>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</si>
  <si>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</si>
  <si>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</si>
  <si>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</si>
  <si>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</si>
  <si>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</si>
  <si>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</si>
  <si>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</si>
  <si>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</si>
  <si>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</si>
  <si>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</si>
  <si>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</si>
  <si>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</si>
  <si>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</si>
  <si>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</si>
  <si>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603823.SH</t>
  </si>
  <si>
    <t>百合花</t>
  </si>
  <si>
    <t>603825.SH</t>
  </si>
  <si>
    <t>603826.SH</t>
  </si>
  <si>
    <t>坤彩科技</t>
  </si>
  <si>
    <t>603828.SH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</si>
  <si>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</si>
  <si>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</si>
  <si>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</si>
  <si>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</si>
  <si>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</si>
  <si>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</si>
  <si>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</si>
  <si>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603839.SH</t>
  </si>
  <si>
    <t>安正时尚</t>
  </si>
  <si>
    <t>603843.SH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</si>
  <si>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</si>
  <si>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</si>
  <si>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</si>
  <si>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</si>
  <si>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</si>
  <si>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</si>
  <si>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</si>
  <si>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</si>
  <si>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</si>
  <si>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</si>
  <si>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</si>
  <si>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</si>
  <si>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</si>
  <si>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</si>
  <si>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</si>
  <si>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</si>
  <si>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</si>
  <si>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</si>
  <si>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</si>
  <si>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</si>
  <si>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</si>
  <si>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</si>
  <si>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</si>
  <si>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</si>
  <si>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</si>
  <si>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</si>
  <si>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</si>
  <si>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</si>
  <si>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</si>
  <si>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</si>
  <si>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</si>
  <si>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</si>
  <si>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</si>
  <si>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</si>
  <si>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</si>
  <si>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</si>
  <si>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</si>
  <si>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</si>
  <si>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</si>
  <si>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</si>
  <si>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</si>
  <si>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</si>
  <si>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</si>
  <si>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</si>
  <si>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</si>
  <si>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</si>
  <si>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</si>
  <si>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</si>
  <si>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</si>
  <si>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</si>
  <si>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</si>
  <si>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</si>
  <si>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</si>
  <si>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</si>
  <si>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</si>
  <si>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</si>
  <si>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</si>
  <si>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</si>
  <si>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</si>
  <si>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</si>
  <si>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</si>
  <si>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</si>
  <si>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</si>
  <si>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</si>
  <si>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</si>
  <si>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</si>
  <si>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</si>
  <si>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</si>
  <si>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</si>
  <si>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</si>
  <si>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</si>
  <si>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</si>
  <si>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</si>
  <si>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</si>
  <si>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</si>
  <si>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</si>
  <si>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</si>
  <si>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</si>
  <si>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</si>
  <si>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</si>
  <si>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</si>
  <si>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</si>
  <si>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</si>
  <si>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</si>
  <si>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</si>
  <si>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</si>
  <si>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</si>
  <si>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</si>
  <si>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</si>
  <si>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</si>
  <si>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</si>
  <si>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</si>
  <si>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</si>
  <si>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</si>
  <si>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</si>
  <si>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</si>
  <si>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</si>
  <si>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</si>
  <si>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</si>
  <si>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</si>
  <si>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</si>
  <si>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</si>
  <si>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</si>
  <si>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</si>
  <si>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</si>
  <si>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</si>
  <si>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</si>
  <si>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</si>
  <si>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</si>
  <si>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</si>
  <si>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</si>
  <si>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</si>
  <si>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</si>
  <si>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</si>
  <si>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</si>
  <si>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</si>
  <si>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</si>
  <si>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</si>
  <si>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</si>
  <si>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</si>
  <si>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</si>
  <si>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</si>
  <si>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</si>
  <si>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</si>
  <si>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</si>
  <si>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</si>
  <si>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</si>
  <si>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</si>
  <si>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</si>
  <si>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</si>
  <si>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</si>
  <si>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</si>
  <si>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</si>
  <si>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</si>
  <si>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</si>
  <si>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</si>
  <si>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</si>
  <si>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</si>
  <si>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</si>
  <si>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</si>
  <si>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</si>
  <si>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</si>
  <si>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</si>
  <si>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</si>
  <si>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</si>
  <si>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</si>
  <si>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</si>
  <si>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</si>
  <si>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</si>
  <si>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</si>
  <si>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</si>
  <si>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</si>
  <si>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</si>
  <si>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</si>
  <si>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</si>
  <si>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</si>
  <si>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</si>
  <si>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</si>
  <si>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</si>
  <si>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</si>
  <si>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</si>
  <si>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</si>
  <si>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</si>
  <si>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</si>
  <si>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</si>
  <si>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</si>
  <si>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</si>
  <si>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</si>
  <si>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</si>
  <si>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</si>
  <si>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</si>
  <si>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</si>
  <si>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</si>
  <si>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</si>
  <si>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</si>
  <si>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</si>
  <si>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</si>
  <si>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</si>
  <si>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</si>
  <si>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</si>
  <si>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</si>
  <si>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</si>
  <si>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</si>
  <si>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</si>
  <si>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</si>
  <si>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</si>
  <si>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</si>
  <si>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</si>
  <si>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</si>
  <si>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</si>
  <si>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</si>
  <si>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</si>
  <si>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</si>
  <si>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</si>
  <si>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</si>
  <si>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</si>
  <si>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</si>
  <si>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</si>
  <si>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</si>
  <si>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</si>
  <si>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</si>
  <si>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</si>
  <si>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</si>
  <si>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</si>
  <si>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</si>
  <si>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</si>
  <si>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</si>
  <si>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</si>
  <si>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</si>
  <si>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</si>
  <si>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</si>
  <si>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</si>
  <si>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</si>
  <si>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</si>
  <si>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</si>
  <si>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</si>
  <si>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</si>
  <si>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</si>
  <si>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</si>
  <si>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</si>
  <si>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</si>
  <si>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</si>
  <si>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</si>
  <si>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</si>
  <si>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</si>
  <si>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</si>
  <si>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</si>
  <si>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</si>
  <si>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</si>
  <si>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</si>
  <si>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</si>
  <si>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</si>
  <si>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</si>
  <si>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</si>
  <si>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</si>
  <si>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</si>
  <si>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</si>
  <si>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</si>
  <si>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</si>
  <si>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</si>
  <si>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</si>
  <si>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</si>
  <si>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</si>
  <si>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</si>
  <si>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</si>
  <si>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</si>
  <si>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</si>
  <si>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</si>
  <si>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</si>
  <si>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</si>
  <si>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</si>
  <si>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</si>
  <si>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</si>
  <si>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</si>
  <si>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</si>
  <si>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</si>
  <si>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</si>
  <si>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</si>
  <si>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</si>
  <si>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</si>
  <si>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</si>
  <si>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</si>
  <si>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</si>
  <si>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</si>
  <si>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</si>
  <si>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</si>
  <si>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</si>
  <si>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</si>
  <si>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</si>
  <si>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</si>
  <si>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</si>
  <si>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</si>
  <si>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</si>
  <si>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</si>
  <si>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</si>
  <si>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</si>
  <si>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</si>
  <si>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</si>
  <si>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</si>
  <si>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</si>
  <si>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</si>
  <si>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</si>
  <si>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</si>
  <si>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</si>
  <si>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</si>
  <si>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</si>
  <si>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</si>
  <si>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</si>
  <si>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</si>
  <si>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</si>
  <si>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</si>
  <si>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</si>
  <si>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</si>
  <si>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</si>
  <si>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</si>
  <si>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</si>
  <si>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</si>
  <si>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</si>
  <si>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</si>
  <si>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</si>
  <si>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</si>
  <si>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</si>
  <si>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</si>
  <si>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</si>
  <si>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</si>
  <si>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</si>
  <si>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</si>
  <si>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</si>
  <si>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</si>
  <si>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</si>
  <si>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</si>
  <si>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</si>
  <si>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</si>
  <si>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</si>
  <si>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</si>
  <si>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</si>
  <si>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</si>
  <si>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</si>
  <si>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</si>
  <si>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</si>
  <si>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</si>
  <si>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</si>
  <si>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</si>
  <si>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</si>
  <si>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</si>
  <si>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</si>
  <si>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</si>
  <si>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</si>
  <si>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</si>
  <si>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</si>
  <si>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</si>
  <si>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</si>
  <si>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</si>
  <si>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</si>
  <si>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</si>
  <si>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</si>
  <si>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</si>
  <si>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</si>
  <si>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</si>
  <si>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</si>
  <si>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</si>
  <si>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</si>
  <si>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</si>
  <si>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</si>
  <si>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</si>
  <si>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</si>
  <si>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</si>
  <si>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</si>
  <si>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</si>
  <si>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</si>
  <si>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</si>
  <si>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</si>
  <si>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</si>
  <si>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</si>
  <si>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</si>
  <si>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</si>
  <si>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</si>
  <si>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</si>
  <si>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</si>
  <si>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</si>
  <si>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</si>
  <si>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</si>
  <si>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</si>
  <si>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</si>
  <si>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</si>
  <si>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</si>
  <si>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</si>
  <si>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</si>
  <si>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</si>
  <si>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</si>
  <si>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</si>
  <si>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</si>
  <si>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</si>
  <si>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</si>
  <si>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</si>
  <si>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</si>
  <si>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</si>
  <si>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</si>
  <si>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</si>
  <si>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</si>
  <si>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</si>
  <si>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</si>
  <si>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</si>
  <si>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</si>
  <si>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</si>
  <si>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</si>
  <si>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</si>
  <si>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</si>
  <si>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</si>
  <si>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</si>
  <si>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</si>
  <si>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</si>
  <si>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</si>
  <si>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</si>
  <si>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</si>
  <si>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</si>
  <si>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</si>
  <si>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</si>
  <si>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</si>
  <si>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</si>
  <si>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</si>
  <si>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</si>
  <si>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</si>
  <si>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</si>
  <si>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</si>
  <si>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</si>
  <si>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</si>
  <si>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</si>
  <si>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</si>
  <si>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</si>
  <si>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</si>
  <si>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</si>
  <si>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</si>
  <si>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</si>
  <si>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</si>
  <si>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</si>
  <si>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</si>
  <si>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</si>
  <si>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</si>
  <si>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</si>
  <si>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</si>
  <si>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</si>
  <si>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</si>
  <si>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</si>
  <si>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</si>
  <si>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</si>
  <si>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</si>
  <si>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</si>
  <si>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</si>
  <si>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</si>
  <si>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</si>
  <si>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</si>
  <si>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</si>
  <si>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</si>
  <si>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</si>
  <si>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</si>
  <si>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</si>
  <si>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</si>
  <si>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</si>
  <si>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</si>
  <si>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</si>
  <si>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</si>
  <si>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</si>
  <si>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</si>
  <si>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</si>
  <si>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</si>
  <si>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</si>
  <si>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</si>
  <si>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</si>
  <si>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</si>
  <si>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</si>
  <si>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</si>
  <si>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</si>
  <si>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</si>
  <si>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</si>
  <si>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</si>
  <si>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</si>
  <si>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</si>
  <si>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</si>
  <si>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</si>
  <si>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</si>
  <si>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</si>
  <si>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</si>
  <si>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</si>
  <si>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</si>
  <si>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</si>
  <si>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</si>
  <si>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</si>
  <si>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</si>
  <si>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</si>
  <si>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</si>
  <si>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</si>
  <si>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</si>
  <si>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</si>
  <si>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</si>
  <si>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</si>
  <si>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</si>
  <si>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</si>
  <si>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</si>
  <si>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</si>
  <si>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</si>
  <si>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</si>
  <si>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</si>
  <si>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</si>
  <si>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</si>
  <si>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</si>
  <si>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</si>
  <si>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</si>
  <si>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</si>
  <si>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</si>
  <si>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</si>
  <si>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</si>
  <si>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</si>
  <si>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</si>
  <si>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</si>
  <si>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</si>
  <si>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</si>
  <si>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</si>
  <si>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</si>
  <si>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</si>
  <si>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</si>
  <si>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</si>
  <si>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</si>
  <si>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</si>
  <si>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</si>
  <si>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</si>
  <si>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</si>
  <si>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</si>
  <si>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</si>
  <si>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</si>
  <si>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</si>
  <si>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</si>
  <si>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</si>
  <si>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</si>
  <si>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</si>
  <si>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</si>
  <si>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</si>
  <si>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</si>
  <si>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</si>
  <si>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</si>
  <si>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</si>
  <si>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</si>
  <si>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</si>
  <si>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</si>
  <si>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</si>
  <si>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</si>
  <si>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</si>
  <si>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</si>
  <si>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</si>
  <si>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</si>
  <si>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</si>
  <si>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</si>
  <si>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</si>
  <si>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</si>
  <si>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</si>
  <si>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</si>
  <si>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</si>
  <si>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</si>
  <si>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</si>
  <si>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</si>
  <si>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</si>
  <si>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</si>
  <si>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</si>
  <si>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</si>
  <si>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</si>
  <si>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</si>
  <si>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</si>
  <si>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</si>
  <si>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</si>
  <si>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</si>
  <si>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</si>
  <si>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</si>
  <si>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</si>
  <si>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</si>
  <si>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</si>
  <si>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</si>
  <si>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</si>
  <si>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</si>
  <si>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</si>
  <si>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</si>
  <si>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</si>
  <si>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</si>
  <si>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</si>
  <si>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</si>
  <si>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</si>
  <si>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</si>
  <si>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</si>
  <si>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</si>
  <si>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</si>
  <si>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</si>
  <si>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</si>
  <si>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</si>
  <si>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</si>
  <si>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</si>
  <si>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</si>
  <si>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</si>
  <si>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</si>
  <si>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</si>
  <si>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</si>
  <si>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</si>
  <si>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</si>
  <si>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</si>
  <si>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</si>
  <si>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</si>
  <si>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</si>
  <si>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</si>
  <si>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</si>
  <si>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</si>
  <si>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</si>
  <si>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</si>
  <si>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</si>
  <si>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</si>
  <si>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</si>
  <si>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</si>
  <si>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</si>
  <si>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</si>
  <si>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</si>
  <si>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</si>
  <si>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</si>
  <si>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</si>
  <si>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</si>
  <si>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</si>
  <si>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</si>
  <si>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</si>
  <si>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</si>
  <si>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</si>
  <si>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</si>
  <si>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</si>
  <si>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</si>
  <si>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</si>
  <si>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</si>
  <si>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</si>
  <si>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</si>
  <si>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</si>
  <si>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</si>
  <si>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</si>
  <si>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</si>
  <si>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</si>
  <si>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</si>
  <si>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</si>
  <si>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</si>
  <si>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</si>
  <si>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</si>
  <si>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</si>
  <si>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</si>
  <si>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</si>
  <si>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</si>
  <si>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</si>
  <si>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</si>
  <si>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</si>
  <si>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</si>
  <si>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</si>
  <si>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</si>
  <si>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</si>
  <si>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</si>
  <si>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</si>
  <si>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</si>
  <si>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</si>
  <si>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</si>
  <si>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</si>
  <si>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</si>
  <si>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</si>
  <si>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</si>
  <si>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</si>
  <si>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</si>
  <si>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</si>
  <si>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</si>
  <si>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</si>
  <si>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</si>
  <si>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</si>
  <si>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</si>
  <si>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</si>
  <si>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</si>
  <si>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</si>
  <si>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</si>
  <si>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</si>
  <si>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</si>
  <si>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</si>
  <si>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</si>
  <si>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</si>
  <si>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</si>
  <si>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</si>
  <si>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</si>
  <si>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</si>
  <si>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</si>
  <si>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</si>
  <si>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</si>
  <si>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</si>
  <si>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</si>
  <si>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</si>
  <si>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</si>
  <si>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</si>
  <si>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</si>
  <si>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</si>
  <si>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</si>
  <si>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</si>
  <si>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</si>
  <si>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</si>
  <si>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</si>
  <si>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</si>
  <si>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</si>
  <si>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</si>
  <si>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</si>
  <si>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</si>
  <si>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</si>
  <si>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</si>
  <si>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</si>
  <si>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</si>
  <si>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</si>
  <si>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</si>
  <si>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</si>
  <si>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</si>
  <si>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</si>
  <si>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</si>
  <si>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</si>
  <si>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</si>
  <si>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</si>
  <si>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</si>
  <si>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</si>
  <si>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</si>
  <si>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</si>
  <si>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</si>
  <si>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</si>
  <si>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</si>
  <si>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</si>
  <si>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</si>
  <si>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</si>
  <si>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</si>
  <si>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</si>
  <si>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</si>
  <si>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</si>
  <si>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</si>
  <si>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</si>
  <si>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</si>
  <si>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</si>
  <si>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</si>
  <si>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</si>
  <si>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</si>
  <si>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</si>
  <si>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</si>
  <si>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</si>
  <si>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</si>
  <si>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</si>
  <si>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</si>
  <si>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</si>
  <si>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</si>
  <si>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</si>
  <si>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</si>
  <si>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</si>
  <si>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</si>
  <si>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</si>
  <si>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</si>
  <si>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</si>
  <si>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</si>
  <si>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</si>
  <si>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</si>
  <si>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</si>
  <si>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</si>
  <si>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</si>
  <si>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</si>
  <si>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</si>
  <si>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</si>
  <si>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</si>
  <si>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</si>
  <si>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</si>
  <si>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</si>
  <si>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</si>
  <si>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</si>
  <si>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</si>
  <si>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</si>
  <si>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</si>
  <si>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</si>
  <si>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</si>
  <si>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</si>
  <si>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</si>
  <si>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</si>
  <si>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</si>
  <si>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</si>
  <si>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</si>
  <si>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</si>
  <si>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</si>
  <si>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</si>
  <si>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</si>
  <si>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</si>
  <si>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</si>
  <si>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</si>
  <si>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</si>
  <si>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</si>
  <si>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</si>
  <si>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</si>
  <si>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</si>
  <si>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</si>
  <si>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</si>
  <si>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</si>
  <si>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</si>
  <si>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</si>
  <si>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</si>
  <si>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</si>
  <si>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</si>
  <si>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</si>
  <si>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</si>
  <si>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</si>
  <si>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</si>
  <si>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</si>
  <si>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</si>
  <si>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</si>
  <si>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</si>
  <si>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</si>
  <si>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</si>
  <si>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</si>
  <si>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</si>
  <si>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</si>
  <si>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</si>
  <si>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</si>
  <si>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</si>
  <si>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</si>
  <si>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</si>
  <si>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</si>
  <si>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</si>
  <si>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</si>
  <si>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</si>
  <si>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</si>
  <si>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</si>
  <si>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</si>
  <si>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</si>
  <si>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</si>
  <si>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</si>
  <si>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</si>
  <si>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</si>
  <si>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</si>
  <si>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</si>
  <si>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</si>
  <si>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</si>
  <si>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</si>
  <si>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</si>
  <si>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</si>
  <si>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</si>
  <si>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</si>
  <si>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</si>
  <si>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</si>
  <si>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</si>
  <si>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</si>
  <si>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</si>
  <si>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</si>
  <si>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</si>
  <si>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</si>
  <si>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</si>
  <si>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</si>
  <si>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</si>
  <si>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</si>
  <si>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</si>
  <si>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</si>
  <si>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</si>
  <si>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</si>
  <si>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</si>
  <si>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</si>
  <si>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</si>
  <si>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</si>
  <si>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</si>
  <si>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</si>
  <si>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</si>
  <si>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</si>
  <si>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</si>
  <si>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</si>
  <si>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</si>
  <si>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</si>
  <si>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</si>
  <si>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</si>
  <si>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</si>
  <si>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</si>
  <si>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</si>
  <si>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</si>
  <si>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</si>
  <si>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</si>
  <si>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</si>
  <si>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</si>
  <si>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</si>
  <si>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</si>
  <si>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</si>
  <si>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</si>
  <si>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</si>
  <si>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</si>
  <si>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</si>
  <si>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</si>
  <si>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</si>
  <si>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</si>
  <si>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</si>
  <si>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</si>
  <si>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</si>
  <si>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</si>
  <si>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</si>
  <si>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</si>
  <si>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</si>
  <si>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</si>
  <si>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</si>
  <si>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</si>
  <si>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</si>
  <si>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</si>
  <si>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</si>
  <si>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</si>
  <si>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</si>
  <si>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</si>
  <si>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</si>
  <si>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</si>
  <si>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</si>
  <si>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</si>
  <si>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</si>
  <si>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</si>
  <si>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</si>
  <si>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688288.SH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</si>
  <si>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</si>
  <si>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</si>
  <si>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</si>
  <si>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</si>
  <si>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</si>
  <si>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</si>
  <si>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</si>
  <si>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</si>
  <si>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</si>
  <si>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</si>
  <si>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</si>
  <si>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</si>
  <si>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</si>
  <si>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</si>
  <si>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</si>
  <si>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</si>
  <si>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</si>
  <si>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</si>
  <si>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</si>
  <si>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</si>
  <si>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</si>
  <si>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</si>
  <si>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</si>
  <si>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</si>
  <si>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</si>
  <si>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</si>
  <si>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</si>
  <si>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</si>
  <si>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</si>
  <si>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</si>
  <si>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</si>
  <si>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</si>
  <si>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</si>
  <si>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</si>
  <si>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</si>
  <si>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</si>
  <si>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</si>
  <si>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</si>
  <si>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</si>
  <si>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</si>
  <si>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</si>
  <si>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</si>
  <si>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</si>
  <si>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</si>
  <si>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</si>
  <si>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</si>
  <si>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</si>
  <si>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</si>
  <si>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</si>
  <si>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</si>
  <si>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</si>
  <si>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</si>
  <si>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</si>
  <si>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</si>
  <si>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</si>
  <si>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</si>
  <si>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</si>
  <si>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</si>
  <si>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</si>
  <si>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</si>
  <si>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</si>
  <si>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</si>
  <si>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</si>
  <si>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</si>
  <si>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</si>
  <si>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</si>
  <si>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</si>
  <si>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</si>
  <si>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</si>
  <si>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</si>
  <si>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</si>
  <si>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</si>
  <si>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</si>
  <si>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</si>
  <si>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</si>
  <si>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</si>
  <si>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</si>
  <si>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</si>
  <si>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</si>
  <si>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</si>
  <si>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</si>
  <si>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</si>
  <si>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</si>
  <si>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</si>
  <si>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</si>
  <si>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</si>
  <si>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</si>
  <si>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</si>
  <si>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</si>
  <si>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</si>
  <si>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</si>
  <si>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</si>
  <si>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</si>
  <si>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</si>
  <si>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</si>
  <si>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</si>
  <si>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</si>
  <si>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</si>
  <si>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</si>
  <si>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</si>
  <si>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</si>
  <si>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</si>
  <si>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</si>
  <si>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</si>
  <si>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</si>
  <si>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</si>
  <si>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</si>
  <si>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</si>
  <si>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</si>
  <si>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</si>
  <si>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</si>
  <si>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</si>
  <si>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</si>
  <si>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</si>
  <si>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</si>
  <si>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</si>
  <si>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</si>
  <si>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</si>
  <si>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</si>
  <si>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</si>
  <si>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</si>
  <si>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</si>
  <si>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</si>
  <si>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</si>
  <si>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</si>
  <si>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</si>
  <si>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</si>
  <si>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</si>
  <si>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</si>
  <si>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</si>
  <si>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</si>
  <si>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</si>
  <si>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</si>
  <si>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</si>
  <si>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</si>
  <si>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</si>
  <si>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</si>
  <si>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</si>
  <si>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</si>
  <si>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</si>
  <si>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</si>
  <si>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</si>
  <si>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</si>
  <si>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</si>
  <si>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</si>
  <si>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</si>
  <si>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</si>
  <si>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</si>
  <si>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</si>
  <si>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</si>
  <si>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</si>
  <si>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</si>
  <si>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</si>
  <si>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</si>
  <si>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</si>
  <si>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</si>
  <si>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</si>
  <si>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</si>
  <si>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</si>
  <si>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</si>
  <si>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</si>
  <si>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</si>
  <si>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</si>
  <si>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</si>
  <si>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</si>
  <si>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</si>
  <si>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</si>
  <si>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</si>
  <si>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</si>
  <si>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</si>
  <si>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</si>
  <si>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</si>
  <si>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</si>
  <si>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</si>
  <si>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</si>
  <si>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</si>
  <si>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</si>
  <si>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</si>
  <si>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</si>
  <si>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</si>
  <si>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</si>
  <si>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</si>
  <si>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</si>
  <si>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</si>
  <si>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</si>
  <si>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</si>
  <si>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</si>
  <si>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</si>
  <si>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</si>
  <si>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</si>
  <si>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</si>
  <si>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</si>
  <si>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</si>
  <si>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</si>
  <si>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</si>
  <si>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</si>
  <si>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</si>
  <si>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</si>
  <si>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</si>
  <si>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</si>
  <si>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</si>
  <si>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</si>
  <si>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</si>
  <si>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</si>
  <si>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</si>
  <si>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</si>
  <si>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</si>
  <si>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</si>
  <si>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</si>
  <si>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</si>
  <si>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</si>
  <si>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</si>
  <si>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</si>
  <si>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</si>
  <si>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</si>
  <si>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</si>
  <si>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诺诚健华-U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</si>
  <si>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</si>
  <si>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</si>
  <si>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</si>
  <si>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</si>
  <si>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</si>
  <si>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</si>
  <si>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</si>
  <si>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</si>
  <si>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</si>
  <si>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</si>
  <si>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</si>
  <si>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</si>
  <si>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</si>
  <si>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</si>
  <si>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</si>
  <si>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</si>
  <si>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</si>
  <si>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</si>
  <si>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</si>
  <si>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</si>
  <si>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</si>
  <si>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</si>
  <si>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</si>
  <si>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</si>
  <si>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</si>
  <si>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</si>
  <si>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</si>
  <si>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</si>
  <si>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</si>
  <si>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</si>
  <si>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</si>
  <si>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</si>
  <si>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</si>
  <si>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</si>
  <si>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</si>
  <si>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</si>
  <si>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</si>
  <si>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</si>
  <si>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</si>
  <si>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</si>
  <si>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</si>
  <si>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</si>
  <si>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</si>
  <si>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</si>
  <si>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</si>
  <si>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</si>
  <si>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</si>
  <si>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</si>
  <si>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</si>
  <si>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</si>
  <si>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</si>
  <si>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</si>
  <si>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</si>
  <si>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</si>
  <si>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</si>
  <si>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</si>
  <si>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</si>
  <si>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</si>
  <si>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</si>
  <si>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</si>
  <si>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</si>
  <si>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</si>
  <si>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</si>
  <si>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</si>
  <si>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</si>
  <si>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</si>
  <si>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</si>
  <si>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</si>
  <si>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</si>
  <si>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</si>
  <si>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</si>
  <si>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</si>
  <si>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</si>
  <si>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</si>
  <si>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</si>
  <si>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</si>
  <si>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</si>
  <si>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</si>
  <si>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</si>
  <si>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</si>
  <si>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</si>
  <si>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</si>
  <si>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</si>
  <si>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</si>
  <si>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</si>
  <si>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</si>
  <si>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</si>
  <si>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</si>
  <si>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</si>
  <si>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</si>
  <si>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</si>
  <si>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</si>
  <si>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</si>
  <si>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</si>
  <si>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</si>
  <si>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</si>
  <si>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</si>
  <si>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</si>
  <si>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</si>
  <si>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</si>
  <si>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</si>
  <si>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</si>
  <si>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</si>
  <si>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</si>
  <si>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</si>
  <si>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</si>
  <si>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</si>
  <si>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</si>
  <si>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</si>
  <si>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</si>
  <si>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</si>
  <si>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</si>
  <si>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</si>
  <si>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</si>
  <si>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</si>
  <si>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</si>
  <si>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</si>
  <si>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</si>
  <si>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</si>
  <si>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</si>
  <si>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</si>
  <si>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</si>
  <si>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</si>
  <si>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</si>
  <si>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</si>
  <si>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</si>
  <si>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</si>
  <si>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</si>
  <si>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</si>
  <si>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</si>
  <si>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</si>
  <si>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</si>
  <si>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</si>
  <si>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</si>
  <si>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</si>
  <si>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</si>
  <si>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</si>
  <si>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</si>
  <si>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</si>
  <si>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</si>
  <si>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</si>
  <si>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</si>
  <si>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</si>
  <si>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</si>
  <si>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</si>
  <si>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</si>
  <si>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</si>
  <si>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</si>
  <si>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</si>
  <si>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</si>
  <si>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</si>
  <si>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</si>
  <si>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</si>
  <si>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</si>
  <si>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</si>
  <si>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</si>
  <si>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</si>
  <si>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</si>
  <si>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</si>
  <si>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</si>
  <si>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</si>
  <si>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</si>
  <si>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</si>
  <si>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</si>
  <si>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</si>
  <si>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</si>
  <si>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</si>
  <si>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</si>
  <si>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</si>
  <si>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</si>
  <si>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</si>
  <si>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688580.SH</t>
  </si>
  <si>
    <t>伟思医疗</t>
  </si>
  <si>
    <t>688581.SH</t>
  </si>
  <si>
    <t>安杰思</t>
  </si>
  <si>
    <t>688582.SH</t>
  </si>
  <si>
    <t>芯动联科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</si>
  <si>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</si>
  <si>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</si>
  <si>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</si>
  <si>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</si>
  <si>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</si>
  <si>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</si>
  <si>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</si>
  <si>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</si>
  <si>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</si>
  <si>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</si>
  <si>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</si>
  <si>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</si>
  <si>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</si>
  <si>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</si>
  <si>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</si>
  <si>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</si>
  <si>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</si>
  <si>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</si>
  <si>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</si>
  <si>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</si>
  <si>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</si>
  <si>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</si>
  <si>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</si>
  <si>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</si>
  <si>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</si>
  <si>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</si>
  <si>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</si>
  <si>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</si>
  <si>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</si>
  <si>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</si>
  <si>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</si>
  <si>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</si>
  <si>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</si>
  <si>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</si>
  <si>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</si>
  <si>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</si>
  <si>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</si>
  <si>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</si>
  <si>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</si>
  <si>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</si>
  <si>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</si>
  <si>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</si>
  <si>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</si>
  <si>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</si>
  <si>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</si>
  <si>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</si>
  <si>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</si>
  <si>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</si>
  <si>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</si>
  <si>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</si>
  <si>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</si>
  <si>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</si>
  <si>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</si>
  <si>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</si>
  <si>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</si>
  <si>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</si>
  <si>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</si>
  <si>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</si>
  <si>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</si>
  <si>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</si>
  <si>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</si>
  <si>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</si>
  <si>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</si>
  <si>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</si>
  <si>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</si>
  <si>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</si>
  <si>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</si>
  <si>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</si>
  <si>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</si>
  <si>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</si>
  <si>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</si>
  <si>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</si>
  <si>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</si>
  <si>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</si>
  <si>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</si>
  <si>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</si>
  <si>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</si>
  <si>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</si>
  <si>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</si>
  <si>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</si>
  <si>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</si>
  <si>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</si>
  <si>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</si>
  <si>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</si>
  <si>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</si>
  <si>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</si>
  <si>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</si>
  <si>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</si>
  <si>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</si>
  <si>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</si>
  <si>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</si>
  <si>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</si>
  <si>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</si>
  <si>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</si>
  <si>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</si>
  <si>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</si>
  <si>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</si>
  <si>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</si>
  <si>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</si>
  <si>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</si>
  <si>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</si>
  <si>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</si>
  <si>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</si>
  <si>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</si>
  <si>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</si>
  <si>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</si>
  <si>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</si>
  <si>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</si>
  <si>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</si>
  <si>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</si>
  <si>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</si>
  <si>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</si>
  <si>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</si>
  <si>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</si>
  <si>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</si>
  <si>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</si>
  <si>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</si>
  <si>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</si>
  <si>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</si>
  <si>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</si>
  <si>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</si>
  <si>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</si>
  <si>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</si>
  <si>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</si>
  <si>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</si>
  <si>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</si>
  <si>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</si>
  <si>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</si>
  <si>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</si>
  <si>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</si>
  <si>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</si>
  <si>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</si>
  <si>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</si>
  <si>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</si>
  <si>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</si>
  <si>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</si>
  <si>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</si>
  <si>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</si>
  <si>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</si>
  <si>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</si>
  <si>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</si>
  <si>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</si>
  <si>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</si>
  <si>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</si>
  <si>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</si>
  <si>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</si>
  <si>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</si>
  <si>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</si>
  <si>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</si>
  <si>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</si>
  <si>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</si>
  <si>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</si>
  <si>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</si>
  <si>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</si>
  <si>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</si>
  <si>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</si>
  <si>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</si>
  <si>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</si>
  <si>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</si>
  <si>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</si>
  <si>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</si>
  <si>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</si>
  <si>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</si>
  <si>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</si>
  <si>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</si>
  <si>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</si>
  <si>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</si>
  <si>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</si>
  <si>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</si>
  <si>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</si>
  <si>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</si>
  <si>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</si>
  <si>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</si>
  <si>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</si>
  <si>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</si>
  <si>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688709.SH</t>
  </si>
  <si>
    <t>成都华微</t>
  </si>
  <si>
    <t>688711.SH</t>
  </si>
  <si>
    <t>宏微科技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</si>
  <si>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</si>
  <si>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</si>
  <si>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</si>
  <si>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</si>
  <si>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</si>
  <si>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</si>
  <si>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</si>
  <si>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</si>
  <si>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</si>
  <si>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</si>
  <si>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</si>
  <si>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</si>
  <si>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</si>
  <si>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</si>
  <si>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</si>
  <si>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</si>
  <si>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</si>
  <si>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</si>
  <si>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</si>
  <si>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</si>
  <si>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</si>
  <si>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</si>
  <si>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</si>
  <si>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</si>
  <si>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</si>
  <si>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</si>
  <si>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</si>
  <si>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</si>
  <si>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</si>
  <si>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</si>
  <si>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</si>
  <si>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</si>
  <si>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</si>
  <si>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</si>
  <si>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</si>
  <si>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</si>
  <si>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</si>
  <si>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</si>
  <si>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</si>
  <si>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</si>
  <si>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</si>
  <si>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</si>
  <si>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</si>
  <si>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</si>
  <si>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</si>
  <si>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</si>
  <si>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</si>
  <si>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</si>
  <si>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</si>
  <si>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</si>
  <si>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</si>
  <si>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</si>
  <si>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</si>
  <si>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</si>
  <si>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</si>
  <si>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</si>
  <si>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</si>
  <si>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武汉蓝电</t>
  </si>
  <si>
    <t>艾融软件</t>
  </si>
  <si>
    <t>安达科技</t>
  </si>
  <si>
    <t>齐鲁华信</t>
  </si>
  <si>
    <t>万通液压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</si>
  <si>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</si>
  <si>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</si>
  <si>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</si>
  <si>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</si>
  <si>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</si>
  <si>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</si>
  <si>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</si>
  <si>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</si>
  <si>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</si>
  <si>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</si>
  <si>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</si>
  <si>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</si>
  <si>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</si>
  <si>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</si>
  <si>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</si>
  <si>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</si>
  <si>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龙竹科技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</si>
  <si>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</si>
  <si>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</si>
  <si>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</si>
  <si>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</si>
  <si>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</si>
  <si>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</si>
  <si>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</si>
  <si>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</si>
  <si>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</si>
  <si>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</si>
  <si>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</si>
  <si>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</si>
  <si>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</si>
  <si>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</si>
  <si>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</si>
  <si>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</si>
  <si>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</si>
  <si>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</si>
  <si>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</si>
  <si>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</si>
  <si>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</si>
  <si>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</si>
  <si>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</si>
  <si>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</si>
  <si>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</si>
  <si>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</si>
  <si>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</si>
  <si>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</si>
  <si>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</si>
  <si>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</si>
  <si>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</si>
  <si>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</si>
  <si>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</si>
  <si>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</si>
  <si>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</si>
  <si>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</si>
  <si>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</si>
  <si>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</si>
  <si>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</si>
  <si>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</si>
  <si>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</si>
  <si>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</si>
  <si>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</si>
  <si>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</si>
  <si>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</si>
  <si>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</si>
  <si>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</si>
  <si>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</si>
  <si>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</si>
  <si>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</si>
  <si>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</si>
  <si>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</si>
  <si>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</si>
  <si>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</si>
  <si>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</si>
  <si>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颖泰生物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</si>
  <si>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</si>
  <si>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</si>
  <si>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</si>
  <si>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</si>
  <si>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</si>
  <si>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</si>
  <si>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</si>
  <si>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</si>
  <si>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</si>
  <si>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</si>
  <si>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</si>
  <si>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</si>
  <si>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</si>
  <si>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</si>
  <si>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球冠电缆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</si>
  <si>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</si>
  <si>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</si>
  <si>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</si>
  <si>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</si>
  <si>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</si>
  <si>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</si>
  <si>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</si>
  <si>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</si>
  <si>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</si>
  <si>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连城数控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</si>
  <si>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</si>
  <si>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</si>
  <si>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</si>
  <si>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</si>
  <si>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</si>
  <si>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</si>
  <si>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</si>
  <si>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</si>
  <si>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</si>
  <si>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</si>
  <si>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</si>
  <si>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</si>
  <si>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</si>
  <si>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</si>
  <si>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</si>
  <si>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</si>
  <si>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</si>
  <si>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</si>
  <si>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</si>
  <si>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</si>
  <si>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</si>
  <si>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</si>
  <si>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</si>
  <si>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</si>
  <si>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</si>
  <si>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</si>
  <si>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</si>
  <si>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</si>
  <si>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</si>
  <si>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</si>
  <si>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</si>
  <si>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</si>
  <si>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</si>
  <si>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</si>
  <si>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</si>
  <si>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</si>
  <si>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</si>
  <si>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</si>
  <si>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</si>
  <si>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</si>
  <si>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</si>
  <si>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</si>
  <si>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</si>
  <si>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</si>
  <si>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</si>
  <si>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</si>
  <si>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</si>
  <si>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</si>
  <si>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</si>
  <si>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</si>
  <si>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</si>
  <si>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</si>
  <si>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</si>
  <si>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</si>
  <si>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</si>
  <si>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华原股份</t>
  </si>
  <si>
    <t>广脉科技</t>
  </si>
  <si>
    <t>天马新材</t>
  </si>
  <si>
    <t>同享科技</t>
  </si>
  <si>
    <t>一致魔芋</t>
  </si>
  <si>
    <t>欧福蛋业</t>
  </si>
  <si>
    <t>并行科技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</si>
  <si>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</si>
  <si>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</si>
  <si>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</si>
  <si>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</si>
  <si>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</si>
  <si>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</si>
  <si>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</si>
  <si>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</si>
  <si>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</si>
  <si>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</si>
  <si>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</si>
  <si>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</si>
  <si>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</si>
  <si>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</si>
  <si>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</si>
  <si>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</si>
  <si>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</si>
  <si>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</si>
  <si>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</si>
  <si>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</si>
  <si>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</si>
  <si>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</si>
  <si>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</si>
  <si>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</si>
  <si>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</si>
  <si>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</si>
  <si>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</si>
  <si>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</si>
  <si>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</si>
  <si>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</si>
  <si>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</si>
  <si>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</si>
  <si>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</si>
  <si>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</si>
  <si>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</si>
  <si>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</si>
  <si>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</si>
  <si>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</si>
  <si>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</si>
  <si>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</si>
  <si>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</si>
  <si>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</si>
  <si>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</si>
  <si>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</si>
  <si>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</si>
  <si>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</si>
  <si>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</si>
  <si>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</si>
  <si>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</si>
  <si>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</si>
  <si>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</si>
  <si>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</si>
  <si>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</si>
  <si>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</si>
  <si>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</si>
  <si>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</si>
  <si>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</si>
  <si>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</si>
  <si>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</si>
  <si>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Wind代码</t>
    <phoneticPr fontId="8" type="noConversion"/>
  </si>
  <si>
    <t>证券简称</t>
    <phoneticPr fontId="8" type="noConversion"/>
  </si>
  <si>
    <t>总市值(亿）</t>
    <phoneticPr fontId="8" type="noConversion"/>
  </si>
  <si>
    <t>年初至今涨跌幅（%）</t>
    <phoneticPr fontId="8" type="noConversion"/>
  </si>
  <si>
    <t>当日收盘价</t>
    <phoneticPr fontId="8" type="noConversion"/>
  </si>
  <si>
    <t>当日高点</t>
    <phoneticPr fontId="8" type="noConversion"/>
  </si>
  <si>
    <t>个股历史新高</t>
    <phoneticPr fontId="6" type="noConversion"/>
  </si>
  <si>
    <t>a002010100000000</t>
    <phoneticPr fontId="1" type="noConversion"/>
  </si>
  <si>
    <t>a005010200000000</t>
  </si>
  <si>
    <t>全部A股</t>
  </si>
  <si>
    <t>全部A股</t>
    <phoneticPr fontId="1" type="noConversion"/>
  </si>
  <si>
    <t>全部港股</t>
    <phoneticPr fontId="1" type="noConversion"/>
  </si>
  <si>
    <t>1000022852000000</t>
  </si>
  <si>
    <t>1000022853000000</t>
  </si>
  <si>
    <t>全部NYSE股票</t>
    <phoneticPr fontId="1" type="noConversion"/>
  </si>
  <si>
    <t>纳斯达克精选市场</t>
    <phoneticPr fontId="1" type="noConversion"/>
  </si>
  <si>
    <t>纳斯达克全球市场</t>
    <phoneticPr fontId="1" type="noConversion"/>
  </si>
  <si>
    <t>个股历史新高</t>
  </si>
  <si>
    <t>戈碧迦</t>
  </si>
  <si>
    <t>选择市场:</t>
    <phoneticPr fontId="8" type="noConversion"/>
  </si>
  <si>
    <t>查询日期:</t>
    <phoneticPr fontId="8" type="noConversion"/>
  </si>
  <si>
    <t>000001.SZ</t>
    <phoneticPr fontId="1" type="noConversion"/>
  </si>
  <si>
    <t>平安银行</t>
    <phoneticPr fontId="1" type="noConversion"/>
  </si>
  <si>
    <t>001359.SZ</t>
  </si>
  <si>
    <t>301536.SZ</t>
  </si>
  <si>
    <t>骏鼎达</t>
  </si>
  <si>
    <t>星德胜</t>
  </si>
  <si>
    <t>芭薇股份</t>
  </si>
  <si>
    <t>*ST国华</t>
  </si>
  <si>
    <t>全新好</t>
  </si>
  <si>
    <t>金隅冀东</t>
  </si>
  <si>
    <t>合百集团</t>
  </si>
  <si>
    <t>ST张家界</t>
  </si>
  <si>
    <t>ST晨鸣</t>
  </si>
  <si>
    <t>*ST生物</t>
  </si>
  <si>
    <t>招金黄金</t>
  </si>
  <si>
    <t>*ST四环</t>
  </si>
  <si>
    <t>红太阳</t>
  </si>
  <si>
    <t>绿发电力</t>
  </si>
  <si>
    <t>天府文旅</t>
  </si>
  <si>
    <t>供销大集</t>
  </si>
  <si>
    <t>古汉医药</t>
  </si>
  <si>
    <t>*ST宝实</t>
  </si>
  <si>
    <t>*ST阳光</t>
  </si>
  <si>
    <t>ST中迪</t>
  </si>
  <si>
    <t>盈新发展</t>
  </si>
  <si>
    <t>顺发恒能</t>
  </si>
  <si>
    <t>茂化实华</t>
  </si>
  <si>
    <t>*ST万方</t>
  </si>
  <si>
    <t>*ST金科</t>
  </si>
  <si>
    <t>*ST荣控</t>
  </si>
  <si>
    <t>博源化工</t>
  </si>
  <si>
    <t>*ST亚太</t>
  </si>
  <si>
    <t>惠天热电</t>
  </si>
  <si>
    <t>ST炼石</t>
  </si>
  <si>
    <t>ST沈化</t>
  </si>
  <si>
    <t>ST京蓝</t>
  </si>
  <si>
    <t>国投丰乐</t>
  </si>
  <si>
    <t>*ST中地</t>
  </si>
  <si>
    <t>ST西发</t>
  </si>
  <si>
    <t>山西高速</t>
  </si>
  <si>
    <t>恒申新材</t>
  </si>
  <si>
    <t>居然智家</t>
  </si>
  <si>
    <t>*ST华闻</t>
  </si>
  <si>
    <t>凯撒旅业</t>
  </si>
  <si>
    <t>和展能源</t>
  </si>
  <si>
    <t>*ST节能</t>
  </si>
  <si>
    <t>ST京机</t>
  </si>
  <si>
    <t>国安股份</t>
  </si>
  <si>
    <t>电投绿能</t>
  </si>
  <si>
    <t>中嘉博创</t>
  </si>
  <si>
    <t>ST云动</t>
  </si>
  <si>
    <t>*ST景峰</t>
  </si>
  <si>
    <t>*ST兰黄</t>
  </si>
  <si>
    <t>*ST中基</t>
  </si>
  <si>
    <t>山金国际</t>
  </si>
  <si>
    <t>001220.SZ</t>
  </si>
  <si>
    <t>世盟股份</t>
  </si>
  <si>
    <t>001221.SZ</t>
  </si>
  <si>
    <t>悍高集团</t>
  </si>
  <si>
    <t>001233.SZ</t>
  </si>
  <si>
    <t>海安集团</t>
  </si>
  <si>
    <t>*ST铖昌</t>
  </si>
  <si>
    <t>001277.SZ</t>
  </si>
  <si>
    <t>速达股份</t>
  </si>
  <si>
    <t>001279.SZ</t>
  </si>
  <si>
    <t>强邦新材</t>
  </si>
  <si>
    <t>001280.SZ</t>
  </si>
  <si>
    <t>中国铀业</t>
  </si>
  <si>
    <t>001285.SZ</t>
  </si>
  <si>
    <t>瑞立科密</t>
  </si>
  <si>
    <t>001325.SZ</t>
  </si>
  <si>
    <t>元创股份</t>
  </si>
  <si>
    <t>001335.SZ</t>
  </si>
  <si>
    <t>信凯科技</t>
  </si>
  <si>
    <t>001356.SZ</t>
  </si>
  <si>
    <t>富岭股份</t>
  </si>
  <si>
    <t>平安电工</t>
  </si>
  <si>
    <t>001369.SZ</t>
  </si>
  <si>
    <t>双欣材料</t>
  </si>
  <si>
    <t>001382.SZ</t>
  </si>
  <si>
    <t>新亚电缆</t>
  </si>
  <si>
    <t>001386.SZ</t>
  </si>
  <si>
    <t>马可波罗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</si>
  <si>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</si>
  <si>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</si>
  <si>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</si>
  <si>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</si>
  <si>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</si>
  <si>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</si>
  <si>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</si>
  <si>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</si>
  <si>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001395.SZ</t>
  </si>
  <si>
    <t>亚联机械</t>
  </si>
  <si>
    <t>001396.SZ</t>
  </si>
  <si>
    <t>誉帆科技</t>
  </si>
  <si>
    <t>001400.SZ</t>
  </si>
  <si>
    <t>江顺科技</t>
  </si>
  <si>
    <t>中捷资源</t>
  </si>
  <si>
    <t>*ST宝鹰</t>
  </si>
  <si>
    <t>同洲电子</t>
  </si>
  <si>
    <t>ST得润</t>
  </si>
  <si>
    <t>*ST威尔</t>
  </si>
  <si>
    <t>*ST星光</t>
  </si>
  <si>
    <t>东方海洋</t>
  </si>
  <si>
    <t>能特科技</t>
  </si>
  <si>
    <t>ST汇洲</t>
  </si>
  <si>
    <t>钛能化学</t>
  </si>
  <si>
    <t>正泰电源</t>
  </si>
  <si>
    <t>正邦科技</t>
  </si>
  <si>
    <t>*ST惠程</t>
  </si>
  <si>
    <t>*ST东晶</t>
  </si>
  <si>
    <t>*ST交投</t>
  </si>
  <si>
    <t>九鼎新材</t>
  </si>
  <si>
    <t>ST宏达</t>
  </si>
  <si>
    <t>*ST大立</t>
  </si>
  <si>
    <t>*ST奥维</t>
  </si>
  <si>
    <t>步步高</t>
  </si>
  <si>
    <t>*ST智胜</t>
  </si>
  <si>
    <t>升达林业</t>
  </si>
  <si>
    <t>*ST宇顺</t>
  </si>
  <si>
    <t>中电鑫龙</t>
  </si>
  <si>
    <t>*ST南置</t>
  </si>
  <si>
    <t>*ST云网</t>
  </si>
  <si>
    <t>中利集团</t>
  </si>
  <si>
    <t>东方新能</t>
  </si>
  <si>
    <t>宏桥控股</t>
  </si>
  <si>
    <t>ST百灵</t>
  </si>
  <si>
    <t>龙星科技</t>
  </si>
  <si>
    <t>广田集团</t>
  </si>
  <si>
    <t>山东墨龙</t>
  </si>
  <si>
    <t>*ST辉丰</t>
  </si>
  <si>
    <t>ST达华</t>
  </si>
  <si>
    <t>ST英飞拓</t>
  </si>
  <si>
    <t>*ST海源</t>
  </si>
  <si>
    <t>天沃科技</t>
  </si>
  <si>
    <t>*ST步森</t>
  </si>
  <si>
    <t>ST未名</t>
  </si>
  <si>
    <t>ST围海</t>
  </si>
  <si>
    <t>ST瑞和</t>
  </si>
  <si>
    <t>ST华西</t>
  </si>
  <si>
    <t>雪人集团</t>
  </si>
  <si>
    <t>*ST仁东</t>
  </si>
  <si>
    <t>ST加加</t>
  </si>
  <si>
    <t>*ST摩登</t>
  </si>
  <si>
    <t>峰璟股份</t>
  </si>
  <si>
    <t>TCL智家</t>
  </si>
  <si>
    <t>国盛证券</t>
  </si>
  <si>
    <t>ST远智</t>
  </si>
  <si>
    <t>*ST双成</t>
  </si>
  <si>
    <t>万憬能源</t>
  </si>
  <si>
    <t>*ST东易</t>
  </si>
  <si>
    <t>湖南白银</t>
  </si>
  <si>
    <t>ST岭南</t>
  </si>
  <si>
    <t>金一文化</t>
  </si>
  <si>
    <t>ST萃华</t>
  </si>
  <si>
    <t>*ST三圣</t>
  </si>
  <si>
    <t>*ST金比</t>
  </si>
  <si>
    <t>*ST建艺</t>
  </si>
  <si>
    <t>帝欧水华</t>
  </si>
  <si>
    <t>天顺股份</t>
  </si>
  <si>
    <t>*ST恒久</t>
  </si>
  <si>
    <t>*ST高斯</t>
  </si>
  <si>
    <t>*ST绿康</t>
  </si>
  <si>
    <t>*ST赛隆</t>
  </si>
  <si>
    <t>金时科技</t>
  </si>
  <si>
    <t>*ST声迅</t>
  </si>
  <si>
    <t>同兴科技</t>
  </si>
  <si>
    <t>*ST传智</t>
  </si>
  <si>
    <t>豆神教育</t>
  </si>
  <si>
    <t>ST银江</t>
  </si>
  <si>
    <t>*ST天龙</t>
  </si>
  <si>
    <t>ST赛为</t>
  </si>
  <si>
    <t>福瑞医科</t>
  </si>
  <si>
    <t>ST中青宝</t>
  </si>
  <si>
    <t>思创智联</t>
  </si>
  <si>
    <t>*ST金灵</t>
  </si>
  <si>
    <t>*ST金刚</t>
  </si>
  <si>
    <t>ST智云</t>
  </si>
  <si>
    <t>*ST聆达</t>
  </si>
  <si>
    <t>南方泵业</t>
  </si>
  <si>
    <t>ST香雪</t>
  </si>
  <si>
    <t>ST新动力</t>
  </si>
  <si>
    <t>*ST新研</t>
  </si>
  <si>
    <t>ST天瑞</t>
  </si>
  <si>
    <t>ST福能</t>
  </si>
  <si>
    <t>ST朗源</t>
  </si>
  <si>
    <t>鸿特科技</t>
  </si>
  <si>
    <t>神农种业</t>
  </si>
  <si>
    <t>ST纳川</t>
  </si>
  <si>
    <t>*ST天喻</t>
  </si>
  <si>
    <t>行云科技</t>
  </si>
  <si>
    <t>*ST亿通</t>
  </si>
  <si>
    <t>金运激光</t>
  </si>
  <si>
    <t>*ST金泰</t>
  </si>
  <si>
    <t>ST美晨</t>
  </si>
  <si>
    <t>ST长方</t>
  </si>
  <si>
    <t>ST任子行</t>
  </si>
  <si>
    <t>ST凯利</t>
  </si>
  <si>
    <t>ST开元</t>
  </si>
  <si>
    <t>ST联创</t>
  </si>
  <si>
    <t>*ST立方</t>
  </si>
  <si>
    <t>ST创意</t>
  </si>
  <si>
    <t>鼎捷数智</t>
  </si>
  <si>
    <t>富邦科技</t>
  </si>
  <si>
    <t>*ST长药</t>
  </si>
  <si>
    <t>ST浩丰</t>
  </si>
  <si>
    <t>五洋自控</t>
  </si>
  <si>
    <t>华智数媒</t>
  </si>
  <si>
    <t>红相股份</t>
  </si>
  <si>
    <t>ST惠伦</t>
  </si>
  <si>
    <t>ST华铭</t>
  </si>
  <si>
    <t>*ST新元</t>
  </si>
  <si>
    <t>ST合纵</t>
  </si>
  <si>
    <t>ST名家汇</t>
  </si>
  <si>
    <t>ST应急</t>
  </si>
  <si>
    <t>长芯博创</t>
  </si>
  <si>
    <t>*ST汇科</t>
  </si>
  <si>
    <t>会畅科技</t>
  </si>
  <si>
    <t>天铁科技</t>
  </si>
  <si>
    <t>朗新科技</t>
  </si>
  <si>
    <t>中赋科技</t>
  </si>
  <si>
    <t>ST泉为</t>
  </si>
  <si>
    <t>汉嘉数智</t>
  </si>
  <si>
    <t>300784.SZ</t>
  </si>
  <si>
    <t>利安科技</t>
  </si>
  <si>
    <t>建科智能</t>
  </si>
  <si>
    <t>西域旅游</t>
  </si>
  <si>
    <t>松原安全</t>
  </si>
  <si>
    <t>*ST凯鑫</t>
  </si>
  <si>
    <t>中伟新材</t>
  </si>
  <si>
    <t>玉马科技</t>
  </si>
  <si>
    <t>奕帆传动</t>
  </si>
  <si>
    <t>鼎熔岩</t>
  </si>
  <si>
    <t>青木科技</t>
  </si>
  <si>
    <t>联检科技</t>
  </si>
  <si>
    <t>武汉天源</t>
  </si>
  <si>
    <t>301173.SZ</t>
  </si>
  <si>
    <t>毓恬冠佳</t>
  </si>
  <si>
    <t>力诺药包</t>
  </si>
  <si>
    <t>金杨精密</t>
  </si>
  <si>
    <t>华康洁净</t>
  </si>
  <si>
    <t>301275.SZ</t>
  </si>
  <si>
    <t>汉朔科技</t>
  </si>
  <si>
    <t>*ST清研</t>
  </si>
  <si>
    <t>朗坤科技</t>
  </si>
  <si>
    <t>瑞迈特</t>
  </si>
  <si>
    <t>301392.SZ</t>
  </si>
  <si>
    <t>汇成真空</t>
  </si>
  <si>
    <t>301449.SZ</t>
  </si>
  <si>
    <t>天溯计量</t>
  </si>
  <si>
    <t>301458.SZ</t>
  </si>
  <si>
    <t>钧崴电子</t>
  </si>
  <si>
    <t>301479.SZ</t>
  </si>
  <si>
    <t>弘景光电</t>
  </si>
  <si>
    <t>301491.SZ</t>
  </si>
  <si>
    <t>汉桑科技</t>
  </si>
  <si>
    <t>301501.SZ</t>
  </si>
  <si>
    <t>恒鑫生活</t>
  </si>
  <si>
    <t>301522.SZ</t>
  </si>
  <si>
    <t>上大股份</t>
  </si>
  <si>
    <t>301535.SZ</t>
  </si>
  <si>
    <t>浙江华远</t>
  </si>
  <si>
    <t>星宸科技</t>
  </si>
  <si>
    <t>301539.SZ</t>
  </si>
  <si>
    <t>宏鑫科技</t>
  </si>
  <si>
    <t>斯菱智驱</t>
  </si>
  <si>
    <t>301551.SZ</t>
  </si>
  <si>
    <t>无线传媒</t>
  </si>
  <si>
    <t>301552.SZ</t>
  </si>
  <si>
    <t>科力装备</t>
  </si>
  <si>
    <t>301556.SZ</t>
  </si>
  <si>
    <t>托普云农</t>
  </si>
  <si>
    <t>301557.SZ</t>
  </si>
  <si>
    <t>常友科技</t>
  </si>
  <si>
    <t>301560.SZ</t>
  </si>
  <si>
    <t>众捷汽车</t>
  </si>
  <si>
    <t>301563.SZ</t>
  </si>
  <si>
    <t>云汉芯城</t>
  </si>
  <si>
    <t>301565.SZ</t>
  </si>
  <si>
    <t>中仑新材</t>
  </si>
  <si>
    <t>301571.SZ</t>
  </si>
  <si>
    <t>国科天成</t>
  </si>
  <si>
    <t>301575.SZ</t>
  </si>
  <si>
    <t>艾芬达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</si>
  <si>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</si>
  <si>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</si>
  <si>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</si>
  <si>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</si>
  <si>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</si>
  <si>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</si>
  <si>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</si>
  <si>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</si>
  <si>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</si>
  <si>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</si>
  <si>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</si>
  <si>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</si>
  <si>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301590.SZ</t>
  </si>
  <si>
    <t>优优绿能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</si>
  <si>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</si>
  <si>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</si>
  <si>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</si>
  <si>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</si>
  <si>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</si>
  <si>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</si>
  <si>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</si>
  <si>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</si>
  <si>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</si>
  <si>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</si>
  <si>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</si>
  <si>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</si>
  <si>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</si>
  <si>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</si>
  <si>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</si>
  <si>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</si>
  <si>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</si>
  <si>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</si>
  <si>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</si>
  <si>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</si>
  <si>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</si>
  <si>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</si>
  <si>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</si>
  <si>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</si>
  <si>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</si>
  <si>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</si>
  <si>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</si>
  <si>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</si>
  <si>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</si>
  <si>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</si>
  <si>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</si>
  <si>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</si>
  <si>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</si>
  <si>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</si>
  <si>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</si>
  <si>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</si>
  <si>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</si>
  <si>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</si>
  <si>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</si>
  <si>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</si>
  <si>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</si>
  <si>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</si>
  <si>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</si>
  <si>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</si>
  <si>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</si>
  <si>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</si>
  <si>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</si>
  <si>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</si>
  <si>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</si>
  <si>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</si>
  <si>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</si>
  <si>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</si>
  <si>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</si>
  <si>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</si>
  <si>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</si>
  <si>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</si>
  <si>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</si>
  <si>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</si>
  <si>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</si>
  <si>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</si>
  <si>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</si>
  <si>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</si>
  <si>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</si>
  <si>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</si>
  <si>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</si>
  <si>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</si>
  <si>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</si>
  <si>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</si>
  <si>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</si>
  <si>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C固德电</t>
  </si>
  <si>
    <t>301687.SZ</t>
  </si>
  <si>
    <t>新广益</t>
  </si>
  <si>
    <t>302132.SZ</t>
  </si>
  <si>
    <t>中航成飞</t>
  </si>
  <si>
    <t>东风股份</t>
  </si>
  <si>
    <t>冠城新材</t>
  </si>
  <si>
    <t>光明肉业</t>
  </si>
  <si>
    <t>澄星股份</t>
  </si>
  <si>
    <t>ST人福</t>
  </si>
  <si>
    <t>ST尔雅</t>
  </si>
  <si>
    <t>西宁特钢</t>
  </si>
  <si>
    <t>*ST波导</t>
  </si>
  <si>
    <t>ST明诚</t>
  </si>
  <si>
    <t>ST宁科</t>
  </si>
  <si>
    <t>ST太重</t>
  </si>
  <si>
    <t>卧龙新能</t>
  </si>
  <si>
    <t>珠免集团</t>
  </si>
  <si>
    <t>莲花控股</t>
  </si>
  <si>
    <t>*ST创兴</t>
  </si>
  <si>
    <t>衢州发展</t>
  </si>
  <si>
    <t>亨通股份</t>
  </si>
  <si>
    <t>*ST返利</t>
  </si>
  <si>
    <t>*ST椰岛</t>
  </si>
  <si>
    <t>*ST海华</t>
  </si>
  <si>
    <t>中稀有色</t>
  </si>
  <si>
    <t>苏豪时尚</t>
  </si>
  <si>
    <t>电投水电</t>
  </si>
  <si>
    <t>曙光股份</t>
  </si>
  <si>
    <t>*ST精伦</t>
  </si>
  <si>
    <t>ST联合</t>
  </si>
  <si>
    <t>*ST华微</t>
  </si>
  <si>
    <t>汉马科技</t>
  </si>
  <si>
    <t>*ST春天</t>
  </si>
  <si>
    <t>华电辽能</t>
  </si>
  <si>
    <t>江钨装备</t>
  </si>
  <si>
    <t>*ST华嵘</t>
  </si>
  <si>
    <t>康美药业</t>
  </si>
  <si>
    <t>三佳科技</t>
  </si>
  <si>
    <t>ST长园</t>
  </si>
  <si>
    <t>交大昂立</t>
  </si>
  <si>
    <t>莫高股份</t>
  </si>
  <si>
    <t>中化装备</t>
  </si>
  <si>
    <t>大位科技</t>
  </si>
  <si>
    <t>*ST熊猫</t>
  </si>
  <si>
    <t>*ST沪科</t>
  </si>
  <si>
    <t>鑫源智造</t>
  </si>
  <si>
    <t>ST复华</t>
  </si>
  <si>
    <t>*ST国化</t>
  </si>
  <si>
    <t>先导基电</t>
  </si>
  <si>
    <t>中安科</t>
  </si>
  <si>
    <t>奥瑞德</t>
  </si>
  <si>
    <t>天目药业</t>
  </si>
  <si>
    <t>潞化科技</t>
  </si>
  <si>
    <t>*ST岩石</t>
  </si>
  <si>
    <t>实达集团</t>
  </si>
  <si>
    <t>ST新华锦</t>
  </si>
  <si>
    <t>富维股份</t>
  </si>
  <si>
    <t>华远控股</t>
  </si>
  <si>
    <t>华润江中</t>
  </si>
  <si>
    <t>*ST海钦</t>
  </si>
  <si>
    <t>洲际油气</t>
  </si>
  <si>
    <t>*ST新潮</t>
  </si>
  <si>
    <t>华新建材</t>
  </si>
  <si>
    <t>济高发展</t>
  </si>
  <si>
    <t>金煤科技</t>
  </si>
  <si>
    <t>华能蒙电</t>
  </si>
  <si>
    <t>*ST大晟</t>
  </si>
  <si>
    <t>600930.SH</t>
  </si>
  <si>
    <t>华电新能</t>
  </si>
  <si>
    <t>北投科技</t>
  </si>
  <si>
    <t>苏豪汇鸿</t>
  </si>
  <si>
    <t>601026.SH</t>
  </si>
  <si>
    <t>道生天合</t>
  </si>
  <si>
    <t>601112.SH</t>
  </si>
  <si>
    <t>振石股份</t>
  </si>
  <si>
    <t>国泰海通</t>
  </si>
  <si>
    <t>华电科工</t>
  </si>
  <si>
    <t>国联民生</t>
  </si>
  <si>
    <t>衢州东峰</t>
  </si>
  <si>
    <t>中创智领</t>
  </si>
  <si>
    <t>千里科技</t>
  </si>
  <si>
    <t>奥康国际</t>
  </si>
  <si>
    <t>*ST花王</t>
  </si>
  <si>
    <t>603014.SH</t>
  </si>
  <si>
    <t>威高血净</t>
  </si>
  <si>
    <t>ST华鹏</t>
  </si>
  <si>
    <t>石大胜华</t>
  </si>
  <si>
    <t>全筑股份</t>
  </si>
  <si>
    <t>603049.SH</t>
  </si>
  <si>
    <t>中策橡胶</t>
  </si>
  <si>
    <t>603072.SH</t>
  </si>
  <si>
    <t>天和磁材</t>
  </si>
  <si>
    <t>603091.SH</t>
  </si>
  <si>
    <t>众鑫股份</t>
  </si>
  <si>
    <t>603092.SH</t>
  </si>
  <si>
    <t>德力佳</t>
  </si>
  <si>
    <t>万林物流</t>
  </si>
  <si>
    <t>603120.SH</t>
  </si>
  <si>
    <t>肯特催化</t>
  </si>
  <si>
    <t>603124.SH</t>
  </si>
  <si>
    <t>江南新材</t>
  </si>
  <si>
    <t>康惠股份</t>
  </si>
  <si>
    <t>603175.SH</t>
  </si>
  <si>
    <t>超颖电子</t>
  </si>
  <si>
    <t>金牌家居</t>
  </si>
  <si>
    <t>603194.SH</t>
  </si>
  <si>
    <t>中力股份</t>
  </si>
  <si>
    <t>603202.SH</t>
  </si>
  <si>
    <t>天有为</t>
  </si>
  <si>
    <t>603205.SH</t>
  </si>
  <si>
    <t>健尔康</t>
  </si>
  <si>
    <t>603207.SH</t>
  </si>
  <si>
    <t>小方制药</t>
  </si>
  <si>
    <t>603210.SH</t>
  </si>
  <si>
    <t>泰鸿万立</t>
  </si>
  <si>
    <t>济民健康</t>
  </si>
  <si>
    <t>603248.SH</t>
  </si>
  <si>
    <t>锡华科技</t>
  </si>
  <si>
    <t>603257.SH</t>
  </si>
  <si>
    <t>中国瑞林</t>
  </si>
  <si>
    <t>*ST立航</t>
  </si>
  <si>
    <t>603262.SH</t>
  </si>
  <si>
    <t>技源集团</t>
  </si>
  <si>
    <t>*ST松发</t>
  </si>
  <si>
    <t>603271.SH</t>
  </si>
  <si>
    <t>永杰新材</t>
  </si>
  <si>
    <t>603284.SH</t>
  </si>
  <si>
    <t>林平发展</t>
  </si>
  <si>
    <t>603285.SH</t>
  </si>
  <si>
    <t>键邦股份</t>
  </si>
  <si>
    <t>海南华铁</t>
  </si>
  <si>
    <t>603310.SH</t>
  </si>
  <si>
    <t>巍华新材</t>
  </si>
  <si>
    <t>美湖股份</t>
  </si>
  <si>
    <t>盛剑科技</t>
  </si>
  <si>
    <t>603334.SH</t>
  </si>
  <si>
    <t>丰倍生物</t>
  </si>
  <si>
    <t>杰克科技</t>
  </si>
  <si>
    <t>603350.SH</t>
  </si>
  <si>
    <t>安乃达</t>
  </si>
  <si>
    <t>603352.SH</t>
  </si>
  <si>
    <t>至信股份</t>
  </si>
  <si>
    <t>603370.SH</t>
  </si>
  <si>
    <t>华新精科</t>
  </si>
  <si>
    <t>603376.SH</t>
  </si>
  <si>
    <t>大明电子</t>
  </si>
  <si>
    <t>ST东时</t>
  </si>
  <si>
    <t>603381.SH</t>
  </si>
  <si>
    <t>永臻股份</t>
  </si>
  <si>
    <t>603382.SH</t>
  </si>
  <si>
    <t>海阳科技</t>
  </si>
  <si>
    <t>*ST亚振</t>
  </si>
  <si>
    <t>603391.SH</t>
  </si>
  <si>
    <t>力聚热能</t>
  </si>
  <si>
    <t>603395.SH</t>
  </si>
  <si>
    <t>红四方</t>
  </si>
  <si>
    <t>*ST沐邦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</si>
  <si>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</si>
  <si>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</si>
  <si>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</si>
  <si>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</si>
  <si>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</si>
  <si>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</si>
  <si>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</si>
  <si>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603409.SH</t>
  </si>
  <si>
    <t>汇通控股</t>
  </si>
  <si>
    <t>603418.SH</t>
  </si>
  <si>
    <t>友升股份</t>
  </si>
  <si>
    <t>三力制药</t>
  </si>
  <si>
    <t>豪威集团</t>
  </si>
  <si>
    <t>ST绝味</t>
  </si>
  <si>
    <t>奥普科技</t>
  </si>
  <si>
    <t>*ST艾艾</t>
  </si>
  <si>
    <t>ST东尼</t>
  </si>
  <si>
    <t>天域生物</t>
  </si>
  <si>
    <t>*ST天择</t>
  </si>
  <si>
    <t>*ST星农</t>
  </si>
  <si>
    <t>洪田股份</t>
  </si>
  <si>
    <t>*ST原尚</t>
  </si>
  <si>
    <t>ST嘉澳</t>
  </si>
  <si>
    <t>ST华扬</t>
  </si>
  <si>
    <t>ST柯利达</t>
  </si>
  <si>
    <t>*ST四通</t>
  </si>
  <si>
    <t>*ST正平</t>
  </si>
  <si>
    <t>ST智知</t>
  </si>
  <si>
    <t>南卫股份</t>
  </si>
  <si>
    <t>丸美生物</t>
  </si>
  <si>
    <t>*ST太和</t>
  </si>
  <si>
    <t>ST葫芦娃</t>
  </si>
  <si>
    <t>同力天启</t>
  </si>
  <si>
    <t>奥福科技</t>
  </si>
  <si>
    <t>天宜新材</t>
  </si>
  <si>
    <t>ST思科瑞</t>
  </si>
  <si>
    <t>ST诺泰</t>
  </si>
  <si>
    <t>国力电子</t>
  </si>
  <si>
    <t>路德科技</t>
  </si>
  <si>
    <t>ST帕瓦</t>
  </si>
  <si>
    <t>富吉瑞</t>
  </si>
  <si>
    <t>*ST观典</t>
  </si>
  <si>
    <t>鸿泉技术</t>
  </si>
  <si>
    <t>复洁科技</t>
  </si>
  <si>
    <t>微电生理</t>
  </si>
  <si>
    <t>中科飞测</t>
  </si>
  <si>
    <t>688411.SH</t>
  </si>
  <si>
    <t>海博思创</t>
  </si>
  <si>
    <t>688449.SH</t>
  </si>
  <si>
    <t>联芸科技</t>
  </si>
  <si>
    <t>慧辰股份</t>
  </si>
  <si>
    <t>百利天恒</t>
  </si>
  <si>
    <t>*ST天微</t>
  </si>
  <si>
    <t>神州细胞</t>
  </si>
  <si>
    <t>688530.SH</t>
  </si>
  <si>
    <t>欧莱新材</t>
  </si>
  <si>
    <t>688545.SH</t>
  </si>
  <si>
    <t>兴福电子</t>
  </si>
  <si>
    <t>地纬智能</t>
  </si>
  <si>
    <t>688583.SH</t>
  </si>
  <si>
    <t>思看科技</t>
  </si>
  <si>
    <t>688605.SH</t>
  </si>
  <si>
    <t>先锋精科</t>
  </si>
  <si>
    <t>688615.SH</t>
  </si>
  <si>
    <t>合合信息</t>
  </si>
  <si>
    <t>ST逸飞</t>
  </si>
  <si>
    <t>688691.SH</t>
  </si>
  <si>
    <t>灿芯股份</t>
  </si>
  <si>
    <t>688692.SH</t>
  </si>
  <si>
    <t>达梦数据</t>
  </si>
  <si>
    <t>688708.SH</t>
  </si>
  <si>
    <t>佳驰科技</t>
  </si>
  <si>
    <t>688710.SH</t>
  </si>
  <si>
    <t>益诺思</t>
  </si>
  <si>
    <t>688712.SH</t>
  </si>
  <si>
    <t>北芯生命-U</t>
  </si>
  <si>
    <t>688721.SH</t>
  </si>
  <si>
    <t>龙图光罩</t>
  </si>
  <si>
    <t>688726.SH</t>
  </si>
  <si>
    <t>拉普拉斯</t>
  </si>
  <si>
    <t>688727.SH</t>
  </si>
  <si>
    <t>恒坤新材</t>
  </si>
  <si>
    <t>688729.SH</t>
  </si>
  <si>
    <t>屹唐股份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</si>
  <si>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</si>
  <si>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</si>
  <si>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</si>
  <si>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</si>
  <si>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</si>
  <si>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</si>
  <si>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</si>
  <si>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</si>
  <si>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</si>
  <si>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必贝特-U</t>
  </si>
  <si>
    <t>688765.SH</t>
  </si>
  <si>
    <t>禾元生物-U</t>
  </si>
  <si>
    <t>688775.SH</t>
  </si>
  <si>
    <t>影石创新</t>
  </si>
  <si>
    <t>五矿新能</t>
  </si>
  <si>
    <t>688783.SH</t>
  </si>
  <si>
    <t>西安奕材-U</t>
  </si>
  <si>
    <t>688785.SH</t>
  </si>
  <si>
    <t>恒运昌</t>
  </si>
  <si>
    <t>688790.SH</t>
  </si>
  <si>
    <t>昂瑞微-UW</t>
  </si>
  <si>
    <t>688795.SH</t>
  </si>
  <si>
    <t>摩尔线程-U</t>
  </si>
  <si>
    <t>688796.SH</t>
  </si>
  <si>
    <t>百奥赛图</t>
  </si>
  <si>
    <t>688802.SH</t>
  </si>
  <si>
    <t>沐曦股份-U</t>
  </si>
  <si>
    <t>688805.SH</t>
  </si>
  <si>
    <t>健信超导</t>
  </si>
  <si>
    <t>688807.SH</t>
  </si>
  <si>
    <t>优迅股份</t>
  </si>
  <si>
    <t>688809.SH</t>
  </si>
  <si>
    <t>强一股份</t>
  </si>
  <si>
    <t>688816.SH</t>
  </si>
  <si>
    <t>易思维</t>
  </si>
  <si>
    <t>688818.SH</t>
  </si>
  <si>
    <t>电科蓝天</t>
  </si>
  <si>
    <t>920000.BJ</t>
  </si>
  <si>
    <t>920001.BJ</t>
  </si>
  <si>
    <t>920002.BJ</t>
  </si>
  <si>
    <t>万达轴承</t>
  </si>
  <si>
    <t>920003.BJ</t>
  </si>
  <si>
    <t>中诚咨询</t>
  </si>
  <si>
    <t>920005.BJ</t>
  </si>
  <si>
    <t>鼎佳精密</t>
  </si>
  <si>
    <t>920006.BJ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</si>
  <si>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</si>
  <si>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</si>
  <si>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</si>
  <si>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</si>
  <si>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</si>
  <si>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</si>
  <si>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</si>
  <si>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920014.BJ</t>
  </si>
  <si>
    <t>920015.BJ</t>
  </si>
  <si>
    <t>锦华新材</t>
  </si>
  <si>
    <t>920016.BJ</t>
  </si>
  <si>
    <t>中草香料</t>
  </si>
  <si>
    <t>920017.BJ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</si>
  <si>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</si>
  <si>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</si>
  <si>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</si>
  <si>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</si>
  <si>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</si>
  <si>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</si>
  <si>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</si>
  <si>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920022.BJ</t>
  </si>
  <si>
    <t>世昌股份</t>
  </si>
  <si>
    <t>920023.BJ</t>
  </si>
  <si>
    <t>920026.BJ</t>
  </si>
  <si>
    <t>920027.BJ</t>
  </si>
  <si>
    <t>交大铁发</t>
  </si>
  <si>
    <t>920029.BJ</t>
  </si>
  <si>
    <t>开发科技</t>
  </si>
  <si>
    <t>920030.BJ</t>
  </si>
  <si>
    <t>920033.BJ</t>
  </si>
  <si>
    <t>920035.BJ</t>
  </si>
  <si>
    <t>精创电气</t>
  </si>
  <si>
    <t>920037.BJ</t>
  </si>
  <si>
    <t>广信科技</t>
  </si>
  <si>
    <t>920039.BJ</t>
  </si>
  <si>
    <t>920045.BJ</t>
  </si>
  <si>
    <t>蘅东光</t>
  </si>
  <si>
    <t>920046.BJ</t>
  </si>
  <si>
    <t>920047.BJ</t>
  </si>
  <si>
    <t>920050.BJ</t>
  </si>
  <si>
    <t>爱舍伦</t>
  </si>
  <si>
    <t>920056.BJ</t>
  </si>
  <si>
    <t>能之光</t>
  </si>
  <si>
    <t>920057.BJ</t>
  </si>
  <si>
    <t>920058.BJ</t>
  </si>
  <si>
    <t>920060.BJ</t>
  </si>
  <si>
    <t>万源通</t>
  </si>
  <si>
    <t>920061.BJ</t>
  </si>
  <si>
    <t>920062.BJ</t>
  </si>
  <si>
    <t>920066.BJ</t>
  </si>
  <si>
    <t>科拜尔</t>
  </si>
  <si>
    <t>920068.BJ</t>
  </si>
  <si>
    <t>天工股份</t>
  </si>
  <si>
    <t>920075.BJ</t>
  </si>
  <si>
    <t>920076.BJ</t>
  </si>
  <si>
    <t>国亮新材</t>
  </si>
  <si>
    <t>920077.BJ</t>
  </si>
  <si>
    <t>920080.BJ</t>
  </si>
  <si>
    <t>奥美森</t>
  </si>
  <si>
    <t>920082.BJ</t>
  </si>
  <si>
    <t>方正阀门</t>
  </si>
  <si>
    <t>920086.BJ</t>
  </si>
  <si>
    <t>科马材料</t>
  </si>
  <si>
    <t>920087.BJ</t>
  </si>
  <si>
    <t>920088.BJ</t>
  </si>
  <si>
    <t>科力股份</t>
  </si>
  <si>
    <t>920089.BJ</t>
  </si>
  <si>
    <t>920090.BJ</t>
  </si>
  <si>
    <t>920091.BJ</t>
  </si>
  <si>
    <t>大鹏工业</t>
  </si>
  <si>
    <t>920092.BJ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</si>
  <si>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</si>
  <si>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</si>
  <si>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</si>
  <si>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</si>
  <si>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</si>
  <si>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</si>
  <si>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</si>
  <si>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</si>
  <si>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</si>
  <si>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</si>
  <si>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</si>
  <si>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</si>
  <si>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</si>
  <si>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</si>
  <si>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</si>
  <si>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</si>
  <si>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</si>
  <si>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</si>
  <si>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</si>
  <si>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</si>
  <si>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</si>
  <si>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920119.BJ</t>
  </si>
  <si>
    <t>美德乐</t>
  </si>
  <si>
    <t>920121.BJ</t>
  </si>
  <si>
    <t>江天科技</t>
  </si>
  <si>
    <t>920122.BJ</t>
  </si>
  <si>
    <t>920123.BJ</t>
  </si>
  <si>
    <t>920124.BJ</t>
  </si>
  <si>
    <t>南特科技</t>
  </si>
  <si>
    <t>920128.BJ</t>
  </si>
  <si>
    <t>胜业电气</t>
  </si>
  <si>
    <t>920130.BJ</t>
  </si>
  <si>
    <t>920132.BJ</t>
  </si>
  <si>
    <t>920139.BJ</t>
  </si>
  <si>
    <t>920145.BJ</t>
  </si>
  <si>
    <t>920146.BJ</t>
  </si>
  <si>
    <t>920149.BJ</t>
  </si>
  <si>
    <t>920152.BJ</t>
  </si>
  <si>
    <t>920158.BJ</t>
  </si>
  <si>
    <t>长江能科</t>
  </si>
  <si>
    <t>920159.BJ</t>
  </si>
  <si>
    <t>农大科技</t>
  </si>
  <si>
    <t>920160.BJ</t>
  </si>
  <si>
    <t>北矿检测</t>
  </si>
  <si>
    <t>920163.BJ</t>
  </si>
  <si>
    <t>920166.BJ</t>
  </si>
  <si>
    <t>海圣医疗</t>
  </si>
  <si>
    <t>920167.BJ</t>
  </si>
  <si>
    <t>920168.BJ</t>
  </si>
  <si>
    <t>通宝光电</t>
  </si>
  <si>
    <t>920169.BJ</t>
  </si>
  <si>
    <t>920171.BJ</t>
  </si>
  <si>
    <t>920174.BJ</t>
  </si>
  <si>
    <t>920175.BJ</t>
  </si>
  <si>
    <t>920179.BJ</t>
  </si>
  <si>
    <t>920180.BJ</t>
  </si>
  <si>
    <t>爱得科技</t>
  </si>
  <si>
    <t>920183.BJ</t>
  </si>
  <si>
    <t>海菲曼</t>
  </si>
  <si>
    <t>920184.BJ</t>
  </si>
  <si>
    <t>920185.BJ</t>
  </si>
  <si>
    <t>920187.BJ</t>
  </si>
  <si>
    <t>通领科技</t>
  </si>
  <si>
    <t>920190.BJ</t>
  </si>
  <si>
    <t>920195.BJ</t>
  </si>
  <si>
    <t>920198.BJ</t>
  </si>
  <si>
    <t>920199.BJ</t>
  </si>
  <si>
    <t>920204.BJ</t>
  </si>
  <si>
    <t>920207.BJ</t>
  </si>
  <si>
    <t>920208.BJ</t>
  </si>
  <si>
    <t>920212.BJ</t>
  </si>
  <si>
    <t>920221.BJ</t>
  </si>
  <si>
    <t>920223.BJ</t>
  </si>
  <si>
    <t>920225.BJ</t>
  </si>
  <si>
    <t>920227.BJ</t>
  </si>
  <si>
    <t>920230.BJ</t>
  </si>
  <si>
    <t>920237.BJ</t>
  </si>
  <si>
    <t>920239.BJ</t>
  </si>
  <si>
    <t>920242.BJ</t>
  </si>
  <si>
    <t>920245.BJ</t>
  </si>
  <si>
    <t>920247.BJ</t>
  </si>
  <si>
    <t>920249.BJ</t>
  </si>
  <si>
    <t>920252.BJ</t>
  </si>
  <si>
    <t>920260.BJ</t>
  </si>
  <si>
    <t>920261.BJ</t>
  </si>
  <si>
    <t>920262.BJ</t>
  </si>
  <si>
    <t>920263.BJ</t>
  </si>
  <si>
    <t>920266.BJ</t>
  </si>
  <si>
    <t>920267.BJ</t>
  </si>
  <si>
    <t>920270.BJ</t>
  </si>
  <si>
    <t>920271.BJ</t>
  </si>
  <si>
    <t>920273.BJ</t>
  </si>
  <si>
    <t>920274.BJ</t>
  </si>
  <si>
    <t>920275.BJ</t>
  </si>
  <si>
    <t>920278.BJ</t>
  </si>
  <si>
    <t>920284.BJ</t>
  </si>
  <si>
    <t>920299.BJ</t>
  </si>
  <si>
    <t>920300.BJ</t>
  </si>
  <si>
    <t>920304.BJ</t>
  </si>
  <si>
    <t>920305.BJ</t>
  </si>
  <si>
    <t>*ST云创</t>
  </si>
  <si>
    <t>920339.BJ</t>
  </si>
  <si>
    <t>920344.BJ</t>
  </si>
  <si>
    <t>920346.BJ</t>
  </si>
  <si>
    <t>920351.BJ</t>
  </si>
  <si>
    <t>920357.BJ</t>
  </si>
  <si>
    <t>920363.BJ</t>
  </si>
  <si>
    <t>920367.BJ</t>
  </si>
  <si>
    <t>920368.BJ</t>
  </si>
  <si>
    <t>920370.BJ</t>
  </si>
  <si>
    <t>920371.BJ</t>
  </si>
  <si>
    <t>920374.BJ</t>
  </si>
  <si>
    <t>920375.BJ</t>
  </si>
  <si>
    <t>920378.BJ</t>
  </si>
  <si>
    <t>920392.BJ</t>
  </si>
  <si>
    <t>920394.BJ</t>
  </si>
  <si>
    <t>920395.BJ</t>
  </si>
  <si>
    <t>920396.BJ</t>
  </si>
  <si>
    <t>920402.BJ</t>
  </si>
  <si>
    <t>920403.BJ</t>
  </si>
  <si>
    <t>920405.BJ</t>
  </si>
  <si>
    <t>920407.BJ</t>
  </si>
  <si>
    <t>920414.BJ</t>
  </si>
  <si>
    <t>920415.BJ</t>
  </si>
  <si>
    <t>920418.BJ</t>
  </si>
  <si>
    <t>920419.BJ</t>
  </si>
  <si>
    <t>920422.BJ</t>
  </si>
  <si>
    <t>920425.BJ</t>
  </si>
  <si>
    <t>920427.BJ</t>
  </si>
  <si>
    <t>920429.BJ</t>
  </si>
  <si>
    <t>920433.BJ</t>
  </si>
  <si>
    <t>920436.BJ</t>
  </si>
  <si>
    <t>920438.BJ</t>
  </si>
  <si>
    <t>920445.BJ</t>
  </si>
  <si>
    <t>920454.BJ</t>
  </si>
  <si>
    <t>920455.BJ</t>
  </si>
  <si>
    <t>920469.BJ</t>
  </si>
  <si>
    <t>920471.BJ</t>
  </si>
  <si>
    <t>920475.BJ</t>
  </si>
  <si>
    <t>920476.BJ</t>
  </si>
  <si>
    <t>920478.BJ</t>
  </si>
  <si>
    <t>920489.BJ</t>
  </si>
  <si>
    <t>920491.BJ</t>
  </si>
  <si>
    <t>920493.BJ</t>
  </si>
  <si>
    <t>920496.BJ</t>
  </si>
  <si>
    <t>920504.BJ</t>
  </si>
  <si>
    <t>920505.BJ</t>
  </si>
  <si>
    <t>920508.BJ</t>
  </si>
  <si>
    <t>920509.BJ</t>
  </si>
  <si>
    <t>920510.BJ</t>
  </si>
  <si>
    <t>920519.BJ</t>
  </si>
  <si>
    <t>920522.BJ</t>
  </si>
  <si>
    <t>920523.BJ</t>
  </si>
  <si>
    <t>920526.BJ</t>
  </si>
  <si>
    <t>920527.BJ</t>
  </si>
  <si>
    <t>920533.BJ</t>
  </si>
  <si>
    <t>920541.BJ</t>
  </si>
  <si>
    <t>920547.BJ</t>
  </si>
  <si>
    <t>920553.BJ</t>
  </si>
  <si>
    <t>920556.BJ</t>
  </si>
  <si>
    <t>920564.BJ</t>
  </si>
  <si>
    <t>920566.BJ</t>
  </si>
  <si>
    <t>920570.BJ</t>
  </si>
  <si>
    <t>920571.BJ</t>
  </si>
  <si>
    <t>920575.BJ</t>
  </si>
  <si>
    <t>920576.BJ</t>
  </si>
  <si>
    <t>920578.BJ</t>
  </si>
  <si>
    <t>920579.BJ</t>
  </si>
  <si>
    <t>920580.BJ</t>
  </si>
  <si>
    <t>920592.BJ</t>
  </si>
  <si>
    <t>920593.BJ</t>
  </si>
  <si>
    <t>920599.BJ</t>
  </si>
  <si>
    <t>920608.BJ</t>
  </si>
  <si>
    <t>920627.BJ</t>
  </si>
  <si>
    <t>920634.BJ</t>
  </si>
  <si>
    <t>920639.BJ</t>
  </si>
  <si>
    <t>920640.BJ</t>
  </si>
  <si>
    <t>920641.BJ</t>
  </si>
  <si>
    <t>920642.BJ</t>
  </si>
  <si>
    <t>920651.BJ</t>
  </si>
  <si>
    <t>920656.BJ</t>
  </si>
  <si>
    <t>920662.BJ</t>
  </si>
  <si>
    <t>920663.BJ</t>
  </si>
  <si>
    <t>920665.BJ</t>
  </si>
  <si>
    <t>920670.BJ</t>
  </si>
  <si>
    <t>920675.BJ</t>
  </si>
  <si>
    <t>920679.BJ</t>
  </si>
  <si>
    <t>920682.BJ</t>
  </si>
  <si>
    <t>920685.BJ</t>
  </si>
  <si>
    <t>920689.BJ</t>
  </si>
  <si>
    <t>920690.BJ</t>
  </si>
  <si>
    <t>920693.BJ</t>
  </si>
  <si>
    <t>920694.BJ</t>
  </si>
  <si>
    <t>920699.BJ</t>
  </si>
  <si>
    <t>920701.BJ</t>
  </si>
  <si>
    <t>920703.BJ</t>
  </si>
  <si>
    <t>920706.BJ</t>
  </si>
  <si>
    <t>920717.BJ</t>
  </si>
  <si>
    <t>920718.BJ</t>
  </si>
  <si>
    <t>920719.BJ</t>
  </si>
  <si>
    <t>920720.BJ</t>
  </si>
  <si>
    <t>920725.BJ</t>
  </si>
  <si>
    <t>920726.BJ</t>
  </si>
  <si>
    <t>920729.BJ</t>
  </si>
  <si>
    <t>920735.BJ</t>
  </si>
  <si>
    <t>920748.BJ</t>
  </si>
  <si>
    <t>920751.BJ</t>
  </si>
  <si>
    <t>920753.BJ</t>
  </si>
  <si>
    <t>920765.BJ</t>
  </si>
  <si>
    <t>920768.BJ</t>
  </si>
  <si>
    <t>920770.BJ</t>
  </si>
  <si>
    <t>920779.BJ</t>
  </si>
  <si>
    <t>920781.BJ</t>
  </si>
  <si>
    <t>920786.BJ</t>
  </si>
  <si>
    <t>920790.BJ</t>
  </si>
  <si>
    <t>920792.BJ</t>
  </si>
  <si>
    <t>920799.BJ</t>
  </si>
  <si>
    <t>920802.BJ</t>
  </si>
  <si>
    <t>920806.BJ</t>
  </si>
  <si>
    <t>920807.BJ</t>
  </si>
  <si>
    <t>920808.BJ</t>
  </si>
  <si>
    <t>920809.BJ</t>
  </si>
  <si>
    <t>920810.BJ</t>
  </si>
  <si>
    <t>春光智能</t>
  </si>
  <si>
    <t>920819.BJ</t>
  </si>
  <si>
    <t>920821.BJ</t>
  </si>
  <si>
    <t>920826.BJ</t>
  </si>
  <si>
    <t>920832.BJ</t>
  </si>
  <si>
    <t>920833.BJ</t>
  </si>
  <si>
    <t>920834.BJ</t>
  </si>
  <si>
    <t>三维装备</t>
  </si>
  <si>
    <t>920837.BJ</t>
  </si>
  <si>
    <t>920839.BJ</t>
  </si>
  <si>
    <t>920855.BJ</t>
  </si>
  <si>
    <t>920856.BJ</t>
  </si>
  <si>
    <t>920857.BJ</t>
  </si>
  <si>
    <t>920866.BJ</t>
  </si>
  <si>
    <t>920870.BJ</t>
  </si>
  <si>
    <t>920871.BJ</t>
  </si>
  <si>
    <t>920873.BJ</t>
  </si>
  <si>
    <t>920876.BJ</t>
  </si>
  <si>
    <t>920879.BJ</t>
  </si>
  <si>
    <t>基康技术</t>
  </si>
  <si>
    <t>920885.BJ</t>
  </si>
  <si>
    <t>920892.BJ</t>
  </si>
  <si>
    <t>920895.BJ</t>
  </si>
  <si>
    <t>920896.BJ</t>
  </si>
  <si>
    <t>920906.BJ</t>
  </si>
  <si>
    <t>920914.BJ</t>
  </si>
  <si>
    <t>920924.BJ</t>
  </si>
  <si>
    <t>920925.BJ</t>
  </si>
  <si>
    <t>920926.BJ</t>
  </si>
  <si>
    <t>920931.BJ</t>
  </si>
  <si>
    <t>无锡鼎邦</t>
  </si>
  <si>
    <t>920932.BJ</t>
  </si>
  <si>
    <t>920942.BJ</t>
  </si>
  <si>
    <t>920943.BJ</t>
  </si>
  <si>
    <t>920946.BJ</t>
  </si>
  <si>
    <t>920950.BJ</t>
  </si>
  <si>
    <t>920953.BJ</t>
  </si>
  <si>
    <t>920957.BJ</t>
  </si>
  <si>
    <t>920961.BJ</t>
  </si>
  <si>
    <t>920964.BJ</t>
  </si>
  <si>
    <t>920970.BJ</t>
  </si>
  <si>
    <t>920971.BJ</t>
  </si>
  <si>
    <t>920974.BJ</t>
  </si>
  <si>
    <t>920976.BJ</t>
  </si>
  <si>
    <t>920978.BJ</t>
  </si>
  <si>
    <t>920981.BJ</t>
  </si>
  <si>
    <t>920982.BJ</t>
  </si>
  <si>
    <t>920985.BJ</t>
  </si>
  <si>
    <t>920992.BJ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</si>
</sst>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sz val="14"/>
      <color theme="1"/>
      <name val="Arial"/>
      <family val="2"/>
    </font>
    <font>
      <sz val="9"/>
      <name val="宋体"/>
      <family val="3"/>
      <charset val="134"/>
    </font>
    <font>
      <b/>
      <sz val="12"/>
      <color rgb="FF212121"/>
      <name val="微软雅黑"/>
      <family val="2"/>
      <charset val="134"/>
    </font>
    <font>
      <sz val="11"/>
      <color theme="1"/>
      <name val="Arial"/>
      <family val="2"/>
    </font>
    <font>
      <sz val="20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E9E9E9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49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0" xfId="0" applyFont="1" applyFill="1">
      <alignment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176" fontId="7" fillId="4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 wrapText="1"/>
    </xf>
    <xf numFmtId="0" fontId="10" fillId="0" borderId="0" xfId="0" applyFont="1">
      <alignment vertical="center"/>
    </xf>
    <xf numFmtId="2" fontId="10" fillId="0" borderId="0" xfId="1" applyNumberFormat="1" applyFont="1">
      <alignment vertical="center"/>
    </xf>
    <xf numFmtId="2" fontId="10" fillId="0" borderId="0" xfId="0" applyNumberFormat="1" applyFont="1">
      <alignment vertical="center"/>
    </xf>
    <xf numFmtId="0" fontId="4" fillId="0" borderId="0" xfId="0" applyFont="1">
      <alignment vertical="center"/>
    </xf>
    <xf numFmtId="0" fontId="10" fillId="6" borderId="0" xfId="0" applyFont="1" applyFill="1">
      <alignment vertical="center"/>
    </xf>
    <xf numFmtId="0" fontId="4" fillId="6" borderId="0" xfId="0" applyFont="1" applyFill="1">
      <alignment vertical="center"/>
    </xf>
    <xf numFmtId="2" fontId="10" fillId="6" borderId="0" xfId="1" applyNumberFormat="1" applyFont="1" applyFill="1">
      <alignment vertical="center"/>
    </xf>
    <xf numFmtId="2" fontId="10" fillId="6" borderId="0" xfId="0" applyNumberFormat="1" applyFont="1" applyFill="1">
      <alignment vertical="center"/>
    </xf>
    <xf numFmtId="0" fontId="0" fillId="7" borderId="0" xfId="0" applyFill="1">
      <alignment vertical="center"/>
    </xf>
    <xf numFmtId="0" fontId="11" fillId="2" borderId="0" xfId="0" applyFont="1" applyFill="1">
      <alignment vertical="center"/>
    </xf>
    <xf numFmtId="0" fontId="12" fillId="3" borderId="0" xfId="0" applyFont="1" applyFill="1">
      <alignment vertical="center"/>
    </xf>
    <xf numFmtId="0" fontId="12" fillId="0" borderId="0" xfId="0" applyFont="1">
      <alignment vertical="center"/>
    </xf>
    <xf numFmtId="0" fontId="12" fillId="7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3" fillId="3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mruColors>
      <color rgb="FFE9E9E9"/>
      <color rgb="FF63636D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85725</xdr:rowOff>
    </xdr:from>
    <xdr:to>
      <xdr:col>2</xdr:col>
      <xdr:colOff>436725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85725"/>
          <a:ext cx="579600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dq_close"/>
      <definedName name="s_dq_high"/>
      <definedName name="S_INFO_NAME"/>
      <definedName name="s_techanal_rcnthigh"/>
      <definedName name="s_val_mv_ard"/>
      <definedName name="s_yq_pctchange"/>
      <definedName name="TDaysOffset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J77"/>
  <sheetViews>
    <sheetView showGridLines="0" tabSelected="1" topLeftCell="A19" workbookViewId="0">
      <selection activeCell="E8" sqref="E8"/>
    </sheetView>
  </sheetViews>
  <sheetFormatPr defaultRowHeight="16.5" x14ac:dyDescent="0.15"/>
  <cols>
    <col min="1" max="1" width="2.625" customWidth="1"/>
    <col min="2" max="2" width="1.625" style="21" customWidth="1"/>
    <col min="3" max="3" width="12.125" customWidth="1"/>
    <col min="4" max="4" width="40.25" style="13" bestFit="1" customWidth="1"/>
    <col min="5" max="5" width="11.75" customWidth="1"/>
    <col min="6" max="6" width="21.875" bestFit="1" customWidth="1"/>
    <col min="7" max="7" width="22.875" bestFit="1" customWidth="1"/>
    <col min="8" max="8" width="13.875" bestFit="1" customWidth="1"/>
    <col min="9" max="9" width="1.625" customWidth="1"/>
    <col min="10" max="10" width="2.625" customWidth="1"/>
  </cols>
  <sheetData>
    <row r="1" spans="1:10" ht="27.75" x14ac:dyDescent="0.15">
      <c r="A1" s="4"/>
      <c r="B1" s="19"/>
      <c r="C1" s="4"/>
      <c r="D1" s="27" t="s">
        <v>9994</v>
      </c>
      <c r="E1" s="27"/>
      <c r="F1" s="27"/>
      <c r="G1" s="27"/>
      <c r="H1" s="4"/>
      <c r="I1" s="4"/>
      <c r="J1" s="4"/>
    </row>
    <row r="2" spans="1:10" ht="9.9499999999999993" customHeight="1" x14ac:dyDescent="0.15">
      <c r="A2" s="5"/>
      <c r="B2" s="20"/>
      <c r="C2" s="5"/>
      <c r="D2" s="6"/>
      <c r="E2" s="5"/>
      <c r="F2" s="5"/>
      <c r="G2" s="5"/>
      <c r="H2" s="5"/>
      <c r="I2" s="5"/>
      <c r="J2" s="5"/>
    </row>
    <row r="3" spans="1:10" ht="18" x14ac:dyDescent="0.15">
      <c r="A3" s="5"/>
      <c r="B3" s="20"/>
      <c r="C3" s="26" t="s">
        <v>10007</v>
      </c>
      <c r="D3" s="7" t="s">
        <v>9997</v>
      </c>
      <c r="E3" s="5"/>
      <c r="F3" s="5"/>
      <c r="G3" s="5"/>
      <c r="H3" s="5"/>
      <c r="I3" s="5"/>
      <c r="J3" s="5"/>
    </row>
    <row r="4" spans="1:10" ht="18" x14ac:dyDescent="0.15">
      <c r="A4" s="5"/>
      <c r="B4" s="20"/>
      <c r="C4" s="26" t="s">
        <v>10008</v>
      </c>
      <c r="D4" s="7">
        <f ca="1">[1]!TDaysOffset(TODAY(),"Offset=-1")</f>
        <v>46086</v>
      </c>
      <c r="E4" s="5"/>
      <c r="F4" s="5"/>
      <c r="G4" s="5"/>
      <c r="H4" s="5"/>
      <c r="I4" s="5"/>
      <c r="J4" s="5"/>
    </row>
    <row r="5" spans="1:10" ht="9.9499999999999993" customHeight="1" x14ac:dyDescent="0.15">
      <c r="A5" s="5"/>
      <c r="B5" s="20"/>
      <c r="C5" s="5"/>
      <c r="D5" s="6"/>
      <c r="E5" s="5"/>
      <c r="F5" s="5"/>
      <c r="G5" s="5"/>
      <c r="H5" s="5"/>
      <c r="I5" s="5"/>
      <c r="J5" s="5"/>
    </row>
    <row r="6" spans="1:10" ht="12" customHeight="1" x14ac:dyDescent="0.15">
      <c r="A6" s="23"/>
      <c r="J6" s="5"/>
    </row>
    <row r="7" spans="1:10" ht="18" x14ac:dyDescent="0.15">
      <c r="A7" s="23"/>
      <c r="C7" s="8" t="s">
        <v>9988</v>
      </c>
      <c r="D7" s="8" t="s">
        <v>9989</v>
      </c>
      <c r="E7" s="9" t="s">
        <v>9993</v>
      </c>
      <c r="F7" s="9" t="s">
        <v>9992</v>
      </c>
      <c r="G7" s="8" t="s">
        <v>9991</v>
      </c>
      <c r="H7" s="8" t="s">
        <v>9990</v>
      </c>
      <c r="J7" s="5"/>
    </row>
    <row r="8" spans="1:10" x14ac:dyDescent="0.15">
      <c r="A8" s="23"/>
      <c r="B8" s="21">
        <v>1</v>
      </c>
      <c r="C8" s="10" t="str">
        <f ca="1">_xlfn.IFNA(VLOOKUP(B8,data!E:F,2,0),"")</f>
        <v>000988.SZ</v>
      </c>
      <c r="D8" s="13" t="str">
        <f ca="1">IF(C8="","",[1]!S_INFO_NAME(C8))</f>
        <v>华工科技</v>
      </c>
      <c r="E8" s="10">
        <f ca="1">IF(C8="","",[1]!s_dq_high(C8,$D$4))</f>
        <v>111.71</v>
      </c>
      <c r="F8" s="10">
        <f ca="1">IF(C8="","",[1]!s_dq_close(C8,$D$4))</f>
        <v>106.61</v>
      </c>
      <c r="G8" s="11">
        <f ca="1">IF(C8="","",[1]!s_yq_pctchange(C8,$D$4))</f>
        <v>44.686751544182535</v>
      </c>
      <c r="H8" s="12">
        <f ca="1">IF(C8="","",[1]!s_val_mv_ard(C8,$D$4,100000000))</f>
        <v>1071.9664359326998</v>
      </c>
      <c r="J8" s="5"/>
    </row>
    <row r="9" spans="1:10" x14ac:dyDescent="0.15">
      <c r="A9" s="23"/>
      <c r="B9" s="21">
        <v>2</v>
      </c>
      <c r="C9" s="14" t="str">
        <f ca="1">_xlfn.IFNA(VLOOKUP(B9,data!E:F,2,0),"")</f>
        <v>001267.SZ</v>
      </c>
      <c r="D9" s="15" t="str">
        <f ca="1">IF(C9="","",[1]!S_INFO_NAME(C9))</f>
        <v>汇绿生态</v>
      </c>
      <c r="E9" s="14">
        <f ca="1">IF(C9="","",[1]!s_dq_high(C9,$D$4))</f>
        <v>36.96</v>
      </c>
      <c r="F9" s="14">
        <f ca="1">IF(C9="","",[1]!s_dq_close(C9,$D$4))</f>
        <v>36.96</v>
      </c>
      <c r="G9" s="16">
        <f ca="1">IF(C9="","",[1]!s_yq_pctchange(C9,$D$4))</f>
        <v>78.949771689497723</v>
      </c>
      <c r="H9" s="17">
        <f ca="1">IF(C9="","",[1]!s_val_mv_ard(C9,$D$4,100000000))</f>
        <v>290.19686498880003</v>
      </c>
      <c r="J9" s="5"/>
    </row>
    <row r="10" spans="1:10" x14ac:dyDescent="0.15">
      <c r="A10" s="23"/>
      <c r="B10" s="21">
        <v>3</v>
      </c>
      <c r="C10" s="10" t="str">
        <f ca="1">_xlfn.IFNA(VLOOKUP(B10,data!E:F,2,0),"")</f>
        <v>002028.SZ</v>
      </c>
      <c r="D10" s="13" t="str">
        <f ca="1">IF(C10="","",[1]!S_INFO_NAME(C10))</f>
        <v>思源电气</v>
      </c>
      <c r="E10" s="10">
        <f ca="1">IF(C10="","",[1]!s_dq_high(C10,$D$4))</f>
        <v>236.28</v>
      </c>
      <c r="F10" s="10">
        <f ca="1">IF(C10="","",[1]!s_dq_close(C10,$D$4))</f>
        <v>230.7</v>
      </c>
      <c r="G10" s="11">
        <f ca="1">IF(C10="","",[1]!s_yq_pctchange(C10,$D$4))</f>
        <v>51.051167604631573</v>
      </c>
      <c r="H10" s="12">
        <f ca="1">IF(C10="","",[1]!s_val_mv_ard(C10,$D$4,100000000))</f>
        <v>1801.9672752840002</v>
      </c>
      <c r="J10" s="5"/>
    </row>
    <row r="11" spans="1:10" x14ac:dyDescent="0.15">
      <c r="A11" s="23"/>
      <c r="B11" s="21">
        <v>4</v>
      </c>
      <c r="C11" s="14" t="str">
        <f ca="1">_xlfn.IFNA(VLOOKUP(B11,data!E:F,2,0),"")</f>
        <v>002126.SZ</v>
      </c>
      <c r="D11" s="15" t="str">
        <f ca="1">IF(C11="","",[1]!S_INFO_NAME(C11))</f>
        <v>银轮股份</v>
      </c>
      <c r="E11" s="14">
        <f ca="1">IF(C11="","",[1]!s_dq_high(C11,$D$4))</f>
        <v>52.38</v>
      </c>
      <c r="F11" s="14">
        <f ca="1">IF(C11="","",[1]!s_dq_close(C11,$D$4))</f>
        <v>51.28</v>
      </c>
      <c r="G11" s="16">
        <f ca="1">IF(C11="","",[1]!s_yq_pctchange(C11,$D$4))</f>
        <v>43.677248677248713</v>
      </c>
      <c r="H11" s="17">
        <f ca="1">IF(C11="","",[1]!s_val_mv_ard(C11,$D$4,100000000))</f>
        <v>433.67979262720002</v>
      </c>
      <c r="J11" s="5"/>
    </row>
    <row r="12" spans="1:10" x14ac:dyDescent="0.15">
      <c r="A12" s="23"/>
      <c r="B12" s="21">
        <v>5</v>
      </c>
      <c r="C12" s="10" t="str">
        <f ca="1">_xlfn.IFNA(VLOOKUP(B12,data!E:F,2,0),"")</f>
        <v>002128.SZ</v>
      </c>
      <c r="D12" s="13" t="str">
        <f ca="1">IF(C12="","",[1]!S_INFO_NAME(C12))</f>
        <v>电投能源</v>
      </c>
      <c r="E12" s="10">
        <f ca="1">IF(C12="","",[1]!s_dq_high(C12,$D$4))</f>
        <v>34.270000000000003</v>
      </c>
      <c r="F12" s="10">
        <f ca="1">IF(C12="","",[1]!s_dq_close(C12,$D$4))</f>
        <v>33.869999999999997</v>
      </c>
      <c r="G12" s="11">
        <f ca="1">IF(C12="","",[1]!s_yq_pctchange(C12,$D$4))</f>
        <v>19.204586169831629</v>
      </c>
      <c r="H12" s="12">
        <f ca="1">IF(C12="","",[1]!s_val_mv_ard(C12,$D$4,100000000))</f>
        <v>759.22094207909993</v>
      </c>
      <c r="J12" s="5"/>
    </row>
    <row r="13" spans="1:10" x14ac:dyDescent="0.15">
      <c r="A13" s="23"/>
      <c r="B13" s="21">
        <v>6</v>
      </c>
      <c r="C13" s="14" t="str">
        <f ca="1">_xlfn.IFNA(VLOOKUP(B13,data!E:F,2,0),"")</f>
        <v>002270.SZ</v>
      </c>
      <c r="D13" s="15" t="str">
        <f ca="1">IF(C13="","",[1]!S_INFO_NAME(C13))</f>
        <v>华明装备</v>
      </c>
      <c r="E13" s="14">
        <f ca="1">IF(C13="","",[1]!s_dq_high(C13,$D$4))</f>
        <v>36.6</v>
      </c>
      <c r="F13" s="14">
        <f ca="1">IF(C13="","",[1]!s_dq_close(C13,$D$4))</f>
        <v>36.299999999999997</v>
      </c>
      <c r="G13" s="16">
        <f ca="1">IF(C13="","",[1]!s_yq_pctchange(C13,$D$4))</f>
        <v>47.324281150159763</v>
      </c>
      <c r="H13" s="17">
        <f ca="1">IF(C13="","",[1]!s_val_mv_ard(C13,$D$4,100000000))</f>
        <v>325.329831453</v>
      </c>
      <c r="J13" s="5"/>
    </row>
    <row r="14" spans="1:10" x14ac:dyDescent="0.15">
      <c r="A14" s="23"/>
      <c r="B14" s="21">
        <v>7</v>
      </c>
      <c r="C14" s="10" t="str">
        <f ca="1">_xlfn.IFNA(VLOOKUP(B14,data!E:F,2,0),"")</f>
        <v>002272.SZ</v>
      </c>
      <c r="D14" s="13" t="str">
        <f ca="1">IF(C14="","",[1]!S_INFO_NAME(C14))</f>
        <v>川润股份</v>
      </c>
      <c r="E14" s="10">
        <f ca="1">IF(C14="","",[1]!s_dq_high(C14,$D$4))</f>
        <v>22.6</v>
      </c>
      <c r="F14" s="10">
        <f ca="1">IF(C14="","",[1]!s_dq_close(C14,$D$4))</f>
        <v>21.01</v>
      </c>
      <c r="G14" s="11">
        <f ca="1">IF(C14="","",[1]!s_yq_pctchange(C14,$D$4))</f>
        <v>27.03363914373087</v>
      </c>
      <c r="H14" s="12">
        <f ca="1">IF(C14="","",[1]!s_val_mv_ard(C14,$D$4,100000000))</f>
        <v>101.87272073000003</v>
      </c>
      <c r="J14" s="5"/>
    </row>
    <row r="15" spans="1:10" x14ac:dyDescent="0.15">
      <c r="A15" s="23"/>
      <c r="B15" s="21">
        <v>8</v>
      </c>
      <c r="C15" s="14" t="str">
        <f ca="1">_xlfn.IFNA(VLOOKUP(B15,data!E:F,2,0),"")</f>
        <v>002281.SZ</v>
      </c>
      <c r="D15" s="15" t="str">
        <f ca="1">IF(C15="","",[1]!S_INFO_NAME(C15))</f>
        <v>光迅科技</v>
      </c>
      <c r="E15" s="14">
        <f ca="1">IF(C15="","",[1]!s_dq_high(C15,$D$4))</f>
        <v>82.35</v>
      </c>
      <c r="F15" s="14">
        <f ca="1">IF(C15="","",[1]!s_dq_close(C15,$D$4))</f>
        <v>78.92</v>
      </c>
      <c r="G15" s="16">
        <f ca="1">IF(C15="","",[1]!s_yq_pctchange(C15,$D$4))</f>
        <v>14.524660471765527</v>
      </c>
      <c r="H15" s="17">
        <f ca="1">IF(C15="","",[1]!s_val_mv_ard(C15,$D$4,100000000))</f>
        <v>636.62850347840015</v>
      </c>
      <c r="J15" s="5"/>
    </row>
    <row r="16" spans="1:10" x14ac:dyDescent="0.15">
      <c r="A16" s="23"/>
      <c r="B16" s="21">
        <v>9</v>
      </c>
      <c r="C16" s="10" t="str">
        <f ca="1">_xlfn.IFNA(VLOOKUP(B16,data!E:F,2,0),"")</f>
        <v>002533.SZ</v>
      </c>
      <c r="D16" s="13" t="str">
        <f ca="1">IF(C16="","",[1]!S_INFO_NAME(C16))</f>
        <v>金杯电工</v>
      </c>
      <c r="E16" s="10">
        <f ca="1">IF(C16="","",[1]!s_dq_high(C16,$D$4))</f>
        <v>16.170000000000002</v>
      </c>
      <c r="F16" s="10">
        <f ca="1">IF(C16="","",[1]!s_dq_close(C16,$D$4))</f>
        <v>15.77</v>
      </c>
      <c r="G16" s="11">
        <f ca="1">IF(C16="","",[1]!s_yq_pctchange(C16,$D$4))</f>
        <v>31.009615384615373</v>
      </c>
      <c r="H16" s="12">
        <f ca="1">IF(C16="","",[1]!s_val_mv_ard(C16,$D$4,100000000))</f>
        <v>115.7425054774</v>
      </c>
      <c r="J16" s="5"/>
    </row>
    <row r="17" spans="1:10" x14ac:dyDescent="0.15">
      <c r="A17" s="23"/>
      <c r="B17" s="21">
        <v>10</v>
      </c>
      <c r="C17" s="14" t="str">
        <f ca="1">_xlfn.IFNA(VLOOKUP(B17,data!E:F,2,0),"")</f>
        <v>002536.SZ</v>
      </c>
      <c r="D17" s="15" t="str">
        <f ca="1">IF(C17="","",[1]!S_INFO_NAME(C17))</f>
        <v>飞龙股份</v>
      </c>
      <c r="E17" s="14">
        <f ca="1">IF(C17="","",[1]!s_dq_high(C17,$D$4))</f>
        <v>38.11</v>
      </c>
      <c r="F17" s="14">
        <f ca="1">IF(C17="","",[1]!s_dq_close(C17,$D$4))</f>
        <v>37.01</v>
      </c>
      <c r="G17" s="16">
        <f ca="1">IF(C17="","",[1]!s_yq_pctchange(C17,$D$4))</f>
        <v>22.794612794612789</v>
      </c>
      <c r="H17" s="17">
        <f ca="1">IF(C17="","",[1]!s_val_mv_ard(C17,$D$4,100000000))</f>
        <v>212.72825714879997</v>
      </c>
      <c r="J17" s="5"/>
    </row>
    <row r="18" spans="1:10" x14ac:dyDescent="0.15">
      <c r="A18" s="23"/>
      <c r="B18" s="21">
        <v>11</v>
      </c>
      <c r="C18" s="10" t="str">
        <f ca="1">_xlfn.IFNA(VLOOKUP(B18,data!E:F,2,0),"")</f>
        <v>002595.SZ</v>
      </c>
      <c r="D18" s="13" t="str">
        <f ca="1">IF(C18="","",[1]!S_INFO_NAME(C18))</f>
        <v>豪迈科技</v>
      </c>
      <c r="E18" s="10">
        <f ca="1">IF(C18="","",[1]!s_dq_high(C18,$D$4))</f>
        <v>100.28</v>
      </c>
      <c r="F18" s="10">
        <f ca="1">IF(C18="","",[1]!s_dq_close(C18,$D$4))</f>
        <v>97.5</v>
      </c>
      <c r="G18" s="11">
        <f ca="1">IF(C18="","",[1]!s_yq_pctchange(C18,$D$4))</f>
        <v>16.554253934445629</v>
      </c>
      <c r="H18" s="12">
        <f ca="1">IF(C18="","",[1]!s_val_mv_ard(C18,$D$4,100000000))</f>
        <v>780</v>
      </c>
      <c r="J18" s="5"/>
    </row>
    <row r="19" spans="1:10" x14ac:dyDescent="0.15">
      <c r="A19" s="23"/>
      <c r="B19" s="21">
        <v>12</v>
      </c>
      <c r="C19" s="14" t="str">
        <f ca="1">_xlfn.IFNA(VLOOKUP(B19,data!E:F,2,0),"")</f>
        <v>002796.SZ</v>
      </c>
      <c r="D19" s="15" t="str">
        <f ca="1">IF(C19="","",[1]!S_INFO_NAME(C19))</f>
        <v>世嘉科技</v>
      </c>
      <c r="E19" s="14">
        <f ca="1">IF(C19="","",[1]!s_dq_high(C19,$D$4))</f>
        <v>57.32</v>
      </c>
      <c r="F19" s="14">
        <f ca="1">IF(C19="","",[1]!s_dq_close(C19,$D$4))</f>
        <v>57.32</v>
      </c>
      <c r="G19" s="16">
        <f ca="1">IF(C19="","",[1]!s_yq_pctchange(C19,$D$4))</f>
        <v>115.65091958168048</v>
      </c>
      <c r="H19" s="17">
        <f ca="1">IF(C19="","",[1]!s_val_mv_ard(C19,$D$4,100000000))</f>
        <v>144.65673459359999</v>
      </c>
      <c r="J19" s="5"/>
    </row>
    <row r="20" spans="1:10" x14ac:dyDescent="0.15">
      <c r="A20" s="23"/>
      <c r="B20" s="21">
        <v>13</v>
      </c>
      <c r="C20" s="10" t="str">
        <f ca="1">_xlfn.IFNA(VLOOKUP(B20,data!E:F,2,0),"")</f>
        <v>300164.SZ</v>
      </c>
      <c r="D20" s="13" t="str">
        <f ca="1">IF(C20="","",[1]!S_INFO_NAME(C20))</f>
        <v>通源石油</v>
      </c>
      <c r="E20" s="10">
        <f ca="1">IF(C20="","",[1]!s_dq_high(C20,$D$4))</f>
        <v>25.96</v>
      </c>
      <c r="F20" s="10">
        <f ca="1">IF(C20="","",[1]!s_dq_close(C20,$D$4))</f>
        <v>22.41</v>
      </c>
      <c r="G20" s="11">
        <f ca="1">IF(C20="","",[1]!s_yq_pctchange(C20,$D$4))</f>
        <v>267.75362318840592</v>
      </c>
      <c r="H20" s="12">
        <f ca="1">IF(C20="","",[1]!s_val_mv_ard(C20,$D$4,100000000))</f>
        <v>131.87357875889998</v>
      </c>
      <c r="J20" s="5"/>
    </row>
    <row r="21" spans="1:10" x14ac:dyDescent="0.15">
      <c r="A21" s="23"/>
      <c r="B21" s="21">
        <v>14</v>
      </c>
      <c r="C21" s="14" t="str">
        <f ca="1">_xlfn.IFNA(VLOOKUP(B21,data!E:F,2,0),"")</f>
        <v>300179.SZ</v>
      </c>
      <c r="D21" s="15" t="str">
        <f ca="1">IF(C21="","",[1]!S_INFO_NAME(C21))</f>
        <v>四方达</v>
      </c>
      <c r="E21" s="14">
        <f ca="1">IF(C21="","",[1]!s_dq_high(C21,$D$4))</f>
        <v>29.5</v>
      </c>
      <c r="F21" s="14">
        <f ca="1">IF(C21="","",[1]!s_dq_close(C21,$D$4))</f>
        <v>27</v>
      </c>
      <c r="G21" s="16">
        <f ca="1">IF(C21="","",[1]!s_yq_pctchange(C21,$D$4))</f>
        <v>71.957671957671977</v>
      </c>
      <c r="H21" s="17">
        <f ca="1">IF(C21="","",[1]!s_val_mv_ard(C21,$D$4,100000000))</f>
        <v>131.14546109999998</v>
      </c>
      <c r="J21" s="5"/>
    </row>
    <row r="22" spans="1:10" x14ac:dyDescent="0.15">
      <c r="A22" s="23"/>
      <c r="B22" s="21">
        <v>15</v>
      </c>
      <c r="C22" s="10" t="str">
        <f ca="1">_xlfn.IFNA(VLOOKUP(B22,data!E:F,2,0),"")</f>
        <v>300277.SZ</v>
      </c>
      <c r="D22" s="13" t="str">
        <f ca="1">IF(C22="","",[1]!S_INFO_NAME(C22))</f>
        <v>海联讯</v>
      </c>
      <c r="E22" s="10">
        <f ca="1">IF(C22="","",[1]!s_dq_high(C22,$D$4))</f>
        <v>26.35</v>
      </c>
      <c r="F22" s="10">
        <f ca="1">IF(C22="","",[1]!s_dq_close(C22,$D$4))</f>
        <v>25.39</v>
      </c>
      <c r="G22" s="11">
        <f ca="1">IF(C22="","",[1]!s_yq_pctchange(C22,$D$4))</f>
        <v>91.034482758620697</v>
      </c>
      <c r="H22" s="12">
        <f ca="1">IF(C22="","",[1]!s_val_mv_ard(C22,$D$4,100000000))</f>
        <v>385.06594983349999</v>
      </c>
      <c r="J22" s="5"/>
    </row>
    <row r="23" spans="1:10" x14ac:dyDescent="0.15">
      <c r="A23" s="23"/>
      <c r="B23" s="21">
        <v>16</v>
      </c>
      <c r="C23" s="14" t="str">
        <f ca="1">_xlfn.IFNA(VLOOKUP(B23,data!E:F,2,0),"")</f>
        <v>300303.SZ</v>
      </c>
      <c r="D23" s="15" t="str">
        <f ca="1">IF(C23="","",[1]!S_INFO_NAME(C23))</f>
        <v>聚飞光电</v>
      </c>
      <c r="E23" s="14">
        <f ca="1">IF(C23="","",[1]!s_dq_high(C23,$D$4))</f>
        <v>12.53</v>
      </c>
      <c r="F23" s="14">
        <f ca="1">IF(C23="","",[1]!s_dq_close(C23,$D$4))</f>
        <v>12.53</v>
      </c>
      <c r="G23" s="16">
        <f ca="1">IF(C23="","",[1]!s_yq_pctchange(C23,$D$4))</f>
        <v>58.187134502923989</v>
      </c>
      <c r="H23" s="17">
        <f ca="1">IF(C23="","",[1]!s_val_mv_ard(C23,$D$4,100000000))</f>
        <v>177.52573253309998</v>
      </c>
      <c r="J23" s="5"/>
    </row>
    <row r="24" spans="1:10" x14ac:dyDescent="0.15">
      <c r="A24" s="23"/>
      <c r="B24" s="21">
        <v>17</v>
      </c>
      <c r="C24" s="10" t="str">
        <f ca="1">_xlfn.IFNA(VLOOKUP(B24,data!E:F,2,0),"")</f>
        <v>300658.SZ</v>
      </c>
      <c r="D24" s="13" t="str">
        <f ca="1">IF(C24="","",[1]!S_INFO_NAME(C24))</f>
        <v>延江股份</v>
      </c>
      <c r="E24" s="10">
        <f ca="1">IF(C24="","",[1]!s_dq_high(C24,$D$4))</f>
        <v>29.92</v>
      </c>
      <c r="F24" s="10">
        <f ca="1">IF(C24="","",[1]!s_dq_close(C24,$D$4))</f>
        <v>27.43</v>
      </c>
      <c r="G24" s="11">
        <f ca="1">IF(C24="","",[1]!s_yq_pctchange(C24,$D$4))</f>
        <v>104.18353576248313</v>
      </c>
      <c r="H24" s="12">
        <f ca="1">IF(C24="","",[1]!s_val_mv_ard(C24,$D$4,100000000))</f>
        <v>91.277194001499993</v>
      </c>
      <c r="J24" s="5"/>
    </row>
    <row r="25" spans="1:10" x14ac:dyDescent="0.15">
      <c r="A25" s="23"/>
      <c r="B25" s="21">
        <v>18</v>
      </c>
      <c r="C25" s="14" t="str">
        <f ca="1">_xlfn.IFNA(VLOOKUP(B25,data!E:F,2,0),"")</f>
        <v>300812.SZ</v>
      </c>
      <c r="D25" s="15" t="str">
        <f ca="1">IF(C25="","",[1]!S_INFO_NAME(C25))</f>
        <v>易天股份</v>
      </c>
      <c r="E25" s="14">
        <f ca="1">IF(C25="","",[1]!s_dq_high(C25,$D$4))</f>
        <v>50.95</v>
      </c>
      <c r="F25" s="14">
        <f ca="1">IF(C25="","",[1]!s_dq_close(C25,$D$4))</f>
        <v>46.8</v>
      </c>
      <c r="G25" s="16">
        <f ca="1">IF(C25="","",[1]!s_yq_pctchange(C25,$D$4))</f>
        <v>50.66433566433566</v>
      </c>
      <c r="H25" s="17">
        <f ca="1">IF(C25="","",[1]!s_val_mv_ard(C25,$D$4,100000000))</f>
        <v>65.556049571999992</v>
      </c>
      <c r="J25" s="5"/>
    </row>
    <row r="26" spans="1:10" x14ac:dyDescent="0.15">
      <c r="A26" s="23"/>
      <c r="B26" s="21">
        <v>19</v>
      </c>
      <c r="C26" s="10" t="str">
        <f ca="1">_xlfn.IFNA(VLOOKUP(B26,data!E:F,2,0),"")</f>
        <v>300870.SZ</v>
      </c>
      <c r="D26" s="13" t="str">
        <f ca="1">IF(C26="","",[1]!S_INFO_NAME(C26))</f>
        <v>欧陆通</v>
      </c>
      <c r="E26" s="10">
        <f ca="1">IF(C26="","",[1]!s_dq_high(C26,$D$4))</f>
        <v>303.22000000000003</v>
      </c>
      <c r="F26" s="10">
        <f ca="1">IF(C26="","",[1]!s_dq_close(C26,$D$4))</f>
        <v>293.20999999999998</v>
      </c>
      <c r="G26" s="11">
        <f ca="1">IF(C26="","",[1]!s_yq_pctchange(C26,$D$4))</f>
        <v>36.199095022624419</v>
      </c>
      <c r="H26" s="12">
        <f ca="1">IF(C26="","",[1]!s_val_mv_ard(C26,$D$4,100000000))</f>
        <v>324.54175794539998</v>
      </c>
      <c r="J26" s="5"/>
    </row>
    <row r="27" spans="1:10" x14ac:dyDescent="0.15">
      <c r="A27" s="23"/>
      <c r="B27" s="21">
        <v>20</v>
      </c>
      <c r="C27" s="14" t="str">
        <f ca="1">_xlfn.IFNA(VLOOKUP(B27,data!E:F,2,0),"")</f>
        <v>300938.SZ</v>
      </c>
      <c r="D27" s="15" t="str">
        <f ca="1">IF(C27="","",[1]!S_INFO_NAME(C27))</f>
        <v>信测标准</v>
      </c>
      <c r="E27" s="14">
        <f ca="1">IF(C27="","",[1]!s_dq_high(C27,$D$4))</f>
        <v>39.79</v>
      </c>
      <c r="F27" s="14">
        <f ca="1">IF(C27="","",[1]!s_dq_close(C27,$D$4))</f>
        <v>38.86</v>
      </c>
      <c r="G27" s="16">
        <f ca="1">IF(C27="","",[1]!s_yq_pctchange(C27,$D$4))</f>
        <v>21.012269938650306</v>
      </c>
      <c r="H27" s="17">
        <f ca="1">IF(C27="","",[1]!s_val_mv_ard(C27,$D$4,100000000))</f>
        <v>94.6226808328</v>
      </c>
      <c r="J27" s="5"/>
    </row>
    <row r="28" spans="1:10" x14ac:dyDescent="0.15">
      <c r="A28" s="23"/>
      <c r="B28" s="21">
        <v>21</v>
      </c>
      <c r="C28" s="10" t="str">
        <f ca="1">_xlfn.IFNA(VLOOKUP(B28,data!E:F,2,0),"")</f>
        <v>301021.SZ</v>
      </c>
      <c r="D28" s="13" t="str">
        <f ca="1">IF(C28="","",[1]!S_INFO_NAME(C28))</f>
        <v>英诺激光</v>
      </c>
      <c r="E28" s="10">
        <f ca="1">IF(C28="","",[1]!s_dq_high(C28,$D$4))</f>
        <v>64.599999999999994</v>
      </c>
      <c r="F28" s="10">
        <f ca="1">IF(C28="","",[1]!s_dq_close(C28,$D$4))</f>
        <v>64.599999999999994</v>
      </c>
      <c r="G28" s="11">
        <f ca="1">IF(C28="","",[1]!s_yq_pctchange(C28,$D$4))</f>
        <v>24.254881808838658</v>
      </c>
      <c r="H28" s="12">
        <f ca="1">IF(C28="","",[1]!s_val_mv_ard(C28,$D$4,100000000))</f>
        <v>98.742901047999993</v>
      </c>
      <c r="J28" s="5"/>
    </row>
    <row r="29" spans="1:10" x14ac:dyDescent="0.15">
      <c r="A29" s="23"/>
      <c r="B29" s="22">
        <v>22</v>
      </c>
      <c r="C29" s="14" t="str">
        <f ca="1">_xlfn.IFNA(VLOOKUP(B29,data!E:F,2,0),"")</f>
        <v>301120.SZ</v>
      </c>
      <c r="D29" s="15" t="str">
        <f ca="1">IF(C29="","",[1]!S_INFO_NAME(C29))</f>
        <v>新特电气</v>
      </c>
      <c r="E29" s="14">
        <f ca="1">IF(C29="","",[1]!s_dq_high(C29,$D$4))</f>
        <v>29.5</v>
      </c>
      <c r="F29" s="14">
        <f ca="1">IF(C29="","",[1]!s_dq_close(C29,$D$4))</f>
        <v>26.7</v>
      </c>
      <c r="G29" s="16">
        <f ca="1">IF(C29="","",[1]!s_yq_pctchange(C29,$D$4))</f>
        <v>58.714533873769525</v>
      </c>
      <c r="H29" s="17">
        <f ca="1">IF(C29="","",[1]!s_val_mv_ard(C29,$D$4,100000000))</f>
        <v>99.174761684999993</v>
      </c>
      <c r="I29" s="18"/>
      <c r="J29" s="5"/>
    </row>
    <row r="30" spans="1:10" x14ac:dyDescent="0.15">
      <c r="A30" s="23"/>
      <c r="B30" s="21">
        <v>23</v>
      </c>
      <c r="C30" s="10" t="str">
        <f ca="1">_xlfn.IFNA(VLOOKUP(B30,data!E:F,2,0),"")</f>
        <v>301193.SZ</v>
      </c>
      <c r="D30" s="13" t="str">
        <f ca="1">IF(C30="","",[1]!S_INFO_NAME(C30))</f>
        <v>家联科技</v>
      </c>
      <c r="E30" s="10">
        <f ca="1">IF(C30="","",[1]!s_dq_high(C30,$D$4))</f>
        <v>29.99</v>
      </c>
      <c r="F30" s="10">
        <f ca="1">IF(C30="","",[1]!s_dq_close(C30,$D$4))</f>
        <v>28.87</v>
      </c>
      <c r="G30" s="11">
        <f ca="1">IF(C30="","",[1]!s_yq_pctchange(C30,$D$4))</f>
        <v>33.843300880853057</v>
      </c>
      <c r="H30" s="12">
        <f ca="1">IF(C30="","",[1]!s_val_mv_ard(C30,$D$4,100000000))</f>
        <v>56.348040167500002</v>
      </c>
      <c r="J30" s="5"/>
    </row>
    <row r="31" spans="1:10" x14ac:dyDescent="0.15">
      <c r="A31" s="23"/>
      <c r="B31" s="21">
        <v>24</v>
      </c>
      <c r="C31" s="14" t="str">
        <f ca="1">_xlfn.IFNA(VLOOKUP(B31,data!E:F,2,0),"")</f>
        <v>301338.SZ</v>
      </c>
      <c r="D31" s="15" t="str">
        <f ca="1">IF(C31="","",[1]!S_INFO_NAME(C31))</f>
        <v>凯格精机</v>
      </c>
      <c r="E31" s="14">
        <f ca="1">IF(C31="","",[1]!s_dq_high(C31,$D$4))</f>
        <v>198.8</v>
      </c>
      <c r="F31" s="14">
        <f ca="1">IF(C31="","",[1]!s_dq_close(C31,$D$4))</f>
        <v>196.01</v>
      </c>
      <c r="G31" s="16">
        <f ca="1">IF(C31="","",[1]!s_yq_pctchange(C31,$D$4))</f>
        <v>119.04437634774712</v>
      </c>
      <c r="H31" s="17">
        <f ca="1">IF(C31="","",[1]!s_val_mv_ard(C31,$D$4,100000000))</f>
        <v>208.55464000000001</v>
      </c>
      <c r="J31" s="5"/>
    </row>
    <row r="32" spans="1:10" x14ac:dyDescent="0.15">
      <c r="A32" s="23"/>
      <c r="B32" s="21">
        <v>25</v>
      </c>
      <c r="C32" s="10" t="str">
        <f ca="1">_xlfn.IFNA(VLOOKUP(B32,data!E:F,2,0),"")</f>
        <v>301362.SZ</v>
      </c>
      <c r="D32" s="13" t="str">
        <f ca="1">IF(C32="","",[1]!S_INFO_NAME(C32))</f>
        <v>民爆光电</v>
      </c>
      <c r="E32" s="10">
        <f ca="1">IF(C32="","",[1]!s_dq_high(C32,$D$4))</f>
        <v>130.88</v>
      </c>
      <c r="F32" s="10">
        <f ca="1">IF(C32="","",[1]!s_dq_close(C32,$D$4))</f>
        <v>112.6</v>
      </c>
      <c r="G32" s="11">
        <f ca="1">IF(C32="","",[1]!s_yq_pctchange(C32,$D$4))</f>
        <v>161.7937004087521</v>
      </c>
      <c r="H32" s="12">
        <f ca="1">IF(C32="","",[1]!s_val_mv_ard(C32,$D$4,100000000))</f>
        <v>117.85842</v>
      </c>
      <c r="J32" s="5"/>
    </row>
    <row r="33" spans="1:10" x14ac:dyDescent="0.15">
      <c r="A33" s="23"/>
      <c r="B33" s="21">
        <v>26</v>
      </c>
      <c r="C33" s="14" t="str">
        <f ca="1">_xlfn.IFNA(VLOOKUP(B33,data!E:F,2,0),"")</f>
        <v>301373.SZ</v>
      </c>
      <c r="D33" s="15" t="str">
        <f ca="1">IF(C33="","",[1]!S_INFO_NAME(C33))</f>
        <v>凌玮科技</v>
      </c>
      <c r="E33" s="14">
        <f ca="1">IF(C33="","",[1]!s_dq_high(C33,$D$4))</f>
        <v>59.5</v>
      </c>
      <c r="F33" s="14">
        <f ca="1">IF(C33="","",[1]!s_dq_close(C33,$D$4))</f>
        <v>58.23</v>
      </c>
      <c r="G33" s="16">
        <f ca="1">IF(C33="","",[1]!s_yq_pctchange(C33,$D$4))</f>
        <v>107.47663551401865</v>
      </c>
      <c r="H33" s="17">
        <f ca="1">IF(C33="","",[1]!s_val_mv_ard(C33,$D$4,100000000))</f>
        <v>63.163298589299991</v>
      </c>
      <c r="J33" s="5"/>
    </row>
    <row r="34" spans="1:10" x14ac:dyDescent="0.15">
      <c r="A34" s="23"/>
      <c r="B34" s="21">
        <v>27</v>
      </c>
      <c r="C34" s="10" t="str">
        <f ca="1">_xlfn.IFNA(VLOOKUP(B34,data!E:F,2,0),"")</f>
        <v>301626.SZ</v>
      </c>
      <c r="D34" s="13" t="str">
        <f ca="1">IF(C34="","",[1]!S_INFO_NAME(C34))</f>
        <v>苏州天脉</v>
      </c>
      <c r="E34" s="10">
        <f ca="1">IF(C34="","",[1]!s_dq_high(C34,$D$4))</f>
        <v>258.88</v>
      </c>
      <c r="F34" s="10">
        <f ca="1">IF(C34="","",[1]!s_dq_close(C34,$D$4))</f>
        <v>248.99</v>
      </c>
      <c r="G34" s="11">
        <f ca="1">IF(C34="","",[1]!s_yq_pctchange(C34,$D$4))</f>
        <v>42.179280730005367</v>
      </c>
      <c r="H34" s="12">
        <f ca="1">IF(C34="","",[1]!s_val_mv_ard(C34,$D$4,100000000))</f>
        <v>288.031632</v>
      </c>
      <c r="J34" s="5"/>
    </row>
    <row r="35" spans="1:10" x14ac:dyDescent="0.15">
      <c r="A35" s="23"/>
      <c r="B35" s="21">
        <v>28</v>
      </c>
      <c r="C35" s="14" t="str">
        <f ca="1">_xlfn.IFNA(VLOOKUP(B35,data!E:F,2,0),"")</f>
        <v>600089.SH</v>
      </c>
      <c r="D35" s="15" t="str">
        <f ca="1">IF(C35="","",[1]!S_INFO_NAME(C35))</f>
        <v>特变电工</v>
      </c>
      <c r="E35" s="14">
        <f ca="1">IF(C35="","",[1]!s_dq_high(C35,$D$4))</f>
        <v>33.28</v>
      </c>
      <c r="F35" s="14">
        <f ca="1">IF(C35="","",[1]!s_dq_close(C35,$D$4))</f>
        <v>32.78</v>
      </c>
      <c r="G35" s="16">
        <f ca="1">IF(C35="","",[1]!s_yq_pctchange(C35,$D$4))</f>
        <v>45.049504950495049</v>
      </c>
      <c r="H35" s="17">
        <f ca="1">IF(C35="","",[1]!s_val_mv_ard(C35,$D$4,100000000))</f>
        <v>1656.3054047738001</v>
      </c>
      <c r="J35" s="5"/>
    </row>
    <row r="36" spans="1:10" x14ac:dyDescent="0.15">
      <c r="A36" s="23"/>
      <c r="B36" s="21">
        <v>29</v>
      </c>
      <c r="C36" s="10" t="str">
        <f ca="1">_xlfn.IFNA(VLOOKUP(B36,data!E:F,2,0),"")</f>
        <v>600236.SH</v>
      </c>
      <c r="D36" s="13" t="str">
        <f ca="1">IF(C36="","",[1]!S_INFO_NAME(C36))</f>
        <v>桂冠电力</v>
      </c>
      <c r="E36" s="10">
        <f ca="1">IF(C36="","",[1]!s_dq_high(C36,$D$4))</f>
        <v>11.94</v>
      </c>
      <c r="F36" s="10">
        <f ca="1">IF(C36="","",[1]!s_dq_close(C36,$D$4))</f>
        <v>11.62</v>
      </c>
      <c r="G36" s="11">
        <f ca="1">IF(C36="","",[1]!s_yq_pctchange(C36,$D$4))</f>
        <v>39.846743295019138</v>
      </c>
      <c r="H36" s="12">
        <f ca="1">IF(C36="","",[1]!s_val_mv_ard(C36,$D$4,100000000))</f>
        <v>915.93230059239988</v>
      </c>
      <c r="J36" s="5"/>
    </row>
    <row r="37" spans="1:10" x14ac:dyDescent="0.15">
      <c r="A37" s="23"/>
      <c r="B37" s="21">
        <v>30</v>
      </c>
      <c r="C37" s="14" t="str">
        <f ca="1">_xlfn.IFNA(VLOOKUP(B37,data!E:F,2,0),"")</f>
        <v>600312.SH</v>
      </c>
      <c r="D37" s="15" t="str">
        <f ca="1">IF(C37="","",[1]!S_INFO_NAME(C37))</f>
        <v>平高电气</v>
      </c>
      <c r="E37" s="14">
        <f ca="1">IF(C37="","",[1]!s_dq_high(C37,$D$4))</f>
        <v>24.99</v>
      </c>
      <c r="F37" s="14">
        <f ca="1">IF(C37="","",[1]!s_dq_close(C37,$D$4))</f>
        <v>24.71</v>
      </c>
      <c r="G37" s="16">
        <f ca="1">IF(C37="","",[1]!s_yq_pctchange(C37,$D$4))</f>
        <v>44.207492795389044</v>
      </c>
      <c r="H37" s="17">
        <f ca="1">IF(C37="","",[1]!s_val_mv_ard(C37,$D$4,100000000))</f>
        <v>335.29525545389998</v>
      </c>
      <c r="J37" s="5"/>
    </row>
    <row r="38" spans="1:10" x14ac:dyDescent="0.15">
      <c r="A38" s="23"/>
      <c r="B38" s="21">
        <v>31</v>
      </c>
      <c r="C38" s="10" t="str">
        <f ca="1">_xlfn.IFNA(VLOOKUP(B38,data!E:F,2,0),"")</f>
        <v>600452.SH</v>
      </c>
      <c r="D38" s="13" t="str">
        <f ca="1">IF(C38="","",[1]!S_INFO_NAME(C38))</f>
        <v>涪陵电力</v>
      </c>
      <c r="E38" s="10">
        <f ca="1">IF(C38="","",[1]!s_dq_high(C38,$D$4))</f>
        <v>14.8</v>
      </c>
      <c r="F38" s="10">
        <f ca="1">IF(C38="","",[1]!s_dq_close(C38,$D$4))</f>
        <v>14.48</v>
      </c>
      <c r="G38" s="11">
        <f ca="1">IF(C38="","",[1]!s_yq_pctchange(C38,$D$4))</f>
        <v>65.955176093916762</v>
      </c>
      <c r="H38" s="12">
        <f ca="1">IF(C38="","",[1]!s_val_mv_ard(C38,$D$4,100000000))</f>
        <v>222.49123149920001</v>
      </c>
      <c r="J38" s="5"/>
    </row>
    <row r="39" spans="1:10" x14ac:dyDescent="0.15">
      <c r="A39" s="23"/>
      <c r="B39" s="21">
        <v>32</v>
      </c>
      <c r="C39" s="14" t="str">
        <f ca="1">_xlfn.IFNA(VLOOKUP(B39,data!E:F,2,0),"")</f>
        <v>600875.SH</v>
      </c>
      <c r="D39" s="15" t="str">
        <f ca="1">IF(C39="","",[1]!S_INFO_NAME(C39))</f>
        <v>东方电气</v>
      </c>
      <c r="E39" s="14">
        <f ca="1">IF(C39="","",[1]!s_dq_high(C39,$D$4))</f>
        <v>42.21</v>
      </c>
      <c r="F39" s="14">
        <f ca="1">IF(C39="","",[1]!s_dq_close(C39,$D$4))</f>
        <v>42.21</v>
      </c>
      <c r="G39" s="16">
        <f ca="1">IF(C39="","",[1]!s_yq_pctchange(C39,$D$4))</f>
        <v>82.125205930807226</v>
      </c>
      <c r="H39" s="17">
        <f ca="1">IF(C39="","",[1]!s_val_mv_ard(C39,$D$4,100000000))</f>
        <v>1459.7738936045998</v>
      </c>
      <c r="J39" s="5"/>
    </row>
    <row r="40" spans="1:10" x14ac:dyDescent="0.15">
      <c r="A40" s="23"/>
      <c r="B40" s="21">
        <v>33</v>
      </c>
      <c r="C40" s="10" t="str">
        <f ca="1">_xlfn.IFNA(VLOOKUP(B40,data!E:F,2,0),"")</f>
        <v>601126.SH</v>
      </c>
      <c r="D40" s="13" t="str">
        <f ca="1">IF(C40="","",[1]!S_INFO_NAME(C40))</f>
        <v>四方股份</v>
      </c>
      <c r="E40" s="10">
        <f ca="1">IF(C40="","",[1]!s_dq_high(C40,$D$4))</f>
        <v>52.25</v>
      </c>
      <c r="F40" s="10">
        <f ca="1">IF(C40="","",[1]!s_dq_close(C40,$D$4))</f>
        <v>52.19</v>
      </c>
      <c r="G40" s="11">
        <f ca="1">IF(C40="","",[1]!s_yq_pctchange(C40,$D$4))</f>
        <v>76.030585106383029</v>
      </c>
      <c r="H40" s="12">
        <f ca="1">IF(C40="","",[1]!s_val_mv_ard(C40,$D$4,100000000))</f>
        <v>434.83116204999999</v>
      </c>
      <c r="J40" s="5"/>
    </row>
    <row r="41" spans="1:10" x14ac:dyDescent="0.15">
      <c r="A41" s="23"/>
      <c r="B41" s="21">
        <v>34</v>
      </c>
      <c r="C41" s="14" t="str">
        <f ca="1">_xlfn.IFNA(VLOOKUP(B41,data!E:F,2,0),"")</f>
        <v>601179.SH</v>
      </c>
      <c r="D41" s="15" t="str">
        <f ca="1">IF(C41="","",[1]!S_INFO_NAME(C41))</f>
        <v>中国西电</v>
      </c>
      <c r="E41" s="14">
        <f ca="1">IF(C41="","",[1]!s_dq_high(C41,$D$4))</f>
        <v>18.11</v>
      </c>
      <c r="F41" s="14">
        <f ca="1">IF(C41="","",[1]!s_dq_close(C41,$D$4))</f>
        <v>18.11</v>
      </c>
      <c r="G41" s="16">
        <f ca="1">IF(C41="","",[1]!s_yq_pctchange(C41,$D$4))</f>
        <v>112.08791208791209</v>
      </c>
      <c r="H41" s="17">
        <f ca="1">IF(C41="","",[1]!s_val_mv_ard(C41,$D$4,100000000))</f>
        <v>928.29729394720005</v>
      </c>
      <c r="J41" s="5"/>
    </row>
    <row r="42" spans="1:10" x14ac:dyDescent="0.15">
      <c r="A42" s="23"/>
      <c r="B42" s="21">
        <v>35</v>
      </c>
      <c r="C42" s="10" t="str">
        <f ca="1">_xlfn.IFNA(VLOOKUP(B42,data!E:F,2,0),"")</f>
        <v>603057.SH</v>
      </c>
      <c r="D42" s="13" t="str">
        <f ca="1">IF(C42="","",[1]!S_INFO_NAME(C42))</f>
        <v>紫燕食品</v>
      </c>
      <c r="E42" s="10">
        <f ca="1">IF(C42="","",[1]!s_dq_high(C42,$D$4))</f>
        <v>35.299999999999997</v>
      </c>
      <c r="F42" s="10">
        <f ca="1">IF(C42="","",[1]!s_dq_close(C42,$D$4))</f>
        <v>34.47</v>
      </c>
      <c r="G42" s="11">
        <f ca="1">IF(C42="","",[1]!s_yq_pctchange(C42,$D$4))</f>
        <v>67.797443461160285</v>
      </c>
      <c r="H42" s="12">
        <f ca="1">IF(C42="","",[1]!s_val_mv_ard(C42,$D$4,100000000))</f>
        <v>142.538189625</v>
      </c>
      <c r="J42" s="5"/>
    </row>
    <row r="43" spans="1:10" x14ac:dyDescent="0.15">
      <c r="A43" s="23"/>
      <c r="B43" s="21">
        <v>36</v>
      </c>
      <c r="C43" s="14" t="str">
        <f ca="1">_xlfn.IFNA(VLOOKUP(B43,data!E:F,2,0),"")</f>
        <v>603067.SH</v>
      </c>
      <c r="D43" s="15" t="str">
        <f ca="1">IF(C43="","",[1]!S_INFO_NAME(C43))</f>
        <v>振华股份</v>
      </c>
      <c r="E43" s="14">
        <f ca="1">IF(C43="","",[1]!s_dq_high(C43,$D$4))</f>
        <v>45.87</v>
      </c>
      <c r="F43" s="14">
        <f ca="1">IF(C43="","",[1]!s_dq_close(C43,$D$4))</f>
        <v>45.87</v>
      </c>
      <c r="G43" s="16">
        <f ca="1">IF(C43="","",[1]!s_yq_pctchange(C43,$D$4))</f>
        <v>62.165914612981595</v>
      </c>
      <c r="H43" s="17">
        <f ca="1">IF(C43="","",[1]!s_val_mv_ard(C43,$D$4,100000000))</f>
        <v>326.02573905990005</v>
      </c>
      <c r="J43" s="5"/>
    </row>
    <row r="44" spans="1:10" x14ac:dyDescent="0.15">
      <c r="A44" s="23"/>
      <c r="B44" s="21">
        <v>37</v>
      </c>
      <c r="C44" s="10" t="str">
        <f ca="1">_xlfn.IFNA(VLOOKUP(B44,data!E:F,2,0),"")</f>
        <v>603268.SH</v>
      </c>
      <c r="D44" s="13" t="str">
        <f ca="1">IF(C44="","",[1]!S_INFO_NAME(C44))</f>
        <v>*ST松发</v>
      </c>
      <c r="E44" s="10">
        <f ca="1">IF(C44="","",[1]!s_dq_high(C44,$D$4))</f>
        <v>123.38</v>
      </c>
      <c r="F44" s="10">
        <f ca="1">IF(C44="","",[1]!s_dq_close(C44,$D$4))</f>
        <v>123.38</v>
      </c>
      <c r="G44" s="11">
        <f ca="1">IF(C44="","",[1]!s_yq_pctchange(C44,$D$4))</f>
        <v>50.755576876948936</v>
      </c>
      <c r="H44" s="12">
        <f ca="1">IF(C44="","",[1]!s_val_mv_ard(C44,$D$4,100000000))</f>
        <v>1197.7462702414</v>
      </c>
      <c r="J44" s="5"/>
    </row>
    <row r="45" spans="1:10" x14ac:dyDescent="0.15">
      <c r="A45" s="23"/>
      <c r="B45" s="21">
        <v>38</v>
      </c>
      <c r="C45" s="14" t="str">
        <f ca="1">_xlfn.IFNA(VLOOKUP(B45,data!E:F,2,0),"")</f>
        <v>603269.SH</v>
      </c>
      <c r="D45" s="15" t="str">
        <f ca="1">IF(C45="","",[1]!S_INFO_NAME(C45))</f>
        <v>海鸥股份</v>
      </c>
      <c r="E45" s="14">
        <f ca="1">IF(C45="","",[1]!s_dq_high(C45,$D$4))</f>
        <v>15.68</v>
      </c>
      <c r="F45" s="14">
        <f ca="1">IF(C45="","",[1]!s_dq_close(C45,$D$4))</f>
        <v>15.4</v>
      </c>
      <c r="G45" s="16">
        <f ca="1">IF(C45="","",[1]!s_yq_pctchange(C45,$D$4))</f>
        <v>29.411764705882359</v>
      </c>
      <c r="H45" s="17">
        <f ca="1">IF(C45="","",[1]!s_val_mv_ard(C45,$D$4,100000000))</f>
        <v>47.547772271999996</v>
      </c>
      <c r="J45" s="5"/>
    </row>
    <row r="46" spans="1:10" x14ac:dyDescent="0.15">
      <c r="A46" s="23"/>
      <c r="B46" s="21">
        <v>39</v>
      </c>
      <c r="C46" s="10" t="str">
        <f ca="1">_xlfn.IFNA(VLOOKUP(B46,data!E:F,2,0),"")</f>
        <v>603530.SH</v>
      </c>
      <c r="D46" s="13" t="str">
        <f ca="1">IF(C46="","",[1]!S_INFO_NAME(C46))</f>
        <v>神马电力</v>
      </c>
      <c r="E46" s="10">
        <f ca="1">IF(C46="","",[1]!s_dq_high(C46,$D$4))</f>
        <v>73.930000000000007</v>
      </c>
      <c r="F46" s="10">
        <f ca="1">IF(C46="","",[1]!s_dq_close(C46,$D$4))</f>
        <v>71.48</v>
      </c>
      <c r="G46" s="11">
        <f ca="1">IF(C46="","",[1]!s_yq_pctchange(C46,$D$4))</f>
        <v>73.320350535540427</v>
      </c>
      <c r="H46" s="12">
        <f ca="1">IF(C46="","",[1]!s_val_mv_ard(C46,$D$4,100000000))</f>
        <v>308.56813420999998</v>
      </c>
      <c r="J46" s="5"/>
    </row>
    <row r="47" spans="1:10" x14ac:dyDescent="0.15">
      <c r="A47" s="23"/>
      <c r="B47" s="21">
        <v>40</v>
      </c>
      <c r="C47" s="14" t="str">
        <f ca="1">_xlfn.IFNA(VLOOKUP(B47,data!E:F,2,0),"")</f>
        <v>603618.SH</v>
      </c>
      <c r="D47" s="15" t="str">
        <f ca="1">IF(C47="","",[1]!S_INFO_NAME(C47))</f>
        <v>杭电股份</v>
      </c>
      <c r="E47" s="14">
        <f ca="1">IF(C47="","",[1]!s_dq_high(C47,$D$4))</f>
        <v>22.2</v>
      </c>
      <c r="F47" s="14">
        <f ca="1">IF(C47="","",[1]!s_dq_close(C47,$D$4))</f>
        <v>20.82</v>
      </c>
      <c r="G47" s="16">
        <f ca="1">IF(C47="","",[1]!s_yq_pctchange(C47,$D$4))</f>
        <v>137.84119106699754</v>
      </c>
      <c r="H47" s="17">
        <f ca="1">IF(C47="","",[1]!s_val_mv_ard(C47,$D$4,100000000))</f>
        <v>143.94440325120001</v>
      </c>
      <c r="J47" s="5"/>
    </row>
    <row r="48" spans="1:10" x14ac:dyDescent="0.15">
      <c r="A48" s="23"/>
      <c r="B48" s="21">
        <v>41</v>
      </c>
      <c r="C48" s="10" t="str">
        <f ca="1">_xlfn.IFNA(VLOOKUP(B48,data!E:F,2,0),"")</f>
        <v>603685.SH</v>
      </c>
      <c r="D48" s="13" t="str">
        <f ca="1">IF(C48="","",[1]!S_INFO_NAME(C48))</f>
        <v>晨丰科技</v>
      </c>
      <c r="E48" s="10">
        <f ca="1">IF(C48="","",[1]!s_dq_high(C48,$D$4))</f>
        <v>30.06</v>
      </c>
      <c r="F48" s="10">
        <f ca="1">IF(C48="","",[1]!s_dq_close(C48,$D$4))</f>
        <v>29.82</v>
      </c>
      <c r="G48" s="11">
        <f ca="1">IF(C48="","",[1]!s_yq_pctchange(C48,$D$4))</f>
        <v>49.461262185736274</v>
      </c>
      <c r="H48" s="12">
        <f ca="1">IF(C48="","",[1]!s_val_mv_ard(C48,$D$4,100000000))</f>
        <v>74.833459377599993</v>
      </c>
      <c r="J48" s="5"/>
    </row>
    <row r="49" spans="1:10" x14ac:dyDescent="0.15">
      <c r="A49" s="23"/>
      <c r="B49" s="21">
        <v>42</v>
      </c>
      <c r="C49" s="14" t="str">
        <f ca="1">_xlfn.IFNA(VLOOKUP(B49,data!E:F,2,0),"")</f>
        <v>603790.SH</v>
      </c>
      <c r="D49" s="15" t="str">
        <f ca="1">IF(C49="","",[1]!S_INFO_NAME(C49))</f>
        <v>雅运股份</v>
      </c>
      <c r="E49" s="14">
        <f ca="1">IF(C49="","",[1]!s_dq_high(C49,$D$4))</f>
        <v>26.64</v>
      </c>
      <c r="F49" s="14">
        <f ca="1">IF(C49="","",[1]!s_dq_close(C49,$D$4))</f>
        <v>26.2</v>
      </c>
      <c r="G49" s="16">
        <f ca="1">IF(C49="","",[1]!s_yq_pctchange(C49,$D$4))</f>
        <v>34.325295023088763</v>
      </c>
      <c r="H49" s="17">
        <f ca="1">IF(C49="","",[1]!s_val_mv_ard(C49,$D$4,100000000))</f>
        <v>50.136319999999998</v>
      </c>
      <c r="J49" s="5"/>
    </row>
    <row r="50" spans="1:10" x14ac:dyDescent="0.15">
      <c r="A50" s="23"/>
      <c r="B50" s="21">
        <v>43</v>
      </c>
      <c r="C50" s="10" t="str">
        <f ca="1">_xlfn.IFNA(VLOOKUP(B50,data!E:F,2,0),"")</f>
        <v>605098.SH</v>
      </c>
      <c r="D50" s="13" t="str">
        <f ca="1">IF(C50="","",[1]!S_INFO_NAME(C50))</f>
        <v>行动教育</v>
      </c>
      <c r="E50" s="10">
        <f ca="1">IF(C50="","",[1]!s_dq_high(C50,$D$4))</f>
        <v>51.26</v>
      </c>
      <c r="F50" s="10">
        <f ca="1">IF(C50="","",[1]!s_dq_close(C50,$D$4))</f>
        <v>51.26</v>
      </c>
      <c r="G50" s="11">
        <f ca="1">IF(C50="","",[1]!s_yq_pctchange(C50,$D$4))</f>
        <v>23.299808429118784</v>
      </c>
      <c r="H50" s="12">
        <f ca="1">IF(C50="","",[1]!s_val_mv_ard(C50,$D$4,100000000))</f>
        <v>61.128113859999999</v>
      </c>
      <c r="J50" s="5"/>
    </row>
    <row r="51" spans="1:10" x14ac:dyDescent="0.15">
      <c r="A51" s="23"/>
      <c r="B51" s="21">
        <v>44</v>
      </c>
      <c r="C51" s="14" t="str">
        <f ca="1">_xlfn.IFNA(VLOOKUP(B51,data!E:F,2,0),"")</f>
        <v>605196.SH</v>
      </c>
      <c r="D51" s="15" t="str">
        <f ca="1">IF(C51="","",[1]!S_INFO_NAME(C51))</f>
        <v>华通线缆</v>
      </c>
      <c r="E51" s="14">
        <f ca="1">IF(C51="","",[1]!s_dq_high(C51,$D$4))</f>
        <v>58.29</v>
      </c>
      <c r="F51" s="14">
        <f ca="1">IF(C51="","",[1]!s_dq_close(C51,$D$4))</f>
        <v>55.64</v>
      </c>
      <c r="G51" s="16">
        <f ca="1">IF(C51="","",[1]!s_yq_pctchange(C51,$D$4))</f>
        <v>47.754749568221079</v>
      </c>
      <c r="H51" s="17">
        <f ca="1">IF(C51="","",[1]!s_val_mv_ard(C51,$D$4,100000000))</f>
        <v>284.32194734840004</v>
      </c>
      <c r="J51" s="5"/>
    </row>
    <row r="52" spans="1:10" x14ac:dyDescent="0.15">
      <c r="A52" s="23"/>
      <c r="B52" s="21">
        <v>45</v>
      </c>
      <c r="C52" s="10" t="str">
        <f ca="1">_xlfn.IFNA(VLOOKUP(B52,data!E:F,2,0),"")</f>
        <v>605289.SH</v>
      </c>
      <c r="D52" s="13" t="str">
        <f ca="1">IF(C52="","",[1]!S_INFO_NAME(C52))</f>
        <v>罗曼股份</v>
      </c>
      <c r="E52" s="10">
        <f ca="1">IF(C52="","",[1]!s_dq_high(C52,$D$4))</f>
        <v>133.80000000000001</v>
      </c>
      <c r="F52" s="10">
        <f ca="1">IF(C52="","",[1]!s_dq_close(C52,$D$4))</f>
        <v>130</v>
      </c>
      <c r="G52" s="11">
        <f ca="1">IF(C52="","",[1]!s_yq_pctchange(C52,$D$4))</f>
        <v>99.437347931873489</v>
      </c>
      <c r="H52" s="12">
        <f ca="1">IF(C52="","",[1]!s_val_mv_ard(C52,$D$4,100000000))</f>
        <v>141.70975000000001</v>
      </c>
      <c r="J52" s="5"/>
    </row>
    <row r="53" spans="1:10" x14ac:dyDescent="0.15">
      <c r="A53" s="23"/>
      <c r="B53" s="21">
        <v>46</v>
      </c>
      <c r="C53" s="14" t="str">
        <f ca="1">_xlfn.IFNA(VLOOKUP(B53,data!E:F,2,0),"")</f>
        <v>688028.SH</v>
      </c>
      <c r="D53" s="15" t="str">
        <f ca="1">IF(C53="","",[1]!S_INFO_NAME(C53))</f>
        <v>沃尔德</v>
      </c>
      <c r="E53" s="14">
        <f ca="1">IF(C53="","",[1]!s_dq_high(C53,$D$4))</f>
        <v>129.99</v>
      </c>
      <c r="F53" s="14">
        <f ca="1">IF(C53="","",[1]!s_dq_close(C53,$D$4))</f>
        <v>119.6</v>
      </c>
      <c r="G53" s="16">
        <f ca="1">IF(C53="","",[1]!s_yq_pctchange(C53,$D$4))</f>
        <v>76.634645181282934</v>
      </c>
      <c r="H53" s="17">
        <f ca="1">IF(C53="","",[1]!s_val_mv_ard(C53,$D$4,100000000))</f>
        <v>180.53500399999999</v>
      </c>
      <c r="J53" s="5"/>
    </row>
    <row r="54" spans="1:10" x14ac:dyDescent="0.15">
      <c r="A54" s="23"/>
      <c r="B54" s="21">
        <v>47</v>
      </c>
      <c r="C54" s="10" t="str">
        <f ca="1">_xlfn.IFNA(VLOOKUP(B54,data!E:F,2,0),"")</f>
        <v>688127.SH</v>
      </c>
      <c r="D54" s="13" t="str">
        <f ca="1">IF(C54="","",[1]!S_INFO_NAME(C54))</f>
        <v>蓝特光学</v>
      </c>
      <c r="E54" s="10">
        <f ca="1">IF(C54="","",[1]!s_dq_high(C54,$D$4))</f>
        <v>60</v>
      </c>
      <c r="F54" s="10">
        <f ca="1">IF(C54="","",[1]!s_dq_close(C54,$D$4))</f>
        <v>56.88</v>
      </c>
      <c r="G54" s="11">
        <f ca="1">IF(C54="","",[1]!s_yq_pctchange(C54,$D$4))</f>
        <v>46.531566640685874</v>
      </c>
      <c r="H54" s="12">
        <f ca="1">IF(C54="","",[1]!s_val_mv_ard(C54,$D$4,100000000))</f>
        <v>230.87461175999996</v>
      </c>
      <c r="J54" s="5"/>
    </row>
    <row r="55" spans="1:10" x14ac:dyDescent="0.15">
      <c r="A55" s="23"/>
      <c r="B55" s="21">
        <v>48</v>
      </c>
      <c r="C55" s="14" t="str">
        <f ca="1">_xlfn.IFNA(VLOOKUP(B55,data!E:F,2,0),"")</f>
        <v>688191.SH</v>
      </c>
      <c r="D55" s="15" t="str">
        <f ca="1">IF(C55="","",[1]!S_INFO_NAME(C55))</f>
        <v>智洋创新</v>
      </c>
      <c r="E55" s="14">
        <f ca="1">IF(C55="","",[1]!s_dq_high(C55,$D$4))</f>
        <v>54.5</v>
      </c>
      <c r="F55" s="14">
        <f ca="1">IF(C55="","",[1]!s_dq_close(C55,$D$4))</f>
        <v>52.52</v>
      </c>
      <c r="G55" s="16">
        <f ca="1">IF(C55="","",[1]!s_yq_pctchange(C55,$D$4))</f>
        <v>56.246115599751391</v>
      </c>
      <c r="H55" s="17">
        <f ca="1">IF(C55="","",[1]!s_val_mv_ard(C55,$D$4,100000000))</f>
        <v>121.66277432400001</v>
      </c>
      <c r="J55" s="5"/>
    </row>
    <row r="56" spans="1:10" x14ac:dyDescent="0.15">
      <c r="A56" s="23"/>
      <c r="B56" s="21">
        <v>49</v>
      </c>
      <c r="C56" s="10" t="str">
        <f ca="1">_xlfn.IFNA(VLOOKUP(B56,data!E:F,2,0),"")</f>
        <v>688196.SH</v>
      </c>
      <c r="D56" s="13" t="str">
        <f ca="1">IF(C56="","",[1]!S_INFO_NAME(C56))</f>
        <v>卓越新能</v>
      </c>
      <c r="E56" s="10">
        <f ca="1">IF(C56="","",[1]!s_dq_high(C56,$D$4))</f>
        <v>95</v>
      </c>
      <c r="F56" s="10">
        <f ca="1">IF(C56="","",[1]!s_dq_close(C56,$D$4))</f>
        <v>90.91</v>
      </c>
      <c r="G56" s="11">
        <f ca="1">IF(C56="","",[1]!s_yq_pctchange(C56,$D$4))</f>
        <v>48.692699490662129</v>
      </c>
      <c r="H56" s="12">
        <f ca="1">IF(C56="","",[1]!s_val_mv_ard(C56,$D$4,100000000))</f>
        <v>115.62915173449998</v>
      </c>
      <c r="J56" s="5"/>
    </row>
    <row r="57" spans="1:10" x14ac:dyDescent="0.15">
      <c r="A57" s="23"/>
      <c r="B57" s="21">
        <v>50</v>
      </c>
      <c r="C57" s="14" t="str">
        <f ca="1">_xlfn.IFNA(VLOOKUP(B57,data!E:F,2,0),"")</f>
        <v>688257.SH</v>
      </c>
      <c r="D57" s="15" t="str">
        <f ca="1">IF(C57="","",[1]!S_INFO_NAME(C57))</f>
        <v>新锐股份</v>
      </c>
      <c r="E57" s="14">
        <f ca="1">IF(C57="","",[1]!s_dq_high(C57,$D$4))</f>
        <v>75.5</v>
      </c>
      <c r="F57" s="14">
        <f ca="1">IF(C57="","",[1]!s_dq_close(C57,$D$4))</f>
        <v>74.19</v>
      </c>
      <c r="G57" s="16">
        <f ca="1">IF(C57="","",[1]!s_yq_pctchange(C57,$D$4))</f>
        <v>123.65810968494748</v>
      </c>
      <c r="H57" s="17">
        <f ca="1">IF(C57="","",[1]!s_val_mv_ard(C57,$D$4,100000000))</f>
        <v>187.26186911759999</v>
      </c>
      <c r="J57" s="5"/>
    </row>
    <row r="58" spans="1:10" x14ac:dyDescent="0.15">
      <c r="A58" s="23"/>
      <c r="B58" s="21">
        <v>51</v>
      </c>
      <c r="C58" s="10" t="str">
        <f ca="1">_xlfn.IFNA(VLOOKUP(B58,data!E:F,2,0),"")</f>
        <v>688372.SH</v>
      </c>
      <c r="D58" s="13" t="str">
        <f ca="1">IF(C58="","",[1]!S_INFO_NAME(C58))</f>
        <v>伟测科技</v>
      </c>
      <c r="E58" s="10">
        <f ca="1">IF(C58="","",[1]!s_dq_high(C58,$D$4))</f>
        <v>151.88</v>
      </c>
      <c r="F58" s="10">
        <f ca="1">IF(C58="","",[1]!s_dq_close(C58,$D$4))</f>
        <v>143.6</v>
      </c>
      <c r="G58" s="11">
        <f ca="1">IF(C58="","",[1]!s_yq_pctchange(C58,$D$4))</f>
        <v>26.739389494912459</v>
      </c>
      <c r="H58" s="12">
        <f ca="1">IF(C58="","",[1]!s_val_mv_ard(C58,$D$4,100000000))</f>
        <v>214.04131854799999</v>
      </c>
      <c r="J58" s="5"/>
    </row>
    <row r="59" spans="1:10" x14ac:dyDescent="0.15">
      <c r="A59" s="23"/>
      <c r="B59" s="21">
        <v>52</v>
      </c>
      <c r="C59" s="14" t="str">
        <f ca="1">_xlfn.IFNA(VLOOKUP(B59,data!E:F,2,0),"")</f>
        <v>688455.SH</v>
      </c>
      <c r="D59" s="15" t="str">
        <f ca="1">IF(C59="","",[1]!S_INFO_NAME(C59))</f>
        <v>科捷智能</v>
      </c>
      <c r="E59" s="14">
        <f ca="1">IF(C59="","",[1]!s_dq_high(C59,$D$4))</f>
        <v>26.15</v>
      </c>
      <c r="F59" s="14">
        <f ca="1">IF(C59="","",[1]!s_dq_close(C59,$D$4))</f>
        <v>25.59</v>
      </c>
      <c r="G59" s="16">
        <f ca="1">IF(C59="","",[1]!s_yq_pctchange(C59,$D$4))</f>
        <v>23.84270781483324</v>
      </c>
      <c r="H59" s="17">
        <f ca="1">IF(C59="","",[1]!s_val_mv_ard(C59,$D$4,100000000))</f>
        <v>42.999047429399994</v>
      </c>
      <c r="J59" s="5"/>
    </row>
    <row r="60" spans="1:10" x14ac:dyDescent="0.15">
      <c r="A60" s="23"/>
      <c r="B60" s="21">
        <v>53</v>
      </c>
      <c r="C60" s="10" t="str">
        <f ca="1">_xlfn.IFNA(VLOOKUP(B60,data!E:F,2,0),"")</f>
        <v>920014.BJ</v>
      </c>
      <c r="D60" s="13" t="str">
        <f ca="1">IF(C60="","",[1]!S_INFO_NAME(C60))</f>
        <v>特瑞斯</v>
      </c>
      <c r="E60" s="10">
        <f ca="1">IF(C60="","",[1]!s_dq_high(C60,$D$4))</f>
        <v>19.8</v>
      </c>
      <c r="F60" s="10">
        <f ca="1">IF(C60="","",[1]!s_dq_close(C60,$D$4))</f>
        <v>17.54</v>
      </c>
      <c r="G60" s="11">
        <f ca="1">IF(C60="","",[1]!s_yq_pctchange(C60,$D$4))</f>
        <v>58.599827139152993</v>
      </c>
      <c r="H60" s="12">
        <f ca="1">IF(C60="","",[1]!s_val_mv_ard(C60,$D$4,100000000))</f>
        <v>21.373672722199998</v>
      </c>
      <c r="J60" s="5"/>
    </row>
    <row r="61" spans="1:10" x14ac:dyDescent="0.15">
      <c r="A61" s="23"/>
      <c r="B61" s="21">
        <v>54</v>
      </c>
      <c r="C61" s="14" t="str">
        <f ca="1">_xlfn.IFNA(VLOOKUP(B61,data!E:F,2,0),"")</f>
        <v>920046.BJ</v>
      </c>
      <c r="D61" s="15" t="str">
        <f ca="1">IF(C61="","",[1]!S_INFO_NAME(C61))</f>
        <v>亿能电力</v>
      </c>
      <c r="E61" s="14">
        <f ca="1">IF(C61="","",[1]!s_dq_high(C61,$D$4))</f>
        <v>36.4</v>
      </c>
      <c r="F61" s="14">
        <f ca="1">IF(C61="","",[1]!s_dq_close(C61,$D$4))</f>
        <v>32.49</v>
      </c>
      <c r="G61" s="16">
        <f ca="1">IF(C61="","",[1]!s_yq_pctchange(C61,$D$4))</f>
        <v>150.48327137546465</v>
      </c>
      <c r="H61" s="17">
        <f ca="1">IF(C61="","",[1]!s_val_mv_ard(C61,$D$4,100000000))</f>
        <v>32.863635000000002</v>
      </c>
      <c r="J61" s="5"/>
    </row>
    <row r="62" spans="1:10" x14ac:dyDescent="0.15">
      <c r="A62" s="23"/>
      <c r="B62" s="21">
        <v>55</v>
      </c>
      <c r="C62" s="10" t="str">
        <f ca="1">_xlfn.IFNA(VLOOKUP(B62,data!E:F,2,0),"")</f>
        <v>920158.BJ</v>
      </c>
      <c r="D62" s="13" t="str">
        <f ca="1">IF(C62="","",[1]!S_INFO_NAME(C62))</f>
        <v>长江能科</v>
      </c>
      <c r="E62" s="10">
        <f ca="1">IF(C62="","",[1]!s_dq_high(C62,$D$4))</f>
        <v>24.58</v>
      </c>
      <c r="F62" s="10">
        <f ca="1">IF(C62="","",[1]!s_dq_close(C62,$D$4))</f>
        <v>21.24</v>
      </c>
      <c r="G62" s="11">
        <f ca="1">IF(C62="","",[1]!s_yq_pctchange(C62,$D$4))</f>
        <v>33.962264150943412</v>
      </c>
      <c r="H62" s="12">
        <f ca="1">IF(C62="","",[1]!s_val_mv_ard(C62,$D$4,100000000))</f>
        <v>30.283992000000001</v>
      </c>
      <c r="J62" s="5"/>
    </row>
    <row r="63" spans="1:10" x14ac:dyDescent="0.15">
      <c r="A63" s="23"/>
      <c r="B63" s="21">
        <v>56</v>
      </c>
      <c r="C63" s="14" t="str">
        <f ca="1">_xlfn.IFNA(VLOOKUP(B63,data!E:F,2,0),"")</f>
        <v>920187.BJ</v>
      </c>
      <c r="D63" s="15" t="str">
        <f ca="1">IF(C63="","",[1]!S_INFO_NAME(C63))</f>
        <v>通领科技</v>
      </c>
      <c r="E63" s="14">
        <f ca="1">IF(C63="","",[1]!s_dq_high(C63,$D$4))</f>
        <v>49.38</v>
      </c>
      <c r="F63" s="14">
        <f ca="1">IF(C63="","",[1]!s_dq_close(C63,$D$4))</f>
        <v>41.89</v>
      </c>
      <c r="G63" s="16">
        <f ca="1">IF(C63="","",[1]!s_yq_pctchange(C63,$D$4))</f>
        <v>-6.7080448794461738</v>
      </c>
      <c r="H63" s="17">
        <f ca="1">IF(C63="","",[1]!s_val_mv_ard(C63,$D$4,100000000))</f>
        <v>26.13936</v>
      </c>
      <c r="J63" s="5"/>
    </row>
    <row r="64" spans="1:10" x14ac:dyDescent="0.15">
      <c r="A64" s="23"/>
      <c r="B64" s="21">
        <v>57</v>
      </c>
      <c r="C64" s="10" t="str">
        <f ca="1">_xlfn.IFNA(VLOOKUP(B64,data!E:F,2,0),"")</f>
        <v/>
      </c>
      <c r="D64" s="13" t="str">
        <f ca="1">IF(C64="","",[1]!S_INFO_NAME(C64))</f>
        <v/>
      </c>
      <c r="E64" s="10" t="str">
        <f ca="1">IF(C64="","",[1]!s_dq_high(C64,$D$4))</f>
        <v/>
      </c>
      <c r="F64" s="10" t="str">
        <f ca="1">IF(C64="","",[1]!s_dq_close(C64,$D$4))</f>
        <v/>
      </c>
      <c r="G64" s="11" t="str">
        <f ca="1">IF(C64="","",[1]!s_yq_pctchange(C64,$D$4))</f>
        <v/>
      </c>
      <c r="H64" s="12" t="str">
        <f ca="1">IF(C64="","",[1]!s_val_mv_ard(C64,$D$4,100000000))</f>
        <v/>
      </c>
      <c r="J64" s="5"/>
    </row>
    <row r="65" spans="1:10" x14ac:dyDescent="0.15">
      <c r="A65" s="23"/>
      <c r="B65" s="21">
        <v>58</v>
      </c>
      <c r="C65" s="14" t="str">
        <f ca="1">_xlfn.IFNA(VLOOKUP(B65,data!E:F,2,0),"")</f>
        <v/>
      </c>
      <c r="D65" s="15" t="str">
        <f ca="1">IF(C65="","",[1]!S_INFO_NAME(C65))</f>
        <v/>
      </c>
      <c r="E65" s="14" t="str">
        <f ca="1">IF(C65="","",[1]!s_dq_high(C65,$D$4))</f>
        <v/>
      </c>
      <c r="F65" s="14" t="str">
        <f ca="1">IF(C65="","",[1]!s_dq_close(C65,$D$4))</f>
        <v/>
      </c>
      <c r="G65" s="16" t="str">
        <f ca="1">IF(C65="","",[1]!s_yq_pctchange(C65,$D$4))</f>
        <v/>
      </c>
      <c r="H65" s="17" t="str">
        <f ca="1">IF(C65="","",[1]!s_val_mv_ard(C65,$D$4,100000000))</f>
        <v/>
      </c>
      <c r="J65" s="5"/>
    </row>
    <row r="66" spans="1:10" x14ac:dyDescent="0.15">
      <c r="A66" s="23"/>
      <c r="B66" s="21">
        <v>59</v>
      </c>
      <c r="C66" s="10"/>
      <c r="E66" s="10"/>
      <c r="F66" s="10"/>
      <c r="G66" s="11"/>
      <c r="H66" s="12"/>
      <c r="J66" s="5"/>
    </row>
    <row r="67" spans="1:10" x14ac:dyDescent="0.15">
      <c r="A67" s="23"/>
      <c r="B67" s="21">
        <v>60</v>
      </c>
      <c r="C67" s="14"/>
      <c r="D67" s="15"/>
      <c r="E67" s="14"/>
      <c r="F67" s="14"/>
      <c r="G67" s="16"/>
      <c r="H67" s="17"/>
      <c r="J67" s="5"/>
    </row>
    <row r="68" spans="1:10" x14ac:dyDescent="0.15">
      <c r="B68" s="21">
        <v>61</v>
      </c>
    </row>
    <row r="69" spans="1:10" x14ac:dyDescent="0.15">
      <c r="B69" s="21">
        <v>62</v>
      </c>
    </row>
    <row r="70" spans="1:10" x14ac:dyDescent="0.15">
      <c r="B70" s="21">
        <v>63</v>
      </c>
    </row>
    <row r="71" spans="1:10" x14ac:dyDescent="0.15">
      <c r="B71" s="21">
        <v>64</v>
      </c>
    </row>
    <row r="72" spans="1:10" x14ac:dyDescent="0.15">
      <c r="B72" s="21">
        <v>65</v>
      </c>
    </row>
    <row r="73" spans="1:10" x14ac:dyDescent="0.15">
      <c r="B73" s="21">
        <v>66</v>
      </c>
    </row>
    <row r="74" spans="1:10" x14ac:dyDescent="0.15">
      <c r="B74" s="21">
        <v>67</v>
      </c>
    </row>
    <row r="75" spans="1:10" x14ac:dyDescent="0.15">
      <c r="B75" s="21">
        <v>68</v>
      </c>
    </row>
    <row r="76" spans="1:10" x14ac:dyDescent="0.15">
      <c r="B76" s="21">
        <v>69</v>
      </c>
    </row>
    <row r="77" spans="1:10" x14ac:dyDescent="0.15">
      <c r="B77" s="21">
        <v>70</v>
      </c>
    </row>
  </sheetData>
  <mergeCells count="1">
    <mergeCell ref="D1:G1"/>
  </mergeCells>
  <phoneticPr fontId="6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data!$H$2:$H$6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500"/>
  <sheetViews>
    <sheetView workbookViewId="0">
      <selection activeCell="I2" sqref="I2"/>
    </sheetView>
  </sheetViews>
  <sheetFormatPr defaultRowHeight="13.5" x14ac:dyDescent="0.15"/>
  <cols>
    <col min="1" max="1" width="12.625" customWidth="1"/>
    <col min="2" max="2" width="18.625" customWidth="1"/>
    <col min="3" max="3" width="46.625" customWidth="1"/>
    <col min="6" max="6" width="10.5" bestFit="1" customWidth="1"/>
    <col min="7" max="7" width="10.5" customWidth="1"/>
    <col min="8" max="8" width="17.25" bestFit="1" customWidth="1"/>
    <col min="9" max="9" width="18.375" bestFit="1" customWidth="1"/>
  </cols>
  <sheetData>
    <row r="1" spans="1:9" x14ac:dyDescent="0.15">
      <c r="A1" t="s">
        <v>0</v>
      </c>
      <c r="B1" s="3" t="s">
        <v>1</v>
      </c>
    </row>
    <row r="2" spans="1:9" x14ac:dyDescent="0.15">
      <c r="A2" t="s">
        <v>2</v>
      </c>
      <c r="B2" s="3" t="str">
        <f ca="1">TEXT(个股历史新高!D4,"yyyymmd")</f>
        <v>2026035</v>
      </c>
      <c r="G2" t="str">
        <f>个股历史新高!D3</f>
        <v>全部A股</v>
      </c>
      <c r="H2" s="24" t="s">
        <v>9998</v>
      </c>
      <c r="I2" s="1" t="s">
        <v>4</v>
      </c>
    </row>
    <row r="3" spans="1:9" x14ac:dyDescent="0.15">
      <c r="A3" t="s">
        <v>3</v>
      </c>
      <c r="B3" s="3" t="str">
        <f>VLOOKUP(G2,H2:I6,2,0)</f>
        <v>a001010100000000</v>
      </c>
      <c r="H3" s="24" t="s">
        <v>9999</v>
      </c>
      <c r="I3" s="1" t="s">
        <v>9995</v>
      </c>
    </row>
    <row r="4" spans="1:9" x14ac:dyDescent="0.15">
      <c r="A4" t="s">
        <v>5</v>
      </c>
      <c r="B4" s="1" t="s">
        <v>7</v>
      </c>
      <c r="C4" t="s">
        <v>9</v>
      </c>
      <c r="H4" s="24" t="s">
        <v>10002</v>
      </c>
      <c r="I4" s="1" t="s">
        <v>9996</v>
      </c>
    </row>
    <row r="5" spans="1:9" x14ac:dyDescent="0.15">
      <c r="A5" t="s">
        <v>6</v>
      </c>
      <c r="B5" t="s">
        <v>8</v>
      </c>
      <c r="C5" t="s">
        <v>10</v>
      </c>
      <c r="H5" s="24" t="s">
        <v>10003</v>
      </c>
      <c r="I5" s="1" t="s">
        <v>10000</v>
      </c>
    </row>
    <row r="6" spans="1:9" x14ac:dyDescent="0.15">
      <c r="A6" s="2" t="str">
        <f ca="1">[1]!wset("sectorconstituent","date="&amp;B2,"sectorId="&amp;B3,"field=date,wind_code,sec_name","cols=3;rows=5488")</f>
        <v>无数据</v>
      </c>
      <c r="B6" s="1" t="s">
        <v>10009</v>
      </c>
      <c r="C6" s="1" t="s">
        <v>10010</v>
      </c>
      <c r="D6" t="b">
        <f ca="1">IF(A6="","",[1]!s_techanal_rcnthigh(B6,$B$2,1,3))</f>
        <v>0</v>
      </c>
      <c r="E6">
        <f ca="1">IF(A6="","",COUNTIF(D$6:D6,"True"))</f>
        <v>0</v>
      </c>
      <c r="F6" t="str">
        <f t="shared" ref="F6:F69" si="0">IF(B6="","",B6)</f>
        <v>000001.SZ</v>
      </c>
      <c r="H6" s="25" t="s">
        <v>10004</v>
      </c>
      <c r="I6" s="1" t="s">
        <v>10001</v>
      </c>
    </row>
    <row r="7" spans="1:9" x14ac:dyDescent="0.15">
      <c r="A7" s="2">
        <v>46089</v>
      </c>
      <c r="B7" s="1" t="s">
        <v>11</v>
      </c>
      <c r="C7" s="1" t="s">
        <v>12</v>
      </c>
      <c r="D7" t="b">
        <f ca="1">IF(A7="","",[1]!s_techanal_rcnthigh(B7,$B$2,1,3))</f>
        <v>0</v>
      </c>
      <c r="E7">
        <f ca="1">IF(A7="","",COUNTIF(D$6:D7,"True"))</f>
        <v>0</v>
      </c>
      <c r="F7" t="str">
        <f t="shared" si="0"/>
        <v>000002.SZ</v>
      </c>
    </row>
    <row r="8" spans="1:9" x14ac:dyDescent="0.15">
      <c r="A8" s="2">
        <v>46089</v>
      </c>
      <c r="B8" s="1" t="s">
        <v>13</v>
      </c>
      <c r="C8" s="1" t="s">
        <v>10016</v>
      </c>
      <c r="D8" t="b">
        <f ca="1">IF(A8="","",[1]!s_techanal_rcnthigh(B8,$B$2,1,3))</f>
        <v>0</v>
      </c>
      <c r="E8">
        <f ca="1">IF(A8="","",COUNTIF(D$6:D8,"True"))</f>
        <v>0</v>
      </c>
      <c r="F8" t="str">
        <f t="shared" si="0"/>
        <v>000004.SZ</v>
      </c>
    </row>
    <row r="9" spans="1:9" x14ac:dyDescent="0.15">
      <c r="A9" s="2">
        <v>46089</v>
      </c>
      <c r="B9" s="1" t="s">
        <v>14</v>
      </c>
      <c r="C9" s="1" t="s">
        <v>15</v>
      </c>
      <c r="D9" t="b">
        <f ca="1">IF(A9="","",[1]!s_techanal_rcnthigh(B9,$B$2,1,3))</f>
        <v>0</v>
      </c>
      <c r="E9">
        <f ca="1">IF(A9="","",COUNTIF(D$6:D9,"True"))</f>
        <v>0</v>
      </c>
      <c r="F9" t="str">
        <f t="shared" si="0"/>
        <v>000006.SZ</v>
      </c>
    </row>
    <row r="10" spans="1:9" x14ac:dyDescent="0.15">
      <c r="A10" s="2">
        <v>46089</v>
      </c>
      <c r="B10" s="1" t="s">
        <v>16</v>
      </c>
      <c r="C10" s="1" t="s">
        <v>10017</v>
      </c>
      <c r="D10" t="b">
        <f ca="1">IF(A10="","",[1]!s_techanal_rcnthigh(B10,$B$2,1,3))</f>
        <v>0</v>
      </c>
      <c r="E10">
        <f ca="1">IF(A10="","",COUNTIF(D$6:D10,"True"))</f>
        <v>0</v>
      </c>
      <c r="F10" t="str">
        <f t="shared" si="0"/>
        <v>000007.SZ</v>
      </c>
    </row>
    <row r="11" spans="1:9" x14ac:dyDescent="0.15">
      <c r="A11" s="2">
        <v>46089</v>
      </c>
      <c r="B11" s="1" t="s">
        <v>17</v>
      </c>
      <c r="C11" s="1" t="s">
        <v>18</v>
      </c>
      <c r="D11" t="b">
        <f ca="1">IF(A11="","",[1]!s_techanal_rcnthigh(B11,$B$2,1,3))</f>
        <v>0</v>
      </c>
      <c r="E11">
        <f ca="1">IF(A11="","",COUNTIF(D$6:D11,"True"))</f>
        <v>0</v>
      </c>
      <c r="F11" t="str">
        <f t="shared" si="0"/>
        <v>000008.SZ</v>
      </c>
    </row>
    <row r="12" spans="1:9" x14ac:dyDescent="0.15">
      <c r="A12" s="2">
        <v>46089</v>
      </c>
      <c r="B12" s="1" t="s">
        <v>19</v>
      </c>
      <c r="C12" s="1" t="s">
        <v>20</v>
      </c>
      <c r="D12" t="b">
        <f ca="1">IF(A12="","",[1]!s_techanal_rcnthigh(B12,$B$2,1,3))</f>
        <v>0</v>
      </c>
      <c r="E12">
        <f ca="1">IF(A12="","",COUNTIF(D$6:D12,"True"))</f>
        <v>0</v>
      </c>
      <c r="F12" t="str">
        <f t="shared" si="0"/>
        <v>000009.SZ</v>
      </c>
    </row>
    <row r="13" spans="1:9" x14ac:dyDescent="0.15">
      <c r="A13" s="2">
        <v>46089</v>
      </c>
      <c r="B13" s="1" t="s">
        <v>21</v>
      </c>
      <c r="C13" s="1" t="s">
        <v>22</v>
      </c>
      <c r="D13" t="b">
        <f ca="1">IF(A13="","",[1]!s_techanal_rcnthigh(B13,$B$2,1,3))</f>
        <v>0</v>
      </c>
      <c r="E13">
        <f ca="1">IF(A13="","",COUNTIF(D$6:D13,"True"))</f>
        <v>0</v>
      </c>
      <c r="F13" t="str">
        <f t="shared" si="0"/>
        <v>000010.SZ</v>
      </c>
    </row>
    <row r="14" spans="1:9" x14ac:dyDescent="0.15">
      <c r="A14" s="2">
        <v>46089</v>
      </c>
      <c r="B14" s="1" t="s">
        <v>23</v>
      </c>
      <c r="C14" s="1" t="s">
        <v>24</v>
      </c>
      <c r="D14" t="b">
        <f ca="1">IF(A14="","",[1]!s_techanal_rcnthigh(B14,$B$2,1,3))</f>
        <v>0</v>
      </c>
      <c r="E14">
        <f ca="1">IF(A14="","",COUNTIF(D$6:D14,"True"))</f>
        <v>0</v>
      </c>
      <c r="F14" t="str">
        <f t="shared" si="0"/>
        <v>000011.SZ</v>
      </c>
    </row>
    <row r="15" spans="1:9" x14ac:dyDescent="0.15">
      <c r="A15" s="2">
        <v>46089</v>
      </c>
      <c r="B15" s="1" t="s">
        <v>25</v>
      </c>
      <c r="C15" s="1" t="s">
        <v>26</v>
      </c>
      <c r="D15" t="b">
        <f ca="1">IF(A15="","",[1]!s_techanal_rcnthigh(B15,$B$2,1,3))</f>
        <v>0</v>
      </c>
      <c r="E15">
        <f ca="1">IF(A15="","",COUNTIF(D$6:D15,"True"))</f>
        <v>0</v>
      </c>
      <c r="F15" t="str">
        <f t="shared" si="0"/>
        <v>000012.SZ</v>
      </c>
    </row>
    <row r="16" spans="1:9" x14ac:dyDescent="0.15">
      <c r="A16" s="2">
        <v>46089</v>
      </c>
      <c r="B16" s="1" t="s">
        <v>27</v>
      </c>
      <c r="C16" s="1" t="s">
        <v>28</v>
      </c>
      <c r="D16" t="b">
        <f ca="1">IF(A16="","",[1]!s_techanal_rcnthigh(B16,$B$2,1,3))</f>
        <v>0</v>
      </c>
      <c r="E16">
        <f ca="1">IF(A16="","",COUNTIF(D$6:D16,"True"))</f>
        <v>0</v>
      </c>
      <c r="F16" t="str">
        <f t="shared" si="0"/>
        <v>000014.SZ</v>
      </c>
    </row>
    <row r="17" spans="1:6" x14ac:dyDescent="0.15">
      <c r="A17" s="2">
        <v>46089</v>
      </c>
      <c r="B17" s="1" t="s">
        <v>29</v>
      </c>
      <c r="C17" s="1" t="s">
        <v>30</v>
      </c>
      <c r="D17" t="b">
        <f ca="1">IF(A17="","",[1]!s_techanal_rcnthigh(B17,$B$2,1,3))</f>
        <v>0</v>
      </c>
      <c r="E17">
        <f ca="1">IF(A17="","",COUNTIF(D$6:D17,"True"))</f>
        <v>0</v>
      </c>
      <c r="F17" t="str">
        <f t="shared" si="0"/>
        <v>000016.SZ</v>
      </c>
    </row>
    <row r="18" spans="1:6" x14ac:dyDescent="0.15">
      <c r="A18" s="2">
        <v>46089</v>
      </c>
      <c r="B18" s="1" t="s">
        <v>31</v>
      </c>
      <c r="C18" s="1" t="s">
        <v>32</v>
      </c>
      <c r="D18" t="b">
        <f ca="1">IF(A18="","",[1]!s_techanal_rcnthigh(B18,$B$2,1,3))</f>
        <v>0</v>
      </c>
      <c r="E18">
        <f ca="1">IF(A18="","",COUNTIF(D$6:D18,"True"))</f>
        <v>0</v>
      </c>
      <c r="F18" t="str">
        <f t="shared" si="0"/>
        <v>000017.SZ</v>
      </c>
    </row>
    <row r="19" spans="1:6" x14ac:dyDescent="0.15">
      <c r="A19" s="2">
        <v>46089</v>
      </c>
      <c r="B19" s="1" t="s">
        <v>33</v>
      </c>
      <c r="C19" s="1" t="s">
        <v>34</v>
      </c>
      <c r="D19" t="b">
        <f ca="1">IF(A19="","",[1]!s_techanal_rcnthigh(B19,$B$2,1,3))</f>
        <v>0</v>
      </c>
      <c r="E19">
        <f ca="1">IF(A19="","",COUNTIF(D$6:D19,"True"))</f>
        <v>0</v>
      </c>
      <c r="F19" t="str">
        <f t="shared" si="0"/>
        <v>000019.SZ</v>
      </c>
    </row>
    <row r="20" spans="1:6" x14ac:dyDescent="0.15">
      <c r="A20" s="2">
        <v>46089</v>
      </c>
      <c r="B20" s="1" t="s">
        <v>35</v>
      </c>
      <c r="C20" s="1" t="s">
        <v>36</v>
      </c>
      <c r="D20" t="b">
        <f ca="1">IF(A20="","",[1]!s_techanal_rcnthigh(B20,$B$2,1,3))</f>
        <v>0</v>
      </c>
      <c r="E20">
        <f ca="1">IF(A20="","",COUNTIF(D$6:D20,"True"))</f>
        <v>0</v>
      </c>
      <c r="F20" t="str">
        <f t="shared" si="0"/>
        <v>000020.SZ</v>
      </c>
    </row>
    <row r="21" spans="1:6" x14ac:dyDescent="0.15">
      <c r="A21" s="2">
        <v>46089</v>
      </c>
      <c r="B21" s="1" t="s">
        <v>37</v>
      </c>
      <c r="C21" s="1" t="s">
        <v>38</v>
      </c>
      <c r="D21" t="b">
        <f ca="1">IF(A21="","",[1]!s_techanal_rcnthigh(B21,$B$2,1,3))</f>
        <v>0</v>
      </c>
      <c r="E21">
        <f ca="1">IF(A21="","",COUNTIF(D$6:D21,"True"))</f>
        <v>0</v>
      </c>
      <c r="F21" t="str">
        <f t="shared" si="0"/>
        <v>000021.SZ</v>
      </c>
    </row>
    <row r="22" spans="1:6" x14ac:dyDescent="0.15">
      <c r="A22" s="2">
        <v>46089</v>
      </c>
      <c r="B22" s="1" t="s">
        <v>39</v>
      </c>
      <c r="C22" s="1" t="s">
        <v>40</v>
      </c>
      <c r="D22" t="b">
        <f ca="1">IF(A22="","",[1]!s_techanal_rcnthigh(B22,$B$2,1,3))</f>
        <v>0</v>
      </c>
      <c r="E22">
        <f ca="1">IF(A22="","",COUNTIF(D$6:D22,"True"))</f>
        <v>0</v>
      </c>
      <c r="F22" t="str">
        <f t="shared" si="0"/>
        <v>000025.SZ</v>
      </c>
    </row>
    <row r="23" spans="1:6" x14ac:dyDescent="0.15">
      <c r="A23" s="2">
        <v>46089</v>
      </c>
      <c r="B23" s="1" t="s">
        <v>41</v>
      </c>
      <c r="C23" s="1" t="s">
        <v>42</v>
      </c>
      <c r="D23" t="b">
        <f ca="1">IF(A23="","",[1]!s_techanal_rcnthigh(B23,$B$2,1,3))</f>
        <v>0</v>
      </c>
      <c r="E23">
        <f ca="1">IF(A23="","",COUNTIF(D$6:D23,"True"))</f>
        <v>0</v>
      </c>
      <c r="F23" t="str">
        <f t="shared" si="0"/>
        <v>000026.SZ</v>
      </c>
    </row>
    <row r="24" spans="1:6" x14ac:dyDescent="0.15">
      <c r="A24" s="2">
        <v>46089</v>
      </c>
      <c r="B24" s="1" t="s">
        <v>43</v>
      </c>
      <c r="C24" s="1" t="s">
        <v>44</v>
      </c>
      <c r="D24" t="b">
        <f ca="1">IF(A24="","",[1]!s_techanal_rcnthigh(B24,$B$2,1,3))</f>
        <v>0</v>
      </c>
      <c r="E24">
        <f ca="1">IF(A24="","",COUNTIF(D$6:D24,"True"))</f>
        <v>0</v>
      </c>
      <c r="F24" t="str">
        <f t="shared" si="0"/>
        <v>000027.SZ</v>
      </c>
    </row>
    <row r="25" spans="1:6" x14ac:dyDescent="0.15">
      <c r="A25" s="2">
        <v>46089</v>
      </c>
      <c r="B25" s="1" t="s">
        <v>45</v>
      </c>
      <c r="C25" s="1" t="s">
        <v>46</v>
      </c>
      <c r="D25" t="b">
        <f ca="1">IF(A25="","",[1]!s_techanal_rcnthigh(B25,$B$2,1,3))</f>
        <v>0</v>
      </c>
      <c r="E25">
        <f ca="1">IF(A25="","",COUNTIF(D$6:D25,"True"))</f>
        <v>0</v>
      </c>
      <c r="F25" t="str">
        <f t="shared" si="0"/>
        <v>000028.SZ</v>
      </c>
    </row>
    <row r="26" spans="1:6" x14ac:dyDescent="0.15">
      <c r="A26" s="2">
        <v>46089</v>
      </c>
      <c r="B26" s="1" t="s">
        <v>47</v>
      </c>
      <c r="C26" s="1" t="s">
        <v>48</v>
      </c>
      <c r="D26" t="b">
        <f ca="1">IF(A26="","",[1]!s_techanal_rcnthigh(B26,$B$2,1,3))</f>
        <v>0</v>
      </c>
      <c r="E26">
        <f ca="1">IF(A26="","",COUNTIF(D$6:D26,"True"))</f>
        <v>0</v>
      </c>
      <c r="F26" t="str">
        <f t="shared" si="0"/>
        <v>000029.SZ</v>
      </c>
    </row>
    <row r="27" spans="1:6" x14ac:dyDescent="0.15">
      <c r="A27" s="2">
        <v>46089</v>
      </c>
      <c r="B27" s="1" t="s">
        <v>49</v>
      </c>
      <c r="C27" s="1" t="s">
        <v>50</v>
      </c>
      <c r="D27" t="b">
        <f ca="1">IF(A27="","",[1]!s_techanal_rcnthigh(B27,$B$2,1,3))</f>
        <v>0</v>
      </c>
      <c r="E27">
        <f ca="1">IF(A27="","",COUNTIF(D$6:D27,"True"))</f>
        <v>0</v>
      </c>
      <c r="F27" t="str">
        <f t="shared" si="0"/>
        <v>000030.SZ</v>
      </c>
    </row>
    <row r="28" spans="1:6" x14ac:dyDescent="0.15">
      <c r="A28" s="2">
        <v>46089</v>
      </c>
      <c r="B28" s="1" t="s">
        <v>51</v>
      </c>
      <c r="C28" s="1" t="s">
        <v>52</v>
      </c>
      <c r="D28" t="b">
        <f ca="1">IF(A28="","",[1]!s_techanal_rcnthigh(B28,$B$2,1,3))</f>
        <v>0</v>
      </c>
      <c r="E28">
        <f ca="1">IF(A28="","",COUNTIF(D$6:D28,"True"))</f>
        <v>0</v>
      </c>
      <c r="F28" t="str">
        <f t="shared" si="0"/>
        <v>000031.SZ</v>
      </c>
    </row>
    <row r="29" spans="1:6" x14ac:dyDescent="0.15">
      <c r="A29" s="2">
        <v>46089</v>
      </c>
      <c r="B29" s="1" t="s">
        <v>53</v>
      </c>
      <c r="C29" s="1" t="s">
        <v>54</v>
      </c>
      <c r="D29" t="b">
        <f ca="1">IF(A29="","",[1]!s_techanal_rcnthigh(B29,$B$2,1,3))</f>
        <v>0</v>
      </c>
      <c r="E29">
        <f ca="1">IF(A29="","",COUNTIF(D$6:D29,"True"))</f>
        <v>0</v>
      </c>
      <c r="F29" t="str">
        <f t="shared" si="0"/>
        <v>000032.SZ</v>
      </c>
    </row>
    <row r="30" spans="1:6" x14ac:dyDescent="0.15">
      <c r="A30" s="2">
        <v>46089</v>
      </c>
      <c r="B30" s="1" t="s">
        <v>55</v>
      </c>
      <c r="C30" s="1" t="s">
        <v>56</v>
      </c>
      <c r="D30" t="b">
        <f ca="1">IF(A30="","",[1]!s_techanal_rcnthigh(B30,$B$2,1,3))</f>
        <v>0</v>
      </c>
      <c r="E30">
        <f ca="1">IF(A30="","",COUNTIF(D$6:D30,"True"))</f>
        <v>0</v>
      </c>
      <c r="F30" t="str">
        <f t="shared" si="0"/>
        <v>000034.SZ</v>
      </c>
    </row>
    <row r="31" spans="1:6" x14ac:dyDescent="0.15">
      <c r="A31" s="2">
        <v>46089</v>
      </c>
      <c r="B31" s="1" t="s">
        <v>57</v>
      </c>
      <c r="C31" s="1" t="s">
        <v>58</v>
      </c>
      <c r="D31" t="b">
        <f ca="1">IF(A31="","",[1]!s_techanal_rcnthigh(B31,$B$2,1,3))</f>
        <v>0</v>
      </c>
      <c r="E31">
        <f ca="1">IF(A31="","",COUNTIF(D$6:D31,"True"))</f>
        <v>0</v>
      </c>
      <c r="F31" t="str">
        <f t="shared" si="0"/>
        <v>000035.SZ</v>
      </c>
    </row>
    <row r="32" spans="1:6" x14ac:dyDescent="0.15">
      <c r="A32" s="2">
        <v>46089</v>
      </c>
      <c r="B32" s="1" t="s">
        <v>59</v>
      </c>
      <c r="C32" s="1" t="s">
        <v>60</v>
      </c>
      <c r="D32" t="b">
        <f ca="1">IF(A32="","",[1]!s_techanal_rcnthigh(B32,$B$2,1,3))</f>
        <v>0</v>
      </c>
      <c r="E32">
        <f ca="1">IF(A32="","",COUNTIF(D$6:D32,"True"))</f>
        <v>0</v>
      </c>
      <c r="F32" t="str">
        <f t="shared" si="0"/>
        <v>000036.SZ</v>
      </c>
    </row>
    <row r="33" spans="1:6" x14ac:dyDescent="0.15">
      <c r="A33" s="2">
        <v>46089</v>
      </c>
      <c r="B33" s="1" t="s">
        <v>61</v>
      </c>
      <c r="C33" s="1" t="s">
        <v>62</v>
      </c>
      <c r="D33" t="b">
        <f ca="1">IF(A33="","",[1]!s_techanal_rcnthigh(B33,$B$2,1,3))</f>
        <v>0</v>
      </c>
      <c r="E33">
        <f ca="1">IF(A33="","",COUNTIF(D$6:D33,"True"))</f>
        <v>0</v>
      </c>
      <c r="F33" t="str">
        <f t="shared" si="0"/>
        <v>000037.SZ</v>
      </c>
    </row>
    <row r="34" spans="1:6" x14ac:dyDescent="0.15">
      <c r="A34" s="2">
        <v>46089</v>
      </c>
      <c r="B34" s="1" t="s">
        <v>63</v>
      </c>
      <c r="C34" s="1" t="s">
        <v>64</v>
      </c>
      <c r="D34" t="b">
        <f ca="1">IF(A34="","",[1]!s_techanal_rcnthigh(B34,$B$2,1,3))</f>
        <v>0</v>
      </c>
      <c r="E34">
        <f ca="1">IF(A34="","",COUNTIF(D$6:D34,"True"))</f>
        <v>0</v>
      </c>
      <c r="F34" t="str">
        <f t="shared" si="0"/>
        <v>000039.SZ</v>
      </c>
    </row>
    <row r="35" spans="1:6" x14ac:dyDescent="0.15">
      <c r="A35" s="2">
        <v>46089</v>
      </c>
      <c r="B35" s="1" t="s">
        <v>65</v>
      </c>
      <c r="C35" s="1" t="s">
        <v>66</v>
      </c>
      <c r="D35" t="b">
        <f ca="1">IF(A35="","",[1]!s_techanal_rcnthigh(B35,$B$2,1,3))</f>
        <v>0</v>
      </c>
      <c r="E35">
        <f ca="1">IF(A35="","",COUNTIF(D$6:D35,"True"))</f>
        <v>0</v>
      </c>
      <c r="F35" t="str">
        <f t="shared" si="0"/>
        <v>000042.SZ</v>
      </c>
    </row>
    <row r="36" spans="1:6" x14ac:dyDescent="0.15">
      <c r="A36" s="2">
        <v>46089</v>
      </c>
      <c r="B36" s="1" t="s">
        <v>67</v>
      </c>
      <c r="C36" s="1" t="s">
        <v>68</v>
      </c>
      <c r="D36" t="b">
        <f ca="1">IF(A36="","",[1]!s_techanal_rcnthigh(B36,$B$2,1,3))</f>
        <v>0</v>
      </c>
      <c r="E36">
        <f ca="1">IF(A36="","",COUNTIF(D$6:D36,"True"))</f>
        <v>0</v>
      </c>
      <c r="F36" t="str">
        <f t="shared" si="0"/>
        <v>000045.SZ</v>
      </c>
    </row>
    <row r="37" spans="1:6" x14ac:dyDescent="0.15">
      <c r="A37" s="2">
        <v>46089</v>
      </c>
      <c r="B37" s="1" t="s">
        <v>69</v>
      </c>
      <c r="C37" s="1" t="s">
        <v>70</v>
      </c>
      <c r="D37" t="b">
        <f ca="1">IF(A37="","",[1]!s_techanal_rcnthigh(B37,$B$2,1,3))</f>
        <v>0</v>
      </c>
      <c r="E37">
        <f ca="1">IF(A37="","",COUNTIF(D$6:D37,"True"))</f>
        <v>0</v>
      </c>
      <c r="F37" t="str">
        <f t="shared" si="0"/>
        <v>000048.SZ</v>
      </c>
    </row>
    <row r="38" spans="1:6" x14ac:dyDescent="0.15">
      <c r="A38" s="2">
        <v>46089</v>
      </c>
      <c r="B38" s="1" t="s">
        <v>71</v>
      </c>
      <c r="C38" s="1" t="s">
        <v>72</v>
      </c>
      <c r="D38" t="b">
        <f ca="1">IF(A38="","",[1]!s_techanal_rcnthigh(B38,$B$2,1,3))</f>
        <v>0</v>
      </c>
      <c r="E38">
        <f ca="1">IF(A38="","",COUNTIF(D$6:D38,"True"))</f>
        <v>0</v>
      </c>
      <c r="F38" t="str">
        <f t="shared" si="0"/>
        <v>000049.SZ</v>
      </c>
    </row>
    <row r="39" spans="1:6" x14ac:dyDescent="0.15">
      <c r="A39" s="2">
        <v>46089</v>
      </c>
      <c r="B39" s="1" t="s">
        <v>73</v>
      </c>
      <c r="C39" s="1" t="s">
        <v>74</v>
      </c>
      <c r="D39" t="b">
        <f ca="1">IF(A39="","",[1]!s_techanal_rcnthigh(B39,$B$2,1,3))</f>
        <v>0</v>
      </c>
      <c r="E39">
        <f ca="1">IF(A39="","",COUNTIF(D$6:D39,"True"))</f>
        <v>0</v>
      </c>
      <c r="F39" t="str">
        <f t="shared" si="0"/>
        <v>000050.SZ</v>
      </c>
    </row>
    <row r="40" spans="1:6" x14ac:dyDescent="0.15">
      <c r="A40" s="2">
        <v>46089</v>
      </c>
      <c r="B40" s="1" t="s">
        <v>75</v>
      </c>
      <c r="C40" s="1" t="s">
        <v>76</v>
      </c>
      <c r="D40" t="b">
        <f ca="1">IF(A40="","",[1]!s_techanal_rcnthigh(B40,$B$2,1,3))</f>
        <v>0</v>
      </c>
      <c r="E40">
        <f ca="1">IF(A40="","",COUNTIF(D$6:D40,"True"))</f>
        <v>0</v>
      </c>
      <c r="F40" t="str">
        <f t="shared" si="0"/>
        <v>000055.SZ</v>
      </c>
    </row>
    <row r="41" spans="1:6" x14ac:dyDescent="0.15">
      <c r="A41" s="2">
        <v>46089</v>
      </c>
      <c r="B41" s="1" t="s">
        <v>77</v>
      </c>
      <c r="C41" s="1" t="s">
        <v>78</v>
      </c>
      <c r="D41" t="b">
        <f ca="1">IF(A41="","",[1]!s_techanal_rcnthigh(B41,$B$2,1,3))</f>
        <v>0</v>
      </c>
      <c r="E41">
        <f ca="1">IF(A41="","",COUNTIF(D$6:D41,"True"))</f>
        <v>0</v>
      </c>
      <c r="F41" t="str">
        <f t="shared" si="0"/>
        <v>000056.SZ</v>
      </c>
    </row>
    <row r="42" spans="1:6" x14ac:dyDescent="0.15">
      <c r="A42" s="2">
        <v>46089</v>
      </c>
      <c r="B42" s="1" t="s">
        <v>79</v>
      </c>
      <c r="C42" s="1" t="s">
        <v>80</v>
      </c>
      <c r="D42" t="b">
        <f ca="1">IF(A42="","",[1]!s_techanal_rcnthigh(B42,$B$2,1,3))</f>
        <v>0</v>
      </c>
      <c r="E42">
        <f ca="1">IF(A42="","",COUNTIF(D$6:D42,"True"))</f>
        <v>0</v>
      </c>
      <c r="F42" t="str">
        <f t="shared" si="0"/>
        <v>000058.SZ</v>
      </c>
    </row>
    <row r="43" spans="1:6" x14ac:dyDescent="0.15">
      <c r="A43" s="2">
        <v>46089</v>
      </c>
      <c r="B43" s="1" t="s">
        <v>81</v>
      </c>
      <c r="C43" s="1" t="s">
        <v>82</v>
      </c>
      <c r="D43" t="b">
        <f ca="1">IF(A43="","",[1]!s_techanal_rcnthigh(B43,$B$2,1,3))</f>
        <v>0</v>
      </c>
      <c r="E43">
        <f ca="1">IF(A43="","",COUNTIF(D$6:D43,"True"))</f>
        <v>0</v>
      </c>
      <c r="F43" t="str">
        <f t="shared" si="0"/>
        <v>000059.SZ</v>
      </c>
    </row>
    <row r="44" spans="1:6" x14ac:dyDescent="0.15">
      <c r="A44" s="2">
        <v>46089</v>
      </c>
      <c r="B44" s="1" t="s">
        <v>83</v>
      </c>
      <c r="C44" s="1" t="s">
        <v>84</v>
      </c>
      <c r="D44" t="b">
        <f ca="1">IF(A44="","",[1]!s_techanal_rcnthigh(B44,$B$2,1,3))</f>
        <v>0</v>
      </c>
      <c r="E44">
        <f ca="1">IF(A44="","",COUNTIF(D$6:D44,"True"))</f>
        <v>0</v>
      </c>
      <c r="F44" t="str">
        <f t="shared" si="0"/>
        <v>000060.SZ</v>
      </c>
    </row>
    <row r="45" spans="1:6" x14ac:dyDescent="0.15">
      <c r="A45" s="2">
        <v>46089</v>
      </c>
      <c r="B45" s="1" t="s">
        <v>85</v>
      </c>
      <c r="C45" s="1" t="s">
        <v>86</v>
      </c>
      <c r="D45" t="b">
        <f ca="1">IF(A45="","",[1]!s_techanal_rcnthigh(B45,$B$2,1,3))</f>
        <v>0</v>
      </c>
      <c r="E45">
        <f ca="1">IF(A45="","",COUNTIF(D$6:D45,"True"))</f>
        <v>0</v>
      </c>
      <c r="F45" t="str">
        <f t="shared" si="0"/>
        <v>000061.SZ</v>
      </c>
    </row>
    <row r="46" spans="1:6" x14ac:dyDescent="0.15">
      <c r="A46" s="2">
        <v>46089</v>
      </c>
      <c r="B46" s="1" t="s">
        <v>87</v>
      </c>
      <c r="C46" s="1" t="s">
        <v>88</v>
      </c>
      <c r="D46" t="b">
        <f ca="1">IF(A46="","",[1]!s_techanal_rcnthigh(B46,$B$2,1,3))</f>
        <v>0</v>
      </c>
      <c r="E46">
        <f ca="1">IF(A46="","",COUNTIF(D$6:D46,"True"))</f>
        <v>0</v>
      </c>
      <c r="F46" t="str">
        <f t="shared" si="0"/>
        <v>000062.SZ</v>
      </c>
    </row>
    <row r="47" spans="1:6" x14ac:dyDescent="0.15">
      <c r="A47" s="2">
        <v>46089</v>
      </c>
      <c r="B47" s="1" t="s">
        <v>89</v>
      </c>
      <c r="C47" s="1" t="s">
        <v>90</v>
      </c>
      <c r="D47" t="b">
        <f ca="1">IF(A47="","",[1]!s_techanal_rcnthigh(B47,$B$2,1,3))</f>
        <v>0</v>
      </c>
      <c r="E47">
        <f ca="1">IF(A47="","",COUNTIF(D$6:D47,"True"))</f>
        <v>0</v>
      </c>
      <c r="F47" t="str">
        <f t="shared" si="0"/>
        <v>000063.SZ</v>
      </c>
    </row>
    <row r="48" spans="1:6" x14ac:dyDescent="0.15">
      <c r="A48" s="2">
        <v>46089</v>
      </c>
      <c r="B48" s="1" t="s">
        <v>91</v>
      </c>
      <c r="C48" s="1" t="s">
        <v>92</v>
      </c>
      <c r="D48" t="b">
        <f ca="1">IF(A48="","",[1]!s_techanal_rcnthigh(B48,$B$2,1,3))</f>
        <v>0</v>
      </c>
      <c r="E48">
        <f ca="1">IF(A48="","",COUNTIF(D$6:D48,"True"))</f>
        <v>0</v>
      </c>
      <c r="F48" t="str">
        <f t="shared" si="0"/>
        <v>000065.SZ</v>
      </c>
    </row>
    <row r="49" spans="1:6" x14ac:dyDescent="0.15">
      <c r="A49" s="2">
        <v>46089</v>
      </c>
      <c r="B49" s="1" t="s">
        <v>93</v>
      </c>
      <c r="C49" s="1" t="s">
        <v>94</v>
      </c>
      <c r="D49" t="b">
        <f ca="1">IF(A49="","",[1]!s_techanal_rcnthigh(B49,$B$2,1,3))</f>
        <v>0</v>
      </c>
      <c r="E49">
        <f ca="1">IF(A49="","",COUNTIF(D$6:D49,"True"))</f>
        <v>0</v>
      </c>
      <c r="F49" t="str">
        <f t="shared" si="0"/>
        <v>000066.SZ</v>
      </c>
    </row>
    <row r="50" spans="1:6" x14ac:dyDescent="0.15">
      <c r="A50" s="2">
        <v>46089</v>
      </c>
      <c r="B50" s="1" t="s">
        <v>95</v>
      </c>
      <c r="C50" s="1" t="s">
        <v>96</v>
      </c>
      <c r="D50" t="b">
        <f ca="1">IF(A50="","",[1]!s_techanal_rcnthigh(B50,$B$2,1,3))</f>
        <v>0</v>
      </c>
      <c r="E50">
        <f ca="1">IF(A50="","",COUNTIF(D$6:D50,"True"))</f>
        <v>0</v>
      </c>
      <c r="F50" t="str">
        <f t="shared" si="0"/>
        <v>000068.SZ</v>
      </c>
    </row>
    <row r="51" spans="1:6" x14ac:dyDescent="0.15">
      <c r="A51" s="2">
        <v>46089</v>
      </c>
      <c r="B51" s="1" t="s">
        <v>97</v>
      </c>
      <c r="C51" s="1" t="s">
        <v>98</v>
      </c>
      <c r="D51" t="b">
        <f ca="1">IF(A51="","",[1]!s_techanal_rcnthigh(B51,$B$2,1,3))</f>
        <v>0</v>
      </c>
      <c r="E51">
        <f ca="1">IF(A51="","",COUNTIF(D$6:D51,"True"))</f>
        <v>0</v>
      </c>
      <c r="F51" t="str">
        <f t="shared" si="0"/>
        <v>000069.SZ</v>
      </c>
    </row>
    <row r="52" spans="1:6" x14ac:dyDescent="0.15">
      <c r="A52" s="2">
        <v>46089</v>
      </c>
      <c r="B52" s="1" t="s">
        <v>99</v>
      </c>
      <c r="C52" s="1" t="s">
        <v>100</v>
      </c>
      <c r="D52" t="b">
        <f ca="1">IF(A52="","",[1]!s_techanal_rcnthigh(B52,$B$2,1,3))</f>
        <v>0</v>
      </c>
      <c r="E52">
        <f ca="1">IF(A52="","",COUNTIF(D$6:D52,"True"))</f>
        <v>0</v>
      </c>
      <c r="F52" t="str">
        <f t="shared" si="0"/>
        <v>000070.SZ</v>
      </c>
    </row>
    <row r="53" spans="1:6" x14ac:dyDescent="0.15">
      <c r="A53" s="2">
        <v>46089</v>
      </c>
      <c r="B53" s="1" t="s">
        <v>101</v>
      </c>
      <c r="C53" s="1" t="s">
        <v>102</v>
      </c>
      <c r="D53" t="b">
        <f ca="1">IF(A53="","",[1]!s_techanal_rcnthigh(B53,$B$2,1,3))</f>
        <v>0</v>
      </c>
      <c r="E53">
        <f ca="1">IF(A53="","",COUNTIF(D$6:D53,"True"))</f>
        <v>0</v>
      </c>
      <c r="F53" t="str">
        <f t="shared" si="0"/>
        <v>000078.SZ</v>
      </c>
    </row>
    <row r="54" spans="1:6" x14ac:dyDescent="0.15">
      <c r="A54" s="2">
        <v>46089</v>
      </c>
      <c r="B54" s="1" t="s">
        <v>103</v>
      </c>
      <c r="C54" s="1" t="s">
        <v>104</v>
      </c>
      <c r="D54" t="b">
        <f ca="1">IF(A54="","",[1]!s_techanal_rcnthigh(B54,$B$2,1,3))</f>
        <v>0</v>
      </c>
      <c r="E54">
        <f ca="1">IF(A54="","",COUNTIF(D$6:D54,"True"))</f>
        <v>0</v>
      </c>
      <c r="F54" t="str">
        <f t="shared" si="0"/>
        <v>000088.SZ</v>
      </c>
    </row>
    <row r="55" spans="1:6" x14ac:dyDescent="0.15">
      <c r="A55" s="2">
        <v>46089</v>
      </c>
      <c r="B55" s="1" t="s">
        <v>105</v>
      </c>
      <c r="C55" s="1" t="s">
        <v>106</v>
      </c>
      <c r="D55" t="b">
        <f ca="1">IF(A55="","",[1]!s_techanal_rcnthigh(B55,$B$2,1,3))</f>
        <v>0</v>
      </c>
      <c r="E55">
        <f ca="1">IF(A55="","",COUNTIF(D$6:D55,"True"))</f>
        <v>0</v>
      </c>
      <c r="F55" t="str">
        <f t="shared" si="0"/>
        <v>000089.SZ</v>
      </c>
    </row>
    <row r="56" spans="1:6" x14ac:dyDescent="0.15">
      <c r="A56" s="2">
        <v>46089</v>
      </c>
      <c r="B56" s="1" t="s">
        <v>107</v>
      </c>
      <c r="C56" s="1" t="s">
        <v>108</v>
      </c>
      <c r="D56" t="b">
        <f ca="1">IF(A56="","",[1]!s_techanal_rcnthigh(B56,$B$2,1,3))</f>
        <v>0</v>
      </c>
      <c r="E56">
        <f ca="1">IF(A56="","",COUNTIF(D$6:D56,"True"))</f>
        <v>0</v>
      </c>
      <c r="F56" t="str">
        <f t="shared" si="0"/>
        <v>000090.SZ</v>
      </c>
    </row>
    <row r="57" spans="1:6" x14ac:dyDescent="0.15">
      <c r="A57" s="2">
        <v>46089</v>
      </c>
      <c r="B57" s="1" t="s">
        <v>109</v>
      </c>
      <c r="C57" s="1" t="s">
        <v>110</v>
      </c>
      <c r="D57" t="b">
        <f ca="1">IF(A57="","",[1]!s_techanal_rcnthigh(B57,$B$2,1,3))</f>
        <v>0</v>
      </c>
      <c r="E57">
        <f ca="1">IF(A57="","",COUNTIF(D$6:D57,"True"))</f>
        <v>0</v>
      </c>
      <c r="F57" t="str">
        <f t="shared" si="0"/>
        <v>000096.SZ</v>
      </c>
    </row>
    <row r="58" spans="1:6" x14ac:dyDescent="0.15">
      <c r="A58" s="2">
        <v>46089</v>
      </c>
      <c r="B58" s="1" t="s">
        <v>111</v>
      </c>
      <c r="C58" s="1" t="s">
        <v>112</v>
      </c>
      <c r="D58" t="b">
        <f ca="1">IF(A58="","",[1]!s_techanal_rcnthigh(B58,$B$2,1,3))</f>
        <v>0</v>
      </c>
      <c r="E58">
        <f ca="1">IF(A58="","",COUNTIF(D$6:D58,"True"))</f>
        <v>0</v>
      </c>
      <c r="F58" t="str">
        <f t="shared" si="0"/>
        <v>000099.SZ</v>
      </c>
    </row>
    <row r="59" spans="1:6" x14ac:dyDescent="0.15">
      <c r="A59" s="2">
        <v>46089</v>
      </c>
      <c r="B59" s="1" t="s">
        <v>113</v>
      </c>
      <c r="C59" s="1" t="s">
        <v>114</v>
      </c>
      <c r="D59" t="b">
        <f ca="1">IF(A59="","",[1]!s_techanal_rcnthigh(B59,$B$2,1,3))</f>
        <v>0</v>
      </c>
      <c r="E59">
        <f ca="1">IF(A59="","",COUNTIF(D$6:D59,"True"))</f>
        <v>0</v>
      </c>
      <c r="F59" t="str">
        <f t="shared" si="0"/>
        <v>000100.SZ</v>
      </c>
    </row>
    <row r="60" spans="1:6" x14ac:dyDescent="0.15">
      <c r="A60" s="2">
        <v>46089</v>
      </c>
      <c r="B60" s="1" t="s">
        <v>115</v>
      </c>
      <c r="C60" s="1" t="s">
        <v>116</v>
      </c>
      <c r="D60" t="b">
        <f ca="1">IF(A60="","",[1]!s_techanal_rcnthigh(B60,$B$2,1,3))</f>
        <v>0</v>
      </c>
      <c r="E60">
        <f ca="1">IF(A60="","",COUNTIF(D$6:D60,"True"))</f>
        <v>0</v>
      </c>
      <c r="F60" t="str">
        <f t="shared" si="0"/>
        <v>000151.SZ</v>
      </c>
    </row>
    <row r="61" spans="1:6" x14ac:dyDescent="0.15">
      <c r="A61" s="2">
        <v>46089</v>
      </c>
      <c r="B61" s="1" t="s">
        <v>117</v>
      </c>
      <c r="C61" s="1" t="s">
        <v>118</v>
      </c>
      <c r="D61" t="b">
        <f ca="1">IF(A61="","",[1]!s_techanal_rcnthigh(B61,$B$2,1,3))</f>
        <v>0</v>
      </c>
      <c r="E61">
        <f ca="1">IF(A61="","",COUNTIF(D$6:D61,"True"))</f>
        <v>0</v>
      </c>
      <c r="F61" t="str">
        <f t="shared" si="0"/>
        <v>000153.SZ</v>
      </c>
    </row>
    <row r="62" spans="1:6" x14ac:dyDescent="0.15">
      <c r="A62" s="2">
        <v>46089</v>
      </c>
      <c r="B62" s="1" t="s">
        <v>119</v>
      </c>
      <c r="C62" s="1" t="s">
        <v>120</v>
      </c>
      <c r="D62" t="b">
        <f ca="1">IF(A62="","",[1]!s_techanal_rcnthigh(B62,$B$2,1,3))</f>
        <v>0</v>
      </c>
      <c r="E62">
        <f ca="1">IF(A62="","",COUNTIF(D$6:D62,"True"))</f>
        <v>0</v>
      </c>
      <c r="F62" t="str">
        <f t="shared" si="0"/>
        <v>000155.SZ</v>
      </c>
    </row>
    <row r="63" spans="1:6" x14ac:dyDescent="0.15">
      <c r="A63" s="2">
        <v>46089</v>
      </c>
      <c r="B63" s="1" t="s">
        <v>121</v>
      </c>
      <c r="C63" s="1" t="s">
        <v>122</v>
      </c>
      <c r="D63" t="b">
        <f ca="1">IF(A63="","",[1]!s_techanal_rcnthigh(B63,$B$2,1,3))</f>
        <v>0</v>
      </c>
      <c r="E63">
        <f ca="1">IF(A63="","",COUNTIF(D$6:D63,"True"))</f>
        <v>0</v>
      </c>
      <c r="F63" t="str">
        <f t="shared" si="0"/>
        <v>000156.SZ</v>
      </c>
    </row>
    <row r="64" spans="1:6" x14ac:dyDescent="0.15">
      <c r="A64" s="2">
        <v>46089</v>
      </c>
      <c r="B64" s="1" t="s">
        <v>123</v>
      </c>
      <c r="C64" s="1" t="s">
        <v>124</v>
      </c>
      <c r="D64" t="b">
        <f ca="1">IF(A64="","",[1]!s_techanal_rcnthigh(B64,$B$2,1,3))</f>
        <v>0</v>
      </c>
      <c r="E64">
        <f ca="1">IF(A64="","",COUNTIF(D$6:D64,"True"))</f>
        <v>0</v>
      </c>
      <c r="F64" t="str">
        <f t="shared" si="0"/>
        <v>000157.SZ</v>
      </c>
    </row>
    <row r="65" spans="1:6" x14ac:dyDescent="0.15">
      <c r="A65" s="2">
        <v>46089</v>
      </c>
      <c r="B65" s="1" t="s">
        <v>125</v>
      </c>
      <c r="C65" s="1" t="s">
        <v>126</v>
      </c>
      <c r="D65" t="b">
        <f ca="1">IF(A65="","",[1]!s_techanal_rcnthigh(B65,$B$2,1,3))</f>
        <v>0</v>
      </c>
      <c r="E65">
        <f ca="1">IF(A65="","",COUNTIF(D$6:D65,"True"))</f>
        <v>0</v>
      </c>
      <c r="F65" t="str">
        <f t="shared" si="0"/>
        <v>000158.SZ</v>
      </c>
    </row>
    <row r="66" spans="1:6" x14ac:dyDescent="0.15">
      <c r="A66" s="2">
        <v>46089</v>
      </c>
      <c r="B66" s="1" t="s">
        <v>127</v>
      </c>
      <c r="C66" s="1" t="s">
        <v>128</v>
      </c>
      <c r="D66" t="b">
        <f ca="1">IF(A66="","",[1]!s_techanal_rcnthigh(B66,$B$2,1,3))</f>
        <v>0</v>
      </c>
      <c r="E66">
        <f ca="1">IF(A66="","",COUNTIF(D$6:D66,"True"))</f>
        <v>0</v>
      </c>
      <c r="F66" t="str">
        <f t="shared" si="0"/>
        <v>000159.SZ</v>
      </c>
    </row>
    <row r="67" spans="1:6" x14ac:dyDescent="0.15">
      <c r="A67" s="2">
        <v>46089</v>
      </c>
      <c r="B67" s="1" t="s">
        <v>129</v>
      </c>
      <c r="C67" s="1" t="s">
        <v>130</v>
      </c>
      <c r="D67" t="b">
        <f ca="1">IF(A67="","",[1]!s_techanal_rcnthigh(B67,$B$2,1,3))</f>
        <v>0</v>
      </c>
      <c r="E67">
        <f ca="1">IF(A67="","",COUNTIF(D$6:D67,"True"))</f>
        <v>0</v>
      </c>
      <c r="F67" t="str">
        <f t="shared" si="0"/>
        <v>000166.SZ</v>
      </c>
    </row>
    <row r="68" spans="1:6" x14ac:dyDescent="0.15">
      <c r="A68" s="2">
        <v>46089</v>
      </c>
      <c r="B68" s="1" t="s">
        <v>131</v>
      </c>
      <c r="C68" s="1" t="s">
        <v>132</v>
      </c>
      <c r="D68" t="b">
        <f ca="1">IF(A68="","",[1]!s_techanal_rcnthigh(B68,$B$2,1,3))</f>
        <v>0</v>
      </c>
      <c r="E68">
        <f ca="1">IF(A68="","",COUNTIF(D$6:D68,"True"))</f>
        <v>0</v>
      </c>
      <c r="F68" t="str">
        <f t="shared" si="0"/>
        <v>000301.SZ</v>
      </c>
    </row>
    <row r="69" spans="1:6" x14ac:dyDescent="0.15">
      <c r="A69" s="2">
        <v>46089</v>
      </c>
      <c r="B69" s="1" t="s">
        <v>133</v>
      </c>
      <c r="C69" s="1" t="s">
        <v>134</v>
      </c>
      <c r="D69" t="b">
        <f ca="1">IF(A69="","",[1]!s_techanal_rcnthigh(B69,$B$2,1,3))</f>
        <v>0</v>
      </c>
      <c r="E69">
        <f ca="1">IF(A69="","",COUNTIF(D$6:D69,"True"))</f>
        <v>0</v>
      </c>
      <c r="F69" t="str">
        <f t="shared" si="0"/>
        <v>000333.SZ</v>
      </c>
    </row>
    <row r="70" spans="1:6" x14ac:dyDescent="0.15">
      <c r="A70" s="2">
        <v>46089</v>
      </c>
      <c r="B70" s="1" t="s">
        <v>135</v>
      </c>
      <c r="C70" s="1" t="s">
        <v>136</v>
      </c>
      <c r="D70" t="b">
        <f ca="1">IF(A70="","",[1]!s_techanal_rcnthigh(B70,$B$2,1,3))</f>
        <v>0</v>
      </c>
      <c r="E70">
        <f ca="1">IF(A70="","",COUNTIF(D$6:D70,"True"))</f>
        <v>0</v>
      </c>
      <c r="F70" t="str">
        <f t="shared" ref="F70:F133" si="1">IF(B70="","",B70)</f>
        <v>000338.SZ</v>
      </c>
    </row>
    <row r="71" spans="1:6" x14ac:dyDescent="0.15">
      <c r="A71" s="2">
        <v>46089</v>
      </c>
      <c r="B71" s="1" t="s">
        <v>137</v>
      </c>
      <c r="C71" s="1" t="s">
        <v>138</v>
      </c>
      <c r="D71" t="b">
        <f ca="1">IF(A71="","",[1]!s_techanal_rcnthigh(B71,$B$2,1,3))</f>
        <v>0</v>
      </c>
      <c r="E71">
        <f ca="1">IF(A71="","",COUNTIF(D$6:D71,"True"))</f>
        <v>0</v>
      </c>
      <c r="F71" t="str">
        <f t="shared" si="1"/>
        <v>000400.SZ</v>
      </c>
    </row>
    <row r="72" spans="1:6" x14ac:dyDescent="0.15">
      <c r="A72" s="2">
        <v>46089</v>
      </c>
      <c r="B72" s="1" t="s">
        <v>139</v>
      </c>
      <c r="C72" s="1" t="s">
        <v>10018</v>
      </c>
      <c r="D72" t="b">
        <f ca="1">IF(A72="","",[1]!s_techanal_rcnthigh(B72,$B$2,1,3))</f>
        <v>0</v>
      </c>
      <c r="E72">
        <f ca="1">IF(A72="","",COUNTIF(D$6:D72,"True"))</f>
        <v>0</v>
      </c>
      <c r="F72" t="str">
        <f t="shared" si="1"/>
        <v>000401.SZ</v>
      </c>
    </row>
    <row r="73" spans="1:6" x14ac:dyDescent="0.15">
      <c r="A73" s="2">
        <v>46089</v>
      </c>
      <c r="B73" s="1" t="s">
        <v>140</v>
      </c>
      <c r="C73" s="1" t="s">
        <v>141</v>
      </c>
      <c r="D73" t="b">
        <f ca="1">IF(A73="","",[1]!s_techanal_rcnthigh(B73,$B$2,1,3))</f>
        <v>0</v>
      </c>
      <c r="E73">
        <f ca="1">IF(A73="","",COUNTIF(D$6:D73,"True"))</f>
        <v>0</v>
      </c>
      <c r="F73" t="str">
        <f t="shared" si="1"/>
        <v>000402.SZ</v>
      </c>
    </row>
    <row r="74" spans="1:6" x14ac:dyDescent="0.15">
      <c r="A74" s="2">
        <v>46089</v>
      </c>
      <c r="B74" s="1" t="s">
        <v>142</v>
      </c>
      <c r="C74" s="1" t="s">
        <v>143</v>
      </c>
      <c r="D74" t="b">
        <f ca="1">IF(A74="","",[1]!s_techanal_rcnthigh(B74,$B$2,1,3))</f>
        <v>0</v>
      </c>
      <c r="E74">
        <f ca="1">IF(A74="","",COUNTIF(D$6:D74,"True"))</f>
        <v>0</v>
      </c>
      <c r="F74" t="str">
        <f t="shared" si="1"/>
        <v>000403.SZ</v>
      </c>
    </row>
    <row r="75" spans="1:6" x14ac:dyDescent="0.15">
      <c r="A75" s="2">
        <v>46089</v>
      </c>
      <c r="B75" s="1" t="s">
        <v>144</v>
      </c>
      <c r="C75" s="1" t="s">
        <v>145</v>
      </c>
      <c r="D75" t="b">
        <f ca="1">IF(A75="","",[1]!s_techanal_rcnthigh(B75,$B$2,1,3))</f>
        <v>0</v>
      </c>
      <c r="E75">
        <f ca="1">IF(A75="","",COUNTIF(D$6:D75,"True"))</f>
        <v>0</v>
      </c>
      <c r="F75" t="str">
        <f t="shared" si="1"/>
        <v>000404.SZ</v>
      </c>
    </row>
    <row r="76" spans="1:6" x14ac:dyDescent="0.15">
      <c r="A76" s="2">
        <v>46089</v>
      </c>
      <c r="B76" s="1" t="s">
        <v>146</v>
      </c>
      <c r="C76" s="1" t="s">
        <v>147</v>
      </c>
      <c r="D76" t="b">
        <f ca="1">IF(A76="","",[1]!s_techanal_rcnthigh(B76,$B$2,1,3))</f>
        <v>0</v>
      </c>
      <c r="E76">
        <f ca="1">IF(A76="","",COUNTIF(D$6:D76,"True"))</f>
        <v>0</v>
      </c>
      <c r="F76" t="str">
        <f t="shared" si="1"/>
        <v>000407.SZ</v>
      </c>
    </row>
    <row r="77" spans="1:6" x14ac:dyDescent="0.15">
      <c r="A77" s="2">
        <v>46089</v>
      </c>
      <c r="B77" s="1" t="s">
        <v>148</v>
      </c>
      <c r="C77" s="1" t="s">
        <v>149</v>
      </c>
      <c r="D77" t="b">
        <f ca="1">IF(A77="","",[1]!s_techanal_rcnthigh(B77,$B$2,1,3))</f>
        <v>0</v>
      </c>
      <c r="E77">
        <f ca="1">IF(A77="","",COUNTIF(D$6:D77,"True"))</f>
        <v>0</v>
      </c>
      <c r="F77" t="str">
        <f t="shared" si="1"/>
        <v>000408.SZ</v>
      </c>
    </row>
    <row r="78" spans="1:6" x14ac:dyDescent="0.15">
      <c r="A78" s="2">
        <v>46089</v>
      </c>
      <c r="B78" s="1" t="s">
        <v>150</v>
      </c>
      <c r="C78" s="1" t="s">
        <v>151</v>
      </c>
      <c r="D78" t="b">
        <f ca="1">IF(A78="","",[1]!s_techanal_rcnthigh(B78,$B$2,1,3))</f>
        <v>0</v>
      </c>
      <c r="E78">
        <f ca="1">IF(A78="","",COUNTIF(D$6:D78,"True"))</f>
        <v>0</v>
      </c>
      <c r="F78" t="str">
        <f t="shared" si="1"/>
        <v>000409.SZ</v>
      </c>
    </row>
    <row r="79" spans="1:6" x14ac:dyDescent="0.15">
      <c r="A79" s="2">
        <v>46089</v>
      </c>
      <c r="B79" s="1" t="s">
        <v>152</v>
      </c>
      <c r="C79" s="1" t="s">
        <v>153</v>
      </c>
      <c r="D79" t="b">
        <f ca="1">IF(A79="","",[1]!s_techanal_rcnthigh(B79,$B$2,1,3))</f>
        <v>0</v>
      </c>
      <c r="E79">
        <f ca="1">IF(A79="","",COUNTIF(D$6:D79,"True"))</f>
        <v>0</v>
      </c>
      <c r="F79" t="str">
        <f t="shared" si="1"/>
        <v>000410.SZ</v>
      </c>
    </row>
    <row r="80" spans="1:6" x14ac:dyDescent="0.15">
      <c r="A80" s="2">
        <v>46089</v>
      </c>
      <c r="B80" s="1" t="s">
        <v>154</v>
      </c>
      <c r="C80" s="1" t="s">
        <v>155</v>
      </c>
      <c r="D80" t="b">
        <f ca="1">IF(A80="","",[1]!s_techanal_rcnthigh(B80,$B$2,1,3))</f>
        <v>0</v>
      </c>
      <c r="E80">
        <f ca="1">IF(A80="","",COUNTIF(D$6:D80,"True"))</f>
        <v>0</v>
      </c>
      <c r="F80" t="str">
        <f t="shared" si="1"/>
        <v>000411.SZ</v>
      </c>
    </row>
    <row r="81" spans="1:6" x14ac:dyDescent="0.15">
      <c r="A81" s="2">
        <v>46089</v>
      </c>
      <c r="B81" s="1" t="s">
        <v>156</v>
      </c>
      <c r="C81" s="1" t="s">
        <v>157</v>
      </c>
      <c r="D81" t="b">
        <f ca="1">IF(A81="","",[1]!s_techanal_rcnthigh(B81,$B$2,1,3))</f>
        <v>0</v>
      </c>
      <c r="E81">
        <f ca="1">IF(A81="","",COUNTIF(D$6:D81,"True"))</f>
        <v>0</v>
      </c>
      <c r="F81" t="str">
        <f t="shared" si="1"/>
        <v>000415.SZ</v>
      </c>
    </row>
    <row r="82" spans="1:6" x14ac:dyDescent="0.15">
      <c r="A82" s="2">
        <v>46089</v>
      </c>
      <c r="B82" s="1" t="s">
        <v>158</v>
      </c>
      <c r="C82" s="1" t="s">
        <v>10019</v>
      </c>
      <c r="D82" t="b">
        <f ca="1">IF(A82="","",[1]!s_techanal_rcnthigh(B82,$B$2,1,3))</f>
        <v>0</v>
      </c>
      <c r="E82">
        <f ca="1">IF(A82="","",COUNTIF(D$6:D82,"True"))</f>
        <v>0</v>
      </c>
      <c r="F82" t="str">
        <f t="shared" si="1"/>
        <v>000417.SZ</v>
      </c>
    </row>
    <row r="83" spans="1:6" x14ac:dyDescent="0.15">
      <c r="A83" s="2">
        <v>46089</v>
      </c>
      <c r="B83" s="1" t="s">
        <v>159</v>
      </c>
      <c r="C83" s="1" t="s">
        <v>160</v>
      </c>
      <c r="D83" t="b">
        <f ca="1">IF(A83="","",[1]!s_techanal_rcnthigh(B83,$B$2,1,3))</f>
        <v>0</v>
      </c>
      <c r="E83">
        <f ca="1">IF(A83="","",COUNTIF(D$6:D83,"True"))</f>
        <v>0</v>
      </c>
      <c r="F83" t="str">
        <f t="shared" si="1"/>
        <v>000419.SZ</v>
      </c>
    </row>
    <row r="84" spans="1:6" x14ac:dyDescent="0.15">
      <c r="A84" s="2">
        <v>46089</v>
      </c>
      <c r="B84" s="1" t="s">
        <v>161</v>
      </c>
      <c r="C84" s="1" t="s">
        <v>162</v>
      </c>
      <c r="D84" t="b">
        <f ca="1">IF(A84="","",[1]!s_techanal_rcnthigh(B84,$B$2,1,3))</f>
        <v>0</v>
      </c>
      <c r="E84">
        <f ca="1">IF(A84="","",COUNTIF(D$6:D84,"True"))</f>
        <v>0</v>
      </c>
      <c r="F84" t="str">
        <f t="shared" si="1"/>
        <v>000420.SZ</v>
      </c>
    </row>
    <row r="85" spans="1:6" x14ac:dyDescent="0.15">
      <c r="A85" s="2">
        <v>46089</v>
      </c>
      <c r="B85" s="1" t="s">
        <v>163</v>
      </c>
      <c r="C85" s="1" t="s">
        <v>164</v>
      </c>
      <c r="D85" t="b">
        <f ca="1">IF(A85="","",[1]!s_techanal_rcnthigh(B85,$B$2,1,3))</f>
        <v>0</v>
      </c>
      <c r="E85">
        <f ca="1">IF(A85="","",COUNTIF(D$6:D85,"True"))</f>
        <v>0</v>
      </c>
      <c r="F85" t="str">
        <f t="shared" si="1"/>
        <v>000421.SZ</v>
      </c>
    </row>
    <row r="86" spans="1:6" x14ac:dyDescent="0.15">
      <c r="A86" s="2">
        <v>46089</v>
      </c>
      <c r="B86" s="1" t="s">
        <v>165</v>
      </c>
      <c r="C86" s="1" t="s">
        <v>166</v>
      </c>
      <c r="D86" t="b">
        <f ca="1">IF(A86="","",[1]!s_techanal_rcnthigh(B86,$B$2,1,3))</f>
        <v>0</v>
      </c>
      <c r="E86">
        <f ca="1">IF(A86="","",COUNTIF(D$6:D86,"True"))</f>
        <v>0</v>
      </c>
      <c r="F86" t="str">
        <f t="shared" si="1"/>
        <v>000422.SZ</v>
      </c>
    </row>
    <row r="87" spans="1:6" x14ac:dyDescent="0.15">
      <c r="A87" s="2">
        <v>46089</v>
      </c>
      <c r="B87" s="1" t="s">
        <v>167</v>
      </c>
      <c r="C87" s="1" t="s">
        <v>168</v>
      </c>
      <c r="D87" t="b">
        <f ca="1">IF(A87="","",[1]!s_techanal_rcnthigh(B87,$B$2,1,3))</f>
        <v>0</v>
      </c>
      <c r="E87">
        <f ca="1">IF(A87="","",COUNTIF(D$6:D87,"True"))</f>
        <v>0</v>
      </c>
      <c r="F87" t="str">
        <f t="shared" si="1"/>
        <v>000423.SZ</v>
      </c>
    </row>
    <row r="88" spans="1:6" x14ac:dyDescent="0.15">
      <c r="A88" s="2">
        <v>46089</v>
      </c>
      <c r="B88" s="1" t="s">
        <v>169</v>
      </c>
      <c r="C88" s="1" t="s">
        <v>170</v>
      </c>
      <c r="D88" t="b">
        <f ca="1">IF(A88="","",[1]!s_techanal_rcnthigh(B88,$B$2,1,3))</f>
        <v>0</v>
      </c>
      <c r="E88">
        <f ca="1">IF(A88="","",COUNTIF(D$6:D88,"True"))</f>
        <v>0</v>
      </c>
      <c r="F88" t="str">
        <f t="shared" si="1"/>
        <v>000425.SZ</v>
      </c>
    </row>
    <row r="89" spans="1:6" x14ac:dyDescent="0.15">
      <c r="A89" s="2">
        <v>46089</v>
      </c>
      <c r="B89" s="1" t="s">
        <v>171</v>
      </c>
      <c r="C89" s="1" t="s">
        <v>172</v>
      </c>
      <c r="D89" t="b">
        <f ca="1">IF(A89="","",[1]!s_techanal_rcnthigh(B89,$B$2,1,3))</f>
        <v>0</v>
      </c>
      <c r="E89">
        <f ca="1">IF(A89="","",COUNTIF(D$6:D89,"True"))</f>
        <v>0</v>
      </c>
      <c r="F89" t="str">
        <f t="shared" si="1"/>
        <v>000426.SZ</v>
      </c>
    </row>
    <row r="90" spans="1:6" x14ac:dyDescent="0.15">
      <c r="A90" s="2">
        <v>46089</v>
      </c>
      <c r="B90" s="1" t="s">
        <v>173</v>
      </c>
      <c r="C90" s="1" t="s">
        <v>174</v>
      </c>
      <c r="D90" t="b">
        <f ca="1">IF(A90="","",[1]!s_techanal_rcnthigh(B90,$B$2,1,3))</f>
        <v>0</v>
      </c>
      <c r="E90">
        <f ca="1">IF(A90="","",COUNTIF(D$6:D90,"True"))</f>
        <v>0</v>
      </c>
      <c r="F90" t="str">
        <f t="shared" si="1"/>
        <v>000428.SZ</v>
      </c>
    </row>
    <row r="91" spans="1:6" x14ac:dyDescent="0.15">
      <c r="A91" s="2">
        <v>46089</v>
      </c>
      <c r="B91" s="1" t="s">
        <v>175</v>
      </c>
      <c r="C91" s="1" t="s">
        <v>176</v>
      </c>
      <c r="D91" t="b">
        <f ca="1">IF(A91="","",[1]!s_techanal_rcnthigh(B91,$B$2,1,3))</f>
        <v>0</v>
      </c>
      <c r="E91">
        <f ca="1">IF(A91="","",COUNTIF(D$6:D91,"True"))</f>
        <v>0</v>
      </c>
      <c r="F91" t="str">
        <f t="shared" si="1"/>
        <v>000429.SZ</v>
      </c>
    </row>
    <row r="92" spans="1:6" x14ac:dyDescent="0.15">
      <c r="A92" s="2">
        <v>46089</v>
      </c>
      <c r="B92" s="1" t="s">
        <v>177</v>
      </c>
      <c r="C92" s="1" t="s">
        <v>10020</v>
      </c>
      <c r="D92" t="b">
        <f ca="1">IF(A92="","",[1]!s_techanal_rcnthigh(B92,$B$2,1,3))</f>
        <v>0</v>
      </c>
      <c r="E92">
        <f ca="1">IF(A92="","",COUNTIF(D$6:D92,"True"))</f>
        <v>0</v>
      </c>
      <c r="F92" t="str">
        <f t="shared" si="1"/>
        <v>000430.SZ</v>
      </c>
    </row>
    <row r="93" spans="1:6" x14ac:dyDescent="0.15">
      <c r="A93" s="2">
        <v>46089</v>
      </c>
      <c r="B93" s="1" t="s">
        <v>178</v>
      </c>
      <c r="C93" s="1" t="s">
        <v>10021</v>
      </c>
      <c r="D93" t="b">
        <f ca="1">IF(A93="","",[1]!s_techanal_rcnthigh(B93,$B$2,1,3))</f>
        <v>0</v>
      </c>
      <c r="E93">
        <f ca="1">IF(A93="","",COUNTIF(D$6:D93,"True"))</f>
        <v>0</v>
      </c>
      <c r="F93" t="str">
        <f t="shared" si="1"/>
        <v>000488.SZ</v>
      </c>
    </row>
    <row r="94" spans="1:6" x14ac:dyDescent="0.15">
      <c r="A94" s="2">
        <v>46089</v>
      </c>
      <c r="B94" s="1" t="s">
        <v>179</v>
      </c>
      <c r="C94" s="1" t="s">
        <v>180</v>
      </c>
      <c r="D94" t="b">
        <f ca="1">IF(A94="","",[1]!s_techanal_rcnthigh(B94,$B$2,1,3))</f>
        <v>0</v>
      </c>
      <c r="E94">
        <f ca="1">IF(A94="","",COUNTIF(D$6:D94,"True"))</f>
        <v>0</v>
      </c>
      <c r="F94" t="str">
        <f t="shared" si="1"/>
        <v>000498.SZ</v>
      </c>
    </row>
    <row r="95" spans="1:6" x14ac:dyDescent="0.15">
      <c r="A95" s="2">
        <v>46089</v>
      </c>
      <c r="B95" s="1" t="s">
        <v>181</v>
      </c>
      <c r="C95" s="1" t="s">
        <v>182</v>
      </c>
      <c r="D95" t="b">
        <f ca="1">IF(A95="","",[1]!s_techanal_rcnthigh(B95,$B$2,1,3))</f>
        <v>0</v>
      </c>
      <c r="E95">
        <f ca="1">IF(A95="","",COUNTIF(D$6:D95,"True"))</f>
        <v>0</v>
      </c>
      <c r="F95" t="str">
        <f t="shared" si="1"/>
        <v>000501.SZ</v>
      </c>
    </row>
    <row r="96" spans="1:6" x14ac:dyDescent="0.15">
      <c r="A96" s="2">
        <v>46089</v>
      </c>
      <c r="B96" s="1" t="s">
        <v>183</v>
      </c>
      <c r="C96" s="1" t="s">
        <v>184</v>
      </c>
      <c r="D96" t="b">
        <f ca="1">IF(A96="","",[1]!s_techanal_rcnthigh(B96,$B$2,1,3))</f>
        <v>0</v>
      </c>
      <c r="E96">
        <f ca="1">IF(A96="","",COUNTIF(D$6:D96,"True"))</f>
        <v>0</v>
      </c>
      <c r="F96" t="str">
        <f t="shared" si="1"/>
        <v>000503.SZ</v>
      </c>
    </row>
    <row r="97" spans="1:6" x14ac:dyDescent="0.15">
      <c r="A97" s="2">
        <v>46089</v>
      </c>
      <c r="B97" s="1" t="s">
        <v>185</v>
      </c>
      <c r="C97" s="1" t="s">
        <v>10022</v>
      </c>
      <c r="D97" t="b">
        <f ca="1">IF(A97="","",[1]!s_techanal_rcnthigh(B97,$B$2,1,3))</f>
        <v>0</v>
      </c>
      <c r="E97">
        <f ca="1">IF(A97="","",COUNTIF(D$6:D97,"True"))</f>
        <v>0</v>
      </c>
      <c r="F97" t="str">
        <f t="shared" si="1"/>
        <v>000504.SZ</v>
      </c>
    </row>
    <row r="98" spans="1:6" x14ac:dyDescent="0.15">
      <c r="A98" s="2">
        <v>46089</v>
      </c>
      <c r="B98" s="1" t="s">
        <v>186</v>
      </c>
      <c r="C98" s="1" t="s">
        <v>187</v>
      </c>
      <c r="D98" t="b">
        <f ca="1">IF(A98="","",[1]!s_techanal_rcnthigh(B98,$B$2,1,3))</f>
        <v>0</v>
      </c>
      <c r="E98">
        <f ca="1">IF(A98="","",COUNTIF(D$6:D98,"True"))</f>
        <v>0</v>
      </c>
      <c r="F98" t="str">
        <f t="shared" si="1"/>
        <v>000505.SZ</v>
      </c>
    </row>
    <row r="99" spans="1:6" x14ac:dyDescent="0.15">
      <c r="A99" s="2">
        <v>46089</v>
      </c>
      <c r="B99" s="1" t="s">
        <v>188</v>
      </c>
      <c r="C99" s="1" t="s">
        <v>10023</v>
      </c>
      <c r="D99" t="b">
        <f ca="1">IF(A99="","",[1]!s_techanal_rcnthigh(B99,$B$2,1,3))</f>
        <v>0</v>
      </c>
      <c r="E99">
        <f ca="1">IF(A99="","",COUNTIF(D$6:D99,"True"))</f>
        <v>0</v>
      </c>
      <c r="F99" t="str">
        <f t="shared" si="1"/>
        <v>000506.SZ</v>
      </c>
    </row>
    <row r="100" spans="1:6" x14ac:dyDescent="0.15">
      <c r="A100" s="2">
        <v>46089</v>
      </c>
      <c r="B100" s="1" t="s">
        <v>189</v>
      </c>
      <c r="C100" s="1" t="s">
        <v>190</v>
      </c>
      <c r="D100" t="b">
        <f ca="1">IF(A100="","",[1]!s_techanal_rcnthigh(B100,$B$2,1,3))</f>
        <v>0</v>
      </c>
      <c r="E100">
        <f ca="1">IF(A100="","",COUNTIF(D$6:D100,"True"))</f>
        <v>0</v>
      </c>
      <c r="F100" t="str">
        <f t="shared" si="1"/>
        <v>000507.SZ</v>
      </c>
    </row>
    <row r="101" spans="1:6" x14ac:dyDescent="0.15">
      <c r="A101" s="2">
        <v>46089</v>
      </c>
      <c r="B101" s="1" t="s">
        <v>191</v>
      </c>
      <c r="C101" s="1" t="s">
        <v>192</v>
      </c>
      <c r="D101" t="b">
        <f ca="1">IF(A101="","",[1]!s_techanal_rcnthigh(B101,$B$2,1,3))</f>
        <v>0</v>
      </c>
      <c r="E101">
        <f ca="1">IF(A101="","",COUNTIF(D$6:D101,"True"))</f>
        <v>0</v>
      </c>
      <c r="F101" t="str">
        <f t="shared" si="1"/>
        <v>000509.SZ</v>
      </c>
    </row>
    <row r="102" spans="1:6" x14ac:dyDescent="0.15">
      <c r="A102" s="2">
        <v>46089</v>
      </c>
      <c r="B102" s="1" t="s">
        <v>193</v>
      </c>
      <c r="C102" s="1" t="s">
        <v>194</v>
      </c>
      <c r="D102" t="b">
        <f ca="1">IF(A102="","",[1]!s_techanal_rcnthigh(B102,$B$2,1,3))</f>
        <v>0</v>
      </c>
      <c r="E102">
        <f ca="1">IF(A102="","",COUNTIF(D$6:D102,"True"))</f>
        <v>0</v>
      </c>
      <c r="F102" t="str">
        <f t="shared" si="1"/>
        <v>000510.SZ</v>
      </c>
    </row>
    <row r="103" spans="1:6" x14ac:dyDescent="0.15">
      <c r="A103" s="2">
        <v>46089</v>
      </c>
      <c r="B103" s="1" t="s">
        <v>195</v>
      </c>
      <c r="C103" s="1" t="s">
        <v>196</v>
      </c>
      <c r="D103" t="b">
        <f ca="1">IF(A103="","",[1]!s_techanal_rcnthigh(B103,$B$2,1,3))</f>
        <v>0</v>
      </c>
      <c r="E103">
        <f ca="1">IF(A103="","",COUNTIF(D$6:D103,"True"))</f>
        <v>0</v>
      </c>
      <c r="F103" t="str">
        <f t="shared" si="1"/>
        <v>000513.SZ</v>
      </c>
    </row>
    <row r="104" spans="1:6" x14ac:dyDescent="0.15">
      <c r="A104" s="2">
        <v>46089</v>
      </c>
      <c r="B104" s="1" t="s">
        <v>197</v>
      </c>
      <c r="C104" s="1" t="s">
        <v>198</v>
      </c>
      <c r="D104" t="b">
        <f ca="1">IF(A104="","",[1]!s_techanal_rcnthigh(B104,$B$2,1,3))</f>
        <v>0</v>
      </c>
      <c r="E104">
        <f ca="1">IF(A104="","",COUNTIF(D$6:D104,"True"))</f>
        <v>0</v>
      </c>
      <c r="F104" t="str">
        <f t="shared" si="1"/>
        <v>000514.SZ</v>
      </c>
    </row>
    <row r="105" spans="1:6" x14ac:dyDescent="0.15">
      <c r="A105" s="2">
        <v>46089</v>
      </c>
      <c r="B105" s="1" t="s">
        <v>199</v>
      </c>
      <c r="C105" s="1" t="s">
        <v>200</v>
      </c>
      <c r="D105" t="b">
        <f ca="1">IF(A105="","",[1]!s_techanal_rcnthigh(B105,$B$2,1,3))</f>
        <v>0</v>
      </c>
      <c r="E105">
        <f ca="1">IF(A105="","",COUNTIF(D$6:D105,"True"))</f>
        <v>0</v>
      </c>
      <c r="F105" t="str">
        <f t="shared" si="1"/>
        <v>000516.SZ</v>
      </c>
    </row>
    <row r="106" spans="1:6" x14ac:dyDescent="0.15">
      <c r="A106" s="2">
        <v>46089</v>
      </c>
      <c r="B106" s="1" t="s">
        <v>201</v>
      </c>
      <c r="C106" s="1" t="s">
        <v>202</v>
      </c>
      <c r="D106" t="b">
        <f ca="1">IF(A106="","",[1]!s_techanal_rcnthigh(B106,$B$2,1,3))</f>
        <v>0</v>
      </c>
      <c r="E106">
        <f ca="1">IF(A106="","",COUNTIF(D$6:D106,"True"))</f>
        <v>0</v>
      </c>
      <c r="F106" t="str">
        <f t="shared" si="1"/>
        <v>000517.SZ</v>
      </c>
    </row>
    <row r="107" spans="1:6" x14ac:dyDescent="0.15">
      <c r="A107" s="2">
        <v>46089</v>
      </c>
      <c r="B107" s="1" t="s">
        <v>203</v>
      </c>
      <c r="C107" s="1" t="s">
        <v>10024</v>
      </c>
      <c r="D107" t="b">
        <f ca="1">IF(A107="","",[1]!s_techanal_rcnthigh(B107,$B$2,1,3))</f>
        <v>0</v>
      </c>
      <c r="E107">
        <f ca="1">IF(A107="","",COUNTIF(D$6:D107,"True"))</f>
        <v>0</v>
      </c>
      <c r="F107" t="str">
        <f t="shared" si="1"/>
        <v>000518.SZ</v>
      </c>
    </row>
    <row r="108" spans="1:6" x14ac:dyDescent="0.15">
      <c r="A108" s="2">
        <v>46089</v>
      </c>
      <c r="B108" s="1" t="s">
        <v>204</v>
      </c>
      <c r="C108" s="1" t="s">
        <v>205</v>
      </c>
      <c r="D108" t="b">
        <f ca="1">IF(A108="","",[1]!s_techanal_rcnthigh(B108,$B$2,1,3))</f>
        <v>0</v>
      </c>
      <c r="E108">
        <f ca="1">IF(A108="","",COUNTIF(D$6:D108,"True"))</f>
        <v>0</v>
      </c>
      <c r="F108" t="str">
        <f t="shared" si="1"/>
        <v>000519.SZ</v>
      </c>
    </row>
    <row r="109" spans="1:6" x14ac:dyDescent="0.15">
      <c r="A109" s="2">
        <v>46089</v>
      </c>
      <c r="B109" s="1" t="s">
        <v>206</v>
      </c>
      <c r="C109" s="1" t="s">
        <v>207</v>
      </c>
      <c r="D109" t="b">
        <f ca="1">IF(A109="","",[1]!s_techanal_rcnthigh(B109,$B$2,1,3))</f>
        <v>0</v>
      </c>
      <c r="E109">
        <f ca="1">IF(A109="","",COUNTIF(D$6:D109,"True"))</f>
        <v>0</v>
      </c>
      <c r="F109" t="str">
        <f t="shared" si="1"/>
        <v>000520.SZ</v>
      </c>
    </row>
    <row r="110" spans="1:6" x14ac:dyDescent="0.15">
      <c r="A110" s="2">
        <v>46089</v>
      </c>
      <c r="B110" s="1" t="s">
        <v>208</v>
      </c>
      <c r="C110" s="1" t="s">
        <v>209</v>
      </c>
      <c r="D110" t="b">
        <f ca="1">IF(A110="","",[1]!s_techanal_rcnthigh(B110,$B$2,1,3))</f>
        <v>0</v>
      </c>
      <c r="E110">
        <f ca="1">IF(A110="","",COUNTIF(D$6:D110,"True"))</f>
        <v>0</v>
      </c>
      <c r="F110" t="str">
        <f t="shared" si="1"/>
        <v>000521.SZ</v>
      </c>
    </row>
    <row r="111" spans="1:6" x14ac:dyDescent="0.15">
      <c r="A111" s="2">
        <v>46089</v>
      </c>
      <c r="B111" s="1" t="s">
        <v>210</v>
      </c>
      <c r="C111" s="1" t="s">
        <v>211</v>
      </c>
      <c r="D111" t="b">
        <f ca="1">IF(A111="","",[1]!s_techanal_rcnthigh(B111,$B$2,1,3))</f>
        <v>0</v>
      </c>
      <c r="E111">
        <f ca="1">IF(A111="","",COUNTIF(D$6:D111,"True"))</f>
        <v>0</v>
      </c>
      <c r="F111" t="str">
        <f t="shared" si="1"/>
        <v>000523.SZ</v>
      </c>
    </row>
    <row r="112" spans="1:6" x14ac:dyDescent="0.15">
      <c r="A112" s="2">
        <v>46089</v>
      </c>
      <c r="B112" s="1" t="s">
        <v>212</v>
      </c>
      <c r="C112" s="1" t="s">
        <v>213</v>
      </c>
      <c r="D112" t="b">
        <f ca="1">IF(A112="","",[1]!s_techanal_rcnthigh(B112,$B$2,1,3))</f>
        <v>0</v>
      </c>
      <c r="E112">
        <f ca="1">IF(A112="","",COUNTIF(D$6:D112,"True"))</f>
        <v>0</v>
      </c>
      <c r="F112" t="str">
        <f t="shared" si="1"/>
        <v>000524.SZ</v>
      </c>
    </row>
    <row r="113" spans="1:6" x14ac:dyDescent="0.15">
      <c r="A113" s="2">
        <v>46089</v>
      </c>
      <c r="B113" s="1" t="s">
        <v>214</v>
      </c>
      <c r="C113" s="1" t="s">
        <v>10025</v>
      </c>
      <c r="D113" t="b">
        <f ca="1">IF(A113="","",[1]!s_techanal_rcnthigh(B113,$B$2,1,3))</f>
        <v>0</v>
      </c>
      <c r="E113">
        <f ca="1">IF(A113="","",COUNTIF(D$6:D113,"True"))</f>
        <v>0</v>
      </c>
      <c r="F113" t="str">
        <f t="shared" si="1"/>
        <v>000525.SZ</v>
      </c>
    </row>
    <row r="114" spans="1:6" x14ac:dyDescent="0.15">
      <c r="A114" s="2">
        <v>46089</v>
      </c>
      <c r="B114" s="1" t="s">
        <v>215</v>
      </c>
      <c r="C114" s="1" t="s">
        <v>216</v>
      </c>
      <c r="D114" t="b">
        <f ca="1">IF(A114="","",[1]!s_techanal_rcnthigh(B114,$B$2,1,3))</f>
        <v>0</v>
      </c>
      <c r="E114">
        <f ca="1">IF(A114="","",COUNTIF(D$6:D114,"True"))</f>
        <v>0</v>
      </c>
      <c r="F114" t="str">
        <f t="shared" si="1"/>
        <v>000526.SZ</v>
      </c>
    </row>
    <row r="115" spans="1:6" x14ac:dyDescent="0.15">
      <c r="A115" s="2">
        <v>46089</v>
      </c>
      <c r="B115" s="1" t="s">
        <v>217</v>
      </c>
      <c r="C115" s="1" t="s">
        <v>218</v>
      </c>
      <c r="D115" t="b">
        <f ca="1">IF(A115="","",[1]!s_techanal_rcnthigh(B115,$B$2,1,3))</f>
        <v>0</v>
      </c>
      <c r="E115">
        <f ca="1">IF(A115="","",COUNTIF(D$6:D115,"True"))</f>
        <v>0</v>
      </c>
      <c r="F115" t="str">
        <f t="shared" si="1"/>
        <v>000528.SZ</v>
      </c>
    </row>
    <row r="116" spans="1:6" x14ac:dyDescent="0.15">
      <c r="A116" s="2">
        <v>46089</v>
      </c>
      <c r="B116" s="1" t="s">
        <v>219</v>
      </c>
      <c r="C116" s="1" t="s">
        <v>220</v>
      </c>
      <c r="D116" t="b">
        <f ca="1">IF(A116="","",[1]!s_techanal_rcnthigh(B116,$B$2,1,3))</f>
        <v>0</v>
      </c>
      <c r="E116">
        <f ca="1">IF(A116="","",COUNTIF(D$6:D116,"True"))</f>
        <v>0</v>
      </c>
      <c r="F116" t="str">
        <f t="shared" si="1"/>
        <v>000529.SZ</v>
      </c>
    </row>
    <row r="117" spans="1:6" x14ac:dyDescent="0.15">
      <c r="A117" s="2">
        <v>46089</v>
      </c>
      <c r="B117" s="1" t="s">
        <v>221</v>
      </c>
      <c r="C117" s="1" t="s">
        <v>222</v>
      </c>
      <c r="D117" t="b">
        <f ca="1">IF(A117="","",[1]!s_techanal_rcnthigh(B117,$B$2,1,3))</f>
        <v>0</v>
      </c>
      <c r="E117">
        <f ca="1">IF(A117="","",COUNTIF(D$6:D117,"True"))</f>
        <v>0</v>
      </c>
      <c r="F117" t="str">
        <f t="shared" si="1"/>
        <v>000530.SZ</v>
      </c>
    </row>
    <row r="118" spans="1:6" x14ac:dyDescent="0.15">
      <c r="A118" s="2">
        <v>46089</v>
      </c>
      <c r="B118" s="1" t="s">
        <v>223</v>
      </c>
      <c r="C118" s="1" t="s">
        <v>224</v>
      </c>
      <c r="D118" t="b">
        <f ca="1">IF(A118="","",[1]!s_techanal_rcnthigh(B118,$B$2,1,3))</f>
        <v>0</v>
      </c>
      <c r="E118">
        <f ca="1">IF(A118="","",COUNTIF(D$6:D118,"True"))</f>
        <v>0</v>
      </c>
      <c r="F118" t="str">
        <f t="shared" si="1"/>
        <v>000531.SZ</v>
      </c>
    </row>
    <row r="119" spans="1:6" x14ac:dyDescent="0.15">
      <c r="A119" s="2">
        <v>46089</v>
      </c>
      <c r="B119" s="1" t="s">
        <v>225</v>
      </c>
      <c r="C119" s="1" t="s">
        <v>226</v>
      </c>
      <c r="D119" t="b">
        <f ca="1">IF(A119="","",[1]!s_techanal_rcnthigh(B119,$B$2,1,3))</f>
        <v>0</v>
      </c>
      <c r="E119">
        <f ca="1">IF(A119="","",COUNTIF(D$6:D119,"True"))</f>
        <v>0</v>
      </c>
      <c r="F119" t="str">
        <f t="shared" si="1"/>
        <v>000532.SZ</v>
      </c>
    </row>
    <row r="120" spans="1:6" x14ac:dyDescent="0.15">
      <c r="A120" s="2">
        <v>46089</v>
      </c>
      <c r="B120" s="1" t="s">
        <v>227</v>
      </c>
      <c r="C120" s="1" t="s">
        <v>228</v>
      </c>
      <c r="D120" t="b">
        <f ca="1">IF(A120="","",[1]!s_techanal_rcnthigh(B120,$B$2,1,3))</f>
        <v>0</v>
      </c>
      <c r="E120">
        <f ca="1">IF(A120="","",COUNTIF(D$6:D120,"True"))</f>
        <v>0</v>
      </c>
      <c r="F120" t="str">
        <f t="shared" si="1"/>
        <v>000533.SZ</v>
      </c>
    </row>
    <row r="121" spans="1:6" x14ac:dyDescent="0.15">
      <c r="A121" s="2">
        <v>46089</v>
      </c>
      <c r="B121" s="1" t="s">
        <v>229</v>
      </c>
      <c r="C121" s="1" t="s">
        <v>230</v>
      </c>
      <c r="D121" t="b">
        <f ca="1">IF(A121="","",[1]!s_techanal_rcnthigh(B121,$B$2,1,3))</f>
        <v>0</v>
      </c>
      <c r="E121">
        <f ca="1">IF(A121="","",COUNTIF(D$6:D121,"True"))</f>
        <v>0</v>
      </c>
      <c r="F121" t="str">
        <f t="shared" si="1"/>
        <v>000534.SZ</v>
      </c>
    </row>
    <row r="122" spans="1:6" x14ac:dyDescent="0.15">
      <c r="A122" s="2">
        <v>46089</v>
      </c>
      <c r="B122" s="1" t="s">
        <v>231</v>
      </c>
      <c r="C122" s="1" t="s">
        <v>232</v>
      </c>
      <c r="D122" t="b">
        <f ca="1">IF(A122="","",[1]!s_techanal_rcnthigh(B122,$B$2,1,3))</f>
        <v>0</v>
      </c>
      <c r="E122">
        <f ca="1">IF(A122="","",COUNTIF(D$6:D122,"True"))</f>
        <v>0</v>
      </c>
      <c r="F122" t="str">
        <f t="shared" si="1"/>
        <v>000536.SZ</v>
      </c>
    </row>
    <row r="123" spans="1:6" x14ac:dyDescent="0.15">
      <c r="A123" s="2">
        <v>46089</v>
      </c>
      <c r="B123" s="1" t="s">
        <v>233</v>
      </c>
      <c r="C123" s="1" t="s">
        <v>10026</v>
      </c>
      <c r="D123" t="b">
        <f ca="1">IF(A123="","",[1]!s_techanal_rcnthigh(B123,$B$2,1,3))</f>
        <v>0</v>
      </c>
      <c r="E123">
        <f ca="1">IF(A123="","",COUNTIF(D$6:D123,"True"))</f>
        <v>0</v>
      </c>
      <c r="F123" t="str">
        <f t="shared" si="1"/>
        <v>000537.SZ</v>
      </c>
    </row>
    <row r="124" spans="1:6" x14ac:dyDescent="0.15">
      <c r="A124" s="2">
        <v>46089</v>
      </c>
      <c r="B124" s="1" t="s">
        <v>234</v>
      </c>
      <c r="C124" s="1" t="s">
        <v>235</v>
      </c>
      <c r="D124" t="b">
        <f ca="1">IF(A124="","",[1]!s_techanal_rcnthigh(B124,$B$2,1,3))</f>
        <v>0</v>
      </c>
      <c r="E124">
        <f ca="1">IF(A124="","",COUNTIF(D$6:D124,"True"))</f>
        <v>0</v>
      </c>
      <c r="F124" t="str">
        <f t="shared" si="1"/>
        <v>000538.SZ</v>
      </c>
    </row>
    <row r="125" spans="1:6" x14ac:dyDescent="0.15">
      <c r="A125" s="2">
        <v>46089</v>
      </c>
      <c r="B125" s="1" t="s">
        <v>236</v>
      </c>
      <c r="C125" s="1" t="s">
        <v>237</v>
      </c>
      <c r="D125" t="b">
        <f ca="1">IF(A125="","",[1]!s_techanal_rcnthigh(B125,$B$2,1,3))</f>
        <v>0</v>
      </c>
      <c r="E125">
        <f ca="1">IF(A125="","",COUNTIF(D$6:D125,"True"))</f>
        <v>0</v>
      </c>
      <c r="F125" t="str">
        <f t="shared" si="1"/>
        <v>000539.SZ</v>
      </c>
    </row>
    <row r="126" spans="1:6" x14ac:dyDescent="0.15">
      <c r="A126" s="2">
        <v>46089</v>
      </c>
      <c r="B126" s="1" t="s">
        <v>238</v>
      </c>
      <c r="C126" s="1" t="s">
        <v>239</v>
      </c>
      <c r="D126" t="b">
        <f ca="1">IF(A126="","",[1]!s_techanal_rcnthigh(B126,$B$2,1,3))</f>
        <v>0</v>
      </c>
      <c r="E126">
        <f ca="1">IF(A126="","",COUNTIF(D$6:D126,"True"))</f>
        <v>0</v>
      </c>
      <c r="F126" t="str">
        <f t="shared" si="1"/>
        <v>000541.SZ</v>
      </c>
    </row>
    <row r="127" spans="1:6" x14ac:dyDescent="0.15">
      <c r="A127" s="2">
        <v>46089</v>
      </c>
      <c r="B127" s="1" t="s">
        <v>240</v>
      </c>
      <c r="C127" s="1" t="s">
        <v>241</v>
      </c>
      <c r="D127" t="b">
        <f ca="1">IF(A127="","",[1]!s_techanal_rcnthigh(B127,$B$2,1,3))</f>
        <v>0</v>
      </c>
      <c r="E127">
        <f ca="1">IF(A127="","",COUNTIF(D$6:D127,"True"))</f>
        <v>0</v>
      </c>
      <c r="F127" t="str">
        <f t="shared" si="1"/>
        <v>000543.SZ</v>
      </c>
    </row>
    <row r="128" spans="1:6" x14ac:dyDescent="0.15">
      <c r="A128" s="2">
        <v>46089</v>
      </c>
      <c r="B128" s="1" t="s">
        <v>242</v>
      </c>
      <c r="C128" s="1" t="s">
        <v>243</v>
      </c>
      <c r="D128" t="b">
        <f ca="1">IF(A128="","",[1]!s_techanal_rcnthigh(B128,$B$2,1,3))</f>
        <v>0</v>
      </c>
      <c r="E128">
        <f ca="1">IF(A128="","",COUNTIF(D$6:D128,"True"))</f>
        <v>0</v>
      </c>
      <c r="F128" t="str">
        <f t="shared" si="1"/>
        <v>000544.SZ</v>
      </c>
    </row>
    <row r="129" spans="1:6" x14ac:dyDescent="0.15">
      <c r="A129" s="2">
        <v>46089</v>
      </c>
      <c r="B129" s="1" t="s">
        <v>244</v>
      </c>
      <c r="C129" s="1" t="s">
        <v>245</v>
      </c>
      <c r="D129" t="b">
        <f ca="1">IF(A129="","",[1]!s_techanal_rcnthigh(B129,$B$2,1,3))</f>
        <v>0</v>
      </c>
      <c r="E129">
        <f ca="1">IF(A129="","",COUNTIF(D$6:D129,"True"))</f>
        <v>0</v>
      </c>
      <c r="F129" t="str">
        <f t="shared" si="1"/>
        <v>000545.SZ</v>
      </c>
    </row>
    <row r="130" spans="1:6" x14ac:dyDescent="0.15">
      <c r="A130" s="2">
        <v>46089</v>
      </c>
      <c r="B130" s="1" t="s">
        <v>246</v>
      </c>
      <c r="C130" s="1" t="s">
        <v>247</v>
      </c>
      <c r="D130" t="b">
        <f ca="1">IF(A130="","",[1]!s_techanal_rcnthigh(B130,$B$2,1,3))</f>
        <v>0</v>
      </c>
      <c r="E130">
        <f ca="1">IF(A130="","",COUNTIF(D$6:D130,"True"))</f>
        <v>0</v>
      </c>
      <c r="F130" t="str">
        <f t="shared" si="1"/>
        <v>000546.SZ</v>
      </c>
    </row>
    <row r="131" spans="1:6" x14ac:dyDescent="0.15">
      <c r="A131" s="2">
        <v>46089</v>
      </c>
      <c r="B131" s="1" t="s">
        <v>248</v>
      </c>
      <c r="C131" s="1" t="s">
        <v>249</v>
      </c>
      <c r="D131" t="b">
        <f ca="1">IF(A131="","",[1]!s_techanal_rcnthigh(B131,$B$2,1,3))</f>
        <v>0</v>
      </c>
      <c r="E131">
        <f ca="1">IF(A131="","",COUNTIF(D$6:D131,"True"))</f>
        <v>0</v>
      </c>
      <c r="F131" t="str">
        <f t="shared" si="1"/>
        <v>000547.SZ</v>
      </c>
    </row>
    <row r="132" spans="1:6" x14ac:dyDescent="0.15">
      <c r="A132" s="2">
        <v>46089</v>
      </c>
      <c r="B132" s="1" t="s">
        <v>250</v>
      </c>
      <c r="C132" s="1" t="s">
        <v>251</v>
      </c>
      <c r="D132" t="b">
        <f ca="1">IF(A132="","",[1]!s_techanal_rcnthigh(B132,$B$2,1,3))</f>
        <v>0</v>
      </c>
      <c r="E132">
        <f ca="1">IF(A132="","",COUNTIF(D$6:D132,"True"))</f>
        <v>0</v>
      </c>
      <c r="F132" t="str">
        <f t="shared" si="1"/>
        <v>000548.SZ</v>
      </c>
    </row>
    <row r="133" spans="1:6" x14ac:dyDescent="0.15">
      <c r="A133" s="2">
        <v>46089</v>
      </c>
      <c r="B133" s="1" t="s">
        <v>252</v>
      </c>
      <c r="C133" s="1" t="s">
        <v>253</v>
      </c>
      <c r="D133" t="b">
        <f ca="1">IF(A133="","",[1]!s_techanal_rcnthigh(B133,$B$2,1,3))</f>
        <v>0</v>
      </c>
      <c r="E133">
        <f ca="1">IF(A133="","",COUNTIF(D$6:D133,"True"))</f>
        <v>0</v>
      </c>
      <c r="F133" t="str">
        <f t="shared" si="1"/>
        <v>000550.SZ</v>
      </c>
    </row>
    <row r="134" spans="1:6" x14ac:dyDescent="0.15">
      <c r="A134" s="2">
        <v>46089</v>
      </c>
      <c r="B134" s="1" t="s">
        <v>254</v>
      </c>
      <c r="C134" s="1" t="s">
        <v>255</v>
      </c>
      <c r="D134" t="b">
        <f ca="1">IF(A134="","",[1]!s_techanal_rcnthigh(B134,$B$2,1,3))</f>
        <v>0</v>
      </c>
      <c r="E134">
        <f ca="1">IF(A134="","",COUNTIF(D$6:D134,"True"))</f>
        <v>0</v>
      </c>
      <c r="F134" t="str">
        <f t="shared" ref="F134:F197" si="2">IF(B134="","",B134)</f>
        <v>000551.SZ</v>
      </c>
    </row>
    <row r="135" spans="1:6" x14ac:dyDescent="0.15">
      <c r="A135" s="2">
        <v>46089</v>
      </c>
      <c r="B135" s="1" t="s">
        <v>256</v>
      </c>
      <c r="C135" s="1" t="s">
        <v>257</v>
      </c>
      <c r="D135" t="b">
        <f ca="1">IF(A135="","",[1]!s_techanal_rcnthigh(B135,$B$2,1,3))</f>
        <v>0</v>
      </c>
      <c r="E135">
        <f ca="1">IF(A135="","",COUNTIF(D$6:D135,"True"))</f>
        <v>0</v>
      </c>
      <c r="F135" t="str">
        <f t="shared" si="2"/>
        <v>000552.SZ</v>
      </c>
    </row>
    <row r="136" spans="1:6" x14ac:dyDescent="0.15">
      <c r="A136" s="2">
        <v>46089</v>
      </c>
      <c r="B136" s="1" t="s">
        <v>258</v>
      </c>
      <c r="C136" s="1" t="s">
        <v>259</v>
      </c>
      <c r="D136" t="b">
        <f ca="1">IF(A136="","",[1]!s_techanal_rcnthigh(B136,$B$2,1,3))</f>
        <v>0</v>
      </c>
      <c r="E136">
        <f ca="1">IF(A136="","",COUNTIF(D$6:D136,"True"))</f>
        <v>0</v>
      </c>
      <c r="F136" t="str">
        <f t="shared" si="2"/>
        <v>000553.SZ</v>
      </c>
    </row>
    <row r="137" spans="1:6" x14ac:dyDescent="0.15">
      <c r="A137" s="2">
        <v>46089</v>
      </c>
      <c r="B137" s="1" t="s">
        <v>260</v>
      </c>
      <c r="C137" s="1" t="s">
        <v>261</v>
      </c>
      <c r="D137" t="b">
        <f ca="1">IF(A137="","",[1]!s_techanal_rcnthigh(B137,$B$2,1,3))</f>
        <v>0</v>
      </c>
      <c r="E137">
        <f ca="1">IF(A137="","",COUNTIF(D$6:D137,"True"))</f>
        <v>0</v>
      </c>
      <c r="F137" t="str">
        <f t="shared" si="2"/>
        <v>000554.SZ</v>
      </c>
    </row>
    <row r="138" spans="1:6" x14ac:dyDescent="0.15">
      <c r="A138" s="2">
        <v>46089</v>
      </c>
      <c r="B138" s="1" t="s">
        <v>262</v>
      </c>
      <c r="C138" s="1" t="s">
        <v>263</v>
      </c>
      <c r="D138" t="b">
        <f ca="1">IF(A138="","",[1]!s_techanal_rcnthigh(B138,$B$2,1,3))</f>
        <v>0</v>
      </c>
      <c r="E138">
        <f ca="1">IF(A138="","",COUNTIF(D$6:D138,"True"))</f>
        <v>0</v>
      </c>
      <c r="F138" t="str">
        <f t="shared" si="2"/>
        <v>000555.SZ</v>
      </c>
    </row>
    <row r="139" spans="1:6" x14ac:dyDescent="0.15">
      <c r="A139" s="2">
        <v>46089</v>
      </c>
      <c r="B139" s="1" t="s">
        <v>264</v>
      </c>
      <c r="C139" s="1" t="s">
        <v>265</v>
      </c>
      <c r="D139" t="b">
        <f ca="1">IF(A139="","",[1]!s_techanal_rcnthigh(B139,$B$2,1,3))</f>
        <v>0</v>
      </c>
      <c r="E139">
        <f ca="1">IF(A139="","",COUNTIF(D$6:D139,"True"))</f>
        <v>0</v>
      </c>
      <c r="F139" t="str">
        <f t="shared" si="2"/>
        <v>000557.SZ</v>
      </c>
    </row>
    <row r="140" spans="1:6" x14ac:dyDescent="0.15">
      <c r="A140" s="2">
        <v>46089</v>
      </c>
      <c r="B140" s="1" t="s">
        <v>266</v>
      </c>
      <c r="C140" s="1" t="s">
        <v>10027</v>
      </c>
      <c r="D140" t="b">
        <f ca="1">IF(A140="","",[1]!s_techanal_rcnthigh(B140,$B$2,1,3))</f>
        <v>0</v>
      </c>
      <c r="E140">
        <f ca="1">IF(A140="","",COUNTIF(D$6:D140,"True"))</f>
        <v>0</v>
      </c>
      <c r="F140" t="str">
        <f t="shared" si="2"/>
        <v>000558.SZ</v>
      </c>
    </row>
    <row r="141" spans="1:6" x14ac:dyDescent="0.15">
      <c r="A141" s="2">
        <v>46089</v>
      </c>
      <c r="B141" s="1" t="s">
        <v>267</v>
      </c>
      <c r="C141" s="1" t="s">
        <v>268</v>
      </c>
      <c r="D141" t="b">
        <f ca="1">IF(A141="","",[1]!s_techanal_rcnthigh(B141,$B$2,1,3))</f>
        <v>0</v>
      </c>
      <c r="E141">
        <f ca="1">IF(A141="","",COUNTIF(D$6:D141,"True"))</f>
        <v>0</v>
      </c>
      <c r="F141" t="str">
        <f t="shared" si="2"/>
        <v>000559.SZ</v>
      </c>
    </row>
    <row r="142" spans="1:6" x14ac:dyDescent="0.15">
      <c r="A142" s="2">
        <v>46089</v>
      </c>
      <c r="B142" s="1" t="s">
        <v>269</v>
      </c>
      <c r="C142" s="1" t="s">
        <v>270</v>
      </c>
      <c r="D142" t="b">
        <f ca="1">IF(A142="","",[1]!s_techanal_rcnthigh(B142,$B$2,1,3))</f>
        <v>0</v>
      </c>
      <c r="E142">
        <f ca="1">IF(A142="","",COUNTIF(D$6:D142,"True"))</f>
        <v>0</v>
      </c>
      <c r="F142" t="str">
        <f t="shared" si="2"/>
        <v>000560.SZ</v>
      </c>
    </row>
    <row r="143" spans="1:6" x14ac:dyDescent="0.15">
      <c r="A143" s="2">
        <v>46089</v>
      </c>
      <c r="B143" s="1" t="s">
        <v>271</v>
      </c>
      <c r="C143" s="1" t="s">
        <v>272</v>
      </c>
      <c r="D143" t="b">
        <f ca="1">IF(A143="","",[1]!s_techanal_rcnthigh(B143,$B$2,1,3))</f>
        <v>0</v>
      </c>
      <c r="E143">
        <f ca="1">IF(A143="","",COUNTIF(D$6:D143,"True"))</f>
        <v>0</v>
      </c>
      <c r="F143" t="str">
        <f t="shared" si="2"/>
        <v>000561.SZ</v>
      </c>
    </row>
    <row r="144" spans="1:6" x14ac:dyDescent="0.15">
      <c r="A144" s="2">
        <v>46089</v>
      </c>
      <c r="B144" s="1" t="s">
        <v>273</v>
      </c>
      <c r="C144" s="1" t="s">
        <v>274</v>
      </c>
      <c r="D144" t="b">
        <f ca="1">IF(A144="","",[1]!s_techanal_rcnthigh(B144,$B$2,1,3))</f>
        <v>0</v>
      </c>
      <c r="E144">
        <f ca="1">IF(A144="","",COUNTIF(D$6:D144,"True"))</f>
        <v>0</v>
      </c>
      <c r="F144" t="str">
        <f t="shared" si="2"/>
        <v>000563.SZ</v>
      </c>
    </row>
    <row r="145" spans="1:6" x14ac:dyDescent="0.15">
      <c r="A145" s="2">
        <v>46089</v>
      </c>
      <c r="B145" s="1" t="s">
        <v>275</v>
      </c>
      <c r="C145" s="1" t="s">
        <v>10028</v>
      </c>
      <c r="D145" t="b">
        <f ca="1">IF(A145="","",[1]!s_techanal_rcnthigh(B145,$B$2,1,3))</f>
        <v>0</v>
      </c>
      <c r="E145">
        <f ca="1">IF(A145="","",COUNTIF(D$6:D145,"True"))</f>
        <v>0</v>
      </c>
      <c r="F145" t="str">
        <f t="shared" si="2"/>
        <v>000564.SZ</v>
      </c>
    </row>
    <row r="146" spans="1:6" x14ac:dyDescent="0.15">
      <c r="A146" s="2">
        <v>46089</v>
      </c>
      <c r="B146" s="1" t="s">
        <v>276</v>
      </c>
      <c r="C146" s="1" t="s">
        <v>277</v>
      </c>
      <c r="D146" t="b">
        <f ca="1">IF(A146="","",[1]!s_techanal_rcnthigh(B146,$B$2,1,3))</f>
        <v>0</v>
      </c>
      <c r="E146">
        <f ca="1">IF(A146="","",COUNTIF(D$6:D146,"True"))</f>
        <v>0</v>
      </c>
      <c r="F146" t="str">
        <f t="shared" si="2"/>
        <v>000565.SZ</v>
      </c>
    </row>
    <row r="147" spans="1:6" x14ac:dyDescent="0.15">
      <c r="A147" s="2">
        <v>46089</v>
      </c>
      <c r="B147" s="1" t="s">
        <v>278</v>
      </c>
      <c r="C147" s="1" t="s">
        <v>279</v>
      </c>
      <c r="D147" t="b">
        <f ca="1">IF(A147="","",[1]!s_techanal_rcnthigh(B147,$B$2,1,3))</f>
        <v>0</v>
      </c>
      <c r="E147">
        <f ca="1">IF(A147="","",COUNTIF(D$6:D147,"True"))</f>
        <v>0</v>
      </c>
      <c r="F147" t="str">
        <f t="shared" si="2"/>
        <v>000566.SZ</v>
      </c>
    </row>
    <row r="148" spans="1:6" x14ac:dyDescent="0.15">
      <c r="A148" s="2">
        <v>46089</v>
      </c>
      <c r="B148" s="1" t="s">
        <v>280</v>
      </c>
      <c r="C148" s="1" t="s">
        <v>281</v>
      </c>
      <c r="D148" t="b">
        <f ca="1">IF(A148="","",[1]!s_techanal_rcnthigh(B148,$B$2,1,3))</f>
        <v>0</v>
      </c>
      <c r="E148">
        <f ca="1">IF(A148="","",COUNTIF(D$6:D148,"True"))</f>
        <v>0</v>
      </c>
      <c r="F148" t="str">
        <f t="shared" si="2"/>
        <v>000567.SZ</v>
      </c>
    </row>
    <row r="149" spans="1:6" x14ac:dyDescent="0.15">
      <c r="A149" s="2">
        <v>46089</v>
      </c>
      <c r="B149" s="1" t="s">
        <v>282</v>
      </c>
      <c r="C149" s="1" t="s">
        <v>283</v>
      </c>
      <c r="D149" t="b">
        <f ca="1">IF(A149="","",[1]!s_techanal_rcnthigh(B149,$B$2,1,3))</f>
        <v>0</v>
      </c>
      <c r="E149">
        <f ca="1">IF(A149="","",COUNTIF(D$6:D149,"True"))</f>
        <v>0</v>
      </c>
      <c r="F149" t="str">
        <f t="shared" si="2"/>
        <v>000568.SZ</v>
      </c>
    </row>
    <row r="150" spans="1:6" x14ac:dyDescent="0.15">
      <c r="A150" s="2">
        <v>46089</v>
      </c>
      <c r="B150" s="1" t="s">
        <v>284</v>
      </c>
      <c r="C150" s="1" t="s">
        <v>285</v>
      </c>
      <c r="D150" t="b">
        <f ca="1">IF(A150="","",[1]!s_techanal_rcnthigh(B150,$B$2,1,3))</f>
        <v>0</v>
      </c>
      <c r="E150">
        <f ca="1">IF(A150="","",COUNTIF(D$6:D150,"True"))</f>
        <v>0</v>
      </c>
      <c r="F150" t="str">
        <f t="shared" si="2"/>
        <v>000570.SZ</v>
      </c>
    </row>
    <row r="151" spans="1:6" x14ac:dyDescent="0.15">
      <c r="A151" s="2">
        <v>46089</v>
      </c>
      <c r="B151" s="1" t="s">
        <v>286</v>
      </c>
      <c r="C151" s="1" t="s">
        <v>287</v>
      </c>
      <c r="D151" t="b">
        <f ca="1">IF(A151="","",[1]!s_techanal_rcnthigh(B151,$B$2,1,3))</f>
        <v>0</v>
      </c>
      <c r="E151">
        <f ca="1">IF(A151="","",COUNTIF(D$6:D151,"True"))</f>
        <v>0</v>
      </c>
      <c r="F151" t="str">
        <f t="shared" si="2"/>
        <v>000571.SZ</v>
      </c>
    </row>
    <row r="152" spans="1:6" x14ac:dyDescent="0.15">
      <c r="A152" s="2">
        <v>46089</v>
      </c>
      <c r="B152" s="1" t="s">
        <v>288</v>
      </c>
      <c r="C152" s="1" t="s">
        <v>289</v>
      </c>
      <c r="D152" t="b">
        <f ca="1">IF(A152="","",[1]!s_techanal_rcnthigh(B152,$B$2,1,3))</f>
        <v>0</v>
      </c>
      <c r="E152">
        <f ca="1">IF(A152="","",COUNTIF(D$6:D152,"True"))</f>
        <v>0</v>
      </c>
      <c r="F152" t="str">
        <f t="shared" si="2"/>
        <v>000572.SZ</v>
      </c>
    </row>
    <row r="153" spans="1:6" x14ac:dyDescent="0.15">
      <c r="A153" s="2">
        <v>46089</v>
      </c>
      <c r="B153" s="1" t="s">
        <v>290</v>
      </c>
      <c r="C153" s="1" t="s">
        <v>291</v>
      </c>
      <c r="D153" t="b">
        <f ca="1">IF(A153="","",[1]!s_techanal_rcnthigh(B153,$B$2,1,3))</f>
        <v>0</v>
      </c>
      <c r="E153">
        <f ca="1">IF(A153="","",COUNTIF(D$6:D153,"True"))</f>
        <v>0</v>
      </c>
      <c r="F153" t="str">
        <f t="shared" si="2"/>
        <v>000573.SZ</v>
      </c>
    </row>
    <row r="154" spans="1:6" x14ac:dyDescent="0.15">
      <c r="A154" s="2">
        <v>46089</v>
      </c>
      <c r="B154" s="1" t="s">
        <v>292</v>
      </c>
      <c r="C154" s="1" t="s">
        <v>293</v>
      </c>
      <c r="D154" t="b">
        <f ca="1">IF(A154="","",[1]!s_techanal_rcnthigh(B154,$B$2,1,3))</f>
        <v>0</v>
      </c>
      <c r="E154">
        <f ca="1">IF(A154="","",COUNTIF(D$6:D154,"True"))</f>
        <v>0</v>
      </c>
      <c r="F154" t="str">
        <f t="shared" si="2"/>
        <v>000576.SZ</v>
      </c>
    </row>
    <row r="155" spans="1:6" x14ac:dyDescent="0.15">
      <c r="A155" s="2">
        <v>46089</v>
      </c>
      <c r="B155" s="1" t="s">
        <v>294</v>
      </c>
      <c r="C155" s="1" t="s">
        <v>295</v>
      </c>
      <c r="D155" t="b">
        <f ca="1">IF(A155="","",[1]!s_techanal_rcnthigh(B155,$B$2,1,3))</f>
        <v>0</v>
      </c>
      <c r="E155">
        <f ca="1">IF(A155="","",COUNTIF(D$6:D155,"True"))</f>
        <v>0</v>
      </c>
      <c r="F155" t="str">
        <f t="shared" si="2"/>
        <v>000581.SZ</v>
      </c>
    </row>
    <row r="156" spans="1:6" x14ac:dyDescent="0.15">
      <c r="A156" s="2">
        <v>46089</v>
      </c>
      <c r="B156" s="1" t="s">
        <v>296</v>
      </c>
      <c r="C156" s="1" t="s">
        <v>297</v>
      </c>
      <c r="D156" t="b">
        <f ca="1">IF(A156="","",[1]!s_techanal_rcnthigh(B156,$B$2,1,3))</f>
        <v>0</v>
      </c>
      <c r="E156">
        <f ca="1">IF(A156="","",COUNTIF(D$6:D156,"True"))</f>
        <v>0</v>
      </c>
      <c r="F156" t="str">
        <f t="shared" si="2"/>
        <v>000582.SZ</v>
      </c>
    </row>
    <row r="157" spans="1:6" x14ac:dyDescent="0.15">
      <c r="A157" s="2">
        <v>46089</v>
      </c>
      <c r="B157" s="1" t="s">
        <v>298</v>
      </c>
      <c r="C157" s="1" t="s">
        <v>299</v>
      </c>
      <c r="D157" t="b">
        <f ca="1">IF(A157="","",[1]!s_techanal_rcnthigh(B157,$B$2,1,3))</f>
        <v>0</v>
      </c>
      <c r="E157">
        <f ca="1">IF(A157="","",COUNTIF(D$6:D157,"True"))</f>
        <v>0</v>
      </c>
      <c r="F157" t="str">
        <f t="shared" si="2"/>
        <v>000586.SZ</v>
      </c>
    </row>
    <row r="158" spans="1:6" x14ac:dyDescent="0.15">
      <c r="A158" s="2">
        <v>46089</v>
      </c>
      <c r="B158" s="1" t="s">
        <v>300</v>
      </c>
      <c r="C158" s="1" t="s">
        <v>301</v>
      </c>
      <c r="D158" t="b">
        <f ca="1">IF(A158="","",[1]!s_techanal_rcnthigh(B158,$B$2,1,3))</f>
        <v>0</v>
      </c>
      <c r="E158">
        <f ca="1">IF(A158="","",COUNTIF(D$6:D158,"True"))</f>
        <v>0</v>
      </c>
      <c r="F158" t="str">
        <f t="shared" si="2"/>
        <v>000589.SZ</v>
      </c>
    </row>
    <row r="159" spans="1:6" x14ac:dyDescent="0.15">
      <c r="A159" s="2">
        <v>46089</v>
      </c>
      <c r="B159" s="1" t="s">
        <v>302</v>
      </c>
      <c r="C159" s="1" t="s">
        <v>10029</v>
      </c>
      <c r="D159" t="b">
        <f ca="1">IF(A159="","",[1]!s_techanal_rcnthigh(B159,$B$2,1,3))</f>
        <v>0</v>
      </c>
      <c r="E159">
        <f ca="1">IF(A159="","",COUNTIF(D$6:D159,"True"))</f>
        <v>0</v>
      </c>
      <c r="F159" t="str">
        <f t="shared" si="2"/>
        <v>000590.SZ</v>
      </c>
    </row>
    <row r="160" spans="1:6" x14ac:dyDescent="0.15">
      <c r="A160" s="2">
        <v>46089</v>
      </c>
      <c r="B160" s="1" t="s">
        <v>303</v>
      </c>
      <c r="C160" s="1" t="s">
        <v>304</v>
      </c>
      <c r="D160" t="b">
        <f ca="1">IF(A160="","",[1]!s_techanal_rcnthigh(B160,$B$2,1,3))</f>
        <v>0</v>
      </c>
      <c r="E160">
        <f ca="1">IF(A160="","",COUNTIF(D$6:D160,"True"))</f>
        <v>0</v>
      </c>
      <c r="F160" t="str">
        <f t="shared" si="2"/>
        <v>000591.SZ</v>
      </c>
    </row>
    <row r="161" spans="1:6" x14ac:dyDescent="0.15">
      <c r="A161" s="2">
        <v>46089</v>
      </c>
      <c r="B161" s="1" t="s">
        <v>305</v>
      </c>
      <c r="C161" s="1" t="s">
        <v>306</v>
      </c>
      <c r="D161" t="b">
        <f ca="1">IF(A161="","",[1]!s_techanal_rcnthigh(B161,$B$2,1,3))</f>
        <v>0</v>
      </c>
      <c r="E161">
        <f ca="1">IF(A161="","",COUNTIF(D$6:D161,"True"))</f>
        <v>0</v>
      </c>
      <c r="F161" t="str">
        <f t="shared" si="2"/>
        <v>000592.SZ</v>
      </c>
    </row>
    <row r="162" spans="1:6" x14ac:dyDescent="0.15">
      <c r="A162" s="2">
        <v>46089</v>
      </c>
      <c r="B162" s="1" t="s">
        <v>307</v>
      </c>
      <c r="C162" s="1" t="s">
        <v>308</v>
      </c>
      <c r="D162" t="b">
        <f ca="1">IF(A162="","",[1]!s_techanal_rcnthigh(B162,$B$2,1,3))</f>
        <v>0</v>
      </c>
      <c r="E162">
        <f ca="1">IF(A162="","",COUNTIF(D$6:D162,"True"))</f>
        <v>0</v>
      </c>
      <c r="F162" t="str">
        <f t="shared" si="2"/>
        <v>000593.SZ</v>
      </c>
    </row>
    <row r="163" spans="1:6" x14ac:dyDescent="0.15">
      <c r="A163" s="2">
        <v>46089</v>
      </c>
      <c r="B163" s="1" t="s">
        <v>309</v>
      </c>
      <c r="C163" s="1" t="s">
        <v>10030</v>
      </c>
      <c r="D163" t="b">
        <f ca="1">IF(A163="","",[1]!s_techanal_rcnthigh(B163,$B$2,1,3))</f>
        <v>0</v>
      </c>
      <c r="E163">
        <f ca="1">IF(A163="","",COUNTIF(D$6:D163,"True"))</f>
        <v>0</v>
      </c>
      <c r="F163" t="str">
        <f t="shared" si="2"/>
        <v>000595.SZ</v>
      </c>
    </row>
    <row r="164" spans="1:6" x14ac:dyDescent="0.15">
      <c r="A164" s="2">
        <v>46089</v>
      </c>
      <c r="B164" s="1" t="s">
        <v>310</v>
      </c>
      <c r="C164" s="1" t="s">
        <v>311</v>
      </c>
      <c r="D164" t="b">
        <f ca="1">IF(A164="","",[1]!s_techanal_rcnthigh(B164,$B$2,1,3))</f>
        <v>0</v>
      </c>
      <c r="E164">
        <f ca="1">IF(A164="","",COUNTIF(D$6:D164,"True"))</f>
        <v>0</v>
      </c>
      <c r="F164" t="str">
        <f t="shared" si="2"/>
        <v>000596.SZ</v>
      </c>
    </row>
    <row r="165" spans="1:6" x14ac:dyDescent="0.15">
      <c r="A165" s="2">
        <v>46089</v>
      </c>
      <c r="B165" s="1" t="s">
        <v>312</v>
      </c>
      <c r="C165" s="1" t="s">
        <v>313</v>
      </c>
      <c r="D165" t="b">
        <f ca="1">IF(A165="","",[1]!s_techanal_rcnthigh(B165,$B$2,1,3))</f>
        <v>0</v>
      </c>
      <c r="E165">
        <f ca="1">IF(A165="","",COUNTIF(D$6:D165,"True"))</f>
        <v>0</v>
      </c>
      <c r="F165" t="str">
        <f t="shared" si="2"/>
        <v>000597.SZ</v>
      </c>
    </row>
    <row r="166" spans="1:6" x14ac:dyDescent="0.15">
      <c r="A166" s="2">
        <v>46089</v>
      </c>
      <c r="B166" s="1" t="s">
        <v>314</v>
      </c>
      <c r="C166" s="1" t="s">
        <v>315</v>
      </c>
      <c r="D166" t="b">
        <f ca="1">IF(A166="","",[1]!s_techanal_rcnthigh(B166,$B$2,1,3))</f>
        <v>0</v>
      </c>
      <c r="E166">
        <f ca="1">IF(A166="","",COUNTIF(D$6:D166,"True"))</f>
        <v>0</v>
      </c>
      <c r="F166" t="str">
        <f t="shared" si="2"/>
        <v>000598.SZ</v>
      </c>
    </row>
    <row r="167" spans="1:6" x14ac:dyDescent="0.15">
      <c r="A167" s="2">
        <v>46089</v>
      </c>
      <c r="B167" s="1" t="s">
        <v>316</v>
      </c>
      <c r="C167" s="1" t="s">
        <v>317</v>
      </c>
      <c r="D167" t="b">
        <f ca="1">IF(A167="","",[1]!s_techanal_rcnthigh(B167,$B$2,1,3))</f>
        <v>0</v>
      </c>
      <c r="E167">
        <f ca="1">IF(A167="","",COUNTIF(D$6:D167,"True"))</f>
        <v>0</v>
      </c>
      <c r="F167" t="str">
        <f t="shared" si="2"/>
        <v>000599.SZ</v>
      </c>
    </row>
    <row r="168" spans="1:6" x14ac:dyDescent="0.15">
      <c r="A168" s="2">
        <v>46089</v>
      </c>
      <c r="B168" s="1" t="s">
        <v>318</v>
      </c>
      <c r="C168" s="1" t="s">
        <v>319</v>
      </c>
      <c r="D168" t="b">
        <f ca="1">IF(A168="","",[1]!s_techanal_rcnthigh(B168,$B$2,1,3))</f>
        <v>0</v>
      </c>
      <c r="E168">
        <f ca="1">IF(A168="","",COUNTIF(D$6:D168,"True"))</f>
        <v>0</v>
      </c>
      <c r="F168" t="str">
        <f t="shared" si="2"/>
        <v>000600.SZ</v>
      </c>
    </row>
    <row r="169" spans="1:6" x14ac:dyDescent="0.15">
      <c r="A169" s="2">
        <v>46089</v>
      </c>
      <c r="B169" s="1" t="s">
        <v>320</v>
      </c>
      <c r="C169" s="1" t="s">
        <v>321</v>
      </c>
      <c r="D169" t="b">
        <f ca="1">IF(A169="","",[1]!s_techanal_rcnthigh(B169,$B$2,1,3))</f>
        <v>0</v>
      </c>
      <c r="E169">
        <f ca="1">IF(A169="","",COUNTIF(D$6:D169,"True"))</f>
        <v>0</v>
      </c>
      <c r="F169" t="str">
        <f t="shared" si="2"/>
        <v>000601.SZ</v>
      </c>
    </row>
    <row r="170" spans="1:6" x14ac:dyDescent="0.15">
      <c r="A170" s="2">
        <v>46089</v>
      </c>
      <c r="B170" s="1" t="s">
        <v>322</v>
      </c>
      <c r="C170" s="1" t="s">
        <v>323</v>
      </c>
      <c r="D170" t="b">
        <f ca="1">IF(A170="","",[1]!s_techanal_rcnthigh(B170,$B$2,1,3))</f>
        <v>0</v>
      </c>
      <c r="E170">
        <f ca="1">IF(A170="","",COUNTIF(D$6:D170,"True"))</f>
        <v>0</v>
      </c>
      <c r="F170" t="str">
        <f t="shared" si="2"/>
        <v>000603.SZ</v>
      </c>
    </row>
    <row r="171" spans="1:6" x14ac:dyDescent="0.15">
      <c r="A171" s="2">
        <v>46089</v>
      </c>
      <c r="B171" s="1" t="s">
        <v>324</v>
      </c>
      <c r="C171" s="1" t="s">
        <v>325</v>
      </c>
      <c r="D171" t="b">
        <f ca="1">IF(A171="","",[1]!s_techanal_rcnthigh(B171,$B$2,1,3))</f>
        <v>0</v>
      </c>
      <c r="E171">
        <f ca="1">IF(A171="","",COUNTIF(D$6:D171,"True"))</f>
        <v>0</v>
      </c>
      <c r="F171" t="str">
        <f t="shared" si="2"/>
        <v>000605.SZ</v>
      </c>
    </row>
    <row r="172" spans="1:6" x14ac:dyDescent="0.15">
      <c r="A172" s="2">
        <v>46089</v>
      </c>
      <c r="B172" s="1" t="s">
        <v>326</v>
      </c>
      <c r="C172" s="1" t="s">
        <v>327</v>
      </c>
      <c r="D172" t="b">
        <f ca="1">IF(A172="","",[1]!s_techanal_rcnthigh(B172,$B$2,1,3))</f>
        <v>0</v>
      </c>
      <c r="E172">
        <f ca="1">IF(A172="","",COUNTIF(D$6:D172,"True"))</f>
        <v>0</v>
      </c>
      <c r="F172" t="str">
        <f t="shared" si="2"/>
        <v>000607.SZ</v>
      </c>
    </row>
    <row r="173" spans="1:6" x14ac:dyDescent="0.15">
      <c r="A173" s="2">
        <v>46089</v>
      </c>
      <c r="B173" s="1" t="s">
        <v>328</v>
      </c>
      <c r="C173" s="1" t="s">
        <v>10031</v>
      </c>
      <c r="D173" t="b">
        <f ca="1">IF(A173="","",[1]!s_techanal_rcnthigh(B173,$B$2,1,3))</f>
        <v>0</v>
      </c>
      <c r="E173">
        <f ca="1">IF(A173="","",COUNTIF(D$6:D173,"True"))</f>
        <v>0</v>
      </c>
      <c r="F173" t="str">
        <f t="shared" si="2"/>
        <v>000608.SZ</v>
      </c>
    </row>
    <row r="174" spans="1:6" x14ac:dyDescent="0.15">
      <c r="A174" s="2">
        <v>46089</v>
      </c>
      <c r="B174" s="1" t="s">
        <v>329</v>
      </c>
      <c r="C174" s="1" t="s">
        <v>10032</v>
      </c>
      <c r="D174" t="b">
        <f ca="1">IF(A174="","",[1]!s_techanal_rcnthigh(B174,$B$2,1,3))</f>
        <v>0</v>
      </c>
      <c r="E174">
        <f ca="1">IF(A174="","",COUNTIF(D$6:D174,"True"))</f>
        <v>0</v>
      </c>
      <c r="F174" t="str">
        <f t="shared" si="2"/>
        <v>000609.SZ</v>
      </c>
    </row>
    <row r="175" spans="1:6" x14ac:dyDescent="0.15">
      <c r="A175" s="2">
        <v>46089</v>
      </c>
      <c r="B175" s="1" t="s">
        <v>330</v>
      </c>
      <c r="C175" s="1" t="s">
        <v>331</v>
      </c>
      <c r="D175" t="b">
        <f ca="1">IF(A175="","",[1]!s_techanal_rcnthigh(B175,$B$2,1,3))</f>
        <v>0</v>
      </c>
      <c r="E175">
        <f ca="1">IF(A175="","",COUNTIF(D$6:D175,"True"))</f>
        <v>0</v>
      </c>
      <c r="F175" t="str">
        <f t="shared" si="2"/>
        <v>000610.SZ</v>
      </c>
    </row>
    <row r="176" spans="1:6" x14ac:dyDescent="0.15">
      <c r="A176" s="2">
        <v>46089</v>
      </c>
      <c r="B176" s="1" t="s">
        <v>332</v>
      </c>
      <c r="C176" s="1" t="s">
        <v>333</v>
      </c>
      <c r="D176" t="b">
        <f ca="1">IF(A176="","",[1]!s_techanal_rcnthigh(B176,$B$2,1,3))</f>
        <v>0</v>
      </c>
      <c r="E176">
        <f ca="1">IF(A176="","",COUNTIF(D$6:D176,"True"))</f>
        <v>0</v>
      </c>
      <c r="F176" t="str">
        <f t="shared" si="2"/>
        <v>000612.SZ</v>
      </c>
    </row>
    <row r="177" spans="1:6" x14ac:dyDescent="0.15">
      <c r="A177" s="2">
        <v>46089</v>
      </c>
      <c r="B177" s="1" t="s">
        <v>334</v>
      </c>
      <c r="C177" s="1" t="s">
        <v>335</v>
      </c>
      <c r="D177" t="b">
        <f ca="1">IF(A177="","",[1]!s_techanal_rcnthigh(B177,$B$2,1,3))</f>
        <v>0</v>
      </c>
      <c r="E177">
        <f ca="1">IF(A177="","",COUNTIF(D$6:D177,"True"))</f>
        <v>0</v>
      </c>
      <c r="F177" t="str">
        <f t="shared" si="2"/>
        <v>000615.SZ</v>
      </c>
    </row>
    <row r="178" spans="1:6" x14ac:dyDescent="0.15">
      <c r="A178" s="2">
        <v>46089</v>
      </c>
      <c r="B178" s="1" t="s">
        <v>336</v>
      </c>
      <c r="C178" s="1" t="s">
        <v>337</v>
      </c>
      <c r="D178" t="b">
        <f ca="1">IF(A178="","",[1]!s_techanal_rcnthigh(B178,$B$2,1,3))</f>
        <v>0</v>
      </c>
      <c r="E178">
        <f ca="1">IF(A178="","",COUNTIF(D$6:D178,"True"))</f>
        <v>0</v>
      </c>
      <c r="F178" t="str">
        <f t="shared" si="2"/>
        <v>000617.SZ</v>
      </c>
    </row>
    <row r="179" spans="1:6" x14ac:dyDescent="0.15">
      <c r="A179" s="2">
        <v>46089</v>
      </c>
      <c r="B179" s="1" t="s">
        <v>338</v>
      </c>
      <c r="C179" s="1" t="s">
        <v>339</v>
      </c>
      <c r="D179" t="b">
        <f ca="1">IF(A179="","",[1]!s_techanal_rcnthigh(B179,$B$2,1,3))</f>
        <v>0</v>
      </c>
      <c r="E179">
        <f ca="1">IF(A179="","",COUNTIF(D$6:D179,"True"))</f>
        <v>0</v>
      </c>
      <c r="F179" t="str">
        <f t="shared" si="2"/>
        <v>000619.SZ</v>
      </c>
    </row>
    <row r="180" spans="1:6" x14ac:dyDescent="0.15">
      <c r="A180" s="2">
        <v>46089</v>
      </c>
      <c r="B180" s="1" t="s">
        <v>340</v>
      </c>
      <c r="C180" s="1" t="s">
        <v>10033</v>
      </c>
      <c r="D180" t="b">
        <f ca="1">IF(A180="","",[1]!s_techanal_rcnthigh(B180,$B$2,1,3))</f>
        <v>0</v>
      </c>
      <c r="E180">
        <f ca="1">IF(A180="","",COUNTIF(D$6:D180,"True"))</f>
        <v>0</v>
      </c>
      <c r="F180" t="str">
        <f t="shared" si="2"/>
        <v>000620.SZ</v>
      </c>
    </row>
    <row r="181" spans="1:6" x14ac:dyDescent="0.15">
      <c r="A181" s="2">
        <v>46089</v>
      </c>
      <c r="B181" s="1" t="s">
        <v>341</v>
      </c>
      <c r="C181" s="1" t="s">
        <v>342</v>
      </c>
      <c r="D181" t="b">
        <f ca="1">IF(A181="","",[1]!s_techanal_rcnthigh(B181,$B$2,1,3))</f>
        <v>0</v>
      </c>
      <c r="E181">
        <f ca="1">IF(A181="","",COUNTIF(D$6:D181,"True"))</f>
        <v>0</v>
      </c>
      <c r="F181" t="str">
        <f t="shared" si="2"/>
        <v>000623.SZ</v>
      </c>
    </row>
    <row r="182" spans="1:6" x14ac:dyDescent="0.15">
      <c r="A182" s="2">
        <v>46089</v>
      </c>
      <c r="B182" s="1" t="s">
        <v>343</v>
      </c>
      <c r="C182" s="1" t="s">
        <v>344</v>
      </c>
      <c r="D182" t="b">
        <f ca="1">IF(A182="","",[1]!s_techanal_rcnthigh(B182,$B$2,1,3))</f>
        <v>0</v>
      </c>
      <c r="E182">
        <f ca="1">IF(A182="","",COUNTIF(D$6:D182,"True"))</f>
        <v>0</v>
      </c>
      <c r="F182" t="str">
        <f t="shared" si="2"/>
        <v>000625.SZ</v>
      </c>
    </row>
    <row r="183" spans="1:6" x14ac:dyDescent="0.15">
      <c r="A183" s="2">
        <v>46089</v>
      </c>
      <c r="B183" s="1" t="s">
        <v>345</v>
      </c>
      <c r="C183" s="1" t="s">
        <v>346</v>
      </c>
      <c r="D183" t="b">
        <f ca="1">IF(A183="","",[1]!s_techanal_rcnthigh(B183,$B$2,1,3))</f>
        <v>0</v>
      </c>
      <c r="E183">
        <f ca="1">IF(A183="","",COUNTIF(D$6:D183,"True"))</f>
        <v>0</v>
      </c>
      <c r="F183" t="str">
        <f t="shared" si="2"/>
        <v>000626.SZ</v>
      </c>
    </row>
    <row r="184" spans="1:6" x14ac:dyDescent="0.15">
      <c r="A184" s="2">
        <v>46089</v>
      </c>
      <c r="B184" s="1" t="s">
        <v>347</v>
      </c>
      <c r="C184" s="1" t="s">
        <v>348</v>
      </c>
      <c r="D184" t="b">
        <f ca="1">IF(A184="","",[1]!s_techanal_rcnthigh(B184,$B$2,1,3))</f>
        <v>0</v>
      </c>
      <c r="E184">
        <f ca="1">IF(A184="","",COUNTIF(D$6:D184,"True"))</f>
        <v>0</v>
      </c>
      <c r="F184" t="str">
        <f t="shared" si="2"/>
        <v>000628.SZ</v>
      </c>
    </row>
    <row r="185" spans="1:6" x14ac:dyDescent="0.15">
      <c r="A185" s="2">
        <v>46089</v>
      </c>
      <c r="B185" s="1" t="s">
        <v>349</v>
      </c>
      <c r="C185" s="1" t="s">
        <v>350</v>
      </c>
      <c r="D185" t="b">
        <f ca="1">IF(A185="","",[1]!s_techanal_rcnthigh(B185,$B$2,1,3))</f>
        <v>0</v>
      </c>
      <c r="E185">
        <f ca="1">IF(A185="","",COUNTIF(D$6:D185,"True"))</f>
        <v>0</v>
      </c>
      <c r="F185" t="str">
        <f t="shared" si="2"/>
        <v>000629.SZ</v>
      </c>
    </row>
    <row r="186" spans="1:6" x14ac:dyDescent="0.15">
      <c r="A186" s="2">
        <v>46089</v>
      </c>
      <c r="B186" s="1" t="s">
        <v>351</v>
      </c>
      <c r="C186" s="1" t="s">
        <v>352</v>
      </c>
      <c r="D186" t="b">
        <f ca="1">IF(A186="","",[1]!s_techanal_rcnthigh(B186,$B$2,1,3))</f>
        <v>0</v>
      </c>
      <c r="E186">
        <f ca="1">IF(A186="","",COUNTIF(D$6:D186,"True"))</f>
        <v>0</v>
      </c>
      <c r="F186" t="str">
        <f t="shared" si="2"/>
        <v>000630.SZ</v>
      </c>
    </row>
    <row r="187" spans="1:6" x14ac:dyDescent="0.15">
      <c r="A187" s="2">
        <v>46089</v>
      </c>
      <c r="B187" s="1" t="s">
        <v>353</v>
      </c>
      <c r="C187" s="1" t="s">
        <v>10034</v>
      </c>
      <c r="D187" t="b">
        <f ca="1">IF(A187="","",[1]!s_techanal_rcnthigh(B187,$B$2,1,3))</f>
        <v>0</v>
      </c>
      <c r="E187">
        <f ca="1">IF(A187="","",COUNTIF(D$6:D187,"True"))</f>
        <v>0</v>
      </c>
      <c r="F187" t="str">
        <f t="shared" si="2"/>
        <v>000631.SZ</v>
      </c>
    </row>
    <row r="188" spans="1:6" x14ac:dyDescent="0.15">
      <c r="A188" s="2">
        <v>46089</v>
      </c>
      <c r="B188" s="1" t="s">
        <v>354</v>
      </c>
      <c r="C188" s="1" t="s">
        <v>355</v>
      </c>
      <c r="D188" t="b">
        <f ca="1">IF(A188="","",[1]!s_techanal_rcnthigh(B188,$B$2,1,3))</f>
        <v>0</v>
      </c>
      <c r="E188">
        <f ca="1">IF(A188="","",COUNTIF(D$6:D188,"True"))</f>
        <v>0</v>
      </c>
      <c r="F188" t="str">
        <f t="shared" si="2"/>
        <v>000632.SZ</v>
      </c>
    </row>
    <row r="189" spans="1:6" x14ac:dyDescent="0.15">
      <c r="A189" s="2">
        <v>46089</v>
      </c>
      <c r="B189" s="1" t="s">
        <v>356</v>
      </c>
      <c r="C189" s="1" t="s">
        <v>357</v>
      </c>
      <c r="D189" t="b">
        <f ca="1">IF(A189="","",[1]!s_techanal_rcnthigh(B189,$B$2,1,3))</f>
        <v>0</v>
      </c>
      <c r="E189">
        <f ca="1">IF(A189="","",COUNTIF(D$6:D189,"True"))</f>
        <v>0</v>
      </c>
      <c r="F189" t="str">
        <f t="shared" si="2"/>
        <v>000633.SZ</v>
      </c>
    </row>
    <row r="190" spans="1:6" x14ac:dyDescent="0.15">
      <c r="A190" s="2">
        <v>46089</v>
      </c>
      <c r="B190" s="1" t="s">
        <v>358</v>
      </c>
      <c r="C190" s="1" t="s">
        <v>359</v>
      </c>
      <c r="D190" t="b">
        <f ca="1">IF(A190="","",[1]!s_techanal_rcnthigh(B190,$B$2,1,3))</f>
        <v>0</v>
      </c>
      <c r="E190">
        <f ca="1">IF(A190="","",COUNTIF(D$6:D190,"True"))</f>
        <v>0</v>
      </c>
      <c r="F190" t="str">
        <f t="shared" si="2"/>
        <v>000635.SZ</v>
      </c>
    </row>
    <row r="191" spans="1:6" x14ac:dyDescent="0.15">
      <c r="A191" s="2">
        <v>46089</v>
      </c>
      <c r="B191" s="1" t="s">
        <v>360</v>
      </c>
      <c r="C191" s="1" t="s">
        <v>361</v>
      </c>
      <c r="D191" t="b">
        <f ca="1">IF(A191="","",[1]!s_techanal_rcnthigh(B191,$B$2,1,3))</f>
        <v>0</v>
      </c>
      <c r="E191">
        <f ca="1">IF(A191="","",COUNTIF(D$6:D191,"True"))</f>
        <v>0</v>
      </c>
      <c r="F191" t="str">
        <f t="shared" si="2"/>
        <v>000636.SZ</v>
      </c>
    </row>
    <row r="192" spans="1:6" x14ac:dyDescent="0.15">
      <c r="A192" s="2">
        <v>46089</v>
      </c>
      <c r="B192" s="1" t="s">
        <v>362</v>
      </c>
      <c r="C192" s="1" t="s">
        <v>10035</v>
      </c>
      <c r="D192" t="b">
        <f ca="1">IF(A192="","",[1]!s_techanal_rcnthigh(B192,$B$2,1,3))</f>
        <v>0</v>
      </c>
      <c r="E192">
        <f ca="1">IF(A192="","",COUNTIF(D$6:D192,"True"))</f>
        <v>0</v>
      </c>
      <c r="F192" t="str">
        <f t="shared" si="2"/>
        <v>000637.SZ</v>
      </c>
    </row>
    <row r="193" spans="1:6" x14ac:dyDescent="0.15">
      <c r="A193" s="2">
        <v>46089</v>
      </c>
      <c r="B193" s="1" t="s">
        <v>363</v>
      </c>
      <c r="C193" s="1" t="s">
        <v>10036</v>
      </c>
      <c r="D193" t="b">
        <f ca="1">IF(A193="","",[1]!s_techanal_rcnthigh(B193,$B$2,1,3))</f>
        <v>0</v>
      </c>
      <c r="E193">
        <f ca="1">IF(A193="","",COUNTIF(D$6:D193,"True"))</f>
        <v>0</v>
      </c>
      <c r="F193" t="str">
        <f t="shared" si="2"/>
        <v>000638.SZ</v>
      </c>
    </row>
    <row r="194" spans="1:6" x14ac:dyDescent="0.15">
      <c r="A194" s="2">
        <v>46089</v>
      </c>
      <c r="B194" s="1" t="s">
        <v>364</v>
      </c>
      <c r="C194" s="1" t="s">
        <v>365</v>
      </c>
      <c r="D194" t="b">
        <f ca="1">IF(A194="","",[1]!s_techanal_rcnthigh(B194,$B$2,1,3))</f>
        <v>0</v>
      </c>
      <c r="E194">
        <f ca="1">IF(A194="","",COUNTIF(D$6:D194,"True"))</f>
        <v>0</v>
      </c>
      <c r="F194" t="str">
        <f t="shared" si="2"/>
        <v>000639.SZ</v>
      </c>
    </row>
    <row r="195" spans="1:6" x14ac:dyDescent="0.15">
      <c r="A195" s="2">
        <v>46089</v>
      </c>
      <c r="B195" s="1" t="s">
        <v>366</v>
      </c>
      <c r="C195" s="1" t="s">
        <v>367</v>
      </c>
      <c r="D195" t="b">
        <f ca="1">IF(A195="","",[1]!s_techanal_rcnthigh(B195,$B$2,1,3))</f>
        <v>0</v>
      </c>
      <c r="E195">
        <f ca="1">IF(A195="","",COUNTIF(D$6:D195,"True"))</f>
        <v>0</v>
      </c>
      <c r="F195" t="str">
        <f t="shared" si="2"/>
        <v>000650.SZ</v>
      </c>
    </row>
    <row r="196" spans="1:6" x14ac:dyDescent="0.15">
      <c r="A196" s="2">
        <v>46089</v>
      </c>
      <c r="B196" s="1" t="s">
        <v>368</v>
      </c>
      <c r="C196" s="1" t="s">
        <v>369</v>
      </c>
      <c r="D196" t="b">
        <f ca="1">IF(A196="","",[1]!s_techanal_rcnthigh(B196,$B$2,1,3))</f>
        <v>0</v>
      </c>
      <c r="E196">
        <f ca="1">IF(A196="","",COUNTIF(D$6:D196,"True"))</f>
        <v>0</v>
      </c>
      <c r="F196" t="str">
        <f t="shared" si="2"/>
        <v>000651.SZ</v>
      </c>
    </row>
    <row r="197" spans="1:6" x14ac:dyDescent="0.15">
      <c r="A197" s="2">
        <v>46089</v>
      </c>
      <c r="B197" s="1" t="s">
        <v>370</v>
      </c>
      <c r="C197" s="1" t="s">
        <v>371</v>
      </c>
      <c r="D197" t="b">
        <f ca="1">IF(A197="","",[1]!s_techanal_rcnthigh(B197,$B$2,1,3))</f>
        <v>0</v>
      </c>
      <c r="E197">
        <f ca="1">IF(A197="","",COUNTIF(D$6:D197,"True"))</f>
        <v>0</v>
      </c>
      <c r="F197" t="str">
        <f t="shared" si="2"/>
        <v>000652.SZ</v>
      </c>
    </row>
    <row r="198" spans="1:6" x14ac:dyDescent="0.15">
      <c r="A198" s="2">
        <v>46089</v>
      </c>
      <c r="B198" s="1" t="s">
        <v>372</v>
      </c>
      <c r="C198" s="1" t="s">
        <v>373</v>
      </c>
      <c r="D198" t="b">
        <f ca="1">IF(A198="","",[1]!s_techanal_rcnthigh(B198,$B$2,1,3))</f>
        <v>0</v>
      </c>
      <c r="E198">
        <f ca="1">IF(A198="","",COUNTIF(D$6:D198,"True"))</f>
        <v>0</v>
      </c>
      <c r="F198" t="str">
        <f t="shared" ref="F198:F261" si="3">IF(B198="","",B198)</f>
        <v>000655.SZ</v>
      </c>
    </row>
    <row r="199" spans="1:6" x14ac:dyDescent="0.15">
      <c r="A199" s="2">
        <v>46089</v>
      </c>
      <c r="B199" s="1" t="s">
        <v>374</v>
      </c>
      <c r="C199" s="1" t="s">
        <v>10037</v>
      </c>
      <c r="D199" t="b">
        <f ca="1">IF(A199="","",[1]!s_techanal_rcnthigh(B199,$B$2,1,3))</f>
        <v>0</v>
      </c>
      <c r="E199">
        <f ca="1">IF(A199="","",COUNTIF(D$6:D199,"True"))</f>
        <v>0</v>
      </c>
      <c r="F199" t="str">
        <f t="shared" si="3"/>
        <v>000656.SZ</v>
      </c>
    </row>
    <row r="200" spans="1:6" x14ac:dyDescent="0.15">
      <c r="A200" s="2">
        <v>46089</v>
      </c>
      <c r="B200" s="1" t="s">
        <v>375</v>
      </c>
      <c r="C200" s="1" t="s">
        <v>376</v>
      </c>
      <c r="D200" t="b">
        <f ca="1">IF(A200="","",[1]!s_techanal_rcnthigh(B200,$B$2,1,3))</f>
        <v>0</v>
      </c>
      <c r="E200">
        <f ca="1">IF(A200="","",COUNTIF(D$6:D200,"True"))</f>
        <v>0</v>
      </c>
      <c r="F200" t="str">
        <f t="shared" si="3"/>
        <v>000657.SZ</v>
      </c>
    </row>
    <row r="201" spans="1:6" x14ac:dyDescent="0.15">
      <c r="A201" s="2">
        <v>46089</v>
      </c>
      <c r="B201" s="1" t="s">
        <v>377</v>
      </c>
      <c r="C201" s="1" t="s">
        <v>378</v>
      </c>
      <c r="D201" t="b">
        <f ca="1">IF(A201="","",[1]!s_techanal_rcnthigh(B201,$B$2,1,3))</f>
        <v>0</v>
      </c>
      <c r="E201">
        <f ca="1">IF(A201="","",COUNTIF(D$6:D201,"True"))</f>
        <v>0</v>
      </c>
      <c r="F201" t="str">
        <f t="shared" si="3"/>
        <v>000659.SZ</v>
      </c>
    </row>
    <row r="202" spans="1:6" x14ac:dyDescent="0.15">
      <c r="A202" s="2">
        <v>46089</v>
      </c>
      <c r="B202" s="1" t="s">
        <v>379</v>
      </c>
      <c r="C202" s="1" t="s">
        <v>380</v>
      </c>
      <c r="D202" t="b">
        <f ca="1">IF(A202="","",[1]!s_techanal_rcnthigh(B202,$B$2,1,3))</f>
        <v>0</v>
      </c>
      <c r="E202">
        <f ca="1">IF(A202="","",COUNTIF(D$6:D202,"True"))</f>
        <v>0</v>
      </c>
      <c r="F202" t="str">
        <f t="shared" si="3"/>
        <v>000661.SZ</v>
      </c>
    </row>
    <row r="203" spans="1:6" x14ac:dyDescent="0.15">
      <c r="A203" s="2">
        <v>46089</v>
      </c>
      <c r="B203" s="1" t="s">
        <v>381</v>
      </c>
      <c r="C203" s="1" t="s">
        <v>382</v>
      </c>
      <c r="D203" t="b">
        <f ca="1">IF(A203="","",[1]!s_techanal_rcnthigh(B203,$B$2,1,3))</f>
        <v>0</v>
      </c>
      <c r="E203">
        <f ca="1">IF(A203="","",COUNTIF(D$6:D203,"True"))</f>
        <v>0</v>
      </c>
      <c r="F203" t="str">
        <f t="shared" si="3"/>
        <v>000663.SZ</v>
      </c>
    </row>
    <row r="204" spans="1:6" x14ac:dyDescent="0.15">
      <c r="A204" s="2">
        <v>46089</v>
      </c>
      <c r="B204" s="1" t="s">
        <v>383</v>
      </c>
      <c r="C204" s="1" t="s">
        <v>384</v>
      </c>
      <c r="D204" t="b">
        <f ca="1">IF(A204="","",[1]!s_techanal_rcnthigh(B204,$B$2,1,3))</f>
        <v>0</v>
      </c>
      <c r="E204">
        <f ca="1">IF(A204="","",COUNTIF(D$6:D204,"True"))</f>
        <v>0</v>
      </c>
      <c r="F204" t="str">
        <f t="shared" si="3"/>
        <v>000665.SZ</v>
      </c>
    </row>
    <row r="205" spans="1:6" x14ac:dyDescent="0.15">
      <c r="A205" s="2">
        <v>46089</v>
      </c>
      <c r="B205" s="1" t="s">
        <v>385</v>
      </c>
      <c r="C205" s="1" t="s">
        <v>10038</v>
      </c>
      <c r="D205" t="b">
        <f ca="1">IF(A205="","",[1]!s_techanal_rcnthigh(B205,$B$2,1,3))</f>
        <v>0</v>
      </c>
      <c r="E205">
        <f ca="1">IF(A205="","",COUNTIF(D$6:D205,"True"))</f>
        <v>0</v>
      </c>
      <c r="F205" t="str">
        <f t="shared" si="3"/>
        <v>000668.SZ</v>
      </c>
    </row>
    <row r="206" spans="1:6" x14ac:dyDescent="0.15">
      <c r="A206" s="2">
        <v>46089</v>
      </c>
      <c r="B206" s="1" t="s">
        <v>386</v>
      </c>
      <c r="C206" s="1" t="s">
        <v>387</v>
      </c>
      <c r="D206" t="b">
        <f ca="1">IF(A206="","",[1]!s_techanal_rcnthigh(B206,$B$2,1,3))</f>
        <v>0</v>
      </c>
      <c r="E206">
        <f ca="1">IF(A206="","",COUNTIF(D$6:D206,"True"))</f>
        <v>0</v>
      </c>
      <c r="F206" t="str">
        <f t="shared" si="3"/>
        <v>000669.SZ</v>
      </c>
    </row>
    <row r="207" spans="1:6" x14ac:dyDescent="0.15">
      <c r="A207" s="2">
        <v>46089</v>
      </c>
      <c r="B207" s="1" t="s">
        <v>388</v>
      </c>
      <c r="C207" s="1" t="s">
        <v>389</v>
      </c>
      <c r="D207" t="b">
        <f ca="1">IF(A207="","",[1]!s_techanal_rcnthigh(B207,$B$2,1,3))</f>
        <v>0</v>
      </c>
      <c r="E207">
        <f ca="1">IF(A207="","",COUNTIF(D$6:D207,"True"))</f>
        <v>0</v>
      </c>
      <c r="F207" t="str">
        <f t="shared" si="3"/>
        <v>000670.SZ</v>
      </c>
    </row>
    <row r="208" spans="1:6" x14ac:dyDescent="0.15">
      <c r="A208" s="2">
        <v>46089</v>
      </c>
      <c r="B208" s="1" t="s">
        <v>390</v>
      </c>
      <c r="C208" s="1" t="s">
        <v>391</v>
      </c>
      <c r="D208" t="b">
        <f ca="1">IF(A208="","",[1]!s_techanal_rcnthigh(B208,$B$2,1,3))</f>
        <v>0</v>
      </c>
      <c r="E208">
        <f ca="1">IF(A208="","",COUNTIF(D$6:D208,"True"))</f>
        <v>0</v>
      </c>
      <c r="F208" t="str">
        <f t="shared" si="3"/>
        <v>000672.SZ</v>
      </c>
    </row>
    <row r="209" spans="1:6" x14ac:dyDescent="0.15">
      <c r="A209" s="2">
        <v>46089</v>
      </c>
      <c r="B209" s="1" t="s">
        <v>392</v>
      </c>
      <c r="C209" s="1" t="s">
        <v>393</v>
      </c>
      <c r="D209" t="b">
        <f ca="1">IF(A209="","",[1]!s_techanal_rcnthigh(B209,$B$2,1,3))</f>
        <v>0</v>
      </c>
      <c r="E209">
        <f ca="1">IF(A209="","",COUNTIF(D$6:D209,"True"))</f>
        <v>0</v>
      </c>
      <c r="F209" t="str">
        <f t="shared" si="3"/>
        <v>000676.SZ</v>
      </c>
    </row>
    <row r="210" spans="1:6" x14ac:dyDescent="0.15">
      <c r="A210" s="2">
        <v>46089</v>
      </c>
      <c r="B210" s="1" t="s">
        <v>394</v>
      </c>
      <c r="C210" s="1" t="s">
        <v>395</v>
      </c>
      <c r="D210" t="b">
        <f ca="1">IF(A210="","",[1]!s_techanal_rcnthigh(B210,$B$2,1,3))</f>
        <v>0</v>
      </c>
      <c r="E210">
        <f ca="1">IF(A210="","",COUNTIF(D$6:D210,"True"))</f>
        <v>0</v>
      </c>
      <c r="F210" t="str">
        <f t="shared" si="3"/>
        <v>000677.SZ</v>
      </c>
    </row>
    <row r="211" spans="1:6" x14ac:dyDescent="0.15">
      <c r="A211" s="2">
        <v>46089</v>
      </c>
      <c r="B211" s="1" t="s">
        <v>396</v>
      </c>
      <c r="C211" s="1" t="s">
        <v>397</v>
      </c>
      <c r="D211" t="b">
        <f ca="1">IF(A211="","",[1]!s_techanal_rcnthigh(B211,$B$2,1,3))</f>
        <v>0</v>
      </c>
      <c r="E211">
        <f ca="1">IF(A211="","",COUNTIF(D$6:D211,"True"))</f>
        <v>0</v>
      </c>
      <c r="F211" t="str">
        <f t="shared" si="3"/>
        <v>000678.SZ</v>
      </c>
    </row>
    <row r="212" spans="1:6" x14ac:dyDescent="0.15">
      <c r="A212" s="2">
        <v>46089</v>
      </c>
      <c r="B212" s="1" t="s">
        <v>398</v>
      </c>
      <c r="C212" s="1" t="s">
        <v>399</v>
      </c>
      <c r="D212" t="b">
        <f ca="1">IF(A212="","",[1]!s_techanal_rcnthigh(B212,$B$2,1,3))</f>
        <v>0</v>
      </c>
      <c r="E212">
        <f ca="1">IF(A212="","",COUNTIF(D$6:D212,"True"))</f>
        <v>0</v>
      </c>
      <c r="F212" t="str">
        <f t="shared" si="3"/>
        <v>000679.SZ</v>
      </c>
    </row>
    <row r="213" spans="1:6" x14ac:dyDescent="0.15">
      <c r="A213" s="2">
        <v>46089</v>
      </c>
      <c r="B213" s="1" t="s">
        <v>400</v>
      </c>
      <c r="C213" s="1" t="s">
        <v>401</v>
      </c>
      <c r="D213" t="b">
        <f ca="1">IF(A213="","",[1]!s_techanal_rcnthigh(B213,$B$2,1,3))</f>
        <v>0</v>
      </c>
      <c r="E213">
        <f ca="1">IF(A213="","",COUNTIF(D$6:D213,"True"))</f>
        <v>0</v>
      </c>
      <c r="F213" t="str">
        <f t="shared" si="3"/>
        <v>000680.SZ</v>
      </c>
    </row>
    <row r="214" spans="1:6" x14ac:dyDescent="0.15">
      <c r="A214" s="2">
        <v>46089</v>
      </c>
      <c r="B214" s="1" t="s">
        <v>402</v>
      </c>
      <c r="C214" s="1" t="s">
        <v>403</v>
      </c>
      <c r="D214" t="b">
        <f ca="1">IF(A214="","",[1]!s_techanal_rcnthigh(B214,$B$2,1,3))</f>
        <v>0</v>
      </c>
      <c r="E214">
        <f ca="1">IF(A214="","",COUNTIF(D$6:D214,"True"))</f>
        <v>0</v>
      </c>
      <c r="F214" t="str">
        <f t="shared" si="3"/>
        <v>000681.SZ</v>
      </c>
    </row>
    <row r="215" spans="1:6" x14ac:dyDescent="0.15">
      <c r="A215" s="2">
        <v>46089</v>
      </c>
      <c r="B215" s="1" t="s">
        <v>404</v>
      </c>
      <c r="C215" s="1" t="s">
        <v>405</v>
      </c>
      <c r="D215" t="b">
        <f ca="1">IF(A215="","",[1]!s_techanal_rcnthigh(B215,$B$2,1,3))</f>
        <v>0</v>
      </c>
      <c r="E215">
        <f ca="1">IF(A215="","",COUNTIF(D$6:D215,"True"))</f>
        <v>0</v>
      </c>
      <c r="F215" t="str">
        <f t="shared" si="3"/>
        <v>000682.SZ</v>
      </c>
    </row>
    <row r="216" spans="1:6" x14ac:dyDescent="0.15">
      <c r="A216" s="2">
        <v>46089</v>
      </c>
      <c r="B216" s="1" t="s">
        <v>406</v>
      </c>
      <c r="C216" s="1" t="s">
        <v>10039</v>
      </c>
      <c r="D216" t="b">
        <f ca="1">IF(A216="","",[1]!s_techanal_rcnthigh(B216,$B$2,1,3))</f>
        <v>0</v>
      </c>
      <c r="E216">
        <f ca="1">IF(A216="","",COUNTIF(D$6:D216,"True"))</f>
        <v>0</v>
      </c>
      <c r="F216" t="str">
        <f t="shared" si="3"/>
        <v>000683.SZ</v>
      </c>
    </row>
    <row r="217" spans="1:6" x14ac:dyDescent="0.15">
      <c r="A217" s="2">
        <v>46089</v>
      </c>
      <c r="B217" s="1" t="s">
        <v>407</v>
      </c>
      <c r="C217" s="1" t="s">
        <v>408</v>
      </c>
      <c r="D217" t="b">
        <f ca="1">IF(A217="","",[1]!s_techanal_rcnthigh(B217,$B$2,1,3))</f>
        <v>0</v>
      </c>
      <c r="E217">
        <f ca="1">IF(A217="","",COUNTIF(D$6:D217,"True"))</f>
        <v>0</v>
      </c>
      <c r="F217" t="str">
        <f t="shared" si="3"/>
        <v>000685.SZ</v>
      </c>
    </row>
    <row r="218" spans="1:6" x14ac:dyDescent="0.15">
      <c r="A218" s="2">
        <v>46089</v>
      </c>
      <c r="B218" s="1" t="s">
        <v>409</v>
      </c>
      <c r="C218" s="1" t="s">
        <v>410</v>
      </c>
      <c r="D218" t="b">
        <f ca="1">IF(A218="","",[1]!s_techanal_rcnthigh(B218,$B$2,1,3))</f>
        <v>0</v>
      </c>
      <c r="E218">
        <f ca="1">IF(A218="","",COUNTIF(D$6:D218,"True"))</f>
        <v>0</v>
      </c>
      <c r="F218" t="str">
        <f t="shared" si="3"/>
        <v>000686.SZ</v>
      </c>
    </row>
    <row r="219" spans="1:6" x14ac:dyDescent="0.15">
      <c r="A219" s="2">
        <v>46089</v>
      </c>
      <c r="B219" s="1" t="s">
        <v>411</v>
      </c>
      <c r="C219" s="1" t="s">
        <v>412</v>
      </c>
      <c r="D219" t="b">
        <f ca="1">IF(A219="","",[1]!s_techanal_rcnthigh(B219,$B$2,1,3))</f>
        <v>0</v>
      </c>
      <c r="E219">
        <f ca="1">IF(A219="","",COUNTIF(D$6:D219,"True"))</f>
        <v>0</v>
      </c>
      <c r="F219" t="str">
        <f t="shared" si="3"/>
        <v>000688.SZ</v>
      </c>
    </row>
    <row r="220" spans="1:6" x14ac:dyDescent="0.15">
      <c r="A220" s="2">
        <v>46089</v>
      </c>
      <c r="B220" s="1" t="s">
        <v>413</v>
      </c>
      <c r="C220" s="1" t="s">
        <v>414</v>
      </c>
      <c r="D220" t="b">
        <f ca="1">IF(A220="","",[1]!s_techanal_rcnthigh(B220,$B$2,1,3))</f>
        <v>0</v>
      </c>
      <c r="E220">
        <f ca="1">IF(A220="","",COUNTIF(D$6:D220,"True"))</f>
        <v>0</v>
      </c>
      <c r="F220" t="str">
        <f t="shared" si="3"/>
        <v>000690.SZ</v>
      </c>
    </row>
    <row r="221" spans="1:6" x14ac:dyDescent="0.15">
      <c r="A221" s="2">
        <v>46089</v>
      </c>
      <c r="B221" s="1" t="s">
        <v>415</v>
      </c>
      <c r="C221" s="1" t="s">
        <v>10040</v>
      </c>
      <c r="D221" t="b">
        <f ca="1">IF(A221="","",[1]!s_techanal_rcnthigh(B221,$B$2,1,3))</f>
        <v>0</v>
      </c>
      <c r="E221">
        <f ca="1">IF(A221="","",COUNTIF(D$6:D221,"True"))</f>
        <v>0</v>
      </c>
      <c r="F221" t="str">
        <f t="shared" si="3"/>
        <v>000691.SZ</v>
      </c>
    </row>
    <row r="222" spans="1:6" x14ac:dyDescent="0.15">
      <c r="A222" s="2">
        <v>46089</v>
      </c>
      <c r="B222" s="1" t="s">
        <v>416</v>
      </c>
      <c r="C222" s="1" t="s">
        <v>10041</v>
      </c>
      <c r="D222" t="b">
        <f ca="1">IF(A222="","",[1]!s_techanal_rcnthigh(B222,$B$2,1,3))</f>
        <v>0</v>
      </c>
      <c r="E222">
        <f ca="1">IF(A222="","",COUNTIF(D$6:D222,"True"))</f>
        <v>0</v>
      </c>
      <c r="F222" t="str">
        <f t="shared" si="3"/>
        <v>000692.SZ</v>
      </c>
    </row>
    <row r="223" spans="1:6" x14ac:dyDescent="0.15">
      <c r="A223" s="2">
        <v>46089</v>
      </c>
      <c r="B223" s="1" t="s">
        <v>417</v>
      </c>
      <c r="C223" s="1" t="s">
        <v>418</v>
      </c>
      <c r="D223" t="b">
        <f ca="1">IF(A223="","",[1]!s_techanal_rcnthigh(B223,$B$2,1,3))</f>
        <v>0</v>
      </c>
      <c r="E223">
        <f ca="1">IF(A223="","",COUNTIF(D$6:D223,"True"))</f>
        <v>0</v>
      </c>
      <c r="F223" t="str">
        <f t="shared" si="3"/>
        <v>000695.SZ</v>
      </c>
    </row>
    <row r="224" spans="1:6" x14ac:dyDescent="0.15">
      <c r="A224" s="2">
        <v>46089</v>
      </c>
      <c r="B224" s="1" t="s">
        <v>419</v>
      </c>
      <c r="C224" s="1" t="s">
        <v>10042</v>
      </c>
      <c r="D224" t="b">
        <f ca="1">IF(A224="","",[1]!s_techanal_rcnthigh(B224,$B$2,1,3))</f>
        <v>0</v>
      </c>
      <c r="E224">
        <f ca="1">IF(A224="","",COUNTIF(D$6:D224,"True"))</f>
        <v>0</v>
      </c>
      <c r="F224" t="str">
        <f t="shared" si="3"/>
        <v>000697.SZ</v>
      </c>
    </row>
    <row r="225" spans="1:6" x14ac:dyDescent="0.15">
      <c r="A225" s="2">
        <v>46089</v>
      </c>
      <c r="B225" s="1" t="s">
        <v>420</v>
      </c>
      <c r="C225" s="1" t="s">
        <v>10043</v>
      </c>
      <c r="D225" t="b">
        <f ca="1">IF(A225="","",[1]!s_techanal_rcnthigh(B225,$B$2,1,3))</f>
        <v>0</v>
      </c>
      <c r="E225">
        <f ca="1">IF(A225="","",COUNTIF(D$6:D225,"True"))</f>
        <v>0</v>
      </c>
      <c r="F225" t="str">
        <f t="shared" si="3"/>
        <v>000698.SZ</v>
      </c>
    </row>
    <row r="226" spans="1:6" x14ac:dyDescent="0.15">
      <c r="A226" s="2">
        <v>46089</v>
      </c>
      <c r="B226" s="1" t="s">
        <v>421</v>
      </c>
      <c r="C226" s="1" t="s">
        <v>422</v>
      </c>
      <c r="D226" t="b">
        <f ca="1">IF(A226="","",[1]!s_techanal_rcnthigh(B226,$B$2,1,3))</f>
        <v>0</v>
      </c>
      <c r="E226">
        <f ca="1">IF(A226="","",COUNTIF(D$6:D226,"True"))</f>
        <v>0</v>
      </c>
      <c r="F226" t="str">
        <f t="shared" si="3"/>
        <v>000700.SZ</v>
      </c>
    </row>
    <row r="227" spans="1:6" x14ac:dyDescent="0.15">
      <c r="A227" s="2">
        <v>46089</v>
      </c>
      <c r="B227" s="1" t="s">
        <v>423</v>
      </c>
      <c r="C227" s="1" t="s">
        <v>424</v>
      </c>
      <c r="D227" t="b">
        <f ca="1">IF(A227="","",[1]!s_techanal_rcnthigh(B227,$B$2,1,3))</f>
        <v>0</v>
      </c>
      <c r="E227">
        <f ca="1">IF(A227="","",COUNTIF(D$6:D227,"True"))</f>
        <v>0</v>
      </c>
      <c r="F227" t="str">
        <f t="shared" si="3"/>
        <v>000701.SZ</v>
      </c>
    </row>
    <row r="228" spans="1:6" x14ac:dyDescent="0.15">
      <c r="A228" s="2">
        <v>46089</v>
      </c>
      <c r="B228" s="1" t="s">
        <v>425</v>
      </c>
      <c r="C228" s="1" t="s">
        <v>426</v>
      </c>
      <c r="D228" t="b">
        <f ca="1">IF(A228="","",[1]!s_techanal_rcnthigh(B228,$B$2,1,3))</f>
        <v>0</v>
      </c>
      <c r="E228">
        <f ca="1">IF(A228="","",COUNTIF(D$6:D228,"True"))</f>
        <v>0</v>
      </c>
      <c r="F228" t="str">
        <f t="shared" si="3"/>
        <v>000702.SZ</v>
      </c>
    </row>
    <row r="229" spans="1:6" x14ac:dyDescent="0.15">
      <c r="A229" s="2">
        <v>46089</v>
      </c>
      <c r="B229" s="1" t="s">
        <v>427</v>
      </c>
      <c r="C229" s="1" t="s">
        <v>428</v>
      </c>
      <c r="D229" t="b">
        <f ca="1">IF(A229="","",[1]!s_techanal_rcnthigh(B229,$B$2,1,3))</f>
        <v>0</v>
      </c>
      <c r="E229">
        <f ca="1">IF(A229="","",COUNTIF(D$6:D229,"True"))</f>
        <v>0</v>
      </c>
      <c r="F229" t="str">
        <f t="shared" si="3"/>
        <v>000703.SZ</v>
      </c>
    </row>
    <row r="230" spans="1:6" x14ac:dyDescent="0.15">
      <c r="A230" s="2">
        <v>46089</v>
      </c>
      <c r="B230" s="1" t="s">
        <v>429</v>
      </c>
      <c r="C230" s="1" t="s">
        <v>430</v>
      </c>
      <c r="D230" t="b">
        <f ca="1">IF(A230="","",[1]!s_techanal_rcnthigh(B230,$B$2,1,3))</f>
        <v>0</v>
      </c>
      <c r="E230">
        <f ca="1">IF(A230="","",COUNTIF(D$6:D230,"True"))</f>
        <v>0</v>
      </c>
      <c r="F230" t="str">
        <f t="shared" si="3"/>
        <v>000705.SZ</v>
      </c>
    </row>
    <row r="231" spans="1:6" x14ac:dyDescent="0.15">
      <c r="A231" s="2">
        <v>46089</v>
      </c>
      <c r="B231" s="1" t="s">
        <v>431</v>
      </c>
      <c r="C231" s="1" t="s">
        <v>432</v>
      </c>
      <c r="D231" t="b">
        <f ca="1">IF(A231="","",[1]!s_techanal_rcnthigh(B231,$B$2,1,3))</f>
        <v>0</v>
      </c>
      <c r="E231">
        <f ca="1">IF(A231="","",COUNTIF(D$6:D231,"True"))</f>
        <v>0</v>
      </c>
      <c r="F231" t="str">
        <f t="shared" si="3"/>
        <v>000707.SZ</v>
      </c>
    </row>
    <row r="232" spans="1:6" x14ac:dyDescent="0.15">
      <c r="A232" s="2">
        <v>46089</v>
      </c>
      <c r="B232" s="1" t="s">
        <v>433</v>
      </c>
      <c r="C232" s="1" t="s">
        <v>434</v>
      </c>
      <c r="D232" t="b">
        <f ca="1">IF(A232="","",[1]!s_techanal_rcnthigh(B232,$B$2,1,3))</f>
        <v>0</v>
      </c>
      <c r="E232">
        <f ca="1">IF(A232="","",COUNTIF(D$6:D232,"True"))</f>
        <v>0</v>
      </c>
      <c r="F232" t="str">
        <f t="shared" si="3"/>
        <v>000708.SZ</v>
      </c>
    </row>
    <row r="233" spans="1:6" x14ac:dyDescent="0.15">
      <c r="A233" s="2">
        <v>46089</v>
      </c>
      <c r="B233" s="1" t="s">
        <v>435</v>
      </c>
      <c r="C233" s="1" t="s">
        <v>436</v>
      </c>
      <c r="D233" t="b">
        <f ca="1">IF(A233="","",[1]!s_techanal_rcnthigh(B233,$B$2,1,3))</f>
        <v>0</v>
      </c>
      <c r="E233">
        <f ca="1">IF(A233="","",COUNTIF(D$6:D233,"True"))</f>
        <v>0</v>
      </c>
      <c r="F233" t="str">
        <f t="shared" si="3"/>
        <v>000709.SZ</v>
      </c>
    </row>
    <row r="234" spans="1:6" x14ac:dyDescent="0.15">
      <c r="A234" s="2">
        <v>46089</v>
      </c>
      <c r="B234" s="1" t="s">
        <v>437</v>
      </c>
      <c r="C234" s="1" t="s">
        <v>438</v>
      </c>
      <c r="D234" t="b">
        <f ca="1">IF(A234="","",[1]!s_techanal_rcnthigh(B234,$B$2,1,3))</f>
        <v>0</v>
      </c>
      <c r="E234">
        <f ca="1">IF(A234="","",COUNTIF(D$6:D234,"True"))</f>
        <v>0</v>
      </c>
      <c r="F234" t="str">
        <f t="shared" si="3"/>
        <v>000710.SZ</v>
      </c>
    </row>
    <row r="235" spans="1:6" x14ac:dyDescent="0.15">
      <c r="A235" s="2">
        <v>46089</v>
      </c>
      <c r="B235" s="1" t="s">
        <v>439</v>
      </c>
      <c r="C235" s="1" t="s">
        <v>10044</v>
      </c>
      <c r="D235" t="b">
        <f ca="1">IF(A235="","",[1]!s_techanal_rcnthigh(B235,$B$2,1,3))</f>
        <v>0</v>
      </c>
      <c r="E235">
        <f ca="1">IF(A235="","",COUNTIF(D$6:D235,"True"))</f>
        <v>0</v>
      </c>
      <c r="F235" t="str">
        <f t="shared" si="3"/>
        <v>000711.SZ</v>
      </c>
    </row>
    <row r="236" spans="1:6" x14ac:dyDescent="0.15">
      <c r="A236" s="2">
        <v>46089</v>
      </c>
      <c r="B236" s="1" t="s">
        <v>440</v>
      </c>
      <c r="C236" s="1" t="s">
        <v>441</v>
      </c>
      <c r="D236" t="b">
        <f ca="1">IF(A236="","",[1]!s_techanal_rcnthigh(B236,$B$2,1,3))</f>
        <v>0</v>
      </c>
      <c r="E236">
        <f ca="1">IF(A236="","",COUNTIF(D$6:D236,"True"))</f>
        <v>0</v>
      </c>
      <c r="F236" t="str">
        <f t="shared" si="3"/>
        <v>000712.SZ</v>
      </c>
    </row>
    <row r="237" spans="1:6" x14ac:dyDescent="0.15">
      <c r="A237" s="2">
        <v>46089</v>
      </c>
      <c r="B237" s="1" t="s">
        <v>442</v>
      </c>
      <c r="C237" s="1" t="s">
        <v>10045</v>
      </c>
      <c r="D237" t="b">
        <f ca="1">IF(A237="","",[1]!s_techanal_rcnthigh(B237,$B$2,1,3))</f>
        <v>0</v>
      </c>
      <c r="E237">
        <f ca="1">IF(A237="","",COUNTIF(D$6:D237,"True"))</f>
        <v>0</v>
      </c>
      <c r="F237" t="str">
        <f t="shared" si="3"/>
        <v>000713.SZ</v>
      </c>
    </row>
    <row r="238" spans="1:6" x14ac:dyDescent="0.15">
      <c r="A238" s="2">
        <v>46089</v>
      </c>
      <c r="B238" s="1" t="s">
        <v>443</v>
      </c>
      <c r="C238" s="1" t="s">
        <v>444</v>
      </c>
      <c r="D238" t="b">
        <f ca="1">IF(A238="","",[1]!s_techanal_rcnthigh(B238,$B$2,1,3))</f>
        <v>0</v>
      </c>
      <c r="E238">
        <f ca="1">IF(A238="","",COUNTIF(D$6:D238,"True"))</f>
        <v>0</v>
      </c>
      <c r="F238" t="str">
        <f t="shared" si="3"/>
        <v>000715.SZ</v>
      </c>
    </row>
    <row r="239" spans="1:6" x14ac:dyDescent="0.15">
      <c r="A239" s="2">
        <v>46089</v>
      </c>
      <c r="B239" s="1" t="s">
        <v>445</v>
      </c>
      <c r="C239" s="1" t="s">
        <v>446</v>
      </c>
      <c r="D239" t="b">
        <f ca="1">IF(A239="","",[1]!s_techanal_rcnthigh(B239,$B$2,1,3))</f>
        <v>0</v>
      </c>
      <c r="E239">
        <f ca="1">IF(A239="","",COUNTIF(D$6:D239,"True"))</f>
        <v>0</v>
      </c>
      <c r="F239" t="str">
        <f t="shared" si="3"/>
        <v>000716.SZ</v>
      </c>
    </row>
    <row r="240" spans="1:6" x14ac:dyDescent="0.15">
      <c r="A240" s="2">
        <v>46089</v>
      </c>
      <c r="B240" s="1" t="s">
        <v>447</v>
      </c>
      <c r="C240" s="1" t="s">
        <v>448</v>
      </c>
      <c r="D240" t="b">
        <f ca="1">IF(A240="","",[1]!s_techanal_rcnthigh(B240,$B$2,1,3))</f>
        <v>0</v>
      </c>
      <c r="E240">
        <f ca="1">IF(A240="","",COUNTIF(D$6:D240,"True"))</f>
        <v>0</v>
      </c>
      <c r="F240" t="str">
        <f t="shared" si="3"/>
        <v>000717.SZ</v>
      </c>
    </row>
    <row r="241" spans="1:6" x14ac:dyDescent="0.15">
      <c r="A241" s="2">
        <v>46089</v>
      </c>
      <c r="B241" s="1" t="s">
        <v>449</v>
      </c>
      <c r="C241" s="1" t="s">
        <v>450</v>
      </c>
      <c r="D241" t="b">
        <f ca="1">IF(A241="","",[1]!s_techanal_rcnthigh(B241,$B$2,1,3))</f>
        <v>0</v>
      </c>
      <c r="E241">
        <f ca="1">IF(A241="","",COUNTIF(D$6:D241,"True"))</f>
        <v>0</v>
      </c>
      <c r="F241" t="str">
        <f t="shared" si="3"/>
        <v>000718.SZ</v>
      </c>
    </row>
    <row r="242" spans="1:6" x14ac:dyDescent="0.15">
      <c r="A242" s="2">
        <v>46089</v>
      </c>
      <c r="B242" s="1" t="s">
        <v>451</v>
      </c>
      <c r="C242" s="1" t="s">
        <v>452</v>
      </c>
      <c r="D242" t="b">
        <f ca="1">IF(A242="","",[1]!s_techanal_rcnthigh(B242,$B$2,1,3))</f>
        <v>0</v>
      </c>
      <c r="E242">
        <f ca="1">IF(A242="","",COUNTIF(D$6:D242,"True"))</f>
        <v>0</v>
      </c>
      <c r="F242" t="str">
        <f t="shared" si="3"/>
        <v>000719.SZ</v>
      </c>
    </row>
    <row r="243" spans="1:6" x14ac:dyDescent="0.15">
      <c r="A243" s="2">
        <v>46089</v>
      </c>
      <c r="B243" s="1" t="s">
        <v>453</v>
      </c>
      <c r="C243" s="1" t="s">
        <v>454</v>
      </c>
      <c r="D243" t="b">
        <f ca="1">IF(A243="","",[1]!s_techanal_rcnthigh(B243,$B$2,1,3))</f>
        <v>0</v>
      </c>
      <c r="E243">
        <f ca="1">IF(A243="","",COUNTIF(D$6:D243,"True"))</f>
        <v>0</v>
      </c>
      <c r="F243" t="str">
        <f t="shared" si="3"/>
        <v>000720.SZ</v>
      </c>
    </row>
    <row r="244" spans="1:6" x14ac:dyDescent="0.15">
      <c r="A244" s="2">
        <v>46089</v>
      </c>
      <c r="B244" s="1" t="s">
        <v>455</v>
      </c>
      <c r="C244" s="1" t="s">
        <v>456</v>
      </c>
      <c r="D244" t="b">
        <f ca="1">IF(A244="","",[1]!s_techanal_rcnthigh(B244,$B$2,1,3))</f>
        <v>0</v>
      </c>
      <c r="E244">
        <f ca="1">IF(A244="","",COUNTIF(D$6:D244,"True"))</f>
        <v>0</v>
      </c>
      <c r="F244" t="str">
        <f t="shared" si="3"/>
        <v>000721.SZ</v>
      </c>
    </row>
    <row r="245" spans="1:6" x14ac:dyDescent="0.15">
      <c r="A245" s="2">
        <v>46089</v>
      </c>
      <c r="B245" s="1" t="s">
        <v>457</v>
      </c>
      <c r="C245" s="1" t="s">
        <v>458</v>
      </c>
      <c r="D245" t="b">
        <f ca="1">IF(A245="","",[1]!s_techanal_rcnthigh(B245,$B$2,1,3))</f>
        <v>0</v>
      </c>
      <c r="E245">
        <f ca="1">IF(A245="","",COUNTIF(D$6:D245,"True"))</f>
        <v>0</v>
      </c>
      <c r="F245" t="str">
        <f t="shared" si="3"/>
        <v>000722.SZ</v>
      </c>
    </row>
    <row r="246" spans="1:6" x14ac:dyDescent="0.15">
      <c r="A246" s="2">
        <v>46089</v>
      </c>
      <c r="B246" s="1" t="s">
        <v>459</v>
      </c>
      <c r="C246" s="1" t="s">
        <v>460</v>
      </c>
      <c r="D246" t="b">
        <f ca="1">IF(A246="","",[1]!s_techanal_rcnthigh(B246,$B$2,1,3))</f>
        <v>0</v>
      </c>
      <c r="E246">
        <f ca="1">IF(A246="","",COUNTIF(D$6:D246,"True"))</f>
        <v>0</v>
      </c>
      <c r="F246" t="str">
        <f t="shared" si="3"/>
        <v>000723.SZ</v>
      </c>
    </row>
    <row r="247" spans="1:6" x14ac:dyDescent="0.15">
      <c r="A247" s="2">
        <v>46089</v>
      </c>
      <c r="B247" s="1" t="s">
        <v>461</v>
      </c>
      <c r="C247" s="1" t="s">
        <v>462</v>
      </c>
      <c r="D247" t="b">
        <f ca="1">IF(A247="","",[1]!s_techanal_rcnthigh(B247,$B$2,1,3))</f>
        <v>0</v>
      </c>
      <c r="E247">
        <f ca="1">IF(A247="","",COUNTIF(D$6:D247,"True"))</f>
        <v>0</v>
      </c>
      <c r="F247" t="str">
        <f t="shared" si="3"/>
        <v>000725.SZ</v>
      </c>
    </row>
    <row r="248" spans="1:6" x14ac:dyDescent="0.15">
      <c r="A248" s="2">
        <v>46089</v>
      </c>
      <c r="B248" s="1" t="s">
        <v>463</v>
      </c>
      <c r="C248" s="1" t="s">
        <v>464</v>
      </c>
      <c r="D248" t="b">
        <f ca="1">IF(A248="","",[1]!s_techanal_rcnthigh(B248,$B$2,1,3))</f>
        <v>0</v>
      </c>
      <c r="E248">
        <f ca="1">IF(A248="","",COUNTIF(D$6:D248,"True"))</f>
        <v>0</v>
      </c>
      <c r="F248" t="str">
        <f t="shared" si="3"/>
        <v>000726.SZ</v>
      </c>
    </row>
    <row r="249" spans="1:6" x14ac:dyDescent="0.15">
      <c r="A249" s="2">
        <v>46089</v>
      </c>
      <c r="B249" s="1" t="s">
        <v>465</v>
      </c>
      <c r="C249" s="1" t="s">
        <v>466</v>
      </c>
      <c r="D249" t="b">
        <f ca="1">IF(A249="","",[1]!s_techanal_rcnthigh(B249,$B$2,1,3))</f>
        <v>0</v>
      </c>
      <c r="E249">
        <f ca="1">IF(A249="","",COUNTIF(D$6:D249,"True"))</f>
        <v>0</v>
      </c>
      <c r="F249" t="str">
        <f t="shared" si="3"/>
        <v>000727.SZ</v>
      </c>
    </row>
    <row r="250" spans="1:6" x14ac:dyDescent="0.15">
      <c r="A250" s="2">
        <v>46089</v>
      </c>
      <c r="B250" s="1" t="s">
        <v>467</v>
      </c>
      <c r="C250" s="1" t="s">
        <v>468</v>
      </c>
      <c r="D250" t="b">
        <f ca="1">IF(A250="","",[1]!s_techanal_rcnthigh(B250,$B$2,1,3))</f>
        <v>0</v>
      </c>
      <c r="E250">
        <f ca="1">IF(A250="","",COUNTIF(D$6:D250,"True"))</f>
        <v>0</v>
      </c>
      <c r="F250" t="str">
        <f t="shared" si="3"/>
        <v>000728.SZ</v>
      </c>
    </row>
    <row r="251" spans="1:6" x14ac:dyDescent="0.15">
      <c r="A251" s="2">
        <v>46089</v>
      </c>
      <c r="B251" s="1" t="s">
        <v>469</v>
      </c>
      <c r="C251" s="1" t="s">
        <v>470</v>
      </c>
      <c r="D251" t="b">
        <f ca="1">IF(A251="","",[1]!s_techanal_rcnthigh(B251,$B$2,1,3))</f>
        <v>0</v>
      </c>
      <c r="E251">
        <f ca="1">IF(A251="","",COUNTIF(D$6:D251,"True"))</f>
        <v>0</v>
      </c>
      <c r="F251" t="str">
        <f t="shared" si="3"/>
        <v>000729.SZ</v>
      </c>
    </row>
    <row r="252" spans="1:6" x14ac:dyDescent="0.15">
      <c r="A252" s="2">
        <v>46089</v>
      </c>
      <c r="B252" s="1" t="s">
        <v>471</v>
      </c>
      <c r="C252" s="1" t="s">
        <v>472</v>
      </c>
      <c r="D252" t="b">
        <f ca="1">IF(A252="","",[1]!s_techanal_rcnthigh(B252,$B$2,1,3))</f>
        <v>0</v>
      </c>
      <c r="E252">
        <f ca="1">IF(A252="","",COUNTIF(D$6:D252,"True"))</f>
        <v>0</v>
      </c>
      <c r="F252" t="str">
        <f t="shared" si="3"/>
        <v>000731.SZ</v>
      </c>
    </row>
    <row r="253" spans="1:6" x14ac:dyDescent="0.15">
      <c r="A253" s="2">
        <v>46089</v>
      </c>
      <c r="B253" s="1" t="s">
        <v>473</v>
      </c>
      <c r="C253" s="1" t="s">
        <v>474</v>
      </c>
      <c r="D253" t="b">
        <f ca="1">IF(A253="","",[1]!s_techanal_rcnthigh(B253,$B$2,1,3))</f>
        <v>0</v>
      </c>
      <c r="E253">
        <f ca="1">IF(A253="","",COUNTIF(D$6:D253,"True"))</f>
        <v>0</v>
      </c>
      <c r="F253" t="str">
        <f t="shared" si="3"/>
        <v>000733.SZ</v>
      </c>
    </row>
    <row r="254" spans="1:6" x14ac:dyDescent="0.15">
      <c r="A254" s="2">
        <v>46089</v>
      </c>
      <c r="B254" s="1" t="s">
        <v>475</v>
      </c>
      <c r="C254" s="1" t="s">
        <v>476</v>
      </c>
      <c r="D254" t="b">
        <f ca="1">IF(A254="","",[1]!s_techanal_rcnthigh(B254,$B$2,1,3))</f>
        <v>0</v>
      </c>
      <c r="E254">
        <f ca="1">IF(A254="","",COUNTIF(D$6:D254,"True"))</f>
        <v>0</v>
      </c>
      <c r="F254" t="str">
        <f t="shared" si="3"/>
        <v>000735.SZ</v>
      </c>
    </row>
    <row r="255" spans="1:6" x14ac:dyDescent="0.15">
      <c r="A255" s="2">
        <v>46089</v>
      </c>
      <c r="B255" s="1" t="s">
        <v>477</v>
      </c>
      <c r="C255" s="1" t="s">
        <v>10046</v>
      </c>
      <c r="D255" t="b">
        <f ca="1">IF(A255="","",[1]!s_techanal_rcnthigh(B255,$B$2,1,3))</f>
        <v>0</v>
      </c>
      <c r="E255">
        <f ca="1">IF(A255="","",COUNTIF(D$6:D255,"True"))</f>
        <v>0</v>
      </c>
      <c r="F255" t="str">
        <f t="shared" si="3"/>
        <v>000736.SZ</v>
      </c>
    </row>
    <row r="256" spans="1:6" x14ac:dyDescent="0.15">
      <c r="A256" s="2">
        <v>46089</v>
      </c>
      <c r="B256" s="1" t="s">
        <v>478</v>
      </c>
      <c r="C256" s="1" t="s">
        <v>479</v>
      </c>
      <c r="D256" t="b">
        <f ca="1">IF(A256="","",[1]!s_techanal_rcnthigh(B256,$B$2,1,3))</f>
        <v>0</v>
      </c>
      <c r="E256">
        <f ca="1">IF(A256="","",COUNTIF(D$6:D256,"True"))</f>
        <v>0</v>
      </c>
      <c r="F256" t="str">
        <f t="shared" si="3"/>
        <v>000737.SZ</v>
      </c>
    </row>
    <row r="257" spans="1:6" x14ac:dyDescent="0.15">
      <c r="A257" s="2">
        <v>46089</v>
      </c>
      <c r="B257" s="1" t="s">
        <v>480</v>
      </c>
      <c r="C257" s="1" t="s">
        <v>481</v>
      </c>
      <c r="D257" t="b">
        <f ca="1">IF(A257="","",[1]!s_techanal_rcnthigh(B257,$B$2,1,3))</f>
        <v>0</v>
      </c>
      <c r="E257">
        <f ca="1">IF(A257="","",COUNTIF(D$6:D257,"True"))</f>
        <v>0</v>
      </c>
      <c r="F257" t="str">
        <f t="shared" si="3"/>
        <v>000738.SZ</v>
      </c>
    </row>
    <row r="258" spans="1:6" x14ac:dyDescent="0.15">
      <c r="A258" s="2">
        <v>46089</v>
      </c>
      <c r="B258" s="1" t="s">
        <v>482</v>
      </c>
      <c r="C258" s="1" t="s">
        <v>483</v>
      </c>
      <c r="D258" t="b">
        <f ca="1">IF(A258="","",[1]!s_techanal_rcnthigh(B258,$B$2,1,3))</f>
        <v>0</v>
      </c>
      <c r="E258">
        <f ca="1">IF(A258="","",COUNTIF(D$6:D258,"True"))</f>
        <v>0</v>
      </c>
      <c r="F258" t="str">
        <f t="shared" si="3"/>
        <v>000739.SZ</v>
      </c>
    </row>
    <row r="259" spans="1:6" x14ac:dyDescent="0.15">
      <c r="A259" s="2">
        <v>46089</v>
      </c>
      <c r="B259" s="1" t="s">
        <v>484</v>
      </c>
      <c r="C259" s="1" t="s">
        <v>485</v>
      </c>
      <c r="D259" t="b">
        <f ca="1">IF(A259="","",[1]!s_techanal_rcnthigh(B259,$B$2,1,3))</f>
        <v>0</v>
      </c>
      <c r="E259">
        <f ca="1">IF(A259="","",COUNTIF(D$6:D259,"True"))</f>
        <v>0</v>
      </c>
      <c r="F259" t="str">
        <f t="shared" si="3"/>
        <v>000750.SZ</v>
      </c>
    </row>
    <row r="260" spans="1:6" x14ac:dyDescent="0.15">
      <c r="A260" s="2">
        <v>46089</v>
      </c>
      <c r="B260" s="1" t="s">
        <v>486</v>
      </c>
      <c r="C260" s="1" t="s">
        <v>487</v>
      </c>
      <c r="D260" t="b">
        <f ca="1">IF(A260="","",[1]!s_techanal_rcnthigh(B260,$B$2,1,3))</f>
        <v>0</v>
      </c>
      <c r="E260">
        <f ca="1">IF(A260="","",COUNTIF(D$6:D260,"True"))</f>
        <v>0</v>
      </c>
      <c r="F260" t="str">
        <f t="shared" si="3"/>
        <v>000751.SZ</v>
      </c>
    </row>
    <row r="261" spans="1:6" x14ac:dyDescent="0.15">
      <c r="A261" s="2">
        <v>46089</v>
      </c>
      <c r="B261" s="1" t="s">
        <v>488</v>
      </c>
      <c r="C261" s="1" t="s">
        <v>10047</v>
      </c>
      <c r="D261" t="b">
        <f ca="1">IF(A261="","",[1]!s_techanal_rcnthigh(B261,$B$2,1,3))</f>
        <v>0</v>
      </c>
      <c r="E261">
        <f ca="1">IF(A261="","",COUNTIF(D$6:D261,"True"))</f>
        <v>0</v>
      </c>
      <c r="F261" t="str">
        <f t="shared" si="3"/>
        <v>000752.SZ</v>
      </c>
    </row>
    <row r="262" spans="1:6" x14ac:dyDescent="0.15">
      <c r="A262" s="2">
        <v>46089</v>
      </c>
      <c r="B262" s="1" t="s">
        <v>489</v>
      </c>
      <c r="C262" s="1" t="s">
        <v>490</v>
      </c>
      <c r="D262" t="b">
        <f ca="1">IF(A262="","",[1]!s_techanal_rcnthigh(B262,$B$2,1,3))</f>
        <v>0</v>
      </c>
      <c r="E262">
        <f ca="1">IF(A262="","",COUNTIF(D$6:D262,"True"))</f>
        <v>0</v>
      </c>
      <c r="F262" t="str">
        <f t="shared" ref="F262:F325" si="4">IF(B262="","",B262)</f>
        <v>000753.SZ</v>
      </c>
    </row>
    <row r="263" spans="1:6" x14ac:dyDescent="0.15">
      <c r="A263" s="2">
        <v>46089</v>
      </c>
      <c r="B263" s="1" t="s">
        <v>491</v>
      </c>
      <c r="C263" s="1" t="s">
        <v>10048</v>
      </c>
      <c r="D263" t="b">
        <f ca="1">IF(A263="","",[1]!s_techanal_rcnthigh(B263,$B$2,1,3))</f>
        <v>0</v>
      </c>
      <c r="E263">
        <f ca="1">IF(A263="","",COUNTIF(D$6:D263,"True"))</f>
        <v>0</v>
      </c>
      <c r="F263" t="str">
        <f t="shared" si="4"/>
        <v>000755.SZ</v>
      </c>
    </row>
    <row r="264" spans="1:6" x14ac:dyDescent="0.15">
      <c r="A264" s="2">
        <v>46089</v>
      </c>
      <c r="B264" s="1" t="s">
        <v>492</v>
      </c>
      <c r="C264" s="1" t="s">
        <v>493</v>
      </c>
      <c r="D264" t="b">
        <f ca="1">IF(A264="","",[1]!s_techanal_rcnthigh(B264,$B$2,1,3))</f>
        <v>0</v>
      </c>
      <c r="E264">
        <f ca="1">IF(A264="","",COUNTIF(D$6:D264,"True"))</f>
        <v>0</v>
      </c>
      <c r="F264" t="str">
        <f t="shared" si="4"/>
        <v>000756.SZ</v>
      </c>
    </row>
    <row r="265" spans="1:6" x14ac:dyDescent="0.15">
      <c r="A265" s="2">
        <v>46089</v>
      </c>
      <c r="B265" s="1" t="s">
        <v>494</v>
      </c>
      <c r="C265" s="1" t="s">
        <v>495</v>
      </c>
      <c r="D265" t="b">
        <f ca="1">IF(A265="","",[1]!s_techanal_rcnthigh(B265,$B$2,1,3))</f>
        <v>0</v>
      </c>
      <c r="E265">
        <f ca="1">IF(A265="","",COUNTIF(D$6:D265,"True"))</f>
        <v>0</v>
      </c>
      <c r="F265" t="str">
        <f t="shared" si="4"/>
        <v>000757.SZ</v>
      </c>
    </row>
    <row r="266" spans="1:6" x14ac:dyDescent="0.15">
      <c r="A266" s="2">
        <v>46089</v>
      </c>
      <c r="B266" s="1" t="s">
        <v>496</v>
      </c>
      <c r="C266" s="1" t="s">
        <v>497</v>
      </c>
      <c r="D266" t="b">
        <f ca="1">IF(A266="","",[1]!s_techanal_rcnthigh(B266,$B$2,1,3))</f>
        <v>0</v>
      </c>
      <c r="E266">
        <f ca="1">IF(A266="","",COUNTIF(D$6:D266,"True"))</f>
        <v>0</v>
      </c>
      <c r="F266" t="str">
        <f t="shared" si="4"/>
        <v>000758.SZ</v>
      </c>
    </row>
    <row r="267" spans="1:6" x14ac:dyDescent="0.15">
      <c r="A267" s="2">
        <v>46089</v>
      </c>
      <c r="B267" s="1" t="s">
        <v>498</v>
      </c>
      <c r="C267" s="1" t="s">
        <v>499</v>
      </c>
      <c r="D267" t="b">
        <f ca="1">IF(A267="","",[1]!s_techanal_rcnthigh(B267,$B$2,1,3))</f>
        <v>0</v>
      </c>
      <c r="E267">
        <f ca="1">IF(A267="","",COUNTIF(D$6:D267,"True"))</f>
        <v>0</v>
      </c>
      <c r="F267" t="str">
        <f t="shared" si="4"/>
        <v>000759.SZ</v>
      </c>
    </row>
    <row r="268" spans="1:6" x14ac:dyDescent="0.15">
      <c r="A268" s="2">
        <v>46089</v>
      </c>
      <c r="B268" s="1" t="s">
        <v>500</v>
      </c>
      <c r="C268" s="1" t="s">
        <v>501</v>
      </c>
      <c r="D268" t="b">
        <f ca="1">IF(A268="","",[1]!s_techanal_rcnthigh(B268,$B$2,1,3))</f>
        <v>0</v>
      </c>
      <c r="E268">
        <f ca="1">IF(A268="","",COUNTIF(D$6:D268,"True"))</f>
        <v>0</v>
      </c>
      <c r="F268" t="str">
        <f t="shared" si="4"/>
        <v>000761.SZ</v>
      </c>
    </row>
    <row r="269" spans="1:6" x14ac:dyDescent="0.15">
      <c r="A269" s="2">
        <v>46089</v>
      </c>
      <c r="B269" s="1" t="s">
        <v>502</v>
      </c>
      <c r="C269" s="1" t="s">
        <v>503</v>
      </c>
      <c r="D269" t="b">
        <f ca="1">IF(A269="","",[1]!s_techanal_rcnthigh(B269,$B$2,1,3))</f>
        <v>0</v>
      </c>
      <c r="E269">
        <f ca="1">IF(A269="","",COUNTIF(D$6:D269,"True"))</f>
        <v>0</v>
      </c>
      <c r="F269" t="str">
        <f t="shared" si="4"/>
        <v>000762.SZ</v>
      </c>
    </row>
    <row r="270" spans="1:6" x14ac:dyDescent="0.15">
      <c r="A270" s="2">
        <v>46089</v>
      </c>
      <c r="B270" s="1" t="s">
        <v>504</v>
      </c>
      <c r="C270" s="1" t="s">
        <v>505</v>
      </c>
      <c r="D270" t="b">
        <f ca="1">IF(A270="","",[1]!s_techanal_rcnthigh(B270,$B$2,1,3))</f>
        <v>0</v>
      </c>
      <c r="E270">
        <f ca="1">IF(A270="","",COUNTIF(D$6:D270,"True"))</f>
        <v>0</v>
      </c>
      <c r="F270" t="str">
        <f t="shared" si="4"/>
        <v>000766.SZ</v>
      </c>
    </row>
    <row r="271" spans="1:6" x14ac:dyDescent="0.15">
      <c r="A271" s="2">
        <v>46089</v>
      </c>
      <c r="B271" s="1" t="s">
        <v>506</v>
      </c>
      <c r="C271" s="1" t="s">
        <v>507</v>
      </c>
      <c r="D271" t="b">
        <f ca="1">IF(A271="","",[1]!s_techanal_rcnthigh(B271,$B$2,1,3))</f>
        <v>0</v>
      </c>
      <c r="E271">
        <f ca="1">IF(A271="","",COUNTIF(D$6:D271,"True"))</f>
        <v>0</v>
      </c>
      <c r="F271" t="str">
        <f t="shared" si="4"/>
        <v>000767.SZ</v>
      </c>
    </row>
    <row r="272" spans="1:6" x14ac:dyDescent="0.15">
      <c r="A272" s="2">
        <v>46089</v>
      </c>
      <c r="B272" s="1" t="s">
        <v>508</v>
      </c>
      <c r="C272" s="1" t="s">
        <v>509</v>
      </c>
      <c r="D272" t="b">
        <f ca="1">IF(A272="","",[1]!s_techanal_rcnthigh(B272,$B$2,1,3))</f>
        <v>0</v>
      </c>
      <c r="E272">
        <f ca="1">IF(A272="","",COUNTIF(D$6:D272,"True"))</f>
        <v>0</v>
      </c>
      <c r="F272" t="str">
        <f t="shared" si="4"/>
        <v>000768.SZ</v>
      </c>
    </row>
    <row r="273" spans="1:6" x14ac:dyDescent="0.15">
      <c r="A273" s="2">
        <v>46089</v>
      </c>
      <c r="B273" s="1" t="s">
        <v>510</v>
      </c>
      <c r="C273" s="1" t="s">
        <v>511</v>
      </c>
      <c r="D273" t="b">
        <f ca="1">IF(A273="","",[1]!s_techanal_rcnthigh(B273,$B$2,1,3))</f>
        <v>0</v>
      </c>
      <c r="E273">
        <f ca="1">IF(A273="","",COUNTIF(D$6:D273,"True"))</f>
        <v>0</v>
      </c>
      <c r="F273" t="str">
        <f t="shared" si="4"/>
        <v>000776.SZ</v>
      </c>
    </row>
    <row r="274" spans="1:6" x14ac:dyDescent="0.15">
      <c r="A274" s="2">
        <v>46089</v>
      </c>
      <c r="B274" s="1" t="s">
        <v>512</v>
      </c>
      <c r="C274" s="1" t="s">
        <v>513</v>
      </c>
      <c r="D274" t="b">
        <f ca="1">IF(A274="","",[1]!s_techanal_rcnthigh(B274,$B$2,1,3))</f>
        <v>0</v>
      </c>
      <c r="E274">
        <f ca="1">IF(A274="","",COUNTIF(D$6:D274,"True"))</f>
        <v>0</v>
      </c>
      <c r="F274" t="str">
        <f t="shared" si="4"/>
        <v>000777.SZ</v>
      </c>
    </row>
    <row r="275" spans="1:6" x14ac:dyDescent="0.15">
      <c r="A275" s="2">
        <v>46089</v>
      </c>
      <c r="B275" s="1" t="s">
        <v>514</v>
      </c>
      <c r="C275" s="1" t="s">
        <v>515</v>
      </c>
      <c r="D275" t="b">
        <f ca="1">IF(A275="","",[1]!s_techanal_rcnthigh(B275,$B$2,1,3))</f>
        <v>0</v>
      </c>
      <c r="E275">
        <f ca="1">IF(A275="","",COUNTIF(D$6:D275,"True"))</f>
        <v>0</v>
      </c>
      <c r="F275" t="str">
        <f t="shared" si="4"/>
        <v>000778.SZ</v>
      </c>
    </row>
    <row r="276" spans="1:6" x14ac:dyDescent="0.15">
      <c r="A276" s="2">
        <v>46089</v>
      </c>
      <c r="B276" s="1" t="s">
        <v>516</v>
      </c>
      <c r="C276" s="1" t="s">
        <v>517</v>
      </c>
      <c r="D276" t="b">
        <f ca="1">IF(A276="","",[1]!s_techanal_rcnthigh(B276,$B$2,1,3))</f>
        <v>0</v>
      </c>
      <c r="E276">
        <f ca="1">IF(A276="","",COUNTIF(D$6:D276,"True"))</f>
        <v>0</v>
      </c>
      <c r="F276" t="str">
        <f t="shared" si="4"/>
        <v>000779.SZ</v>
      </c>
    </row>
    <row r="277" spans="1:6" x14ac:dyDescent="0.15">
      <c r="A277" s="2">
        <v>46089</v>
      </c>
      <c r="B277" s="1" t="s">
        <v>518</v>
      </c>
      <c r="C277" s="1" t="s">
        <v>10049</v>
      </c>
      <c r="D277" t="b">
        <f ca="1">IF(A277="","",[1]!s_techanal_rcnthigh(B277,$B$2,1,3))</f>
        <v>0</v>
      </c>
      <c r="E277">
        <f ca="1">IF(A277="","",COUNTIF(D$6:D277,"True"))</f>
        <v>0</v>
      </c>
      <c r="F277" t="str">
        <f t="shared" si="4"/>
        <v>000782.SZ</v>
      </c>
    </row>
    <row r="278" spans="1:6" x14ac:dyDescent="0.15">
      <c r="A278" s="2">
        <v>46089</v>
      </c>
      <c r="B278" s="1" t="s">
        <v>519</v>
      </c>
      <c r="C278" s="1" t="s">
        <v>520</v>
      </c>
      <c r="D278" t="b">
        <f ca="1">IF(A278="","",[1]!s_techanal_rcnthigh(B278,$B$2,1,3))</f>
        <v>0</v>
      </c>
      <c r="E278">
        <f ca="1">IF(A278="","",COUNTIF(D$6:D278,"True"))</f>
        <v>0</v>
      </c>
      <c r="F278" t="str">
        <f t="shared" si="4"/>
        <v>000783.SZ</v>
      </c>
    </row>
    <row r="279" spans="1:6" x14ac:dyDescent="0.15">
      <c r="A279" s="2">
        <v>46089</v>
      </c>
      <c r="B279" s="1" t="s">
        <v>521</v>
      </c>
      <c r="C279" s="1" t="s">
        <v>10050</v>
      </c>
      <c r="D279" t="b">
        <f ca="1">IF(A279="","",[1]!s_techanal_rcnthigh(B279,$B$2,1,3))</f>
        <v>0</v>
      </c>
      <c r="E279">
        <f ca="1">IF(A279="","",COUNTIF(D$6:D279,"True"))</f>
        <v>0</v>
      </c>
      <c r="F279" t="str">
        <f t="shared" si="4"/>
        <v>000785.SZ</v>
      </c>
    </row>
    <row r="280" spans="1:6" x14ac:dyDescent="0.15">
      <c r="A280" s="2">
        <v>46089</v>
      </c>
      <c r="B280" s="1" t="s">
        <v>522</v>
      </c>
      <c r="C280" s="1" t="s">
        <v>523</v>
      </c>
      <c r="D280" t="b">
        <f ca="1">IF(A280="","",[1]!s_techanal_rcnthigh(B280,$B$2,1,3))</f>
        <v>0</v>
      </c>
      <c r="E280">
        <f ca="1">IF(A280="","",COUNTIF(D$6:D280,"True"))</f>
        <v>0</v>
      </c>
      <c r="F280" t="str">
        <f t="shared" si="4"/>
        <v>000786.SZ</v>
      </c>
    </row>
    <row r="281" spans="1:6" x14ac:dyDescent="0.15">
      <c r="A281" s="2">
        <v>46089</v>
      </c>
      <c r="B281" s="1" t="s">
        <v>524</v>
      </c>
      <c r="C281" s="1" t="s">
        <v>525</v>
      </c>
      <c r="D281" t="b">
        <f ca="1">IF(A281="","",[1]!s_techanal_rcnthigh(B281,$B$2,1,3))</f>
        <v>0</v>
      </c>
      <c r="E281">
        <f ca="1">IF(A281="","",COUNTIF(D$6:D281,"True"))</f>
        <v>0</v>
      </c>
      <c r="F281" t="str">
        <f t="shared" si="4"/>
        <v>000788.SZ</v>
      </c>
    </row>
    <row r="282" spans="1:6" x14ac:dyDescent="0.15">
      <c r="A282" s="2">
        <v>46089</v>
      </c>
      <c r="B282" s="1" t="s">
        <v>526</v>
      </c>
      <c r="C282" s="1" t="s">
        <v>527</v>
      </c>
      <c r="D282" t="b">
        <f ca="1">IF(A282="","",[1]!s_techanal_rcnthigh(B282,$B$2,1,3))</f>
        <v>0</v>
      </c>
      <c r="E282">
        <f ca="1">IF(A282="","",COUNTIF(D$6:D282,"True"))</f>
        <v>0</v>
      </c>
      <c r="F282" t="str">
        <f t="shared" si="4"/>
        <v>000789.SZ</v>
      </c>
    </row>
    <row r="283" spans="1:6" x14ac:dyDescent="0.15">
      <c r="A283" s="2">
        <v>46089</v>
      </c>
      <c r="B283" s="1" t="s">
        <v>528</v>
      </c>
      <c r="C283" s="1" t="s">
        <v>529</v>
      </c>
      <c r="D283" t="b">
        <f ca="1">IF(A283="","",[1]!s_techanal_rcnthigh(B283,$B$2,1,3))</f>
        <v>0</v>
      </c>
      <c r="E283">
        <f ca="1">IF(A283="","",COUNTIF(D$6:D283,"True"))</f>
        <v>0</v>
      </c>
      <c r="F283" t="str">
        <f t="shared" si="4"/>
        <v>000790.SZ</v>
      </c>
    </row>
    <row r="284" spans="1:6" x14ac:dyDescent="0.15">
      <c r="A284" s="2">
        <v>46089</v>
      </c>
      <c r="B284" s="1" t="s">
        <v>530</v>
      </c>
      <c r="C284" s="1" t="s">
        <v>531</v>
      </c>
      <c r="D284" t="b">
        <f ca="1">IF(A284="","",[1]!s_techanal_rcnthigh(B284,$B$2,1,3))</f>
        <v>0</v>
      </c>
      <c r="E284">
        <f ca="1">IF(A284="","",COUNTIF(D$6:D284,"True"))</f>
        <v>0</v>
      </c>
      <c r="F284" t="str">
        <f t="shared" si="4"/>
        <v>000791.SZ</v>
      </c>
    </row>
    <row r="285" spans="1:6" x14ac:dyDescent="0.15">
      <c r="A285" s="2">
        <v>46089</v>
      </c>
      <c r="B285" s="1" t="s">
        <v>532</v>
      </c>
      <c r="C285" s="1" t="s">
        <v>533</v>
      </c>
      <c r="D285" t="b">
        <f ca="1">IF(A285="","",[1]!s_techanal_rcnthigh(B285,$B$2,1,3))</f>
        <v>0</v>
      </c>
      <c r="E285">
        <f ca="1">IF(A285="","",COUNTIF(D$6:D285,"True"))</f>
        <v>0</v>
      </c>
      <c r="F285" t="str">
        <f t="shared" si="4"/>
        <v>000792.SZ</v>
      </c>
    </row>
    <row r="286" spans="1:6" x14ac:dyDescent="0.15">
      <c r="A286" s="2">
        <v>46089</v>
      </c>
      <c r="B286" s="1" t="s">
        <v>534</v>
      </c>
      <c r="C286" s="1" t="s">
        <v>10051</v>
      </c>
      <c r="D286" t="b">
        <f ca="1">IF(A286="","",[1]!s_techanal_rcnthigh(B286,$B$2,1,3))</f>
        <v>0</v>
      </c>
      <c r="E286">
        <f ca="1">IF(A286="","",COUNTIF(D$6:D286,"True"))</f>
        <v>0</v>
      </c>
      <c r="F286" t="str">
        <f t="shared" si="4"/>
        <v>000793.SZ</v>
      </c>
    </row>
    <row r="287" spans="1:6" x14ac:dyDescent="0.15">
      <c r="A287" s="2">
        <v>46089</v>
      </c>
      <c r="B287" s="1" t="s">
        <v>535</v>
      </c>
      <c r="C287" s="1" t="s">
        <v>536</v>
      </c>
      <c r="D287" t="b">
        <f ca="1">IF(A287="","",[1]!s_techanal_rcnthigh(B287,$B$2,1,3))</f>
        <v>0</v>
      </c>
      <c r="E287">
        <f ca="1">IF(A287="","",COUNTIF(D$6:D287,"True"))</f>
        <v>0</v>
      </c>
      <c r="F287" t="str">
        <f t="shared" si="4"/>
        <v>000795.SZ</v>
      </c>
    </row>
    <row r="288" spans="1:6" x14ac:dyDescent="0.15">
      <c r="A288" s="2">
        <v>46089</v>
      </c>
      <c r="B288" s="1" t="s">
        <v>537</v>
      </c>
      <c r="C288" s="1" t="s">
        <v>10052</v>
      </c>
      <c r="D288" t="b">
        <f ca="1">IF(A288="","",[1]!s_techanal_rcnthigh(B288,$B$2,1,3))</f>
        <v>0</v>
      </c>
      <c r="E288">
        <f ca="1">IF(A288="","",COUNTIF(D$6:D288,"True"))</f>
        <v>0</v>
      </c>
      <c r="F288" t="str">
        <f t="shared" si="4"/>
        <v>000796.SZ</v>
      </c>
    </row>
    <row r="289" spans="1:6" x14ac:dyDescent="0.15">
      <c r="A289" s="2">
        <v>46089</v>
      </c>
      <c r="B289" s="1" t="s">
        <v>538</v>
      </c>
      <c r="C289" s="1" t="s">
        <v>539</v>
      </c>
      <c r="D289" t="b">
        <f ca="1">IF(A289="","",[1]!s_techanal_rcnthigh(B289,$B$2,1,3))</f>
        <v>0</v>
      </c>
      <c r="E289">
        <f ca="1">IF(A289="","",COUNTIF(D$6:D289,"True"))</f>
        <v>0</v>
      </c>
      <c r="F289" t="str">
        <f t="shared" si="4"/>
        <v>000797.SZ</v>
      </c>
    </row>
    <row r="290" spans="1:6" x14ac:dyDescent="0.15">
      <c r="A290" s="2">
        <v>46089</v>
      </c>
      <c r="B290" s="1" t="s">
        <v>540</v>
      </c>
      <c r="C290" s="1" t="s">
        <v>541</v>
      </c>
      <c r="D290" t="b">
        <f ca="1">IF(A290="","",[1]!s_techanal_rcnthigh(B290,$B$2,1,3))</f>
        <v>0</v>
      </c>
      <c r="E290">
        <f ca="1">IF(A290="","",COUNTIF(D$6:D290,"True"))</f>
        <v>0</v>
      </c>
      <c r="F290" t="str">
        <f t="shared" si="4"/>
        <v>000798.SZ</v>
      </c>
    </row>
    <row r="291" spans="1:6" x14ac:dyDescent="0.15">
      <c r="A291" s="2">
        <v>46089</v>
      </c>
      <c r="B291" s="1" t="s">
        <v>542</v>
      </c>
      <c r="C291" s="1" t="s">
        <v>543</v>
      </c>
      <c r="D291" t="b">
        <f ca="1">IF(A291="","",[1]!s_techanal_rcnthigh(B291,$B$2,1,3))</f>
        <v>0</v>
      </c>
      <c r="E291">
        <f ca="1">IF(A291="","",COUNTIF(D$6:D291,"True"))</f>
        <v>0</v>
      </c>
      <c r="F291" t="str">
        <f t="shared" si="4"/>
        <v>000799.SZ</v>
      </c>
    </row>
    <row r="292" spans="1:6" x14ac:dyDescent="0.15">
      <c r="A292" s="2">
        <v>46089</v>
      </c>
      <c r="B292" s="1" t="s">
        <v>544</v>
      </c>
      <c r="C292" s="1" t="s">
        <v>545</v>
      </c>
      <c r="D292" t="b">
        <f ca="1">IF(A292="","",[1]!s_techanal_rcnthigh(B292,$B$2,1,3))</f>
        <v>0</v>
      </c>
      <c r="E292">
        <f ca="1">IF(A292="","",COUNTIF(D$6:D292,"True"))</f>
        <v>0</v>
      </c>
      <c r="F292" t="str">
        <f t="shared" si="4"/>
        <v>000800.SZ</v>
      </c>
    </row>
    <row r="293" spans="1:6" x14ac:dyDescent="0.15">
      <c r="A293" s="2">
        <v>46089</v>
      </c>
      <c r="B293" s="1" t="s">
        <v>546</v>
      </c>
      <c r="C293" s="1" t="s">
        <v>547</v>
      </c>
      <c r="D293" t="b">
        <f ca="1">IF(A293="","",[1]!s_techanal_rcnthigh(B293,$B$2,1,3))</f>
        <v>0</v>
      </c>
      <c r="E293">
        <f ca="1">IF(A293="","",COUNTIF(D$6:D293,"True"))</f>
        <v>0</v>
      </c>
      <c r="F293" t="str">
        <f t="shared" si="4"/>
        <v>000801.SZ</v>
      </c>
    </row>
    <row r="294" spans="1:6" x14ac:dyDescent="0.15">
      <c r="A294" s="2">
        <v>46089</v>
      </c>
      <c r="B294" s="1" t="s">
        <v>548</v>
      </c>
      <c r="C294" s="1" t="s">
        <v>549</v>
      </c>
      <c r="D294" t="b">
        <f ca="1">IF(A294="","",[1]!s_techanal_rcnthigh(B294,$B$2,1,3))</f>
        <v>0</v>
      </c>
      <c r="E294">
        <f ca="1">IF(A294="","",COUNTIF(D$6:D294,"True"))</f>
        <v>0</v>
      </c>
      <c r="F294" t="str">
        <f t="shared" si="4"/>
        <v>000802.SZ</v>
      </c>
    </row>
    <row r="295" spans="1:6" x14ac:dyDescent="0.15">
      <c r="A295" s="2">
        <v>46089</v>
      </c>
      <c r="B295" s="1" t="s">
        <v>550</v>
      </c>
      <c r="C295" s="1" t="s">
        <v>551</v>
      </c>
      <c r="D295" t="b">
        <f ca="1">IF(A295="","",[1]!s_techanal_rcnthigh(B295,$B$2,1,3))</f>
        <v>0</v>
      </c>
      <c r="E295">
        <f ca="1">IF(A295="","",COUNTIF(D$6:D295,"True"))</f>
        <v>0</v>
      </c>
      <c r="F295" t="str">
        <f t="shared" si="4"/>
        <v>000803.SZ</v>
      </c>
    </row>
    <row r="296" spans="1:6" x14ac:dyDescent="0.15">
      <c r="A296" s="2">
        <v>46089</v>
      </c>
      <c r="B296" s="1" t="s">
        <v>552</v>
      </c>
      <c r="C296" s="1" t="s">
        <v>553</v>
      </c>
      <c r="D296" t="b">
        <f ca="1">IF(A296="","",[1]!s_techanal_rcnthigh(B296,$B$2,1,3))</f>
        <v>0</v>
      </c>
      <c r="E296">
        <f ca="1">IF(A296="","",COUNTIF(D$6:D296,"True"))</f>
        <v>0</v>
      </c>
      <c r="F296" t="str">
        <f t="shared" si="4"/>
        <v>000807.SZ</v>
      </c>
    </row>
    <row r="297" spans="1:6" x14ac:dyDescent="0.15">
      <c r="A297" s="2">
        <v>46089</v>
      </c>
      <c r="B297" s="1" t="s">
        <v>554</v>
      </c>
      <c r="C297" s="1" t="s">
        <v>10053</v>
      </c>
      <c r="D297" t="b">
        <f ca="1">IF(A297="","",[1]!s_techanal_rcnthigh(B297,$B$2,1,3))</f>
        <v>0</v>
      </c>
      <c r="E297">
        <f ca="1">IF(A297="","",COUNTIF(D$6:D297,"True"))</f>
        <v>0</v>
      </c>
      <c r="F297" t="str">
        <f t="shared" si="4"/>
        <v>000809.SZ</v>
      </c>
    </row>
    <row r="298" spans="1:6" x14ac:dyDescent="0.15">
      <c r="A298" s="2">
        <v>46089</v>
      </c>
      <c r="B298" s="1" t="s">
        <v>555</v>
      </c>
      <c r="C298" s="1" t="s">
        <v>556</v>
      </c>
      <c r="D298" t="b">
        <f ca="1">IF(A298="","",[1]!s_techanal_rcnthigh(B298,$B$2,1,3))</f>
        <v>0</v>
      </c>
      <c r="E298">
        <f ca="1">IF(A298="","",COUNTIF(D$6:D298,"True"))</f>
        <v>0</v>
      </c>
      <c r="F298" t="str">
        <f t="shared" si="4"/>
        <v>000810.SZ</v>
      </c>
    </row>
    <row r="299" spans="1:6" x14ac:dyDescent="0.15">
      <c r="A299" s="2">
        <v>46089</v>
      </c>
      <c r="B299" s="1" t="s">
        <v>557</v>
      </c>
      <c r="C299" s="1" t="s">
        <v>558</v>
      </c>
      <c r="D299" t="b">
        <f ca="1">IF(A299="","",[1]!s_techanal_rcnthigh(B299,$B$2,1,3))</f>
        <v>0</v>
      </c>
      <c r="E299">
        <f ca="1">IF(A299="","",COUNTIF(D$6:D299,"True"))</f>
        <v>0</v>
      </c>
      <c r="F299" t="str">
        <f t="shared" si="4"/>
        <v>000811.SZ</v>
      </c>
    </row>
    <row r="300" spans="1:6" x14ac:dyDescent="0.15">
      <c r="A300" s="2">
        <v>46089</v>
      </c>
      <c r="B300" s="1" t="s">
        <v>559</v>
      </c>
      <c r="C300" s="1" t="s">
        <v>560</v>
      </c>
      <c r="D300" t="b">
        <f ca="1">IF(A300="","",[1]!s_techanal_rcnthigh(B300,$B$2,1,3))</f>
        <v>0</v>
      </c>
      <c r="E300">
        <f ca="1">IF(A300="","",COUNTIF(D$6:D300,"True"))</f>
        <v>0</v>
      </c>
      <c r="F300" t="str">
        <f t="shared" si="4"/>
        <v>000812.SZ</v>
      </c>
    </row>
    <row r="301" spans="1:6" x14ac:dyDescent="0.15">
      <c r="A301" s="2">
        <v>46089</v>
      </c>
      <c r="B301" s="1" t="s">
        <v>561</v>
      </c>
      <c r="C301" s="1" t="s">
        <v>562</v>
      </c>
      <c r="D301" t="b">
        <f ca="1">IF(A301="","",[1]!s_techanal_rcnthigh(B301,$B$2,1,3))</f>
        <v>0</v>
      </c>
      <c r="E301">
        <f ca="1">IF(A301="","",COUNTIF(D$6:D301,"True"))</f>
        <v>0</v>
      </c>
      <c r="F301" t="str">
        <f t="shared" si="4"/>
        <v>000813.SZ</v>
      </c>
    </row>
    <row r="302" spans="1:6" x14ac:dyDescent="0.15">
      <c r="A302" s="2">
        <v>46089</v>
      </c>
      <c r="B302" s="1" t="s">
        <v>563</v>
      </c>
      <c r="C302" s="1" t="s">
        <v>564</v>
      </c>
      <c r="D302" t="b">
        <f ca="1">IF(A302="","",[1]!s_techanal_rcnthigh(B302,$B$2,1,3))</f>
        <v>0</v>
      </c>
      <c r="E302">
        <f ca="1">IF(A302="","",COUNTIF(D$6:D302,"True"))</f>
        <v>0</v>
      </c>
      <c r="F302" t="str">
        <f t="shared" si="4"/>
        <v>000815.SZ</v>
      </c>
    </row>
    <row r="303" spans="1:6" x14ac:dyDescent="0.15">
      <c r="A303" s="2">
        <v>46089</v>
      </c>
      <c r="B303" s="1" t="s">
        <v>565</v>
      </c>
      <c r="C303" s="1" t="s">
        <v>566</v>
      </c>
      <c r="D303" t="b">
        <f ca="1">IF(A303="","",[1]!s_techanal_rcnthigh(B303,$B$2,1,3))</f>
        <v>0</v>
      </c>
      <c r="E303">
        <f ca="1">IF(A303="","",COUNTIF(D$6:D303,"True"))</f>
        <v>0</v>
      </c>
      <c r="F303" t="str">
        <f t="shared" si="4"/>
        <v>000816.SZ</v>
      </c>
    </row>
    <row r="304" spans="1:6" x14ac:dyDescent="0.15">
      <c r="A304" s="2">
        <v>46089</v>
      </c>
      <c r="B304" s="1" t="s">
        <v>567</v>
      </c>
      <c r="C304" s="1" t="s">
        <v>568</v>
      </c>
      <c r="D304" t="b">
        <f ca="1">IF(A304="","",[1]!s_techanal_rcnthigh(B304,$B$2,1,3))</f>
        <v>0</v>
      </c>
      <c r="E304">
        <f ca="1">IF(A304="","",COUNTIF(D$6:D304,"True"))</f>
        <v>0</v>
      </c>
      <c r="F304" t="str">
        <f t="shared" si="4"/>
        <v>000818.SZ</v>
      </c>
    </row>
    <row r="305" spans="1:6" x14ac:dyDescent="0.15">
      <c r="A305" s="2">
        <v>46089</v>
      </c>
      <c r="B305" s="1" t="s">
        <v>569</v>
      </c>
      <c r="C305" s="1" t="s">
        <v>570</v>
      </c>
      <c r="D305" t="b">
        <f ca="1">IF(A305="","",[1]!s_techanal_rcnthigh(B305,$B$2,1,3))</f>
        <v>0</v>
      </c>
      <c r="E305">
        <f ca="1">IF(A305="","",COUNTIF(D$6:D305,"True"))</f>
        <v>0</v>
      </c>
      <c r="F305" t="str">
        <f t="shared" si="4"/>
        <v>000819.SZ</v>
      </c>
    </row>
    <row r="306" spans="1:6" x14ac:dyDescent="0.15">
      <c r="A306" s="2">
        <v>46089</v>
      </c>
      <c r="B306" s="1" t="s">
        <v>571</v>
      </c>
      <c r="C306" s="1" t="s">
        <v>10054</v>
      </c>
      <c r="D306" t="b">
        <f ca="1">IF(A306="","",[1]!s_techanal_rcnthigh(B306,$B$2,1,3))</f>
        <v>0</v>
      </c>
      <c r="E306">
        <f ca="1">IF(A306="","",COUNTIF(D$6:D306,"True"))</f>
        <v>0</v>
      </c>
      <c r="F306" t="str">
        <f t="shared" si="4"/>
        <v>000820.SZ</v>
      </c>
    </row>
    <row r="307" spans="1:6" x14ac:dyDescent="0.15">
      <c r="A307" s="2">
        <v>46089</v>
      </c>
      <c r="B307" s="1" t="s">
        <v>572</v>
      </c>
      <c r="C307" s="1" t="s">
        <v>10055</v>
      </c>
      <c r="D307" t="b">
        <f ca="1">IF(A307="","",[1]!s_techanal_rcnthigh(B307,$B$2,1,3))</f>
        <v>0</v>
      </c>
      <c r="E307">
        <f ca="1">IF(A307="","",COUNTIF(D$6:D307,"True"))</f>
        <v>0</v>
      </c>
      <c r="F307" t="str">
        <f t="shared" si="4"/>
        <v>000821.SZ</v>
      </c>
    </row>
    <row r="308" spans="1:6" x14ac:dyDescent="0.15">
      <c r="A308" s="2">
        <v>46089</v>
      </c>
      <c r="B308" s="1" t="s">
        <v>573</v>
      </c>
      <c r="C308" s="1" t="s">
        <v>574</v>
      </c>
      <c r="D308" t="b">
        <f ca="1">IF(A308="","",[1]!s_techanal_rcnthigh(B308,$B$2,1,3))</f>
        <v>0</v>
      </c>
      <c r="E308">
        <f ca="1">IF(A308="","",COUNTIF(D$6:D308,"True"))</f>
        <v>0</v>
      </c>
      <c r="F308" t="str">
        <f t="shared" si="4"/>
        <v>000822.SZ</v>
      </c>
    </row>
    <row r="309" spans="1:6" x14ac:dyDescent="0.15">
      <c r="A309" s="2">
        <v>46089</v>
      </c>
      <c r="B309" s="1" t="s">
        <v>575</v>
      </c>
      <c r="C309" s="1" t="s">
        <v>576</v>
      </c>
      <c r="D309" t="b">
        <f ca="1">IF(A309="","",[1]!s_techanal_rcnthigh(B309,$B$2,1,3))</f>
        <v>0</v>
      </c>
      <c r="E309">
        <f ca="1">IF(A309="","",COUNTIF(D$6:D309,"True"))</f>
        <v>0</v>
      </c>
      <c r="F309" t="str">
        <f t="shared" si="4"/>
        <v>000823.SZ</v>
      </c>
    </row>
    <row r="310" spans="1:6" x14ac:dyDescent="0.15">
      <c r="A310" s="2">
        <v>46089</v>
      </c>
      <c r="B310" s="1" t="s">
        <v>577</v>
      </c>
      <c r="C310" s="1" t="s">
        <v>578</v>
      </c>
      <c r="D310" t="b">
        <f ca="1">IF(A310="","",[1]!s_techanal_rcnthigh(B310,$B$2,1,3))</f>
        <v>0</v>
      </c>
      <c r="E310">
        <f ca="1">IF(A310="","",COUNTIF(D$6:D310,"True"))</f>
        <v>0</v>
      </c>
      <c r="F310" t="str">
        <f t="shared" si="4"/>
        <v>000825.SZ</v>
      </c>
    </row>
    <row r="311" spans="1:6" x14ac:dyDescent="0.15">
      <c r="A311" s="2">
        <v>46089</v>
      </c>
      <c r="B311" s="1" t="s">
        <v>579</v>
      </c>
      <c r="C311" s="1" t="s">
        <v>580</v>
      </c>
      <c r="D311" t="b">
        <f ca="1">IF(A311="","",[1]!s_techanal_rcnthigh(B311,$B$2,1,3))</f>
        <v>0</v>
      </c>
      <c r="E311">
        <f ca="1">IF(A311="","",COUNTIF(D$6:D311,"True"))</f>
        <v>0</v>
      </c>
      <c r="F311" t="str">
        <f t="shared" si="4"/>
        <v>000826.SZ</v>
      </c>
    </row>
    <row r="312" spans="1:6" x14ac:dyDescent="0.15">
      <c r="A312" s="2">
        <v>46089</v>
      </c>
      <c r="B312" s="1" t="s">
        <v>581</v>
      </c>
      <c r="C312" s="1" t="s">
        <v>582</v>
      </c>
      <c r="D312" t="b">
        <f ca="1">IF(A312="","",[1]!s_techanal_rcnthigh(B312,$B$2,1,3))</f>
        <v>0</v>
      </c>
      <c r="E312">
        <f ca="1">IF(A312="","",COUNTIF(D$6:D312,"True"))</f>
        <v>0</v>
      </c>
      <c r="F312" t="str">
        <f t="shared" si="4"/>
        <v>000828.SZ</v>
      </c>
    </row>
    <row r="313" spans="1:6" x14ac:dyDescent="0.15">
      <c r="A313" s="2">
        <v>46089</v>
      </c>
      <c r="B313" s="1" t="s">
        <v>583</v>
      </c>
      <c r="C313" s="1" t="s">
        <v>584</v>
      </c>
      <c r="D313" t="b">
        <f ca="1">IF(A313="","",[1]!s_techanal_rcnthigh(B313,$B$2,1,3))</f>
        <v>0</v>
      </c>
      <c r="E313">
        <f ca="1">IF(A313="","",COUNTIF(D$6:D313,"True"))</f>
        <v>0</v>
      </c>
      <c r="F313" t="str">
        <f t="shared" si="4"/>
        <v>000829.SZ</v>
      </c>
    </row>
    <row r="314" spans="1:6" x14ac:dyDescent="0.15">
      <c r="A314" s="2">
        <v>46089</v>
      </c>
      <c r="B314" s="1" t="s">
        <v>585</v>
      </c>
      <c r="C314" s="1" t="s">
        <v>586</v>
      </c>
      <c r="D314" t="b">
        <f ca="1">IF(A314="","",[1]!s_techanal_rcnthigh(B314,$B$2,1,3))</f>
        <v>0</v>
      </c>
      <c r="E314">
        <f ca="1">IF(A314="","",COUNTIF(D$6:D314,"True"))</f>
        <v>0</v>
      </c>
      <c r="F314" t="str">
        <f t="shared" si="4"/>
        <v>000830.SZ</v>
      </c>
    </row>
    <row r="315" spans="1:6" x14ac:dyDescent="0.15">
      <c r="A315" s="2">
        <v>46089</v>
      </c>
      <c r="B315" s="1" t="s">
        <v>587</v>
      </c>
      <c r="C315" s="1" t="s">
        <v>588</v>
      </c>
      <c r="D315" t="b">
        <f ca="1">IF(A315="","",[1]!s_techanal_rcnthigh(B315,$B$2,1,3))</f>
        <v>0</v>
      </c>
      <c r="E315">
        <f ca="1">IF(A315="","",COUNTIF(D$6:D315,"True"))</f>
        <v>0</v>
      </c>
      <c r="F315" t="str">
        <f t="shared" si="4"/>
        <v>000831.SZ</v>
      </c>
    </row>
    <row r="316" spans="1:6" x14ac:dyDescent="0.15">
      <c r="A316" s="2">
        <v>46089</v>
      </c>
      <c r="B316" s="1" t="s">
        <v>589</v>
      </c>
      <c r="C316" s="1" t="s">
        <v>590</v>
      </c>
      <c r="D316" t="b">
        <f ca="1">IF(A316="","",[1]!s_techanal_rcnthigh(B316,$B$2,1,3))</f>
        <v>0</v>
      </c>
      <c r="E316">
        <f ca="1">IF(A316="","",COUNTIF(D$6:D316,"True"))</f>
        <v>0</v>
      </c>
      <c r="F316" t="str">
        <f t="shared" si="4"/>
        <v>000833.SZ</v>
      </c>
    </row>
    <row r="317" spans="1:6" x14ac:dyDescent="0.15">
      <c r="A317" s="2">
        <v>46089</v>
      </c>
      <c r="B317" s="1" t="s">
        <v>591</v>
      </c>
      <c r="C317" s="1" t="s">
        <v>592</v>
      </c>
      <c r="D317" t="b">
        <f ca="1">IF(A317="","",[1]!s_techanal_rcnthigh(B317,$B$2,1,3))</f>
        <v>0</v>
      </c>
      <c r="E317">
        <f ca="1">IF(A317="","",COUNTIF(D$6:D317,"True"))</f>
        <v>0</v>
      </c>
      <c r="F317" t="str">
        <f t="shared" si="4"/>
        <v>000837.SZ</v>
      </c>
    </row>
    <row r="318" spans="1:6" x14ac:dyDescent="0.15">
      <c r="A318" s="2">
        <v>46089</v>
      </c>
      <c r="B318" s="1" t="s">
        <v>593</v>
      </c>
      <c r="C318" s="1" t="s">
        <v>594</v>
      </c>
      <c r="D318" t="b">
        <f ca="1">IF(A318="","",[1]!s_techanal_rcnthigh(B318,$B$2,1,3))</f>
        <v>0</v>
      </c>
      <c r="E318">
        <f ca="1">IF(A318="","",COUNTIF(D$6:D318,"True"))</f>
        <v>0</v>
      </c>
      <c r="F318" t="str">
        <f t="shared" si="4"/>
        <v>000838.SZ</v>
      </c>
    </row>
    <row r="319" spans="1:6" x14ac:dyDescent="0.15">
      <c r="A319" s="2">
        <v>46089</v>
      </c>
      <c r="B319" s="1" t="s">
        <v>595</v>
      </c>
      <c r="C319" s="1" t="s">
        <v>10056</v>
      </c>
      <c r="D319" t="b">
        <f ca="1">IF(A319="","",[1]!s_techanal_rcnthigh(B319,$B$2,1,3))</f>
        <v>0</v>
      </c>
      <c r="E319">
        <f ca="1">IF(A319="","",COUNTIF(D$6:D319,"True"))</f>
        <v>0</v>
      </c>
      <c r="F319" t="str">
        <f t="shared" si="4"/>
        <v>000839.SZ</v>
      </c>
    </row>
    <row r="320" spans="1:6" x14ac:dyDescent="0.15">
      <c r="A320" s="2">
        <v>46089</v>
      </c>
      <c r="B320" s="1" t="s">
        <v>596</v>
      </c>
      <c r="C320" s="1" t="s">
        <v>597</v>
      </c>
      <c r="D320" t="b">
        <f ca="1">IF(A320="","",[1]!s_techanal_rcnthigh(B320,$B$2,1,3))</f>
        <v>0</v>
      </c>
      <c r="E320">
        <f ca="1">IF(A320="","",COUNTIF(D$6:D320,"True"))</f>
        <v>0</v>
      </c>
      <c r="F320" t="str">
        <f t="shared" si="4"/>
        <v>000848.SZ</v>
      </c>
    </row>
    <row r="321" spans="1:6" x14ac:dyDescent="0.15">
      <c r="A321" s="2">
        <v>46089</v>
      </c>
      <c r="B321" s="1" t="s">
        <v>598</v>
      </c>
      <c r="C321" s="1" t="s">
        <v>599</v>
      </c>
      <c r="D321" t="b">
        <f ca="1">IF(A321="","",[1]!s_techanal_rcnthigh(B321,$B$2,1,3))</f>
        <v>0</v>
      </c>
      <c r="E321">
        <f ca="1">IF(A321="","",COUNTIF(D$6:D321,"True"))</f>
        <v>0</v>
      </c>
      <c r="F321" t="str">
        <f t="shared" si="4"/>
        <v>000850.SZ</v>
      </c>
    </row>
    <row r="322" spans="1:6" x14ac:dyDescent="0.15">
      <c r="A322" s="2">
        <v>46089</v>
      </c>
      <c r="B322" s="1" t="s">
        <v>600</v>
      </c>
      <c r="C322" s="1" t="s">
        <v>601</v>
      </c>
      <c r="D322" t="b">
        <f ca="1">IF(A322="","",[1]!s_techanal_rcnthigh(B322,$B$2,1,3))</f>
        <v>0</v>
      </c>
      <c r="E322">
        <f ca="1">IF(A322="","",COUNTIF(D$6:D322,"True"))</f>
        <v>0</v>
      </c>
      <c r="F322" t="str">
        <f t="shared" si="4"/>
        <v>000852.SZ</v>
      </c>
    </row>
    <row r="323" spans="1:6" x14ac:dyDescent="0.15">
      <c r="A323" s="2">
        <v>46089</v>
      </c>
      <c r="B323" s="1" t="s">
        <v>602</v>
      </c>
      <c r="C323" s="1" t="s">
        <v>603</v>
      </c>
      <c r="D323" t="b">
        <f ca="1">IF(A323="","",[1]!s_techanal_rcnthigh(B323,$B$2,1,3))</f>
        <v>0</v>
      </c>
      <c r="E323">
        <f ca="1">IF(A323="","",COUNTIF(D$6:D323,"True"))</f>
        <v>0</v>
      </c>
      <c r="F323" t="str">
        <f t="shared" si="4"/>
        <v>000856.SZ</v>
      </c>
    </row>
    <row r="324" spans="1:6" x14ac:dyDescent="0.15">
      <c r="A324" s="2">
        <v>46089</v>
      </c>
      <c r="B324" s="1" t="s">
        <v>604</v>
      </c>
      <c r="C324" s="1" t="s">
        <v>605</v>
      </c>
      <c r="D324" t="b">
        <f ca="1">IF(A324="","",[1]!s_techanal_rcnthigh(B324,$B$2,1,3))</f>
        <v>0</v>
      </c>
      <c r="E324">
        <f ca="1">IF(A324="","",COUNTIF(D$6:D324,"True"))</f>
        <v>0</v>
      </c>
      <c r="F324" t="str">
        <f t="shared" si="4"/>
        <v>000858.SZ</v>
      </c>
    </row>
    <row r="325" spans="1:6" x14ac:dyDescent="0.15">
      <c r="A325" s="2">
        <v>46089</v>
      </c>
      <c r="B325" s="1" t="s">
        <v>606</v>
      </c>
      <c r="C325" s="1" t="s">
        <v>607</v>
      </c>
      <c r="D325" t="b">
        <f ca="1">IF(A325="","",[1]!s_techanal_rcnthigh(B325,$B$2,1,3))</f>
        <v>0</v>
      </c>
      <c r="E325">
        <f ca="1">IF(A325="","",COUNTIF(D$6:D325,"True"))</f>
        <v>0</v>
      </c>
      <c r="F325" t="str">
        <f t="shared" si="4"/>
        <v>000859.SZ</v>
      </c>
    </row>
    <row r="326" spans="1:6" x14ac:dyDescent="0.15">
      <c r="A326" s="2">
        <v>46089</v>
      </c>
      <c r="B326" s="1" t="s">
        <v>608</v>
      </c>
      <c r="C326" s="1" t="s">
        <v>609</v>
      </c>
      <c r="D326" t="b">
        <f ca="1">IF(A326="","",[1]!s_techanal_rcnthigh(B326,$B$2,1,3))</f>
        <v>0</v>
      </c>
      <c r="E326">
        <f ca="1">IF(A326="","",COUNTIF(D$6:D326,"True"))</f>
        <v>0</v>
      </c>
      <c r="F326" t="str">
        <f t="shared" ref="F326:F389" si="5">IF(B326="","",B326)</f>
        <v>000860.SZ</v>
      </c>
    </row>
    <row r="327" spans="1:6" x14ac:dyDescent="0.15">
      <c r="A327" s="2">
        <v>46089</v>
      </c>
      <c r="B327" s="1" t="s">
        <v>610</v>
      </c>
      <c r="C327" s="1" t="s">
        <v>611</v>
      </c>
      <c r="D327" t="b">
        <f ca="1">IF(A327="","",[1]!s_techanal_rcnthigh(B327,$B$2,1,3))</f>
        <v>0</v>
      </c>
      <c r="E327">
        <f ca="1">IF(A327="","",COUNTIF(D$6:D327,"True"))</f>
        <v>0</v>
      </c>
      <c r="F327" t="str">
        <f t="shared" si="5"/>
        <v>000862.SZ</v>
      </c>
    </row>
    <row r="328" spans="1:6" x14ac:dyDescent="0.15">
      <c r="A328" s="2">
        <v>46089</v>
      </c>
      <c r="B328" s="1" t="s">
        <v>612</v>
      </c>
      <c r="C328" s="1" t="s">
        <v>613</v>
      </c>
      <c r="D328" t="b">
        <f ca="1">IF(A328="","",[1]!s_techanal_rcnthigh(B328,$B$2,1,3))</f>
        <v>0</v>
      </c>
      <c r="E328">
        <f ca="1">IF(A328="","",COUNTIF(D$6:D328,"True"))</f>
        <v>0</v>
      </c>
      <c r="F328" t="str">
        <f t="shared" si="5"/>
        <v>000863.SZ</v>
      </c>
    </row>
    <row r="329" spans="1:6" x14ac:dyDescent="0.15">
      <c r="A329" s="2">
        <v>46089</v>
      </c>
      <c r="B329" s="1" t="s">
        <v>614</v>
      </c>
      <c r="C329" s="1" t="s">
        <v>615</v>
      </c>
      <c r="D329" t="b">
        <f ca="1">IF(A329="","",[1]!s_techanal_rcnthigh(B329,$B$2,1,3))</f>
        <v>0</v>
      </c>
      <c r="E329">
        <f ca="1">IF(A329="","",COUNTIF(D$6:D329,"True"))</f>
        <v>0</v>
      </c>
      <c r="F329" t="str">
        <f t="shared" si="5"/>
        <v>000868.SZ</v>
      </c>
    </row>
    <row r="330" spans="1:6" x14ac:dyDescent="0.15">
      <c r="A330" s="2">
        <v>46089</v>
      </c>
      <c r="B330" s="1" t="s">
        <v>616</v>
      </c>
      <c r="C330" s="1" t="s">
        <v>617</v>
      </c>
      <c r="D330" t="b">
        <f ca="1">IF(A330="","",[1]!s_techanal_rcnthigh(B330,$B$2,1,3))</f>
        <v>0</v>
      </c>
      <c r="E330">
        <f ca="1">IF(A330="","",COUNTIF(D$6:D330,"True"))</f>
        <v>0</v>
      </c>
      <c r="F330" t="str">
        <f t="shared" si="5"/>
        <v>000869.SZ</v>
      </c>
    </row>
    <row r="331" spans="1:6" x14ac:dyDescent="0.15">
      <c r="A331" s="2">
        <v>46089</v>
      </c>
      <c r="B331" s="1" t="s">
        <v>618</v>
      </c>
      <c r="C331" s="1" t="s">
        <v>10057</v>
      </c>
      <c r="D331" t="b">
        <f ca="1">IF(A331="","",[1]!s_techanal_rcnthigh(B331,$B$2,1,3))</f>
        <v>0</v>
      </c>
      <c r="E331">
        <f ca="1">IF(A331="","",COUNTIF(D$6:D331,"True"))</f>
        <v>0</v>
      </c>
      <c r="F331" t="str">
        <f t="shared" si="5"/>
        <v>000875.SZ</v>
      </c>
    </row>
    <row r="332" spans="1:6" x14ac:dyDescent="0.15">
      <c r="A332" s="2">
        <v>46089</v>
      </c>
      <c r="B332" s="1" t="s">
        <v>619</v>
      </c>
      <c r="C332" s="1" t="s">
        <v>620</v>
      </c>
      <c r="D332" t="b">
        <f ca="1">IF(A332="","",[1]!s_techanal_rcnthigh(B332,$B$2,1,3))</f>
        <v>0</v>
      </c>
      <c r="E332">
        <f ca="1">IF(A332="","",COUNTIF(D$6:D332,"True"))</f>
        <v>0</v>
      </c>
      <c r="F332" t="str">
        <f t="shared" si="5"/>
        <v>000876.SZ</v>
      </c>
    </row>
    <row r="333" spans="1:6" x14ac:dyDescent="0.15">
      <c r="A333" s="2">
        <v>46089</v>
      </c>
      <c r="B333" s="1" t="s">
        <v>621</v>
      </c>
      <c r="C333" s="1" t="s">
        <v>622</v>
      </c>
      <c r="D333" t="b">
        <f ca="1">IF(A333="","",[1]!s_techanal_rcnthigh(B333,$B$2,1,3))</f>
        <v>0</v>
      </c>
      <c r="E333">
        <f ca="1">IF(A333="","",COUNTIF(D$6:D333,"True"))</f>
        <v>0</v>
      </c>
      <c r="F333" t="str">
        <f t="shared" si="5"/>
        <v>000877.SZ</v>
      </c>
    </row>
    <row r="334" spans="1:6" x14ac:dyDescent="0.15">
      <c r="A334" s="2">
        <v>46089</v>
      </c>
      <c r="B334" s="1" t="s">
        <v>623</v>
      </c>
      <c r="C334" s="1" t="s">
        <v>624</v>
      </c>
      <c r="D334" t="b">
        <f ca="1">IF(A334="","",[1]!s_techanal_rcnthigh(B334,$B$2,1,3))</f>
        <v>0</v>
      </c>
      <c r="E334">
        <f ca="1">IF(A334="","",COUNTIF(D$6:D334,"True"))</f>
        <v>0</v>
      </c>
      <c r="F334" t="str">
        <f t="shared" si="5"/>
        <v>000878.SZ</v>
      </c>
    </row>
    <row r="335" spans="1:6" x14ac:dyDescent="0.15">
      <c r="A335" s="2">
        <v>46089</v>
      </c>
      <c r="B335" s="1" t="s">
        <v>625</v>
      </c>
      <c r="C335" s="1" t="s">
        <v>626</v>
      </c>
      <c r="D335" t="b">
        <f ca="1">IF(A335="","",[1]!s_techanal_rcnthigh(B335,$B$2,1,3))</f>
        <v>0</v>
      </c>
      <c r="E335">
        <f ca="1">IF(A335="","",COUNTIF(D$6:D335,"True"))</f>
        <v>0</v>
      </c>
      <c r="F335" t="str">
        <f t="shared" si="5"/>
        <v>000880.SZ</v>
      </c>
    </row>
    <row r="336" spans="1:6" x14ac:dyDescent="0.15">
      <c r="A336" s="2">
        <v>46089</v>
      </c>
      <c r="B336" s="1" t="s">
        <v>627</v>
      </c>
      <c r="C336" s="1" t="s">
        <v>628</v>
      </c>
      <c r="D336" t="b">
        <f ca="1">IF(A336="","",[1]!s_techanal_rcnthigh(B336,$B$2,1,3))</f>
        <v>0</v>
      </c>
      <c r="E336">
        <f ca="1">IF(A336="","",COUNTIF(D$6:D336,"True"))</f>
        <v>0</v>
      </c>
      <c r="F336" t="str">
        <f t="shared" si="5"/>
        <v>000881.SZ</v>
      </c>
    </row>
    <row r="337" spans="1:6" x14ac:dyDescent="0.15">
      <c r="A337" s="2">
        <v>46089</v>
      </c>
      <c r="B337" s="1" t="s">
        <v>629</v>
      </c>
      <c r="C337" s="1" t="s">
        <v>630</v>
      </c>
      <c r="D337" t="b">
        <f ca="1">IF(A337="","",[1]!s_techanal_rcnthigh(B337,$B$2,1,3))</f>
        <v>0</v>
      </c>
      <c r="E337">
        <f ca="1">IF(A337="","",COUNTIF(D$6:D337,"True"))</f>
        <v>0</v>
      </c>
      <c r="F337" t="str">
        <f t="shared" si="5"/>
        <v>000882.SZ</v>
      </c>
    </row>
    <row r="338" spans="1:6" x14ac:dyDescent="0.15">
      <c r="A338" s="2">
        <v>46089</v>
      </c>
      <c r="B338" s="1" t="s">
        <v>631</v>
      </c>
      <c r="C338" s="1" t="s">
        <v>632</v>
      </c>
      <c r="D338" t="b">
        <f ca="1">IF(A338="","",[1]!s_techanal_rcnthigh(B338,$B$2,1,3))</f>
        <v>0</v>
      </c>
      <c r="E338">
        <f ca="1">IF(A338="","",COUNTIF(D$6:D338,"True"))</f>
        <v>0</v>
      </c>
      <c r="F338" t="str">
        <f t="shared" si="5"/>
        <v>000883.SZ</v>
      </c>
    </row>
    <row r="339" spans="1:6" x14ac:dyDescent="0.15">
      <c r="A339" s="2">
        <v>46089</v>
      </c>
      <c r="B339" s="1" t="s">
        <v>633</v>
      </c>
      <c r="C339" s="1" t="s">
        <v>634</v>
      </c>
      <c r="D339" t="b">
        <f ca="1">IF(A339="","",[1]!s_techanal_rcnthigh(B339,$B$2,1,3))</f>
        <v>0</v>
      </c>
      <c r="E339">
        <f ca="1">IF(A339="","",COUNTIF(D$6:D339,"True"))</f>
        <v>0</v>
      </c>
      <c r="F339" t="str">
        <f t="shared" si="5"/>
        <v>000885.SZ</v>
      </c>
    </row>
    <row r="340" spans="1:6" x14ac:dyDescent="0.15">
      <c r="A340" s="2">
        <v>46089</v>
      </c>
      <c r="B340" s="1" t="s">
        <v>635</v>
      </c>
      <c r="C340" s="1" t="s">
        <v>636</v>
      </c>
      <c r="D340" t="b">
        <f ca="1">IF(A340="","",[1]!s_techanal_rcnthigh(B340,$B$2,1,3))</f>
        <v>0</v>
      </c>
      <c r="E340">
        <f ca="1">IF(A340="","",COUNTIF(D$6:D340,"True"))</f>
        <v>0</v>
      </c>
      <c r="F340" t="str">
        <f t="shared" si="5"/>
        <v>000886.SZ</v>
      </c>
    </row>
    <row r="341" spans="1:6" x14ac:dyDescent="0.15">
      <c r="A341" s="2">
        <v>46089</v>
      </c>
      <c r="B341" s="1" t="s">
        <v>637</v>
      </c>
      <c r="C341" s="1" t="s">
        <v>638</v>
      </c>
      <c r="D341" t="b">
        <f ca="1">IF(A341="","",[1]!s_techanal_rcnthigh(B341,$B$2,1,3))</f>
        <v>0</v>
      </c>
      <c r="E341">
        <f ca="1">IF(A341="","",COUNTIF(D$6:D341,"True"))</f>
        <v>0</v>
      </c>
      <c r="F341" t="str">
        <f t="shared" si="5"/>
        <v>000887.SZ</v>
      </c>
    </row>
    <row r="342" spans="1:6" x14ac:dyDescent="0.15">
      <c r="A342" s="2">
        <v>46089</v>
      </c>
      <c r="B342" s="1" t="s">
        <v>639</v>
      </c>
      <c r="C342" s="1" t="s">
        <v>640</v>
      </c>
      <c r="D342" t="b">
        <f ca="1">IF(A342="","",[1]!s_techanal_rcnthigh(B342,$B$2,1,3))</f>
        <v>0</v>
      </c>
      <c r="E342">
        <f ca="1">IF(A342="","",COUNTIF(D$6:D342,"True"))</f>
        <v>0</v>
      </c>
      <c r="F342" t="str">
        <f t="shared" si="5"/>
        <v>000888.SZ</v>
      </c>
    </row>
    <row r="343" spans="1:6" x14ac:dyDescent="0.15">
      <c r="A343" s="2">
        <v>46089</v>
      </c>
      <c r="B343" s="1" t="s">
        <v>641</v>
      </c>
      <c r="C343" s="1" t="s">
        <v>10058</v>
      </c>
      <c r="D343" t="b">
        <f ca="1">IF(A343="","",[1]!s_techanal_rcnthigh(B343,$B$2,1,3))</f>
        <v>0</v>
      </c>
      <c r="E343">
        <f ca="1">IF(A343="","",COUNTIF(D$6:D343,"True"))</f>
        <v>0</v>
      </c>
      <c r="F343" t="str">
        <f t="shared" si="5"/>
        <v>000889.SZ</v>
      </c>
    </row>
    <row r="344" spans="1:6" x14ac:dyDescent="0.15">
      <c r="A344" s="2">
        <v>46089</v>
      </c>
      <c r="B344" s="1" t="s">
        <v>642</v>
      </c>
      <c r="C344" s="1" t="s">
        <v>643</v>
      </c>
      <c r="D344" t="b">
        <f ca="1">IF(A344="","",[1]!s_techanal_rcnthigh(B344,$B$2,1,3))</f>
        <v>0</v>
      </c>
      <c r="E344">
        <f ca="1">IF(A344="","",COUNTIF(D$6:D344,"True"))</f>
        <v>0</v>
      </c>
      <c r="F344" t="str">
        <f t="shared" si="5"/>
        <v>000890.SZ</v>
      </c>
    </row>
    <row r="345" spans="1:6" x14ac:dyDescent="0.15">
      <c r="A345" s="2">
        <v>46089</v>
      </c>
      <c r="B345" s="1" t="s">
        <v>644</v>
      </c>
      <c r="C345" s="1" t="s">
        <v>645</v>
      </c>
      <c r="D345" t="b">
        <f ca="1">IF(A345="","",[1]!s_techanal_rcnthigh(B345,$B$2,1,3))</f>
        <v>0</v>
      </c>
      <c r="E345">
        <f ca="1">IF(A345="","",COUNTIF(D$6:D345,"True"))</f>
        <v>0</v>
      </c>
      <c r="F345" t="str">
        <f t="shared" si="5"/>
        <v>000892.SZ</v>
      </c>
    </row>
    <row r="346" spans="1:6" x14ac:dyDescent="0.15">
      <c r="A346" s="2">
        <v>46089</v>
      </c>
      <c r="B346" s="1" t="s">
        <v>646</v>
      </c>
      <c r="C346" s="1" t="s">
        <v>647</v>
      </c>
      <c r="D346" t="b">
        <f ca="1">IF(A346="","",[1]!s_techanal_rcnthigh(B346,$B$2,1,3))</f>
        <v>0</v>
      </c>
      <c r="E346">
        <f ca="1">IF(A346="","",COUNTIF(D$6:D346,"True"))</f>
        <v>0</v>
      </c>
      <c r="F346" t="str">
        <f t="shared" si="5"/>
        <v>000893.SZ</v>
      </c>
    </row>
    <row r="347" spans="1:6" x14ac:dyDescent="0.15">
      <c r="A347" s="2">
        <v>46089</v>
      </c>
      <c r="B347" s="1" t="s">
        <v>648</v>
      </c>
      <c r="C347" s="1" t="s">
        <v>649</v>
      </c>
      <c r="D347" t="b">
        <f ca="1">IF(A347="","",[1]!s_techanal_rcnthigh(B347,$B$2,1,3))</f>
        <v>0</v>
      </c>
      <c r="E347">
        <f ca="1">IF(A347="","",COUNTIF(D$6:D347,"True"))</f>
        <v>0</v>
      </c>
      <c r="F347" t="str">
        <f t="shared" si="5"/>
        <v>000895.SZ</v>
      </c>
    </row>
    <row r="348" spans="1:6" x14ac:dyDescent="0.15">
      <c r="A348" s="2">
        <v>46089</v>
      </c>
      <c r="B348" s="1" t="s">
        <v>650</v>
      </c>
      <c r="C348" s="1" t="s">
        <v>651</v>
      </c>
      <c r="D348" t="b">
        <f ca="1">IF(A348="","",[1]!s_techanal_rcnthigh(B348,$B$2,1,3))</f>
        <v>0</v>
      </c>
      <c r="E348">
        <f ca="1">IF(A348="","",COUNTIF(D$6:D348,"True"))</f>
        <v>0</v>
      </c>
      <c r="F348" t="str">
        <f t="shared" si="5"/>
        <v>000897.SZ</v>
      </c>
    </row>
    <row r="349" spans="1:6" x14ac:dyDescent="0.15">
      <c r="A349" s="2">
        <v>46089</v>
      </c>
      <c r="B349" s="1" t="s">
        <v>652</v>
      </c>
      <c r="C349" s="1" t="s">
        <v>653</v>
      </c>
      <c r="D349" t="b">
        <f ca="1">IF(A349="","",[1]!s_techanal_rcnthigh(B349,$B$2,1,3))</f>
        <v>0</v>
      </c>
      <c r="E349">
        <f ca="1">IF(A349="","",COUNTIF(D$6:D349,"True"))</f>
        <v>0</v>
      </c>
      <c r="F349" t="str">
        <f t="shared" si="5"/>
        <v>000898.SZ</v>
      </c>
    </row>
    <row r="350" spans="1:6" x14ac:dyDescent="0.15">
      <c r="A350" s="2">
        <v>46089</v>
      </c>
      <c r="B350" s="1" t="s">
        <v>654</v>
      </c>
      <c r="C350" s="1" t="s">
        <v>655</v>
      </c>
      <c r="D350" t="b">
        <f ca="1">IF(A350="","",[1]!s_techanal_rcnthigh(B350,$B$2,1,3))</f>
        <v>0</v>
      </c>
      <c r="E350">
        <f ca="1">IF(A350="","",COUNTIF(D$6:D350,"True"))</f>
        <v>0</v>
      </c>
      <c r="F350" t="str">
        <f t="shared" si="5"/>
        <v>000899.SZ</v>
      </c>
    </row>
    <row r="351" spans="1:6" x14ac:dyDescent="0.15">
      <c r="A351" s="2">
        <v>46089</v>
      </c>
      <c r="B351" s="1" t="s">
        <v>656</v>
      </c>
      <c r="C351" s="1" t="s">
        <v>657</v>
      </c>
      <c r="D351" t="b">
        <f ca="1">IF(A351="","",[1]!s_techanal_rcnthigh(B351,$B$2,1,3))</f>
        <v>0</v>
      </c>
      <c r="E351">
        <f ca="1">IF(A351="","",COUNTIF(D$6:D351,"True"))</f>
        <v>0</v>
      </c>
      <c r="F351" t="str">
        <f t="shared" si="5"/>
        <v>000900.SZ</v>
      </c>
    </row>
    <row r="352" spans="1:6" x14ac:dyDescent="0.15">
      <c r="A352" s="2">
        <v>46089</v>
      </c>
      <c r="B352" s="1" t="s">
        <v>658</v>
      </c>
      <c r="C352" s="1" t="s">
        <v>659</v>
      </c>
      <c r="D352" t="b">
        <f ca="1">IF(A352="","",[1]!s_techanal_rcnthigh(B352,$B$2,1,3))</f>
        <v>0</v>
      </c>
      <c r="E352">
        <f ca="1">IF(A352="","",COUNTIF(D$6:D352,"True"))</f>
        <v>0</v>
      </c>
      <c r="F352" t="str">
        <f t="shared" si="5"/>
        <v>000901.SZ</v>
      </c>
    </row>
    <row r="353" spans="1:6" x14ac:dyDescent="0.15">
      <c r="A353" s="2">
        <v>46089</v>
      </c>
      <c r="B353" s="1" t="s">
        <v>660</v>
      </c>
      <c r="C353" s="1" t="s">
        <v>661</v>
      </c>
      <c r="D353" t="b">
        <f ca="1">IF(A353="","",[1]!s_techanal_rcnthigh(B353,$B$2,1,3))</f>
        <v>0</v>
      </c>
      <c r="E353">
        <f ca="1">IF(A353="","",COUNTIF(D$6:D353,"True"))</f>
        <v>0</v>
      </c>
      <c r="F353" t="str">
        <f t="shared" si="5"/>
        <v>000902.SZ</v>
      </c>
    </row>
    <row r="354" spans="1:6" x14ac:dyDescent="0.15">
      <c r="A354" s="2">
        <v>46089</v>
      </c>
      <c r="B354" s="1" t="s">
        <v>662</v>
      </c>
      <c r="C354" s="1" t="s">
        <v>10059</v>
      </c>
      <c r="D354" t="b">
        <f ca="1">IF(A354="","",[1]!s_techanal_rcnthigh(B354,$B$2,1,3))</f>
        <v>0</v>
      </c>
      <c r="E354">
        <f ca="1">IF(A354="","",COUNTIF(D$6:D354,"True"))</f>
        <v>0</v>
      </c>
      <c r="F354" t="str">
        <f t="shared" si="5"/>
        <v>000903.SZ</v>
      </c>
    </row>
    <row r="355" spans="1:6" x14ac:dyDescent="0.15">
      <c r="A355" s="2">
        <v>46089</v>
      </c>
      <c r="B355" s="1" t="s">
        <v>663</v>
      </c>
      <c r="C355" s="1" t="s">
        <v>664</v>
      </c>
      <c r="D355" t="b">
        <f ca="1">IF(A355="","",[1]!s_techanal_rcnthigh(B355,$B$2,1,3))</f>
        <v>0</v>
      </c>
      <c r="E355">
        <f ca="1">IF(A355="","",COUNTIF(D$6:D355,"True"))</f>
        <v>0</v>
      </c>
      <c r="F355" t="str">
        <f t="shared" si="5"/>
        <v>000905.SZ</v>
      </c>
    </row>
    <row r="356" spans="1:6" x14ac:dyDescent="0.15">
      <c r="A356" s="2">
        <v>46089</v>
      </c>
      <c r="B356" s="1" t="s">
        <v>665</v>
      </c>
      <c r="C356" s="1" t="s">
        <v>666</v>
      </c>
      <c r="D356" t="b">
        <f ca="1">IF(A356="","",[1]!s_techanal_rcnthigh(B356,$B$2,1,3))</f>
        <v>0</v>
      </c>
      <c r="E356">
        <f ca="1">IF(A356="","",COUNTIF(D$6:D356,"True"))</f>
        <v>0</v>
      </c>
      <c r="F356" t="str">
        <f t="shared" si="5"/>
        <v>000906.SZ</v>
      </c>
    </row>
    <row r="357" spans="1:6" x14ac:dyDescent="0.15">
      <c r="A357" s="2">
        <v>46089</v>
      </c>
      <c r="B357" s="1" t="s">
        <v>667</v>
      </c>
      <c r="C357" s="1" t="s">
        <v>10060</v>
      </c>
      <c r="D357" t="b">
        <f ca="1">IF(A357="","",[1]!s_techanal_rcnthigh(B357,$B$2,1,3))</f>
        <v>0</v>
      </c>
      <c r="E357">
        <f ca="1">IF(A357="","",COUNTIF(D$6:D357,"True"))</f>
        <v>0</v>
      </c>
      <c r="F357" t="str">
        <f t="shared" si="5"/>
        <v>000908.SZ</v>
      </c>
    </row>
    <row r="358" spans="1:6" x14ac:dyDescent="0.15">
      <c r="A358" s="2">
        <v>46089</v>
      </c>
      <c r="B358" s="1" t="s">
        <v>668</v>
      </c>
      <c r="C358" s="1" t="s">
        <v>669</v>
      </c>
      <c r="D358" t="b">
        <f ca="1">IF(A358="","",[1]!s_techanal_rcnthigh(B358,$B$2,1,3))</f>
        <v>0</v>
      </c>
      <c r="E358">
        <f ca="1">IF(A358="","",COUNTIF(D$6:D358,"True"))</f>
        <v>0</v>
      </c>
      <c r="F358" t="str">
        <f t="shared" si="5"/>
        <v>000909.SZ</v>
      </c>
    </row>
    <row r="359" spans="1:6" x14ac:dyDescent="0.15">
      <c r="A359" s="2">
        <v>46089</v>
      </c>
      <c r="B359" s="1" t="s">
        <v>670</v>
      </c>
      <c r="C359" s="1" t="s">
        <v>671</v>
      </c>
      <c r="D359" t="b">
        <f ca="1">IF(A359="","",[1]!s_techanal_rcnthigh(B359,$B$2,1,3))</f>
        <v>0</v>
      </c>
      <c r="E359">
        <f ca="1">IF(A359="","",COUNTIF(D$6:D359,"True"))</f>
        <v>0</v>
      </c>
      <c r="F359" t="str">
        <f t="shared" si="5"/>
        <v>000910.SZ</v>
      </c>
    </row>
    <row r="360" spans="1:6" x14ac:dyDescent="0.15">
      <c r="A360" s="2">
        <v>46089</v>
      </c>
      <c r="B360" s="1" t="s">
        <v>672</v>
      </c>
      <c r="C360" s="1" t="s">
        <v>673</v>
      </c>
      <c r="D360" t="b">
        <f ca="1">IF(A360="","",[1]!s_techanal_rcnthigh(B360,$B$2,1,3))</f>
        <v>0</v>
      </c>
      <c r="E360">
        <f ca="1">IF(A360="","",COUNTIF(D$6:D360,"True"))</f>
        <v>0</v>
      </c>
      <c r="F360" t="str">
        <f t="shared" si="5"/>
        <v>000911.SZ</v>
      </c>
    </row>
    <row r="361" spans="1:6" x14ac:dyDescent="0.15">
      <c r="A361" s="2">
        <v>46089</v>
      </c>
      <c r="B361" s="1" t="s">
        <v>674</v>
      </c>
      <c r="C361" s="1" t="s">
        <v>675</v>
      </c>
      <c r="D361" t="b">
        <f ca="1">IF(A361="","",[1]!s_techanal_rcnthigh(B361,$B$2,1,3))</f>
        <v>0</v>
      </c>
      <c r="E361">
        <f ca="1">IF(A361="","",COUNTIF(D$6:D361,"True"))</f>
        <v>0</v>
      </c>
      <c r="F361" t="str">
        <f t="shared" si="5"/>
        <v>000912.SZ</v>
      </c>
    </row>
    <row r="362" spans="1:6" x14ac:dyDescent="0.15">
      <c r="A362" s="2">
        <v>46089</v>
      </c>
      <c r="B362" s="1" t="s">
        <v>676</v>
      </c>
      <c r="C362" s="1" t="s">
        <v>677</v>
      </c>
      <c r="D362" t="b">
        <f ca="1">IF(A362="","",[1]!s_techanal_rcnthigh(B362,$B$2,1,3))</f>
        <v>0</v>
      </c>
      <c r="E362">
        <f ca="1">IF(A362="","",COUNTIF(D$6:D362,"True"))</f>
        <v>0</v>
      </c>
      <c r="F362" t="str">
        <f t="shared" si="5"/>
        <v>000913.SZ</v>
      </c>
    </row>
    <row r="363" spans="1:6" x14ac:dyDescent="0.15">
      <c r="A363" s="2">
        <v>46089</v>
      </c>
      <c r="B363" s="1" t="s">
        <v>678</v>
      </c>
      <c r="C363" s="1" t="s">
        <v>679</v>
      </c>
      <c r="D363" t="b">
        <f ca="1">IF(A363="","",[1]!s_techanal_rcnthigh(B363,$B$2,1,3))</f>
        <v>0</v>
      </c>
      <c r="E363">
        <f ca="1">IF(A363="","",COUNTIF(D$6:D363,"True"))</f>
        <v>0</v>
      </c>
      <c r="F363" t="str">
        <f t="shared" si="5"/>
        <v>000915.SZ</v>
      </c>
    </row>
    <row r="364" spans="1:6" x14ac:dyDescent="0.15">
      <c r="A364" s="2">
        <v>46089</v>
      </c>
      <c r="B364" s="1" t="s">
        <v>680</v>
      </c>
      <c r="C364" s="1" t="s">
        <v>681</v>
      </c>
      <c r="D364" t="b">
        <f ca="1">IF(A364="","",[1]!s_techanal_rcnthigh(B364,$B$2,1,3))</f>
        <v>0</v>
      </c>
      <c r="E364">
        <f ca="1">IF(A364="","",COUNTIF(D$6:D364,"True"))</f>
        <v>0</v>
      </c>
      <c r="F364" t="str">
        <f t="shared" si="5"/>
        <v>000917.SZ</v>
      </c>
    </row>
    <row r="365" spans="1:6" x14ac:dyDescent="0.15">
      <c r="A365" s="2">
        <v>46089</v>
      </c>
      <c r="B365" s="1" t="s">
        <v>682</v>
      </c>
      <c r="C365" s="1" t="s">
        <v>683</v>
      </c>
      <c r="D365" t="b">
        <f ca="1">IF(A365="","",[1]!s_techanal_rcnthigh(B365,$B$2,1,3))</f>
        <v>0</v>
      </c>
      <c r="E365">
        <f ca="1">IF(A365="","",COUNTIF(D$6:D365,"True"))</f>
        <v>0</v>
      </c>
      <c r="F365" t="str">
        <f t="shared" si="5"/>
        <v>000919.SZ</v>
      </c>
    </row>
    <row r="366" spans="1:6" x14ac:dyDescent="0.15">
      <c r="A366" s="2">
        <v>46089</v>
      </c>
      <c r="B366" s="1" t="s">
        <v>684</v>
      </c>
      <c r="C366" s="1" t="s">
        <v>685</v>
      </c>
      <c r="D366" t="b">
        <f ca="1">IF(A366="","",[1]!s_techanal_rcnthigh(B366,$B$2,1,3))</f>
        <v>0</v>
      </c>
      <c r="E366">
        <f ca="1">IF(A366="","",COUNTIF(D$6:D366,"True"))</f>
        <v>0</v>
      </c>
      <c r="F366" t="str">
        <f t="shared" si="5"/>
        <v>000920.SZ</v>
      </c>
    </row>
    <row r="367" spans="1:6" x14ac:dyDescent="0.15">
      <c r="A367" s="2">
        <v>46089</v>
      </c>
      <c r="B367" s="1" t="s">
        <v>686</v>
      </c>
      <c r="C367" s="1" t="s">
        <v>687</v>
      </c>
      <c r="D367" t="b">
        <f ca="1">IF(A367="","",[1]!s_techanal_rcnthigh(B367,$B$2,1,3))</f>
        <v>0</v>
      </c>
      <c r="E367">
        <f ca="1">IF(A367="","",COUNTIF(D$6:D367,"True"))</f>
        <v>0</v>
      </c>
      <c r="F367" t="str">
        <f t="shared" si="5"/>
        <v>000921.SZ</v>
      </c>
    </row>
    <row r="368" spans="1:6" x14ac:dyDescent="0.15">
      <c r="A368" s="2">
        <v>46089</v>
      </c>
      <c r="B368" s="1" t="s">
        <v>688</v>
      </c>
      <c r="C368" s="1" t="s">
        <v>689</v>
      </c>
      <c r="D368" t="b">
        <f ca="1">IF(A368="","",[1]!s_techanal_rcnthigh(B368,$B$2,1,3))</f>
        <v>0</v>
      </c>
      <c r="E368">
        <f ca="1">IF(A368="","",COUNTIF(D$6:D368,"True"))</f>
        <v>0</v>
      </c>
      <c r="F368" t="str">
        <f t="shared" si="5"/>
        <v>000922.SZ</v>
      </c>
    </row>
    <row r="369" spans="1:6" x14ac:dyDescent="0.15">
      <c r="A369" s="2">
        <v>46089</v>
      </c>
      <c r="B369" s="1" t="s">
        <v>690</v>
      </c>
      <c r="C369" s="1" t="s">
        <v>691</v>
      </c>
      <c r="D369" t="b">
        <f ca="1">IF(A369="","",[1]!s_techanal_rcnthigh(B369,$B$2,1,3))</f>
        <v>0</v>
      </c>
      <c r="E369">
        <f ca="1">IF(A369="","",COUNTIF(D$6:D369,"True"))</f>
        <v>0</v>
      </c>
      <c r="F369" t="str">
        <f t="shared" si="5"/>
        <v>000923.SZ</v>
      </c>
    </row>
    <row r="370" spans="1:6" x14ac:dyDescent="0.15">
      <c r="A370" s="2">
        <v>46089</v>
      </c>
      <c r="B370" s="1" t="s">
        <v>692</v>
      </c>
      <c r="C370" s="1" t="s">
        <v>693</v>
      </c>
      <c r="D370" t="b">
        <f ca="1">IF(A370="","",[1]!s_techanal_rcnthigh(B370,$B$2,1,3))</f>
        <v>0</v>
      </c>
      <c r="E370">
        <f ca="1">IF(A370="","",COUNTIF(D$6:D370,"True"))</f>
        <v>0</v>
      </c>
      <c r="F370" t="str">
        <f t="shared" si="5"/>
        <v>000925.SZ</v>
      </c>
    </row>
    <row r="371" spans="1:6" x14ac:dyDescent="0.15">
      <c r="A371" s="2">
        <v>46089</v>
      </c>
      <c r="B371" s="1" t="s">
        <v>694</v>
      </c>
      <c r="C371" s="1" t="s">
        <v>695</v>
      </c>
      <c r="D371" t="b">
        <f ca="1">IF(A371="","",[1]!s_techanal_rcnthigh(B371,$B$2,1,3))</f>
        <v>0</v>
      </c>
      <c r="E371">
        <f ca="1">IF(A371="","",COUNTIF(D$6:D371,"True"))</f>
        <v>0</v>
      </c>
      <c r="F371" t="str">
        <f t="shared" si="5"/>
        <v>000926.SZ</v>
      </c>
    </row>
    <row r="372" spans="1:6" x14ac:dyDescent="0.15">
      <c r="A372" s="2">
        <v>46089</v>
      </c>
      <c r="B372" s="1" t="s">
        <v>696</v>
      </c>
      <c r="C372" s="1" t="s">
        <v>697</v>
      </c>
      <c r="D372" t="b">
        <f ca="1">IF(A372="","",[1]!s_techanal_rcnthigh(B372,$B$2,1,3))</f>
        <v>0</v>
      </c>
      <c r="E372">
        <f ca="1">IF(A372="","",COUNTIF(D$6:D372,"True"))</f>
        <v>0</v>
      </c>
      <c r="F372" t="str">
        <f t="shared" si="5"/>
        <v>000927.SZ</v>
      </c>
    </row>
    <row r="373" spans="1:6" x14ac:dyDescent="0.15">
      <c r="A373" s="2">
        <v>46089</v>
      </c>
      <c r="B373" s="1" t="s">
        <v>698</v>
      </c>
      <c r="C373" s="1" t="s">
        <v>699</v>
      </c>
      <c r="D373" t="b">
        <f ca="1">IF(A373="","",[1]!s_techanal_rcnthigh(B373,$B$2,1,3))</f>
        <v>0</v>
      </c>
      <c r="E373">
        <f ca="1">IF(A373="","",COUNTIF(D$6:D373,"True"))</f>
        <v>0</v>
      </c>
      <c r="F373" t="str">
        <f t="shared" si="5"/>
        <v>000928.SZ</v>
      </c>
    </row>
    <row r="374" spans="1:6" x14ac:dyDescent="0.15">
      <c r="A374" s="2">
        <v>46089</v>
      </c>
      <c r="B374" s="1" t="s">
        <v>700</v>
      </c>
      <c r="C374" s="1" t="s">
        <v>10061</v>
      </c>
      <c r="D374" t="b">
        <f ca="1">IF(A374="","",[1]!s_techanal_rcnthigh(B374,$B$2,1,3))</f>
        <v>0</v>
      </c>
      <c r="E374">
        <f ca="1">IF(A374="","",COUNTIF(D$6:D374,"True"))</f>
        <v>0</v>
      </c>
      <c r="F374" t="str">
        <f t="shared" si="5"/>
        <v>000929.SZ</v>
      </c>
    </row>
    <row r="375" spans="1:6" x14ac:dyDescent="0.15">
      <c r="A375" s="2">
        <v>46089</v>
      </c>
      <c r="B375" s="1" t="s">
        <v>701</v>
      </c>
      <c r="C375" s="1" t="s">
        <v>702</v>
      </c>
      <c r="D375" t="b">
        <f ca="1">IF(A375="","",[1]!s_techanal_rcnthigh(B375,$B$2,1,3))</f>
        <v>0</v>
      </c>
      <c r="E375">
        <f ca="1">IF(A375="","",COUNTIF(D$6:D375,"True"))</f>
        <v>0</v>
      </c>
      <c r="F375" t="str">
        <f t="shared" si="5"/>
        <v>000930.SZ</v>
      </c>
    </row>
    <row r="376" spans="1:6" x14ac:dyDescent="0.15">
      <c r="A376" s="2">
        <v>46089</v>
      </c>
      <c r="B376" s="1" t="s">
        <v>703</v>
      </c>
      <c r="C376" s="1" t="s">
        <v>704</v>
      </c>
      <c r="D376" t="b">
        <f ca="1">IF(A376="","",[1]!s_techanal_rcnthigh(B376,$B$2,1,3))</f>
        <v>0</v>
      </c>
      <c r="E376">
        <f ca="1">IF(A376="","",COUNTIF(D$6:D376,"True"))</f>
        <v>0</v>
      </c>
      <c r="F376" t="str">
        <f t="shared" si="5"/>
        <v>000931.SZ</v>
      </c>
    </row>
    <row r="377" spans="1:6" x14ac:dyDescent="0.15">
      <c r="A377" s="2">
        <v>46089</v>
      </c>
      <c r="B377" s="1" t="s">
        <v>705</v>
      </c>
      <c r="C377" s="1" t="s">
        <v>706</v>
      </c>
      <c r="D377" t="b">
        <f ca="1">IF(A377="","",[1]!s_techanal_rcnthigh(B377,$B$2,1,3))</f>
        <v>0</v>
      </c>
      <c r="E377">
        <f ca="1">IF(A377="","",COUNTIF(D$6:D377,"True"))</f>
        <v>0</v>
      </c>
      <c r="F377" t="str">
        <f t="shared" si="5"/>
        <v>000932.SZ</v>
      </c>
    </row>
    <row r="378" spans="1:6" x14ac:dyDescent="0.15">
      <c r="A378" s="2">
        <v>46089</v>
      </c>
      <c r="B378" s="1" t="s">
        <v>707</v>
      </c>
      <c r="C378" s="1" t="s">
        <v>708</v>
      </c>
      <c r="D378" t="b">
        <f ca="1">IF(A378="","",[1]!s_techanal_rcnthigh(B378,$B$2,1,3))</f>
        <v>0</v>
      </c>
      <c r="E378">
        <f ca="1">IF(A378="","",COUNTIF(D$6:D378,"True"))</f>
        <v>0</v>
      </c>
      <c r="F378" t="str">
        <f t="shared" si="5"/>
        <v>000933.SZ</v>
      </c>
    </row>
    <row r="379" spans="1:6" x14ac:dyDescent="0.15">
      <c r="A379" s="2">
        <v>46089</v>
      </c>
      <c r="B379" s="1" t="s">
        <v>709</v>
      </c>
      <c r="C379" s="1" t="s">
        <v>710</v>
      </c>
      <c r="D379" t="b">
        <f ca="1">IF(A379="","",[1]!s_techanal_rcnthigh(B379,$B$2,1,3))</f>
        <v>0</v>
      </c>
      <c r="E379">
        <f ca="1">IF(A379="","",COUNTIF(D$6:D379,"True"))</f>
        <v>0</v>
      </c>
      <c r="F379" t="str">
        <f t="shared" si="5"/>
        <v>000935.SZ</v>
      </c>
    </row>
    <row r="380" spans="1:6" x14ac:dyDescent="0.15">
      <c r="A380" s="2">
        <v>46089</v>
      </c>
      <c r="B380" s="1" t="s">
        <v>711</v>
      </c>
      <c r="C380" s="1" t="s">
        <v>712</v>
      </c>
      <c r="D380" t="b">
        <f ca="1">IF(A380="","",[1]!s_techanal_rcnthigh(B380,$B$2,1,3))</f>
        <v>0</v>
      </c>
      <c r="E380">
        <f ca="1">IF(A380="","",COUNTIF(D$6:D380,"True"))</f>
        <v>0</v>
      </c>
      <c r="F380" t="str">
        <f t="shared" si="5"/>
        <v>000936.SZ</v>
      </c>
    </row>
    <row r="381" spans="1:6" x14ac:dyDescent="0.15">
      <c r="A381" s="2">
        <v>46089</v>
      </c>
      <c r="B381" s="1" t="s">
        <v>713</v>
      </c>
      <c r="C381" s="1" t="s">
        <v>714</v>
      </c>
      <c r="D381" t="b">
        <f ca="1">IF(A381="","",[1]!s_techanal_rcnthigh(B381,$B$2,1,3))</f>
        <v>0</v>
      </c>
      <c r="E381">
        <f ca="1">IF(A381="","",COUNTIF(D$6:D381,"True"))</f>
        <v>0</v>
      </c>
      <c r="F381" t="str">
        <f t="shared" si="5"/>
        <v>000937.SZ</v>
      </c>
    </row>
    <row r="382" spans="1:6" x14ac:dyDescent="0.15">
      <c r="A382" s="2">
        <v>46089</v>
      </c>
      <c r="B382" s="1" t="s">
        <v>715</v>
      </c>
      <c r="C382" s="1" t="s">
        <v>716</v>
      </c>
      <c r="D382" t="b">
        <f ca="1">IF(A382="","",[1]!s_techanal_rcnthigh(B382,$B$2,1,3))</f>
        <v>0</v>
      </c>
      <c r="E382">
        <f ca="1">IF(A382="","",COUNTIF(D$6:D382,"True"))</f>
        <v>0</v>
      </c>
      <c r="F382" t="str">
        <f t="shared" si="5"/>
        <v>000938.SZ</v>
      </c>
    </row>
    <row r="383" spans="1:6" x14ac:dyDescent="0.15">
      <c r="A383" s="2">
        <v>46089</v>
      </c>
      <c r="B383" s="1" t="s">
        <v>717</v>
      </c>
      <c r="C383" s="1" t="s">
        <v>718</v>
      </c>
      <c r="D383" t="b">
        <f ca="1">IF(A383="","",[1]!s_techanal_rcnthigh(B383,$B$2,1,3))</f>
        <v>0</v>
      </c>
      <c r="E383">
        <f ca="1">IF(A383="","",COUNTIF(D$6:D383,"True"))</f>
        <v>0</v>
      </c>
      <c r="F383" t="str">
        <f t="shared" si="5"/>
        <v>000948.SZ</v>
      </c>
    </row>
    <row r="384" spans="1:6" x14ac:dyDescent="0.15">
      <c r="A384" s="2">
        <v>46089</v>
      </c>
      <c r="B384" s="1" t="s">
        <v>719</v>
      </c>
      <c r="C384" s="1" t="s">
        <v>720</v>
      </c>
      <c r="D384" t="b">
        <f ca="1">IF(A384="","",[1]!s_techanal_rcnthigh(B384,$B$2,1,3))</f>
        <v>0</v>
      </c>
      <c r="E384">
        <f ca="1">IF(A384="","",COUNTIF(D$6:D384,"True"))</f>
        <v>0</v>
      </c>
      <c r="F384" t="str">
        <f t="shared" si="5"/>
        <v>000949.SZ</v>
      </c>
    </row>
    <row r="385" spans="1:6" x14ac:dyDescent="0.15">
      <c r="A385" s="2">
        <v>46089</v>
      </c>
      <c r="B385" s="1" t="s">
        <v>721</v>
      </c>
      <c r="C385" s="1" t="s">
        <v>722</v>
      </c>
      <c r="D385" t="b">
        <f ca="1">IF(A385="","",[1]!s_techanal_rcnthigh(B385,$B$2,1,3))</f>
        <v>0</v>
      </c>
      <c r="E385">
        <f ca="1">IF(A385="","",COUNTIF(D$6:D385,"True"))</f>
        <v>0</v>
      </c>
      <c r="F385" t="str">
        <f t="shared" si="5"/>
        <v>000950.SZ</v>
      </c>
    </row>
    <row r="386" spans="1:6" x14ac:dyDescent="0.15">
      <c r="A386" s="2">
        <v>46089</v>
      </c>
      <c r="B386" s="1" t="s">
        <v>723</v>
      </c>
      <c r="C386" s="1" t="s">
        <v>724</v>
      </c>
      <c r="D386" t="b">
        <f ca="1">IF(A386="","",[1]!s_techanal_rcnthigh(B386,$B$2,1,3))</f>
        <v>0</v>
      </c>
      <c r="E386">
        <f ca="1">IF(A386="","",COUNTIF(D$6:D386,"True"))</f>
        <v>0</v>
      </c>
      <c r="F386" t="str">
        <f t="shared" si="5"/>
        <v>000951.SZ</v>
      </c>
    </row>
    <row r="387" spans="1:6" x14ac:dyDescent="0.15">
      <c r="A387" s="2">
        <v>46089</v>
      </c>
      <c r="B387" s="1" t="s">
        <v>725</v>
      </c>
      <c r="C387" s="1" t="s">
        <v>726</v>
      </c>
      <c r="D387" t="b">
        <f ca="1">IF(A387="","",[1]!s_techanal_rcnthigh(B387,$B$2,1,3))</f>
        <v>0</v>
      </c>
      <c r="E387">
        <f ca="1">IF(A387="","",COUNTIF(D$6:D387,"True"))</f>
        <v>0</v>
      </c>
      <c r="F387" t="str">
        <f t="shared" si="5"/>
        <v>000952.SZ</v>
      </c>
    </row>
    <row r="388" spans="1:6" x14ac:dyDescent="0.15">
      <c r="A388" s="2">
        <v>46089</v>
      </c>
      <c r="B388" s="1" t="s">
        <v>727</v>
      </c>
      <c r="C388" s="1" t="s">
        <v>728</v>
      </c>
      <c r="D388" t="b">
        <f ca="1">IF(A388="","",[1]!s_techanal_rcnthigh(B388,$B$2,1,3))</f>
        <v>0</v>
      </c>
      <c r="E388">
        <f ca="1">IF(A388="","",COUNTIF(D$6:D388,"True"))</f>
        <v>0</v>
      </c>
      <c r="F388" t="str">
        <f t="shared" si="5"/>
        <v>000953.SZ</v>
      </c>
    </row>
    <row r="389" spans="1:6" x14ac:dyDescent="0.15">
      <c r="A389" s="2">
        <v>46089</v>
      </c>
      <c r="B389" s="1" t="s">
        <v>729</v>
      </c>
      <c r="C389" s="1" t="s">
        <v>730</v>
      </c>
      <c r="D389" t="b">
        <f ca="1">IF(A389="","",[1]!s_techanal_rcnthigh(B389,$B$2,1,3))</f>
        <v>0</v>
      </c>
      <c r="E389">
        <f ca="1">IF(A389="","",COUNTIF(D$6:D389,"True"))</f>
        <v>0</v>
      </c>
      <c r="F389" t="str">
        <f t="shared" si="5"/>
        <v>000955.SZ</v>
      </c>
    </row>
    <row r="390" spans="1:6" x14ac:dyDescent="0.15">
      <c r="A390" s="2">
        <v>46089</v>
      </c>
      <c r="B390" s="1" t="s">
        <v>731</v>
      </c>
      <c r="C390" s="1" t="s">
        <v>732</v>
      </c>
      <c r="D390" t="b">
        <f ca="1">IF(A390="","",[1]!s_techanal_rcnthigh(B390,$B$2,1,3))</f>
        <v>0</v>
      </c>
      <c r="E390">
        <f ca="1">IF(A390="","",COUNTIF(D$6:D390,"True"))</f>
        <v>0</v>
      </c>
      <c r="F390" t="str">
        <f t="shared" ref="F390:F453" si="6">IF(B390="","",B390)</f>
        <v>000957.SZ</v>
      </c>
    </row>
    <row r="391" spans="1:6" x14ac:dyDescent="0.15">
      <c r="A391" s="2">
        <v>46089</v>
      </c>
      <c r="B391" s="1" t="s">
        <v>733</v>
      </c>
      <c r="C391" s="1" t="s">
        <v>734</v>
      </c>
      <c r="D391" t="b">
        <f ca="1">IF(A391="","",[1]!s_techanal_rcnthigh(B391,$B$2,1,3))</f>
        <v>0</v>
      </c>
      <c r="E391">
        <f ca="1">IF(A391="","",COUNTIF(D$6:D391,"True"))</f>
        <v>0</v>
      </c>
      <c r="F391" t="str">
        <f t="shared" si="6"/>
        <v>000958.SZ</v>
      </c>
    </row>
    <row r="392" spans="1:6" x14ac:dyDescent="0.15">
      <c r="A392" s="2">
        <v>46089</v>
      </c>
      <c r="B392" s="1" t="s">
        <v>735</v>
      </c>
      <c r="C392" s="1" t="s">
        <v>736</v>
      </c>
      <c r="D392" t="b">
        <f ca="1">IF(A392="","",[1]!s_techanal_rcnthigh(B392,$B$2,1,3))</f>
        <v>0</v>
      </c>
      <c r="E392">
        <f ca="1">IF(A392="","",COUNTIF(D$6:D392,"True"))</f>
        <v>0</v>
      </c>
      <c r="F392" t="str">
        <f t="shared" si="6"/>
        <v>000959.SZ</v>
      </c>
    </row>
    <row r="393" spans="1:6" x14ac:dyDescent="0.15">
      <c r="A393" s="2">
        <v>46089</v>
      </c>
      <c r="B393" s="1" t="s">
        <v>737</v>
      </c>
      <c r="C393" s="1" t="s">
        <v>738</v>
      </c>
      <c r="D393" t="b">
        <f ca="1">IF(A393="","",[1]!s_techanal_rcnthigh(B393,$B$2,1,3))</f>
        <v>0</v>
      </c>
      <c r="E393">
        <f ca="1">IF(A393="","",COUNTIF(D$6:D393,"True"))</f>
        <v>0</v>
      </c>
      <c r="F393" t="str">
        <f t="shared" si="6"/>
        <v>000960.SZ</v>
      </c>
    </row>
    <row r="394" spans="1:6" x14ac:dyDescent="0.15">
      <c r="A394" s="2">
        <v>46089</v>
      </c>
      <c r="B394" s="1" t="s">
        <v>739</v>
      </c>
      <c r="C394" s="1" t="s">
        <v>740</v>
      </c>
      <c r="D394" t="b">
        <f ca="1">IF(A394="","",[1]!s_techanal_rcnthigh(B394,$B$2,1,3))</f>
        <v>0</v>
      </c>
      <c r="E394">
        <f ca="1">IF(A394="","",COUNTIF(D$6:D394,"True"))</f>
        <v>0</v>
      </c>
      <c r="F394" t="str">
        <f t="shared" si="6"/>
        <v>000962.SZ</v>
      </c>
    </row>
    <row r="395" spans="1:6" x14ac:dyDescent="0.15">
      <c r="A395" s="2">
        <v>46089</v>
      </c>
      <c r="B395" s="1" t="s">
        <v>741</v>
      </c>
      <c r="C395" s="1" t="s">
        <v>742</v>
      </c>
      <c r="D395" t="b">
        <f ca="1">IF(A395="","",[1]!s_techanal_rcnthigh(B395,$B$2,1,3))</f>
        <v>0</v>
      </c>
      <c r="E395">
        <f ca="1">IF(A395="","",COUNTIF(D$6:D395,"True"))</f>
        <v>0</v>
      </c>
      <c r="F395" t="str">
        <f t="shared" si="6"/>
        <v>000963.SZ</v>
      </c>
    </row>
    <row r="396" spans="1:6" x14ac:dyDescent="0.15">
      <c r="A396" s="2">
        <v>46089</v>
      </c>
      <c r="B396" s="1" t="s">
        <v>743</v>
      </c>
      <c r="C396" s="1" t="s">
        <v>744</v>
      </c>
      <c r="D396" t="b">
        <f ca="1">IF(A396="","",[1]!s_techanal_rcnthigh(B396,$B$2,1,3))</f>
        <v>0</v>
      </c>
      <c r="E396">
        <f ca="1">IF(A396="","",COUNTIF(D$6:D396,"True"))</f>
        <v>0</v>
      </c>
      <c r="F396" t="str">
        <f t="shared" si="6"/>
        <v>000965.SZ</v>
      </c>
    </row>
    <row r="397" spans="1:6" x14ac:dyDescent="0.15">
      <c r="A397" s="2">
        <v>46089</v>
      </c>
      <c r="B397" s="1" t="s">
        <v>745</v>
      </c>
      <c r="C397" s="1" t="s">
        <v>746</v>
      </c>
      <c r="D397" t="b">
        <f ca="1">IF(A397="","",[1]!s_techanal_rcnthigh(B397,$B$2,1,3))</f>
        <v>0</v>
      </c>
      <c r="E397">
        <f ca="1">IF(A397="","",COUNTIF(D$6:D397,"True"))</f>
        <v>0</v>
      </c>
      <c r="F397" t="str">
        <f t="shared" si="6"/>
        <v>000966.SZ</v>
      </c>
    </row>
    <row r="398" spans="1:6" x14ac:dyDescent="0.15">
      <c r="A398" s="2">
        <v>46089</v>
      </c>
      <c r="B398" s="1" t="s">
        <v>747</v>
      </c>
      <c r="C398" s="1" t="s">
        <v>748</v>
      </c>
      <c r="D398" t="b">
        <f ca="1">IF(A398="","",[1]!s_techanal_rcnthigh(B398,$B$2,1,3))</f>
        <v>0</v>
      </c>
      <c r="E398">
        <f ca="1">IF(A398="","",COUNTIF(D$6:D398,"True"))</f>
        <v>0</v>
      </c>
      <c r="F398" t="str">
        <f t="shared" si="6"/>
        <v>000967.SZ</v>
      </c>
    </row>
    <row r="399" spans="1:6" x14ac:dyDescent="0.15">
      <c r="A399" s="2">
        <v>46089</v>
      </c>
      <c r="B399" s="1" t="s">
        <v>749</v>
      </c>
      <c r="C399" s="1" t="s">
        <v>750</v>
      </c>
      <c r="D399" t="b">
        <f ca="1">IF(A399="","",[1]!s_techanal_rcnthigh(B399,$B$2,1,3))</f>
        <v>0</v>
      </c>
      <c r="E399">
        <f ca="1">IF(A399="","",COUNTIF(D$6:D399,"True"))</f>
        <v>0</v>
      </c>
      <c r="F399" t="str">
        <f t="shared" si="6"/>
        <v>000968.SZ</v>
      </c>
    </row>
    <row r="400" spans="1:6" x14ac:dyDescent="0.15">
      <c r="A400" s="2">
        <v>46089</v>
      </c>
      <c r="B400" s="1" t="s">
        <v>751</v>
      </c>
      <c r="C400" s="1" t="s">
        <v>752</v>
      </c>
      <c r="D400" t="b">
        <f ca="1">IF(A400="","",[1]!s_techanal_rcnthigh(B400,$B$2,1,3))</f>
        <v>0</v>
      </c>
      <c r="E400">
        <f ca="1">IF(A400="","",COUNTIF(D$6:D400,"True"))</f>
        <v>0</v>
      </c>
      <c r="F400" t="str">
        <f t="shared" si="6"/>
        <v>000969.SZ</v>
      </c>
    </row>
    <row r="401" spans="1:6" x14ac:dyDescent="0.15">
      <c r="A401" s="2">
        <v>46089</v>
      </c>
      <c r="B401" s="1" t="s">
        <v>753</v>
      </c>
      <c r="C401" s="1" t="s">
        <v>754</v>
      </c>
      <c r="D401" t="b">
        <f ca="1">IF(A401="","",[1]!s_techanal_rcnthigh(B401,$B$2,1,3))</f>
        <v>0</v>
      </c>
      <c r="E401">
        <f ca="1">IF(A401="","",COUNTIF(D$6:D401,"True"))</f>
        <v>0</v>
      </c>
      <c r="F401" t="str">
        <f t="shared" si="6"/>
        <v>000970.SZ</v>
      </c>
    </row>
    <row r="402" spans="1:6" x14ac:dyDescent="0.15">
      <c r="A402" s="2">
        <v>46089</v>
      </c>
      <c r="B402" s="1" t="s">
        <v>755</v>
      </c>
      <c r="C402" s="1" t="s">
        <v>10062</v>
      </c>
      <c r="D402" t="b">
        <f ca="1">IF(A402="","",[1]!s_techanal_rcnthigh(B402,$B$2,1,3))</f>
        <v>0</v>
      </c>
      <c r="E402">
        <f ca="1">IF(A402="","",COUNTIF(D$6:D402,"True"))</f>
        <v>0</v>
      </c>
      <c r="F402" t="str">
        <f t="shared" si="6"/>
        <v>000972.SZ</v>
      </c>
    </row>
    <row r="403" spans="1:6" x14ac:dyDescent="0.15">
      <c r="A403" s="2">
        <v>46089</v>
      </c>
      <c r="B403" s="1" t="s">
        <v>756</v>
      </c>
      <c r="C403" s="1" t="s">
        <v>757</v>
      </c>
      <c r="D403" t="b">
        <f ca="1">IF(A403="","",[1]!s_techanal_rcnthigh(B403,$B$2,1,3))</f>
        <v>0</v>
      </c>
      <c r="E403">
        <f ca="1">IF(A403="","",COUNTIF(D$6:D403,"True"))</f>
        <v>0</v>
      </c>
      <c r="F403" t="str">
        <f t="shared" si="6"/>
        <v>000973.SZ</v>
      </c>
    </row>
    <row r="404" spans="1:6" x14ac:dyDescent="0.15">
      <c r="A404" s="2">
        <v>46089</v>
      </c>
      <c r="B404" s="1" t="s">
        <v>758</v>
      </c>
      <c r="C404" s="1" t="s">
        <v>10063</v>
      </c>
      <c r="D404" t="b">
        <f ca="1">IF(A404="","",[1]!s_techanal_rcnthigh(B404,$B$2,1,3))</f>
        <v>0</v>
      </c>
      <c r="E404">
        <f ca="1">IF(A404="","",COUNTIF(D$6:D404,"True"))</f>
        <v>0</v>
      </c>
      <c r="F404" t="str">
        <f t="shared" si="6"/>
        <v>000975.SZ</v>
      </c>
    </row>
    <row r="405" spans="1:6" x14ac:dyDescent="0.15">
      <c r="A405" s="2">
        <v>46089</v>
      </c>
      <c r="B405" s="1" t="s">
        <v>759</v>
      </c>
      <c r="C405" s="1" t="s">
        <v>760</v>
      </c>
      <c r="D405" t="b">
        <f ca="1">IF(A405="","",[1]!s_techanal_rcnthigh(B405,$B$2,1,3))</f>
        <v>0</v>
      </c>
      <c r="E405">
        <f ca="1">IF(A405="","",COUNTIF(D$6:D405,"True"))</f>
        <v>0</v>
      </c>
      <c r="F405" t="str">
        <f t="shared" si="6"/>
        <v>000977.SZ</v>
      </c>
    </row>
    <row r="406" spans="1:6" x14ac:dyDescent="0.15">
      <c r="A406" s="2">
        <v>46089</v>
      </c>
      <c r="B406" s="1" t="s">
        <v>761</v>
      </c>
      <c r="C406" s="1" t="s">
        <v>762</v>
      </c>
      <c r="D406" t="b">
        <f ca="1">IF(A406="","",[1]!s_techanal_rcnthigh(B406,$B$2,1,3))</f>
        <v>0</v>
      </c>
      <c r="E406">
        <f ca="1">IF(A406="","",COUNTIF(D$6:D406,"True"))</f>
        <v>0</v>
      </c>
      <c r="F406" t="str">
        <f t="shared" si="6"/>
        <v>000978.SZ</v>
      </c>
    </row>
    <row r="407" spans="1:6" x14ac:dyDescent="0.15">
      <c r="A407" s="2">
        <v>46089</v>
      </c>
      <c r="B407" s="1" t="s">
        <v>763</v>
      </c>
      <c r="C407" s="1" t="s">
        <v>764</v>
      </c>
      <c r="D407" t="b">
        <f ca="1">IF(A407="","",[1]!s_techanal_rcnthigh(B407,$B$2,1,3))</f>
        <v>0</v>
      </c>
      <c r="E407">
        <f ca="1">IF(A407="","",COUNTIF(D$6:D407,"True"))</f>
        <v>0</v>
      </c>
      <c r="F407" t="str">
        <f t="shared" si="6"/>
        <v>000980.SZ</v>
      </c>
    </row>
    <row r="408" spans="1:6" x14ac:dyDescent="0.15">
      <c r="A408" s="2">
        <v>46089</v>
      </c>
      <c r="B408" s="1" t="s">
        <v>765</v>
      </c>
      <c r="C408" s="1" t="s">
        <v>766</v>
      </c>
      <c r="D408" t="b">
        <f ca="1">IF(A408="","",[1]!s_techanal_rcnthigh(B408,$B$2,1,3))</f>
        <v>0</v>
      </c>
      <c r="E408">
        <f ca="1">IF(A408="","",COUNTIF(D$6:D408,"True"))</f>
        <v>0</v>
      </c>
      <c r="F408" t="str">
        <f t="shared" si="6"/>
        <v>000981.SZ</v>
      </c>
    </row>
    <row r="409" spans="1:6" x14ac:dyDescent="0.15">
      <c r="A409" s="2">
        <v>46089</v>
      </c>
      <c r="B409" s="1" t="s">
        <v>767</v>
      </c>
      <c r="C409" s="1" t="s">
        <v>768</v>
      </c>
      <c r="D409" t="b">
        <f ca="1">IF(A409="","",[1]!s_techanal_rcnthigh(B409,$B$2,1,3))</f>
        <v>0</v>
      </c>
      <c r="E409">
        <f ca="1">IF(A409="","",COUNTIF(D$6:D409,"True"))</f>
        <v>0</v>
      </c>
      <c r="F409" t="str">
        <f t="shared" si="6"/>
        <v>000983.SZ</v>
      </c>
    </row>
    <row r="410" spans="1:6" x14ac:dyDescent="0.15">
      <c r="A410" s="2">
        <v>46089</v>
      </c>
      <c r="B410" s="1" t="s">
        <v>769</v>
      </c>
      <c r="C410" s="1" t="s">
        <v>770</v>
      </c>
      <c r="D410" t="b">
        <f ca="1">IF(A410="","",[1]!s_techanal_rcnthigh(B410,$B$2,1,3))</f>
        <v>0</v>
      </c>
      <c r="E410">
        <f ca="1">IF(A410="","",COUNTIF(D$6:D410,"True"))</f>
        <v>0</v>
      </c>
      <c r="F410" t="str">
        <f t="shared" si="6"/>
        <v>000985.SZ</v>
      </c>
    </row>
    <row r="411" spans="1:6" x14ac:dyDescent="0.15">
      <c r="A411" s="2">
        <v>46089</v>
      </c>
      <c r="B411" s="1" t="s">
        <v>771</v>
      </c>
      <c r="C411" s="1" t="s">
        <v>772</v>
      </c>
      <c r="D411" t="b">
        <f ca="1">IF(A411="","",[1]!s_techanal_rcnthigh(B411,$B$2,1,3))</f>
        <v>0</v>
      </c>
      <c r="E411">
        <f ca="1">IF(A411="","",COUNTIF(D$6:D411,"True"))</f>
        <v>0</v>
      </c>
      <c r="F411" t="str">
        <f t="shared" si="6"/>
        <v>000987.SZ</v>
      </c>
    </row>
    <row r="412" spans="1:6" x14ac:dyDescent="0.15">
      <c r="A412" s="2">
        <v>46089</v>
      </c>
      <c r="B412" s="1" t="s">
        <v>773</v>
      </c>
      <c r="C412" s="1" t="s">
        <v>774</v>
      </c>
      <c r="D412" t="b">
        <f ca="1">IF(A412="","",[1]!s_techanal_rcnthigh(B412,$B$2,1,3))</f>
        <v>1</v>
      </c>
      <c r="E412">
        <f ca="1">IF(A412="","",COUNTIF(D$6:D412,"True"))</f>
        <v>1</v>
      </c>
      <c r="F412" t="str">
        <f t="shared" si="6"/>
        <v>000988.SZ</v>
      </c>
    </row>
    <row r="413" spans="1:6" x14ac:dyDescent="0.15">
      <c r="A413" s="2">
        <v>46089</v>
      </c>
      <c r="B413" s="1" t="s">
        <v>775</v>
      </c>
      <c r="C413" s="1" t="s">
        <v>776</v>
      </c>
      <c r="D413" t="b">
        <f ca="1">IF(A413="","",[1]!s_techanal_rcnthigh(B413,$B$2,1,3))</f>
        <v>0</v>
      </c>
      <c r="E413">
        <f ca="1">IF(A413="","",COUNTIF(D$6:D413,"True"))</f>
        <v>1</v>
      </c>
      <c r="F413" t="str">
        <f t="shared" si="6"/>
        <v>000989.SZ</v>
      </c>
    </row>
    <row r="414" spans="1:6" x14ac:dyDescent="0.15">
      <c r="A414" s="2">
        <v>46089</v>
      </c>
      <c r="B414" s="1" t="s">
        <v>777</v>
      </c>
      <c r="C414" s="1" t="s">
        <v>778</v>
      </c>
      <c r="D414" t="b">
        <f ca="1">IF(A414="","",[1]!s_techanal_rcnthigh(B414,$B$2,1,3))</f>
        <v>0</v>
      </c>
      <c r="E414">
        <f ca="1">IF(A414="","",COUNTIF(D$6:D414,"True"))</f>
        <v>1</v>
      </c>
      <c r="F414" t="str">
        <f t="shared" si="6"/>
        <v>000990.SZ</v>
      </c>
    </row>
    <row r="415" spans="1:6" x14ac:dyDescent="0.15">
      <c r="A415" s="2">
        <v>46089</v>
      </c>
      <c r="B415" s="1" t="s">
        <v>779</v>
      </c>
      <c r="C415" s="1" t="s">
        <v>780</v>
      </c>
      <c r="D415" t="b">
        <f ca="1">IF(A415="","",[1]!s_techanal_rcnthigh(B415,$B$2,1,3))</f>
        <v>0</v>
      </c>
      <c r="E415">
        <f ca="1">IF(A415="","",COUNTIF(D$6:D415,"True"))</f>
        <v>1</v>
      </c>
      <c r="F415" t="str">
        <f t="shared" si="6"/>
        <v>000993.SZ</v>
      </c>
    </row>
    <row r="416" spans="1:6" x14ac:dyDescent="0.15">
      <c r="A416" s="2">
        <v>46089</v>
      </c>
      <c r="B416" s="1" t="s">
        <v>781</v>
      </c>
      <c r="C416" s="1" t="s">
        <v>782</v>
      </c>
      <c r="D416" t="b">
        <f ca="1">IF(A416="","",[1]!s_techanal_rcnthigh(B416,$B$2,1,3))</f>
        <v>0</v>
      </c>
      <c r="E416">
        <f ca="1">IF(A416="","",COUNTIF(D$6:D416,"True"))</f>
        <v>1</v>
      </c>
      <c r="F416" t="str">
        <f t="shared" si="6"/>
        <v>000995.SZ</v>
      </c>
    </row>
    <row r="417" spans="1:6" x14ac:dyDescent="0.15">
      <c r="A417" s="2">
        <v>46089</v>
      </c>
      <c r="B417" s="1" t="s">
        <v>783</v>
      </c>
      <c r="C417" s="1" t="s">
        <v>784</v>
      </c>
      <c r="D417" t="b">
        <f ca="1">IF(A417="","",[1]!s_techanal_rcnthigh(B417,$B$2,1,3))</f>
        <v>0</v>
      </c>
      <c r="E417">
        <f ca="1">IF(A417="","",COUNTIF(D$6:D417,"True"))</f>
        <v>1</v>
      </c>
      <c r="F417" t="str">
        <f t="shared" si="6"/>
        <v>000997.SZ</v>
      </c>
    </row>
    <row r="418" spans="1:6" x14ac:dyDescent="0.15">
      <c r="A418" s="2">
        <v>46089</v>
      </c>
      <c r="B418" s="1" t="s">
        <v>785</v>
      </c>
      <c r="C418" s="1" t="s">
        <v>786</v>
      </c>
      <c r="D418" t="b">
        <f ca="1">IF(A418="","",[1]!s_techanal_rcnthigh(B418,$B$2,1,3))</f>
        <v>0</v>
      </c>
      <c r="E418">
        <f ca="1">IF(A418="","",COUNTIF(D$6:D418,"True"))</f>
        <v>1</v>
      </c>
      <c r="F418" t="str">
        <f t="shared" si="6"/>
        <v>000998.SZ</v>
      </c>
    </row>
    <row r="419" spans="1:6" x14ac:dyDescent="0.15">
      <c r="A419" s="2">
        <v>46089</v>
      </c>
      <c r="B419" s="1" t="s">
        <v>787</v>
      </c>
      <c r="C419" s="1" t="s">
        <v>788</v>
      </c>
      <c r="D419" t="b">
        <f ca="1">IF(A419="","",[1]!s_techanal_rcnthigh(B419,$B$2,1,3))</f>
        <v>0</v>
      </c>
      <c r="E419">
        <f ca="1">IF(A419="","",COUNTIF(D$6:D419,"True"))</f>
        <v>1</v>
      </c>
      <c r="F419" t="str">
        <f t="shared" si="6"/>
        <v>000999.SZ</v>
      </c>
    </row>
    <row r="420" spans="1:6" x14ac:dyDescent="0.15">
      <c r="A420" s="2">
        <v>46089</v>
      </c>
      <c r="B420" s="1" t="s">
        <v>789</v>
      </c>
      <c r="C420" s="1" t="s">
        <v>790</v>
      </c>
      <c r="D420" t="b">
        <f ca="1">IF(A420="","",[1]!s_techanal_rcnthigh(B420,$B$2,1,3))</f>
        <v>0</v>
      </c>
      <c r="E420">
        <f ca="1">IF(A420="","",COUNTIF(D$6:D420,"True"))</f>
        <v>1</v>
      </c>
      <c r="F420" t="str">
        <f t="shared" si="6"/>
        <v>001201.SZ</v>
      </c>
    </row>
    <row r="421" spans="1:6" x14ac:dyDescent="0.15">
      <c r="A421" s="2">
        <v>46089</v>
      </c>
      <c r="B421" s="1" t="s">
        <v>791</v>
      </c>
      <c r="C421" s="1" t="s">
        <v>792</v>
      </c>
      <c r="D421" t="b">
        <f ca="1">IF(A421="","",[1]!s_techanal_rcnthigh(B421,$B$2,1,3))</f>
        <v>0</v>
      </c>
      <c r="E421">
        <f ca="1">IF(A421="","",COUNTIF(D$6:D421,"True"))</f>
        <v>1</v>
      </c>
      <c r="F421" t="str">
        <f t="shared" si="6"/>
        <v>001202.SZ</v>
      </c>
    </row>
    <row r="422" spans="1:6" x14ac:dyDescent="0.15">
      <c r="A422" s="2">
        <v>46089</v>
      </c>
      <c r="B422" s="1" t="s">
        <v>793</v>
      </c>
      <c r="C422" s="1" t="s">
        <v>794</v>
      </c>
      <c r="D422" t="b">
        <f ca="1">IF(A422="","",[1]!s_techanal_rcnthigh(B422,$B$2,1,3))</f>
        <v>0</v>
      </c>
      <c r="E422">
        <f ca="1">IF(A422="","",COUNTIF(D$6:D422,"True"))</f>
        <v>1</v>
      </c>
      <c r="F422" t="str">
        <f t="shared" si="6"/>
        <v>001203.SZ</v>
      </c>
    </row>
    <row r="423" spans="1:6" x14ac:dyDescent="0.15">
      <c r="A423" s="2">
        <v>46089</v>
      </c>
      <c r="B423" s="1" t="s">
        <v>795</v>
      </c>
      <c r="C423" s="1" t="s">
        <v>796</v>
      </c>
      <c r="D423" t="b">
        <f ca="1">IF(A423="","",[1]!s_techanal_rcnthigh(B423,$B$2,1,3))</f>
        <v>0</v>
      </c>
      <c r="E423">
        <f ca="1">IF(A423="","",COUNTIF(D$6:D423,"True"))</f>
        <v>1</v>
      </c>
      <c r="F423" t="str">
        <f t="shared" si="6"/>
        <v>001205.SZ</v>
      </c>
    </row>
    <row r="424" spans="1:6" x14ac:dyDescent="0.15">
      <c r="A424" s="2">
        <v>46089</v>
      </c>
      <c r="B424" s="1" t="s">
        <v>797</v>
      </c>
      <c r="C424" s="1" t="s">
        <v>798</v>
      </c>
      <c r="D424" t="b">
        <f ca="1">IF(A424="","",[1]!s_techanal_rcnthigh(B424,$B$2,1,3))</f>
        <v>0</v>
      </c>
      <c r="E424">
        <f ca="1">IF(A424="","",COUNTIF(D$6:D424,"True"))</f>
        <v>1</v>
      </c>
      <c r="F424" t="str">
        <f t="shared" si="6"/>
        <v>001206.SZ</v>
      </c>
    </row>
    <row r="425" spans="1:6" x14ac:dyDescent="0.15">
      <c r="A425" s="2">
        <v>46089</v>
      </c>
      <c r="B425" s="1" t="s">
        <v>799</v>
      </c>
      <c r="C425" s="1" t="s">
        <v>800</v>
      </c>
      <c r="D425" t="b">
        <f ca="1">IF(A425="","",[1]!s_techanal_rcnthigh(B425,$B$2,1,3))</f>
        <v>0</v>
      </c>
      <c r="E425">
        <f ca="1">IF(A425="","",COUNTIF(D$6:D425,"True"))</f>
        <v>1</v>
      </c>
      <c r="F425" t="str">
        <f t="shared" si="6"/>
        <v>001207.SZ</v>
      </c>
    </row>
    <row r="426" spans="1:6" x14ac:dyDescent="0.15">
      <c r="A426" s="2">
        <v>46089</v>
      </c>
      <c r="B426" s="1" t="s">
        <v>801</v>
      </c>
      <c r="C426" s="1" t="s">
        <v>802</v>
      </c>
      <c r="D426" t="b">
        <f ca="1">IF(A426="","",[1]!s_techanal_rcnthigh(B426,$B$2,1,3))</f>
        <v>0</v>
      </c>
      <c r="E426">
        <f ca="1">IF(A426="","",COUNTIF(D$6:D426,"True"))</f>
        <v>1</v>
      </c>
      <c r="F426" t="str">
        <f t="shared" si="6"/>
        <v>001208.SZ</v>
      </c>
    </row>
    <row r="427" spans="1:6" x14ac:dyDescent="0.15">
      <c r="A427" s="2">
        <v>46089</v>
      </c>
      <c r="B427" s="1" t="s">
        <v>803</v>
      </c>
      <c r="C427" s="1" t="s">
        <v>804</v>
      </c>
      <c r="D427" t="b">
        <f ca="1">IF(A427="","",[1]!s_techanal_rcnthigh(B427,$B$2,1,3))</f>
        <v>0</v>
      </c>
      <c r="E427">
        <f ca="1">IF(A427="","",COUNTIF(D$6:D427,"True"))</f>
        <v>1</v>
      </c>
      <c r="F427" t="str">
        <f t="shared" si="6"/>
        <v>001209.SZ</v>
      </c>
    </row>
    <row r="428" spans="1:6" x14ac:dyDescent="0.15">
      <c r="A428" s="2">
        <v>46089</v>
      </c>
      <c r="B428" s="1" t="s">
        <v>805</v>
      </c>
      <c r="C428" s="1" t="s">
        <v>806</v>
      </c>
      <c r="D428" t="b">
        <f ca="1">IF(A428="","",[1]!s_techanal_rcnthigh(B428,$B$2,1,3))</f>
        <v>0</v>
      </c>
      <c r="E428">
        <f ca="1">IF(A428="","",COUNTIF(D$6:D428,"True"))</f>
        <v>1</v>
      </c>
      <c r="F428" t="str">
        <f t="shared" si="6"/>
        <v>001210.SZ</v>
      </c>
    </row>
    <row r="429" spans="1:6" x14ac:dyDescent="0.15">
      <c r="A429" s="2">
        <v>46089</v>
      </c>
      <c r="B429" s="1" t="s">
        <v>807</v>
      </c>
      <c r="C429" s="1" t="s">
        <v>808</v>
      </c>
      <c r="D429" t="b">
        <f ca="1">IF(A429="","",[1]!s_techanal_rcnthigh(B429,$B$2,1,3))</f>
        <v>0</v>
      </c>
      <c r="E429">
        <f ca="1">IF(A429="","",COUNTIF(D$6:D429,"True"))</f>
        <v>1</v>
      </c>
      <c r="F429" t="str">
        <f t="shared" si="6"/>
        <v>001211.SZ</v>
      </c>
    </row>
    <row r="430" spans="1:6" x14ac:dyDescent="0.15">
      <c r="A430" s="2">
        <v>46089</v>
      </c>
      <c r="B430" s="1" t="s">
        <v>809</v>
      </c>
      <c r="C430" s="1" t="s">
        <v>810</v>
      </c>
      <c r="D430" t="b">
        <f ca="1">IF(A430="","",[1]!s_techanal_rcnthigh(B430,$B$2,1,3))</f>
        <v>0</v>
      </c>
      <c r="E430">
        <f ca="1">IF(A430="","",COUNTIF(D$6:D430,"True"))</f>
        <v>1</v>
      </c>
      <c r="F430" t="str">
        <f t="shared" si="6"/>
        <v>001212.SZ</v>
      </c>
    </row>
    <row r="431" spans="1:6" x14ac:dyDescent="0.15">
      <c r="A431" s="2">
        <v>46089</v>
      </c>
      <c r="B431" s="1" t="s">
        <v>811</v>
      </c>
      <c r="C431" s="1" t="s">
        <v>812</v>
      </c>
      <c r="D431" t="b">
        <f ca="1">IF(A431="","",[1]!s_techanal_rcnthigh(B431,$B$2,1,3))</f>
        <v>0</v>
      </c>
      <c r="E431">
        <f ca="1">IF(A431="","",COUNTIF(D$6:D431,"True"))</f>
        <v>1</v>
      </c>
      <c r="F431" t="str">
        <f t="shared" si="6"/>
        <v>001213.SZ</v>
      </c>
    </row>
    <row r="432" spans="1:6" x14ac:dyDescent="0.15">
      <c r="A432" s="2">
        <v>46089</v>
      </c>
      <c r="B432" s="1" t="s">
        <v>813</v>
      </c>
      <c r="C432" s="1" t="s">
        <v>814</v>
      </c>
      <c r="D432" t="b">
        <f ca="1">IF(A432="","",[1]!s_techanal_rcnthigh(B432,$B$2,1,3))</f>
        <v>0</v>
      </c>
      <c r="E432">
        <f ca="1">IF(A432="","",COUNTIF(D$6:D432,"True"))</f>
        <v>1</v>
      </c>
      <c r="F432" t="str">
        <f t="shared" si="6"/>
        <v>001215.SZ</v>
      </c>
    </row>
    <row r="433" spans="1:6" x14ac:dyDescent="0.15">
      <c r="A433" s="2">
        <v>46089</v>
      </c>
      <c r="B433" s="1" t="s">
        <v>815</v>
      </c>
      <c r="C433" s="1" t="s">
        <v>816</v>
      </c>
      <c r="D433" t="b">
        <f ca="1">IF(A433="","",[1]!s_techanal_rcnthigh(B433,$B$2,1,3))</f>
        <v>0</v>
      </c>
      <c r="E433">
        <f ca="1">IF(A433="","",COUNTIF(D$6:D433,"True"))</f>
        <v>1</v>
      </c>
      <c r="F433" t="str">
        <f t="shared" si="6"/>
        <v>001216.SZ</v>
      </c>
    </row>
    <row r="434" spans="1:6" x14ac:dyDescent="0.15">
      <c r="A434" s="2">
        <v>46089</v>
      </c>
      <c r="B434" s="1" t="s">
        <v>817</v>
      </c>
      <c r="C434" s="1" t="s">
        <v>818</v>
      </c>
      <c r="D434" t="b">
        <f ca="1">IF(A434="","",[1]!s_techanal_rcnthigh(B434,$B$2,1,3))</f>
        <v>0</v>
      </c>
      <c r="E434">
        <f ca="1">IF(A434="","",COUNTIF(D$6:D434,"True"))</f>
        <v>1</v>
      </c>
      <c r="F434" t="str">
        <f t="shared" si="6"/>
        <v>001217.SZ</v>
      </c>
    </row>
    <row r="435" spans="1:6" x14ac:dyDescent="0.15">
      <c r="A435" s="2">
        <v>46089</v>
      </c>
      <c r="B435" s="1" t="s">
        <v>819</v>
      </c>
      <c r="C435" s="1" t="s">
        <v>820</v>
      </c>
      <c r="D435" t="b">
        <f ca="1">IF(A435="","",[1]!s_techanal_rcnthigh(B435,$B$2,1,3))</f>
        <v>0</v>
      </c>
      <c r="E435">
        <f ca="1">IF(A435="","",COUNTIF(D$6:D435,"True"))</f>
        <v>1</v>
      </c>
      <c r="F435" t="str">
        <f t="shared" si="6"/>
        <v>001218.SZ</v>
      </c>
    </row>
    <row r="436" spans="1:6" x14ac:dyDescent="0.15">
      <c r="A436" s="2">
        <v>46089</v>
      </c>
      <c r="B436" s="1" t="s">
        <v>821</v>
      </c>
      <c r="C436" s="1" t="s">
        <v>822</v>
      </c>
      <c r="D436" t="b">
        <f ca="1">IF(A436="","",[1]!s_techanal_rcnthigh(B436,$B$2,1,3))</f>
        <v>0</v>
      </c>
      <c r="E436">
        <f ca="1">IF(A436="","",COUNTIF(D$6:D436,"True"))</f>
        <v>1</v>
      </c>
      <c r="F436" t="str">
        <f t="shared" si="6"/>
        <v>001219.SZ</v>
      </c>
    </row>
    <row r="437" spans="1:6" x14ac:dyDescent="0.15">
      <c r="A437" s="2">
        <v>46089</v>
      </c>
      <c r="B437" s="1" t="s">
        <v>10064</v>
      </c>
      <c r="C437" s="1" t="s">
        <v>10065</v>
      </c>
      <c r="D437" t="b">
        <f ca="1">IF(A437="","",[1]!s_techanal_rcnthigh(B437,$B$2,1,3))</f>
        <v>0</v>
      </c>
      <c r="E437">
        <f ca="1">IF(A437="","",COUNTIF(D$6:D437,"True"))</f>
        <v>1</v>
      </c>
      <c r="F437" t="str">
        <f t="shared" si="6"/>
        <v>001220.SZ</v>
      </c>
    </row>
    <row r="438" spans="1:6" x14ac:dyDescent="0.15">
      <c r="A438" s="2">
        <v>46089</v>
      </c>
      <c r="B438" s="1" t="s">
        <v>10066</v>
      </c>
      <c r="C438" s="1" t="s">
        <v>10067</v>
      </c>
      <c r="D438" t="b">
        <f ca="1">IF(A438="","",[1]!s_techanal_rcnthigh(B438,$B$2,1,3))</f>
        <v>0</v>
      </c>
      <c r="E438">
        <f ca="1">IF(A438="","",COUNTIF(D$6:D438,"True"))</f>
        <v>1</v>
      </c>
      <c r="F438" t="str">
        <f t="shared" si="6"/>
        <v>001221.SZ</v>
      </c>
    </row>
    <row r="439" spans="1:6" x14ac:dyDescent="0.15">
      <c r="A439" s="2">
        <v>46089</v>
      </c>
      <c r="B439" s="1" t="s">
        <v>823</v>
      </c>
      <c r="C439" s="1" t="s">
        <v>824</v>
      </c>
      <c r="D439" t="b">
        <f ca="1">IF(A439="","",[1]!s_techanal_rcnthigh(B439,$B$2,1,3))</f>
        <v>0</v>
      </c>
      <c r="E439">
        <f ca="1">IF(A439="","",COUNTIF(D$6:D439,"True"))</f>
        <v>1</v>
      </c>
      <c r="F439" t="str">
        <f t="shared" si="6"/>
        <v>001222.SZ</v>
      </c>
    </row>
    <row r="440" spans="1:6" x14ac:dyDescent="0.15">
      <c r="A440" s="2">
        <v>46089</v>
      </c>
      <c r="B440" s="1" t="s">
        <v>825</v>
      </c>
      <c r="C440" s="1" t="s">
        <v>826</v>
      </c>
      <c r="D440" t="b">
        <f ca="1">IF(A440="","",[1]!s_techanal_rcnthigh(B440,$B$2,1,3))</f>
        <v>0</v>
      </c>
      <c r="E440">
        <f ca="1">IF(A440="","",COUNTIF(D$6:D440,"True"))</f>
        <v>1</v>
      </c>
      <c r="F440" t="str">
        <f t="shared" si="6"/>
        <v>001223.SZ</v>
      </c>
    </row>
    <row r="441" spans="1:6" x14ac:dyDescent="0.15">
      <c r="A441" s="2">
        <v>46089</v>
      </c>
      <c r="B441" s="1" t="s">
        <v>827</v>
      </c>
      <c r="C441" s="1" t="s">
        <v>828</v>
      </c>
      <c r="D441" t="b">
        <f ca="1">IF(A441="","",[1]!s_techanal_rcnthigh(B441,$B$2,1,3))</f>
        <v>0</v>
      </c>
      <c r="E441">
        <f ca="1">IF(A441="","",COUNTIF(D$6:D441,"True"))</f>
        <v>1</v>
      </c>
      <c r="F441" t="str">
        <f t="shared" si="6"/>
        <v>001225.SZ</v>
      </c>
    </row>
    <row r="442" spans="1:6" x14ac:dyDescent="0.15">
      <c r="A442" s="2">
        <v>46089</v>
      </c>
      <c r="B442" s="1" t="s">
        <v>829</v>
      </c>
      <c r="C442" s="1" t="s">
        <v>830</v>
      </c>
      <c r="D442" t="b">
        <f ca="1">IF(A442="","",[1]!s_techanal_rcnthigh(B442,$B$2,1,3))</f>
        <v>0</v>
      </c>
      <c r="E442">
        <f ca="1">IF(A442="","",COUNTIF(D$6:D442,"True"))</f>
        <v>1</v>
      </c>
      <c r="F442" t="str">
        <f t="shared" si="6"/>
        <v>001226.SZ</v>
      </c>
    </row>
    <row r="443" spans="1:6" x14ac:dyDescent="0.15">
      <c r="A443" s="2">
        <v>46089</v>
      </c>
      <c r="B443" s="1" t="s">
        <v>831</v>
      </c>
      <c r="C443" s="1" t="s">
        <v>832</v>
      </c>
      <c r="D443" t="b">
        <f ca="1">IF(A443="","",[1]!s_techanal_rcnthigh(B443,$B$2,1,3))</f>
        <v>0</v>
      </c>
      <c r="E443">
        <f ca="1">IF(A443="","",COUNTIF(D$6:D443,"True"))</f>
        <v>1</v>
      </c>
      <c r="F443" t="str">
        <f t="shared" si="6"/>
        <v>001227.SZ</v>
      </c>
    </row>
    <row r="444" spans="1:6" x14ac:dyDescent="0.15">
      <c r="A444" s="2">
        <v>46089</v>
      </c>
      <c r="B444" s="1" t="s">
        <v>833</v>
      </c>
      <c r="C444" s="1" t="s">
        <v>834</v>
      </c>
      <c r="D444" t="b">
        <f ca="1">IF(A444="","",[1]!s_techanal_rcnthigh(B444,$B$2,1,3))</f>
        <v>0</v>
      </c>
      <c r="E444">
        <f ca="1">IF(A444="","",COUNTIF(D$6:D444,"True"))</f>
        <v>1</v>
      </c>
      <c r="F444" t="str">
        <f t="shared" si="6"/>
        <v>001228.SZ</v>
      </c>
    </row>
    <row r="445" spans="1:6" x14ac:dyDescent="0.15">
      <c r="A445" s="2">
        <v>46089</v>
      </c>
      <c r="B445" s="1" t="s">
        <v>835</v>
      </c>
      <c r="C445" s="1" t="s">
        <v>836</v>
      </c>
      <c r="D445" t="b">
        <f ca="1">IF(A445="","",[1]!s_techanal_rcnthigh(B445,$B$2,1,3))</f>
        <v>0</v>
      </c>
      <c r="E445">
        <f ca="1">IF(A445="","",COUNTIF(D$6:D445,"True"))</f>
        <v>1</v>
      </c>
      <c r="F445" t="str">
        <f t="shared" si="6"/>
        <v>001229.SZ</v>
      </c>
    </row>
    <row r="446" spans="1:6" x14ac:dyDescent="0.15">
      <c r="A446" s="2">
        <v>46089</v>
      </c>
      <c r="B446" s="1" t="s">
        <v>837</v>
      </c>
      <c r="C446" s="1" t="s">
        <v>838</v>
      </c>
      <c r="D446" t="b">
        <f ca="1">IF(A446="","",[1]!s_techanal_rcnthigh(B446,$B$2,1,3))</f>
        <v>0</v>
      </c>
      <c r="E446">
        <f ca="1">IF(A446="","",COUNTIF(D$6:D446,"True"))</f>
        <v>1</v>
      </c>
      <c r="F446" t="str">
        <f t="shared" si="6"/>
        <v>001230.SZ</v>
      </c>
    </row>
    <row r="447" spans="1:6" x14ac:dyDescent="0.15">
      <c r="A447" s="2">
        <v>46089</v>
      </c>
      <c r="B447" s="1" t="s">
        <v>839</v>
      </c>
      <c r="C447" s="1" t="s">
        <v>840</v>
      </c>
      <c r="D447" t="b">
        <f ca="1">IF(A447="","",[1]!s_techanal_rcnthigh(B447,$B$2,1,3))</f>
        <v>0</v>
      </c>
      <c r="E447">
        <f ca="1">IF(A447="","",COUNTIF(D$6:D447,"True"))</f>
        <v>1</v>
      </c>
      <c r="F447" t="str">
        <f t="shared" si="6"/>
        <v>001231.SZ</v>
      </c>
    </row>
    <row r="448" spans="1:6" x14ac:dyDescent="0.15">
      <c r="A448" s="2">
        <v>46089</v>
      </c>
      <c r="B448" s="1" t="s">
        <v>10068</v>
      </c>
      <c r="C448" s="1" t="s">
        <v>10069</v>
      </c>
      <c r="D448" t="b">
        <f ca="1">IF(A448="","",[1]!s_techanal_rcnthigh(B448,$B$2,1,3))</f>
        <v>0</v>
      </c>
      <c r="E448">
        <f ca="1">IF(A448="","",COUNTIF(D$6:D448,"True"))</f>
        <v>1</v>
      </c>
      <c r="F448" t="str">
        <f t="shared" si="6"/>
        <v>001233.SZ</v>
      </c>
    </row>
    <row r="449" spans="1:6" x14ac:dyDescent="0.15">
      <c r="A449" s="2">
        <v>46089</v>
      </c>
      <c r="B449" s="1" t="s">
        <v>841</v>
      </c>
      <c r="C449" s="1" t="s">
        <v>842</v>
      </c>
      <c r="D449" t="b">
        <f ca="1">IF(A449="","",[1]!s_techanal_rcnthigh(B449,$B$2,1,3))</f>
        <v>0</v>
      </c>
      <c r="E449">
        <f ca="1">IF(A449="","",COUNTIF(D$6:D449,"True"))</f>
        <v>1</v>
      </c>
      <c r="F449" t="str">
        <f t="shared" si="6"/>
        <v>001234.SZ</v>
      </c>
    </row>
    <row r="450" spans="1:6" x14ac:dyDescent="0.15">
      <c r="A450" s="2">
        <v>46089</v>
      </c>
      <c r="B450" s="1" t="s">
        <v>843</v>
      </c>
      <c r="C450" s="1" t="s">
        <v>844</v>
      </c>
      <c r="D450" t="b">
        <f ca="1">IF(A450="","",[1]!s_techanal_rcnthigh(B450,$B$2,1,3))</f>
        <v>0</v>
      </c>
      <c r="E450">
        <f ca="1">IF(A450="","",COUNTIF(D$6:D450,"True"))</f>
        <v>1</v>
      </c>
      <c r="F450" t="str">
        <f t="shared" si="6"/>
        <v>001236.SZ</v>
      </c>
    </row>
    <row r="451" spans="1:6" x14ac:dyDescent="0.15">
      <c r="A451" s="2">
        <v>46089</v>
      </c>
      <c r="B451" s="1" t="s">
        <v>845</v>
      </c>
      <c r="C451" s="1" t="s">
        <v>846</v>
      </c>
      <c r="D451" t="b">
        <f ca="1">IF(A451="","",[1]!s_techanal_rcnthigh(B451,$B$2,1,3))</f>
        <v>0</v>
      </c>
      <c r="E451">
        <f ca="1">IF(A451="","",COUNTIF(D$6:D451,"True"))</f>
        <v>1</v>
      </c>
      <c r="F451" t="str">
        <f t="shared" si="6"/>
        <v>001238.SZ</v>
      </c>
    </row>
    <row r="452" spans="1:6" x14ac:dyDescent="0.15">
      <c r="A452" s="2">
        <v>46089</v>
      </c>
      <c r="B452" s="1" t="s">
        <v>847</v>
      </c>
      <c r="C452" s="1" t="s">
        <v>848</v>
      </c>
      <c r="D452" t="b">
        <f ca="1">IF(A452="","",[1]!s_techanal_rcnthigh(B452,$B$2,1,3))</f>
        <v>0</v>
      </c>
      <c r="E452">
        <f ca="1">IF(A452="","",COUNTIF(D$6:D452,"True"))</f>
        <v>1</v>
      </c>
      <c r="F452" t="str">
        <f t="shared" si="6"/>
        <v>001239.SZ</v>
      </c>
    </row>
    <row r="453" spans="1:6" x14ac:dyDescent="0.15">
      <c r="A453" s="2">
        <v>46089</v>
      </c>
      <c r="B453" s="1" t="s">
        <v>849</v>
      </c>
      <c r="C453" s="1" t="s">
        <v>850</v>
      </c>
      <c r="D453" t="b">
        <f ca="1">IF(A453="","",[1]!s_techanal_rcnthigh(B453,$B$2,1,3))</f>
        <v>0</v>
      </c>
      <c r="E453">
        <f ca="1">IF(A453="","",COUNTIF(D$6:D453,"True"))</f>
        <v>1</v>
      </c>
      <c r="F453" t="str">
        <f t="shared" si="6"/>
        <v>001255.SZ</v>
      </c>
    </row>
    <row r="454" spans="1:6" x14ac:dyDescent="0.15">
      <c r="A454" s="2">
        <v>46089</v>
      </c>
      <c r="B454" s="1" t="s">
        <v>851</v>
      </c>
      <c r="C454" s="1" t="s">
        <v>852</v>
      </c>
      <c r="D454" t="b">
        <f ca="1">IF(A454="","",[1]!s_techanal_rcnthigh(B454,$B$2,1,3))</f>
        <v>0</v>
      </c>
      <c r="E454">
        <f ca="1">IF(A454="","",COUNTIF(D$6:D454,"True"))</f>
        <v>1</v>
      </c>
      <c r="F454" t="str">
        <f t="shared" ref="F454:F517" si="7">IF(B454="","",B454)</f>
        <v>001256.SZ</v>
      </c>
    </row>
    <row r="455" spans="1:6" x14ac:dyDescent="0.15">
      <c r="A455" s="2">
        <v>46089</v>
      </c>
      <c r="B455" s="1" t="s">
        <v>853</v>
      </c>
      <c r="C455" s="1" t="s">
        <v>854</v>
      </c>
      <c r="D455" t="b">
        <f ca="1">IF(A455="","",[1]!s_techanal_rcnthigh(B455,$B$2,1,3))</f>
        <v>0</v>
      </c>
      <c r="E455">
        <f ca="1">IF(A455="","",COUNTIF(D$6:D455,"True"))</f>
        <v>1</v>
      </c>
      <c r="F455" t="str">
        <f t="shared" si="7"/>
        <v>001258.SZ</v>
      </c>
    </row>
    <row r="456" spans="1:6" x14ac:dyDescent="0.15">
      <c r="A456" s="2">
        <v>46089</v>
      </c>
      <c r="B456" s="1" t="s">
        <v>855</v>
      </c>
      <c r="C456" s="1" t="s">
        <v>856</v>
      </c>
      <c r="D456" t="b">
        <f ca="1">IF(A456="","",[1]!s_techanal_rcnthigh(B456,$B$2,1,3))</f>
        <v>0</v>
      </c>
      <c r="E456">
        <f ca="1">IF(A456="","",COUNTIF(D$6:D456,"True"))</f>
        <v>1</v>
      </c>
      <c r="F456" t="str">
        <f t="shared" si="7"/>
        <v>001259.SZ</v>
      </c>
    </row>
    <row r="457" spans="1:6" x14ac:dyDescent="0.15">
      <c r="A457" s="2">
        <v>46089</v>
      </c>
      <c r="B457" s="1" t="s">
        <v>857</v>
      </c>
      <c r="C457" s="1" t="s">
        <v>858</v>
      </c>
      <c r="D457" t="b">
        <f ca="1">IF(A457="","",[1]!s_techanal_rcnthigh(B457,$B$2,1,3))</f>
        <v>0</v>
      </c>
      <c r="E457">
        <f ca="1">IF(A457="","",COUNTIF(D$6:D457,"True"))</f>
        <v>1</v>
      </c>
      <c r="F457" t="str">
        <f t="shared" si="7"/>
        <v>001260.SZ</v>
      </c>
    </row>
    <row r="458" spans="1:6" x14ac:dyDescent="0.15">
      <c r="A458" s="2">
        <v>46089</v>
      </c>
      <c r="B458" s="1" t="s">
        <v>859</v>
      </c>
      <c r="C458" s="1" t="s">
        <v>860</v>
      </c>
      <c r="D458" t="b">
        <f ca="1">IF(A458="","",[1]!s_techanal_rcnthigh(B458,$B$2,1,3))</f>
        <v>0</v>
      </c>
      <c r="E458">
        <f ca="1">IF(A458="","",COUNTIF(D$6:D458,"True"))</f>
        <v>1</v>
      </c>
      <c r="F458" t="str">
        <f t="shared" si="7"/>
        <v>001266.SZ</v>
      </c>
    </row>
    <row r="459" spans="1:6" x14ac:dyDescent="0.15">
      <c r="A459" s="2">
        <v>46089</v>
      </c>
      <c r="B459" s="1" t="s">
        <v>861</v>
      </c>
      <c r="C459" s="1" t="s">
        <v>862</v>
      </c>
      <c r="D459" t="b">
        <f ca="1">IF(A459="","",[1]!s_techanal_rcnthigh(B459,$B$2,1,3))</f>
        <v>1</v>
      </c>
      <c r="E459">
        <f ca="1">IF(A459="","",COUNTIF(D$6:D459,"True"))</f>
        <v>2</v>
      </c>
      <c r="F459" t="str">
        <f t="shared" si="7"/>
        <v>001267.SZ</v>
      </c>
    </row>
    <row r="460" spans="1:6" x14ac:dyDescent="0.15">
      <c r="A460" s="2">
        <v>46089</v>
      </c>
      <c r="B460" s="1" t="s">
        <v>863</v>
      </c>
      <c r="C460" s="1" t="s">
        <v>864</v>
      </c>
      <c r="D460" t="b">
        <f ca="1">IF(A460="","",[1]!s_techanal_rcnthigh(B460,$B$2,1,3))</f>
        <v>0</v>
      </c>
      <c r="E460">
        <f ca="1">IF(A460="","",COUNTIF(D$6:D460,"True"))</f>
        <v>2</v>
      </c>
      <c r="F460" t="str">
        <f t="shared" si="7"/>
        <v>001268.SZ</v>
      </c>
    </row>
    <row r="461" spans="1:6" x14ac:dyDescent="0.15">
      <c r="A461" s="2">
        <v>46089</v>
      </c>
      <c r="B461" s="1" t="s">
        <v>865</v>
      </c>
      <c r="C461" s="1" t="s">
        <v>866</v>
      </c>
      <c r="D461" t="b">
        <f ca="1">IF(A461="","",[1]!s_techanal_rcnthigh(B461,$B$2,1,3))</f>
        <v>0</v>
      </c>
      <c r="E461">
        <f ca="1">IF(A461="","",COUNTIF(D$6:D461,"True"))</f>
        <v>2</v>
      </c>
      <c r="F461" t="str">
        <f t="shared" si="7"/>
        <v>001269.SZ</v>
      </c>
    </row>
    <row r="462" spans="1:6" x14ac:dyDescent="0.15">
      <c r="A462" s="2">
        <v>46089</v>
      </c>
      <c r="B462" s="1" t="s">
        <v>867</v>
      </c>
      <c r="C462" s="1" t="s">
        <v>10070</v>
      </c>
      <c r="D462" t="b">
        <f ca="1">IF(A462="","",[1]!s_techanal_rcnthigh(B462,$B$2,1,3))</f>
        <v>0</v>
      </c>
      <c r="E462">
        <f ca="1">IF(A462="","",COUNTIF(D$6:D462,"True"))</f>
        <v>2</v>
      </c>
      <c r="F462" t="str">
        <f t="shared" si="7"/>
        <v>001270.SZ</v>
      </c>
    </row>
    <row r="463" spans="1:6" x14ac:dyDescent="0.15">
      <c r="A463" s="2">
        <v>46089</v>
      </c>
      <c r="B463" s="1" t="s">
        <v>10071</v>
      </c>
      <c r="C463" s="1" t="s">
        <v>10072</v>
      </c>
      <c r="D463" t="b">
        <f ca="1">IF(A463="","",[1]!s_techanal_rcnthigh(B463,$B$2,1,3))</f>
        <v>0</v>
      </c>
      <c r="E463">
        <f ca="1">IF(A463="","",COUNTIF(D$6:D463,"True"))</f>
        <v>2</v>
      </c>
      <c r="F463" t="str">
        <f t="shared" si="7"/>
        <v>001277.SZ</v>
      </c>
    </row>
    <row r="464" spans="1:6" x14ac:dyDescent="0.15">
      <c r="A464" s="2">
        <v>46089</v>
      </c>
      <c r="B464" s="1" t="s">
        <v>868</v>
      </c>
      <c r="C464" s="1" t="s">
        <v>869</v>
      </c>
      <c r="D464" t="b">
        <f ca="1">IF(A464="","",[1]!s_techanal_rcnthigh(B464,$B$2,1,3))</f>
        <v>0</v>
      </c>
      <c r="E464">
        <f ca="1">IF(A464="","",COUNTIF(D$6:D464,"True"))</f>
        <v>2</v>
      </c>
      <c r="F464" t="str">
        <f t="shared" si="7"/>
        <v>001278.SZ</v>
      </c>
    </row>
    <row r="465" spans="1:6" x14ac:dyDescent="0.15">
      <c r="A465" s="2">
        <v>46089</v>
      </c>
      <c r="B465" s="1" t="s">
        <v>10073</v>
      </c>
      <c r="C465" s="1" t="s">
        <v>10074</v>
      </c>
      <c r="D465" t="b">
        <f ca="1">IF(A465="","",[1]!s_techanal_rcnthigh(B465,$B$2,1,3))</f>
        <v>0</v>
      </c>
      <c r="E465">
        <f ca="1">IF(A465="","",COUNTIF(D$6:D465,"True"))</f>
        <v>2</v>
      </c>
      <c r="F465" t="str">
        <f t="shared" si="7"/>
        <v>001279.SZ</v>
      </c>
    </row>
    <row r="466" spans="1:6" x14ac:dyDescent="0.15">
      <c r="A466" s="2">
        <v>46089</v>
      </c>
      <c r="B466" s="1" t="s">
        <v>10075</v>
      </c>
      <c r="C466" s="1" t="s">
        <v>10076</v>
      </c>
      <c r="D466" t="b">
        <f ca="1">IF(A466="","",[1]!s_techanal_rcnthigh(B466,$B$2,1,3))</f>
        <v>0</v>
      </c>
      <c r="E466">
        <f ca="1">IF(A466="","",COUNTIF(D$6:D466,"True"))</f>
        <v>2</v>
      </c>
      <c r="F466" t="str">
        <f t="shared" si="7"/>
        <v>001280.SZ</v>
      </c>
    </row>
    <row r="467" spans="1:6" x14ac:dyDescent="0.15">
      <c r="A467" s="2">
        <v>46089</v>
      </c>
      <c r="B467" s="1" t="s">
        <v>870</v>
      </c>
      <c r="C467" s="1" t="s">
        <v>871</v>
      </c>
      <c r="D467" t="b">
        <f ca="1">IF(A467="","",[1]!s_techanal_rcnthigh(B467,$B$2,1,3))</f>
        <v>0</v>
      </c>
      <c r="E467">
        <f ca="1">IF(A467="","",COUNTIF(D$6:D467,"True"))</f>
        <v>2</v>
      </c>
      <c r="F467" t="str">
        <f t="shared" si="7"/>
        <v>001282.SZ</v>
      </c>
    </row>
    <row r="468" spans="1:6" x14ac:dyDescent="0.15">
      <c r="A468" s="2">
        <v>46089</v>
      </c>
      <c r="B468" s="1" t="s">
        <v>872</v>
      </c>
      <c r="C468" s="1" t="s">
        <v>873</v>
      </c>
      <c r="D468" t="b">
        <f ca="1">IF(A468="","",[1]!s_techanal_rcnthigh(B468,$B$2,1,3))</f>
        <v>0</v>
      </c>
      <c r="E468">
        <f ca="1">IF(A468="","",COUNTIF(D$6:D468,"True"))</f>
        <v>2</v>
      </c>
      <c r="F468" t="str">
        <f t="shared" si="7"/>
        <v>001283.SZ</v>
      </c>
    </row>
    <row r="469" spans="1:6" x14ac:dyDescent="0.15">
      <c r="A469" s="2">
        <v>46089</v>
      </c>
      <c r="B469" s="1" t="s">
        <v>10077</v>
      </c>
      <c r="C469" s="1" t="s">
        <v>10078</v>
      </c>
      <c r="D469" t="b">
        <f ca="1">IF(A469="","",[1]!s_techanal_rcnthigh(B469,$B$2,1,3))</f>
        <v>0</v>
      </c>
      <c r="E469">
        <f ca="1">IF(A469="","",COUNTIF(D$6:D469,"True"))</f>
        <v>2</v>
      </c>
      <c r="F469" t="str">
        <f t="shared" si="7"/>
        <v>001285.SZ</v>
      </c>
    </row>
    <row r="470" spans="1:6" x14ac:dyDescent="0.15">
      <c r="A470" s="2">
        <v>46089</v>
      </c>
      <c r="B470" s="1" t="s">
        <v>874</v>
      </c>
      <c r="C470" s="1" t="s">
        <v>875</v>
      </c>
      <c r="D470" t="b">
        <f ca="1">IF(A470="","",[1]!s_techanal_rcnthigh(B470,$B$2,1,3))</f>
        <v>0</v>
      </c>
      <c r="E470">
        <f ca="1">IF(A470="","",COUNTIF(D$6:D470,"True"))</f>
        <v>2</v>
      </c>
      <c r="F470" t="str">
        <f t="shared" si="7"/>
        <v>001286.SZ</v>
      </c>
    </row>
    <row r="471" spans="1:6" x14ac:dyDescent="0.15">
      <c r="A471" s="2">
        <v>46089</v>
      </c>
      <c r="B471" s="1" t="s">
        <v>876</v>
      </c>
      <c r="C471" s="1" t="s">
        <v>877</v>
      </c>
      <c r="D471" t="b">
        <f ca="1">IF(A471="","",[1]!s_techanal_rcnthigh(B471,$B$2,1,3))</f>
        <v>0</v>
      </c>
      <c r="E471">
        <f ca="1">IF(A471="","",COUNTIF(D$6:D471,"True"))</f>
        <v>2</v>
      </c>
      <c r="F471" t="str">
        <f t="shared" si="7"/>
        <v>001287.SZ</v>
      </c>
    </row>
    <row r="472" spans="1:6" x14ac:dyDescent="0.15">
      <c r="A472" s="2">
        <v>46089</v>
      </c>
      <c r="B472" s="1" t="s">
        <v>878</v>
      </c>
      <c r="C472" s="1" t="s">
        <v>879</v>
      </c>
      <c r="D472" t="b">
        <f ca="1">IF(A472="","",[1]!s_techanal_rcnthigh(B472,$B$2,1,3))</f>
        <v>0</v>
      </c>
      <c r="E472">
        <f ca="1">IF(A472="","",COUNTIF(D$6:D472,"True"))</f>
        <v>2</v>
      </c>
      <c r="F472" t="str">
        <f t="shared" si="7"/>
        <v>001288.SZ</v>
      </c>
    </row>
    <row r="473" spans="1:6" x14ac:dyDescent="0.15">
      <c r="A473" s="2">
        <v>46089</v>
      </c>
      <c r="B473" s="1" t="s">
        <v>880</v>
      </c>
      <c r="C473" s="1" t="s">
        <v>881</v>
      </c>
      <c r="D473" t="b">
        <f ca="1">IF(A473="","",[1]!s_techanal_rcnthigh(B473,$B$2,1,3))</f>
        <v>0</v>
      </c>
      <c r="E473">
        <f ca="1">IF(A473="","",COUNTIF(D$6:D473,"True"))</f>
        <v>2</v>
      </c>
      <c r="F473" t="str">
        <f t="shared" si="7"/>
        <v>001289.SZ</v>
      </c>
    </row>
    <row r="474" spans="1:6" x14ac:dyDescent="0.15">
      <c r="A474" s="2">
        <v>46089</v>
      </c>
      <c r="B474" s="1" t="s">
        <v>882</v>
      </c>
      <c r="C474" s="1" t="s">
        <v>883</v>
      </c>
      <c r="D474" t="b">
        <f ca="1">IF(A474="","",[1]!s_techanal_rcnthigh(B474,$B$2,1,3))</f>
        <v>0</v>
      </c>
      <c r="E474">
        <f ca="1">IF(A474="","",COUNTIF(D$6:D474,"True"))</f>
        <v>2</v>
      </c>
      <c r="F474" t="str">
        <f t="shared" si="7"/>
        <v>001296.SZ</v>
      </c>
    </row>
    <row r="475" spans="1:6" x14ac:dyDescent="0.15">
      <c r="A475" s="2">
        <v>46089</v>
      </c>
      <c r="B475" s="1" t="s">
        <v>884</v>
      </c>
      <c r="C475" s="1" t="s">
        <v>885</v>
      </c>
      <c r="D475" t="b">
        <f ca="1">IF(A475="","",[1]!s_techanal_rcnthigh(B475,$B$2,1,3))</f>
        <v>0</v>
      </c>
      <c r="E475">
        <f ca="1">IF(A475="","",COUNTIF(D$6:D475,"True"))</f>
        <v>2</v>
      </c>
      <c r="F475" t="str">
        <f t="shared" si="7"/>
        <v>001298.SZ</v>
      </c>
    </row>
    <row r="476" spans="1:6" x14ac:dyDescent="0.15">
      <c r="A476" s="2">
        <v>46089</v>
      </c>
      <c r="B476" s="1" t="s">
        <v>886</v>
      </c>
      <c r="C476" s="1" t="s">
        <v>887</v>
      </c>
      <c r="D476" t="b">
        <f ca="1">IF(A476="","",[1]!s_techanal_rcnthigh(B476,$B$2,1,3))</f>
        <v>0</v>
      </c>
      <c r="E476">
        <f ca="1">IF(A476="","",COUNTIF(D$6:D476,"True"))</f>
        <v>2</v>
      </c>
      <c r="F476" t="str">
        <f t="shared" si="7"/>
        <v>001299.SZ</v>
      </c>
    </row>
    <row r="477" spans="1:6" x14ac:dyDescent="0.15">
      <c r="A477" s="2">
        <v>46089</v>
      </c>
      <c r="B477" s="1" t="s">
        <v>888</v>
      </c>
      <c r="C477" s="1" t="s">
        <v>889</v>
      </c>
      <c r="D477" t="b">
        <f ca="1">IF(A477="","",[1]!s_techanal_rcnthigh(B477,$B$2,1,3))</f>
        <v>0</v>
      </c>
      <c r="E477">
        <f ca="1">IF(A477="","",COUNTIF(D$6:D477,"True"))</f>
        <v>2</v>
      </c>
      <c r="F477" t="str">
        <f t="shared" si="7"/>
        <v>001300.SZ</v>
      </c>
    </row>
    <row r="478" spans="1:6" x14ac:dyDescent="0.15">
      <c r="A478" s="2">
        <v>46089</v>
      </c>
      <c r="B478" s="1" t="s">
        <v>890</v>
      </c>
      <c r="C478" s="1" t="s">
        <v>891</v>
      </c>
      <c r="D478" t="b">
        <f ca="1">IF(A478="","",[1]!s_techanal_rcnthigh(B478,$B$2,1,3))</f>
        <v>0</v>
      </c>
      <c r="E478">
        <f ca="1">IF(A478="","",COUNTIF(D$6:D478,"True"))</f>
        <v>2</v>
      </c>
      <c r="F478" t="str">
        <f t="shared" si="7"/>
        <v>001301.SZ</v>
      </c>
    </row>
    <row r="479" spans="1:6" x14ac:dyDescent="0.15">
      <c r="A479" s="2">
        <v>46089</v>
      </c>
      <c r="B479" s="1" t="s">
        <v>892</v>
      </c>
      <c r="C479" s="1" t="s">
        <v>893</v>
      </c>
      <c r="D479" t="b">
        <f ca="1">IF(A479="","",[1]!s_techanal_rcnthigh(B479,$B$2,1,3))</f>
        <v>0</v>
      </c>
      <c r="E479">
        <f ca="1">IF(A479="","",COUNTIF(D$6:D479,"True"))</f>
        <v>2</v>
      </c>
      <c r="F479" t="str">
        <f t="shared" si="7"/>
        <v>001306.SZ</v>
      </c>
    </row>
    <row r="480" spans="1:6" x14ac:dyDescent="0.15">
      <c r="A480" s="2">
        <v>46089</v>
      </c>
      <c r="B480" s="1" t="s">
        <v>894</v>
      </c>
      <c r="C480" s="1" t="s">
        <v>895</v>
      </c>
      <c r="D480" t="b">
        <f ca="1">IF(A480="","",[1]!s_techanal_rcnthigh(B480,$B$2,1,3))</f>
        <v>0</v>
      </c>
      <c r="E480">
        <f ca="1">IF(A480="","",COUNTIF(D$6:D480,"True"))</f>
        <v>2</v>
      </c>
      <c r="F480" t="str">
        <f t="shared" si="7"/>
        <v>001308.SZ</v>
      </c>
    </row>
    <row r="481" spans="1:6" x14ac:dyDescent="0.15">
      <c r="A481" s="2">
        <v>46089</v>
      </c>
      <c r="B481" s="1" t="s">
        <v>896</v>
      </c>
      <c r="C481" s="1" t="s">
        <v>897</v>
      </c>
      <c r="D481" t="b">
        <f ca="1">IF(A481="","",[1]!s_techanal_rcnthigh(B481,$B$2,1,3))</f>
        <v>0</v>
      </c>
      <c r="E481">
        <f ca="1">IF(A481="","",COUNTIF(D$6:D481,"True"))</f>
        <v>2</v>
      </c>
      <c r="F481" t="str">
        <f t="shared" si="7"/>
        <v>001309.SZ</v>
      </c>
    </row>
    <row r="482" spans="1:6" x14ac:dyDescent="0.15">
      <c r="A482" s="2">
        <v>46089</v>
      </c>
      <c r="B482" s="1" t="s">
        <v>898</v>
      </c>
      <c r="C482" s="1" t="s">
        <v>899</v>
      </c>
      <c r="D482" t="b">
        <f ca="1">IF(A482="","",[1]!s_techanal_rcnthigh(B482,$B$2,1,3))</f>
        <v>0</v>
      </c>
      <c r="E482">
        <f ca="1">IF(A482="","",COUNTIF(D$6:D482,"True"))</f>
        <v>2</v>
      </c>
      <c r="F482" t="str">
        <f t="shared" si="7"/>
        <v>001311.SZ</v>
      </c>
    </row>
    <row r="483" spans="1:6" x14ac:dyDescent="0.15">
      <c r="A483" s="2">
        <v>46089</v>
      </c>
      <c r="B483" s="1" t="s">
        <v>900</v>
      </c>
      <c r="C483" s="1" t="s">
        <v>901</v>
      </c>
      <c r="D483" t="b">
        <f ca="1">IF(A483="","",[1]!s_techanal_rcnthigh(B483,$B$2,1,3))</f>
        <v>0</v>
      </c>
      <c r="E483">
        <f ca="1">IF(A483="","",COUNTIF(D$6:D483,"True"))</f>
        <v>2</v>
      </c>
      <c r="F483" t="str">
        <f t="shared" si="7"/>
        <v>001313.SZ</v>
      </c>
    </row>
    <row r="484" spans="1:6" x14ac:dyDescent="0.15">
      <c r="A484" s="2">
        <v>46089</v>
      </c>
      <c r="B484" s="1" t="s">
        <v>902</v>
      </c>
      <c r="C484" s="1" t="s">
        <v>903</v>
      </c>
      <c r="D484" t="b">
        <f ca="1">IF(A484="","",[1]!s_techanal_rcnthigh(B484,$B$2,1,3))</f>
        <v>0</v>
      </c>
      <c r="E484">
        <f ca="1">IF(A484="","",COUNTIF(D$6:D484,"True"))</f>
        <v>2</v>
      </c>
      <c r="F484" t="str">
        <f t="shared" si="7"/>
        <v>001314.SZ</v>
      </c>
    </row>
    <row r="485" spans="1:6" x14ac:dyDescent="0.15">
      <c r="A485" s="2">
        <v>46089</v>
      </c>
      <c r="B485" s="1" t="s">
        <v>904</v>
      </c>
      <c r="C485" s="1" t="s">
        <v>905</v>
      </c>
      <c r="D485" t="b">
        <f ca="1">IF(A485="","",[1]!s_techanal_rcnthigh(B485,$B$2,1,3))</f>
        <v>0</v>
      </c>
      <c r="E485">
        <f ca="1">IF(A485="","",COUNTIF(D$6:D485,"True"))</f>
        <v>2</v>
      </c>
      <c r="F485" t="str">
        <f t="shared" si="7"/>
        <v>001316.SZ</v>
      </c>
    </row>
    <row r="486" spans="1:6" x14ac:dyDescent="0.15">
      <c r="A486" s="2">
        <v>46089</v>
      </c>
      <c r="B486" s="1" t="s">
        <v>906</v>
      </c>
      <c r="C486" s="1" t="s">
        <v>907</v>
      </c>
      <c r="D486" t="b">
        <f ca="1">IF(A486="","",[1]!s_techanal_rcnthigh(B486,$B$2,1,3))</f>
        <v>0</v>
      </c>
      <c r="E486">
        <f ca="1">IF(A486="","",COUNTIF(D$6:D486,"True"))</f>
        <v>2</v>
      </c>
      <c r="F486" t="str">
        <f t="shared" si="7"/>
        <v>001317.SZ</v>
      </c>
    </row>
    <row r="487" spans="1:6" x14ac:dyDescent="0.15">
      <c r="A487" s="2">
        <v>46089</v>
      </c>
      <c r="B487" s="1" t="s">
        <v>908</v>
      </c>
      <c r="C487" s="1" t="s">
        <v>909</v>
      </c>
      <c r="D487" t="b">
        <f ca="1">IF(A487="","",[1]!s_techanal_rcnthigh(B487,$B$2,1,3))</f>
        <v>0</v>
      </c>
      <c r="E487">
        <f ca="1">IF(A487="","",COUNTIF(D$6:D487,"True"))</f>
        <v>2</v>
      </c>
      <c r="F487" t="str">
        <f t="shared" si="7"/>
        <v>001318.SZ</v>
      </c>
    </row>
    <row r="488" spans="1:6" x14ac:dyDescent="0.15">
      <c r="A488" s="2">
        <v>46089</v>
      </c>
      <c r="B488" s="1" t="s">
        <v>910</v>
      </c>
      <c r="C488" s="1" t="s">
        <v>911</v>
      </c>
      <c r="D488" t="b">
        <f ca="1">IF(A488="","",[1]!s_techanal_rcnthigh(B488,$B$2,1,3))</f>
        <v>0</v>
      </c>
      <c r="E488">
        <f ca="1">IF(A488="","",COUNTIF(D$6:D488,"True"))</f>
        <v>2</v>
      </c>
      <c r="F488" t="str">
        <f t="shared" si="7"/>
        <v>001319.SZ</v>
      </c>
    </row>
    <row r="489" spans="1:6" x14ac:dyDescent="0.15">
      <c r="A489" s="2">
        <v>46089</v>
      </c>
      <c r="B489" s="1" t="s">
        <v>912</v>
      </c>
      <c r="C489" s="1" t="s">
        <v>913</v>
      </c>
      <c r="D489" t="b">
        <f ca="1">IF(A489="","",[1]!s_techanal_rcnthigh(B489,$B$2,1,3))</f>
        <v>0</v>
      </c>
      <c r="E489">
        <f ca="1">IF(A489="","",COUNTIF(D$6:D489,"True"))</f>
        <v>2</v>
      </c>
      <c r="F489" t="str">
        <f t="shared" si="7"/>
        <v>001322.SZ</v>
      </c>
    </row>
    <row r="490" spans="1:6" x14ac:dyDescent="0.15">
      <c r="A490" s="2">
        <v>46089</v>
      </c>
      <c r="B490" s="1" t="s">
        <v>914</v>
      </c>
      <c r="C490" s="1" t="s">
        <v>915</v>
      </c>
      <c r="D490" t="b">
        <f ca="1">IF(A490="","",[1]!s_techanal_rcnthigh(B490,$B$2,1,3))</f>
        <v>0</v>
      </c>
      <c r="E490">
        <f ca="1">IF(A490="","",COUNTIF(D$6:D490,"True"))</f>
        <v>2</v>
      </c>
      <c r="F490" t="str">
        <f t="shared" si="7"/>
        <v>001323.SZ</v>
      </c>
    </row>
    <row r="491" spans="1:6" x14ac:dyDescent="0.15">
      <c r="A491" s="2">
        <v>46089</v>
      </c>
      <c r="B491" s="1" t="s">
        <v>916</v>
      </c>
      <c r="C491" s="1" t="s">
        <v>917</v>
      </c>
      <c r="D491" t="b">
        <f ca="1">IF(A491="","",[1]!s_techanal_rcnthigh(B491,$B$2,1,3))</f>
        <v>0</v>
      </c>
      <c r="E491">
        <f ca="1">IF(A491="","",COUNTIF(D$6:D491,"True"))</f>
        <v>2</v>
      </c>
      <c r="F491" t="str">
        <f t="shared" si="7"/>
        <v>001324.SZ</v>
      </c>
    </row>
    <row r="492" spans="1:6" x14ac:dyDescent="0.15">
      <c r="A492" s="2">
        <v>46089</v>
      </c>
      <c r="B492" s="1" t="s">
        <v>10079</v>
      </c>
      <c r="C492" s="1" t="s">
        <v>10080</v>
      </c>
      <c r="D492" t="b">
        <f ca="1">IF(A492="","",[1]!s_techanal_rcnthigh(B492,$B$2,1,3))</f>
        <v>0</v>
      </c>
      <c r="E492">
        <f ca="1">IF(A492="","",COUNTIF(D$6:D492,"True"))</f>
        <v>2</v>
      </c>
      <c r="F492" t="str">
        <f t="shared" si="7"/>
        <v>001325.SZ</v>
      </c>
    </row>
    <row r="493" spans="1:6" x14ac:dyDescent="0.15">
      <c r="A493" s="2">
        <v>46089</v>
      </c>
      <c r="B493" s="1" t="s">
        <v>918</v>
      </c>
      <c r="C493" s="1" t="s">
        <v>919</v>
      </c>
      <c r="D493" t="b">
        <f ca="1">IF(A493="","",[1]!s_techanal_rcnthigh(B493,$B$2,1,3))</f>
        <v>0</v>
      </c>
      <c r="E493">
        <f ca="1">IF(A493="","",COUNTIF(D$6:D493,"True"))</f>
        <v>2</v>
      </c>
      <c r="F493" t="str">
        <f t="shared" si="7"/>
        <v>001326.SZ</v>
      </c>
    </row>
    <row r="494" spans="1:6" x14ac:dyDescent="0.15">
      <c r="A494" s="2">
        <v>46089</v>
      </c>
      <c r="B494" s="1" t="s">
        <v>920</v>
      </c>
      <c r="C494" s="1" t="s">
        <v>921</v>
      </c>
      <c r="D494" t="b">
        <f ca="1">IF(A494="","",[1]!s_techanal_rcnthigh(B494,$B$2,1,3))</f>
        <v>0</v>
      </c>
      <c r="E494">
        <f ca="1">IF(A494="","",COUNTIF(D$6:D494,"True"))</f>
        <v>2</v>
      </c>
      <c r="F494" t="str">
        <f t="shared" si="7"/>
        <v>001328.SZ</v>
      </c>
    </row>
    <row r="495" spans="1:6" x14ac:dyDescent="0.15">
      <c r="A495" s="2">
        <v>46089</v>
      </c>
      <c r="B495" s="1" t="s">
        <v>922</v>
      </c>
      <c r="C495" s="1" t="s">
        <v>923</v>
      </c>
      <c r="D495" t="b">
        <f ca="1">IF(A495="","",[1]!s_techanal_rcnthigh(B495,$B$2,1,3))</f>
        <v>0</v>
      </c>
      <c r="E495">
        <f ca="1">IF(A495="","",COUNTIF(D$6:D495,"True"))</f>
        <v>2</v>
      </c>
      <c r="F495" t="str">
        <f t="shared" si="7"/>
        <v>001330.SZ</v>
      </c>
    </row>
    <row r="496" spans="1:6" x14ac:dyDescent="0.15">
      <c r="A496" s="2">
        <v>46089</v>
      </c>
      <c r="B496" s="1" t="s">
        <v>924</v>
      </c>
      <c r="C496" s="1" t="s">
        <v>925</v>
      </c>
      <c r="D496" t="b">
        <f ca="1">IF(A496="","",[1]!s_techanal_rcnthigh(B496,$B$2,1,3))</f>
        <v>0</v>
      </c>
      <c r="E496">
        <f ca="1">IF(A496="","",COUNTIF(D$6:D496,"True"))</f>
        <v>2</v>
      </c>
      <c r="F496" t="str">
        <f t="shared" si="7"/>
        <v>001331.SZ</v>
      </c>
    </row>
    <row r="497" spans="1:6" x14ac:dyDescent="0.15">
      <c r="A497" s="2">
        <v>46089</v>
      </c>
      <c r="B497" s="1" t="s">
        <v>926</v>
      </c>
      <c r="C497" s="1" t="s">
        <v>927</v>
      </c>
      <c r="D497" t="b">
        <f ca="1">IF(A497="","",[1]!s_techanal_rcnthigh(B497,$B$2,1,3))</f>
        <v>0</v>
      </c>
      <c r="E497">
        <f ca="1">IF(A497="","",COUNTIF(D$6:D497,"True"))</f>
        <v>2</v>
      </c>
      <c r="F497" t="str">
        <f t="shared" si="7"/>
        <v>001332.SZ</v>
      </c>
    </row>
    <row r="498" spans="1:6" x14ac:dyDescent="0.15">
      <c r="A498" s="2">
        <v>46089</v>
      </c>
      <c r="B498" s="1" t="s">
        <v>928</v>
      </c>
      <c r="C498" s="1" t="s">
        <v>929</v>
      </c>
      <c r="D498" t="b">
        <f ca="1">IF(A498="","",[1]!s_techanal_rcnthigh(B498,$B$2,1,3))</f>
        <v>0</v>
      </c>
      <c r="E498">
        <f ca="1">IF(A498="","",COUNTIF(D$6:D498,"True"))</f>
        <v>2</v>
      </c>
      <c r="F498" t="str">
        <f t="shared" si="7"/>
        <v>001333.SZ</v>
      </c>
    </row>
    <row r="499" spans="1:6" x14ac:dyDescent="0.15">
      <c r="A499" s="2">
        <v>46089</v>
      </c>
      <c r="B499" s="1" t="s">
        <v>10081</v>
      </c>
      <c r="C499" s="1" t="s">
        <v>10082</v>
      </c>
      <c r="D499" t="b">
        <f ca="1">IF(A499="","",[1]!s_techanal_rcnthigh(B499,$B$2,1,3))</f>
        <v>0</v>
      </c>
      <c r="E499">
        <f ca="1">IF(A499="","",COUNTIF(D$6:D499,"True"))</f>
        <v>2</v>
      </c>
      <c r="F499" t="str">
        <f t="shared" si="7"/>
        <v>001335.SZ</v>
      </c>
    </row>
    <row r="500" spans="1:6" x14ac:dyDescent="0.15">
      <c r="A500" s="2">
        <v>46089</v>
      </c>
      <c r="B500" s="1" t="s">
        <v>930</v>
      </c>
      <c r="C500" s="1" t="s">
        <v>931</v>
      </c>
      <c r="D500" t="b">
        <f ca="1">IF(A500="","",[1]!s_techanal_rcnthigh(B500,$B$2,1,3))</f>
        <v>0</v>
      </c>
      <c r="E500">
        <f ca="1">IF(A500="","",COUNTIF(D$6:D500,"True"))</f>
        <v>2</v>
      </c>
      <c r="F500" t="str">
        <f t="shared" si="7"/>
        <v>001336.SZ</v>
      </c>
    </row>
    <row r="501" spans="1:6" x14ac:dyDescent="0.15">
      <c r="A501" s="2">
        <v>46089</v>
      </c>
      <c r="B501" s="1" t="s">
        <v>932</v>
      </c>
      <c r="C501" s="1" t="s">
        <v>933</v>
      </c>
      <c r="D501" t="b">
        <f ca="1">IF(A501="","",[1]!s_techanal_rcnthigh(B501,$B$2,1,3))</f>
        <v>0</v>
      </c>
      <c r="E501">
        <f ca="1">IF(A501="","",COUNTIF(D$6:D501,"True"))</f>
        <v>2</v>
      </c>
      <c r="F501" t="str">
        <f t="shared" si="7"/>
        <v>001337.SZ</v>
      </c>
    </row>
    <row r="502" spans="1:6" x14ac:dyDescent="0.15">
      <c r="A502" s="2">
        <v>46089</v>
      </c>
      <c r="B502" s="1" t="s">
        <v>934</v>
      </c>
      <c r="C502" s="1" t="s">
        <v>935</v>
      </c>
      <c r="D502" t="b">
        <f ca="1">IF(A502="","",[1]!s_techanal_rcnthigh(B502,$B$2,1,3))</f>
        <v>0</v>
      </c>
      <c r="E502">
        <f ca="1">IF(A502="","",COUNTIF(D$6:D502,"True"))</f>
        <v>2</v>
      </c>
      <c r="F502" t="str">
        <f t="shared" si="7"/>
        <v>001338.SZ</v>
      </c>
    </row>
    <row r="503" spans="1:6" x14ac:dyDescent="0.15">
      <c r="A503" s="2">
        <v>46089</v>
      </c>
      <c r="B503" s="1" t="s">
        <v>936</v>
      </c>
      <c r="C503" s="1" t="s">
        <v>937</v>
      </c>
      <c r="D503" t="b">
        <f ca="1">IF(A503="","",[1]!s_techanal_rcnthigh(B503,$B$2,1,3))</f>
        <v>0</v>
      </c>
      <c r="E503">
        <f ca="1">IF(A503="","",COUNTIF(D$6:D503,"True"))</f>
        <v>2</v>
      </c>
      <c r="F503" t="str">
        <f t="shared" si="7"/>
        <v>001339.SZ</v>
      </c>
    </row>
    <row r="504" spans="1:6" x14ac:dyDescent="0.15">
      <c r="A504" s="2">
        <v>46089</v>
      </c>
      <c r="B504" s="1" t="s">
        <v>10083</v>
      </c>
      <c r="C504" s="1" t="s">
        <v>10084</v>
      </c>
      <c r="D504" t="b">
        <f ca="1">IF(A504="","",[1]!s_techanal_rcnthigh(B504,$B$2,1,3))</f>
        <v>0</v>
      </c>
      <c r="E504">
        <f ca="1">IF(A504="","",COUNTIF(D$6:D504,"True"))</f>
        <v>2</v>
      </c>
      <c r="F504" t="str">
        <f t="shared" si="7"/>
        <v>001356.SZ</v>
      </c>
    </row>
    <row r="505" spans="1:6" x14ac:dyDescent="0.15">
      <c r="A505" s="2">
        <v>46089</v>
      </c>
      <c r="B505" s="1" t="s">
        <v>938</v>
      </c>
      <c r="C505" s="1" t="s">
        <v>939</v>
      </c>
      <c r="D505" t="b">
        <f ca="1">IF(A505="","",[1]!s_techanal_rcnthigh(B505,$B$2,1,3))</f>
        <v>0</v>
      </c>
      <c r="E505">
        <f ca="1">IF(A505="","",COUNTIF(D$6:D505,"True"))</f>
        <v>2</v>
      </c>
      <c r="F505" t="str">
        <f t="shared" si="7"/>
        <v>001358.SZ</v>
      </c>
    </row>
    <row r="506" spans="1:6" x14ac:dyDescent="0.15">
      <c r="A506" s="2">
        <v>46089</v>
      </c>
      <c r="B506" s="1" t="s">
        <v>10011</v>
      </c>
      <c r="C506" s="1" t="s">
        <v>10085</v>
      </c>
      <c r="D506" t="b">
        <f ca="1">IF(A506="","",[1]!s_techanal_rcnthigh(B506,$B$2,1,3))</f>
        <v>0</v>
      </c>
      <c r="E506">
        <f ca="1">IF(A506="","",COUNTIF(D$6:D506,"True"))</f>
        <v>2</v>
      </c>
      <c r="F506" t="str">
        <f t="shared" si="7"/>
        <v>001359.SZ</v>
      </c>
    </row>
    <row r="507" spans="1:6" x14ac:dyDescent="0.15">
      <c r="A507" s="2">
        <v>46089</v>
      </c>
      <c r="B507" s="1" t="s">
        <v>940</v>
      </c>
      <c r="C507" s="1" t="s">
        <v>941</v>
      </c>
      <c r="D507" t="b">
        <f ca="1">IF(A507="","",[1]!s_techanal_rcnthigh(B507,$B$2,1,3))</f>
        <v>0</v>
      </c>
      <c r="E507">
        <f ca="1">IF(A507="","",COUNTIF(D$6:D507,"True"))</f>
        <v>2</v>
      </c>
      <c r="F507" t="str">
        <f t="shared" si="7"/>
        <v>001360.SZ</v>
      </c>
    </row>
    <row r="508" spans="1:6" x14ac:dyDescent="0.15">
      <c r="A508" s="2">
        <v>46089</v>
      </c>
      <c r="B508" s="1" t="s">
        <v>942</v>
      </c>
      <c r="C508" s="1" t="s">
        <v>943</v>
      </c>
      <c r="D508" t="b">
        <f ca="1">IF(A508="","",[1]!s_techanal_rcnthigh(B508,$B$2,1,3))</f>
        <v>0</v>
      </c>
      <c r="E508">
        <f ca="1">IF(A508="","",COUNTIF(D$6:D508,"True"))</f>
        <v>2</v>
      </c>
      <c r="F508" t="str">
        <f t="shared" si="7"/>
        <v>001366.SZ</v>
      </c>
    </row>
    <row r="509" spans="1:6" x14ac:dyDescent="0.15">
      <c r="A509" s="2">
        <v>46089</v>
      </c>
      <c r="B509" s="1" t="s">
        <v>944</v>
      </c>
      <c r="C509" s="1" t="s">
        <v>945</v>
      </c>
      <c r="D509" t="b">
        <f ca="1">IF(A509="","",[1]!s_techanal_rcnthigh(B509,$B$2,1,3))</f>
        <v>0</v>
      </c>
      <c r="E509">
        <f ca="1">IF(A509="","",COUNTIF(D$6:D509,"True"))</f>
        <v>2</v>
      </c>
      <c r="F509" t="str">
        <f t="shared" si="7"/>
        <v>001367.SZ</v>
      </c>
    </row>
    <row r="510" spans="1:6" x14ac:dyDescent="0.15">
      <c r="A510" s="2">
        <v>46089</v>
      </c>
      <c r="B510" s="1" t="s">
        <v>946</v>
      </c>
      <c r="C510" s="1" t="s">
        <v>947</v>
      </c>
      <c r="D510" t="b">
        <f ca="1">IF(A510="","",[1]!s_techanal_rcnthigh(B510,$B$2,1,3))</f>
        <v>0</v>
      </c>
      <c r="E510">
        <f ca="1">IF(A510="","",COUNTIF(D$6:D510,"True"))</f>
        <v>2</v>
      </c>
      <c r="F510" t="str">
        <f t="shared" si="7"/>
        <v>001368.SZ</v>
      </c>
    </row>
    <row r="511" spans="1:6" x14ac:dyDescent="0.15">
      <c r="A511" s="2">
        <v>46089</v>
      </c>
      <c r="B511" s="1" t="s">
        <v>10086</v>
      </c>
      <c r="C511" s="1" t="s">
        <v>10087</v>
      </c>
      <c r="D511" t="b">
        <f ca="1">IF(A511="","",[1]!s_techanal_rcnthigh(B511,$B$2,1,3))</f>
        <v>0</v>
      </c>
      <c r="E511">
        <f ca="1">IF(A511="","",COUNTIF(D$6:D511,"True"))</f>
        <v>2</v>
      </c>
      <c r="F511" t="str">
        <f t="shared" si="7"/>
        <v>001369.SZ</v>
      </c>
    </row>
    <row r="512" spans="1:6" x14ac:dyDescent="0.15">
      <c r="A512" s="2">
        <v>46089</v>
      </c>
      <c r="B512" s="1" t="s">
        <v>948</v>
      </c>
      <c r="C512" s="1" t="s">
        <v>949</v>
      </c>
      <c r="D512" t="b">
        <f ca="1">IF(A512="","",[1]!s_techanal_rcnthigh(B512,$B$2,1,3))</f>
        <v>0</v>
      </c>
      <c r="E512">
        <f ca="1">IF(A512="","",COUNTIF(D$6:D512,"True"))</f>
        <v>2</v>
      </c>
      <c r="F512" t="str">
        <f t="shared" si="7"/>
        <v>001373.SZ</v>
      </c>
    </row>
    <row r="513" spans="1:6" x14ac:dyDescent="0.15">
      <c r="A513" s="2">
        <v>46089</v>
      </c>
      <c r="B513" s="1" t="s">
        <v>950</v>
      </c>
      <c r="C513" s="1" t="s">
        <v>951</v>
      </c>
      <c r="D513" t="b">
        <f ca="1">IF(A513="","",[1]!s_techanal_rcnthigh(B513,$B$2,1,3))</f>
        <v>0</v>
      </c>
      <c r="E513">
        <f ca="1">IF(A513="","",COUNTIF(D$6:D513,"True"))</f>
        <v>2</v>
      </c>
      <c r="F513" t="str">
        <f t="shared" si="7"/>
        <v>001376.SZ</v>
      </c>
    </row>
    <row r="514" spans="1:6" x14ac:dyDescent="0.15">
      <c r="A514" s="2">
        <v>46089</v>
      </c>
      <c r="B514" s="1" t="s">
        <v>952</v>
      </c>
      <c r="C514" s="1" t="s">
        <v>953</v>
      </c>
      <c r="D514" t="b">
        <f ca="1">IF(A514="","",[1]!s_techanal_rcnthigh(B514,$B$2,1,3))</f>
        <v>0</v>
      </c>
      <c r="E514">
        <f ca="1">IF(A514="","",COUNTIF(D$6:D514,"True"))</f>
        <v>2</v>
      </c>
      <c r="F514" t="str">
        <f t="shared" si="7"/>
        <v>001378.SZ</v>
      </c>
    </row>
    <row r="515" spans="1:6" x14ac:dyDescent="0.15">
      <c r="A515" s="2">
        <v>46089</v>
      </c>
      <c r="B515" s="1" t="s">
        <v>954</v>
      </c>
      <c r="C515" s="1" t="s">
        <v>955</v>
      </c>
      <c r="D515" t="b">
        <f ca="1">IF(A515="","",[1]!s_techanal_rcnthigh(B515,$B$2,1,3))</f>
        <v>0</v>
      </c>
      <c r="E515">
        <f ca="1">IF(A515="","",COUNTIF(D$6:D515,"True"))</f>
        <v>2</v>
      </c>
      <c r="F515" t="str">
        <f t="shared" si="7"/>
        <v>001379.SZ</v>
      </c>
    </row>
    <row r="516" spans="1:6" x14ac:dyDescent="0.15">
      <c r="A516" s="2">
        <v>46089</v>
      </c>
      <c r="B516" s="1" t="s">
        <v>956</v>
      </c>
      <c r="C516" s="1" t="s">
        <v>957</v>
      </c>
      <c r="D516" t="b">
        <f ca="1">IF(A516="","",[1]!s_techanal_rcnthigh(B516,$B$2,1,3))</f>
        <v>0</v>
      </c>
      <c r="E516">
        <f ca="1">IF(A516="","",COUNTIF(D$6:D516,"True"))</f>
        <v>2</v>
      </c>
      <c r="F516" t="str">
        <f t="shared" si="7"/>
        <v>001380.SZ</v>
      </c>
    </row>
    <row r="517" spans="1:6" x14ac:dyDescent="0.15">
      <c r="A517" s="2">
        <v>46089</v>
      </c>
      <c r="B517" s="1" t="s">
        <v>10088</v>
      </c>
      <c r="C517" s="1" t="s">
        <v>10089</v>
      </c>
      <c r="D517" t="b">
        <f ca="1">IF(A517="","",[1]!s_techanal_rcnthigh(B517,$B$2,1,3))</f>
        <v>0</v>
      </c>
      <c r="E517">
        <f ca="1">IF(A517="","",COUNTIF(D$6:D517,"True"))</f>
        <v>2</v>
      </c>
      <c r="F517" t="str">
        <f t="shared" si="7"/>
        <v>001382.SZ</v>
      </c>
    </row>
    <row r="518" spans="1:6" x14ac:dyDescent="0.15">
      <c r="A518" s="2">
        <v>46089</v>
      </c>
      <c r="B518" s="1" t="s">
        <v>10090</v>
      </c>
      <c r="C518" s="1" t="s">
        <v>10091</v>
      </c>
      <c r="D518" t="b">
        <f ca="1">IF(A518="","",[1]!s_techanal_rcnthigh(B518,$B$2,1,3))</f>
        <v>0</v>
      </c>
      <c r="E518">
        <f ca="1">IF(A518="","",COUNTIF(D$6:D518,"True"))</f>
        <v>2</v>
      </c>
      <c r="F518" t="str">
        <f t="shared" ref="F518:F581" si="8">IF(B518="","",B518)</f>
        <v>001386.SZ</v>
      </c>
    </row>
    <row r="519" spans="1:6" x14ac:dyDescent="0.15">
      <c r="A519" s="2">
        <v>46089</v>
      </c>
      <c r="B519" s="1" t="s">
        <v>958</v>
      </c>
      <c r="C519" s="1" t="s">
        <v>959</v>
      </c>
      <c r="D519" t="b">
        <f ca="1">IF(A519="","",[1]!s_techanal_rcnthigh(B519,$B$2,1,3))</f>
        <v>0</v>
      </c>
      <c r="E519">
        <f ca="1">IF(A519="","",COUNTIF(D$6:D519,"True"))</f>
        <v>2</v>
      </c>
      <c r="F519" t="str">
        <f t="shared" si="8"/>
        <v>001387.SZ</v>
      </c>
    </row>
    <row r="520" spans="1:6" x14ac:dyDescent="0.15">
      <c r="A520" s="2">
        <v>46089</v>
      </c>
      <c r="B520" s="1" t="s">
        <v>10092</v>
      </c>
      <c r="C520" s="1" t="s">
        <v>10093</v>
      </c>
      <c r="D520" t="b">
        <f ca="1">IF(A520="","",[1]!s_techanal_rcnthigh(B520,$B$2,1,3))</f>
        <v>0</v>
      </c>
      <c r="E520">
        <f ca="1">IF(A520="","",COUNTIF(D$6:D520,"True"))</f>
        <v>2</v>
      </c>
      <c r="F520" t="str">
        <f t="shared" si="8"/>
        <v>001388.SZ</v>
      </c>
    </row>
    <row r="521" spans="1:6" x14ac:dyDescent="0.15">
      <c r="A521" s="2">
        <v>46089</v>
      </c>
      <c r="B521" s="1" t="s">
        <v>10094</v>
      </c>
      <c r="C521" s="1" t="s">
        <v>10095</v>
      </c>
      <c r="D521" t="b">
        <f ca="1">IF(A521="","",[1]!s_techanal_rcnthigh(B521,$B$2,1,3))</f>
        <v>0</v>
      </c>
      <c r="E521">
        <f ca="1">IF(A521="","",COUNTIF(D$6:D521,"True"))</f>
        <v>2</v>
      </c>
      <c r="F521" t="str">
        <f t="shared" si="8"/>
        <v>001389.SZ</v>
      </c>
    </row>
    <row r="522" spans="1:6" x14ac:dyDescent="0.15">
      <c r="A522" s="2">
        <v>46089</v>
      </c>
      <c r="B522" s="1" t="s">
        <v>10096</v>
      </c>
      <c r="C522" s="1" t="s">
        <v>10097</v>
      </c>
      <c r="D522" t="b">
        <f ca="1">IF(A522="","",[1]!s_techanal_rcnthigh(B522,$B$2,1,3))</f>
        <v>0</v>
      </c>
      <c r="E522">
        <f ca="1">IF(A522="","",COUNTIF(D$6:D522,"True"))</f>
        <v>2</v>
      </c>
      <c r="F522" t="str">
        <f t="shared" si="8"/>
        <v>001390.SZ</v>
      </c>
    </row>
    <row r="523" spans="1:6" x14ac:dyDescent="0.15">
      <c r="A523" s="2">
        <v>46089</v>
      </c>
      <c r="B523" s="1" t="s">
        <v>10098</v>
      </c>
      <c r="C523" s="1" t="s">
        <v>10099</v>
      </c>
      <c r="D523" t="b">
        <f ca="1">IF(A523="","",[1]!s_techanal_rcnthigh(B523,$B$2,1,3))</f>
        <v>0</v>
      </c>
      <c r="E523">
        <f ca="1">IF(A523="","",COUNTIF(D$6:D523,"True"))</f>
        <v>2</v>
      </c>
      <c r="F523" t="str">
        <f t="shared" si="8"/>
        <v>001391.SZ</v>
      </c>
    </row>
    <row r="524" spans="1:6" x14ac:dyDescent="0.15">
      <c r="A524" s="2">
        <v>46089</v>
      </c>
      <c r="B524" s="1" t="s">
        <v>10100</v>
      </c>
      <c r="C524" s="1" t="s">
        <v>10101</v>
      </c>
      <c r="D524" t="b">
        <f ca="1">IF(A524="","",[1]!s_techanal_rcnthigh(B524,$B$2,1,3))</f>
        <v>0</v>
      </c>
      <c r="E524">
        <f ca="1">IF(A524="","",COUNTIF(D$6:D524,"True"))</f>
        <v>2</v>
      </c>
      <c r="F524" t="str">
        <f t="shared" si="8"/>
        <v>001395.SZ</v>
      </c>
    </row>
    <row r="525" spans="1:6" x14ac:dyDescent="0.15">
      <c r="A525" s="2">
        <v>46089</v>
      </c>
      <c r="B525" s="1" t="s">
        <v>10102</v>
      </c>
      <c r="C525" s="1" t="s">
        <v>10103</v>
      </c>
      <c r="D525" t="b">
        <f ca="1">IF(A525="","",[1]!s_techanal_rcnthigh(B525,$B$2,1,3))</f>
        <v>0</v>
      </c>
      <c r="E525">
        <f ca="1">IF(A525="","",COUNTIF(D$6:D525,"True"))</f>
        <v>2</v>
      </c>
      <c r="F525" t="str">
        <f t="shared" si="8"/>
        <v>001396.SZ</v>
      </c>
    </row>
    <row r="526" spans="1:6" x14ac:dyDescent="0.15">
      <c r="A526" s="2">
        <v>46089</v>
      </c>
      <c r="B526" s="1" t="s">
        <v>10104</v>
      </c>
      <c r="C526" s="1" t="s">
        <v>10105</v>
      </c>
      <c r="D526" t="b">
        <f ca="1">IF(A526="","",[1]!s_techanal_rcnthigh(B526,$B$2,1,3))</f>
        <v>0</v>
      </c>
      <c r="E526">
        <f ca="1">IF(A526="","",COUNTIF(D$6:D526,"True"))</f>
        <v>2</v>
      </c>
      <c r="F526" t="str">
        <f t="shared" si="8"/>
        <v>001400.SZ</v>
      </c>
    </row>
    <row r="527" spans="1:6" x14ac:dyDescent="0.15">
      <c r="A527" s="2">
        <v>46089</v>
      </c>
      <c r="B527" s="1" t="s">
        <v>960</v>
      </c>
      <c r="C527" s="1" t="s">
        <v>961</v>
      </c>
      <c r="D527" t="b">
        <f ca="1">IF(A527="","",[1]!s_techanal_rcnthigh(B527,$B$2,1,3))</f>
        <v>0</v>
      </c>
      <c r="E527">
        <f ca="1">IF(A527="","",COUNTIF(D$6:D527,"True"))</f>
        <v>2</v>
      </c>
      <c r="F527" t="str">
        <f t="shared" si="8"/>
        <v>001696.SZ</v>
      </c>
    </row>
    <row r="528" spans="1:6" x14ac:dyDescent="0.15">
      <c r="A528" s="2">
        <v>46089</v>
      </c>
      <c r="B528" s="1" t="s">
        <v>962</v>
      </c>
      <c r="C528" s="1" t="s">
        <v>963</v>
      </c>
      <c r="D528" t="b">
        <f ca="1">IF(A528="","",[1]!s_techanal_rcnthigh(B528,$B$2,1,3))</f>
        <v>0</v>
      </c>
      <c r="E528">
        <f ca="1">IF(A528="","",COUNTIF(D$6:D528,"True"))</f>
        <v>2</v>
      </c>
      <c r="F528" t="str">
        <f t="shared" si="8"/>
        <v>001872.SZ</v>
      </c>
    </row>
    <row r="529" spans="1:6" x14ac:dyDescent="0.15">
      <c r="A529" s="2">
        <v>46089</v>
      </c>
      <c r="B529" s="1" t="s">
        <v>964</v>
      </c>
      <c r="C529" s="1" t="s">
        <v>965</v>
      </c>
      <c r="D529" t="b">
        <f ca="1">IF(A529="","",[1]!s_techanal_rcnthigh(B529,$B$2,1,3))</f>
        <v>0</v>
      </c>
      <c r="E529">
        <f ca="1">IF(A529="","",COUNTIF(D$6:D529,"True"))</f>
        <v>2</v>
      </c>
      <c r="F529" t="str">
        <f t="shared" si="8"/>
        <v>001896.SZ</v>
      </c>
    </row>
    <row r="530" spans="1:6" x14ac:dyDescent="0.15">
      <c r="A530" s="2">
        <v>46089</v>
      </c>
      <c r="B530" s="1" t="s">
        <v>966</v>
      </c>
      <c r="C530" s="1" t="s">
        <v>967</v>
      </c>
      <c r="D530" t="b">
        <f ca="1">IF(A530="","",[1]!s_techanal_rcnthigh(B530,$B$2,1,3))</f>
        <v>0</v>
      </c>
      <c r="E530">
        <f ca="1">IF(A530="","",COUNTIF(D$6:D530,"True"))</f>
        <v>2</v>
      </c>
      <c r="F530" t="str">
        <f t="shared" si="8"/>
        <v>001914.SZ</v>
      </c>
    </row>
    <row r="531" spans="1:6" x14ac:dyDescent="0.15">
      <c r="A531" s="2">
        <v>46089</v>
      </c>
      <c r="B531" s="1" t="s">
        <v>968</v>
      </c>
      <c r="C531" s="1" t="s">
        <v>969</v>
      </c>
      <c r="D531" t="b">
        <f ca="1">IF(A531="","",[1]!s_techanal_rcnthigh(B531,$B$2,1,3))</f>
        <v>0</v>
      </c>
      <c r="E531">
        <f ca="1">IF(A531="","",COUNTIF(D$6:D531,"True"))</f>
        <v>2</v>
      </c>
      <c r="F531" t="str">
        <f t="shared" si="8"/>
        <v>001965.SZ</v>
      </c>
    </row>
    <row r="532" spans="1:6" x14ac:dyDescent="0.15">
      <c r="A532" s="2">
        <v>46089</v>
      </c>
      <c r="B532" s="1" t="s">
        <v>970</v>
      </c>
      <c r="C532" s="1" t="s">
        <v>971</v>
      </c>
      <c r="D532" t="b">
        <f ca="1">IF(A532="","",[1]!s_techanal_rcnthigh(B532,$B$2,1,3))</f>
        <v>0</v>
      </c>
      <c r="E532">
        <f ca="1">IF(A532="","",COUNTIF(D$6:D532,"True"))</f>
        <v>2</v>
      </c>
      <c r="F532" t="str">
        <f t="shared" si="8"/>
        <v>001979.SZ</v>
      </c>
    </row>
    <row r="533" spans="1:6" x14ac:dyDescent="0.15">
      <c r="A533" s="2">
        <v>46089</v>
      </c>
      <c r="B533" s="1" t="s">
        <v>972</v>
      </c>
      <c r="C533" s="1" t="s">
        <v>973</v>
      </c>
      <c r="D533" t="b">
        <f ca="1">IF(A533="","",[1]!s_techanal_rcnthigh(B533,$B$2,1,3))</f>
        <v>0</v>
      </c>
      <c r="E533">
        <f ca="1">IF(A533="","",COUNTIF(D$6:D533,"True"))</f>
        <v>2</v>
      </c>
      <c r="F533" t="str">
        <f t="shared" si="8"/>
        <v>002001.SZ</v>
      </c>
    </row>
    <row r="534" spans="1:6" x14ac:dyDescent="0.15">
      <c r="A534" s="2">
        <v>46089</v>
      </c>
      <c r="B534" s="1" t="s">
        <v>974</v>
      </c>
      <c r="C534" s="1" t="s">
        <v>975</v>
      </c>
      <c r="D534" t="b">
        <f ca="1">IF(A534="","",[1]!s_techanal_rcnthigh(B534,$B$2,1,3))</f>
        <v>0</v>
      </c>
      <c r="E534">
        <f ca="1">IF(A534="","",COUNTIF(D$6:D534,"True"))</f>
        <v>2</v>
      </c>
      <c r="F534" t="str">
        <f t="shared" si="8"/>
        <v>002003.SZ</v>
      </c>
    </row>
    <row r="535" spans="1:6" x14ac:dyDescent="0.15">
      <c r="A535" s="2">
        <v>46089</v>
      </c>
      <c r="B535" s="1" t="s">
        <v>976</v>
      </c>
      <c r="C535" s="1" t="s">
        <v>977</v>
      </c>
      <c r="D535" t="b">
        <f ca="1">IF(A535="","",[1]!s_techanal_rcnthigh(B535,$B$2,1,3))</f>
        <v>0</v>
      </c>
      <c r="E535">
        <f ca="1">IF(A535="","",COUNTIF(D$6:D535,"True"))</f>
        <v>2</v>
      </c>
      <c r="F535" t="str">
        <f t="shared" si="8"/>
        <v>002004.SZ</v>
      </c>
    </row>
    <row r="536" spans="1:6" x14ac:dyDescent="0.15">
      <c r="A536" s="2">
        <v>46089</v>
      </c>
      <c r="B536" s="1" t="s">
        <v>978</v>
      </c>
      <c r="C536" s="1" t="s">
        <v>979</v>
      </c>
      <c r="D536" t="b">
        <f ca="1">IF(A536="","",[1]!s_techanal_rcnthigh(B536,$B$2,1,3))</f>
        <v>0</v>
      </c>
      <c r="E536">
        <f ca="1">IF(A536="","",COUNTIF(D$6:D536,"True"))</f>
        <v>2</v>
      </c>
      <c r="F536" t="str">
        <f t="shared" si="8"/>
        <v>002005.SZ</v>
      </c>
    </row>
    <row r="537" spans="1:6" x14ac:dyDescent="0.15">
      <c r="A537" s="2">
        <v>46089</v>
      </c>
      <c r="B537" s="1" t="s">
        <v>980</v>
      </c>
      <c r="C537" s="1" t="s">
        <v>981</v>
      </c>
      <c r="D537" t="b">
        <f ca="1">IF(A537="","",[1]!s_techanal_rcnthigh(B537,$B$2,1,3))</f>
        <v>0</v>
      </c>
      <c r="E537">
        <f ca="1">IF(A537="","",COUNTIF(D$6:D537,"True"))</f>
        <v>2</v>
      </c>
      <c r="F537" t="str">
        <f t="shared" si="8"/>
        <v>002006.SZ</v>
      </c>
    </row>
    <row r="538" spans="1:6" x14ac:dyDescent="0.15">
      <c r="A538" s="2">
        <v>46089</v>
      </c>
      <c r="B538" s="1" t="s">
        <v>982</v>
      </c>
      <c r="C538" s="1" t="s">
        <v>983</v>
      </c>
      <c r="D538" t="b">
        <f ca="1">IF(A538="","",[1]!s_techanal_rcnthigh(B538,$B$2,1,3))</f>
        <v>0</v>
      </c>
      <c r="E538">
        <f ca="1">IF(A538="","",COUNTIF(D$6:D538,"True"))</f>
        <v>2</v>
      </c>
      <c r="F538" t="str">
        <f t="shared" si="8"/>
        <v>002007.SZ</v>
      </c>
    </row>
    <row r="539" spans="1:6" x14ac:dyDescent="0.15">
      <c r="A539" s="2">
        <v>46089</v>
      </c>
      <c r="B539" s="1" t="s">
        <v>984</v>
      </c>
      <c r="C539" s="1" t="s">
        <v>985</v>
      </c>
      <c r="D539" t="b">
        <f ca="1">IF(A539="","",[1]!s_techanal_rcnthigh(B539,$B$2,1,3))</f>
        <v>0</v>
      </c>
      <c r="E539">
        <f ca="1">IF(A539="","",COUNTIF(D$6:D539,"True"))</f>
        <v>2</v>
      </c>
      <c r="F539" t="str">
        <f t="shared" si="8"/>
        <v>002008.SZ</v>
      </c>
    </row>
    <row r="540" spans="1:6" x14ac:dyDescent="0.15">
      <c r="A540" s="2">
        <v>46089</v>
      </c>
      <c r="B540" s="1" t="s">
        <v>986</v>
      </c>
      <c r="C540" s="1" t="s">
        <v>987</v>
      </c>
      <c r="D540" t="b">
        <f ca="1">IF(A540="","",[1]!s_techanal_rcnthigh(B540,$B$2,1,3))</f>
        <v>0</v>
      </c>
      <c r="E540">
        <f ca="1">IF(A540="","",COUNTIF(D$6:D540,"True"))</f>
        <v>2</v>
      </c>
      <c r="F540" t="str">
        <f t="shared" si="8"/>
        <v>002009.SZ</v>
      </c>
    </row>
    <row r="541" spans="1:6" x14ac:dyDescent="0.15">
      <c r="A541" s="2">
        <v>46089</v>
      </c>
      <c r="B541" s="1" t="s">
        <v>988</v>
      </c>
      <c r="C541" s="1" t="s">
        <v>989</v>
      </c>
      <c r="D541" t="b">
        <f ca="1">IF(A541="","",[1]!s_techanal_rcnthigh(B541,$B$2,1,3))</f>
        <v>0</v>
      </c>
      <c r="E541">
        <f ca="1">IF(A541="","",COUNTIF(D$6:D541,"True"))</f>
        <v>2</v>
      </c>
      <c r="F541" t="str">
        <f t="shared" si="8"/>
        <v>002010.SZ</v>
      </c>
    </row>
    <row r="542" spans="1:6" x14ac:dyDescent="0.15">
      <c r="A542" s="2">
        <v>46089</v>
      </c>
      <c r="B542" s="1" t="s">
        <v>990</v>
      </c>
      <c r="C542" s="1" t="s">
        <v>991</v>
      </c>
      <c r="D542" t="b">
        <f ca="1">IF(A542="","",[1]!s_techanal_rcnthigh(B542,$B$2,1,3))</f>
        <v>0</v>
      </c>
      <c r="E542">
        <f ca="1">IF(A542="","",COUNTIF(D$6:D542,"True"))</f>
        <v>2</v>
      </c>
      <c r="F542" t="str">
        <f t="shared" si="8"/>
        <v>002011.SZ</v>
      </c>
    </row>
    <row r="543" spans="1:6" x14ac:dyDescent="0.15">
      <c r="A543" s="2">
        <v>46089</v>
      </c>
      <c r="B543" s="1" t="s">
        <v>992</v>
      </c>
      <c r="C543" s="1" t="s">
        <v>993</v>
      </c>
      <c r="D543" t="b">
        <f ca="1">IF(A543="","",[1]!s_techanal_rcnthigh(B543,$B$2,1,3))</f>
        <v>0</v>
      </c>
      <c r="E543">
        <f ca="1">IF(A543="","",COUNTIF(D$6:D543,"True"))</f>
        <v>2</v>
      </c>
      <c r="F543" t="str">
        <f t="shared" si="8"/>
        <v>002012.SZ</v>
      </c>
    </row>
    <row r="544" spans="1:6" x14ac:dyDescent="0.15">
      <c r="A544" s="2">
        <v>46089</v>
      </c>
      <c r="B544" s="1" t="s">
        <v>994</v>
      </c>
      <c r="C544" s="1" t="s">
        <v>995</v>
      </c>
      <c r="D544" t="b">
        <f ca="1">IF(A544="","",[1]!s_techanal_rcnthigh(B544,$B$2,1,3))</f>
        <v>0</v>
      </c>
      <c r="E544">
        <f ca="1">IF(A544="","",COUNTIF(D$6:D544,"True"))</f>
        <v>2</v>
      </c>
      <c r="F544" t="str">
        <f t="shared" si="8"/>
        <v>002014.SZ</v>
      </c>
    </row>
    <row r="545" spans="1:6" x14ac:dyDescent="0.15">
      <c r="A545" s="2">
        <v>46089</v>
      </c>
      <c r="B545" s="1" t="s">
        <v>996</v>
      </c>
      <c r="C545" s="1" t="s">
        <v>997</v>
      </c>
      <c r="D545" t="b">
        <f ca="1">IF(A545="","",[1]!s_techanal_rcnthigh(B545,$B$2,1,3))</f>
        <v>0</v>
      </c>
      <c r="E545">
        <f ca="1">IF(A545="","",COUNTIF(D$6:D545,"True"))</f>
        <v>2</v>
      </c>
      <c r="F545" t="str">
        <f t="shared" si="8"/>
        <v>002015.SZ</v>
      </c>
    </row>
    <row r="546" spans="1:6" x14ac:dyDescent="0.15">
      <c r="A546" s="2">
        <v>46089</v>
      </c>
      <c r="B546" s="1" t="s">
        <v>998</v>
      </c>
      <c r="C546" s="1" t="s">
        <v>999</v>
      </c>
      <c r="D546" t="b">
        <f ca="1">IF(A546="","",[1]!s_techanal_rcnthigh(B546,$B$2,1,3))</f>
        <v>0</v>
      </c>
      <c r="E546">
        <f ca="1">IF(A546="","",COUNTIF(D$6:D546,"True"))</f>
        <v>2</v>
      </c>
      <c r="F546" t="str">
        <f t="shared" si="8"/>
        <v>002016.SZ</v>
      </c>
    </row>
    <row r="547" spans="1:6" x14ac:dyDescent="0.15">
      <c r="A547" s="2">
        <v>46089</v>
      </c>
      <c r="B547" s="1" t="s">
        <v>1000</v>
      </c>
      <c r="C547" s="1" t="s">
        <v>1001</v>
      </c>
      <c r="D547" t="b">
        <f ca="1">IF(A547="","",[1]!s_techanal_rcnthigh(B547,$B$2,1,3))</f>
        <v>0</v>
      </c>
      <c r="E547">
        <f ca="1">IF(A547="","",COUNTIF(D$6:D547,"True"))</f>
        <v>2</v>
      </c>
      <c r="F547" t="str">
        <f t="shared" si="8"/>
        <v>002017.SZ</v>
      </c>
    </row>
    <row r="548" spans="1:6" x14ac:dyDescent="0.15">
      <c r="A548" s="2">
        <v>46089</v>
      </c>
      <c r="B548" s="1" t="s">
        <v>1002</v>
      </c>
      <c r="C548" s="1" t="s">
        <v>1003</v>
      </c>
      <c r="D548" t="b">
        <f ca="1">IF(A548="","",[1]!s_techanal_rcnthigh(B548,$B$2,1,3))</f>
        <v>0</v>
      </c>
      <c r="E548">
        <f ca="1">IF(A548="","",COUNTIF(D$6:D548,"True"))</f>
        <v>2</v>
      </c>
      <c r="F548" t="str">
        <f t="shared" si="8"/>
        <v>002019.SZ</v>
      </c>
    </row>
    <row r="549" spans="1:6" x14ac:dyDescent="0.15">
      <c r="A549" s="2">
        <v>46089</v>
      </c>
      <c r="B549" s="1" t="s">
        <v>1004</v>
      </c>
      <c r="C549" s="1" t="s">
        <v>1005</v>
      </c>
      <c r="D549" t="b">
        <f ca="1">IF(A549="","",[1]!s_techanal_rcnthigh(B549,$B$2,1,3))</f>
        <v>0</v>
      </c>
      <c r="E549">
        <f ca="1">IF(A549="","",COUNTIF(D$6:D549,"True"))</f>
        <v>2</v>
      </c>
      <c r="F549" t="str">
        <f t="shared" si="8"/>
        <v>002020.SZ</v>
      </c>
    </row>
    <row r="550" spans="1:6" x14ac:dyDescent="0.15">
      <c r="A550" s="2">
        <v>46089</v>
      </c>
      <c r="B550" s="1" t="s">
        <v>1006</v>
      </c>
      <c r="C550" s="1" t="s">
        <v>10106</v>
      </c>
      <c r="D550" t="b">
        <f ca="1">IF(A550="","",[1]!s_techanal_rcnthigh(B550,$B$2,1,3))</f>
        <v>0</v>
      </c>
      <c r="E550">
        <f ca="1">IF(A550="","",COUNTIF(D$6:D550,"True"))</f>
        <v>2</v>
      </c>
      <c r="F550" t="str">
        <f t="shared" si="8"/>
        <v>002021.SZ</v>
      </c>
    </row>
    <row r="551" spans="1:6" x14ac:dyDescent="0.15">
      <c r="A551" s="2">
        <v>46089</v>
      </c>
      <c r="B551" s="1" t="s">
        <v>1007</v>
      </c>
      <c r="C551" s="1" t="s">
        <v>1008</v>
      </c>
      <c r="D551" t="b">
        <f ca="1">IF(A551="","",[1]!s_techanal_rcnthigh(B551,$B$2,1,3))</f>
        <v>0</v>
      </c>
      <c r="E551">
        <f ca="1">IF(A551="","",COUNTIF(D$6:D551,"True"))</f>
        <v>2</v>
      </c>
      <c r="F551" t="str">
        <f t="shared" si="8"/>
        <v>002022.SZ</v>
      </c>
    </row>
    <row r="552" spans="1:6" x14ac:dyDescent="0.15">
      <c r="A552" s="2">
        <v>46089</v>
      </c>
      <c r="B552" s="1" t="s">
        <v>1009</v>
      </c>
      <c r="C552" s="1" t="s">
        <v>1010</v>
      </c>
      <c r="D552" t="b">
        <f ca="1">IF(A552="","",[1]!s_techanal_rcnthigh(B552,$B$2,1,3))</f>
        <v>0</v>
      </c>
      <c r="E552">
        <f ca="1">IF(A552="","",COUNTIF(D$6:D552,"True"))</f>
        <v>2</v>
      </c>
      <c r="F552" t="str">
        <f t="shared" si="8"/>
        <v>002023.SZ</v>
      </c>
    </row>
    <row r="553" spans="1:6" x14ac:dyDescent="0.15">
      <c r="A553" s="2">
        <v>46089</v>
      </c>
      <c r="B553" s="1" t="s">
        <v>1011</v>
      </c>
      <c r="C553" s="1" t="s">
        <v>1012</v>
      </c>
      <c r="D553" t="b">
        <f ca="1">IF(A553="","",[1]!s_techanal_rcnthigh(B553,$B$2,1,3))</f>
        <v>0</v>
      </c>
      <c r="E553">
        <f ca="1">IF(A553="","",COUNTIF(D$6:D553,"True"))</f>
        <v>2</v>
      </c>
      <c r="F553" t="str">
        <f t="shared" si="8"/>
        <v>002024.SZ</v>
      </c>
    </row>
    <row r="554" spans="1:6" x14ac:dyDescent="0.15">
      <c r="A554" s="2">
        <v>46089</v>
      </c>
      <c r="B554" s="1" t="s">
        <v>1013</v>
      </c>
      <c r="C554" s="1" t="s">
        <v>1014</v>
      </c>
      <c r="D554" t="b">
        <f ca="1">IF(A554="","",[1]!s_techanal_rcnthigh(B554,$B$2,1,3))</f>
        <v>0</v>
      </c>
      <c r="E554">
        <f ca="1">IF(A554="","",COUNTIF(D$6:D554,"True"))</f>
        <v>2</v>
      </c>
      <c r="F554" t="str">
        <f t="shared" si="8"/>
        <v>002025.SZ</v>
      </c>
    </row>
    <row r="555" spans="1:6" x14ac:dyDescent="0.15">
      <c r="A555" s="2">
        <v>46089</v>
      </c>
      <c r="B555" s="1" t="s">
        <v>1015</v>
      </c>
      <c r="C555" s="1" t="s">
        <v>1016</v>
      </c>
      <c r="D555" t="b">
        <f ca="1">IF(A555="","",[1]!s_techanal_rcnthigh(B555,$B$2,1,3))</f>
        <v>0</v>
      </c>
      <c r="E555">
        <f ca="1">IF(A555="","",COUNTIF(D$6:D555,"True"))</f>
        <v>2</v>
      </c>
      <c r="F555" t="str">
        <f t="shared" si="8"/>
        <v>002026.SZ</v>
      </c>
    </row>
    <row r="556" spans="1:6" x14ac:dyDescent="0.15">
      <c r="A556" s="2">
        <v>46089</v>
      </c>
      <c r="B556" s="1" t="s">
        <v>1017</v>
      </c>
      <c r="C556" s="1" t="s">
        <v>1018</v>
      </c>
      <c r="D556" t="b">
        <f ca="1">IF(A556="","",[1]!s_techanal_rcnthigh(B556,$B$2,1,3))</f>
        <v>0</v>
      </c>
      <c r="E556">
        <f ca="1">IF(A556="","",COUNTIF(D$6:D556,"True"))</f>
        <v>2</v>
      </c>
      <c r="F556" t="str">
        <f t="shared" si="8"/>
        <v>002027.SZ</v>
      </c>
    </row>
    <row r="557" spans="1:6" x14ac:dyDescent="0.15">
      <c r="A557" s="2">
        <v>46089</v>
      </c>
      <c r="B557" s="1" t="s">
        <v>1019</v>
      </c>
      <c r="C557" s="1" t="s">
        <v>1020</v>
      </c>
      <c r="D557" t="b">
        <f ca="1">IF(A557="","",[1]!s_techanal_rcnthigh(B557,$B$2,1,3))</f>
        <v>1</v>
      </c>
      <c r="E557">
        <f ca="1">IF(A557="","",COUNTIF(D$6:D557,"True"))</f>
        <v>3</v>
      </c>
      <c r="F557" t="str">
        <f t="shared" si="8"/>
        <v>002028.SZ</v>
      </c>
    </row>
    <row r="558" spans="1:6" x14ac:dyDescent="0.15">
      <c r="A558" s="2">
        <v>46089</v>
      </c>
      <c r="B558" s="1" t="s">
        <v>1021</v>
      </c>
      <c r="C558" s="1" t="s">
        <v>1022</v>
      </c>
      <c r="D558" t="b">
        <f ca="1">IF(A558="","",[1]!s_techanal_rcnthigh(B558,$B$2,1,3))</f>
        <v>0</v>
      </c>
      <c r="E558">
        <f ca="1">IF(A558="","",COUNTIF(D$6:D558,"True"))</f>
        <v>3</v>
      </c>
      <c r="F558" t="str">
        <f t="shared" si="8"/>
        <v>002029.SZ</v>
      </c>
    </row>
    <row r="559" spans="1:6" x14ac:dyDescent="0.15">
      <c r="A559" s="2">
        <v>46089</v>
      </c>
      <c r="B559" s="1" t="s">
        <v>1023</v>
      </c>
      <c r="C559" s="1" t="s">
        <v>1024</v>
      </c>
      <c r="D559" t="b">
        <f ca="1">IF(A559="","",[1]!s_techanal_rcnthigh(B559,$B$2,1,3))</f>
        <v>0</v>
      </c>
      <c r="E559">
        <f ca="1">IF(A559="","",COUNTIF(D$6:D559,"True"))</f>
        <v>3</v>
      </c>
      <c r="F559" t="str">
        <f t="shared" si="8"/>
        <v>002030.SZ</v>
      </c>
    </row>
    <row r="560" spans="1:6" x14ac:dyDescent="0.15">
      <c r="A560" s="2">
        <v>46089</v>
      </c>
      <c r="B560" s="1" t="s">
        <v>1025</v>
      </c>
      <c r="C560" s="1" t="s">
        <v>1026</v>
      </c>
      <c r="D560" t="b">
        <f ca="1">IF(A560="","",[1]!s_techanal_rcnthigh(B560,$B$2,1,3))</f>
        <v>0</v>
      </c>
      <c r="E560">
        <f ca="1">IF(A560="","",COUNTIF(D$6:D560,"True"))</f>
        <v>3</v>
      </c>
      <c r="F560" t="str">
        <f t="shared" si="8"/>
        <v>002031.SZ</v>
      </c>
    </row>
    <row r="561" spans="1:6" x14ac:dyDescent="0.15">
      <c r="A561" s="2">
        <v>46089</v>
      </c>
      <c r="B561" s="1" t="s">
        <v>1027</v>
      </c>
      <c r="C561" s="1" t="s">
        <v>1028</v>
      </c>
      <c r="D561" t="b">
        <f ca="1">IF(A561="","",[1]!s_techanal_rcnthigh(B561,$B$2,1,3))</f>
        <v>0</v>
      </c>
      <c r="E561">
        <f ca="1">IF(A561="","",COUNTIF(D$6:D561,"True"))</f>
        <v>3</v>
      </c>
      <c r="F561" t="str">
        <f t="shared" si="8"/>
        <v>002032.SZ</v>
      </c>
    </row>
    <row r="562" spans="1:6" x14ac:dyDescent="0.15">
      <c r="A562" s="2">
        <v>46089</v>
      </c>
      <c r="B562" s="1" t="s">
        <v>1029</v>
      </c>
      <c r="C562" s="1" t="s">
        <v>1030</v>
      </c>
      <c r="D562" t="b">
        <f ca="1">IF(A562="","",[1]!s_techanal_rcnthigh(B562,$B$2,1,3))</f>
        <v>0</v>
      </c>
      <c r="E562">
        <f ca="1">IF(A562="","",COUNTIF(D$6:D562,"True"))</f>
        <v>3</v>
      </c>
      <c r="F562" t="str">
        <f t="shared" si="8"/>
        <v>002033.SZ</v>
      </c>
    </row>
    <row r="563" spans="1:6" x14ac:dyDescent="0.15">
      <c r="A563" s="2">
        <v>46089</v>
      </c>
      <c r="B563" s="1" t="s">
        <v>1031</v>
      </c>
      <c r="C563" s="1" t="s">
        <v>1032</v>
      </c>
      <c r="D563" t="b">
        <f ca="1">IF(A563="","",[1]!s_techanal_rcnthigh(B563,$B$2,1,3))</f>
        <v>0</v>
      </c>
      <c r="E563">
        <f ca="1">IF(A563="","",COUNTIF(D$6:D563,"True"))</f>
        <v>3</v>
      </c>
      <c r="F563" t="str">
        <f t="shared" si="8"/>
        <v>002034.SZ</v>
      </c>
    </row>
    <row r="564" spans="1:6" x14ac:dyDescent="0.15">
      <c r="A564" s="2">
        <v>46089</v>
      </c>
      <c r="B564" s="1" t="s">
        <v>1033</v>
      </c>
      <c r="C564" s="1" t="s">
        <v>1034</v>
      </c>
      <c r="D564" t="b">
        <f ca="1">IF(A564="","",[1]!s_techanal_rcnthigh(B564,$B$2,1,3))</f>
        <v>0</v>
      </c>
      <c r="E564">
        <f ca="1">IF(A564="","",COUNTIF(D$6:D564,"True"))</f>
        <v>3</v>
      </c>
      <c r="F564" t="str">
        <f t="shared" si="8"/>
        <v>002035.SZ</v>
      </c>
    </row>
    <row r="565" spans="1:6" x14ac:dyDescent="0.15">
      <c r="A565" s="2">
        <v>46089</v>
      </c>
      <c r="B565" s="1" t="s">
        <v>1035</v>
      </c>
      <c r="C565" s="1" t="s">
        <v>1036</v>
      </c>
      <c r="D565" t="b">
        <f ca="1">IF(A565="","",[1]!s_techanal_rcnthigh(B565,$B$2,1,3))</f>
        <v>0</v>
      </c>
      <c r="E565">
        <f ca="1">IF(A565="","",COUNTIF(D$6:D565,"True"))</f>
        <v>3</v>
      </c>
      <c r="F565" t="str">
        <f t="shared" si="8"/>
        <v>002036.SZ</v>
      </c>
    </row>
    <row r="566" spans="1:6" x14ac:dyDescent="0.15">
      <c r="A566" s="2">
        <v>46089</v>
      </c>
      <c r="B566" s="1" t="s">
        <v>1037</v>
      </c>
      <c r="C566" s="1" t="s">
        <v>1038</v>
      </c>
      <c r="D566" t="b">
        <f ca="1">IF(A566="","",[1]!s_techanal_rcnthigh(B566,$B$2,1,3))</f>
        <v>0</v>
      </c>
      <c r="E566">
        <f ca="1">IF(A566="","",COUNTIF(D$6:D566,"True"))</f>
        <v>3</v>
      </c>
      <c r="F566" t="str">
        <f t="shared" si="8"/>
        <v>002037.SZ</v>
      </c>
    </row>
    <row r="567" spans="1:6" x14ac:dyDescent="0.15">
      <c r="A567" s="2">
        <v>46089</v>
      </c>
      <c r="B567" s="1" t="s">
        <v>1039</v>
      </c>
      <c r="C567" s="1" t="s">
        <v>1040</v>
      </c>
      <c r="D567" t="b">
        <f ca="1">IF(A567="","",[1]!s_techanal_rcnthigh(B567,$B$2,1,3))</f>
        <v>0</v>
      </c>
      <c r="E567">
        <f ca="1">IF(A567="","",COUNTIF(D$6:D567,"True"))</f>
        <v>3</v>
      </c>
      <c r="F567" t="str">
        <f t="shared" si="8"/>
        <v>002038.SZ</v>
      </c>
    </row>
    <row r="568" spans="1:6" x14ac:dyDescent="0.15">
      <c r="A568" s="2">
        <v>46089</v>
      </c>
      <c r="B568" s="1" t="s">
        <v>1041</v>
      </c>
      <c r="C568" s="1" t="s">
        <v>1042</v>
      </c>
      <c r="D568" t="b">
        <f ca="1">IF(A568="","",[1]!s_techanal_rcnthigh(B568,$B$2,1,3))</f>
        <v>0</v>
      </c>
      <c r="E568">
        <f ca="1">IF(A568="","",COUNTIF(D$6:D568,"True"))</f>
        <v>3</v>
      </c>
      <c r="F568" t="str">
        <f t="shared" si="8"/>
        <v>002039.SZ</v>
      </c>
    </row>
    <row r="569" spans="1:6" x14ac:dyDescent="0.15">
      <c r="A569" s="2">
        <v>46089</v>
      </c>
      <c r="B569" s="1" t="s">
        <v>1043</v>
      </c>
      <c r="C569" s="1" t="s">
        <v>1044</v>
      </c>
      <c r="D569" t="b">
        <f ca="1">IF(A569="","",[1]!s_techanal_rcnthigh(B569,$B$2,1,3))</f>
        <v>0</v>
      </c>
      <c r="E569">
        <f ca="1">IF(A569="","",COUNTIF(D$6:D569,"True"))</f>
        <v>3</v>
      </c>
      <c r="F569" t="str">
        <f t="shared" si="8"/>
        <v>002040.SZ</v>
      </c>
    </row>
    <row r="570" spans="1:6" x14ac:dyDescent="0.15">
      <c r="A570" s="2">
        <v>46089</v>
      </c>
      <c r="B570" s="1" t="s">
        <v>1045</v>
      </c>
      <c r="C570" s="1" t="s">
        <v>1046</v>
      </c>
      <c r="D570" t="b">
        <f ca="1">IF(A570="","",[1]!s_techanal_rcnthigh(B570,$B$2,1,3))</f>
        <v>0</v>
      </c>
      <c r="E570">
        <f ca="1">IF(A570="","",COUNTIF(D$6:D570,"True"))</f>
        <v>3</v>
      </c>
      <c r="F570" t="str">
        <f t="shared" si="8"/>
        <v>002041.SZ</v>
      </c>
    </row>
    <row r="571" spans="1:6" x14ac:dyDescent="0.15">
      <c r="A571" s="2">
        <v>46089</v>
      </c>
      <c r="B571" s="1" t="s">
        <v>1047</v>
      </c>
      <c r="C571" s="1" t="s">
        <v>1048</v>
      </c>
      <c r="D571" t="b">
        <f ca="1">IF(A571="","",[1]!s_techanal_rcnthigh(B571,$B$2,1,3))</f>
        <v>0</v>
      </c>
      <c r="E571">
        <f ca="1">IF(A571="","",COUNTIF(D$6:D571,"True"))</f>
        <v>3</v>
      </c>
      <c r="F571" t="str">
        <f t="shared" si="8"/>
        <v>002042.SZ</v>
      </c>
    </row>
    <row r="572" spans="1:6" x14ac:dyDescent="0.15">
      <c r="A572" s="2">
        <v>46089</v>
      </c>
      <c r="B572" s="1" t="s">
        <v>1049</v>
      </c>
      <c r="C572" s="1" t="s">
        <v>1050</v>
      </c>
      <c r="D572" t="b">
        <f ca="1">IF(A572="","",[1]!s_techanal_rcnthigh(B572,$B$2,1,3))</f>
        <v>0</v>
      </c>
      <c r="E572">
        <f ca="1">IF(A572="","",COUNTIF(D$6:D572,"True"))</f>
        <v>3</v>
      </c>
      <c r="F572" t="str">
        <f t="shared" si="8"/>
        <v>002043.SZ</v>
      </c>
    </row>
    <row r="573" spans="1:6" x14ac:dyDescent="0.15">
      <c r="A573" s="2">
        <v>46089</v>
      </c>
      <c r="B573" s="1" t="s">
        <v>1051</v>
      </c>
      <c r="C573" s="1" t="s">
        <v>1052</v>
      </c>
      <c r="D573" t="b">
        <f ca="1">IF(A573="","",[1]!s_techanal_rcnthigh(B573,$B$2,1,3))</f>
        <v>0</v>
      </c>
      <c r="E573">
        <f ca="1">IF(A573="","",COUNTIF(D$6:D573,"True"))</f>
        <v>3</v>
      </c>
      <c r="F573" t="str">
        <f t="shared" si="8"/>
        <v>002044.SZ</v>
      </c>
    </row>
    <row r="574" spans="1:6" x14ac:dyDescent="0.15">
      <c r="A574" s="2">
        <v>46089</v>
      </c>
      <c r="B574" s="1" t="s">
        <v>1053</v>
      </c>
      <c r="C574" s="1" t="s">
        <v>1054</v>
      </c>
      <c r="D574" t="b">
        <f ca="1">IF(A574="","",[1]!s_techanal_rcnthigh(B574,$B$2,1,3))</f>
        <v>0</v>
      </c>
      <c r="E574">
        <f ca="1">IF(A574="","",COUNTIF(D$6:D574,"True"))</f>
        <v>3</v>
      </c>
      <c r="F574" t="str">
        <f t="shared" si="8"/>
        <v>002045.SZ</v>
      </c>
    </row>
    <row r="575" spans="1:6" x14ac:dyDescent="0.15">
      <c r="A575" s="2">
        <v>46089</v>
      </c>
      <c r="B575" s="1" t="s">
        <v>1055</v>
      </c>
      <c r="C575" s="1" t="s">
        <v>1056</v>
      </c>
      <c r="D575" t="b">
        <f ca="1">IF(A575="","",[1]!s_techanal_rcnthigh(B575,$B$2,1,3))</f>
        <v>0</v>
      </c>
      <c r="E575">
        <f ca="1">IF(A575="","",COUNTIF(D$6:D575,"True"))</f>
        <v>3</v>
      </c>
      <c r="F575" t="str">
        <f t="shared" si="8"/>
        <v>002046.SZ</v>
      </c>
    </row>
    <row r="576" spans="1:6" x14ac:dyDescent="0.15">
      <c r="A576" s="2">
        <v>46089</v>
      </c>
      <c r="B576" s="1" t="s">
        <v>1057</v>
      </c>
      <c r="C576" s="1" t="s">
        <v>10107</v>
      </c>
      <c r="D576" t="b">
        <f ca="1">IF(A576="","",[1]!s_techanal_rcnthigh(B576,$B$2,1,3))</f>
        <v>0</v>
      </c>
      <c r="E576">
        <f ca="1">IF(A576="","",COUNTIF(D$6:D576,"True"))</f>
        <v>3</v>
      </c>
      <c r="F576" t="str">
        <f t="shared" si="8"/>
        <v>002047.SZ</v>
      </c>
    </row>
    <row r="577" spans="1:6" x14ac:dyDescent="0.15">
      <c r="A577" s="2">
        <v>46089</v>
      </c>
      <c r="B577" s="1" t="s">
        <v>1058</v>
      </c>
      <c r="C577" s="1" t="s">
        <v>1059</v>
      </c>
      <c r="D577" t="b">
        <f ca="1">IF(A577="","",[1]!s_techanal_rcnthigh(B577,$B$2,1,3))</f>
        <v>0</v>
      </c>
      <c r="E577">
        <f ca="1">IF(A577="","",COUNTIF(D$6:D577,"True"))</f>
        <v>3</v>
      </c>
      <c r="F577" t="str">
        <f t="shared" si="8"/>
        <v>002048.SZ</v>
      </c>
    </row>
    <row r="578" spans="1:6" x14ac:dyDescent="0.15">
      <c r="A578" s="2">
        <v>46089</v>
      </c>
      <c r="B578" s="1" t="s">
        <v>1060</v>
      </c>
      <c r="C578" s="1" t="s">
        <v>1061</v>
      </c>
      <c r="D578" t="b">
        <f ca="1">IF(A578="","",[1]!s_techanal_rcnthigh(B578,$B$2,1,3))</f>
        <v>0</v>
      </c>
      <c r="E578">
        <f ca="1">IF(A578="","",COUNTIF(D$6:D578,"True"))</f>
        <v>3</v>
      </c>
      <c r="F578" t="str">
        <f t="shared" si="8"/>
        <v>002049.SZ</v>
      </c>
    </row>
    <row r="579" spans="1:6" x14ac:dyDescent="0.15">
      <c r="A579" s="2">
        <v>46089</v>
      </c>
      <c r="B579" s="1" t="s">
        <v>1062</v>
      </c>
      <c r="C579" s="1" t="s">
        <v>1063</v>
      </c>
      <c r="D579" t="b">
        <f ca="1">IF(A579="","",[1]!s_techanal_rcnthigh(B579,$B$2,1,3))</f>
        <v>0</v>
      </c>
      <c r="E579">
        <f ca="1">IF(A579="","",COUNTIF(D$6:D579,"True"))</f>
        <v>3</v>
      </c>
      <c r="F579" t="str">
        <f t="shared" si="8"/>
        <v>002050.SZ</v>
      </c>
    </row>
    <row r="580" spans="1:6" x14ac:dyDescent="0.15">
      <c r="A580" s="2">
        <v>46089</v>
      </c>
      <c r="B580" s="1" t="s">
        <v>1064</v>
      </c>
      <c r="C580" s="1" t="s">
        <v>1065</v>
      </c>
      <c r="D580" t="b">
        <f ca="1">IF(A580="","",[1]!s_techanal_rcnthigh(B580,$B$2,1,3))</f>
        <v>0</v>
      </c>
      <c r="E580">
        <f ca="1">IF(A580="","",COUNTIF(D$6:D580,"True"))</f>
        <v>3</v>
      </c>
      <c r="F580" t="str">
        <f t="shared" si="8"/>
        <v>002051.SZ</v>
      </c>
    </row>
    <row r="581" spans="1:6" x14ac:dyDescent="0.15">
      <c r="A581" s="2">
        <v>46089</v>
      </c>
      <c r="B581" s="1" t="s">
        <v>1066</v>
      </c>
      <c r="C581" s="1" t="s">
        <v>10108</v>
      </c>
      <c r="D581" t="b">
        <f ca="1">IF(A581="","",[1]!s_techanal_rcnthigh(B581,$B$2,1,3))</f>
        <v>0</v>
      </c>
      <c r="E581">
        <f ca="1">IF(A581="","",COUNTIF(D$6:D581,"True"))</f>
        <v>3</v>
      </c>
      <c r="F581" t="str">
        <f t="shared" si="8"/>
        <v>002052.SZ</v>
      </c>
    </row>
    <row r="582" spans="1:6" x14ac:dyDescent="0.15">
      <c r="A582" s="2">
        <v>46089</v>
      </c>
      <c r="B582" s="1" t="s">
        <v>1067</v>
      </c>
      <c r="C582" s="1" t="s">
        <v>1068</v>
      </c>
      <c r="D582" t="b">
        <f ca="1">IF(A582="","",[1]!s_techanal_rcnthigh(B582,$B$2,1,3))</f>
        <v>0</v>
      </c>
      <c r="E582">
        <f ca="1">IF(A582="","",COUNTIF(D$6:D582,"True"))</f>
        <v>3</v>
      </c>
      <c r="F582" t="str">
        <f t="shared" ref="F582:F645" si="9">IF(B582="","",B582)</f>
        <v>002053.SZ</v>
      </c>
    </row>
    <row r="583" spans="1:6" x14ac:dyDescent="0.15">
      <c r="A583" s="2">
        <v>46089</v>
      </c>
      <c r="B583" s="1" t="s">
        <v>1069</v>
      </c>
      <c r="C583" s="1" t="s">
        <v>1070</v>
      </c>
      <c r="D583" t="b">
        <f ca="1">IF(A583="","",[1]!s_techanal_rcnthigh(B583,$B$2,1,3))</f>
        <v>0</v>
      </c>
      <c r="E583">
        <f ca="1">IF(A583="","",COUNTIF(D$6:D583,"True"))</f>
        <v>3</v>
      </c>
      <c r="F583" t="str">
        <f t="shared" si="9"/>
        <v>002054.SZ</v>
      </c>
    </row>
    <row r="584" spans="1:6" x14ac:dyDescent="0.15">
      <c r="A584" s="2">
        <v>46089</v>
      </c>
      <c r="B584" s="1" t="s">
        <v>1071</v>
      </c>
      <c r="C584" s="1" t="s">
        <v>10109</v>
      </c>
      <c r="D584" t="b">
        <f ca="1">IF(A584="","",[1]!s_techanal_rcnthigh(B584,$B$2,1,3))</f>
        <v>0</v>
      </c>
      <c r="E584">
        <f ca="1">IF(A584="","",COUNTIF(D$6:D584,"True"))</f>
        <v>3</v>
      </c>
      <c r="F584" t="str">
        <f t="shared" si="9"/>
        <v>002055.SZ</v>
      </c>
    </row>
    <row r="585" spans="1:6" x14ac:dyDescent="0.15">
      <c r="A585" s="2">
        <v>46089</v>
      </c>
      <c r="B585" s="1" t="s">
        <v>1072</v>
      </c>
      <c r="C585" s="1" t="s">
        <v>1073</v>
      </c>
      <c r="D585" t="b">
        <f ca="1">IF(A585="","",[1]!s_techanal_rcnthigh(B585,$B$2,1,3))</f>
        <v>0</v>
      </c>
      <c r="E585">
        <f ca="1">IF(A585="","",COUNTIF(D$6:D585,"True"))</f>
        <v>3</v>
      </c>
      <c r="F585" t="str">
        <f t="shared" si="9"/>
        <v>002056.SZ</v>
      </c>
    </row>
    <row r="586" spans="1:6" x14ac:dyDescent="0.15">
      <c r="A586" s="2">
        <v>46089</v>
      </c>
      <c r="B586" s="1" t="s">
        <v>1074</v>
      </c>
      <c r="C586" s="1" t="s">
        <v>1075</v>
      </c>
      <c r="D586" t="b">
        <f ca="1">IF(A586="","",[1]!s_techanal_rcnthigh(B586,$B$2,1,3))</f>
        <v>0</v>
      </c>
      <c r="E586">
        <f ca="1">IF(A586="","",COUNTIF(D$6:D586,"True"))</f>
        <v>3</v>
      </c>
      <c r="F586" t="str">
        <f t="shared" si="9"/>
        <v>002057.SZ</v>
      </c>
    </row>
    <row r="587" spans="1:6" x14ac:dyDescent="0.15">
      <c r="A587" s="2">
        <v>46089</v>
      </c>
      <c r="B587" s="1" t="s">
        <v>1076</v>
      </c>
      <c r="C587" s="1" t="s">
        <v>10110</v>
      </c>
      <c r="D587" t="b">
        <f ca="1">IF(A587="","",[1]!s_techanal_rcnthigh(B587,$B$2,1,3))</f>
        <v>0</v>
      </c>
      <c r="E587">
        <f ca="1">IF(A587="","",COUNTIF(D$6:D587,"True"))</f>
        <v>3</v>
      </c>
      <c r="F587" t="str">
        <f t="shared" si="9"/>
        <v>002058.SZ</v>
      </c>
    </row>
    <row r="588" spans="1:6" x14ac:dyDescent="0.15">
      <c r="A588" s="2">
        <v>46089</v>
      </c>
      <c r="B588" s="1" t="s">
        <v>1077</v>
      </c>
      <c r="C588" s="1" t="s">
        <v>1078</v>
      </c>
      <c r="D588" t="b">
        <f ca="1">IF(A588="","",[1]!s_techanal_rcnthigh(B588,$B$2,1,3))</f>
        <v>0</v>
      </c>
      <c r="E588">
        <f ca="1">IF(A588="","",COUNTIF(D$6:D588,"True"))</f>
        <v>3</v>
      </c>
      <c r="F588" t="str">
        <f t="shared" si="9"/>
        <v>002059.SZ</v>
      </c>
    </row>
    <row r="589" spans="1:6" x14ac:dyDescent="0.15">
      <c r="A589" s="2">
        <v>46089</v>
      </c>
      <c r="B589" s="1" t="s">
        <v>1079</v>
      </c>
      <c r="C589" s="1" t="s">
        <v>1080</v>
      </c>
      <c r="D589" t="b">
        <f ca="1">IF(A589="","",[1]!s_techanal_rcnthigh(B589,$B$2,1,3))</f>
        <v>0</v>
      </c>
      <c r="E589">
        <f ca="1">IF(A589="","",COUNTIF(D$6:D589,"True"))</f>
        <v>3</v>
      </c>
      <c r="F589" t="str">
        <f t="shared" si="9"/>
        <v>002060.SZ</v>
      </c>
    </row>
    <row r="590" spans="1:6" x14ac:dyDescent="0.15">
      <c r="A590" s="2">
        <v>46089</v>
      </c>
      <c r="B590" s="1" t="s">
        <v>1081</v>
      </c>
      <c r="C590" s="1" t="s">
        <v>1082</v>
      </c>
      <c r="D590" t="b">
        <f ca="1">IF(A590="","",[1]!s_techanal_rcnthigh(B590,$B$2,1,3))</f>
        <v>0</v>
      </c>
      <c r="E590">
        <f ca="1">IF(A590="","",COUNTIF(D$6:D590,"True"))</f>
        <v>3</v>
      </c>
      <c r="F590" t="str">
        <f t="shared" si="9"/>
        <v>002061.SZ</v>
      </c>
    </row>
    <row r="591" spans="1:6" x14ac:dyDescent="0.15">
      <c r="A591" s="2">
        <v>46089</v>
      </c>
      <c r="B591" s="1" t="s">
        <v>1083</v>
      </c>
      <c r="C591" s="1" t="s">
        <v>1084</v>
      </c>
      <c r="D591" t="b">
        <f ca="1">IF(A591="","",[1]!s_techanal_rcnthigh(B591,$B$2,1,3))</f>
        <v>0</v>
      </c>
      <c r="E591">
        <f ca="1">IF(A591="","",COUNTIF(D$6:D591,"True"))</f>
        <v>3</v>
      </c>
      <c r="F591" t="str">
        <f t="shared" si="9"/>
        <v>002062.SZ</v>
      </c>
    </row>
    <row r="592" spans="1:6" x14ac:dyDescent="0.15">
      <c r="A592" s="2">
        <v>46089</v>
      </c>
      <c r="B592" s="1" t="s">
        <v>1085</v>
      </c>
      <c r="C592" s="1" t="s">
        <v>1086</v>
      </c>
      <c r="D592" t="b">
        <f ca="1">IF(A592="","",[1]!s_techanal_rcnthigh(B592,$B$2,1,3))</f>
        <v>0</v>
      </c>
      <c r="E592">
        <f ca="1">IF(A592="","",COUNTIF(D$6:D592,"True"))</f>
        <v>3</v>
      </c>
      <c r="F592" t="str">
        <f t="shared" si="9"/>
        <v>002063.SZ</v>
      </c>
    </row>
    <row r="593" spans="1:6" x14ac:dyDescent="0.15">
      <c r="A593" s="2">
        <v>46089</v>
      </c>
      <c r="B593" s="1" t="s">
        <v>1087</v>
      </c>
      <c r="C593" s="1" t="s">
        <v>1088</v>
      </c>
      <c r="D593" t="b">
        <f ca="1">IF(A593="","",[1]!s_techanal_rcnthigh(B593,$B$2,1,3))</f>
        <v>0</v>
      </c>
      <c r="E593">
        <f ca="1">IF(A593="","",COUNTIF(D$6:D593,"True"))</f>
        <v>3</v>
      </c>
      <c r="F593" t="str">
        <f t="shared" si="9"/>
        <v>002064.SZ</v>
      </c>
    </row>
    <row r="594" spans="1:6" x14ac:dyDescent="0.15">
      <c r="A594" s="2">
        <v>46089</v>
      </c>
      <c r="B594" s="1" t="s">
        <v>1089</v>
      </c>
      <c r="C594" s="1" t="s">
        <v>1090</v>
      </c>
      <c r="D594" t="b">
        <f ca="1">IF(A594="","",[1]!s_techanal_rcnthigh(B594,$B$2,1,3))</f>
        <v>0</v>
      </c>
      <c r="E594">
        <f ca="1">IF(A594="","",COUNTIF(D$6:D594,"True"))</f>
        <v>3</v>
      </c>
      <c r="F594" t="str">
        <f t="shared" si="9"/>
        <v>002065.SZ</v>
      </c>
    </row>
    <row r="595" spans="1:6" x14ac:dyDescent="0.15">
      <c r="A595" s="2">
        <v>46089</v>
      </c>
      <c r="B595" s="1" t="s">
        <v>1091</v>
      </c>
      <c r="C595" s="1" t="s">
        <v>1092</v>
      </c>
      <c r="D595" t="b">
        <f ca="1">IF(A595="","",[1]!s_techanal_rcnthigh(B595,$B$2,1,3))</f>
        <v>0</v>
      </c>
      <c r="E595">
        <f ca="1">IF(A595="","",COUNTIF(D$6:D595,"True"))</f>
        <v>3</v>
      </c>
      <c r="F595" t="str">
        <f t="shared" si="9"/>
        <v>002066.SZ</v>
      </c>
    </row>
    <row r="596" spans="1:6" x14ac:dyDescent="0.15">
      <c r="A596" s="2">
        <v>46089</v>
      </c>
      <c r="B596" s="1" t="s">
        <v>1093</v>
      </c>
      <c r="C596" s="1" t="s">
        <v>1094</v>
      </c>
      <c r="D596" t="b">
        <f ca="1">IF(A596="","",[1]!s_techanal_rcnthigh(B596,$B$2,1,3))</f>
        <v>0</v>
      </c>
      <c r="E596">
        <f ca="1">IF(A596="","",COUNTIF(D$6:D596,"True"))</f>
        <v>3</v>
      </c>
      <c r="F596" t="str">
        <f t="shared" si="9"/>
        <v>002067.SZ</v>
      </c>
    </row>
    <row r="597" spans="1:6" x14ac:dyDescent="0.15">
      <c r="A597" s="2">
        <v>46089</v>
      </c>
      <c r="B597" s="1" t="s">
        <v>1095</v>
      </c>
      <c r="C597" s="1" t="s">
        <v>1096</v>
      </c>
      <c r="D597" t="b">
        <f ca="1">IF(A597="","",[1]!s_techanal_rcnthigh(B597,$B$2,1,3))</f>
        <v>0</v>
      </c>
      <c r="E597">
        <f ca="1">IF(A597="","",COUNTIF(D$6:D597,"True"))</f>
        <v>3</v>
      </c>
      <c r="F597" t="str">
        <f t="shared" si="9"/>
        <v>002068.SZ</v>
      </c>
    </row>
    <row r="598" spans="1:6" x14ac:dyDescent="0.15">
      <c r="A598" s="2">
        <v>46089</v>
      </c>
      <c r="B598" s="1" t="s">
        <v>1097</v>
      </c>
      <c r="C598" s="1" t="s">
        <v>1098</v>
      </c>
      <c r="D598" t="b">
        <f ca="1">IF(A598="","",[1]!s_techanal_rcnthigh(B598,$B$2,1,3))</f>
        <v>0</v>
      </c>
      <c r="E598">
        <f ca="1">IF(A598="","",COUNTIF(D$6:D598,"True"))</f>
        <v>3</v>
      </c>
      <c r="F598" t="str">
        <f t="shared" si="9"/>
        <v>002069.SZ</v>
      </c>
    </row>
    <row r="599" spans="1:6" x14ac:dyDescent="0.15">
      <c r="A599" s="2">
        <v>46089</v>
      </c>
      <c r="B599" s="1" t="s">
        <v>1099</v>
      </c>
      <c r="C599" s="1" t="s">
        <v>1100</v>
      </c>
      <c r="D599" t="b">
        <f ca="1">IF(A599="","",[1]!s_techanal_rcnthigh(B599,$B$2,1,3))</f>
        <v>0</v>
      </c>
      <c r="E599">
        <f ca="1">IF(A599="","",COUNTIF(D$6:D599,"True"))</f>
        <v>3</v>
      </c>
      <c r="F599" t="str">
        <f t="shared" si="9"/>
        <v>002072.SZ</v>
      </c>
    </row>
    <row r="600" spans="1:6" x14ac:dyDescent="0.15">
      <c r="A600" s="2">
        <v>46089</v>
      </c>
      <c r="B600" s="1" t="s">
        <v>1101</v>
      </c>
      <c r="C600" s="1" t="s">
        <v>1102</v>
      </c>
      <c r="D600" t="b">
        <f ca="1">IF(A600="","",[1]!s_techanal_rcnthigh(B600,$B$2,1,3))</f>
        <v>0</v>
      </c>
      <c r="E600">
        <f ca="1">IF(A600="","",COUNTIF(D$6:D600,"True"))</f>
        <v>3</v>
      </c>
      <c r="F600" t="str">
        <f t="shared" si="9"/>
        <v>002073.SZ</v>
      </c>
    </row>
    <row r="601" spans="1:6" x14ac:dyDescent="0.15">
      <c r="A601" s="2">
        <v>46089</v>
      </c>
      <c r="B601" s="1" t="s">
        <v>1103</v>
      </c>
      <c r="C601" s="1" t="s">
        <v>1104</v>
      </c>
      <c r="D601" t="b">
        <f ca="1">IF(A601="","",[1]!s_techanal_rcnthigh(B601,$B$2,1,3))</f>
        <v>0</v>
      </c>
      <c r="E601">
        <f ca="1">IF(A601="","",COUNTIF(D$6:D601,"True"))</f>
        <v>3</v>
      </c>
      <c r="F601" t="str">
        <f t="shared" si="9"/>
        <v>002074.SZ</v>
      </c>
    </row>
    <row r="602" spans="1:6" x14ac:dyDescent="0.15">
      <c r="A602" s="2">
        <v>46089</v>
      </c>
      <c r="B602" s="1" t="s">
        <v>1105</v>
      </c>
      <c r="C602" s="1" t="s">
        <v>1106</v>
      </c>
      <c r="D602" t="b">
        <f ca="1">IF(A602="","",[1]!s_techanal_rcnthigh(B602,$B$2,1,3))</f>
        <v>0</v>
      </c>
      <c r="E602">
        <f ca="1">IF(A602="","",COUNTIF(D$6:D602,"True"))</f>
        <v>3</v>
      </c>
      <c r="F602" t="str">
        <f t="shared" si="9"/>
        <v>002075.SZ</v>
      </c>
    </row>
    <row r="603" spans="1:6" x14ac:dyDescent="0.15">
      <c r="A603" s="2">
        <v>46089</v>
      </c>
      <c r="B603" s="1" t="s">
        <v>1107</v>
      </c>
      <c r="C603" s="1" t="s">
        <v>10111</v>
      </c>
      <c r="D603" t="b">
        <f ca="1">IF(A603="","",[1]!s_techanal_rcnthigh(B603,$B$2,1,3))</f>
        <v>0</v>
      </c>
      <c r="E603">
        <f ca="1">IF(A603="","",COUNTIF(D$6:D603,"True"))</f>
        <v>3</v>
      </c>
      <c r="F603" t="str">
        <f t="shared" si="9"/>
        <v>002076.SZ</v>
      </c>
    </row>
    <row r="604" spans="1:6" x14ac:dyDescent="0.15">
      <c r="A604" s="2">
        <v>46089</v>
      </c>
      <c r="B604" s="1" t="s">
        <v>1108</v>
      </c>
      <c r="C604" s="1" t="s">
        <v>1109</v>
      </c>
      <c r="D604" t="b">
        <f ca="1">IF(A604="","",[1]!s_techanal_rcnthigh(B604,$B$2,1,3))</f>
        <v>0</v>
      </c>
      <c r="E604">
        <f ca="1">IF(A604="","",COUNTIF(D$6:D604,"True"))</f>
        <v>3</v>
      </c>
      <c r="F604" t="str">
        <f t="shared" si="9"/>
        <v>002077.SZ</v>
      </c>
    </row>
    <row r="605" spans="1:6" x14ac:dyDescent="0.15">
      <c r="A605" s="2">
        <v>46089</v>
      </c>
      <c r="B605" s="1" t="s">
        <v>1110</v>
      </c>
      <c r="C605" s="1" t="s">
        <v>1111</v>
      </c>
      <c r="D605" t="b">
        <f ca="1">IF(A605="","",[1]!s_techanal_rcnthigh(B605,$B$2,1,3))</f>
        <v>0</v>
      </c>
      <c r="E605">
        <f ca="1">IF(A605="","",COUNTIF(D$6:D605,"True"))</f>
        <v>3</v>
      </c>
      <c r="F605" t="str">
        <f t="shared" si="9"/>
        <v>002078.SZ</v>
      </c>
    </row>
    <row r="606" spans="1:6" x14ac:dyDescent="0.15">
      <c r="A606" s="2">
        <v>46089</v>
      </c>
      <c r="B606" s="1" t="s">
        <v>1112</v>
      </c>
      <c r="C606" s="1" t="s">
        <v>1113</v>
      </c>
      <c r="D606" t="b">
        <f ca="1">IF(A606="","",[1]!s_techanal_rcnthigh(B606,$B$2,1,3))</f>
        <v>0</v>
      </c>
      <c r="E606">
        <f ca="1">IF(A606="","",COUNTIF(D$6:D606,"True"))</f>
        <v>3</v>
      </c>
      <c r="F606" t="str">
        <f t="shared" si="9"/>
        <v>002079.SZ</v>
      </c>
    </row>
    <row r="607" spans="1:6" x14ac:dyDescent="0.15">
      <c r="A607" s="2">
        <v>46089</v>
      </c>
      <c r="B607" s="1" t="s">
        <v>1114</v>
      </c>
      <c r="C607" s="1" t="s">
        <v>1115</v>
      </c>
      <c r="D607" t="b">
        <f ca="1">IF(A607="","",[1]!s_techanal_rcnthigh(B607,$B$2,1,3))</f>
        <v>0</v>
      </c>
      <c r="E607">
        <f ca="1">IF(A607="","",COUNTIF(D$6:D607,"True"))</f>
        <v>3</v>
      </c>
      <c r="F607" t="str">
        <f t="shared" si="9"/>
        <v>002080.SZ</v>
      </c>
    </row>
    <row r="608" spans="1:6" x14ac:dyDescent="0.15">
      <c r="A608" s="2">
        <v>46089</v>
      </c>
      <c r="B608" s="1" t="s">
        <v>1116</v>
      </c>
      <c r="C608" s="1" t="s">
        <v>1117</v>
      </c>
      <c r="D608" t="b">
        <f ca="1">IF(A608="","",[1]!s_techanal_rcnthigh(B608,$B$2,1,3))</f>
        <v>0</v>
      </c>
      <c r="E608">
        <f ca="1">IF(A608="","",COUNTIF(D$6:D608,"True"))</f>
        <v>3</v>
      </c>
      <c r="F608" t="str">
        <f t="shared" si="9"/>
        <v>002081.SZ</v>
      </c>
    </row>
    <row r="609" spans="1:6" x14ac:dyDescent="0.15">
      <c r="A609" s="2">
        <v>46089</v>
      </c>
      <c r="B609" s="1" t="s">
        <v>1118</v>
      </c>
      <c r="C609" s="1" t="s">
        <v>1119</v>
      </c>
      <c r="D609" t="b">
        <f ca="1">IF(A609="","",[1]!s_techanal_rcnthigh(B609,$B$2,1,3))</f>
        <v>0</v>
      </c>
      <c r="E609">
        <f ca="1">IF(A609="","",COUNTIF(D$6:D609,"True"))</f>
        <v>3</v>
      </c>
      <c r="F609" t="str">
        <f t="shared" si="9"/>
        <v>002082.SZ</v>
      </c>
    </row>
    <row r="610" spans="1:6" x14ac:dyDescent="0.15">
      <c r="A610" s="2">
        <v>46089</v>
      </c>
      <c r="B610" s="1" t="s">
        <v>1120</v>
      </c>
      <c r="C610" s="1" t="s">
        <v>1121</v>
      </c>
      <c r="D610" t="b">
        <f ca="1">IF(A610="","",[1]!s_techanal_rcnthigh(B610,$B$2,1,3))</f>
        <v>0</v>
      </c>
      <c r="E610">
        <f ca="1">IF(A610="","",COUNTIF(D$6:D610,"True"))</f>
        <v>3</v>
      </c>
      <c r="F610" t="str">
        <f t="shared" si="9"/>
        <v>002083.SZ</v>
      </c>
    </row>
    <row r="611" spans="1:6" x14ac:dyDescent="0.15">
      <c r="A611" s="2">
        <v>46089</v>
      </c>
      <c r="B611" s="1" t="s">
        <v>1122</v>
      </c>
      <c r="C611" s="1" t="s">
        <v>1123</v>
      </c>
      <c r="D611" t="b">
        <f ca="1">IF(A611="","",[1]!s_techanal_rcnthigh(B611,$B$2,1,3))</f>
        <v>0</v>
      </c>
      <c r="E611">
        <f ca="1">IF(A611="","",COUNTIF(D$6:D611,"True"))</f>
        <v>3</v>
      </c>
      <c r="F611" t="str">
        <f t="shared" si="9"/>
        <v>002084.SZ</v>
      </c>
    </row>
    <row r="612" spans="1:6" x14ac:dyDescent="0.15">
      <c r="A612" s="2">
        <v>46089</v>
      </c>
      <c r="B612" s="1" t="s">
        <v>1124</v>
      </c>
      <c r="C612" s="1" t="s">
        <v>1125</v>
      </c>
      <c r="D612" t="b">
        <f ca="1">IF(A612="","",[1]!s_techanal_rcnthigh(B612,$B$2,1,3))</f>
        <v>0</v>
      </c>
      <c r="E612">
        <f ca="1">IF(A612="","",COUNTIF(D$6:D612,"True"))</f>
        <v>3</v>
      </c>
      <c r="F612" t="str">
        <f t="shared" si="9"/>
        <v>002085.SZ</v>
      </c>
    </row>
    <row r="613" spans="1:6" x14ac:dyDescent="0.15">
      <c r="A613" s="2">
        <v>46089</v>
      </c>
      <c r="B613" s="1" t="s">
        <v>1126</v>
      </c>
      <c r="C613" s="1" t="s">
        <v>10112</v>
      </c>
      <c r="D613" t="b">
        <f ca="1">IF(A613="","",[1]!s_techanal_rcnthigh(B613,$B$2,1,3))</f>
        <v>0</v>
      </c>
      <c r="E613">
        <f ca="1">IF(A613="","",COUNTIF(D$6:D613,"True"))</f>
        <v>3</v>
      </c>
      <c r="F613" t="str">
        <f t="shared" si="9"/>
        <v>002086.SZ</v>
      </c>
    </row>
    <row r="614" spans="1:6" x14ac:dyDescent="0.15">
      <c r="A614" s="2">
        <v>46089</v>
      </c>
      <c r="B614" s="1" t="s">
        <v>1127</v>
      </c>
      <c r="C614" s="1" t="s">
        <v>1128</v>
      </c>
      <c r="D614" t="b">
        <f ca="1">IF(A614="","",[1]!s_techanal_rcnthigh(B614,$B$2,1,3))</f>
        <v>0</v>
      </c>
      <c r="E614">
        <f ca="1">IF(A614="","",COUNTIF(D$6:D614,"True"))</f>
        <v>3</v>
      </c>
      <c r="F614" t="str">
        <f t="shared" si="9"/>
        <v>002088.SZ</v>
      </c>
    </row>
    <row r="615" spans="1:6" x14ac:dyDescent="0.15">
      <c r="A615" s="2">
        <v>46089</v>
      </c>
      <c r="B615" s="1" t="s">
        <v>1129</v>
      </c>
      <c r="C615" s="1" t="s">
        <v>1130</v>
      </c>
      <c r="D615" t="b">
        <f ca="1">IF(A615="","",[1]!s_techanal_rcnthigh(B615,$B$2,1,3))</f>
        <v>0</v>
      </c>
      <c r="E615">
        <f ca="1">IF(A615="","",COUNTIF(D$6:D615,"True"))</f>
        <v>3</v>
      </c>
      <c r="F615" t="str">
        <f t="shared" si="9"/>
        <v>002090.SZ</v>
      </c>
    </row>
    <row r="616" spans="1:6" x14ac:dyDescent="0.15">
      <c r="A616" s="2">
        <v>46089</v>
      </c>
      <c r="B616" s="1" t="s">
        <v>1131</v>
      </c>
      <c r="C616" s="1" t="s">
        <v>1132</v>
      </c>
      <c r="D616" t="b">
        <f ca="1">IF(A616="","",[1]!s_techanal_rcnthigh(B616,$B$2,1,3))</f>
        <v>0</v>
      </c>
      <c r="E616">
        <f ca="1">IF(A616="","",COUNTIF(D$6:D616,"True"))</f>
        <v>3</v>
      </c>
      <c r="F616" t="str">
        <f t="shared" si="9"/>
        <v>002091.SZ</v>
      </c>
    </row>
    <row r="617" spans="1:6" x14ac:dyDescent="0.15">
      <c r="A617" s="2">
        <v>46089</v>
      </c>
      <c r="B617" s="1" t="s">
        <v>1133</v>
      </c>
      <c r="C617" s="1" t="s">
        <v>1134</v>
      </c>
      <c r="D617" t="b">
        <f ca="1">IF(A617="","",[1]!s_techanal_rcnthigh(B617,$B$2,1,3))</f>
        <v>0</v>
      </c>
      <c r="E617">
        <f ca="1">IF(A617="","",COUNTIF(D$6:D617,"True"))</f>
        <v>3</v>
      </c>
      <c r="F617" t="str">
        <f t="shared" si="9"/>
        <v>002092.SZ</v>
      </c>
    </row>
    <row r="618" spans="1:6" x14ac:dyDescent="0.15">
      <c r="A618" s="2">
        <v>46089</v>
      </c>
      <c r="B618" s="1" t="s">
        <v>1135</v>
      </c>
      <c r="C618" s="1" t="s">
        <v>1136</v>
      </c>
      <c r="D618" t="b">
        <f ca="1">IF(A618="","",[1]!s_techanal_rcnthigh(B618,$B$2,1,3))</f>
        <v>0</v>
      </c>
      <c r="E618">
        <f ca="1">IF(A618="","",COUNTIF(D$6:D618,"True"))</f>
        <v>3</v>
      </c>
      <c r="F618" t="str">
        <f t="shared" si="9"/>
        <v>002093.SZ</v>
      </c>
    </row>
    <row r="619" spans="1:6" x14ac:dyDescent="0.15">
      <c r="A619" s="2">
        <v>46089</v>
      </c>
      <c r="B619" s="1" t="s">
        <v>1137</v>
      </c>
      <c r="C619" s="1" t="s">
        <v>1138</v>
      </c>
      <c r="D619" t="b">
        <f ca="1">IF(A619="","",[1]!s_techanal_rcnthigh(B619,$B$2,1,3))</f>
        <v>0</v>
      </c>
      <c r="E619">
        <f ca="1">IF(A619="","",COUNTIF(D$6:D619,"True"))</f>
        <v>3</v>
      </c>
      <c r="F619" t="str">
        <f t="shared" si="9"/>
        <v>002094.SZ</v>
      </c>
    </row>
    <row r="620" spans="1:6" x14ac:dyDescent="0.15">
      <c r="A620" s="2">
        <v>46089</v>
      </c>
      <c r="B620" s="1" t="s">
        <v>1139</v>
      </c>
      <c r="C620" s="1" t="s">
        <v>1140</v>
      </c>
      <c r="D620" t="b">
        <f ca="1">IF(A620="","",[1]!s_techanal_rcnthigh(B620,$B$2,1,3))</f>
        <v>0</v>
      </c>
      <c r="E620">
        <f ca="1">IF(A620="","",COUNTIF(D$6:D620,"True"))</f>
        <v>3</v>
      </c>
      <c r="F620" t="str">
        <f t="shared" si="9"/>
        <v>002095.SZ</v>
      </c>
    </row>
    <row r="621" spans="1:6" x14ac:dyDescent="0.15">
      <c r="A621" s="2">
        <v>46089</v>
      </c>
      <c r="B621" s="1" t="s">
        <v>1141</v>
      </c>
      <c r="C621" s="1" t="s">
        <v>1142</v>
      </c>
      <c r="D621" t="b">
        <f ca="1">IF(A621="","",[1]!s_techanal_rcnthigh(B621,$B$2,1,3))</f>
        <v>0</v>
      </c>
      <c r="E621">
        <f ca="1">IF(A621="","",COUNTIF(D$6:D621,"True"))</f>
        <v>3</v>
      </c>
      <c r="F621" t="str">
        <f t="shared" si="9"/>
        <v>002096.SZ</v>
      </c>
    </row>
    <row r="622" spans="1:6" x14ac:dyDescent="0.15">
      <c r="A622" s="2">
        <v>46089</v>
      </c>
      <c r="B622" s="1" t="s">
        <v>1143</v>
      </c>
      <c r="C622" s="1" t="s">
        <v>1144</v>
      </c>
      <c r="D622" t="b">
        <f ca="1">IF(A622="","",[1]!s_techanal_rcnthigh(B622,$B$2,1,3))</f>
        <v>0</v>
      </c>
      <c r="E622">
        <f ca="1">IF(A622="","",COUNTIF(D$6:D622,"True"))</f>
        <v>3</v>
      </c>
      <c r="F622" t="str">
        <f t="shared" si="9"/>
        <v>002097.SZ</v>
      </c>
    </row>
    <row r="623" spans="1:6" x14ac:dyDescent="0.15">
      <c r="A623" s="2">
        <v>46089</v>
      </c>
      <c r="B623" s="1" t="s">
        <v>1145</v>
      </c>
      <c r="C623" s="1" t="s">
        <v>1146</v>
      </c>
      <c r="D623" t="b">
        <f ca="1">IF(A623="","",[1]!s_techanal_rcnthigh(B623,$B$2,1,3))</f>
        <v>0</v>
      </c>
      <c r="E623">
        <f ca="1">IF(A623="","",COUNTIF(D$6:D623,"True"))</f>
        <v>3</v>
      </c>
      <c r="F623" t="str">
        <f t="shared" si="9"/>
        <v>002098.SZ</v>
      </c>
    </row>
    <row r="624" spans="1:6" x14ac:dyDescent="0.15">
      <c r="A624" s="2">
        <v>46089</v>
      </c>
      <c r="B624" s="1" t="s">
        <v>1147</v>
      </c>
      <c r="C624" s="1" t="s">
        <v>1148</v>
      </c>
      <c r="D624" t="b">
        <f ca="1">IF(A624="","",[1]!s_techanal_rcnthigh(B624,$B$2,1,3))</f>
        <v>0</v>
      </c>
      <c r="E624">
        <f ca="1">IF(A624="","",COUNTIF(D$6:D624,"True"))</f>
        <v>3</v>
      </c>
      <c r="F624" t="str">
        <f t="shared" si="9"/>
        <v>002099.SZ</v>
      </c>
    </row>
    <row r="625" spans="1:6" x14ac:dyDescent="0.15">
      <c r="A625" s="2">
        <v>46089</v>
      </c>
      <c r="B625" s="1" t="s">
        <v>1149</v>
      </c>
      <c r="C625" s="1" t="s">
        <v>1150</v>
      </c>
      <c r="D625" t="b">
        <f ca="1">IF(A625="","",[1]!s_techanal_rcnthigh(B625,$B$2,1,3))</f>
        <v>0</v>
      </c>
      <c r="E625">
        <f ca="1">IF(A625="","",COUNTIF(D$6:D625,"True"))</f>
        <v>3</v>
      </c>
      <c r="F625" t="str">
        <f t="shared" si="9"/>
        <v>002100.SZ</v>
      </c>
    </row>
    <row r="626" spans="1:6" x14ac:dyDescent="0.15">
      <c r="A626" s="2">
        <v>46089</v>
      </c>
      <c r="B626" s="1" t="s">
        <v>1151</v>
      </c>
      <c r="C626" s="1" t="s">
        <v>1152</v>
      </c>
      <c r="D626" t="b">
        <f ca="1">IF(A626="","",[1]!s_techanal_rcnthigh(B626,$B$2,1,3))</f>
        <v>0</v>
      </c>
      <c r="E626">
        <f ca="1">IF(A626="","",COUNTIF(D$6:D626,"True"))</f>
        <v>3</v>
      </c>
      <c r="F626" t="str">
        <f t="shared" si="9"/>
        <v>002101.SZ</v>
      </c>
    </row>
    <row r="627" spans="1:6" x14ac:dyDescent="0.15">
      <c r="A627" s="2">
        <v>46089</v>
      </c>
      <c r="B627" s="1" t="s">
        <v>1153</v>
      </c>
      <c r="C627" s="1" t="s">
        <v>10113</v>
      </c>
      <c r="D627" t="b">
        <f ca="1">IF(A627="","",[1]!s_techanal_rcnthigh(B627,$B$2,1,3))</f>
        <v>0</v>
      </c>
      <c r="E627">
        <f ca="1">IF(A627="","",COUNTIF(D$6:D627,"True"))</f>
        <v>3</v>
      </c>
      <c r="F627" t="str">
        <f t="shared" si="9"/>
        <v>002102.SZ</v>
      </c>
    </row>
    <row r="628" spans="1:6" x14ac:dyDescent="0.15">
      <c r="A628" s="2">
        <v>46089</v>
      </c>
      <c r="B628" s="1" t="s">
        <v>1154</v>
      </c>
      <c r="C628" s="1" t="s">
        <v>1155</v>
      </c>
      <c r="D628" t="b">
        <f ca="1">IF(A628="","",[1]!s_techanal_rcnthigh(B628,$B$2,1,3))</f>
        <v>0</v>
      </c>
      <c r="E628">
        <f ca="1">IF(A628="","",COUNTIF(D$6:D628,"True"))</f>
        <v>3</v>
      </c>
      <c r="F628" t="str">
        <f t="shared" si="9"/>
        <v>002103.SZ</v>
      </c>
    </row>
    <row r="629" spans="1:6" x14ac:dyDescent="0.15">
      <c r="A629" s="2">
        <v>46089</v>
      </c>
      <c r="B629" s="1" t="s">
        <v>1156</v>
      </c>
      <c r="C629" s="1" t="s">
        <v>1157</v>
      </c>
      <c r="D629" t="b">
        <f ca="1">IF(A629="","",[1]!s_techanal_rcnthigh(B629,$B$2,1,3))</f>
        <v>0</v>
      </c>
      <c r="E629">
        <f ca="1">IF(A629="","",COUNTIF(D$6:D629,"True"))</f>
        <v>3</v>
      </c>
      <c r="F629" t="str">
        <f t="shared" si="9"/>
        <v>002104.SZ</v>
      </c>
    </row>
    <row r="630" spans="1:6" x14ac:dyDescent="0.15">
      <c r="A630" s="2">
        <v>46089</v>
      </c>
      <c r="B630" s="1" t="s">
        <v>1158</v>
      </c>
      <c r="C630" s="1" t="s">
        <v>1159</v>
      </c>
      <c r="D630" t="b">
        <f ca="1">IF(A630="","",[1]!s_techanal_rcnthigh(B630,$B$2,1,3))</f>
        <v>0</v>
      </c>
      <c r="E630">
        <f ca="1">IF(A630="","",COUNTIF(D$6:D630,"True"))</f>
        <v>3</v>
      </c>
      <c r="F630" t="str">
        <f t="shared" si="9"/>
        <v>002105.SZ</v>
      </c>
    </row>
    <row r="631" spans="1:6" x14ac:dyDescent="0.15">
      <c r="A631" s="2">
        <v>46089</v>
      </c>
      <c r="B631" s="1" t="s">
        <v>1160</v>
      </c>
      <c r="C631" s="1" t="s">
        <v>1161</v>
      </c>
      <c r="D631" t="b">
        <f ca="1">IF(A631="","",[1]!s_techanal_rcnthigh(B631,$B$2,1,3))</f>
        <v>0</v>
      </c>
      <c r="E631">
        <f ca="1">IF(A631="","",COUNTIF(D$6:D631,"True"))</f>
        <v>3</v>
      </c>
      <c r="F631" t="str">
        <f t="shared" si="9"/>
        <v>002106.SZ</v>
      </c>
    </row>
    <row r="632" spans="1:6" x14ac:dyDescent="0.15">
      <c r="A632" s="2">
        <v>46089</v>
      </c>
      <c r="B632" s="1" t="s">
        <v>1162</v>
      </c>
      <c r="C632" s="1" t="s">
        <v>1163</v>
      </c>
      <c r="D632" t="b">
        <f ca="1">IF(A632="","",[1]!s_techanal_rcnthigh(B632,$B$2,1,3))</f>
        <v>0</v>
      </c>
      <c r="E632">
        <f ca="1">IF(A632="","",COUNTIF(D$6:D632,"True"))</f>
        <v>3</v>
      </c>
      <c r="F632" t="str">
        <f t="shared" si="9"/>
        <v>002107.SZ</v>
      </c>
    </row>
    <row r="633" spans="1:6" x14ac:dyDescent="0.15">
      <c r="A633" s="2">
        <v>46089</v>
      </c>
      <c r="B633" s="1" t="s">
        <v>1164</v>
      </c>
      <c r="C633" s="1" t="s">
        <v>1165</v>
      </c>
      <c r="D633" t="b">
        <f ca="1">IF(A633="","",[1]!s_techanal_rcnthigh(B633,$B$2,1,3))</f>
        <v>0</v>
      </c>
      <c r="E633">
        <f ca="1">IF(A633="","",COUNTIF(D$6:D633,"True"))</f>
        <v>3</v>
      </c>
      <c r="F633" t="str">
        <f t="shared" si="9"/>
        <v>002108.SZ</v>
      </c>
    </row>
    <row r="634" spans="1:6" x14ac:dyDescent="0.15">
      <c r="A634" s="2">
        <v>46089</v>
      </c>
      <c r="B634" s="1" t="s">
        <v>1166</v>
      </c>
      <c r="C634" s="1" t="s">
        <v>1167</v>
      </c>
      <c r="D634" t="b">
        <f ca="1">IF(A634="","",[1]!s_techanal_rcnthigh(B634,$B$2,1,3))</f>
        <v>0</v>
      </c>
      <c r="E634">
        <f ca="1">IF(A634="","",COUNTIF(D$6:D634,"True"))</f>
        <v>3</v>
      </c>
      <c r="F634" t="str">
        <f t="shared" si="9"/>
        <v>002109.SZ</v>
      </c>
    </row>
    <row r="635" spans="1:6" x14ac:dyDescent="0.15">
      <c r="A635" s="2">
        <v>46089</v>
      </c>
      <c r="B635" s="1" t="s">
        <v>1168</v>
      </c>
      <c r="C635" s="1" t="s">
        <v>1169</v>
      </c>
      <c r="D635" t="b">
        <f ca="1">IF(A635="","",[1]!s_techanal_rcnthigh(B635,$B$2,1,3))</f>
        <v>0</v>
      </c>
      <c r="E635">
        <f ca="1">IF(A635="","",COUNTIF(D$6:D635,"True"))</f>
        <v>3</v>
      </c>
      <c r="F635" t="str">
        <f t="shared" si="9"/>
        <v>002110.SZ</v>
      </c>
    </row>
    <row r="636" spans="1:6" x14ac:dyDescent="0.15">
      <c r="A636" s="2">
        <v>46089</v>
      </c>
      <c r="B636" s="1" t="s">
        <v>1170</v>
      </c>
      <c r="C636" s="1" t="s">
        <v>1171</v>
      </c>
      <c r="D636" t="b">
        <f ca="1">IF(A636="","",[1]!s_techanal_rcnthigh(B636,$B$2,1,3))</f>
        <v>0</v>
      </c>
      <c r="E636">
        <f ca="1">IF(A636="","",COUNTIF(D$6:D636,"True"))</f>
        <v>3</v>
      </c>
      <c r="F636" t="str">
        <f t="shared" si="9"/>
        <v>002111.SZ</v>
      </c>
    </row>
    <row r="637" spans="1:6" x14ac:dyDescent="0.15">
      <c r="A637" s="2">
        <v>46089</v>
      </c>
      <c r="B637" s="1" t="s">
        <v>1172</v>
      </c>
      <c r="C637" s="1" t="s">
        <v>1173</v>
      </c>
      <c r="D637" t="b">
        <f ca="1">IF(A637="","",[1]!s_techanal_rcnthigh(B637,$B$2,1,3))</f>
        <v>0</v>
      </c>
      <c r="E637">
        <f ca="1">IF(A637="","",COUNTIF(D$6:D637,"True"))</f>
        <v>3</v>
      </c>
      <c r="F637" t="str">
        <f t="shared" si="9"/>
        <v>002112.SZ</v>
      </c>
    </row>
    <row r="638" spans="1:6" x14ac:dyDescent="0.15">
      <c r="A638" s="2">
        <v>46089</v>
      </c>
      <c r="B638" s="1" t="s">
        <v>1174</v>
      </c>
      <c r="C638" s="1" t="s">
        <v>1175</v>
      </c>
      <c r="D638" t="b">
        <f ca="1">IF(A638="","",[1]!s_techanal_rcnthigh(B638,$B$2,1,3))</f>
        <v>0</v>
      </c>
      <c r="E638">
        <f ca="1">IF(A638="","",COUNTIF(D$6:D638,"True"))</f>
        <v>3</v>
      </c>
      <c r="F638" t="str">
        <f t="shared" si="9"/>
        <v>002114.SZ</v>
      </c>
    </row>
    <row r="639" spans="1:6" x14ac:dyDescent="0.15">
      <c r="A639" s="2">
        <v>46089</v>
      </c>
      <c r="B639" s="1" t="s">
        <v>1176</v>
      </c>
      <c r="C639" s="1" t="s">
        <v>1177</v>
      </c>
      <c r="D639" t="b">
        <f ca="1">IF(A639="","",[1]!s_techanal_rcnthigh(B639,$B$2,1,3))</f>
        <v>0</v>
      </c>
      <c r="E639">
        <f ca="1">IF(A639="","",COUNTIF(D$6:D639,"True"))</f>
        <v>3</v>
      </c>
      <c r="F639" t="str">
        <f t="shared" si="9"/>
        <v>002115.SZ</v>
      </c>
    </row>
    <row r="640" spans="1:6" x14ac:dyDescent="0.15">
      <c r="A640" s="2">
        <v>46089</v>
      </c>
      <c r="B640" s="1" t="s">
        <v>1178</v>
      </c>
      <c r="C640" s="1" t="s">
        <v>1179</v>
      </c>
      <c r="D640" t="b">
        <f ca="1">IF(A640="","",[1]!s_techanal_rcnthigh(B640,$B$2,1,3))</f>
        <v>0</v>
      </c>
      <c r="E640">
        <f ca="1">IF(A640="","",COUNTIF(D$6:D640,"True"))</f>
        <v>3</v>
      </c>
      <c r="F640" t="str">
        <f t="shared" si="9"/>
        <v>002116.SZ</v>
      </c>
    </row>
    <row r="641" spans="1:6" x14ac:dyDescent="0.15">
      <c r="A641" s="2">
        <v>46089</v>
      </c>
      <c r="B641" s="1" t="s">
        <v>1180</v>
      </c>
      <c r="C641" s="1" t="s">
        <v>1181</v>
      </c>
      <c r="D641" t="b">
        <f ca="1">IF(A641="","",[1]!s_techanal_rcnthigh(B641,$B$2,1,3))</f>
        <v>0</v>
      </c>
      <c r="E641">
        <f ca="1">IF(A641="","",COUNTIF(D$6:D641,"True"))</f>
        <v>3</v>
      </c>
      <c r="F641" t="str">
        <f t="shared" si="9"/>
        <v>002117.SZ</v>
      </c>
    </row>
    <row r="642" spans="1:6" x14ac:dyDescent="0.15">
      <c r="A642" s="2">
        <v>46089</v>
      </c>
      <c r="B642" s="1" t="s">
        <v>1182</v>
      </c>
      <c r="C642" s="1" t="s">
        <v>1183</v>
      </c>
      <c r="D642" t="b">
        <f ca="1">IF(A642="","",[1]!s_techanal_rcnthigh(B642,$B$2,1,3))</f>
        <v>0</v>
      </c>
      <c r="E642">
        <f ca="1">IF(A642="","",COUNTIF(D$6:D642,"True"))</f>
        <v>3</v>
      </c>
      <c r="F642" t="str">
        <f t="shared" si="9"/>
        <v>002119.SZ</v>
      </c>
    </row>
    <row r="643" spans="1:6" x14ac:dyDescent="0.15">
      <c r="A643" s="2">
        <v>46089</v>
      </c>
      <c r="B643" s="1" t="s">
        <v>1184</v>
      </c>
      <c r="C643" s="1" t="s">
        <v>1185</v>
      </c>
      <c r="D643" t="b">
        <f ca="1">IF(A643="","",[1]!s_techanal_rcnthigh(B643,$B$2,1,3))</f>
        <v>0</v>
      </c>
      <c r="E643">
        <f ca="1">IF(A643="","",COUNTIF(D$6:D643,"True"))</f>
        <v>3</v>
      </c>
      <c r="F643" t="str">
        <f t="shared" si="9"/>
        <v>002120.SZ</v>
      </c>
    </row>
    <row r="644" spans="1:6" x14ac:dyDescent="0.15">
      <c r="A644" s="2">
        <v>46089</v>
      </c>
      <c r="B644" s="1" t="s">
        <v>1186</v>
      </c>
      <c r="C644" s="1" t="s">
        <v>1187</v>
      </c>
      <c r="D644" t="b">
        <f ca="1">IF(A644="","",[1]!s_techanal_rcnthigh(B644,$B$2,1,3))</f>
        <v>0</v>
      </c>
      <c r="E644">
        <f ca="1">IF(A644="","",COUNTIF(D$6:D644,"True"))</f>
        <v>3</v>
      </c>
      <c r="F644" t="str">
        <f t="shared" si="9"/>
        <v>002121.SZ</v>
      </c>
    </row>
    <row r="645" spans="1:6" x14ac:dyDescent="0.15">
      <c r="A645" s="2">
        <v>46089</v>
      </c>
      <c r="B645" s="1" t="s">
        <v>1188</v>
      </c>
      <c r="C645" s="1" t="s">
        <v>10114</v>
      </c>
      <c r="D645" t="b">
        <f ca="1">IF(A645="","",[1]!s_techanal_rcnthigh(B645,$B$2,1,3))</f>
        <v>0</v>
      </c>
      <c r="E645">
        <f ca="1">IF(A645="","",COUNTIF(D$6:D645,"True"))</f>
        <v>3</v>
      </c>
      <c r="F645" t="str">
        <f t="shared" si="9"/>
        <v>002122.SZ</v>
      </c>
    </row>
    <row r="646" spans="1:6" x14ac:dyDescent="0.15">
      <c r="A646" s="2">
        <v>46089</v>
      </c>
      <c r="B646" s="1" t="s">
        <v>1189</v>
      </c>
      <c r="C646" s="1" t="s">
        <v>1190</v>
      </c>
      <c r="D646" t="b">
        <f ca="1">IF(A646="","",[1]!s_techanal_rcnthigh(B646,$B$2,1,3))</f>
        <v>0</v>
      </c>
      <c r="E646">
        <f ca="1">IF(A646="","",COUNTIF(D$6:D646,"True"))</f>
        <v>3</v>
      </c>
      <c r="F646" t="str">
        <f t="shared" ref="F646:F709" si="10">IF(B646="","",B646)</f>
        <v>002123.SZ</v>
      </c>
    </row>
    <row r="647" spans="1:6" x14ac:dyDescent="0.15">
      <c r="A647" s="2">
        <v>46089</v>
      </c>
      <c r="B647" s="1" t="s">
        <v>1191</v>
      </c>
      <c r="C647" s="1" t="s">
        <v>1192</v>
      </c>
      <c r="D647" t="b">
        <f ca="1">IF(A647="","",[1]!s_techanal_rcnthigh(B647,$B$2,1,3))</f>
        <v>0</v>
      </c>
      <c r="E647">
        <f ca="1">IF(A647="","",COUNTIF(D$6:D647,"True"))</f>
        <v>3</v>
      </c>
      <c r="F647" t="str">
        <f t="shared" si="10"/>
        <v>002124.SZ</v>
      </c>
    </row>
    <row r="648" spans="1:6" x14ac:dyDescent="0.15">
      <c r="A648" s="2">
        <v>46089</v>
      </c>
      <c r="B648" s="1" t="s">
        <v>1193</v>
      </c>
      <c r="C648" s="1" t="s">
        <v>1194</v>
      </c>
      <c r="D648" t="b">
        <f ca="1">IF(A648="","",[1]!s_techanal_rcnthigh(B648,$B$2,1,3))</f>
        <v>0</v>
      </c>
      <c r="E648">
        <f ca="1">IF(A648="","",COUNTIF(D$6:D648,"True"))</f>
        <v>3</v>
      </c>
      <c r="F648" t="str">
        <f t="shared" si="10"/>
        <v>002125.SZ</v>
      </c>
    </row>
    <row r="649" spans="1:6" x14ac:dyDescent="0.15">
      <c r="A649" s="2">
        <v>46089</v>
      </c>
      <c r="B649" s="1" t="s">
        <v>1195</v>
      </c>
      <c r="C649" s="1" t="s">
        <v>1196</v>
      </c>
      <c r="D649" t="b">
        <f ca="1">IF(A649="","",[1]!s_techanal_rcnthigh(B649,$B$2,1,3))</f>
        <v>1</v>
      </c>
      <c r="E649">
        <f ca="1">IF(A649="","",COUNTIF(D$6:D649,"True"))</f>
        <v>4</v>
      </c>
      <c r="F649" t="str">
        <f t="shared" si="10"/>
        <v>002126.SZ</v>
      </c>
    </row>
    <row r="650" spans="1:6" x14ac:dyDescent="0.15">
      <c r="A650" s="2">
        <v>46089</v>
      </c>
      <c r="B650" s="1" t="s">
        <v>1197</v>
      </c>
      <c r="C650" s="1" t="s">
        <v>1198</v>
      </c>
      <c r="D650" t="b">
        <f ca="1">IF(A650="","",[1]!s_techanal_rcnthigh(B650,$B$2,1,3))</f>
        <v>0</v>
      </c>
      <c r="E650">
        <f ca="1">IF(A650="","",COUNTIF(D$6:D650,"True"))</f>
        <v>4</v>
      </c>
      <c r="F650" t="str">
        <f t="shared" si="10"/>
        <v>002127.SZ</v>
      </c>
    </row>
    <row r="651" spans="1:6" x14ac:dyDescent="0.15">
      <c r="A651" s="2">
        <v>46089</v>
      </c>
      <c r="B651" s="1" t="s">
        <v>1199</v>
      </c>
      <c r="C651" s="1" t="s">
        <v>1200</v>
      </c>
      <c r="D651" t="b">
        <f ca="1">IF(A651="","",[1]!s_techanal_rcnthigh(B651,$B$2,1,3))</f>
        <v>1</v>
      </c>
      <c r="E651">
        <f ca="1">IF(A651="","",COUNTIF(D$6:D651,"True"))</f>
        <v>5</v>
      </c>
      <c r="F651" t="str">
        <f t="shared" si="10"/>
        <v>002128.SZ</v>
      </c>
    </row>
    <row r="652" spans="1:6" x14ac:dyDescent="0.15">
      <c r="A652" s="2">
        <v>46089</v>
      </c>
      <c r="B652" s="1" t="s">
        <v>1201</v>
      </c>
      <c r="C652" s="1" t="s">
        <v>1202</v>
      </c>
      <c r="D652" t="b">
        <f ca="1">IF(A652="","",[1]!s_techanal_rcnthigh(B652,$B$2,1,3))</f>
        <v>0</v>
      </c>
      <c r="E652">
        <f ca="1">IF(A652="","",COUNTIF(D$6:D652,"True"))</f>
        <v>5</v>
      </c>
      <c r="F652" t="str">
        <f t="shared" si="10"/>
        <v>002129.SZ</v>
      </c>
    </row>
    <row r="653" spans="1:6" x14ac:dyDescent="0.15">
      <c r="A653" s="2">
        <v>46089</v>
      </c>
      <c r="B653" s="1" t="s">
        <v>1203</v>
      </c>
      <c r="C653" s="1" t="s">
        <v>1204</v>
      </c>
      <c r="D653" t="b">
        <f ca="1">IF(A653="","",[1]!s_techanal_rcnthigh(B653,$B$2,1,3))</f>
        <v>0</v>
      </c>
      <c r="E653">
        <f ca="1">IF(A653="","",COUNTIF(D$6:D653,"True"))</f>
        <v>5</v>
      </c>
      <c r="F653" t="str">
        <f t="shared" si="10"/>
        <v>002130.SZ</v>
      </c>
    </row>
    <row r="654" spans="1:6" x14ac:dyDescent="0.15">
      <c r="A654" s="2">
        <v>46089</v>
      </c>
      <c r="B654" s="1" t="s">
        <v>1205</v>
      </c>
      <c r="C654" s="1" t="s">
        <v>1206</v>
      </c>
      <c r="D654" t="b">
        <f ca="1">IF(A654="","",[1]!s_techanal_rcnthigh(B654,$B$2,1,3))</f>
        <v>0</v>
      </c>
      <c r="E654">
        <f ca="1">IF(A654="","",COUNTIF(D$6:D654,"True"))</f>
        <v>5</v>
      </c>
      <c r="F654" t="str">
        <f t="shared" si="10"/>
        <v>002131.SZ</v>
      </c>
    </row>
    <row r="655" spans="1:6" x14ac:dyDescent="0.15">
      <c r="A655" s="2">
        <v>46089</v>
      </c>
      <c r="B655" s="1" t="s">
        <v>1207</v>
      </c>
      <c r="C655" s="1" t="s">
        <v>1208</v>
      </c>
      <c r="D655" t="b">
        <f ca="1">IF(A655="","",[1]!s_techanal_rcnthigh(B655,$B$2,1,3))</f>
        <v>0</v>
      </c>
      <c r="E655">
        <f ca="1">IF(A655="","",COUNTIF(D$6:D655,"True"))</f>
        <v>5</v>
      </c>
      <c r="F655" t="str">
        <f t="shared" si="10"/>
        <v>002132.SZ</v>
      </c>
    </row>
    <row r="656" spans="1:6" x14ac:dyDescent="0.15">
      <c r="A656" s="2">
        <v>46089</v>
      </c>
      <c r="B656" s="1" t="s">
        <v>1209</v>
      </c>
      <c r="C656" s="1" t="s">
        <v>1210</v>
      </c>
      <c r="D656" t="b">
        <f ca="1">IF(A656="","",[1]!s_techanal_rcnthigh(B656,$B$2,1,3))</f>
        <v>0</v>
      </c>
      <c r="E656">
        <f ca="1">IF(A656="","",COUNTIF(D$6:D656,"True"))</f>
        <v>5</v>
      </c>
      <c r="F656" t="str">
        <f t="shared" si="10"/>
        <v>002133.SZ</v>
      </c>
    </row>
    <row r="657" spans="1:6" x14ac:dyDescent="0.15">
      <c r="A657" s="2">
        <v>46089</v>
      </c>
      <c r="B657" s="1" t="s">
        <v>1211</v>
      </c>
      <c r="C657" s="1" t="s">
        <v>1212</v>
      </c>
      <c r="D657" t="b">
        <f ca="1">IF(A657="","",[1]!s_techanal_rcnthigh(B657,$B$2,1,3))</f>
        <v>0</v>
      </c>
      <c r="E657">
        <f ca="1">IF(A657="","",COUNTIF(D$6:D657,"True"))</f>
        <v>5</v>
      </c>
      <c r="F657" t="str">
        <f t="shared" si="10"/>
        <v>002134.SZ</v>
      </c>
    </row>
    <row r="658" spans="1:6" x14ac:dyDescent="0.15">
      <c r="A658" s="2">
        <v>46089</v>
      </c>
      <c r="B658" s="1" t="s">
        <v>1213</v>
      </c>
      <c r="C658" s="1" t="s">
        <v>1214</v>
      </c>
      <c r="D658" t="b">
        <f ca="1">IF(A658="","",[1]!s_techanal_rcnthigh(B658,$B$2,1,3))</f>
        <v>0</v>
      </c>
      <c r="E658">
        <f ca="1">IF(A658="","",COUNTIF(D$6:D658,"True"))</f>
        <v>5</v>
      </c>
      <c r="F658" t="str">
        <f t="shared" si="10"/>
        <v>002135.SZ</v>
      </c>
    </row>
    <row r="659" spans="1:6" x14ac:dyDescent="0.15">
      <c r="A659" s="2">
        <v>46089</v>
      </c>
      <c r="B659" s="1" t="s">
        <v>1215</v>
      </c>
      <c r="C659" s="1" t="s">
        <v>1216</v>
      </c>
      <c r="D659" t="b">
        <f ca="1">IF(A659="","",[1]!s_techanal_rcnthigh(B659,$B$2,1,3))</f>
        <v>0</v>
      </c>
      <c r="E659">
        <f ca="1">IF(A659="","",COUNTIF(D$6:D659,"True"))</f>
        <v>5</v>
      </c>
      <c r="F659" t="str">
        <f t="shared" si="10"/>
        <v>002136.SZ</v>
      </c>
    </row>
    <row r="660" spans="1:6" x14ac:dyDescent="0.15">
      <c r="A660" s="2">
        <v>46089</v>
      </c>
      <c r="B660" s="1" t="s">
        <v>1217</v>
      </c>
      <c r="C660" s="1" t="s">
        <v>1218</v>
      </c>
      <c r="D660" t="b">
        <f ca="1">IF(A660="","",[1]!s_techanal_rcnthigh(B660,$B$2,1,3))</f>
        <v>0</v>
      </c>
      <c r="E660">
        <f ca="1">IF(A660="","",COUNTIF(D$6:D660,"True"))</f>
        <v>5</v>
      </c>
      <c r="F660" t="str">
        <f t="shared" si="10"/>
        <v>002137.SZ</v>
      </c>
    </row>
    <row r="661" spans="1:6" x14ac:dyDescent="0.15">
      <c r="A661" s="2">
        <v>46089</v>
      </c>
      <c r="B661" s="1" t="s">
        <v>1219</v>
      </c>
      <c r="C661" s="1" t="s">
        <v>1220</v>
      </c>
      <c r="D661" t="b">
        <f ca="1">IF(A661="","",[1]!s_techanal_rcnthigh(B661,$B$2,1,3))</f>
        <v>0</v>
      </c>
      <c r="E661">
        <f ca="1">IF(A661="","",COUNTIF(D$6:D661,"True"))</f>
        <v>5</v>
      </c>
      <c r="F661" t="str">
        <f t="shared" si="10"/>
        <v>002138.SZ</v>
      </c>
    </row>
    <row r="662" spans="1:6" x14ac:dyDescent="0.15">
      <c r="A662" s="2">
        <v>46089</v>
      </c>
      <c r="B662" s="1" t="s">
        <v>1221</v>
      </c>
      <c r="C662" s="1" t="s">
        <v>1222</v>
      </c>
      <c r="D662" t="b">
        <f ca="1">IF(A662="","",[1]!s_techanal_rcnthigh(B662,$B$2,1,3))</f>
        <v>0</v>
      </c>
      <c r="E662">
        <f ca="1">IF(A662="","",COUNTIF(D$6:D662,"True"))</f>
        <v>5</v>
      </c>
      <c r="F662" t="str">
        <f t="shared" si="10"/>
        <v>002139.SZ</v>
      </c>
    </row>
    <row r="663" spans="1:6" x14ac:dyDescent="0.15">
      <c r="A663" s="2">
        <v>46089</v>
      </c>
      <c r="B663" s="1" t="s">
        <v>1223</v>
      </c>
      <c r="C663" s="1" t="s">
        <v>1224</v>
      </c>
      <c r="D663" t="b">
        <f ca="1">IF(A663="","",[1]!s_techanal_rcnthigh(B663,$B$2,1,3))</f>
        <v>0</v>
      </c>
      <c r="E663">
        <f ca="1">IF(A663="","",COUNTIF(D$6:D663,"True"))</f>
        <v>5</v>
      </c>
      <c r="F663" t="str">
        <f t="shared" si="10"/>
        <v>002140.SZ</v>
      </c>
    </row>
    <row r="664" spans="1:6" x14ac:dyDescent="0.15">
      <c r="A664" s="2">
        <v>46089</v>
      </c>
      <c r="B664" s="1" t="s">
        <v>1225</v>
      </c>
      <c r="C664" s="1" t="s">
        <v>1226</v>
      </c>
      <c r="D664" t="b">
        <f ca="1">IF(A664="","",[1]!s_techanal_rcnthigh(B664,$B$2,1,3))</f>
        <v>0</v>
      </c>
      <c r="E664">
        <f ca="1">IF(A664="","",COUNTIF(D$6:D664,"True"))</f>
        <v>5</v>
      </c>
      <c r="F664" t="str">
        <f t="shared" si="10"/>
        <v>002141.SZ</v>
      </c>
    </row>
    <row r="665" spans="1:6" x14ac:dyDescent="0.15">
      <c r="A665" s="2">
        <v>46089</v>
      </c>
      <c r="B665" s="1" t="s">
        <v>1227</v>
      </c>
      <c r="C665" s="1" t="s">
        <v>1228</v>
      </c>
      <c r="D665" t="b">
        <f ca="1">IF(A665="","",[1]!s_techanal_rcnthigh(B665,$B$2,1,3))</f>
        <v>0</v>
      </c>
      <c r="E665">
        <f ca="1">IF(A665="","",COUNTIF(D$6:D665,"True"))</f>
        <v>5</v>
      </c>
      <c r="F665" t="str">
        <f t="shared" si="10"/>
        <v>002142.SZ</v>
      </c>
    </row>
    <row r="666" spans="1:6" x14ac:dyDescent="0.15">
      <c r="A666" s="2">
        <v>46089</v>
      </c>
      <c r="B666" s="1" t="s">
        <v>1229</v>
      </c>
      <c r="C666" s="1" t="s">
        <v>1230</v>
      </c>
      <c r="D666" t="b">
        <f ca="1">IF(A666="","",[1]!s_techanal_rcnthigh(B666,$B$2,1,3))</f>
        <v>0</v>
      </c>
      <c r="E666">
        <f ca="1">IF(A666="","",COUNTIF(D$6:D666,"True"))</f>
        <v>5</v>
      </c>
      <c r="F666" t="str">
        <f t="shared" si="10"/>
        <v>002144.SZ</v>
      </c>
    </row>
    <row r="667" spans="1:6" x14ac:dyDescent="0.15">
      <c r="A667" s="2">
        <v>46089</v>
      </c>
      <c r="B667" s="1" t="s">
        <v>1231</v>
      </c>
      <c r="C667" s="1" t="s">
        <v>10115</v>
      </c>
      <c r="D667" t="b">
        <f ca="1">IF(A667="","",[1]!s_techanal_rcnthigh(B667,$B$2,1,3))</f>
        <v>0</v>
      </c>
      <c r="E667">
        <f ca="1">IF(A667="","",COUNTIF(D$6:D667,"True"))</f>
        <v>5</v>
      </c>
      <c r="F667" t="str">
        <f t="shared" si="10"/>
        <v>002145.SZ</v>
      </c>
    </row>
    <row r="668" spans="1:6" x14ac:dyDescent="0.15">
      <c r="A668" s="2">
        <v>46089</v>
      </c>
      <c r="B668" s="1" t="s">
        <v>1232</v>
      </c>
      <c r="C668" s="1" t="s">
        <v>1233</v>
      </c>
      <c r="D668" t="b">
        <f ca="1">IF(A668="","",[1]!s_techanal_rcnthigh(B668,$B$2,1,3))</f>
        <v>0</v>
      </c>
      <c r="E668">
        <f ca="1">IF(A668="","",COUNTIF(D$6:D668,"True"))</f>
        <v>5</v>
      </c>
      <c r="F668" t="str">
        <f t="shared" si="10"/>
        <v>002146.SZ</v>
      </c>
    </row>
    <row r="669" spans="1:6" x14ac:dyDescent="0.15">
      <c r="A669" s="2">
        <v>46089</v>
      </c>
      <c r="B669" s="1" t="s">
        <v>1234</v>
      </c>
      <c r="C669" s="1" t="s">
        <v>1235</v>
      </c>
      <c r="D669" t="b">
        <f ca="1">IF(A669="","",[1]!s_techanal_rcnthigh(B669,$B$2,1,3))</f>
        <v>0</v>
      </c>
      <c r="E669">
        <f ca="1">IF(A669="","",COUNTIF(D$6:D669,"True"))</f>
        <v>5</v>
      </c>
      <c r="F669" t="str">
        <f t="shared" si="10"/>
        <v>002148.SZ</v>
      </c>
    </row>
    <row r="670" spans="1:6" x14ac:dyDescent="0.15">
      <c r="A670" s="2">
        <v>46089</v>
      </c>
      <c r="B670" s="1" t="s">
        <v>1236</v>
      </c>
      <c r="C670" s="1" t="s">
        <v>1237</v>
      </c>
      <c r="D670" t="b">
        <f ca="1">IF(A670="","",[1]!s_techanal_rcnthigh(B670,$B$2,1,3))</f>
        <v>0</v>
      </c>
      <c r="E670">
        <f ca="1">IF(A670="","",COUNTIF(D$6:D670,"True"))</f>
        <v>5</v>
      </c>
      <c r="F670" t="str">
        <f t="shared" si="10"/>
        <v>002149.SZ</v>
      </c>
    </row>
    <row r="671" spans="1:6" x14ac:dyDescent="0.15">
      <c r="A671" s="2">
        <v>46089</v>
      </c>
      <c r="B671" s="1" t="s">
        <v>1238</v>
      </c>
      <c r="C671" s="1" t="s">
        <v>10116</v>
      </c>
      <c r="D671" t="b">
        <f ca="1">IF(A671="","",[1]!s_techanal_rcnthigh(B671,$B$2,1,3))</f>
        <v>0</v>
      </c>
      <c r="E671">
        <f ca="1">IF(A671="","",COUNTIF(D$6:D671,"True"))</f>
        <v>5</v>
      </c>
      <c r="F671" t="str">
        <f t="shared" si="10"/>
        <v>002150.SZ</v>
      </c>
    </row>
    <row r="672" spans="1:6" x14ac:dyDescent="0.15">
      <c r="A672" s="2">
        <v>46089</v>
      </c>
      <c r="B672" s="1" t="s">
        <v>1239</v>
      </c>
      <c r="C672" s="1" t="s">
        <v>1240</v>
      </c>
      <c r="D672" t="b">
        <f ca="1">IF(A672="","",[1]!s_techanal_rcnthigh(B672,$B$2,1,3))</f>
        <v>0</v>
      </c>
      <c r="E672">
        <f ca="1">IF(A672="","",COUNTIF(D$6:D672,"True"))</f>
        <v>5</v>
      </c>
      <c r="F672" t="str">
        <f t="shared" si="10"/>
        <v>002151.SZ</v>
      </c>
    </row>
    <row r="673" spans="1:6" x14ac:dyDescent="0.15">
      <c r="A673" s="2">
        <v>46089</v>
      </c>
      <c r="B673" s="1" t="s">
        <v>1241</v>
      </c>
      <c r="C673" s="1" t="s">
        <v>1242</v>
      </c>
      <c r="D673" t="b">
        <f ca="1">IF(A673="","",[1]!s_techanal_rcnthigh(B673,$B$2,1,3))</f>
        <v>0</v>
      </c>
      <c r="E673">
        <f ca="1">IF(A673="","",COUNTIF(D$6:D673,"True"))</f>
        <v>5</v>
      </c>
      <c r="F673" t="str">
        <f t="shared" si="10"/>
        <v>002152.SZ</v>
      </c>
    </row>
    <row r="674" spans="1:6" x14ac:dyDescent="0.15">
      <c r="A674" s="2">
        <v>46089</v>
      </c>
      <c r="B674" s="1" t="s">
        <v>1243</v>
      </c>
      <c r="C674" s="1" t="s">
        <v>1244</v>
      </c>
      <c r="D674" t="b">
        <f ca="1">IF(A674="","",[1]!s_techanal_rcnthigh(B674,$B$2,1,3))</f>
        <v>0</v>
      </c>
      <c r="E674">
        <f ca="1">IF(A674="","",COUNTIF(D$6:D674,"True"))</f>
        <v>5</v>
      </c>
      <c r="F674" t="str">
        <f t="shared" si="10"/>
        <v>002153.SZ</v>
      </c>
    </row>
    <row r="675" spans="1:6" x14ac:dyDescent="0.15">
      <c r="A675" s="2">
        <v>46089</v>
      </c>
      <c r="B675" s="1" t="s">
        <v>1245</v>
      </c>
      <c r="C675" s="1" t="s">
        <v>1246</v>
      </c>
      <c r="D675" t="b">
        <f ca="1">IF(A675="","",[1]!s_techanal_rcnthigh(B675,$B$2,1,3))</f>
        <v>0</v>
      </c>
      <c r="E675">
        <f ca="1">IF(A675="","",COUNTIF(D$6:D675,"True"))</f>
        <v>5</v>
      </c>
      <c r="F675" t="str">
        <f t="shared" si="10"/>
        <v>002154.SZ</v>
      </c>
    </row>
    <row r="676" spans="1:6" x14ac:dyDescent="0.15">
      <c r="A676" s="2">
        <v>46089</v>
      </c>
      <c r="B676" s="1" t="s">
        <v>1247</v>
      </c>
      <c r="C676" s="1" t="s">
        <v>1248</v>
      </c>
      <c r="D676" t="b">
        <f ca="1">IF(A676="","",[1]!s_techanal_rcnthigh(B676,$B$2,1,3))</f>
        <v>0</v>
      </c>
      <c r="E676">
        <f ca="1">IF(A676="","",COUNTIF(D$6:D676,"True"))</f>
        <v>5</v>
      </c>
      <c r="F676" t="str">
        <f t="shared" si="10"/>
        <v>002155.SZ</v>
      </c>
    </row>
    <row r="677" spans="1:6" x14ac:dyDescent="0.15">
      <c r="A677" s="2">
        <v>46089</v>
      </c>
      <c r="B677" s="1" t="s">
        <v>1249</v>
      </c>
      <c r="C677" s="1" t="s">
        <v>1250</v>
      </c>
      <c r="D677" t="b">
        <f ca="1">IF(A677="","",[1]!s_techanal_rcnthigh(B677,$B$2,1,3))</f>
        <v>0</v>
      </c>
      <c r="E677">
        <f ca="1">IF(A677="","",COUNTIF(D$6:D677,"True"))</f>
        <v>5</v>
      </c>
      <c r="F677" t="str">
        <f t="shared" si="10"/>
        <v>002156.SZ</v>
      </c>
    </row>
    <row r="678" spans="1:6" x14ac:dyDescent="0.15">
      <c r="A678" s="2">
        <v>46089</v>
      </c>
      <c r="B678" s="1" t="s">
        <v>1251</v>
      </c>
      <c r="C678" s="1" t="s">
        <v>10117</v>
      </c>
      <c r="D678" t="b">
        <f ca="1">IF(A678="","",[1]!s_techanal_rcnthigh(B678,$B$2,1,3))</f>
        <v>0</v>
      </c>
      <c r="E678">
        <f ca="1">IF(A678="","",COUNTIF(D$6:D678,"True"))</f>
        <v>5</v>
      </c>
      <c r="F678" t="str">
        <f t="shared" si="10"/>
        <v>002157.SZ</v>
      </c>
    </row>
    <row r="679" spans="1:6" x14ac:dyDescent="0.15">
      <c r="A679" s="2">
        <v>46089</v>
      </c>
      <c r="B679" s="1" t="s">
        <v>1252</v>
      </c>
      <c r="C679" s="1" t="s">
        <v>1253</v>
      </c>
      <c r="D679" t="b">
        <f ca="1">IF(A679="","",[1]!s_techanal_rcnthigh(B679,$B$2,1,3))</f>
        <v>0</v>
      </c>
      <c r="E679">
        <f ca="1">IF(A679="","",COUNTIF(D$6:D679,"True"))</f>
        <v>5</v>
      </c>
      <c r="F679" t="str">
        <f t="shared" si="10"/>
        <v>002158.SZ</v>
      </c>
    </row>
    <row r="680" spans="1:6" x14ac:dyDescent="0.15">
      <c r="A680" s="2">
        <v>46089</v>
      </c>
      <c r="B680" s="1" t="s">
        <v>1254</v>
      </c>
      <c r="C680" s="1" t="s">
        <v>1255</v>
      </c>
      <c r="D680" t="b">
        <f ca="1">IF(A680="","",[1]!s_techanal_rcnthigh(B680,$B$2,1,3))</f>
        <v>0</v>
      </c>
      <c r="E680">
        <f ca="1">IF(A680="","",COUNTIF(D$6:D680,"True"))</f>
        <v>5</v>
      </c>
      <c r="F680" t="str">
        <f t="shared" si="10"/>
        <v>002159.SZ</v>
      </c>
    </row>
    <row r="681" spans="1:6" x14ac:dyDescent="0.15">
      <c r="A681" s="2">
        <v>46089</v>
      </c>
      <c r="B681" s="1" t="s">
        <v>1256</v>
      </c>
      <c r="C681" s="1" t="s">
        <v>1257</v>
      </c>
      <c r="D681" t="b">
        <f ca="1">IF(A681="","",[1]!s_techanal_rcnthigh(B681,$B$2,1,3))</f>
        <v>0</v>
      </c>
      <c r="E681">
        <f ca="1">IF(A681="","",COUNTIF(D$6:D681,"True"))</f>
        <v>5</v>
      </c>
      <c r="F681" t="str">
        <f t="shared" si="10"/>
        <v>002160.SZ</v>
      </c>
    </row>
    <row r="682" spans="1:6" x14ac:dyDescent="0.15">
      <c r="A682" s="2">
        <v>46089</v>
      </c>
      <c r="B682" s="1" t="s">
        <v>1258</v>
      </c>
      <c r="C682" s="1" t="s">
        <v>1259</v>
      </c>
      <c r="D682" t="b">
        <f ca="1">IF(A682="","",[1]!s_techanal_rcnthigh(B682,$B$2,1,3))</f>
        <v>0</v>
      </c>
      <c r="E682">
        <f ca="1">IF(A682="","",COUNTIF(D$6:D682,"True"))</f>
        <v>5</v>
      </c>
      <c r="F682" t="str">
        <f t="shared" si="10"/>
        <v>002161.SZ</v>
      </c>
    </row>
    <row r="683" spans="1:6" x14ac:dyDescent="0.15">
      <c r="A683" s="2">
        <v>46089</v>
      </c>
      <c r="B683" s="1" t="s">
        <v>1260</v>
      </c>
      <c r="C683" s="1" t="s">
        <v>1261</v>
      </c>
      <c r="D683" t="b">
        <f ca="1">IF(A683="","",[1]!s_techanal_rcnthigh(B683,$B$2,1,3))</f>
        <v>0</v>
      </c>
      <c r="E683">
        <f ca="1">IF(A683="","",COUNTIF(D$6:D683,"True"))</f>
        <v>5</v>
      </c>
      <c r="F683" t="str">
        <f t="shared" si="10"/>
        <v>002162.SZ</v>
      </c>
    </row>
    <row r="684" spans="1:6" x14ac:dyDescent="0.15">
      <c r="A684" s="2">
        <v>46089</v>
      </c>
      <c r="B684" s="1" t="s">
        <v>1262</v>
      </c>
      <c r="C684" s="1" t="s">
        <v>1263</v>
      </c>
      <c r="D684" t="b">
        <f ca="1">IF(A684="","",[1]!s_techanal_rcnthigh(B684,$B$2,1,3))</f>
        <v>0</v>
      </c>
      <c r="E684">
        <f ca="1">IF(A684="","",COUNTIF(D$6:D684,"True"))</f>
        <v>5</v>
      </c>
      <c r="F684" t="str">
        <f t="shared" si="10"/>
        <v>002163.SZ</v>
      </c>
    </row>
    <row r="685" spans="1:6" x14ac:dyDescent="0.15">
      <c r="A685" s="2">
        <v>46089</v>
      </c>
      <c r="B685" s="1" t="s">
        <v>1264</v>
      </c>
      <c r="C685" s="1" t="s">
        <v>1265</v>
      </c>
      <c r="D685" t="b">
        <f ca="1">IF(A685="","",[1]!s_techanal_rcnthigh(B685,$B$2,1,3))</f>
        <v>0</v>
      </c>
      <c r="E685">
        <f ca="1">IF(A685="","",COUNTIF(D$6:D685,"True"))</f>
        <v>5</v>
      </c>
      <c r="F685" t="str">
        <f t="shared" si="10"/>
        <v>002164.SZ</v>
      </c>
    </row>
    <row r="686" spans="1:6" x14ac:dyDescent="0.15">
      <c r="A686" s="2">
        <v>46089</v>
      </c>
      <c r="B686" s="1" t="s">
        <v>1266</v>
      </c>
      <c r="C686" s="1" t="s">
        <v>1267</v>
      </c>
      <c r="D686" t="b">
        <f ca="1">IF(A686="","",[1]!s_techanal_rcnthigh(B686,$B$2,1,3))</f>
        <v>0</v>
      </c>
      <c r="E686">
        <f ca="1">IF(A686="","",COUNTIF(D$6:D686,"True"))</f>
        <v>5</v>
      </c>
      <c r="F686" t="str">
        <f t="shared" si="10"/>
        <v>002165.SZ</v>
      </c>
    </row>
    <row r="687" spans="1:6" x14ac:dyDescent="0.15">
      <c r="A687" s="2">
        <v>46089</v>
      </c>
      <c r="B687" s="1" t="s">
        <v>1268</v>
      </c>
      <c r="C687" s="1" t="s">
        <v>1269</v>
      </c>
      <c r="D687" t="b">
        <f ca="1">IF(A687="","",[1]!s_techanal_rcnthigh(B687,$B$2,1,3))</f>
        <v>0</v>
      </c>
      <c r="E687">
        <f ca="1">IF(A687="","",COUNTIF(D$6:D687,"True"))</f>
        <v>5</v>
      </c>
      <c r="F687" t="str">
        <f t="shared" si="10"/>
        <v>002166.SZ</v>
      </c>
    </row>
    <row r="688" spans="1:6" x14ac:dyDescent="0.15">
      <c r="A688" s="2">
        <v>46089</v>
      </c>
      <c r="B688" s="1" t="s">
        <v>1270</v>
      </c>
      <c r="C688" s="1" t="s">
        <v>1271</v>
      </c>
      <c r="D688" t="b">
        <f ca="1">IF(A688="","",[1]!s_techanal_rcnthigh(B688,$B$2,1,3))</f>
        <v>0</v>
      </c>
      <c r="E688">
        <f ca="1">IF(A688="","",COUNTIF(D$6:D688,"True"))</f>
        <v>5</v>
      </c>
      <c r="F688" t="str">
        <f t="shared" si="10"/>
        <v>002167.SZ</v>
      </c>
    </row>
    <row r="689" spans="1:6" x14ac:dyDescent="0.15">
      <c r="A689" s="2">
        <v>46089</v>
      </c>
      <c r="B689" s="1" t="s">
        <v>1272</v>
      </c>
      <c r="C689" s="1" t="s">
        <v>10118</v>
      </c>
      <c r="D689" t="b">
        <f ca="1">IF(A689="","",[1]!s_techanal_rcnthigh(B689,$B$2,1,3))</f>
        <v>0</v>
      </c>
      <c r="E689">
        <f ca="1">IF(A689="","",COUNTIF(D$6:D689,"True"))</f>
        <v>5</v>
      </c>
      <c r="F689" t="str">
        <f t="shared" si="10"/>
        <v>002168.SZ</v>
      </c>
    </row>
    <row r="690" spans="1:6" x14ac:dyDescent="0.15">
      <c r="A690" s="2">
        <v>46089</v>
      </c>
      <c r="B690" s="1" t="s">
        <v>1273</v>
      </c>
      <c r="C690" s="1" t="s">
        <v>1274</v>
      </c>
      <c r="D690" t="b">
        <f ca="1">IF(A690="","",[1]!s_techanal_rcnthigh(B690,$B$2,1,3))</f>
        <v>0</v>
      </c>
      <c r="E690">
        <f ca="1">IF(A690="","",COUNTIF(D$6:D690,"True"))</f>
        <v>5</v>
      </c>
      <c r="F690" t="str">
        <f t="shared" si="10"/>
        <v>002169.SZ</v>
      </c>
    </row>
    <row r="691" spans="1:6" x14ac:dyDescent="0.15">
      <c r="A691" s="2">
        <v>46089</v>
      </c>
      <c r="B691" s="1" t="s">
        <v>1275</v>
      </c>
      <c r="C691" s="1" t="s">
        <v>1276</v>
      </c>
      <c r="D691" t="b">
        <f ca="1">IF(A691="","",[1]!s_techanal_rcnthigh(B691,$B$2,1,3))</f>
        <v>0</v>
      </c>
      <c r="E691">
        <f ca="1">IF(A691="","",COUNTIF(D$6:D691,"True"))</f>
        <v>5</v>
      </c>
      <c r="F691" t="str">
        <f t="shared" si="10"/>
        <v>002170.SZ</v>
      </c>
    </row>
    <row r="692" spans="1:6" x14ac:dyDescent="0.15">
      <c r="A692" s="2">
        <v>46089</v>
      </c>
      <c r="B692" s="1" t="s">
        <v>1277</v>
      </c>
      <c r="C692" s="1" t="s">
        <v>1278</v>
      </c>
      <c r="D692" t="b">
        <f ca="1">IF(A692="","",[1]!s_techanal_rcnthigh(B692,$B$2,1,3))</f>
        <v>0</v>
      </c>
      <c r="E692">
        <f ca="1">IF(A692="","",COUNTIF(D$6:D692,"True"))</f>
        <v>5</v>
      </c>
      <c r="F692" t="str">
        <f t="shared" si="10"/>
        <v>002171.SZ</v>
      </c>
    </row>
    <row r="693" spans="1:6" x14ac:dyDescent="0.15">
      <c r="A693" s="2">
        <v>46089</v>
      </c>
      <c r="B693" s="1" t="s">
        <v>1279</v>
      </c>
      <c r="C693" s="1" t="s">
        <v>1280</v>
      </c>
      <c r="D693" t="b">
        <f ca="1">IF(A693="","",[1]!s_techanal_rcnthigh(B693,$B$2,1,3))</f>
        <v>0</v>
      </c>
      <c r="E693">
        <f ca="1">IF(A693="","",COUNTIF(D$6:D693,"True"))</f>
        <v>5</v>
      </c>
      <c r="F693" t="str">
        <f t="shared" si="10"/>
        <v>002172.SZ</v>
      </c>
    </row>
    <row r="694" spans="1:6" x14ac:dyDescent="0.15">
      <c r="A694" s="2">
        <v>46089</v>
      </c>
      <c r="B694" s="1" t="s">
        <v>1281</v>
      </c>
      <c r="C694" s="1" t="s">
        <v>1282</v>
      </c>
      <c r="D694" t="b">
        <f ca="1">IF(A694="","",[1]!s_techanal_rcnthigh(B694,$B$2,1,3))</f>
        <v>0</v>
      </c>
      <c r="E694">
        <f ca="1">IF(A694="","",COUNTIF(D$6:D694,"True"))</f>
        <v>5</v>
      </c>
      <c r="F694" t="str">
        <f t="shared" si="10"/>
        <v>002173.SZ</v>
      </c>
    </row>
    <row r="695" spans="1:6" x14ac:dyDescent="0.15">
      <c r="A695" s="2">
        <v>46089</v>
      </c>
      <c r="B695" s="1" t="s">
        <v>1283</v>
      </c>
      <c r="C695" s="1" t="s">
        <v>1284</v>
      </c>
      <c r="D695" t="b">
        <f ca="1">IF(A695="","",[1]!s_techanal_rcnthigh(B695,$B$2,1,3))</f>
        <v>0</v>
      </c>
      <c r="E695">
        <f ca="1">IF(A695="","",COUNTIF(D$6:D695,"True"))</f>
        <v>5</v>
      </c>
      <c r="F695" t="str">
        <f t="shared" si="10"/>
        <v>002174.SZ</v>
      </c>
    </row>
    <row r="696" spans="1:6" x14ac:dyDescent="0.15">
      <c r="A696" s="2">
        <v>46089</v>
      </c>
      <c r="B696" s="1" t="s">
        <v>1285</v>
      </c>
      <c r="C696" s="1" t="s">
        <v>1286</v>
      </c>
      <c r="D696" t="b">
        <f ca="1">IF(A696="","",[1]!s_techanal_rcnthigh(B696,$B$2,1,3))</f>
        <v>0</v>
      </c>
      <c r="E696">
        <f ca="1">IF(A696="","",COUNTIF(D$6:D696,"True"))</f>
        <v>5</v>
      </c>
      <c r="F696" t="str">
        <f t="shared" si="10"/>
        <v>002175.SZ</v>
      </c>
    </row>
    <row r="697" spans="1:6" x14ac:dyDescent="0.15">
      <c r="A697" s="2">
        <v>46089</v>
      </c>
      <c r="B697" s="1" t="s">
        <v>1287</v>
      </c>
      <c r="C697" s="1" t="s">
        <v>1288</v>
      </c>
      <c r="D697" t="b">
        <f ca="1">IF(A697="","",[1]!s_techanal_rcnthigh(B697,$B$2,1,3))</f>
        <v>0</v>
      </c>
      <c r="E697">
        <f ca="1">IF(A697="","",COUNTIF(D$6:D697,"True"))</f>
        <v>5</v>
      </c>
      <c r="F697" t="str">
        <f t="shared" si="10"/>
        <v>002176.SZ</v>
      </c>
    </row>
    <row r="698" spans="1:6" x14ac:dyDescent="0.15">
      <c r="A698" s="2">
        <v>46089</v>
      </c>
      <c r="B698" s="1" t="s">
        <v>1289</v>
      </c>
      <c r="C698" s="1" t="s">
        <v>1290</v>
      </c>
      <c r="D698" t="b">
        <f ca="1">IF(A698="","",[1]!s_techanal_rcnthigh(B698,$B$2,1,3))</f>
        <v>0</v>
      </c>
      <c r="E698">
        <f ca="1">IF(A698="","",COUNTIF(D$6:D698,"True"))</f>
        <v>5</v>
      </c>
      <c r="F698" t="str">
        <f t="shared" si="10"/>
        <v>002177.SZ</v>
      </c>
    </row>
    <row r="699" spans="1:6" x14ac:dyDescent="0.15">
      <c r="A699" s="2">
        <v>46089</v>
      </c>
      <c r="B699" s="1" t="s">
        <v>1291</v>
      </c>
      <c r="C699" s="1" t="s">
        <v>1292</v>
      </c>
      <c r="D699" t="b">
        <f ca="1">IF(A699="","",[1]!s_techanal_rcnthigh(B699,$B$2,1,3))</f>
        <v>0</v>
      </c>
      <c r="E699">
        <f ca="1">IF(A699="","",COUNTIF(D$6:D699,"True"))</f>
        <v>5</v>
      </c>
      <c r="F699" t="str">
        <f t="shared" si="10"/>
        <v>002178.SZ</v>
      </c>
    </row>
    <row r="700" spans="1:6" x14ac:dyDescent="0.15">
      <c r="A700" s="2">
        <v>46089</v>
      </c>
      <c r="B700" s="1" t="s">
        <v>1293</v>
      </c>
      <c r="C700" s="1" t="s">
        <v>1294</v>
      </c>
      <c r="D700" t="b">
        <f ca="1">IF(A700="","",[1]!s_techanal_rcnthigh(B700,$B$2,1,3))</f>
        <v>0</v>
      </c>
      <c r="E700">
        <f ca="1">IF(A700="","",COUNTIF(D$6:D700,"True"))</f>
        <v>5</v>
      </c>
      <c r="F700" t="str">
        <f t="shared" si="10"/>
        <v>002179.SZ</v>
      </c>
    </row>
    <row r="701" spans="1:6" x14ac:dyDescent="0.15">
      <c r="A701" s="2">
        <v>46089</v>
      </c>
      <c r="B701" s="1" t="s">
        <v>1295</v>
      </c>
      <c r="C701" s="1" t="s">
        <v>1296</v>
      </c>
      <c r="D701" t="b">
        <f ca="1">IF(A701="","",[1]!s_techanal_rcnthigh(B701,$B$2,1,3))</f>
        <v>0</v>
      </c>
      <c r="E701">
        <f ca="1">IF(A701="","",COUNTIF(D$6:D701,"True"))</f>
        <v>5</v>
      </c>
      <c r="F701" t="str">
        <f t="shared" si="10"/>
        <v>002180.SZ</v>
      </c>
    </row>
    <row r="702" spans="1:6" x14ac:dyDescent="0.15">
      <c r="A702" s="2">
        <v>46089</v>
      </c>
      <c r="B702" s="1" t="s">
        <v>1297</v>
      </c>
      <c r="C702" s="1" t="s">
        <v>1298</v>
      </c>
      <c r="D702" t="b">
        <f ca="1">IF(A702="","",[1]!s_techanal_rcnthigh(B702,$B$2,1,3))</f>
        <v>0</v>
      </c>
      <c r="E702">
        <f ca="1">IF(A702="","",COUNTIF(D$6:D702,"True"))</f>
        <v>5</v>
      </c>
      <c r="F702" t="str">
        <f t="shared" si="10"/>
        <v>002181.SZ</v>
      </c>
    </row>
    <row r="703" spans="1:6" x14ac:dyDescent="0.15">
      <c r="A703" s="2">
        <v>46089</v>
      </c>
      <c r="B703" s="1" t="s">
        <v>1299</v>
      </c>
      <c r="C703" s="1" t="s">
        <v>1300</v>
      </c>
      <c r="D703" t="b">
        <f ca="1">IF(A703="","",[1]!s_techanal_rcnthigh(B703,$B$2,1,3))</f>
        <v>0</v>
      </c>
      <c r="E703">
        <f ca="1">IF(A703="","",COUNTIF(D$6:D703,"True"))</f>
        <v>5</v>
      </c>
      <c r="F703" t="str">
        <f t="shared" si="10"/>
        <v>002182.SZ</v>
      </c>
    </row>
    <row r="704" spans="1:6" x14ac:dyDescent="0.15">
      <c r="A704" s="2">
        <v>46089</v>
      </c>
      <c r="B704" s="1" t="s">
        <v>1301</v>
      </c>
      <c r="C704" s="1" t="s">
        <v>1302</v>
      </c>
      <c r="D704" t="b">
        <f ca="1">IF(A704="","",[1]!s_techanal_rcnthigh(B704,$B$2,1,3))</f>
        <v>0</v>
      </c>
      <c r="E704">
        <f ca="1">IF(A704="","",COUNTIF(D$6:D704,"True"))</f>
        <v>5</v>
      </c>
      <c r="F704" t="str">
        <f t="shared" si="10"/>
        <v>002183.SZ</v>
      </c>
    </row>
    <row r="705" spans="1:6" x14ac:dyDescent="0.15">
      <c r="A705" s="2">
        <v>46089</v>
      </c>
      <c r="B705" s="1" t="s">
        <v>1303</v>
      </c>
      <c r="C705" s="1" t="s">
        <v>1304</v>
      </c>
      <c r="D705" t="b">
        <f ca="1">IF(A705="","",[1]!s_techanal_rcnthigh(B705,$B$2,1,3))</f>
        <v>0</v>
      </c>
      <c r="E705">
        <f ca="1">IF(A705="","",COUNTIF(D$6:D705,"True"))</f>
        <v>5</v>
      </c>
      <c r="F705" t="str">
        <f t="shared" si="10"/>
        <v>002184.SZ</v>
      </c>
    </row>
    <row r="706" spans="1:6" x14ac:dyDescent="0.15">
      <c r="A706" s="2">
        <v>46089</v>
      </c>
      <c r="B706" s="1" t="s">
        <v>1305</v>
      </c>
      <c r="C706" s="1" t="s">
        <v>1306</v>
      </c>
      <c r="D706" t="b">
        <f ca="1">IF(A706="","",[1]!s_techanal_rcnthigh(B706,$B$2,1,3))</f>
        <v>0</v>
      </c>
      <c r="E706">
        <f ca="1">IF(A706="","",COUNTIF(D$6:D706,"True"))</f>
        <v>5</v>
      </c>
      <c r="F706" t="str">
        <f t="shared" si="10"/>
        <v>002185.SZ</v>
      </c>
    </row>
    <row r="707" spans="1:6" x14ac:dyDescent="0.15">
      <c r="A707" s="2">
        <v>46089</v>
      </c>
      <c r="B707" s="1" t="s">
        <v>1307</v>
      </c>
      <c r="C707" s="1" t="s">
        <v>1308</v>
      </c>
      <c r="D707" t="b">
        <f ca="1">IF(A707="","",[1]!s_techanal_rcnthigh(B707,$B$2,1,3))</f>
        <v>0</v>
      </c>
      <c r="E707">
        <f ca="1">IF(A707="","",COUNTIF(D$6:D707,"True"))</f>
        <v>5</v>
      </c>
      <c r="F707" t="str">
        <f t="shared" si="10"/>
        <v>002186.SZ</v>
      </c>
    </row>
    <row r="708" spans="1:6" x14ac:dyDescent="0.15">
      <c r="A708" s="2">
        <v>46089</v>
      </c>
      <c r="B708" s="1" t="s">
        <v>1309</v>
      </c>
      <c r="C708" s="1" t="s">
        <v>1310</v>
      </c>
      <c r="D708" t="b">
        <f ca="1">IF(A708="","",[1]!s_techanal_rcnthigh(B708,$B$2,1,3))</f>
        <v>0</v>
      </c>
      <c r="E708">
        <f ca="1">IF(A708="","",COUNTIF(D$6:D708,"True"))</f>
        <v>5</v>
      </c>
      <c r="F708" t="str">
        <f t="shared" si="10"/>
        <v>002187.SZ</v>
      </c>
    </row>
    <row r="709" spans="1:6" x14ac:dyDescent="0.15">
      <c r="A709" s="2">
        <v>46089</v>
      </c>
      <c r="B709" s="1" t="s">
        <v>1311</v>
      </c>
      <c r="C709" s="1" t="s">
        <v>1312</v>
      </c>
      <c r="D709" t="b">
        <f ca="1">IF(A709="","",[1]!s_techanal_rcnthigh(B709,$B$2,1,3))</f>
        <v>0</v>
      </c>
      <c r="E709">
        <f ca="1">IF(A709="","",COUNTIF(D$6:D709,"True"))</f>
        <v>5</v>
      </c>
      <c r="F709" t="str">
        <f t="shared" si="10"/>
        <v>002188.SZ</v>
      </c>
    </row>
    <row r="710" spans="1:6" x14ac:dyDescent="0.15">
      <c r="A710" s="2">
        <v>46089</v>
      </c>
      <c r="B710" s="1" t="s">
        <v>1313</v>
      </c>
      <c r="C710" s="1" t="s">
        <v>1314</v>
      </c>
      <c r="D710" t="b">
        <f ca="1">IF(A710="","",[1]!s_techanal_rcnthigh(B710,$B$2,1,3))</f>
        <v>0</v>
      </c>
      <c r="E710">
        <f ca="1">IF(A710="","",COUNTIF(D$6:D710,"True"))</f>
        <v>5</v>
      </c>
      <c r="F710" t="str">
        <f t="shared" ref="F710:F773" si="11">IF(B710="","",B710)</f>
        <v>002189.SZ</v>
      </c>
    </row>
    <row r="711" spans="1:6" x14ac:dyDescent="0.15">
      <c r="A711" s="2">
        <v>46089</v>
      </c>
      <c r="B711" s="1" t="s">
        <v>1315</v>
      </c>
      <c r="C711" s="1" t="s">
        <v>1316</v>
      </c>
      <c r="D711" t="b">
        <f ca="1">IF(A711="","",[1]!s_techanal_rcnthigh(B711,$B$2,1,3))</f>
        <v>0</v>
      </c>
      <c r="E711">
        <f ca="1">IF(A711="","",COUNTIF(D$6:D711,"True"))</f>
        <v>5</v>
      </c>
      <c r="F711" t="str">
        <f t="shared" si="11"/>
        <v>002190.SZ</v>
      </c>
    </row>
    <row r="712" spans="1:6" x14ac:dyDescent="0.15">
      <c r="A712" s="2">
        <v>46089</v>
      </c>
      <c r="B712" s="1" t="s">
        <v>1317</v>
      </c>
      <c r="C712" s="1" t="s">
        <v>1318</v>
      </c>
      <c r="D712" t="b">
        <f ca="1">IF(A712="","",[1]!s_techanal_rcnthigh(B712,$B$2,1,3))</f>
        <v>0</v>
      </c>
      <c r="E712">
        <f ca="1">IF(A712="","",COUNTIF(D$6:D712,"True"))</f>
        <v>5</v>
      </c>
      <c r="F712" t="str">
        <f t="shared" si="11"/>
        <v>002191.SZ</v>
      </c>
    </row>
    <row r="713" spans="1:6" x14ac:dyDescent="0.15">
      <c r="A713" s="2">
        <v>46089</v>
      </c>
      <c r="B713" s="1" t="s">
        <v>1319</v>
      </c>
      <c r="C713" s="1" t="s">
        <v>1320</v>
      </c>
      <c r="D713" t="b">
        <f ca="1">IF(A713="","",[1]!s_techanal_rcnthigh(B713,$B$2,1,3))</f>
        <v>0</v>
      </c>
      <c r="E713">
        <f ca="1">IF(A713="","",COUNTIF(D$6:D713,"True"))</f>
        <v>5</v>
      </c>
      <c r="F713" t="str">
        <f t="shared" si="11"/>
        <v>002192.SZ</v>
      </c>
    </row>
    <row r="714" spans="1:6" x14ac:dyDescent="0.15">
      <c r="A714" s="2">
        <v>46089</v>
      </c>
      <c r="B714" s="1" t="s">
        <v>1321</v>
      </c>
      <c r="C714" s="1" t="s">
        <v>1322</v>
      </c>
      <c r="D714" t="b">
        <f ca="1">IF(A714="","",[1]!s_techanal_rcnthigh(B714,$B$2,1,3))</f>
        <v>0</v>
      </c>
      <c r="E714">
        <f ca="1">IF(A714="","",COUNTIF(D$6:D714,"True"))</f>
        <v>5</v>
      </c>
      <c r="F714" t="str">
        <f t="shared" si="11"/>
        <v>002193.SZ</v>
      </c>
    </row>
    <row r="715" spans="1:6" x14ac:dyDescent="0.15">
      <c r="A715" s="2">
        <v>46089</v>
      </c>
      <c r="B715" s="1" t="s">
        <v>1323</v>
      </c>
      <c r="C715" s="1" t="s">
        <v>1324</v>
      </c>
      <c r="D715" t="b">
        <f ca="1">IF(A715="","",[1]!s_techanal_rcnthigh(B715,$B$2,1,3))</f>
        <v>0</v>
      </c>
      <c r="E715">
        <f ca="1">IF(A715="","",COUNTIF(D$6:D715,"True"))</f>
        <v>5</v>
      </c>
      <c r="F715" t="str">
        <f t="shared" si="11"/>
        <v>002194.SZ</v>
      </c>
    </row>
    <row r="716" spans="1:6" x14ac:dyDescent="0.15">
      <c r="A716" s="2">
        <v>46089</v>
      </c>
      <c r="B716" s="1" t="s">
        <v>1325</v>
      </c>
      <c r="C716" s="1" t="s">
        <v>1326</v>
      </c>
      <c r="D716" t="b">
        <f ca="1">IF(A716="","",[1]!s_techanal_rcnthigh(B716,$B$2,1,3))</f>
        <v>0</v>
      </c>
      <c r="E716">
        <f ca="1">IF(A716="","",COUNTIF(D$6:D716,"True"))</f>
        <v>5</v>
      </c>
      <c r="F716" t="str">
        <f t="shared" si="11"/>
        <v>002195.SZ</v>
      </c>
    </row>
    <row r="717" spans="1:6" x14ac:dyDescent="0.15">
      <c r="A717" s="2">
        <v>46089</v>
      </c>
      <c r="B717" s="1" t="s">
        <v>1327</v>
      </c>
      <c r="C717" s="1" t="s">
        <v>1328</v>
      </c>
      <c r="D717" t="b">
        <f ca="1">IF(A717="","",[1]!s_techanal_rcnthigh(B717,$B$2,1,3))</f>
        <v>0</v>
      </c>
      <c r="E717">
        <f ca="1">IF(A717="","",COUNTIF(D$6:D717,"True"))</f>
        <v>5</v>
      </c>
      <c r="F717" t="str">
        <f t="shared" si="11"/>
        <v>002196.SZ</v>
      </c>
    </row>
    <row r="718" spans="1:6" x14ac:dyDescent="0.15">
      <c r="A718" s="2">
        <v>46089</v>
      </c>
      <c r="B718" s="1" t="s">
        <v>1329</v>
      </c>
      <c r="C718" s="1" t="s">
        <v>1330</v>
      </c>
      <c r="D718" t="b">
        <f ca="1">IF(A718="","",[1]!s_techanal_rcnthigh(B718,$B$2,1,3))</f>
        <v>0</v>
      </c>
      <c r="E718">
        <f ca="1">IF(A718="","",COUNTIF(D$6:D718,"True"))</f>
        <v>5</v>
      </c>
      <c r="F718" t="str">
        <f t="shared" si="11"/>
        <v>002197.SZ</v>
      </c>
    </row>
    <row r="719" spans="1:6" x14ac:dyDescent="0.15">
      <c r="A719" s="2">
        <v>46089</v>
      </c>
      <c r="B719" s="1" t="s">
        <v>1331</v>
      </c>
      <c r="C719" s="1" t="s">
        <v>1332</v>
      </c>
      <c r="D719" t="b">
        <f ca="1">IF(A719="","",[1]!s_techanal_rcnthigh(B719,$B$2,1,3))</f>
        <v>0</v>
      </c>
      <c r="E719">
        <f ca="1">IF(A719="","",COUNTIF(D$6:D719,"True"))</f>
        <v>5</v>
      </c>
      <c r="F719" t="str">
        <f t="shared" si="11"/>
        <v>002198.SZ</v>
      </c>
    </row>
    <row r="720" spans="1:6" x14ac:dyDescent="0.15">
      <c r="A720" s="2">
        <v>46089</v>
      </c>
      <c r="B720" s="1" t="s">
        <v>1333</v>
      </c>
      <c r="C720" s="1" t="s">
        <v>10119</v>
      </c>
      <c r="D720" t="b">
        <f ca="1">IF(A720="","",[1]!s_techanal_rcnthigh(B720,$B$2,1,3))</f>
        <v>0</v>
      </c>
      <c r="E720">
        <f ca="1">IF(A720="","",COUNTIF(D$6:D720,"True"))</f>
        <v>5</v>
      </c>
      <c r="F720" t="str">
        <f t="shared" si="11"/>
        <v>002199.SZ</v>
      </c>
    </row>
    <row r="721" spans="1:6" x14ac:dyDescent="0.15">
      <c r="A721" s="2">
        <v>46089</v>
      </c>
      <c r="B721" s="1" t="s">
        <v>1334</v>
      </c>
      <c r="C721" s="1" t="s">
        <v>10120</v>
      </c>
      <c r="D721" t="b">
        <f ca="1">IF(A721="","",[1]!s_techanal_rcnthigh(B721,$B$2,1,3))</f>
        <v>0</v>
      </c>
      <c r="E721">
        <f ca="1">IF(A721="","",COUNTIF(D$6:D721,"True"))</f>
        <v>5</v>
      </c>
      <c r="F721" t="str">
        <f t="shared" si="11"/>
        <v>002200.SZ</v>
      </c>
    </row>
    <row r="722" spans="1:6" x14ac:dyDescent="0.15">
      <c r="A722" s="2">
        <v>46089</v>
      </c>
      <c r="B722" s="1" t="s">
        <v>1335</v>
      </c>
      <c r="C722" s="1" t="s">
        <v>10121</v>
      </c>
      <c r="D722" t="b">
        <f ca="1">IF(A722="","",[1]!s_techanal_rcnthigh(B722,$B$2,1,3))</f>
        <v>0</v>
      </c>
      <c r="E722">
        <f ca="1">IF(A722="","",COUNTIF(D$6:D722,"True"))</f>
        <v>5</v>
      </c>
      <c r="F722" t="str">
        <f t="shared" si="11"/>
        <v>002201.SZ</v>
      </c>
    </row>
    <row r="723" spans="1:6" x14ac:dyDescent="0.15">
      <c r="A723" s="2">
        <v>46089</v>
      </c>
      <c r="B723" s="1" t="s">
        <v>1336</v>
      </c>
      <c r="C723" s="1" t="s">
        <v>1337</v>
      </c>
      <c r="D723" t="b">
        <f ca="1">IF(A723="","",[1]!s_techanal_rcnthigh(B723,$B$2,1,3))</f>
        <v>0</v>
      </c>
      <c r="E723">
        <f ca="1">IF(A723="","",COUNTIF(D$6:D723,"True"))</f>
        <v>5</v>
      </c>
      <c r="F723" t="str">
        <f t="shared" si="11"/>
        <v>002202.SZ</v>
      </c>
    </row>
    <row r="724" spans="1:6" x14ac:dyDescent="0.15">
      <c r="A724" s="2">
        <v>46089</v>
      </c>
      <c r="B724" s="1" t="s">
        <v>1338</v>
      </c>
      <c r="C724" s="1" t="s">
        <v>1339</v>
      </c>
      <c r="D724" t="b">
        <f ca="1">IF(A724="","",[1]!s_techanal_rcnthigh(B724,$B$2,1,3))</f>
        <v>0</v>
      </c>
      <c r="E724">
        <f ca="1">IF(A724="","",COUNTIF(D$6:D724,"True"))</f>
        <v>5</v>
      </c>
      <c r="F724" t="str">
        <f t="shared" si="11"/>
        <v>002203.SZ</v>
      </c>
    </row>
    <row r="725" spans="1:6" x14ac:dyDescent="0.15">
      <c r="A725" s="2">
        <v>46089</v>
      </c>
      <c r="B725" s="1" t="s">
        <v>1340</v>
      </c>
      <c r="C725" s="1" t="s">
        <v>1341</v>
      </c>
      <c r="D725" t="b">
        <f ca="1">IF(A725="","",[1]!s_techanal_rcnthigh(B725,$B$2,1,3))</f>
        <v>0</v>
      </c>
      <c r="E725">
        <f ca="1">IF(A725="","",COUNTIF(D$6:D725,"True"))</f>
        <v>5</v>
      </c>
      <c r="F725" t="str">
        <f t="shared" si="11"/>
        <v>002204.SZ</v>
      </c>
    </row>
    <row r="726" spans="1:6" x14ac:dyDescent="0.15">
      <c r="A726" s="2">
        <v>46089</v>
      </c>
      <c r="B726" s="1" t="s">
        <v>1342</v>
      </c>
      <c r="C726" s="1" t="s">
        <v>1343</v>
      </c>
      <c r="D726" t="b">
        <f ca="1">IF(A726="","",[1]!s_techanal_rcnthigh(B726,$B$2,1,3))</f>
        <v>0</v>
      </c>
      <c r="E726">
        <f ca="1">IF(A726="","",COUNTIF(D$6:D726,"True"))</f>
        <v>5</v>
      </c>
      <c r="F726" t="str">
        <f t="shared" si="11"/>
        <v>002205.SZ</v>
      </c>
    </row>
    <row r="727" spans="1:6" x14ac:dyDescent="0.15">
      <c r="A727" s="2">
        <v>46089</v>
      </c>
      <c r="B727" s="1" t="s">
        <v>1344</v>
      </c>
      <c r="C727" s="1" t="s">
        <v>1345</v>
      </c>
      <c r="D727" t="b">
        <f ca="1">IF(A727="","",[1]!s_techanal_rcnthigh(B727,$B$2,1,3))</f>
        <v>0</v>
      </c>
      <c r="E727">
        <f ca="1">IF(A727="","",COUNTIF(D$6:D727,"True"))</f>
        <v>5</v>
      </c>
      <c r="F727" t="str">
        <f t="shared" si="11"/>
        <v>002206.SZ</v>
      </c>
    </row>
    <row r="728" spans="1:6" x14ac:dyDescent="0.15">
      <c r="A728" s="2">
        <v>46089</v>
      </c>
      <c r="B728" s="1" t="s">
        <v>1346</v>
      </c>
      <c r="C728" s="1" t="s">
        <v>1347</v>
      </c>
      <c r="D728" t="b">
        <f ca="1">IF(A728="","",[1]!s_techanal_rcnthigh(B728,$B$2,1,3))</f>
        <v>0</v>
      </c>
      <c r="E728">
        <f ca="1">IF(A728="","",COUNTIF(D$6:D728,"True"))</f>
        <v>5</v>
      </c>
      <c r="F728" t="str">
        <f t="shared" si="11"/>
        <v>002207.SZ</v>
      </c>
    </row>
    <row r="729" spans="1:6" x14ac:dyDescent="0.15">
      <c r="A729" s="2">
        <v>46089</v>
      </c>
      <c r="B729" s="1" t="s">
        <v>1348</v>
      </c>
      <c r="C729" s="1" t="s">
        <v>1349</v>
      </c>
      <c r="D729" t="b">
        <f ca="1">IF(A729="","",[1]!s_techanal_rcnthigh(B729,$B$2,1,3))</f>
        <v>0</v>
      </c>
      <c r="E729">
        <f ca="1">IF(A729="","",COUNTIF(D$6:D729,"True"))</f>
        <v>5</v>
      </c>
      <c r="F729" t="str">
        <f t="shared" si="11"/>
        <v>002208.SZ</v>
      </c>
    </row>
    <row r="730" spans="1:6" x14ac:dyDescent="0.15">
      <c r="A730" s="2">
        <v>46089</v>
      </c>
      <c r="B730" s="1" t="s">
        <v>1350</v>
      </c>
      <c r="C730" s="1" t="s">
        <v>1351</v>
      </c>
      <c r="D730" t="b">
        <f ca="1">IF(A730="","",[1]!s_techanal_rcnthigh(B730,$B$2,1,3))</f>
        <v>0</v>
      </c>
      <c r="E730">
        <f ca="1">IF(A730="","",COUNTIF(D$6:D730,"True"))</f>
        <v>5</v>
      </c>
      <c r="F730" t="str">
        <f t="shared" si="11"/>
        <v>002209.SZ</v>
      </c>
    </row>
    <row r="731" spans="1:6" x14ac:dyDescent="0.15">
      <c r="A731" s="2">
        <v>46089</v>
      </c>
      <c r="B731" s="1" t="s">
        <v>1352</v>
      </c>
      <c r="C731" s="1" t="s">
        <v>1353</v>
      </c>
      <c r="D731" t="b">
        <f ca="1">IF(A731="","",[1]!s_techanal_rcnthigh(B731,$B$2,1,3))</f>
        <v>0</v>
      </c>
      <c r="E731">
        <f ca="1">IF(A731="","",COUNTIF(D$6:D731,"True"))</f>
        <v>5</v>
      </c>
      <c r="F731" t="str">
        <f t="shared" si="11"/>
        <v>002210.SZ</v>
      </c>
    </row>
    <row r="732" spans="1:6" x14ac:dyDescent="0.15">
      <c r="A732" s="2">
        <v>46089</v>
      </c>
      <c r="B732" s="1" t="s">
        <v>1354</v>
      </c>
      <c r="C732" s="1" t="s">
        <v>10122</v>
      </c>
      <c r="D732" t="b">
        <f ca="1">IF(A732="","",[1]!s_techanal_rcnthigh(B732,$B$2,1,3))</f>
        <v>0</v>
      </c>
      <c r="E732">
        <f ca="1">IF(A732="","",COUNTIF(D$6:D732,"True"))</f>
        <v>5</v>
      </c>
      <c r="F732" t="str">
        <f t="shared" si="11"/>
        <v>002211.SZ</v>
      </c>
    </row>
    <row r="733" spans="1:6" x14ac:dyDescent="0.15">
      <c r="A733" s="2">
        <v>46089</v>
      </c>
      <c r="B733" s="1" t="s">
        <v>1355</v>
      </c>
      <c r="C733" s="1" t="s">
        <v>1356</v>
      </c>
      <c r="D733" t="b">
        <f ca="1">IF(A733="","",[1]!s_techanal_rcnthigh(B733,$B$2,1,3))</f>
        <v>0</v>
      </c>
      <c r="E733">
        <f ca="1">IF(A733="","",COUNTIF(D$6:D733,"True"))</f>
        <v>5</v>
      </c>
      <c r="F733" t="str">
        <f t="shared" si="11"/>
        <v>002212.SZ</v>
      </c>
    </row>
    <row r="734" spans="1:6" x14ac:dyDescent="0.15">
      <c r="A734" s="2">
        <v>46089</v>
      </c>
      <c r="B734" s="1" t="s">
        <v>1357</v>
      </c>
      <c r="C734" s="1" t="s">
        <v>1358</v>
      </c>
      <c r="D734" t="b">
        <f ca="1">IF(A734="","",[1]!s_techanal_rcnthigh(B734,$B$2,1,3))</f>
        <v>0</v>
      </c>
      <c r="E734">
        <f ca="1">IF(A734="","",COUNTIF(D$6:D734,"True"))</f>
        <v>5</v>
      </c>
      <c r="F734" t="str">
        <f t="shared" si="11"/>
        <v>002213.SZ</v>
      </c>
    </row>
    <row r="735" spans="1:6" x14ac:dyDescent="0.15">
      <c r="A735" s="2">
        <v>46089</v>
      </c>
      <c r="B735" s="1" t="s">
        <v>1359</v>
      </c>
      <c r="C735" s="1" t="s">
        <v>10123</v>
      </c>
      <c r="D735" t="b">
        <f ca="1">IF(A735="","",[1]!s_techanal_rcnthigh(B735,$B$2,1,3))</f>
        <v>0</v>
      </c>
      <c r="E735">
        <f ca="1">IF(A735="","",COUNTIF(D$6:D735,"True"))</f>
        <v>5</v>
      </c>
      <c r="F735" t="str">
        <f t="shared" si="11"/>
        <v>002214.SZ</v>
      </c>
    </row>
    <row r="736" spans="1:6" x14ac:dyDescent="0.15">
      <c r="A736" s="2">
        <v>46089</v>
      </c>
      <c r="B736" s="1" t="s">
        <v>1360</v>
      </c>
      <c r="C736" s="1" t="s">
        <v>1361</v>
      </c>
      <c r="D736" t="b">
        <f ca="1">IF(A736="","",[1]!s_techanal_rcnthigh(B736,$B$2,1,3))</f>
        <v>0</v>
      </c>
      <c r="E736">
        <f ca="1">IF(A736="","",COUNTIF(D$6:D736,"True"))</f>
        <v>5</v>
      </c>
      <c r="F736" t="str">
        <f t="shared" si="11"/>
        <v>002215.SZ</v>
      </c>
    </row>
    <row r="737" spans="1:6" x14ac:dyDescent="0.15">
      <c r="A737" s="2">
        <v>46089</v>
      </c>
      <c r="B737" s="1" t="s">
        <v>1362</v>
      </c>
      <c r="C737" s="1" t="s">
        <v>1363</v>
      </c>
      <c r="D737" t="b">
        <f ca="1">IF(A737="","",[1]!s_techanal_rcnthigh(B737,$B$2,1,3))</f>
        <v>0</v>
      </c>
      <c r="E737">
        <f ca="1">IF(A737="","",COUNTIF(D$6:D737,"True"))</f>
        <v>5</v>
      </c>
      <c r="F737" t="str">
        <f t="shared" si="11"/>
        <v>002216.SZ</v>
      </c>
    </row>
    <row r="738" spans="1:6" x14ac:dyDescent="0.15">
      <c r="A738" s="2">
        <v>46089</v>
      </c>
      <c r="B738" s="1" t="s">
        <v>1364</v>
      </c>
      <c r="C738" s="1" t="s">
        <v>1365</v>
      </c>
      <c r="D738" t="b">
        <f ca="1">IF(A738="","",[1]!s_techanal_rcnthigh(B738,$B$2,1,3))</f>
        <v>0</v>
      </c>
      <c r="E738">
        <f ca="1">IF(A738="","",COUNTIF(D$6:D738,"True"))</f>
        <v>5</v>
      </c>
      <c r="F738" t="str">
        <f t="shared" si="11"/>
        <v>002217.SZ</v>
      </c>
    </row>
    <row r="739" spans="1:6" x14ac:dyDescent="0.15">
      <c r="A739" s="2">
        <v>46089</v>
      </c>
      <c r="B739" s="1" t="s">
        <v>1366</v>
      </c>
      <c r="C739" s="1" t="s">
        <v>1367</v>
      </c>
      <c r="D739" t="b">
        <f ca="1">IF(A739="","",[1]!s_techanal_rcnthigh(B739,$B$2,1,3))</f>
        <v>0</v>
      </c>
      <c r="E739">
        <f ca="1">IF(A739="","",COUNTIF(D$6:D739,"True"))</f>
        <v>5</v>
      </c>
      <c r="F739" t="str">
        <f t="shared" si="11"/>
        <v>002218.SZ</v>
      </c>
    </row>
    <row r="740" spans="1:6" x14ac:dyDescent="0.15">
      <c r="A740" s="2">
        <v>46089</v>
      </c>
      <c r="B740" s="1" t="s">
        <v>1368</v>
      </c>
      <c r="C740" s="1" t="s">
        <v>1369</v>
      </c>
      <c r="D740" t="b">
        <f ca="1">IF(A740="","",[1]!s_techanal_rcnthigh(B740,$B$2,1,3))</f>
        <v>0</v>
      </c>
      <c r="E740">
        <f ca="1">IF(A740="","",COUNTIF(D$6:D740,"True"))</f>
        <v>5</v>
      </c>
      <c r="F740" t="str">
        <f t="shared" si="11"/>
        <v>002219.SZ</v>
      </c>
    </row>
    <row r="741" spans="1:6" x14ac:dyDescent="0.15">
      <c r="A741" s="2">
        <v>46089</v>
      </c>
      <c r="B741" s="1" t="s">
        <v>1370</v>
      </c>
      <c r="C741" s="1" t="s">
        <v>1371</v>
      </c>
      <c r="D741" t="b">
        <f ca="1">IF(A741="","",[1]!s_techanal_rcnthigh(B741,$B$2,1,3))</f>
        <v>0</v>
      </c>
      <c r="E741">
        <f ca="1">IF(A741="","",COUNTIF(D$6:D741,"True"))</f>
        <v>5</v>
      </c>
      <c r="F741" t="str">
        <f t="shared" si="11"/>
        <v>002221.SZ</v>
      </c>
    </row>
    <row r="742" spans="1:6" x14ac:dyDescent="0.15">
      <c r="A742" s="2">
        <v>46089</v>
      </c>
      <c r="B742" s="1" t="s">
        <v>1372</v>
      </c>
      <c r="C742" s="1" t="s">
        <v>1373</v>
      </c>
      <c r="D742" t="b">
        <f ca="1">IF(A742="","",[1]!s_techanal_rcnthigh(B742,$B$2,1,3))</f>
        <v>0</v>
      </c>
      <c r="E742">
        <f ca="1">IF(A742="","",COUNTIF(D$6:D742,"True"))</f>
        <v>5</v>
      </c>
      <c r="F742" t="str">
        <f t="shared" si="11"/>
        <v>002222.SZ</v>
      </c>
    </row>
    <row r="743" spans="1:6" x14ac:dyDescent="0.15">
      <c r="A743" s="2">
        <v>46089</v>
      </c>
      <c r="B743" s="1" t="s">
        <v>1374</v>
      </c>
      <c r="C743" s="1" t="s">
        <v>1375</v>
      </c>
      <c r="D743" t="b">
        <f ca="1">IF(A743="","",[1]!s_techanal_rcnthigh(B743,$B$2,1,3))</f>
        <v>0</v>
      </c>
      <c r="E743">
        <f ca="1">IF(A743="","",COUNTIF(D$6:D743,"True"))</f>
        <v>5</v>
      </c>
      <c r="F743" t="str">
        <f t="shared" si="11"/>
        <v>002223.SZ</v>
      </c>
    </row>
    <row r="744" spans="1:6" x14ac:dyDescent="0.15">
      <c r="A744" s="2">
        <v>46089</v>
      </c>
      <c r="B744" s="1" t="s">
        <v>1376</v>
      </c>
      <c r="C744" s="1" t="s">
        <v>1377</v>
      </c>
      <c r="D744" t="b">
        <f ca="1">IF(A744="","",[1]!s_techanal_rcnthigh(B744,$B$2,1,3))</f>
        <v>0</v>
      </c>
      <c r="E744">
        <f ca="1">IF(A744="","",COUNTIF(D$6:D744,"True"))</f>
        <v>5</v>
      </c>
      <c r="F744" t="str">
        <f t="shared" si="11"/>
        <v>002224.SZ</v>
      </c>
    </row>
    <row r="745" spans="1:6" x14ac:dyDescent="0.15">
      <c r="A745" s="2">
        <v>46089</v>
      </c>
      <c r="B745" s="1" t="s">
        <v>1378</v>
      </c>
      <c r="C745" s="1" t="s">
        <v>1379</v>
      </c>
      <c r="D745" t="b">
        <f ca="1">IF(A745="","",[1]!s_techanal_rcnthigh(B745,$B$2,1,3))</f>
        <v>0</v>
      </c>
      <c r="E745">
        <f ca="1">IF(A745="","",COUNTIF(D$6:D745,"True"))</f>
        <v>5</v>
      </c>
      <c r="F745" t="str">
        <f t="shared" si="11"/>
        <v>002225.SZ</v>
      </c>
    </row>
    <row r="746" spans="1:6" x14ac:dyDescent="0.15">
      <c r="A746" s="2">
        <v>46089</v>
      </c>
      <c r="B746" s="1" t="s">
        <v>1380</v>
      </c>
      <c r="C746" s="1" t="s">
        <v>1381</v>
      </c>
      <c r="D746" t="b">
        <f ca="1">IF(A746="","",[1]!s_techanal_rcnthigh(B746,$B$2,1,3))</f>
        <v>0</v>
      </c>
      <c r="E746">
        <f ca="1">IF(A746="","",COUNTIF(D$6:D746,"True"))</f>
        <v>5</v>
      </c>
      <c r="F746" t="str">
        <f t="shared" si="11"/>
        <v>002226.SZ</v>
      </c>
    </row>
    <row r="747" spans="1:6" x14ac:dyDescent="0.15">
      <c r="A747" s="2">
        <v>46089</v>
      </c>
      <c r="B747" s="1" t="s">
        <v>1382</v>
      </c>
      <c r="C747" s="1" t="s">
        <v>1383</v>
      </c>
      <c r="D747" t="b">
        <f ca="1">IF(A747="","",[1]!s_techanal_rcnthigh(B747,$B$2,1,3))</f>
        <v>0</v>
      </c>
      <c r="E747">
        <f ca="1">IF(A747="","",COUNTIF(D$6:D747,"True"))</f>
        <v>5</v>
      </c>
      <c r="F747" t="str">
        <f t="shared" si="11"/>
        <v>002227.SZ</v>
      </c>
    </row>
    <row r="748" spans="1:6" x14ac:dyDescent="0.15">
      <c r="A748" s="2">
        <v>46089</v>
      </c>
      <c r="B748" s="1" t="s">
        <v>1384</v>
      </c>
      <c r="C748" s="1" t="s">
        <v>1385</v>
      </c>
      <c r="D748" t="b">
        <f ca="1">IF(A748="","",[1]!s_techanal_rcnthigh(B748,$B$2,1,3))</f>
        <v>0</v>
      </c>
      <c r="E748">
        <f ca="1">IF(A748="","",COUNTIF(D$6:D748,"True"))</f>
        <v>5</v>
      </c>
      <c r="F748" t="str">
        <f t="shared" si="11"/>
        <v>002228.SZ</v>
      </c>
    </row>
    <row r="749" spans="1:6" x14ac:dyDescent="0.15">
      <c r="A749" s="2">
        <v>46089</v>
      </c>
      <c r="B749" s="1" t="s">
        <v>1386</v>
      </c>
      <c r="C749" s="1" t="s">
        <v>1387</v>
      </c>
      <c r="D749" t="b">
        <f ca="1">IF(A749="","",[1]!s_techanal_rcnthigh(B749,$B$2,1,3))</f>
        <v>0</v>
      </c>
      <c r="E749">
        <f ca="1">IF(A749="","",COUNTIF(D$6:D749,"True"))</f>
        <v>5</v>
      </c>
      <c r="F749" t="str">
        <f t="shared" si="11"/>
        <v>002229.SZ</v>
      </c>
    </row>
    <row r="750" spans="1:6" x14ac:dyDescent="0.15">
      <c r="A750" s="2">
        <v>46089</v>
      </c>
      <c r="B750" s="1" t="s">
        <v>1388</v>
      </c>
      <c r="C750" s="1" t="s">
        <v>1389</v>
      </c>
      <c r="D750" t="b">
        <f ca="1">IF(A750="","",[1]!s_techanal_rcnthigh(B750,$B$2,1,3))</f>
        <v>0</v>
      </c>
      <c r="E750">
        <f ca="1">IF(A750="","",COUNTIF(D$6:D750,"True"))</f>
        <v>5</v>
      </c>
      <c r="F750" t="str">
        <f t="shared" si="11"/>
        <v>002230.SZ</v>
      </c>
    </row>
    <row r="751" spans="1:6" x14ac:dyDescent="0.15">
      <c r="A751" s="2">
        <v>46089</v>
      </c>
      <c r="B751" s="1" t="s">
        <v>1390</v>
      </c>
      <c r="C751" s="1" t="s">
        <v>10124</v>
      </c>
      <c r="D751" t="b">
        <f ca="1">IF(A751="","",[1]!s_techanal_rcnthigh(B751,$B$2,1,3))</f>
        <v>0</v>
      </c>
      <c r="E751">
        <f ca="1">IF(A751="","",COUNTIF(D$6:D751,"True"))</f>
        <v>5</v>
      </c>
      <c r="F751" t="str">
        <f t="shared" si="11"/>
        <v>002231.SZ</v>
      </c>
    </row>
    <row r="752" spans="1:6" x14ac:dyDescent="0.15">
      <c r="A752" s="2">
        <v>46089</v>
      </c>
      <c r="B752" s="1" t="s">
        <v>1391</v>
      </c>
      <c r="C752" s="1" t="s">
        <v>1392</v>
      </c>
      <c r="D752" t="b">
        <f ca="1">IF(A752="","",[1]!s_techanal_rcnthigh(B752,$B$2,1,3))</f>
        <v>0</v>
      </c>
      <c r="E752">
        <f ca="1">IF(A752="","",COUNTIF(D$6:D752,"True"))</f>
        <v>5</v>
      </c>
      <c r="F752" t="str">
        <f t="shared" si="11"/>
        <v>002232.SZ</v>
      </c>
    </row>
    <row r="753" spans="1:6" x14ac:dyDescent="0.15">
      <c r="A753" s="2">
        <v>46089</v>
      </c>
      <c r="B753" s="1" t="s">
        <v>1393</v>
      </c>
      <c r="C753" s="1" t="s">
        <v>1394</v>
      </c>
      <c r="D753" t="b">
        <f ca="1">IF(A753="","",[1]!s_techanal_rcnthigh(B753,$B$2,1,3))</f>
        <v>0</v>
      </c>
      <c r="E753">
        <f ca="1">IF(A753="","",COUNTIF(D$6:D753,"True"))</f>
        <v>5</v>
      </c>
      <c r="F753" t="str">
        <f t="shared" si="11"/>
        <v>002233.SZ</v>
      </c>
    </row>
    <row r="754" spans="1:6" x14ac:dyDescent="0.15">
      <c r="A754" s="2">
        <v>46089</v>
      </c>
      <c r="B754" s="1" t="s">
        <v>1395</v>
      </c>
      <c r="C754" s="1" t="s">
        <v>1396</v>
      </c>
      <c r="D754" t="b">
        <f ca="1">IF(A754="","",[1]!s_techanal_rcnthigh(B754,$B$2,1,3))</f>
        <v>0</v>
      </c>
      <c r="E754">
        <f ca="1">IF(A754="","",COUNTIF(D$6:D754,"True"))</f>
        <v>5</v>
      </c>
      <c r="F754" t="str">
        <f t="shared" si="11"/>
        <v>002234.SZ</v>
      </c>
    </row>
    <row r="755" spans="1:6" x14ac:dyDescent="0.15">
      <c r="A755" s="2">
        <v>46089</v>
      </c>
      <c r="B755" s="1" t="s">
        <v>1397</v>
      </c>
      <c r="C755" s="1" t="s">
        <v>1398</v>
      </c>
      <c r="D755" t="b">
        <f ca="1">IF(A755="","",[1]!s_techanal_rcnthigh(B755,$B$2,1,3))</f>
        <v>0</v>
      </c>
      <c r="E755">
        <f ca="1">IF(A755="","",COUNTIF(D$6:D755,"True"))</f>
        <v>5</v>
      </c>
      <c r="F755" t="str">
        <f t="shared" si="11"/>
        <v>002235.SZ</v>
      </c>
    </row>
    <row r="756" spans="1:6" x14ac:dyDescent="0.15">
      <c r="A756" s="2">
        <v>46089</v>
      </c>
      <c r="B756" s="1" t="s">
        <v>1399</v>
      </c>
      <c r="C756" s="1" t="s">
        <v>1400</v>
      </c>
      <c r="D756" t="b">
        <f ca="1">IF(A756="","",[1]!s_techanal_rcnthigh(B756,$B$2,1,3))</f>
        <v>0</v>
      </c>
      <c r="E756">
        <f ca="1">IF(A756="","",COUNTIF(D$6:D756,"True"))</f>
        <v>5</v>
      </c>
      <c r="F756" t="str">
        <f t="shared" si="11"/>
        <v>002236.SZ</v>
      </c>
    </row>
    <row r="757" spans="1:6" x14ac:dyDescent="0.15">
      <c r="A757" s="2">
        <v>46089</v>
      </c>
      <c r="B757" s="1" t="s">
        <v>1401</v>
      </c>
      <c r="C757" s="1" t="s">
        <v>1402</v>
      </c>
      <c r="D757" t="b">
        <f ca="1">IF(A757="","",[1]!s_techanal_rcnthigh(B757,$B$2,1,3))</f>
        <v>0</v>
      </c>
      <c r="E757">
        <f ca="1">IF(A757="","",COUNTIF(D$6:D757,"True"))</f>
        <v>5</v>
      </c>
      <c r="F757" t="str">
        <f t="shared" si="11"/>
        <v>002237.SZ</v>
      </c>
    </row>
    <row r="758" spans="1:6" x14ac:dyDescent="0.15">
      <c r="A758" s="2">
        <v>46089</v>
      </c>
      <c r="B758" s="1" t="s">
        <v>1403</v>
      </c>
      <c r="C758" s="1" t="s">
        <v>1404</v>
      </c>
      <c r="D758" t="b">
        <f ca="1">IF(A758="","",[1]!s_techanal_rcnthigh(B758,$B$2,1,3))</f>
        <v>0</v>
      </c>
      <c r="E758">
        <f ca="1">IF(A758="","",COUNTIF(D$6:D758,"True"))</f>
        <v>5</v>
      </c>
      <c r="F758" t="str">
        <f t="shared" si="11"/>
        <v>002238.SZ</v>
      </c>
    </row>
    <row r="759" spans="1:6" x14ac:dyDescent="0.15">
      <c r="A759" s="2">
        <v>46089</v>
      </c>
      <c r="B759" s="1" t="s">
        <v>1405</v>
      </c>
      <c r="C759" s="1" t="s">
        <v>1406</v>
      </c>
      <c r="D759" t="b">
        <f ca="1">IF(A759="","",[1]!s_techanal_rcnthigh(B759,$B$2,1,3))</f>
        <v>0</v>
      </c>
      <c r="E759">
        <f ca="1">IF(A759="","",COUNTIF(D$6:D759,"True"))</f>
        <v>5</v>
      </c>
      <c r="F759" t="str">
        <f t="shared" si="11"/>
        <v>002239.SZ</v>
      </c>
    </row>
    <row r="760" spans="1:6" x14ac:dyDescent="0.15">
      <c r="A760" s="2">
        <v>46089</v>
      </c>
      <c r="B760" s="1" t="s">
        <v>1407</v>
      </c>
      <c r="C760" s="1" t="s">
        <v>1408</v>
      </c>
      <c r="D760" t="b">
        <f ca="1">IF(A760="","",[1]!s_techanal_rcnthigh(B760,$B$2,1,3))</f>
        <v>0</v>
      </c>
      <c r="E760">
        <f ca="1">IF(A760="","",COUNTIF(D$6:D760,"True"))</f>
        <v>5</v>
      </c>
      <c r="F760" t="str">
        <f t="shared" si="11"/>
        <v>002240.SZ</v>
      </c>
    </row>
    <row r="761" spans="1:6" x14ac:dyDescent="0.15">
      <c r="A761" s="2">
        <v>46089</v>
      </c>
      <c r="B761" s="1" t="s">
        <v>1409</v>
      </c>
      <c r="C761" s="1" t="s">
        <v>1410</v>
      </c>
      <c r="D761" t="b">
        <f ca="1">IF(A761="","",[1]!s_techanal_rcnthigh(B761,$B$2,1,3))</f>
        <v>0</v>
      </c>
      <c r="E761">
        <f ca="1">IF(A761="","",COUNTIF(D$6:D761,"True"))</f>
        <v>5</v>
      </c>
      <c r="F761" t="str">
        <f t="shared" si="11"/>
        <v>002241.SZ</v>
      </c>
    </row>
    <row r="762" spans="1:6" x14ac:dyDescent="0.15">
      <c r="A762" s="2">
        <v>46089</v>
      </c>
      <c r="B762" s="1" t="s">
        <v>1411</v>
      </c>
      <c r="C762" s="1" t="s">
        <v>1412</v>
      </c>
      <c r="D762" t="b">
        <f ca="1">IF(A762="","",[1]!s_techanal_rcnthigh(B762,$B$2,1,3))</f>
        <v>0</v>
      </c>
      <c r="E762">
        <f ca="1">IF(A762="","",COUNTIF(D$6:D762,"True"))</f>
        <v>5</v>
      </c>
      <c r="F762" t="str">
        <f t="shared" si="11"/>
        <v>002242.SZ</v>
      </c>
    </row>
    <row r="763" spans="1:6" x14ac:dyDescent="0.15">
      <c r="A763" s="2">
        <v>46089</v>
      </c>
      <c r="B763" s="1" t="s">
        <v>1413</v>
      </c>
      <c r="C763" s="1" t="s">
        <v>1414</v>
      </c>
      <c r="D763" t="b">
        <f ca="1">IF(A763="","",[1]!s_techanal_rcnthigh(B763,$B$2,1,3))</f>
        <v>0</v>
      </c>
      <c r="E763">
        <f ca="1">IF(A763="","",COUNTIF(D$6:D763,"True"))</f>
        <v>5</v>
      </c>
      <c r="F763" t="str">
        <f t="shared" si="11"/>
        <v>002243.SZ</v>
      </c>
    </row>
    <row r="764" spans="1:6" x14ac:dyDescent="0.15">
      <c r="A764" s="2">
        <v>46089</v>
      </c>
      <c r="B764" s="1" t="s">
        <v>1415</v>
      </c>
      <c r="C764" s="1" t="s">
        <v>1416</v>
      </c>
      <c r="D764" t="b">
        <f ca="1">IF(A764="","",[1]!s_techanal_rcnthigh(B764,$B$2,1,3))</f>
        <v>0</v>
      </c>
      <c r="E764">
        <f ca="1">IF(A764="","",COUNTIF(D$6:D764,"True"))</f>
        <v>5</v>
      </c>
      <c r="F764" t="str">
        <f t="shared" si="11"/>
        <v>002244.SZ</v>
      </c>
    </row>
    <row r="765" spans="1:6" x14ac:dyDescent="0.15">
      <c r="A765" s="2">
        <v>46089</v>
      </c>
      <c r="B765" s="1" t="s">
        <v>1417</v>
      </c>
      <c r="C765" s="1" t="s">
        <v>1418</v>
      </c>
      <c r="D765" t="b">
        <f ca="1">IF(A765="","",[1]!s_techanal_rcnthigh(B765,$B$2,1,3))</f>
        <v>0</v>
      </c>
      <c r="E765">
        <f ca="1">IF(A765="","",COUNTIF(D$6:D765,"True"))</f>
        <v>5</v>
      </c>
      <c r="F765" t="str">
        <f t="shared" si="11"/>
        <v>002245.SZ</v>
      </c>
    </row>
    <row r="766" spans="1:6" x14ac:dyDescent="0.15">
      <c r="A766" s="2">
        <v>46089</v>
      </c>
      <c r="B766" s="1" t="s">
        <v>1419</v>
      </c>
      <c r="C766" s="1" t="s">
        <v>1420</v>
      </c>
      <c r="D766" t="b">
        <f ca="1">IF(A766="","",[1]!s_techanal_rcnthigh(B766,$B$2,1,3))</f>
        <v>0</v>
      </c>
      <c r="E766">
        <f ca="1">IF(A766="","",COUNTIF(D$6:D766,"True"))</f>
        <v>5</v>
      </c>
      <c r="F766" t="str">
        <f t="shared" si="11"/>
        <v>002246.SZ</v>
      </c>
    </row>
    <row r="767" spans="1:6" x14ac:dyDescent="0.15">
      <c r="A767" s="2">
        <v>46089</v>
      </c>
      <c r="B767" s="1" t="s">
        <v>1421</v>
      </c>
      <c r="C767" s="1" t="s">
        <v>1422</v>
      </c>
      <c r="D767" t="b">
        <f ca="1">IF(A767="","",[1]!s_techanal_rcnthigh(B767,$B$2,1,3))</f>
        <v>0</v>
      </c>
      <c r="E767">
        <f ca="1">IF(A767="","",COUNTIF(D$6:D767,"True"))</f>
        <v>5</v>
      </c>
      <c r="F767" t="str">
        <f t="shared" si="11"/>
        <v>002247.SZ</v>
      </c>
    </row>
    <row r="768" spans="1:6" x14ac:dyDescent="0.15">
      <c r="A768" s="2">
        <v>46089</v>
      </c>
      <c r="B768" s="1" t="s">
        <v>1423</v>
      </c>
      <c r="C768" s="1" t="s">
        <v>1424</v>
      </c>
      <c r="D768" t="b">
        <f ca="1">IF(A768="","",[1]!s_techanal_rcnthigh(B768,$B$2,1,3))</f>
        <v>0</v>
      </c>
      <c r="E768">
        <f ca="1">IF(A768="","",COUNTIF(D$6:D768,"True"))</f>
        <v>5</v>
      </c>
      <c r="F768" t="str">
        <f t="shared" si="11"/>
        <v>002248.SZ</v>
      </c>
    </row>
    <row r="769" spans="1:6" x14ac:dyDescent="0.15">
      <c r="A769" s="2">
        <v>46089</v>
      </c>
      <c r="B769" s="1" t="s">
        <v>1425</v>
      </c>
      <c r="C769" s="1" t="s">
        <v>1426</v>
      </c>
      <c r="D769" t="b">
        <f ca="1">IF(A769="","",[1]!s_techanal_rcnthigh(B769,$B$2,1,3))</f>
        <v>0</v>
      </c>
      <c r="E769">
        <f ca="1">IF(A769="","",COUNTIF(D$6:D769,"True"))</f>
        <v>5</v>
      </c>
      <c r="F769" t="str">
        <f t="shared" si="11"/>
        <v>002249.SZ</v>
      </c>
    </row>
    <row r="770" spans="1:6" x14ac:dyDescent="0.15">
      <c r="A770" s="2">
        <v>46089</v>
      </c>
      <c r="B770" s="1" t="s">
        <v>1427</v>
      </c>
      <c r="C770" s="1" t="s">
        <v>1428</v>
      </c>
      <c r="D770" t="b">
        <f ca="1">IF(A770="","",[1]!s_techanal_rcnthigh(B770,$B$2,1,3))</f>
        <v>0</v>
      </c>
      <c r="E770">
        <f ca="1">IF(A770="","",COUNTIF(D$6:D770,"True"))</f>
        <v>5</v>
      </c>
      <c r="F770" t="str">
        <f t="shared" si="11"/>
        <v>002250.SZ</v>
      </c>
    </row>
    <row r="771" spans="1:6" x14ac:dyDescent="0.15">
      <c r="A771" s="2">
        <v>46089</v>
      </c>
      <c r="B771" s="1" t="s">
        <v>1429</v>
      </c>
      <c r="C771" s="1" t="s">
        <v>10125</v>
      </c>
      <c r="D771" t="b">
        <f ca="1">IF(A771="","",[1]!s_techanal_rcnthigh(B771,$B$2,1,3))</f>
        <v>0</v>
      </c>
      <c r="E771">
        <f ca="1">IF(A771="","",COUNTIF(D$6:D771,"True"))</f>
        <v>5</v>
      </c>
      <c r="F771" t="str">
        <f t="shared" si="11"/>
        <v>002251.SZ</v>
      </c>
    </row>
    <row r="772" spans="1:6" x14ac:dyDescent="0.15">
      <c r="A772" s="2">
        <v>46089</v>
      </c>
      <c r="B772" s="1" t="s">
        <v>1430</v>
      </c>
      <c r="C772" s="1" t="s">
        <v>1431</v>
      </c>
      <c r="D772" t="b">
        <f ca="1">IF(A772="","",[1]!s_techanal_rcnthigh(B772,$B$2,1,3))</f>
        <v>0</v>
      </c>
      <c r="E772">
        <f ca="1">IF(A772="","",COUNTIF(D$6:D772,"True"))</f>
        <v>5</v>
      </c>
      <c r="F772" t="str">
        <f t="shared" si="11"/>
        <v>002252.SZ</v>
      </c>
    </row>
    <row r="773" spans="1:6" x14ac:dyDescent="0.15">
      <c r="A773" s="2">
        <v>46089</v>
      </c>
      <c r="B773" s="1" t="s">
        <v>1432</v>
      </c>
      <c r="C773" s="1" t="s">
        <v>10126</v>
      </c>
      <c r="D773" t="b">
        <f ca="1">IF(A773="","",[1]!s_techanal_rcnthigh(B773,$B$2,1,3))</f>
        <v>0</v>
      </c>
      <c r="E773">
        <f ca="1">IF(A773="","",COUNTIF(D$6:D773,"True"))</f>
        <v>5</v>
      </c>
      <c r="F773" t="str">
        <f t="shared" si="11"/>
        <v>002253.SZ</v>
      </c>
    </row>
    <row r="774" spans="1:6" x14ac:dyDescent="0.15">
      <c r="A774" s="2">
        <v>46089</v>
      </c>
      <c r="B774" s="1" t="s">
        <v>1433</v>
      </c>
      <c r="C774" s="1" t="s">
        <v>1434</v>
      </c>
      <c r="D774" t="b">
        <f ca="1">IF(A774="","",[1]!s_techanal_rcnthigh(B774,$B$2,1,3))</f>
        <v>0</v>
      </c>
      <c r="E774">
        <f ca="1">IF(A774="","",COUNTIF(D$6:D774,"True"))</f>
        <v>5</v>
      </c>
      <c r="F774" t="str">
        <f t="shared" ref="F774:F837" si="12">IF(B774="","",B774)</f>
        <v>002254.SZ</v>
      </c>
    </row>
    <row r="775" spans="1:6" x14ac:dyDescent="0.15">
      <c r="A775" s="2">
        <v>46089</v>
      </c>
      <c r="B775" s="1" t="s">
        <v>1435</v>
      </c>
      <c r="C775" s="1" t="s">
        <v>1436</v>
      </c>
      <c r="D775" t="b">
        <f ca="1">IF(A775="","",[1]!s_techanal_rcnthigh(B775,$B$2,1,3))</f>
        <v>0</v>
      </c>
      <c r="E775">
        <f ca="1">IF(A775="","",COUNTIF(D$6:D775,"True"))</f>
        <v>5</v>
      </c>
      <c r="F775" t="str">
        <f t="shared" si="12"/>
        <v>002255.SZ</v>
      </c>
    </row>
    <row r="776" spans="1:6" x14ac:dyDescent="0.15">
      <c r="A776" s="2">
        <v>46089</v>
      </c>
      <c r="B776" s="1" t="s">
        <v>1437</v>
      </c>
      <c r="C776" s="1" t="s">
        <v>1438</v>
      </c>
      <c r="D776" t="b">
        <f ca="1">IF(A776="","",[1]!s_techanal_rcnthigh(B776,$B$2,1,3))</f>
        <v>0</v>
      </c>
      <c r="E776">
        <f ca="1">IF(A776="","",COUNTIF(D$6:D776,"True"))</f>
        <v>5</v>
      </c>
      <c r="F776" t="str">
        <f t="shared" si="12"/>
        <v>002256.SZ</v>
      </c>
    </row>
    <row r="777" spans="1:6" x14ac:dyDescent="0.15">
      <c r="A777" s="2">
        <v>46089</v>
      </c>
      <c r="B777" s="1" t="s">
        <v>1439</v>
      </c>
      <c r="C777" s="1" t="s">
        <v>1440</v>
      </c>
      <c r="D777" t="b">
        <f ca="1">IF(A777="","",[1]!s_techanal_rcnthigh(B777,$B$2,1,3))</f>
        <v>0</v>
      </c>
      <c r="E777">
        <f ca="1">IF(A777="","",COUNTIF(D$6:D777,"True"))</f>
        <v>5</v>
      </c>
      <c r="F777" t="str">
        <f t="shared" si="12"/>
        <v>002258.SZ</v>
      </c>
    </row>
    <row r="778" spans="1:6" x14ac:dyDescent="0.15">
      <c r="A778" s="2">
        <v>46089</v>
      </c>
      <c r="B778" s="1" t="s">
        <v>1441</v>
      </c>
      <c r="C778" s="1" t="s">
        <v>10127</v>
      </c>
      <c r="D778" t="b">
        <f ca="1">IF(A778="","",[1]!s_techanal_rcnthigh(B778,$B$2,1,3))</f>
        <v>0</v>
      </c>
      <c r="E778">
        <f ca="1">IF(A778="","",COUNTIF(D$6:D778,"True"))</f>
        <v>5</v>
      </c>
      <c r="F778" t="str">
        <f t="shared" si="12"/>
        <v>002259.SZ</v>
      </c>
    </row>
    <row r="779" spans="1:6" x14ac:dyDescent="0.15">
      <c r="A779" s="2">
        <v>46089</v>
      </c>
      <c r="B779" s="1" t="s">
        <v>1442</v>
      </c>
      <c r="C779" s="1" t="s">
        <v>1443</v>
      </c>
      <c r="D779" t="b">
        <f ca="1">IF(A779="","",[1]!s_techanal_rcnthigh(B779,$B$2,1,3))</f>
        <v>0</v>
      </c>
      <c r="E779">
        <f ca="1">IF(A779="","",COUNTIF(D$6:D779,"True"))</f>
        <v>5</v>
      </c>
      <c r="F779" t="str">
        <f t="shared" si="12"/>
        <v>002261.SZ</v>
      </c>
    </row>
    <row r="780" spans="1:6" x14ac:dyDescent="0.15">
      <c r="A780" s="2">
        <v>46089</v>
      </c>
      <c r="B780" s="1" t="s">
        <v>1444</v>
      </c>
      <c r="C780" s="1" t="s">
        <v>1445</v>
      </c>
      <c r="D780" t="b">
        <f ca="1">IF(A780="","",[1]!s_techanal_rcnthigh(B780,$B$2,1,3))</f>
        <v>0</v>
      </c>
      <c r="E780">
        <f ca="1">IF(A780="","",COUNTIF(D$6:D780,"True"))</f>
        <v>5</v>
      </c>
      <c r="F780" t="str">
        <f t="shared" si="12"/>
        <v>002262.SZ</v>
      </c>
    </row>
    <row r="781" spans="1:6" x14ac:dyDescent="0.15">
      <c r="A781" s="2">
        <v>46089</v>
      </c>
      <c r="B781" s="1" t="s">
        <v>1446</v>
      </c>
      <c r="C781" s="1" t="s">
        <v>1447</v>
      </c>
      <c r="D781" t="b">
        <f ca="1">IF(A781="","",[1]!s_techanal_rcnthigh(B781,$B$2,1,3))</f>
        <v>0</v>
      </c>
      <c r="E781">
        <f ca="1">IF(A781="","",COUNTIF(D$6:D781,"True"))</f>
        <v>5</v>
      </c>
      <c r="F781" t="str">
        <f t="shared" si="12"/>
        <v>002263.SZ</v>
      </c>
    </row>
    <row r="782" spans="1:6" x14ac:dyDescent="0.15">
      <c r="A782" s="2">
        <v>46089</v>
      </c>
      <c r="B782" s="1" t="s">
        <v>1448</v>
      </c>
      <c r="C782" s="1" t="s">
        <v>1449</v>
      </c>
      <c r="D782" t="b">
        <f ca="1">IF(A782="","",[1]!s_techanal_rcnthigh(B782,$B$2,1,3))</f>
        <v>0</v>
      </c>
      <c r="E782">
        <f ca="1">IF(A782="","",COUNTIF(D$6:D782,"True"))</f>
        <v>5</v>
      </c>
      <c r="F782" t="str">
        <f t="shared" si="12"/>
        <v>002264.SZ</v>
      </c>
    </row>
    <row r="783" spans="1:6" x14ac:dyDescent="0.15">
      <c r="A783" s="2">
        <v>46089</v>
      </c>
      <c r="B783" s="1" t="s">
        <v>1450</v>
      </c>
      <c r="C783" s="1" t="s">
        <v>1451</v>
      </c>
      <c r="D783" t="b">
        <f ca="1">IF(A783="","",[1]!s_techanal_rcnthigh(B783,$B$2,1,3))</f>
        <v>0</v>
      </c>
      <c r="E783">
        <f ca="1">IF(A783="","",COUNTIF(D$6:D783,"True"))</f>
        <v>5</v>
      </c>
      <c r="F783" t="str">
        <f t="shared" si="12"/>
        <v>002265.SZ</v>
      </c>
    </row>
    <row r="784" spans="1:6" x14ac:dyDescent="0.15">
      <c r="A784" s="2">
        <v>46089</v>
      </c>
      <c r="B784" s="1" t="s">
        <v>1452</v>
      </c>
      <c r="C784" s="1" t="s">
        <v>1453</v>
      </c>
      <c r="D784" t="b">
        <f ca="1">IF(A784="","",[1]!s_techanal_rcnthigh(B784,$B$2,1,3))</f>
        <v>0</v>
      </c>
      <c r="E784">
        <f ca="1">IF(A784="","",COUNTIF(D$6:D784,"True"))</f>
        <v>5</v>
      </c>
      <c r="F784" t="str">
        <f t="shared" si="12"/>
        <v>002266.SZ</v>
      </c>
    </row>
    <row r="785" spans="1:6" x14ac:dyDescent="0.15">
      <c r="A785" s="2">
        <v>46089</v>
      </c>
      <c r="B785" s="1" t="s">
        <v>1454</v>
      </c>
      <c r="C785" s="1" t="s">
        <v>1455</v>
      </c>
      <c r="D785" t="b">
        <f ca="1">IF(A785="","",[1]!s_techanal_rcnthigh(B785,$B$2,1,3))</f>
        <v>0</v>
      </c>
      <c r="E785">
        <f ca="1">IF(A785="","",COUNTIF(D$6:D785,"True"))</f>
        <v>5</v>
      </c>
      <c r="F785" t="str">
        <f t="shared" si="12"/>
        <v>002267.SZ</v>
      </c>
    </row>
    <row r="786" spans="1:6" x14ac:dyDescent="0.15">
      <c r="A786" s="2">
        <v>46089</v>
      </c>
      <c r="B786" s="1" t="s">
        <v>1456</v>
      </c>
      <c r="C786" s="1" t="s">
        <v>1457</v>
      </c>
      <c r="D786" t="b">
        <f ca="1">IF(A786="","",[1]!s_techanal_rcnthigh(B786,$B$2,1,3))</f>
        <v>0</v>
      </c>
      <c r="E786">
        <f ca="1">IF(A786="","",COUNTIF(D$6:D786,"True"))</f>
        <v>5</v>
      </c>
      <c r="F786" t="str">
        <f t="shared" si="12"/>
        <v>002268.SZ</v>
      </c>
    </row>
    <row r="787" spans="1:6" x14ac:dyDescent="0.15">
      <c r="A787" s="2">
        <v>46089</v>
      </c>
      <c r="B787" s="1" t="s">
        <v>1458</v>
      </c>
      <c r="C787" s="1" t="s">
        <v>1459</v>
      </c>
      <c r="D787" t="b">
        <f ca="1">IF(A787="","",[1]!s_techanal_rcnthigh(B787,$B$2,1,3))</f>
        <v>0</v>
      </c>
      <c r="E787">
        <f ca="1">IF(A787="","",COUNTIF(D$6:D787,"True"))</f>
        <v>5</v>
      </c>
      <c r="F787" t="str">
        <f t="shared" si="12"/>
        <v>002269.SZ</v>
      </c>
    </row>
    <row r="788" spans="1:6" x14ac:dyDescent="0.15">
      <c r="A788" s="2">
        <v>46089</v>
      </c>
      <c r="B788" s="1" t="s">
        <v>1460</v>
      </c>
      <c r="C788" s="1" t="s">
        <v>1461</v>
      </c>
      <c r="D788" t="b">
        <f ca="1">IF(A788="","",[1]!s_techanal_rcnthigh(B788,$B$2,1,3))</f>
        <v>1</v>
      </c>
      <c r="E788">
        <f ca="1">IF(A788="","",COUNTIF(D$6:D788,"True"))</f>
        <v>6</v>
      </c>
      <c r="F788" t="str">
        <f t="shared" si="12"/>
        <v>002270.SZ</v>
      </c>
    </row>
    <row r="789" spans="1:6" x14ac:dyDescent="0.15">
      <c r="A789" s="2">
        <v>46089</v>
      </c>
      <c r="B789" s="1" t="s">
        <v>1462</v>
      </c>
      <c r="C789" s="1" t="s">
        <v>1463</v>
      </c>
      <c r="D789" t="b">
        <f ca="1">IF(A789="","",[1]!s_techanal_rcnthigh(B789,$B$2,1,3))</f>
        <v>0</v>
      </c>
      <c r="E789">
        <f ca="1">IF(A789="","",COUNTIF(D$6:D789,"True"))</f>
        <v>6</v>
      </c>
      <c r="F789" t="str">
        <f t="shared" si="12"/>
        <v>002271.SZ</v>
      </c>
    </row>
    <row r="790" spans="1:6" x14ac:dyDescent="0.15">
      <c r="A790" s="2">
        <v>46089</v>
      </c>
      <c r="B790" s="1" t="s">
        <v>1464</v>
      </c>
      <c r="C790" s="1" t="s">
        <v>1465</v>
      </c>
      <c r="D790" t="b">
        <f ca="1">IF(A790="","",[1]!s_techanal_rcnthigh(B790,$B$2,1,3))</f>
        <v>1</v>
      </c>
      <c r="E790">
        <f ca="1">IF(A790="","",COUNTIF(D$6:D790,"True"))</f>
        <v>7</v>
      </c>
      <c r="F790" t="str">
        <f t="shared" si="12"/>
        <v>002272.SZ</v>
      </c>
    </row>
    <row r="791" spans="1:6" x14ac:dyDescent="0.15">
      <c r="A791" s="2">
        <v>46089</v>
      </c>
      <c r="B791" s="1" t="s">
        <v>1466</v>
      </c>
      <c r="C791" s="1" t="s">
        <v>1467</v>
      </c>
      <c r="D791" t="b">
        <f ca="1">IF(A791="","",[1]!s_techanal_rcnthigh(B791,$B$2,1,3))</f>
        <v>0</v>
      </c>
      <c r="E791">
        <f ca="1">IF(A791="","",COUNTIF(D$6:D791,"True"))</f>
        <v>7</v>
      </c>
      <c r="F791" t="str">
        <f t="shared" si="12"/>
        <v>002273.SZ</v>
      </c>
    </row>
    <row r="792" spans="1:6" x14ac:dyDescent="0.15">
      <c r="A792" s="2">
        <v>46089</v>
      </c>
      <c r="B792" s="1" t="s">
        <v>1468</v>
      </c>
      <c r="C792" s="1" t="s">
        <v>1469</v>
      </c>
      <c r="D792" t="b">
        <f ca="1">IF(A792="","",[1]!s_techanal_rcnthigh(B792,$B$2,1,3))</f>
        <v>0</v>
      </c>
      <c r="E792">
        <f ca="1">IF(A792="","",COUNTIF(D$6:D792,"True"))</f>
        <v>7</v>
      </c>
      <c r="F792" t="str">
        <f t="shared" si="12"/>
        <v>002274.SZ</v>
      </c>
    </row>
    <row r="793" spans="1:6" x14ac:dyDescent="0.15">
      <c r="A793" s="2">
        <v>46089</v>
      </c>
      <c r="B793" s="1" t="s">
        <v>1470</v>
      </c>
      <c r="C793" s="1" t="s">
        <v>1471</v>
      </c>
      <c r="D793" t="b">
        <f ca="1">IF(A793="","",[1]!s_techanal_rcnthigh(B793,$B$2,1,3))</f>
        <v>0</v>
      </c>
      <c r="E793">
        <f ca="1">IF(A793="","",COUNTIF(D$6:D793,"True"))</f>
        <v>7</v>
      </c>
      <c r="F793" t="str">
        <f t="shared" si="12"/>
        <v>002275.SZ</v>
      </c>
    </row>
    <row r="794" spans="1:6" x14ac:dyDescent="0.15">
      <c r="A794" s="2">
        <v>46089</v>
      </c>
      <c r="B794" s="1" t="s">
        <v>1472</v>
      </c>
      <c r="C794" s="1" t="s">
        <v>1473</v>
      </c>
      <c r="D794" t="b">
        <f ca="1">IF(A794="","",[1]!s_techanal_rcnthigh(B794,$B$2,1,3))</f>
        <v>0</v>
      </c>
      <c r="E794">
        <f ca="1">IF(A794="","",COUNTIF(D$6:D794,"True"))</f>
        <v>7</v>
      </c>
      <c r="F794" t="str">
        <f t="shared" si="12"/>
        <v>002276.SZ</v>
      </c>
    </row>
    <row r="795" spans="1:6" x14ac:dyDescent="0.15">
      <c r="A795" s="2">
        <v>46089</v>
      </c>
      <c r="B795" s="1" t="s">
        <v>1474</v>
      </c>
      <c r="C795" s="1" t="s">
        <v>1475</v>
      </c>
      <c r="D795" t="b">
        <f ca="1">IF(A795="","",[1]!s_techanal_rcnthigh(B795,$B$2,1,3))</f>
        <v>0</v>
      </c>
      <c r="E795">
        <f ca="1">IF(A795="","",COUNTIF(D$6:D795,"True"))</f>
        <v>7</v>
      </c>
      <c r="F795" t="str">
        <f t="shared" si="12"/>
        <v>002277.SZ</v>
      </c>
    </row>
    <row r="796" spans="1:6" x14ac:dyDescent="0.15">
      <c r="A796" s="2">
        <v>46089</v>
      </c>
      <c r="B796" s="1" t="s">
        <v>1476</v>
      </c>
      <c r="C796" s="1" t="s">
        <v>1477</v>
      </c>
      <c r="D796" t="b">
        <f ca="1">IF(A796="","",[1]!s_techanal_rcnthigh(B796,$B$2,1,3))</f>
        <v>0</v>
      </c>
      <c r="E796">
        <f ca="1">IF(A796="","",COUNTIF(D$6:D796,"True"))</f>
        <v>7</v>
      </c>
      <c r="F796" t="str">
        <f t="shared" si="12"/>
        <v>002278.SZ</v>
      </c>
    </row>
    <row r="797" spans="1:6" x14ac:dyDescent="0.15">
      <c r="A797" s="2">
        <v>46089</v>
      </c>
      <c r="B797" s="1" t="s">
        <v>1478</v>
      </c>
      <c r="C797" s="1" t="s">
        <v>1479</v>
      </c>
      <c r="D797" t="b">
        <f ca="1">IF(A797="","",[1]!s_techanal_rcnthigh(B797,$B$2,1,3))</f>
        <v>0</v>
      </c>
      <c r="E797">
        <f ca="1">IF(A797="","",COUNTIF(D$6:D797,"True"))</f>
        <v>7</v>
      </c>
      <c r="F797" t="str">
        <f t="shared" si="12"/>
        <v>002279.SZ</v>
      </c>
    </row>
    <row r="798" spans="1:6" x14ac:dyDescent="0.15">
      <c r="A798" s="2">
        <v>46089</v>
      </c>
      <c r="B798" s="1" t="s">
        <v>1480</v>
      </c>
      <c r="C798" s="1" t="s">
        <v>1481</v>
      </c>
      <c r="D798" t="b">
        <f ca="1">IF(A798="","",[1]!s_techanal_rcnthigh(B798,$B$2,1,3))</f>
        <v>1</v>
      </c>
      <c r="E798">
        <f ca="1">IF(A798="","",COUNTIF(D$6:D798,"True"))</f>
        <v>8</v>
      </c>
      <c r="F798" t="str">
        <f t="shared" si="12"/>
        <v>002281.SZ</v>
      </c>
    </row>
    <row r="799" spans="1:6" x14ac:dyDescent="0.15">
      <c r="A799" s="2">
        <v>46089</v>
      </c>
      <c r="B799" s="1" t="s">
        <v>1482</v>
      </c>
      <c r="C799" s="1" t="s">
        <v>1483</v>
      </c>
      <c r="D799" t="b">
        <f ca="1">IF(A799="","",[1]!s_techanal_rcnthigh(B799,$B$2,1,3))</f>
        <v>0</v>
      </c>
      <c r="E799">
        <f ca="1">IF(A799="","",COUNTIF(D$6:D799,"True"))</f>
        <v>8</v>
      </c>
      <c r="F799" t="str">
        <f t="shared" si="12"/>
        <v>002282.SZ</v>
      </c>
    </row>
    <row r="800" spans="1:6" x14ac:dyDescent="0.15">
      <c r="A800" s="2">
        <v>46089</v>
      </c>
      <c r="B800" s="1" t="s">
        <v>1484</v>
      </c>
      <c r="C800" s="1" t="s">
        <v>1485</v>
      </c>
      <c r="D800" t="b">
        <f ca="1">IF(A800="","",[1]!s_techanal_rcnthigh(B800,$B$2,1,3))</f>
        <v>0</v>
      </c>
      <c r="E800">
        <f ca="1">IF(A800="","",COUNTIF(D$6:D800,"True"))</f>
        <v>8</v>
      </c>
      <c r="F800" t="str">
        <f t="shared" si="12"/>
        <v>002283.SZ</v>
      </c>
    </row>
    <row r="801" spans="1:6" x14ac:dyDescent="0.15">
      <c r="A801" s="2">
        <v>46089</v>
      </c>
      <c r="B801" s="1" t="s">
        <v>1486</v>
      </c>
      <c r="C801" s="1" t="s">
        <v>1487</v>
      </c>
      <c r="D801" t="b">
        <f ca="1">IF(A801="","",[1]!s_techanal_rcnthigh(B801,$B$2,1,3))</f>
        <v>0</v>
      </c>
      <c r="E801">
        <f ca="1">IF(A801="","",COUNTIF(D$6:D801,"True"))</f>
        <v>8</v>
      </c>
      <c r="F801" t="str">
        <f t="shared" si="12"/>
        <v>002284.SZ</v>
      </c>
    </row>
    <row r="802" spans="1:6" x14ac:dyDescent="0.15">
      <c r="A802" s="2">
        <v>46089</v>
      </c>
      <c r="B802" s="1" t="s">
        <v>1488</v>
      </c>
      <c r="C802" s="1" t="s">
        <v>1489</v>
      </c>
      <c r="D802" t="b">
        <f ca="1">IF(A802="","",[1]!s_techanal_rcnthigh(B802,$B$2,1,3))</f>
        <v>0</v>
      </c>
      <c r="E802">
        <f ca="1">IF(A802="","",COUNTIF(D$6:D802,"True"))</f>
        <v>8</v>
      </c>
      <c r="F802" t="str">
        <f t="shared" si="12"/>
        <v>002285.SZ</v>
      </c>
    </row>
    <row r="803" spans="1:6" x14ac:dyDescent="0.15">
      <c r="A803" s="2">
        <v>46089</v>
      </c>
      <c r="B803" s="1" t="s">
        <v>1490</v>
      </c>
      <c r="C803" s="1" t="s">
        <v>1491</v>
      </c>
      <c r="D803" t="b">
        <f ca="1">IF(A803="","",[1]!s_techanal_rcnthigh(B803,$B$2,1,3))</f>
        <v>0</v>
      </c>
      <c r="E803">
        <f ca="1">IF(A803="","",COUNTIF(D$6:D803,"True"))</f>
        <v>8</v>
      </c>
      <c r="F803" t="str">
        <f t="shared" si="12"/>
        <v>002286.SZ</v>
      </c>
    </row>
    <row r="804" spans="1:6" x14ac:dyDescent="0.15">
      <c r="A804" s="2">
        <v>46089</v>
      </c>
      <c r="B804" s="1" t="s">
        <v>1492</v>
      </c>
      <c r="C804" s="1" t="s">
        <v>1493</v>
      </c>
      <c r="D804" t="b">
        <f ca="1">IF(A804="","",[1]!s_techanal_rcnthigh(B804,$B$2,1,3))</f>
        <v>0</v>
      </c>
      <c r="E804">
        <f ca="1">IF(A804="","",COUNTIF(D$6:D804,"True"))</f>
        <v>8</v>
      </c>
      <c r="F804" t="str">
        <f t="shared" si="12"/>
        <v>002287.SZ</v>
      </c>
    </row>
    <row r="805" spans="1:6" x14ac:dyDescent="0.15">
      <c r="A805" s="2">
        <v>46089</v>
      </c>
      <c r="B805" s="1" t="s">
        <v>1494</v>
      </c>
      <c r="C805" s="1" t="s">
        <v>10128</v>
      </c>
      <c r="D805" t="b">
        <f ca="1">IF(A805="","",[1]!s_techanal_rcnthigh(B805,$B$2,1,3))</f>
        <v>0</v>
      </c>
      <c r="E805">
        <f ca="1">IF(A805="","",COUNTIF(D$6:D805,"True"))</f>
        <v>8</v>
      </c>
      <c r="F805" t="str">
        <f t="shared" si="12"/>
        <v>002289.SZ</v>
      </c>
    </row>
    <row r="806" spans="1:6" x14ac:dyDescent="0.15">
      <c r="A806" s="2">
        <v>46089</v>
      </c>
      <c r="B806" s="1" t="s">
        <v>1495</v>
      </c>
      <c r="C806" s="1" t="s">
        <v>1496</v>
      </c>
      <c r="D806" t="b">
        <f ca="1">IF(A806="","",[1]!s_techanal_rcnthigh(B806,$B$2,1,3))</f>
        <v>0</v>
      </c>
      <c r="E806">
        <f ca="1">IF(A806="","",COUNTIF(D$6:D806,"True"))</f>
        <v>8</v>
      </c>
      <c r="F806" t="str">
        <f t="shared" si="12"/>
        <v>002290.SZ</v>
      </c>
    </row>
    <row r="807" spans="1:6" x14ac:dyDescent="0.15">
      <c r="A807" s="2">
        <v>46089</v>
      </c>
      <c r="B807" s="1" t="s">
        <v>1497</v>
      </c>
      <c r="C807" s="1" t="s">
        <v>1498</v>
      </c>
      <c r="D807" t="b">
        <f ca="1">IF(A807="","",[1]!s_techanal_rcnthigh(B807,$B$2,1,3))</f>
        <v>0</v>
      </c>
      <c r="E807">
        <f ca="1">IF(A807="","",COUNTIF(D$6:D807,"True"))</f>
        <v>8</v>
      </c>
      <c r="F807" t="str">
        <f t="shared" si="12"/>
        <v>002291.SZ</v>
      </c>
    </row>
    <row r="808" spans="1:6" x14ac:dyDescent="0.15">
      <c r="A808" s="2">
        <v>46089</v>
      </c>
      <c r="B808" s="1" t="s">
        <v>1499</v>
      </c>
      <c r="C808" s="1" t="s">
        <v>1500</v>
      </c>
      <c r="D808" t="b">
        <f ca="1">IF(A808="","",[1]!s_techanal_rcnthigh(B808,$B$2,1,3))</f>
        <v>0</v>
      </c>
      <c r="E808">
        <f ca="1">IF(A808="","",COUNTIF(D$6:D808,"True"))</f>
        <v>8</v>
      </c>
      <c r="F808" t="str">
        <f t="shared" si="12"/>
        <v>002292.SZ</v>
      </c>
    </row>
    <row r="809" spans="1:6" x14ac:dyDescent="0.15">
      <c r="A809" s="2">
        <v>46089</v>
      </c>
      <c r="B809" s="1" t="s">
        <v>1501</v>
      </c>
      <c r="C809" s="1" t="s">
        <v>1502</v>
      </c>
      <c r="D809" t="b">
        <f ca="1">IF(A809="","",[1]!s_techanal_rcnthigh(B809,$B$2,1,3))</f>
        <v>0</v>
      </c>
      <c r="E809">
        <f ca="1">IF(A809="","",COUNTIF(D$6:D809,"True"))</f>
        <v>8</v>
      </c>
      <c r="F809" t="str">
        <f t="shared" si="12"/>
        <v>002293.SZ</v>
      </c>
    </row>
    <row r="810" spans="1:6" x14ac:dyDescent="0.15">
      <c r="A810" s="2">
        <v>46089</v>
      </c>
      <c r="B810" s="1" t="s">
        <v>1503</v>
      </c>
      <c r="C810" s="1" t="s">
        <v>1504</v>
      </c>
      <c r="D810" t="b">
        <f ca="1">IF(A810="","",[1]!s_techanal_rcnthigh(B810,$B$2,1,3))</f>
        <v>0</v>
      </c>
      <c r="E810">
        <f ca="1">IF(A810="","",COUNTIF(D$6:D810,"True"))</f>
        <v>8</v>
      </c>
      <c r="F810" t="str">
        <f t="shared" si="12"/>
        <v>002294.SZ</v>
      </c>
    </row>
    <row r="811" spans="1:6" x14ac:dyDescent="0.15">
      <c r="A811" s="2">
        <v>46089</v>
      </c>
      <c r="B811" s="1" t="s">
        <v>1505</v>
      </c>
      <c r="C811" s="1" t="s">
        <v>1506</v>
      </c>
      <c r="D811" t="b">
        <f ca="1">IF(A811="","",[1]!s_techanal_rcnthigh(B811,$B$2,1,3))</f>
        <v>0</v>
      </c>
      <c r="E811">
        <f ca="1">IF(A811="","",COUNTIF(D$6:D811,"True"))</f>
        <v>8</v>
      </c>
      <c r="F811" t="str">
        <f t="shared" si="12"/>
        <v>002295.SZ</v>
      </c>
    </row>
    <row r="812" spans="1:6" x14ac:dyDescent="0.15">
      <c r="A812" s="2">
        <v>46089</v>
      </c>
      <c r="B812" s="1" t="s">
        <v>1507</v>
      </c>
      <c r="C812" s="1" t="s">
        <v>1508</v>
      </c>
      <c r="D812" t="b">
        <f ca="1">IF(A812="","",[1]!s_techanal_rcnthigh(B812,$B$2,1,3))</f>
        <v>0</v>
      </c>
      <c r="E812">
        <f ca="1">IF(A812="","",COUNTIF(D$6:D812,"True"))</f>
        <v>8</v>
      </c>
      <c r="F812" t="str">
        <f t="shared" si="12"/>
        <v>002296.SZ</v>
      </c>
    </row>
    <row r="813" spans="1:6" x14ac:dyDescent="0.15">
      <c r="A813" s="2">
        <v>46089</v>
      </c>
      <c r="B813" s="1" t="s">
        <v>1509</v>
      </c>
      <c r="C813" s="1" t="s">
        <v>1510</v>
      </c>
      <c r="D813" t="b">
        <f ca="1">IF(A813="","",[1]!s_techanal_rcnthigh(B813,$B$2,1,3))</f>
        <v>0</v>
      </c>
      <c r="E813">
        <f ca="1">IF(A813="","",COUNTIF(D$6:D813,"True"))</f>
        <v>8</v>
      </c>
      <c r="F813" t="str">
        <f t="shared" si="12"/>
        <v>002297.SZ</v>
      </c>
    </row>
    <row r="814" spans="1:6" x14ac:dyDescent="0.15">
      <c r="A814" s="2">
        <v>46089</v>
      </c>
      <c r="B814" s="1" t="s">
        <v>1511</v>
      </c>
      <c r="C814" s="1" t="s">
        <v>10129</v>
      </c>
      <c r="D814" t="b">
        <f ca="1">IF(A814="","",[1]!s_techanal_rcnthigh(B814,$B$2,1,3))</f>
        <v>0</v>
      </c>
      <c r="E814">
        <f ca="1">IF(A814="","",COUNTIF(D$6:D814,"True"))</f>
        <v>8</v>
      </c>
      <c r="F814" t="str">
        <f t="shared" si="12"/>
        <v>002298.SZ</v>
      </c>
    </row>
    <row r="815" spans="1:6" x14ac:dyDescent="0.15">
      <c r="A815" s="2">
        <v>46089</v>
      </c>
      <c r="B815" s="1" t="s">
        <v>1512</v>
      </c>
      <c r="C815" s="1" t="s">
        <v>1513</v>
      </c>
      <c r="D815" t="b">
        <f ca="1">IF(A815="","",[1]!s_techanal_rcnthigh(B815,$B$2,1,3))</f>
        <v>0</v>
      </c>
      <c r="E815">
        <f ca="1">IF(A815="","",COUNTIF(D$6:D815,"True"))</f>
        <v>8</v>
      </c>
      <c r="F815" t="str">
        <f t="shared" si="12"/>
        <v>002299.SZ</v>
      </c>
    </row>
    <row r="816" spans="1:6" x14ac:dyDescent="0.15">
      <c r="A816" s="2">
        <v>46089</v>
      </c>
      <c r="B816" s="1" t="s">
        <v>1514</v>
      </c>
      <c r="C816" s="1" t="s">
        <v>1515</v>
      </c>
      <c r="D816" t="b">
        <f ca="1">IF(A816="","",[1]!s_techanal_rcnthigh(B816,$B$2,1,3))</f>
        <v>0</v>
      </c>
      <c r="E816">
        <f ca="1">IF(A816="","",COUNTIF(D$6:D816,"True"))</f>
        <v>8</v>
      </c>
      <c r="F816" t="str">
        <f t="shared" si="12"/>
        <v>002300.SZ</v>
      </c>
    </row>
    <row r="817" spans="1:6" x14ac:dyDescent="0.15">
      <c r="A817" s="2">
        <v>46089</v>
      </c>
      <c r="B817" s="1" t="s">
        <v>1516</v>
      </c>
      <c r="C817" s="1" t="s">
        <v>1517</v>
      </c>
      <c r="D817" t="b">
        <f ca="1">IF(A817="","",[1]!s_techanal_rcnthigh(B817,$B$2,1,3))</f>
        <v>0</v>
      </c>
      <c r="E817">
        <f ca="1">IF(A817="","",COUNTIF(D$6:D817,"True"))</f>
        <v>8</v>
      </c>
      <c r="F817" t="str">
        <f t="shared" si="12"/>
        <v>002301.SZ</v>
      </c>
    </row>
    <row r="818" spans="1:6" x14ac:dyDescent="0.15">
      <c r="A818" s="2">
        <v>46089</v>
      </c>
      <c r="B818" s="1" t="s">
        <v>1518</v>
      </c>
      <c r="C818" s="1" t="s">
        <v>1519</v>
      </c>
      <c r="D818" t="b">
        <f ca="1">IF(A818="","",[1]!s_techanal_rcnthigh(B818,$B$2,1,3))</f>
        <v>0</v>
      </c>
      <c r="E818">
        <f ca="1">IF(A818="","",COUNTIF(D$6:D818,"True"))</f>
        <v>8</v>
      </c>
      <c r="F818" t="str">
        <f t="shared" si="12"/>
        <v>002302.SZ</v>
      </c>
    </row>
    <row r="819" spans="1:6" x14ac:dyDescent="0.15">
      <c r="A819" s="2">
        <v>46089</v>
      </c>
      <c r="B819" s="1" t="s">
        <v>1520</v>
      </c>
      <c r="C819" s="1" t="s">
        <v>1521</v>
      </c>
      <c r="D819" t="b">
        <f ca="1">IF(A819="","",[1]!s_techanal_rcnthigh(B819,$B$2,1,3))</f>
        <v>0</v>
      </c>
      <c r="E819">
        <f ca="1">IF(A819="","",COUNTIF(D$6:D819,"True"))</f>
        <v>8</v>
      </c>
      <c r="F819" t="str">
        <f t="shared" si="12"/>
        <v>002303.SZ</v>
      </c>
    </row>
    <row r="820" spans="1:6" x14ac:dyDescent="0.15">
      <c r="A820" s="2">
        <v>46089</v>
      </c>
      <c r="B820" s="1" t="s">
        <v>1522</v>
      </c>
      <c r="C820" s="1" t="s">
        <v>1523</v>
      </c>
      <c r="D820" t="b">
        <f ca="1">IF(A820="","",[1]!s_techanal_rcnthigh(B820,$B$2,1,3))</f>
        <v>0</v>
      </c>
      <c r="E820">
        <f ca="1">IF(A820="","",COUNTIF(D$6:D820,"True"))</f>
        <v>8</v>
      </c>
      <c r="F820" t="str">
        <f t="shared" si="12"/>
        <v>002304.SZ</v>
      </c>
    </row>
    <row r="821" spans="1:6" x14ac:dyDescent="0.15">
      <c r="A821" s="2">
        <v>46089</v>
      </c>
      <c r="B821" s="1" t="s">
        <v>1524</v>
      </c>
      <c r="C821" s="1" t="s">
        <v>10130</v>
      </c>
      <c r="D821" t="b">
        <f ca="1">IF(A821="","",[1]!s_techanal_rcnthigh(B821,$B$2,1,3))</f>
        <v>0</v>
      </c>
      <c r="E821">
        <f ca="1">IF(A821="","",COUNTIF(D$6:D821,"True"))</f>
        <v>8</v>
      </c>
      <c r="F821" t="str">
        <f t="shared" si="12"/>
        <v>002305.SZ</v>
      </c>
    </row>
    <row r="822" spans="1:6" x14ac:dyDescent="0.15">
      <c r="A822" s="2">
        <v>46089</v>
      </c>
      <c r="B822" s="1" t="s">
        <v>1525</v>
      </c>
      <c r="C822" s="1" t="s">
        <v>10131</v>
      </c>
      <c r="D822" t="b">
        <f ca="1">IF(A822="","",[1]!s_techanal_rcnthigh(B822,$B$2,1,3))</f>
        <v>0</v>
      </c>
      <c r="E822">
        <f ca="1">IF(A822="","",COUNTIF(D$6:D822,"True"))</f>
        <v>8</v>
      </c>
      <c r="F822" t="str">
        <f t="shared" si="12"/>
        <v>002306.SZ</v>
      </c>
    </row>
    <row r="823" spans="1:6" x14ac:dyDescent="0.15">
      <c r="A823" s="2">
        <v>46089</v>
      </c>
      <c r="B823" s="1" t="s">
        <v>1526</v>
      </c>
      <c r="C823" s="1" t="s">
        <v>1527</v>
      </c>
      <c r="D823" t="b">
        <f ca="1">IF(A823="","",[1]!s_techanal_rcnthigh(B823,$B$2,1,3))</f>
        <v>0</v>
      </c>
      <c r="E823">
        <f ca="1">IF(A823="","",COUNTIF(D$6:D823,"True"))</f>
        <v>8</v>
      </c>
      <c r="F823" t="str">
        <f t="shared" si="12"/>
        <v>002307.SZ</v>
      </c>
    </row>
    <row r="824" spans="1:6" x14ac:dyDescent="0.15">
      <c r="A824" s="2">
        <v>46089</v>
      </c>
      <c r="B824" s="1" t="s">
        <v>1528</v>
      </c>
      <c r="C824" s="1" t="s">
        <v>10132</v>
      </c>
      <c r="D824" t="b">
        <f ca="1">IF(A824="","",[1]!s_techanal_rcnthigh(B824,$B$2,1,3))</f>
        <v>0</v>
      </c>
      <c r="E824">
        <f ca="1">IF(A824="","",COUNTIF(D$6:D824,"True"))</f>
        <v>8</v>
      </c>
      <c r="F824" t="str">
        <f t="shared" si="12"/>
        <v>002309.SZ</v>
      </c>
    </row>
    <row r="825" spans="1:6" x14ac:dyDescent="0.15">
      <c r="A825" s="2">
        <v>46089</v>
      </c>
      <c r="B825" s="1" t="s">
        <v>1529</v>
      </c>
      <c r="C825" s="1" t="s">
        <v>10133</v>
      </c>
      <c r="D825" t="b">
        <f ca="1">IF(A825="","",[1]!s_techanal_rcnthigh(B825,$B$2,1,3))</f>
        <v>0</v>
      </c>
      <c r="E825">
        <f ca="1">IF(A825="","",COUNTIF(D$6:D825,"True"))</f>
        <v>8</v>
      </c>
      <c r="F825" t="str">
        <f t="shared" si="12"/>
        <v>002310.SZ</v>
      </c>
    </row>
    <row r="826" spans="1:6" x14ac:dyDescent="0.15">
      <c r="A826" s="2">
        <v>46089</v>
      </c>
      <c r="B826" s="1" t="s">
        <v>1530</v>
      </c>
      <c r="C826" s="1" t="s">
        <v>1531</v>
      </c>
      <c r="D826" t="b">
        <f ca="1">IF(A826="","",[1]!s_techanal_rcnthigh(B826,$B$2,1,3))</f>
        <v>0</v>
      </c>
      <c r="E826">
        <f ca="1">IF(A826="","",COUNTIF(D$6:D826,"True"))</f>
        <v>8</v>
      </c>
      <c r="F826" t="str">
        <f t="shared" si="12"/>
        <v>002311.SZ</v>
      </c>
    </row>
    <row r="827" spans="1:6" x14ac:dyDescent="0.15">
      <c r="A827" s="2">
        <v>46089</v>
      </c>
      <c r="B827" s="1" t="s">
        <v>1532</v>
      </c>
      <c r="C827" s="1" t="s">
        <v>1533</v>
      </c>
      <c r="D827" t="b">
        <f ca="1">IF(A827="","",[1]!s_techanal_rcnthigh(B827,$B$2,1,3))</f>
        <v>0</v>
      </c>
      <c r="E827">
        <f ca="1">IF(A827="","",COUNTIF(D$6:D827,"True"))</f>
        <v>8</v>
      </c>
      <c r="F827" t="str">
        <f t="shared" si="12"/>
        <v>002312.SZ</v>
      </c>
    </row>
    <row r="828" spans="1:6" x14ac:dyDescent="0.15">
      <c r="A828" s="2">
        <v>46089</v>
      </c>
      <c r="B828" s="1" t="s">
        <v>1534</v>
      </c>
      <c r="C828" s="1" t="s">
        <v>1535</v>
      </c>
      <c r="D828" t="b">
        <f ca="1">IF(A828="","",[1]!s_techanal_rcnthigh(B828,$B$2,1,3))</f>
        <v>0</v>
      </c>
      <c r="E828">
        <f ca="1">IF(A828="","",COUNTIF(D$6:D828,"True"))</f>
        <v>8</v>
      </c>
      <c r="F828" t="str">
        <f t="shared" si="12"/>
        <v>002313.SZ</v>
      </c>
    </row>
    <row r="829" spans="1:6" x14ac:dyDescent="0.15">
      <c r="A829" s="2">
        <v>46089</v>
      </c>
      <c r="B829" s="1" t="s">
        <v>1536</v>
      </c>
      <c r="C829" s="1" t="s">
        <v>1537</v>
      </c>
      <c r="D829" t="b">
        <f ca="1">IF(A829="","",[1]!s_techanal_rcnthigh(B829,$B$2,1,3))</f>
        <v>0</v>
      </c>
      <c r="E829">
        <f ca="1">IF(A829="","",COUNTIF(D$6:D829,"True"))</f>
        <v>8</v>
      </c>
      <c r="F829" t="str">
        <f t="shared" si="12"/>
        <v>002314.SZ</v>
      </c>
    </row>
    <row r="830" spans="1:6" x14ac:dyDescent="0.15">
      <c r="A830" s="2">
        <v>46089</v>
      </c>
      <c r="B830" s="1" t="s">
        <v>1538</v>
      </c>
      <c r="C830" s="1" t="s">
        <v>1539</v>
      </c>
      <c r="D830" t="b">
        <f ca="1">IF(A830="","",[1]!s_techanal_rcnthigh(B830,$B$2,1,3))</f>
        <v>0</v>
      </c>
      <c r="E830">
        <f ca="1">IF(A830="","",COUNTIF(D$6:D830,"True"))</f>
        <v>8</v>
      </c>
      <c r="F830" t="str">
        <f t="shared" si="12"/>
        <v>002315.SZ</v>
      </c>
    </row>
    <row r="831" spans="1:6" x14ac:dyDescent="0.15">
      <c r="A831" s="2">
        <v>46089</v>
      </c>
      <c r="B831" s="1" t="s">
        <v>1540</v>
      </c>
      <c r="C831" s="1" t="s">
        <v>1541</v>
      </c>
      <c r="D831" t="b">
        <f ca="1">IF(A831="","",[1]!s_techanal_rcnthigh(B831,$B$2,1,3))</f>
        <v>0</v>
      </c>
      <c r="E831">
        <f ca="1">IF(A831="","",COUNTIF(D$6:D831,"True"))</f>
        <v>8</v>
      </c>
      <c r="F831" t="str">
        <f t="shared" si="12"/>
        <v>002316.SZ</v>
      </c>
    </row>
    <row r="832" spans="1:6" x14ac:dyDescent="0.15">
      <c r="A832" s="2">
        <v>46089</v>
      </c>
      <c r="B832" s="1" t="s">
        <v>1542</v>
      </c>
      <c r="C832" s="1" t="s">
        <v>1543</v>
      </c>
      <c r="D832" t="b">
        <f ca="1">IF(A832="","",[1]!s_techanal_rcnthigh(B832,$B$2,1,3))</f>
        <v>0</v>
      </c>
      <c r="E832">
        <f ca="1">IF(A832="","",COUNTIF(D$6:D832,"True"))</f>
        <v>8</v>
      </c>
      <c r="F832" t="str">
        <f t="shared" si="12"/>
        <v>002317.SZ</v>
      </c>
    </row>
    <row r="833" spans="1:6" x14ac:dyDescent="0.15">
      <c r="A833" s="2">
        <v>46089</v>
      </c>
      <c r="B833" s="1" t="s">
        <v>1544</v>
      </c>
      <c r="C833" s="1" t="s">
        <v>1545</v>
      </c>
      <c r="D833" t="b">
        <f ca="1">IF(A833="","",[1]!s_techanal_rcnthigh(B833,$B$2,1,3))</f>
        <v>0</v>
      </c>
      <c r="E833">
        <f ca="1">IF(A833="","",COUNTIF(D$6:D833,"True"))</f>
        <v>8</v>
      </c>
      <c r="F833" t="str">
        <f t="shared" si="12"/>
        <v>002318.SZ</v>
      </c>
    </row>
    <row r="834" spans="1:6" x14ac:dyDescent="0.15">
      <c r="A834" s="2">
        <v>46089</v>
      </c>
      <c r="B834" s="1" t="s">
        <v>1546</v>
      </c>
      <c r="C834" s="1" t="s">
        <v>1547</v>
      </c>
      <c r="D834" t="b">
        <f ca="1">IF(A834="","",[1]!s_techanal_rcnthigh(B834,$B$2,1,3))</f>
        <v>0</v>
      </c>
      <c r="E834">
        <f ca="1">IF(A834="","",COUNTIF(D$6:D834,"True"))</f>
        <v>8</v>
      </c>
      <c r="F834" t="str">
        <f t="shared" si="12"/>
        <v>002319.SZ</v>
      </c>
    </row>
    <row r="835" spans="1:6" x14ac:dyDescent="0.15">
      <c r="A835" s="2">
        <v>46089</v>
      </c>
      <c r="B835" s="1" t="s">
        <v>1548</v>
      </c>
      <c r="C835" s="1" t="s">
        <v>1549</v>
      </c>
      <c r="D835" t="b">
        <f ca="1">IF(A835="","",[1]!s_techanal_rcnthigh(B835,$B$2,1,3))</f>
        <v>0</v>
      </c>
      <c r="E835">
        <f ca="1">IF(A835="","",COUNTIF(D$6:D835,"True"))</f>
        <v>8</v>
      </c>
      <c r="F835" t="str">
        <f t="shared" si="12"/>
        <v>002320.SZ</v>
      </c>
    </row>
    <row r="836" spans="1:6" x14ac:dyDescent="0.15">
      <c r="A836" s="2">
        <v>46089</v>
      </c>
      <c r="B836" s="1" t="s">
        <v>1550</v>
      </c>
      <c r="C836" s="1" t="s">
        <v>1551</v>
      </c>
      <c r="D836" t="b">
        <f ca="1">IF(A836="","",[1]!s_techanal_rcnthigh(B836,$B$2,1,3))</f>
        <v>0</v>
      </c>
      <c r="E836">
        <f ca="1">IF(A836="","",COUNTIF(D$6:D836,"True"))</f>
        <v>8</v>
      </c>
      <c r="F836" t="str">
        <f t="shared" si="12"/>
        <v>002321.SZ</v>
      </c>
    </row>
    <row r="837" spans="1:6" x14ac:dyDescent="0.15">
      <c r="A837" s="2">
        <v>46089</v>
      </c>
      <c r="B837" s="1" t="s">
        <v>1552</v>
      </c>
      <c r="C837" s="1" t="s">
        <v>1553</v>
      </c>
      <c r="D837" t="b">
        <f ca="1">IF(A837="","",[1]!s_techanal_rcnthigh(B837,$B$2,1,3))</f>
        <v>0</v>
      </c>
      <c r="E837">
        <f ca="1">IF(A837="","",COUNTIF(D$6:D837,"True"))</f>
        <v>8</v>
      </c>
      <c r="F837" t="str">
        <f t="shared" si="12"/>
        <v>002322.SZ</v>
      </c>
    </row>
    <row r="838" spans="1:6" x14ac:dyDescent="0.15">
      <c r="A838" s="2">
        <v>46089</v>
      </c>
      <c r="B838" s="1" t="s">
        <v>1554</v>
      </c>
      <c r="C838" s="1" t="s">
        <v>1555</v>
      </c>
      <c r="D838" t="b">
        <f ca="1">IF(A838="","",[1]!s_techanal_rcnthigh(B838,$B$2,1,3))</f>
        <v>0</v>
      </c>
      <c r="E838">
        <f ca="1">IF(A838="","",COUNTIF(D$6:D838,"True"))</f>
        <v>8</v>
      </c>
      <c r="F838" t="str">
        <f t="shared" ref="F838:F901" si="13">IF(B838="","",B838)</f>
        <v>002323.SZ</v>
      </c>
    </row>
    <row r="839" spans="1:6" x14ac:dyDescent="0.15">
      <c r="A839" s="2">
        <v>46089</v>
      </c>
      <c r="B839" s="1" t="s">
        <v>1556</v>
      </c>
      <c r="C839" s="1" t="s">
        <v>1557</v>
      </c>
      <c r="D839" t="b">
        <f ca="1">IF(A839="","",[1]!s_techanal_rcnthigh(B839,$B$2,1,3))</f>
        <v>0</v>
      </c>
      <c r="E839">
        <f ca="1">IF(A839="","",COUNTIF(D$6:D839,"True"))</f>
        <v>8</v>
      </c>
      <c r="F839" t="str">
        <f t="shared" si="13"/>
        <v>002324.SZ</v>
      </c>
    </row>
    <row r="840" spans="1:6" x14ac:dyDescent="0.15">
      <c r="A840" s="2">
        <v>46089</v>
      </c>
      <c r="B840" s="1" t="s">
        <v>1558</v>
      </c>
      <c r="C840" s="1" t="s">
        <v>1559</v>
      </c>
      <c r="D840" t="b">
        <f ca="1">IF(A840="","",[1]!s_techanal_rcnthigh(B840,$B$2,1,3))</f>
        <v>0</v>
      </c>
      <c r="E840">
        <f ca="1">IF(A840="","",COUNTIF(D$6:D840,"True"))</f>
        <v>8</v>
      </c>
      <c r="F840" t="str">
        <f t="shared" si="13"/>
        <v>002326.SZ</v>
      </c>
    </row>
    <row r="841" spans="1:6" x14ac:dyDescent="0.15">
      <c r="A841" s="2">
        <v>46089</v>
      </c>
      <c r="B841" s="1" t="s">
        <v>1560</v>
      </c>
      <c r="C841" s="1" t="s">
        <v>1561</v>
      </c>
      <c r="D841" t="b">
        <f ca="1">IF(A841="","",[1]!s_techanal_rcnthigh(B841,$B$2,1,3))</f>
        <v>0</v>
      </c>
      <c r="E841">
        <f ca="1">IF(A841="","",COUNTIF(D$6:D841,"True"))</f>
        <v>8</v>
      </c>
      <c r="F841" t="str">
        <f t="shared" si="13"/>
        <v>002327.SZ</v>
      </c>
    </row>
    <row r="842" spans="1:6" x14ac:dyDescent="0.15">
      <c r="A842" s="2">
        <v>46089</v>
      </c>
      <c r="B842" s="1" t="s">
        <v>1562</v>
      </c>
      <c r="C842" s="1" t="s">
        <v>1563</v>
      </c>
      <c r="D842" t="b">
        <f ca="1">IF(A842="","",[1]!s_techanal_rcnthigh(B842,$B$2,1,3))</f>
        <v>0</v>
      </c>
      <c r="E842">
        <f ca="1">IF(A842="","",COUNTIF(D$6:D842,"True"))</f>
        <v>8</v>
      </c>
      <c r="F842" t="str">
        <f t="shared" si="13"/>
        <v>002328.SZ</v>
      </c>
    </row>
    <row r="843" spans="1:6" x14ac:dyDescent="0.15">
      <c r="A843" s="2">
        <v>46089</v>
      </c>
      <c r="B843" s="1" t="s">
        <v>1564</v>
      </c>
      <c r="C843" s="1" t="s">
        <v>1565</v>
      </c>
      <c r="D843" t="b">
        <f ca="1">IF(A843="","",[1]!s_techanal_rcnthigh(B843,$B$2,1,3))</f>
        <v>0</v>
      </c>
      <c r="E843">
        <f ca="1">IF(A843="","",COUNTIF(D$6:D843,"True"))</f>
        <v>8</v>
      </c>
      <c r="F843" t="str">
        <f t="shared" si="13"/>
        <v>002329.SZ</v>
      </c>
    </row>
    <row r="844" spans="1:6" x14ac:dyDescent="0.15">
      <c r="A844" s="2">
        <v>46089</v>
      </c>
      <c r="B844" s="1" t="s">
        <v>1566</v>
      </c>
      <c r="C844" s="1" t="s">
        <v>1567</v>
      </c>
      <c r="D844" t="b">
        <f ca="1">IF(A844="","",[1]!s_techanal_rcnthigh(B844,$B$2,1,3))</f>
        <v>0</v>
      </c>
      <c r="E844">
        <f ca="1">IF(A844="","",COUNTIF(D$6:D844,"True"))</f>
        <v>8</v>
      </c>
      <c r="F844" t="str">
        <f t="shared" si="13"/>
        <v>002330.SZ</v>
      </c>
    </row>
    <row r="845" spans="1:6" x14ac:dyDescent="0.15">
      <c r="A845" s="2">
        <v>46089</v>
      </c>
      <c r="B845" s="1" t="s">
        <v>1568</v>
      </c>
      <c r="C845" s="1" t="s">
        <v>1569</v>
      </c>
      <c r="D845" t="b">
        <f ca="1">IF(A845="","",[1]!s_techanal_rcnthigh(B845,$B$2,1,3))</f>
        <v>0</v>
      </c>
      <c r="E845">
        <f ca="1">IF(A845="","",COUNTIF(D$6:D845,"True"))</f>
        <v>8</v>
      </c>
      <c r="F845" t="str">
        <f t="shared" si="13"/>
        <v>002331.SZ</v>
      </c>
    </row>
    <row r="846" spans="1:6" x14ac:dyDescent="0.15">
      <c r="A846" s="2">
        <v>46089</v>
      </c>
      <c r="B846" s="1" t="s">
        <v>1570</v>
      </c>
      <c r="C846" s="1" t="s">
        <v>1571</v>
      </c>
      <c r="D846" t="b">
        <f ca="1">IF(A846="","",[1]!s_techanal_rcnthigh(B846,$B$2,1,3))</f>
        <v>0</v>
      </c>
      <c r="E846">
        <f ca="1">IF(A846="","",COUNTIF(D$6:D846,"True"))</f>
        <v>8</v>
      </c>
      <c r="F846" t="str">
        <f t="shared" si="13"/>
        <v>002332.SZ</v>
      </c>
    </row>
    <row r="847" spans="1:6" x14ac:dyDescent="0.15">
      <c r="A847" s="2">
        <v>46089</v>
      </c>
      <c r="B847" s="1" t="s">
        <v>1572</v>
      </c>
      <c r="C847" s="1" t="s">
        <v>1573</v>
      </c>
      <c r="D847" t="b">
        <f ca="1">IF(A847="","",[1]!s_techanal_rcnthigh(B847,$B$2,1,3))</f>
        <v>0</v>
      </c>
      <c r="E847">
        <f ca="1">IF(A847="","",COUNTIF(D$6:D847,"True"))</f>
        <v>8</v>
      </c>
      <c r="F847" t="str">
        <f t="shared" si="13"/>
        <v>002333.SZ</v>
      </c>
    </row>
    <row r="848" spans="1:6" x14ac:dyDescent="0.15">
      <c r="A848" s="2">
        <v>46089</v>
      </c>
      <c r="B848" s="1" t="s">
        <v>1574</v>
      </c>
      <c r="C848" s="1" t="s">
        <v>1575</v>
      </c>
      <c r="D848" t="b">
        <f ca="1">IF(A848="","",[1]!s_techanal_rcnthigh(B848,$B$2,1,3))</f>
        <v>0</v>
      </c>
      <c r="E848">
        <f ca="1">IF(A848="","",COUNTIF(D$6:D848,"True"))</f>
        <v>8</v>
      </c>
      <c r="F848" t="str">
        <f t="shared" si="13"/>
        <v>002334.SZ</v>
      </c>
    </row>
    <row r="849" spans="1:6" x14ac:dyDescent="0.15">
      <c r="A849" s="2">
        <v>46089</v>
      </c>
      <c r="B849" s="1" t="s">
        <v>1576</v>
      </c>
      <c r="C849" s="1" t="s">
        <v>1577</v>
      </c>
      <c r="D849" t="b">
        <f ca="1">IF(A849="","",[1]!s_techanal_rcnthigh(B849,$B$2,1,3))</f>
        <v>0</v>
      </c>
      <c r="E849">
        <f ca="1">IF(A849="","",COUNTIF(D$6:D849,"True"))</f>
        <v>8</v>
      </c>
      <c r="F849" t="str">
        <f t="shared" si="13"/>
        <v>002335.SZ</v>
      </c>
    </row>
    <row r="850" spans="1:6" x14ac:dyDescent="0.15">
      <c r="A850" s="2">
        <v>46089</v>
      </c>
      <c r="B850" s="1" t="s">
        <v>1578</v>
      </c>
      <c r="C850" s="1" t="s">
        <v>1579</v>
      </c>
      <c r="D850" t="b">
        <f ca="1">IF(A850="","",[1]!s_techanal_rcnthigh(B850,$B$2,1,3))</f>
        <v>0</v>
      </c>
      <c r="E850">
        <f ca="1">IF(A850="","",COUNTIF(D$6:D850,"True"))</f>
        <v>8</v>
      </c>
      <c r="F850" t="str">
        <f t="shared" si="13"/>
        <v>002337.SZ</v>
      </c>
    </row>
    <row r="851" spans="1:6" x14ac:dyDescent="0.15">
      <c r="A851" s="2">
        <v>46089</v>
      </c>
      <c r="B851" s="1" t="s">
        <v>1580</v>
      </c>
      <c r="C851" s="1" t="s">
        <v>1581</v>
      </c>
      <c r="D851" t="b">
        <f ca="1">IF(A851="","",[1]!s_techanal_rcnthigh(B851,$B$2,1,3))</f>
        <v>0</v>
      </c>
      <c r="E851">
        <f ca="1">IF(A851="","",COUNTIF(D$6:D851,"True"))</f>
        <v>8</v>
      </c>
      <c r="F851" t="str">
        <f t="shared" si="13"/>
        <v>002338.SZ</v>
      </c>
    </row>
    <row r="852" spans="1:6" x14ac:dyDescent="0.15">
      <c r="A852" s="2">
        <v>46089</v>
      </c>
      <c r="B852" s="1" t="s">
        <v>1582</v>
      </c>
      <c r="C852" s="1" t="s">
        <v>1583</v>
      </c>
      <c r="D852" t="b">
        <f ca="1">IF(A852="","",[1]!s_techanal_rcnthigh(B852,$B$2,1,3))</f>
        <v>0</v>
      </c>
      <c r="E852">
        <f ca="1">IF(A852="","",COUNTIF(D$6:D852,"True"))</f>
        <v>8</v>
      </c>
      <c r="F852" t="str">
        <f t="shared" si="13"/>
        <v>002339.SZ</v>
      </c>
    </row>
    <row r="853" spans="1:6" x14ac:dyDescent="0.15">
      <c r="A853" s="2">
        <v>46089</v>
      </c>
      <c r="B853" s="1" t="s">
        <v>1584</v>
      </c>
      <c r="C853" s="1" t="s">
        <v>1585</v>
      </c>
      <c r="D853" t="b">
        <f ca="1">IF(A853="","",[1]!s_techanal_rcnthigh(B853,$B$2,1,3))</f>
        <v>0</v>
      </c>
      <c r="E853">
        <f ca="1">IF(A853="","",COUNTIF(D$6:D853,"True"))</f>
        <v>8</v>
      </c>
      <c r="F853" t="str">
        <f t="shared" si="13"/>
        <v>002340.SZ</v>
      </c>
    </row>
    <row r="854" spans="1:6" x14ac:dyDescent="0.15">
      <c r="A854" s="2">
        <v>46089</v>
      </c>
      <c r="B854" s="1" t="s">
        <v>1586</v>
      </c>
      <c r="C854" s="1" t="s">
        <v>1587</v>
      </c>
      <c r="D854" t="b">
        <f ca="1">IF(A854="","",[1]!s_techanal_rcnthigh(B854,$B$2,1,3))</f>
        <v>0</v>
      </c>
      <c r="E854">
        <f ca="1">IF(A854="","",COUNTIF(D$6:D854,"True"))</f>
        <v>8</v>
      </c>
      <c r="F854" t="str">
        <f t="shared" si="13"/>
        <v>002342.SZ</v>
      </c>
    </row>
    <row r="855" spans="1:6" x14ac:dyDescent="0.15">
      <c r="A855" s="2">
        <v>46089</v>
      </c>
      <c r="B855" s="1" t="s">
        <v>1588</v>
      </c>
      <c r="C855" s="1" t="s">
        <v>1589</v>
      </c>
      <c r="D855" t="b">
        <f ca="1">IF(A855="","",[1]!s_techanal_rcnthigh(B855,$B$2,1,3))</f>
        <v>0</v>
      </c>
      <c r="E855">
        <f ca="1">IF(A855="","",COUNTIF(D$6:D855,"True"))</f>
        <v>8</v>
      </c>
      <c r="F855" t="str">
        <f t="shared" si="13"/>
        <v>002343.SZ</v>
      </c>
    </row>
    <row r="856" spans="1:6" x14ac:dyDescent="0.15">
      <c r="A856" s="2">
        <v>46089</v>
      </c>
      <c r="B856" s="1" t="s">
        <v>1590</v>
      </c>
      <c r="C856" s="1" t="s">
        <v>1591</v>
      </c>
      <c r="D856" t="b">
        <f ca="1">IF(A856="","",[1]!s_techanal_rcnthigh(B856,$B$2,1,3))</f>
        <v>0</v>
      </c>
      <c r="E856">
        <f ca="1">IF(A856="","",COUNTIF(D$6:D856,"True"))</f>
        <v>8</v>
      </c>
      <c r="F856" t="str">
        <f t="shared" si="13"/>
        <v>002344.SZ</v>
      </c>
    </row>
    <row r="857" spans="1:6" x14ac:dyDescent="0.15">
      <c r="A857" s="2">
        <v>46089</v>
      </c>
      <c r="B857" s="1" t="s">
        <v>1592</v>
      </c>
      <c r="C857" s="1" t="s">
        <v>1593</v>
      </c>
      <c r="D857" t="b">
        <f ca="1">IF(A857="","",[1]!s_techanal_rcnthigh(B857,$B$2,1,3))</f>
        <v>0</v>
      </c>
      <c r="E857">
        <f ca="1">IF(A857="","",COUNTIF(D$6:D857,"True"))</f>
        <v>8</v>
      </c>
      <c r="F857" t="str">
        <f t="shared" si="13"/>
        <v>002345.SZ</v>
      </c>
    </row>
    <row r="858" spans="1:6" x14ac:dyDescent="0.15">
      <c r="A858" s="2">
        <v>46089</v>
      </c>
      <c r="B858" s="1" t="s">
        <v>1594</v>
      </c>
      <c r="C858" s="1" t="s">
        <v>1595</v>
      </c>
      <c r="D858" t="b">
        <f ca="1">IF(A858="","",[1]!s_techanal_rcnthigh(B858,$B$2,1,3))</f>
        <v>0</v>
      </c>
      <c r="E858">
        <f ca="1">IF(A858="","",COUNTIF(D$6:D858,"True"))</f>
        <v>8</v>
      </c>
      <c r="F858" t="str">
        <f t="shared" si="13"/>
        <v>002346.SZ</v>
      </c>
    </row>
    <row r="859" spans="1:6" x14ac:dyDescent="0.15">
      <c r="A859" s="2">
        <v>46089</v>
      </c>
      <c r="B859" s="1" t="s">
        <v>1596</v>
      </c>
      <c r="C859" s="1" t="s">
        <v>1597</v>
      </c>
      <c r="D859" t="b">
        <f ca="1">IF(A859="","",[1]!s_techanal_rcnthigh(B859,$B$2,1,3))</f>
        <v>0</v>
      </c>
      <c r="E859">
        <f ca="1">IF(A859="","",COUNTIF(D$6:D859,"True"))</f>
        <v>8</v>
      </c>
      <c r="F859" t="str">
        <f t="shared" si="13"/>
        <v>002347.SZ</v>
      </c>
    </row>
    <row r="860" spans="1:6" x14ac:dyDescent="0.15">
      <c r="A860" s="2">
        <v>46089</v>
      </c>
      <c r="B860" s="1" t="s">
        <v>1598</v>
      </c>
      <c r="C860" s="1" t="s">
        <v>1599</v>
      </c>
      <c r="D860" t="b">
        <f ca="1">IF(A860="","",[1]!s_techanal_rcnthigh(B860,$B$2,1,3))</f>
        <v>0</v>
      </c>
      <c r="E860">
        <f ca="1">IF(A860="","",COUNTIF(D$6:D860,"True"))</f>
        <v>8</v>
      </c>
      <c r="F860" t="str">
        <f t="shared" si="13"/>
        <v>002348.SZ</v>
      </c>
    </row>
    <row r="861" spans="1:6" x14ac:dyDescent="0.15">
      <c r="A861" s="2">
        <v>46089</v>
      </c>
      <c r="B861" s="1" t="s">
        <v>1600</v>
      </c>
      <c r="C861" s="1" t="s">
        <v>1601</v>
      </c>
      <c r="D861" t="b">
        <f ca="1">IF(A861="","",[1]!s_techanal_rcnthigh(B861,$B$2,1,3))</f>
        <v>0</v>
      </c>
      <c r="E861">
        <f ca="1">IF(A861="","",COUNTIF(D$6:D861,"True"))</f>
        <v>8</v>
      </c>
      <c r="F861" t="str">
        <f t="shared" si="13"/>
        <v>002349.SZ</v>
      </c>
    </row>
    <row r="862" spans="1:6" x14ac:dyDescent="0.15">
      <c r="A862" s="2">
        <v>46089</v>
      </c>
      <c r="B862" s="1" t="s">
        <v>1602</v>
      </c>
      <c r="C862" s="1" t="s">
        <v>1603</v>
      </c>
      <c r="D862" t="b">
        <f ca="1">IF(A862="","",[1]!s_techanal_rcnthigh(B862,$B$2,1,3))</f>
        <v>0</v>
      </c>
      <c r="E862">
        <f ca="1">IF(A862="","",COUNTIF(D$6:D862,"True"))</f>
        <v>8</v>
      </c>
      <c r="F862" t="str">
        <f t="shared" si="13"/>
        <v>002350.SZ</v>
      </c>
    </row>
    <row r="863" spans="1:6" x14ac:dyDescent="0.15">
      <c r="A863" s="2">
        <v>46089</v>
      </c>
      <c r="B863" s="1" t="s">
        <v>1604</v>
      </c>
      <c r="C863" s="1" t="s">
        <v>1605</v>
      </c>
      <c r="D863" t="b">
        <f ca="1">IF(A863="","",[1]!s_techanal_rcnthigh(B863,$B$2,1,3))</f>
        <v>0</v>
      </c>
      <c r="E863">
        <f ca="1">IF(A863="","",COUNTIF(D$6:D863,"True"))</f>
        <v>8</v>
      </c>
      <c r="F863" t="str">
        <f t="shared" si="13"/>
        <v>002351.SZ</v>
      </c>
    </row>
    <row r="864" spans="1:6" x14ac:dyDescent="0.15">
      <c r="A864" s="2">
        <v>46089</v>
      </c>
      <c r="B864" s="1" t="s">
        <v>1606</v>
      </c>
      <c r="C864" s="1" t="s">
        <v>1607</v>
      </c>
      <c r="D864" t="b">
        <f ca="1">IF(A864="","",[1]!s_techanal_rcnthigh(B864,$B$2,1,3))</f>
        <v>0</v>
      </c>
      <c r="E864">
        <f ca="1">IF(A864="","",COUNTIF(D$6:D864,"True"))</f>
        <v>8</v>
      </c>
      <c r="F864" t="str">
        <f t="shared" si="13"/>
        <v>002352.SZ</v>
      </c>
    </row>
    <row r="865" spans="1:6" x14ac:dyDescent="0.15">
      <c r="A865" s="2">
        <v>46089</v>
      </c>
      <c r="B865" s="1" t="s">
        <v>1608</v>
      </c>
      <c r="C865" s="1" t="s">
        <v>1609</v>
      </c>
      <c r="D865" t="b">
        <f ca="1">IF(A865="","",[1]!s_techanal_rcnthigh(B865,$B$2,1,3))</f>
        <v>0</v>
      </c>
      <c r="E865">
        <f ca="1">IF(A865="","",COUNTIF(D$6:D865,"True"))</f>
        <v>8</v>
      </c>
      <c r="F865" t="str">
        <f t="shared" si="13"/>
        <v>002353.SZ</v>
      </c>
    </row>
    <row r="866" spans="1:6" x14ac:dyDescent="0.15">
      <c r="A866" s="2">
        <v>46089</v>
      </c>
      <c r="B866" s="1" t="s">
        <v>1610</v>
      </c>
      <c r="C866" s="1" t="s">
        <v>1611</v>
      </c>
      <c r="D866" t="b">
        <f ca="1">IF(A866="","",[1]!s_techanal_rcnthigh(B866,$B$2,1,3))</f>
        <v>0</v>
      </c>
      <c r="E866">
        <f ca="1">IF(A866="","",COUNTIF(D$6:D866,"True"))</f>
        <v>8</v>
      </c>
      <c r="F866" t="str">
        <f t="shared" si="13"/>
        <v>002354.SZ</v>
      </c>
    </row>
    <row r="867" spans="1:6" x14ac:dyDescent="0.15">
      <c r="A867" s="2">
        <v>46089</v>
      </c>
      <c r="B867" s="1" t="s">
        <v>1612</v>
      </c>
      <c r="C867" s="1" t="s">
        <v>1613</v>
      </c>
      <c r="D867" t="b">
        <f ca="1">IF(A867="","",[1]!s_techanal_rcnthigh(B867,$B$2,1,3))</f>
        <v>0</v>
      </c>
      <c r="E867">
        <f ca="1">IF(A867="","",COUNTIF(D$6:D867,"True"))</f>
        <v>8</v>
      </c>
      <c r="F867" t="str">
        <f t="shared" si="13"/>
        <v>002355.SZ</v>
      </c>
    </row>
    <row r="868" spans="1:6" x14ac:dyDescent="0.15">
      <c r="A868" s="2">
        <v>46089</v>
      </c>
      <c r="B868" s="1" t="s">
        <v>1614</v>
      </c>
      <c r="C868" s="1" t="s">
        <v>1615</v>
      </c>
      <c r="D868" t="b">
        <f ca="1">IF(A868="","",[1]!s_techanal_rcnthigh(B868,$B$2,1,3))</f>
        <v>0</v>
      </c>
      <c r="E868">
        <f ca="1">IF(A868="","",COUNTIF(D$6:D868,"True"))</f>
        <v>8</v>
      </c>
      <c r="F868" t="str">
        <f t="shared" si="13"/>
        <v>002356.SZ</v>
      </c>
    </row>
    <row r="869" spans="1:6" x14ac:dyDescent="0.15">
      <c r="A869" s="2">
        <v>46089</v>
      </c>
      <c r="B869" s="1" t="s">
        <v>1616</v>
      </c>
      <c r="C869" s="1" t="s">
        <v>1617</v>
      </c>
      <c r="D869" t="b">
        <f ca="1">IF(A869="","",[1]!s_techanal_rcnthigh(B869,$B$2,1,3))</f>
        <v>0</v>
      </c>
      <c r="E869">
        <f ca="1">IF(A869="","",COUNTIF(D$6:D869,"True"))</f>
        <v>8</v>
      </c>
      <c r="F869" t="str">
        <f t="shared" si="13"/>
        <v>002357.SZ</v>
      </c>
    </row>
    <row r="870" spans="1:6" x14ac:dyDescent="0.15">
      <c r="A870" s="2">
        <v>46089</v>
      </c>
      <c r="B870" s="1" t="s">
        <v>1618</v>
      </c>
      <c r="C870" s="1" t="s">
        <v>1619</v>
      </c>
      <c r="D870" t="b">
        <f ca="1">IF(A870="","",[1]!s_techanal_rcnthigh(B870,$B$2,1,3))</f>
        <v>0</v>
      </c>
      <c r="E870">
        <f ca="1">IF(A870="","",COUNTIF(D$6:D870,"True"))</f>
        <v>8</v>
      </c>
      <c r="F870" t="str">
        <f t="shared" si="13"/>
        <v>002358.SZ</v>
      </c>
    </row>
    <row r="871" spans="1:6" x14ac:dyDescent="0.15">
      <c r="A871" s="2">
        <v>46089</v>
      </c>
      <c r="B871" s="1" t="s">
        <v>1620</v>
      </c>
      <c r="C871" s="1" t="s">
        <v>1621</v>
      </c>
      <c r="D871" t="b">
        <f ca="1">IF(A871="","",[1]!s_techanal_rcnthigh(B871,$B$2,1,3))</f>
        <v>0</v>
      </c>
      <c r="E871">
        <f ca="1">IF(A871="","",COUNTIF(D$6:D871,"True"))</f>
        <v>8</v>
      </c>
      <c r="F871" t="str">
        <f t="shared" si="13"/>
        <v>002360.SZ</v>
      </c>
    </row>
    <row r="872" spans="1:6" x14ac:dyDescent="0.15">
      <c r="A872" s="2">
        <v>46089</v>
      </c>
      <c r="B872" s="1" t="s">
        <v>1622</v>
      </c>
      <c r="C872" s="1" t="s">
        <v>1623</v>
      </c>
      <c r="D872" t="b">
        <f ca="1">IF(A872="","",[1]!s_techanal_rcnthigh(B872,$B$2,1,3))</f>
        <v>0</v>
      </c>
      <c r="E872">
        <f ca="1">IF(A872="","",COUNTIF(D$6:D872,"True"))</f>
        <v>8</v>
      </c>
      <c r="F872" t="str">
        <f t="shared" si="13"/>
        <v>002361.SZ</v>
      </c>
    </row>
    <row r="873" spans="1:6" x14ac:dyDescent="0.15">
      <c r="A873" s="2">
        <v>46089</v>
      </c>
      <c r="B873" s="1" t="s">
        <v>1624</v>
      </c>
      <c r="C873" s="1" t="s">
        <v>1625</v>
      </c>
      <c r="D873" t="b">
        <f ca="1">IF(A873="","",[1]!s_techanal_rcnthigh(B873,$B$2,1,3))</f>
        <v>0</v>
      </c>
      <c r="E873">
        <f ca="1">IF(A873="","",COUNTIF(D$6:D873,"True"))</f>
        <v>8</v>
      </c>
      <c r="F873" t="str">
        <f t="shared" si="13"/>
        <v>002362.SZ</v>
      </c>
    </row>
    <row r="874" spans="1:6" x14ac:dyDescent="0.15">
      <c r="A874" s="2">
        <v>46089</v>
      </c>
      <c r="B874" s="1" t="s">
        <v>1626</v>
      </c>
      <c r="C874" s="1" t="s">
        <v>1627</v>
      </c>
      <c r="D874" t="b">
        <f ca="1">IF(A874="","",[1]!s_techanal_rcnthigh(B874,$B$2,1,3))</f>
        <v>0</v>
      </c>
      <c r="E874">
        <f ca="1">IF(A874="","",COUNTIF(D$6:D874,"True"))</f>
        <v>8</v>
      </c>
      <c r="F874" t="str">
        <f t="shared" si="13"/>
        <v>002363.SZ</v>
      </c>
    </row>
    <row r="875" spans="1:6" x14ac:dyDescent="0.15">
      <c r="A875" s="2">
        <v>46089</v>
      </c>
      <c r="B875" s="1" t="s">
        <v>1628</v>
      </c>
      <c r="C875" s="1" t="s">
        <v>1629</v>
      </c>
      <c r="D875" t="b">
        <f ca="1">IF(A875="","",[1]!s_techanal_rcnthigh(B875,$B$2,1,3))</f>
        <v>0</v>
      </c>
      <c r="E875">
        <f ca="1">IF(A875="","",COUNTIF(D$6:D875,"True"))</f>
        <v>8</v>
      </c>
      <c r="F875" t="str">
        <f t="shared" si="13"/>
        <v>002364.SZ</v>
      </c>
    </row>
    <row r="876" spans="1:6" x14ac:dyDescent="0.15">
      <c r="A876" s="2">
        <v>46089</v>
      </c>
      <c r="B876" s="1" t="s">
        <v>1630</v>
      </c>
      <c r="C876" s="1" t="s">
        <v>1631</v>
      </c>
      <c r="D876" t="b">
        <f ca="1">IF(A876="","",[1]!s_techanal_rcnthigh(B876,$B$2,1,3))</f>
        <v>0</v>
      </c>
      <c r="E876">
        <f ca="1">IF(A876="","",COUNTIF(D$6:D876,"True"))</f>
        <v>8</v>
      </c>
      <c r="F876" t="str">
        <f t="shared" si="13"/>
        <v>002365.SZ</v>
      </c>
    </row>
    <row r="877" spans="1:6" x14ac:dyDescent="0.15">
      <c r="A877" s="2">
        <v>46089</v>
      </c>
      <c r="B877" s="1" t="s">
        <v>1632</v>
      </c>
      <c r="C877" s="1" t="s">
        <v>1633</v>
      </c>
      <c r="D877" t="b">
        <f ca="1">IF(A877="","",[1]!s_techanal_rcnthigh(B877,$B$2,1,3))</f>
        <v>0</v>
      </c>
      <c r="E877">
        <f ca="1">IF(A877="","",COUNTIF(D$6:D877,"True"))</f>
        <v>8</v>
      </c>
      <c r="F877" t="str">
        <f t="shared" si="13"/>
        <v>002366.SZ</v>
      </c>
    </row>
    <row r="878" spans="1:6" x14ac:dyDescent="0.15">
      <c r="A878" s="2">
        <v>46089</v>
      </c>
      <c r="B878" s="1" t="s">
        <v>1634</v>
      </c>
      <c r="C878" s="1" t="s">
        <v>1635</v>
      </c>
      <c r="D878" t="b">
        <f ca="1">IF(A878="","",[1]!s_techanal_rcnthigh(B878,$B$2,1,3))</f>
        <v>0</v>
      </c>
      <c r="E878">
        <f ca="1">IF(A878="","",COUNTIF(D$6:D878,"True"))</f>
        <v>8</v>
      </c>
      <c r="F878" t="str">
        <f t="shared" si="13"/>
        <v>002367.SZ</v>
      </c>
    </row>
    <row r="879" spans="1:6" x14ac:dyDescent="0.15">
      <c r="A879" s="2">
        <v>46089</v>
      </c>
      <c r="B879" s="1" t="s">
        <v>1636</v>
      </c>
      <c r="C879" s="1" t="s">
        <v>1637</v>
      </c>
      <c r="D879" t="b">
        <f ca="1">IF(A879="","",[1]!s_techanal_rcnthigh(B879,$B$2,1,3))</f>
        <v>0</v>
      </c>
      <c r="E879">
        <f ca="1">IF(A879="","",COUNTIF(D$6:D879,"True"))</f>
        <v>8</v>
      </c>
      <c r="F879" t="str">
        <f t="shared" si="13"/>
        <v>002368.SZ</v>
      </c>
    </row>
    <row r="880" spans="1:6" x14ac:dyDescent="0.15">
      <c r="A880" s="2">
        <v>46089</v>
      </c>
      <c r="B880" s="1" t="s">
        <v>1638</v>
      </c>
      <c r="C880" s="1" t="s">
        <v>1639</v>
      </c>
      <c r="D880" t="b">
        <f ca="1">IF(A880="","",[1]!s_techanal_rcnthigh(B880,$B$2,1,3))</f>
        <v>0</v>
      </c>
      <c r="E880">
        <f ca="1">IF(A880="","",COUNTIF(D$6:D880,"True"))</f>
        <v>8</v>
      </c>
      <c r="F880" t="str">
        <f t="shared" si="13"/>
        <v>002369.SZ</v>
      </c>
    </row>
    <row r="881" spans="1:6" x14ac:dyDescent="0.15">
      <c r="A881" s="2">
        <v>46089</v>
      </c>
      <c r="B881" s="1" t="s">
        <v>1640</v>
      </c>
      <c r="C881" s="1" t="s">
        <v>1641</v>
      </c>
      <c r="D881" t="b">
        <f ca="1">IF(A881="","",[1]!s_techanal_rcnthigh(B881,$B$2,1,3))</f>
        <v>0</v>
      </c>
      <c r="E881">
        <f ca="1">IF(A881="","",COUNTIF(D$6:D881,"True"))</f>
        <v>8</v>
      </c>
      <c r="F881" t="str">
        <f t="shared" si="13"/>
        <v>002370.SZ</v>
      </c>
    </row>
    <row r="882" spans="1:6" x14ac:dyDescent="0.15">
      <c r="A882" s="2">
        <v>46089</v>
      </c>
      <c r="B882" s="1" t="s">
        <v>1642</v>
      </c>
      <c r="C882" s="1" t="s">
        <v>1643</v>
      </c>
      <c r="D882" t="b">
        <f ca="1">IF(A882="","",[1]!s_techanal_rcnthigh(B882,$B$2,1,3))</f>
        <v>0</v>
      </c>
      <c r="E882">
        <f ca="1">IF(A882="","",COUNTIF(D$6:D882,"True"))</f>
        <v>8</v>
      </c>
      <c r="F882" t="str">
        <f t="shared" si="13"/>
        <v>002371.SZ</v>
      </c>
    </row>
    <row r="883" spans="1:6" x14ac:dyDescent="0.15">
      <c r="A883" s="2">
        <v>46089</v>
      </c>
      <c r="B883" s="1" t="s">
        <v>1644</v>
      </c>
      <c r="C883" s="1" t="s">
        <v>1645</v>
      </c>
      <c r="D883" t="b">
        <f ca="1">IF(A883="","",[1]!s_techanal_rcnthigh(B883,$B$2,1,3))</f>
        <v>0</v>
      </c>
      <c r="E883">
        <f ca="1">IF(A883="","",COUNTIF(D$6:D883,"True"))</f>
        <v>8</v>
      </c>
      <c r="F883" t="str">
        <f t="shared" si="13"/>
        <v>002372.SZ</v>
      </c>
    </row>
    <row r="884" spans="1:6" x14ac:dyDescent="0.15">
      <c r="A884" s="2">
        <v>46089</v>
      </c>
      <c r="B884" s="1" t="s">
        <v>1646</v>
      </c>
      <c r="C884" s="1" t="s">
        <v>1647</v>
      </c>
      <c r="D884" t="b">
        <f ca="1">IF(A884="","",[1]!s_techanal_rcnthigh(B884,$B$2,1,3))</f>
        <v>0</v>
      </c>
      <c r="E884">
        <f ca="1">IF(A884="","",COUNTIF(D$6:D884,"True"))</f>
        <v>8</v>
      </c>
      <c r="F884" t="str">
        <f t="shared" si="13"/>
        <v>002373.SZ</v>
      </c>
    </row>
    <row r="885" spans="1:6" x14ac:dyDescent="0.15">
      <c r="A885" s="2">
        <v>46089</v>
      </c>
      <c r="B885" s="1" t="s">
        <v>1648</v>
      </c>
      <c r="C885" s="1" t="s">
        <v>1649</v>
      </c>
      <c r="D885" t="b">
        <f ca="1">IF(A885="","",[1]!s_techanal_rcnthigh(B885,$B$2,1,3))</f>
        <v>0</v>
      </c>
      <c r="E885">
        <f ca="1">IF(A885="","",COUNTIF(D$6:D885,"True"))</f>
        <v>8</v>
      </c>
      <c r="F885" t="str">
        <f t="shared" si="13"/>
        <v>002374.SZ</v>
      </c>
    </row>
    <row r="886" spans="1:6" x14ac:dyDescent="0.15">
      <c r="A886" s="2">
        <v>46089</v>
      </c>
      <c r="B886" s="1" t="s">
        <v>1650</v>
      </c>
      <c r="C886" s="1" t="s">
        <v>1651</v>
      </c>
      <c r="D886" t="b">
        <f ca="1">IF(A886="","",[1]!s_techanal_rcnthigh(B886,$B$2,1,3))</f>
        <v>0</v>
      </c>
      <c r="E886">
        <f ca="1">IF(A886="","",COUNTIF(D$6:D886,"True"))</f>
        <v>8</v>
      </c>
      <c r="F886" t="str">
        <f t="shared" si="13"/>
        <v>002375.SZ</v>
      </c>
    </row>
    <row r="887" spans="1:6" x14ac:dyDescent="0.15">
      <c r="A887" s="2">
        <v>46089</v>
      </c>
      <c r="B887" s="1" t="s">
        <v>1652</v>
      </c>
      <c r="C887" s="1" t="s">
        <v>1653</v>
      </c>
      <c r="D887" t="b">
        <f ca="1">IF(A887="","",[1]!s_techanal_rcnthigh(B887,$B$2,1,3))</f>
        <v>0</v>
      </c>
      <c r="E887">
        <f ca="1">IF(A887="","",COUNTIF(D$6:D887,"True"))</f>
        <v>8</v>
      </c>
      <c r="F887" t="str">
        <f t="shared" si="13"/>
        <v>002376.SZ</v>
      </c>
    </row>
    <row r="888" spans="1:6" x14ac:dyDescent="0.15">
      <c r="A888" s="2">
        <v>46089</v>
      </c>
      <c r="B888" s="1" t="s">
        <v>1654</v>
      </c>
      <c r="C888" s="1" t="s">
        <v>1655</v>
      </c>
      <c r="D888" t="b">
        <f ca="1">IF(A888="","",[1]!s_techanal_rcnthigh(B888,$B$2,1,3))</f>
        <v>0</v>
      </c>
      <c r="E888">
        <f ca="1">IF(A888="","",COUNTIF(D$6:D888,"True"))</f>
        <v>8</v>
      </c>
      <c r="F888" t="str">
        <f t="shared" si="13"/>
        <v>002377.SZ</v>
      </c>
    </row>
    <row r="889" spans="1:6" x14ac:dyDescent="0.15">
      <c r="A889" s="2">
        <v>46089</v>
      </c>
      <c r="B889" s="1" t="s">
        <v>1656</v>
      </c>
      <c r="C889" s="1" t="s">
        <v>1657</v>
      </c>
      <c r="D889" t="b">
        <f ca="1">IF(A889="","",[1]!s_techanal_rcnthigh(B889,$B$2,1,3))</f>
        <v>0</v>
      </c>
      <c r="E889">
        <f ca="1">IF(A889="","",COUNTIF(D$6:D889,"True"))</f>
        <v>8</v>
      </c>
      <c r="F889" t="str">
        <f t="shared" si="13"/>
        <v>002378.SZ</v>
      </c>
    </row>
    <row r="890" spans="1:6" x14ac:dyDescent="0.15">
      <c r="A890" s="2">
        <v>46089</v>
      </c>
      <c r="B890" s="1" t="s">
        <v>1658</v>
      </c>
      <c r="C890" s="1" t="s">
        <v>10134</v>
      </c>
      <c r="D890" t="b">
        <f ca="1">IF(A890="","",[1]!s_techanal_rcnthigh(B890,$B$2,1,3))</f>
        <v>0</v>
      </c>
      <c r="E890">
        <f ca="1">IF(A890="","",COUNTIF(D$6:D890,"True"))</f>
        <v>8</v>
      </c>
      <c r="F890" t="str">
        <f t="shared" si="13"/>
        <v>002379.SZ</v>
      </c>
    </row>
    <row r="891" spans="1:6" x14ac:dyDescent="0.15">
      <c r="A891" s="2">
        <v>46089</v>
      </c>
      <c r="B891" s="1" t="s">
        <v>1659</v>
      </c>
      <c r="C891" s="1" t="s">
        <v>1660</v>
      </c>
      <c r="D891" t="b">
        <f ca="1">IF(A891="","",[1]!s_techanal_rcnthigh(B891,$B$2,1,3))</f>
        <v>0</v>
      </c>
      <c r="E891">
        <f ca="1">IF(A891="","",COUNTIF(D$6:D891,"True"))</f>
        <v>8</v>
      </c>
      <c r="F891" t="str">
        <f t="shared" si="13"/>
        <v>002380.SZ</v>
      </c>
    </row>
    <row r="892" spans="1:6" x14ac:dyDescent="0.15">
      <c r="A892" s="2">
        <v>46089</v>
      </c>
      <c r="B892" s="1" t="s">
        <v>1661</v>
      </c>
      <c r="C892" s="1" t="s">
        <v>1662</v>
      </c>
      <c r="D892" t="b">
        <f ca="1">IF(A892="","",[1]!s_techanal_rcnthigh(B892,$B$2,1,3))</f>
        <v>0</v>
      </c>
      <c r="E892">
        <f ca="1">IF(A892="","",COUNTIF(D$6:D892,"True"))</f>
        <v>8</v>
      </c>
      <c r="F892" t="str">
        <f t="shared" si="13"/>
        <v>002381.SZ</v>
      </c>
    </row>
    <row r="893" spans="1:6" x14ac:dyDescent="0.15">
      <c r="A893" s="2">
        <v>46089</v>
      </c>
      <c r="B893" s="1" t="s">
        <v>1663</v>
      </c>
      <c r="C893" s="1" t="s">
        <v>1664</v>
      </c>
      <c r="D893" t="b">
        <f ca="1">IF(A893="","",[1]!s_techanal_rcnthigh(B893,$B$2,1,3))</f>
        <v>0</v>
      </c>
      <c r="E893">
        <f ca="1">IF(A893="","",COUNTIF(D$6:D893,"True"))</f>
        <v>8</v>
      </c>
      <c r="F893" t="str">
        <f t="shared" si="13"/>
        <v>002382.SZ</v>
      </c>
    </row>
    <row r="894" spans="1:6" x14ac:dyDescent="0.15">
      <c r="A894" s="2">
        <v>46089</v>
      </c>
      <c r="B894" s="1" t="s">
        <v>1665</v>
      </c>
      <c r="C894" s="1" t="s">
        <v>1666</v>
      </c>
      <c r="D894" t="b">
        <f ca="1">IF(A894="","",[1]!s_techanal_rcnthigh(B894,$B$2,1,3))</f>
        <v>0</v>
      </c>
      <c r="E894">
        <f ca="1">IF(A894="","",COUNTIF(D$6:D894,"True"))</f>
        <v>8</v>
      </c>
      <c r="F894" t="str">
        <f t="shared" si="13"/>
        <v>002383.SZ</v>
      </c>
    </row>
    <row r="895" spans="1:6" x14ac:dyDescent="0.15">
      <c r="A895" s="2">
        <v>46089</v>
      </c>
      <c r="B895" s="1" t="s">
        <v>1667</v>
      </c>
      <c r="C895" s="1" t="s">
        <v>1668</v>
      </c>
      <c r="D895" t="b">
        <f ca="1">IF(A895="","",[1]!s_techanal_rcnthigh(B895,$B$2,1,3))</f>
        <v>0</v>
      </c>
      <c r="E895">
        <f ca="1">IF(A895="","",COUNTIF(D$6:D895,"True"))</f>
        <v>8</v>
      </c>
      <c r="F895" t="str">
        <f t="shared" si="13"/>
        <v>002384.SZ</v>
      </c>
    </row>
    <row r="896" spans="1:6" x14ac:dyDescent="0.15">
      <c r="A896" s="2">
        <v>46089</v>
      </c>
      <c r="B896" s="1" t="s">
        <v>1669</v>
      </c>
      <c r="C896" s="1" t="s">
        <v>1670</v>
      </c>
      <c r="D896" t="b">
        <f ca="1">IF(A896="","",[1]!s_techanal_rcnthigh(B896,$B$2,1,3))</f>
        <v>0</v>
      </c>
      <c r="E896">
        <f ca="1">IF(A896="","",COUNTIF(D$6:D896,"True"))</f>
        <v>8</v>
      </c>
      <c r="F896" t="str">
        <f t="shared" si="13"/>
        <v>002385.SZ</v>
      </c>
    </row>
    <row r="897" spans="1:6" x14ac:dyDescent="0.15">
      <c r="A897" s="2">
        <v>46089</v>
      </c>
      <c r="B897" s="1" t="s">
        <v>1671</v>
      </c>
      <c r="C897" s="1" t="s">
        <v>1672</v>
      </c>
      <c r="D897" t="b">
        <f ca="1">IF(A897="","",[1]!s_techanal_rcnthigh(B897,$B$2,1,3))</f>
        <v>0</v>
      </c>
      <c r="E897">
        <f ca="1">IF(A897="","",COUNTIF(D$6:D897,"True"))</f>
        <v>8</v>
      </c>
      <c r="F897" t="str">
        <f t="shared" si="13"/>
        <v>002386.SZ</v>
      </c>
    </row>
    <row r="898" spans="1:6" x14ac:dyDescent="0.15">
      <c r="A898" s="2">
        <v>46089</v>
      </c>
      <c r="B898" s="1" t="s">
        <v>1673</v>
      </c>
      <c r="C898" s="1" t="s">
        <v>1674</v>
      </c>
      <c r="D898" t="b">
        <f ca="1">IF(A898="","",[1]!s_techanal_rcnthigh(B898,$B$2,1,3))</f>
        <v>0</v>
      </c>
      <c r="E898">
        <f ca="1">IF(A898="","",COUNTIF(D$6:D898,"True"))</f>
        <v>8</v>
      </c>
      <c r="F898" t="str">
        <f t="shared" si="13"/>
        <v>002387.SZ</v>
      </c>
    </row>
    <row r="899" spans="1:6" x14ac:dyDescent="0.15">
      <c r="A899" s="2">
        <v>46089</v>
      </c>
      <c r="B899" s="1" t="s">
        <v>1675</v>
      </c>
      <c r="C899" s="1" t="s">
        <v>1676</v>
      </c>
      <c r="D899" t="b">
        <f ca="1">IF(A899="","",[1]!s_techanal_rcnthigh(B899,$B$2,1,3))</f>
        <v>0</v>
      </c>
      <c r="E899">
        <f ca="1">IF(A899="","",COUNTIF(D$6:D899,"True"))</f>
        <v>8</v>
      </c>
      <c r="F899" t="str">
        <f t="shared" si="13"/>
        <v>002388.SZ</v>
      </c>
    </row>
    <row r="900" spans="1:6" x14ac:dyDescent="0.15">
      <c r="A900" s="2">
        <v>46089</v>
      </c>
      <c r="B900" s="1" t="s">
        <v>1677</v>
      </c>
      <c r="C900" s="1" t="s">
        <v>1678</v>
      </c>
      <c r="D900" t="b">
        <f ca="1">IF(A900="","",[1]!s_techanal_rcnthigh(B900,$B$2,1,3))</f>
        <v>0</v>
      </c>
      <c r="E900">
        <f ca="1">IF(A900="","",COUNTIF(D$6:D900,"True"))</f>
        <v>8</v>
      </c>
      <c r="F900" t="str">
        <f t="shared" si="13"/>
        <v>002389.SZ</v>
      </c>
    </row>
    <row r="901" spans="1:6" x14ac:dyDescent="0.15">
      <c r="A901" s="2">
        <v>46089</v>
      </c>
      <c r="B901" s="1" t="s">
        <v>1679</v>
      </c>
      <c r="C901" s="1" t="s">
        <v>1680</v>
      </c>
      <c r="D901" t="b">
        <f ca="1">IF(A901="","",[1]!s_techanal_rcnthigh(B901,$B$2,1,3))</f>
        <v>0</v>
      </c>
      <c r="E901">
        <f ca="1">IF(A901="","",COUNTIF(D$6:D901,"True"))</f>
        <v>8</v>
      </c>
      <c r="F901" t="str">
        <f t="shared" si="13"/>
        <v>002390.SZ</v>
      </c>
    </row>
    <row r="902" spans="1:6" x14ac:dyDescent="0.15">
      <c r="A902" s="2">
        <v>46089</v>
      </c>
      <c r="B902" s="1" t="s">
        <v>1681</v>
      </c>
      <c r="C902" s="1" t="s">
        <v>1682</v>
      </c>
      <c r="D902" t="b">
        <f ca="1">IF(A902="","",[1]!s_techanal_rcnthigh(B902,$B$2,1,3))</f>
        <v>0</v>
      </c>
      <c r="E902">
        <f ca="1">IF(A902="","",COUNTIF(D$6:D902,"True"))</f>
        <v>8</v>
      </c>
      <c r="F902" t="str">
        <f t="shared" ref="F902:F965" si="14">IF(B902="","",B902)</f>
        <v>002391.SZ</v>
      </c>
    </row>
    <row r="903" spans="1:6" x14ac:dyDescent="0.15">
      <c r="A903" s="2">
        <v>46089</v>
      </c>
      <c r="B903" s="1" t="s">
        <v>1683</v>
      </c>
      <c r="C903" s="1" t="s">
        <v>1684</v>
      </c>
      <c r="D903" t="b">
        <f ca="1">IF(A903="","",[1]!s_techanal_rcnthigh(B903,$B$2,1,3))</f>
        <v>0</v>
      </c>
      <c r="E903">
        <f ca="1">IF(A903="","",COUNTIF(D$6:D903,"True"))</f>
        <v>8</v>
      </c>
      <c r="F903" t="str">
        <f t="shared" si="14"/>
        <v>002392.SZ</v>
      </c>
    </row>
    <row r="904" spans="1:6" x14ac:dyDescent="0.15">
      <c r="A904" s="2">
        <v>46089</v>
      </c>
      <c r="B904" s="1" t="s">
        <v>1685</v>
      </c>
      <c r="C904" s="1" t="s">
        <v>1686</v>
      </c>
      <c r="D904" t="b">
        <f ca="1">IF(A904="","",[1]!s_techanal_rcnthigh(B904,$B$2,1,3))</f>
        <v>0</v>
      </c>
      <c r="E904">
        <f ca="1">IF(A904="","",COUNTIF(D$6:D904,"True"))</f>
        <v>8</v>
      </c>
      <c r="F904" t="str">
        <f t="shared" si="14"/>
        <v>002393.SZ</v>
      </c>
    </row>
    <row r="905" spans="1:6" x14ac:dyDescent="0.15">
      <c r="A905" s="2">
        <v>46089</v>
      </c>
      <c r="B905" s="1" t="s">
        <v>1687</v>
      </c>
      <c r="C905" s="1" t="s">
        <v>1688</v>
      </c>
      <c r="D905" t="b">
        <f ca="1">IF(A905="","",[1]!s_techanal_rcnthigh(B905,$B$2,1,3))</f>
        <v>0</v>
      </c>
      <c r="E905">
        <f ca="1">IF(A905="","",COUNTIF(D$6:D905,"True"))</f>
        <v>8</v>
      </c>
      <c r="F905" t="str">
        <f t="shared" si="14"/>
        <v>002394.SZ</v>
      </c>
    </row>
    <row r="906" spans="1:6" x14ac:dyDescent="0.15">
      <c r="A906" s="2">
        <v>46089</v>
      </c>
      <c r="B906" s="1" t="s">
        <v>1689</v>
      </c>
      <c r="C906" s="1" t="s">
        <v>1690</v>
      </c>
      <c r="D906" t="b">
        <f ca="1">IF(A906="","",[1]!s_techanal_rcnthigh(B906,$B$2,1,3))</f>
        <v>0</v>
      </c>
      <c r="E906">
        <f ca="1">IF(A906="","",COUNTIF(D$6:D906,"True"))</f>
        <v>8</v>
      </c>
      <c r="F906" t="str">
        <f t="shared" si="14"/>
        <v>002395.SZ</v>
      </c>
    </row>
    <row r="907" spans="1:6" x14ac:dyDescent="0.15">
      <c r="A907" s="2">
        <v>46089</v>
      </c>
      <c r="B907" s="1" t="s">
        <v>1691</v>
      </c>
      <c r="C907" s="1" t="s">
        <v>1692</v>
      </c>
      <c r="D907" t="b">
        <f ca="1">IF(A907="","",[1]!s_techanal_rcnthigh(B907,$B$2,1,3))</f>
        <v>0</v>
      </c>
      <c r="E907">
        <f ca="1">IF(A907="","",COUNTIF(D$6:D907,"True"))</f>
        <v>8</v>
      </c>
      <c r="F907" t="str">
        <f t="shared" si="14"/>
        <v>002396.SZ</v>
      </c>
    </row>
    <row r="908" spans="1:6" x14ac:dyDescent="0.15">
      <c r="A908" s="2">
        <v>46089</v>
      </c>
      <c r="B908" s="1" t="s">
        <v>1693</v>
      </c>
      <c r="C908" s="1" t="s">
        <v>1694</v>
      </c>
      <c r="D908" t="b">
        <f ca="1">IF(A908="","",[1]!s_techanal_rcnthigh(B908,$B$2,1,3))</f>
        <v>0</v>
      </c>
      <c r="E908">
        <f ca="1">IF(A908="","",COUNTIF(D$6:D908,"True"))</f>
        <v>8</v>
      </c>
      <c r="F908" t="str">
        <f t="shared" si="14"/>
        <v>002397.SZ</v>
      </c>
    </row>
    <row r="909" spans="1:6" x14ac:dyDescent="0.15">
      <c r="A909" s="2">
        <v>46089</v>
      </c>
      <c r="B909" s="1" t="s">
        <v>1695</v>
      </c>
      <c r="C909" s="1" t="s">
        <v>1696</v>
      </c>
      <c r="D909" t="b">
        <f ca="1">IF(A909="","",[1]!s_techanal_rcnthigh(B909,$B$2,1,3))</f>
        <v>0</v>
      </c>
      <c r="E909">
        <f ca="1">IF(A909="","",COUNTIF(D$6:D909,"True"))</f>
        <v>8</v>
      </c>
      <c r="F909" t="str">
        <f t="shared" si="14"/>
        <v>002398.SZ</v>
      </c>
    </row>
    <row r="910" spans="1:6" x14ac:dyDescent="0.15">
      <c r="A910" s="2">
        <v>46089</v>
      </c>
      <c r="B910" s="1" t="s">
        <v>1697</v>
      </c>
      <c r="C910" s="1" t="s">
        <v>1698</v>
      </c>
      <c r="D910" t="b">
        <f ca="1">IF(A910="","",[1]!s_techanal_rcnthigh(B910,$B$2,1,3))</f>
        <v>0</v>
      </c>
      <c r="E910">
        <f ca="1">IF(A910="","",COUNTIF(D$6:D910,"True"))</f>
        <v>8</v>
      </c>
      <c r="F910" t="str">
        <f t="shared" si="14"/>
        <v>002399.SZ</v>
      </c>
    </row>
    <row r="911" spans="1:6" x14ac:dyDescent="0.15">
      <c r="A911" s="2">
        <v>46089</v>
      </c>
      <c r="B911" s="1" t="s">
        <v>1699</v>
      </c>
      <c r="C911" s="1" t="s">
        <v>1700</v>
      </c>
      <c r="D911" t="b">
        <f ca="1">IF(A911="","",[1]!s_techanal_rcnthigh(B911,$B$2,1,3))</f>
        <v>0</v>
      </c>
      <c r="E911">
        <f ca="1">IF(A911="","",COUNTIF(D$6:D911,"True"))</f>
        <v>8</v>
      </c>
      <c r="F911" t="str">
        <f t="shared" si="14"/>
        <v>002400.SZ</v>
      </c>
    </row>
    <row r="912" spans="1:6" x14ac:dyDescent="0.15">
      <c r="A912" s="2">
        <v>46089</v>
      </c>
      <c r="B912" s="1" t="s">
        <v>1701</v>
      </c>
      <c r="C912" s="1" t="s">
        <v>1702</v>
      </c>
      <c r="D912" t="b">
        <f ca="1">IF(A912="","",[1]!s_techanal_rcnthigh(B912,$B$2,1,3))</f>
        <v>0</v>
      </c>
      <c r="E912">
        <f ca="1">IF(A912="","",COUNTIF(D$6:D912,"True"))</f>
        <v>8</v>
      </c>
      <c r="F912" t="str">
        <f t="shared" si="14"/>
        <v>002401.SZ</v>
      </c>
    </row>
    <row r="913" spans="1:6" x14ac:dyDescent="0.15">
      <c r="A913" s="2">
        <v>46089</v>
      </c>
      <c r="B913" s="1" t="s">
        <v>1703</v>
      </c>
      <c r="C913" s="1" t="s">
        <v>1704</v>
      </c>
      <c r="D913" t="b">
        <f ca="1">IF(A913="","",[1]!s_techanal_rcnthigh(B913,$B$2,1,3))</f>
        <v>0</v>
      </c>
      <c r="E913">
        <f ca="1">IF(A913="","",COUNTIF(D$6:D913,"True"))</f>
        <v>8</v>
      </c>
      <c r="F913" t="str">
        <f t="shared" si="14"/>
        <v>002402.SZ</v>
      </c>
    </row>
    <row r="914" spans="1:6" x14ac:dyDescent="0.15">
      <c r="A914" s="2">
        <v>46089</v>
      </c>
      <c r="B914" s="1" t="s">
        <v>1705</v>
      </c>
      <c r="C914" s="1" t="s">
        <v>1706</v>
      </c>
      <c r="D914" t="b">
        <f ca="1">IF(A914="","",[1]!s_techanal_rcnthigh(B914,$B$2,1,3))</f>
        <v>0</v>
      </c>
      <c r="E914">
        <f ca="1">IF(A914="","",COUNTIF(D$6:D914,"True"))</f>
        <v>8</v>
      </c>
      <c r="F914" t="str">
        <f t="shared" si="14"/>
        <v>002403.SZ</v>
      </c>
    </row>
    <row r="915" spans="1:6" x14ac:dyDescent="0.15">
      <c r="A915" s="2">
        <v>46089</v>
      </c>
      <c r="B915" s="1" t="s">
        <v>1707</v>
      </c>
      <c r="C915" s="1" t="s">
        <v>1708</v>
      </c>
      <c r="D915" t="b">
        <f ca="1">IF(A915="","",[1]!s_techanal_rcnthigh(B915,$B$2,1,3))</f>
        <v>0</v>
      </c>
      <c r="E915">
        <f ca="1">IF(A915="","",COUNTIF(D$6:D915,"True"))</f>
        <v>8</v>
      </c>
      <c r="F915" t="str">
        <f t="shared" si="14"/>
        <v>002404.SZ</v>
      </c>
    </row>
    <row r="916" spans="1:6" x14ac:dyDescent="0.15">
      <c r="A916" s="2">
        <v>46089</v>
      </c>
      <c r="B916" s="1" t="s">
        <v>1709</v>
      </c>
      <c r="C916" s="1" t="s">
        <v>1710</v>
      </c>
      <c r="D916" t="b">
        <f ca="1">IF(A916="","",[1]!s_techanal_rcnthigh(B916,$B$2,1,3))</f>
        <v>0</v>
      </c>
      <c r="E916">
        <f ca="1">IF(A916="","",COUNTIF(D$6:D916,"True"))</f>
        <v>8</v>
      </c>
      <c r="F916" t="str">
        <f t="shared" si="14"/>
        <v>002405.SZ</v>
      </c>
    </row>
    <row r="917" spans="1:6" x14ac:dyDescent="0.15">
      <c r="A917" s="2">
        <v>46089</v>
      </c>
      <c r="B917" s="1" t="s">
        <v>1711</v>
      </c>
      <c r="C917" s="1" t="s">
        <v>1712</v>
      </c>
      <c r="D917" t="b">
        <f ca="1">IF(A917="","",[1]!s_techanal_rcnthigh(B917,$B$2,1,3))</f>
        <v>0</v>
      </c>
      <c r="E917">
        <f ca="1">IF(A917="","",COUNTIF(D$6:D917,"True"))</f>
        <v>8</v>
      </c>
      <c r="F917" t="str">
        <f t="shared" si="14"/>
        <v>002406.SZ</v>
      </c>
    </row>
    <row r="918" spans="1:6" x14ac:dyDescent="0.15">
      <c r="A918" s="2">
        <v>46089</v>
      </c>
      <c r="B918" s="1" t="s">
        <v>1713</v>
      </c>
      <c r="C918" s="1" t="s">
        <v>1714</v>
      </c>
      <c r="D918" t="b">
        <f ca="1">IF(A918="","",[1]!s_techanal_rcnthigh(B918,$B$2,1,3))</f>
        <v>0</v>
      </c>
      <c r="E918">
        <f ca="1">IF(A918="","",COUNTIF(D$6:D918,"True"))</f>
        <v>8</v>
      </c>
      <c r="F918" t="str">
        <f t="shared" si="14"/>
        <v>002407.SZ</v>
      </c>
    </row>
    <row r="919" spans="1:6" x14ac:dyDescent="0.15">
      <c r="A919" s="2">
        <v>46089</v>
      </c>
      <c r="B919" s="1" t="s">
        <v>1715</v>
      </c>
      <c r="C919" s="1" t="s">
        <v>1716</v>
      </c>
      <c r="D919" t="b">
        <f ca="1">IF(A919="","",[1]!s_techanal_rcnthigh(B919,$B$2,1,3))</f>
        <v>0</v>
      </c>
      <c r="E919">
        <f ca="1">IF(A919="","",COUNTIF(D$6:D919,"True"))</f>
        <v>8</v>
      </c>
      <c r="F919" t="str">
        <f t="shared" si="14"/>
        <v>002408.SZ</v>
      </c>
    </row>
    <row r="920" spans="1:6" x14ac:dyDescent="0.15">
      <c r="A920" s="2">
        <v>46089</v>
      </c>
      <c r="B920" s="1" t="s">
        <v>1717</v>
      </c>
      <c r="C920" s="1" t="s">
        <v>1718</v>
      </c>
      <c r="D920" t="b">
        <f ca="1">IF(A920="","",[1]!s_techanal_rcnthigh(B920,$B$2,1,3))</f>
        <v>0</v>
      </c>
      <c r="E920">
        <f ca="1">IF(A920="","",COUNTIF(D$6:D920,"True"))</f>
        <v>8</v>
      </c>
      <c r="F920" t="str">
        <f t="shared" si="14"/>
        <v>002409.SZ</v>
      </c>
    </row>
    <row r="921" spans="1:6" x14ac:dyDescent="0.15">
      <c r="A921" s="2">
        <v>46089</v>
      </c>
      <c r="B921" s="1" t="s">
        <v>1719</v>
      </c>
      <c r="C921" s="1" t="s">
        <v>1720</v>
      </c>
      <c r="D921" t="b">
        <f ca="1">IF(A921="","",[1]!s_techanal_rcnthigh(B921,$B$2,1,3))</f>
        <v>0</v>
      </c>
      <c r="E921">
        <f ca="1">IF(A921="","",COUNTIF(D$6:D921,"True"))</f>
        <v>8</v>
      </c>
      <c r="F921" t="str">
        <f t="shared" si="14"/>
        <v>002410.SZ</v>
      </c>
    </row>
    <row r="922" spans="1:6" x14ac:dyDescent="0.15">
      <c r="A922" s="2">
        <v>46089</v>
      </c>
      <c r="B922" s="1" t="s">
        <v>1721</v>
      </c>
      <c r="C922" s="1" t="s">
        <v>1722</v>
      </c>
      <c r="D922" t="b">
        <f ca="1">IF(A922="","",[1]!s_techanal_rcnthigh(B922,$B$2,1,3))</f>
        <v>0</v>
      </c>
      <c r="E922">
        <f ca="1">IF(A922="","",COUNTIF(D$6:D922,"True"))</f>
        <v>8</v>
      </c>
      <c r="F922" t="str">
        <f t="shared" si="14"/>
        <v>002412.SZ</v>
      </c>
    </row>
    <row r="923" spans="1:6" x14ac:dyDescent="0.15">
      <c r="A923" s="2">
        <v>46089</v>
      </c>
      <c r="B923" s="1" t="s">
        <v>1723</v>
      </c>
      <c r="C923" s="1" t="s">
        <v>1724</v>
      </c>
      <c r="D923" t="b">
        <f ca="1">IF(A923="","",[1]!s_techanal_rcnthigh(B923,$B$2,1,3))</f>
        <v>0</v>
      </c>
      <c r="E923">
        <f ca="1">IF(A923="","",COUNTIF(D$6:D923,"True"))</f>
        <v>8</v>
      </c>
      <c r="F923" t="str">
        <f t="shared" si="14"/>
        <v>002413.SZ</v>
      </c>
    </row>
    <row r="924" spans="1:6" x14ac:dyDescent="0.15">
      <c r="A924" s="2">
        <v>46089</v>
      </c>
      <c r="B924" s="1" t="s">
        <v>1725</v>
      </c>
      <c r="C924" s="1" t="s">
        <v>1726</v>
      </c>
      <c r="D924" t="b">
        <f ca="1">IF(A924="","",[1]!s_techanal_rcnthigh(B924,$B$2,1,3))</f>
        <v>0</v>
      </c>
      <c r="E924">
        <f ca="1">IF(A924="","",COUNTIF(D$6:D924,"True"))</f>
        <v>8</v>
      </c>
      <c r="F924" t="str">
        <f t="shared" si="14"/>
        <v>002414.SZ</v>
      </c>
    </row>
    <row r="925" spans="1:6" x14ac:dyDescent="0.15">
      <c r="A925" s="2">
        <v>46089</v>
      </c>
      <c r="B925" s="1" t="s">
        <v>1727</v>
      </c>
      <c r="C925" s="1" t="s">
        <v>1728</v>
      </c>
      <c r="D925" t="b">
        <f ca="1">IF(A925="","",[1]!s_techanal_rcnthigh(B925,$B$2,1,3))</f>
        <v>0</v>
      </c>
      <c r="E925">
        <f ca="1">IF(A925="","",COUNTIF(D$6:D925,"True"))</f>
        <v>8</v>
      </c>
      <c r="F925" t="str">
        <f t="shared" si="14"/>
        <v>002415.SZ</v>
      </c>
    </row>
    <row r="926" spans="1:6" x14ac:dyDescent="0.15">
      <c r="A926" s="2">
        <v>46089</v>
      </c>
      <c r="B926" s="1" t="s">
        <v>1729</v>
      </c>
      <c r="C926" s="1" t="s">
        <v>1730</v>
      </c>
      <c r="D926" t="b">
        <f ca="1">IF(A926="","",[1]!s_techanal_rcnthigh(B926,$B$2,1,3))</f>
        <v>0</v>
      </c>
      <c r="E926">
        <f ca="1">IF(A926="","",COUNTIF(D$6:D926,"True"))</f>
        <v>8</v>
      </c>
      <c r="F926" t="str">
        <f t="shared" si="14"/>
        <v>002416.SZ</v>
      </c>
    </row>
    <row r="927" spans="1:6" x14ac:dyDescent="0.15">
      <c r="A927" s="2">
        <v>46089</v>
      </c>
      <c r="B927" s="1" t="s">
        <v>1731</v>
      </c>
      <c r="C927" s="1" t="s">
        <v>1732</v>
      </c>
      <c r="D927" t="b">
        <f ca="1">IF(A927="","",[1]!s_techanal_rcnthigh(B927,$B$2,1,3))</f>
        <v>0</v>
      </c>
      <c r="E927">
        <f ca="1">IF(A927="","",COUNTIF(D$6:D927,"True"))</f>
        <v>8</v>
      </c>
      <c r="F927" t="str">
        <f t="shared" si="14"/>
        <v>002418.SZ</v>
      </c>
    </row>
    <row r="928" spans="1:6" x14ac:dyDescent="0.15">
      <c r="A928" s="2">
        <v>46089</v>
      </c>
      <c r="B928" s="1" t="s">
        <v>1733</v>
      </c>
      <c r="C928" s="1" t="s">
        <v>1734</v>
      </c>
      <c r="D928" t="b">
        <f ca="1">IF(A928="","",[1]!s_techanal_rcnthigh(B928,$B$2,1,3))</f>
        <v>0</v>
      </c>
      <c r="E928">
        <f ca="1">IF(A928="","",COUNTIF(D$6:D928,"True"))</f>
        <v>8</v>
      </c>
      <c r="F928" t="str">
        <f t="shared" si="14"/>
        <v>002419.SZ</v>
      </c>
    </row>
    <row r="929" spans="1:6" x14ac:dyDescent="0.15">
      <c r="A929" s="2">
        <v>46089</v>
      </c>
      <c r="B929" s="1" t="s">
        <v>1735</v>
      </c>
      <c r="C929" s="1" t="s">
        <v>1736</v>
      </c>
      <c r="D929" t="b">
        <f ca="1">IF(A929="","",[1]!s_techanal_rcnthigh(B929,$B$2,1,3))</f>
        <v>0</v>
      </c>
      <c r="E929">
        <f ca="1">IF(A929="","",COUNTIF(D$6:D929,"True"))</f>
        <v>8</v>
      </c>
      <c r="F929" t="str">
        <f t="shared" si="14"/>
        <v>002420.SZ</v>
      </c>
    </row>
    <row r="930" spans="1:6" x14ac:dyDescent="0.15">
      <c r="A930" s="2">
        <v>46089</v>
      </c>
      <c r="B930" s="1" t="s">
        <v>1737</v>
      </c>
      <c r="C930" s="1" t="s">
        <v>1738</v>
      </c>
      <c r="D930" t="b">
        <f ca="1">IF(A930="","",[1]!s_techanal_rcnthigh(B930,$B$2,1,3))</f>
        <v>0</v>
      </c>
      <c r="E930">
        <f ca="1">IF(A930="","",COUNTIF(D$6:D930,"True"))</f>
        <v>8</v>
      </c>
      <c r="F930" t="str">
        <f t="shared" si="14"/>
        <v>002421.SZ</v>
      </c>
    </row>
    <row r="931" spans="1:6" x14ac:dyDescent="0.15">
      <c r="A931" s="2">
        <v>46089</v>
      </c>
      <c r="B931" s="1" t="s">
        <v>1739</v>
      </c>
      <c r="C931" s="1" t="s">
        <v>1740</v>
      </c>
      <c r="D931" t="b">
        <f ca="1">IF(A931="","",[1]!s_techanal_rcnthigh(B931,$B$2,1,3))</f>
        <v>0</v>
      </c>
      <c r="E931">
        <f ca="1">IF(A931="","",COUNTIF(D$6:D931,"True"))</f>
        <v>8</v>
      </c>
      <c r="F931" t="str">
        <f t="shared" si="14"/>
        <v>002422.SZ</v>
      </c>
    </row>
    <row r="932" spans="1:6" x14ac:dyDescent="0.15">
      <c r="A932" s="2">
        <v>46089</v>
      </c>
      <c r="B932" s="1" t="s">
        <v>1741</v>
      </c>
      <c r="C932" s="1" t="s">
        <v>1742</v>
      </c>
      <c r="D932" t="b">
        <f ca="1">IF(A932="","",[1]!s_techanal_rcnthigh(B932,$B$2,1,3))</f>
        <v>0</v>
      </c>
      <c r="E932">
        <f ca="1">IF(A932="","",COUNTIF(D$6:D932,"True"))</f>
        <v>8</v>
      </c>
      <c r="F932" t="str">
        <f t="shared" si="14"/>
        <v>002423.SZ</v>
      </c>
    </row>
    <row r="933" spans="1:6" x14ac:dyDescent="0.15">
      <c r="A933" s="2">
        <v>46089</v>
      </c>
      <c r="B933" s="1" t="s">
        <v>1743</v>
      </c>
      <c r="C933" s="1" t="s">
        <v>10135</v>
      </c>
      <c r="D933" t="b">
        <f ca="1">IF(A933="","",[1]!s_techanal_rcnthigh(B933,$B$2,1,3))</f>
        <v>0</v>
      </c>
      <c r="E933">
        <f ca="1">IF(A933="","",COUNTIF(D$6:D933,"True"))</f>
        <v>8</v>
      </c>
      <c r="F933" t="str">
        <f t="shared" si="14"/>
        <v>002424.SZ</v>
      </c>
    </row>
    <row r="934" spans="1:6" x14ac:dyDescent="0.15">
      <c r="A934" s="2">
        <v>46089</v>
      </c>
      <c r="B934" s="1" t="s">
        <v>1744</v>
      </c>
      <c r="C934" s="1" t="s">
        <v>1745</v>
      </c>
      <c r="D934" t="b">
        <f ca="1">IF(A934="","",[1]!s_techanal_rcnthigh(B934,$B$2,1,3))</f>
        <v>0</v>
      </c>
      <c r="E934">
        <f ca="1">IF(A934="","",COUNTIF(D$6:D934,"True"))</f>
        <v>8</v>
      </c>
      <c r="F934" t="str">
        <f t="shared" si="14"/>
        <v>002425.SZ</v>
      </c>
    </row>
    <row r="935" spans="1:6" x14ac:dyDescent="0.15">
      <c r="A935" s="2">
        <v>46089</v>
      </c>
      <c r="B935" s="1" t="s">
        <v>1746</v>
      </c>
      <c r="C935" s="1" t="s">
        <v>1747</v>
      </c>
      <c r="D935" t="b">
        <f ca="1">IF(A935="","",[1]!s_techanal_rcnthigh(B935,$B$2,1,3))</f>
        <v>0</v>
      </c>
      <c r="E935">
        <f ca="1">IF(A935="","",COUNTIF(D$6:D935,"True"))</f>
        <v>8</v>
      </c>
      <c r="F935" t="str">
        <f t="shared" si="14"/>
        <v>002426.SZ</v>
      </c>
    </row>
    <row r="936" spans="1:6" x14ac:dyDescent="0.15">
      <c r="A936" s="2">
        <v>46089</v>
      </c>
      <c r="B936" s="1" t="s">
        <v>1748</v>
      </c>
      <c r="C936" s="1" t="s">
        <v>1749</v>
      </c>
      <c r="D936" t="b">
        <f ca="1">IF(A936="","",[1]!s_techanal_rcnthigh(B936,$B$2,1,3))</f>
        <v>0</v>
      </c>
      <c r="E936">
        <f ca="1">IF(A936="","",COUNTIF(D$6:D936,"True"))</f>
        <v>8</v>
      </c>
      <c r="F936" t="str">
        <f t="shared" si="14"/>
        <v>002427.SZ</v>
      </c>
    </row>
    <row r="937" spans="1:6" x14ac:dyDescent="0.15">
      <c r="A937" s="2">
        <v>46089</v>
      </c>
      <c r="B937" s="1" t="s">
        <v>1750</v>
      </c>
      <c r="C937" s="1" t="s">
        <v>1751</v>
      </c>
      <c r="D937" t="b">
        <f ca="1">IF(A937="","",[1]!s_techanal_rcnthigh(B937,$B$2,1,3))</f>
        <v>0</v>
      </c>
      <c r="E937">
        <f ca="1">IF(A937="","",COUNTIF(D$6:D937,"True"))</f>
        <v>8</v>
      </c>
      <c r="F937" t="str">
        <f t="shared" si="14"/>
        <v>002428.SZ</v>
      </c>
    </row>
    <row r="938" spans="1:6" x14ac:dyDescent="0.15">
      <c r="A938" s="2">
        <v>46089</v>
      </c>
      <c r="B938" s="1" t="s">
        <v>1752</v>
      </c>
      <c r="C938" s="1" t="s">
        <v>1753</v>
      </c>
      <c r="D938" t="b">
        <f ca="1">IF(A938="","",[1]!s_techanal_rcnthigh(B938,$B$2,1,3))</f>
        <v>0</v>
      </c>
      <c r="E938">
        <f ca="1">IF(A938="","",COUNTIF(D$6:D938,"True"))</f>
        <v>8</v>
      </c>
      <c r="F938" t="str">
        <f t="shared" si="14"/>
        <v>002429.SZ</v>
      </c>
    </row>
    <row r="939" spans="1:6" x14ac:dyDescent="0.15">
      <c r="A939" s="2">
        <v>46089</v>
      </c>
      <c r="B939" s="1" t="s">
        <v>1754</v>
      </c>
      <c r="C939" s="1" t="s">
        <v>1755</v>
      </c>
      <c r="D939" t="b">
        <f ca="1">IF(A939="","",[1]!s_techanal_rcnthigh(B939,$B$2,1,3))</f>
        <v>0</v>
      </c>
      <c r="E939">
        <f ca="1">IF(A939="","",COUNTIF(D$6:D939,"True"))</f>
        <v>8</v>
      </c>
      <c r="F939" t="str">
        <f t="shared" si="14"/>
        <v>002430.SZ</v>
      </c>
    </row>
    <row r="940" spans="1:6" x14ac:dyDescent="0.15">
      <c r="A940" s="2">
        <v>46089</v>
      </c>
      <c r="B940" s="1" t="s">
        <v>1756</v>
      </c>
      <c r="C940" s="1" t="s">
        <v>1757</v>
      </c>
      <c r="D940" t="b">
        <f ca="1">IF(A940="","",[1]!s_techanal_rcnthigh(B940,$B$2,1,3))</f>
        <v>0</v>
      </c>
      <c r="E940">
        <f ca="1">IF(A940="","",COUNTIF(D$6:D940,"True"))</f>
        <v>8</v>
      </c>
      <c r="F940" t="str">
        <f t="shared" si="14"/>
        <v>002431.SZ</v>
      </c>
    </row>
    <row r="941" spans="1:6" x14ac:dyDescent="0.15">
      <c r="A941" s="2">
        <v>46089</v>
      </c>
      <c r="B941" s="1" t="s">
        <v>1758</v>
      </c>
      <c r="C941" s="1" t="s">
        <v>1759</v>
      </c>
      <c r="D941" t="b">
        <f ca="1">IF(A941="","",[1]!s_techanal_rcnthigh(B941,$B$2,1,3))</f>
        <v>0</v>
      </c>
      <c r="E941">
        <f ca="1">IF(A941="","",COUNTIF(D$6:D941,"True"))</f>
        <v>8</v>
      </c>
      <c r="F941" t="str">
        <f t="shared" si="14"/>
        <v>002432.SZ</v>
      </c>
    </row>
    <row r="942" spans="1:6" x14ac:dyDescent="0.15">
      <c r="A942" s="2">
        <v>46089</v>
      </c>
      <c r="B942" s="1" t="s">
        <v>1760</v>
      </c>
      <c r="C942" s="1" t="s">
        <v>1761</v>
      </c>
      <c r="D942" t="b">
        <f ca="1">IF(A942="","",[1]!s_techanal_rcnthigh(B942,$B$2,1,3))</f>
        <v>0</v>
      </c>
      <c r="E942">
        <f ca="1">IF(A942="","",COUNTIF(D$6:D942,"True"))</f>
        <v>8</v>
      </c>
      <c r="F942" t="str">
        <f t="shared" si="14"/>
        <v>002434.SZ</v>
      </c>
    </row>
    <row r="943" spans="1:6" x14ac:dyDescent="0.15">
      <c r="A943" s="2">
        <v>46089</v>
      </c>
      <c r="B943" s="1" t="s">
        <v>1762</v>
      </c>
      <c r="C943" s="1" t="s">
        <v>1763</v>
      </c>
      <c r="D943" t="b">
        <f ca="1">IF(A943="","",[1]!s_techanal_rcnthigh(B943,$B$2,1,3))</f>
        <v>0</v>
      </c>
      <c r="E943">
        <f ca="1">IF(A943="","",COUNTIF(D$6:D943,"True"))</f>
        <v>8</v>
      </c>
      <c r="F943" t="str">
        <f t="shared" si="14"/>
        <v>002436.SZ</v>
      </c>
    </row>
    <row r="944" spans="1:6" x14ac:dyDescent="0.15">
      <c r="A944" s="2">
        <v>46089</v>
      </c>
      <c r="B944" s="1" t="s">
        <v>1764</v>
      </c>
      <c r="C944" s="1" t="s">
        <v>1765</v>
      </c>
      <c r="D944" t="b">
        <f ca="1">IF(A944="","",[1]!s_techanal_rcnthigh(B944,$B$2,1,3))</f>
        <v>0</v>
      </c>
      <c r="E944">
        <f ca="1">IF(A944="","",COUNTIF(D$6:D944,"True"))</f>
        <v>8</v>
      </c>
      <c r="F944" t="str">
        <f t="shared" si="14"/>
        <v>002437.SZ</v>
      </c>
    </row>
    <row r="945" spans="1:6" x14ac:dyDescent="0.15">
      <c r="A945" s="2">
        <v>46089</v>
      </c>
      <c r="B945" s="1" t="s">
        <v>1766</v>
      </c>
      <c r="C945" s="1" t="s">
        <v>1767</v>
      </c>
      <c r="D945" t="b">
        <f ca="1">IF(A945="","",[1]!s_techanal_rcnthigh(B945,$B$2,1,3))</f>
        <v>0</v>
      </c>
      <c r="E945">
        <f ca="1">IF(A945="","",COUNTIF(D$6:D945,"True"))</f>
        <v>8</v>
      </c>
      <c r="F945" t="str">
        <f t="shared" si="14"/>
        <v>002438.SZ</v>
      </c>
    </row>
    <row r="946" spans="1:6" x14ac:dyDescent="0.15">
      <c r="A946" s="2">
        <v>46089</v>
      </c>
      <c r="B946" s="1" t="s">
        <v>1768</v>
      </c>
      <c r="C946" s="1" t="s">
        <v>1769</v>
      </c>
      <c r="D946" t="b">
        <f ca="1">IF(A946="","",[1]!s_techanal_rcnthigh(B946,$B$2,1,3))</f>
        <v>0</v>
      </c>
      <c r="E946">
        <f ca="1">IF(A946="","",COUNTIF(D$6:D946,"True"))</f>
        <v>8</v>
      </c>
      <c r="F946" t="str">
        <f t="shared" si="14"/>
        <v>002439.SZ</v>
      </c>
    </row>
    <row r="947" spans="1:6" x14ac:dyDescent="0.15">
      <c r="A947" s="2">
        <v>46089</v>
      </c>
      <c r="B947" s="1" t="s">
        <v>1770</v>
      </c>
      <c r="C947" s="1" t="s">
        <v>1771</v>
      </c>
      <c r="D947" t="b">
        <f ca="1">IF(A947="","",[1]!s_techanal_rcnthigh(B947,$B$2,1,3))</f>
        <v>0</v>
      </c>
      <c r="E947">
        <f ca="1">IF(A947="","",COUNTIF(D$6:D947,"True"))</f>
        <v>8</v>
      </c>
      <c r="F947" t="str">
        <f t="shared" si="14"/>
        <v>002440.SZ</v>
      </c>
    </row>
    <row r="948" spans="1:6" x14ac:dyDescent="0.15">
      <c r="A948" s="2">
        <v>46089</v>
      </c>
      <c r="B948" s="1" t="s">
        <v>1772</v>
      </c>
      <c r="C948" s="1" t="s">
        <v>1773</v>
      </c>
      <c r="D948" t="b">
        <f ca="1">IF(A948="","",[1]!s_techanal_rcnthigh(B948,$B$2,1,3))</f>
        <v>0</v>
      </c>
      <c r="E948">
        <f ca="1">IF(A948="","",COUNTIF(D$6:D948,"True"))</f>
        <v>8</v>
      </c>
      <c r="F948" t="str">
        <f t="shared" si="14"/>
        <v>002441.SZ</v>
      </c>
    </row>
    <row r="949" spans="1:6" x14ac:dyDescent="0.15">
      <c r="A949" s="2">
        <v>46089</v>
      </c>
      <c r="B949" s="1" t="s">
        <v>1774</v>
      </c>
      <c r="C949" s="1" t="s">
        <v>10136</v>
      </c>
      <c r="D949" t="b">
        <f ca="1">IF(A949="","",[1]!s_techanal_rcnthigh(B949,$B$2,1,3))</f>
        <v>0</v>
      </c>
      <c r="E949">
        <f ca="1">IF(A949="","",COUNTIF(D$6:D949,"True"))</f>
        <v>8</v>
      </c>
      <c r="F949" t="str">
        <f t="shared" si="14"/>
        <v>002442.SZ</v>
      </c>
    </row>
    <row r="950" spans="1:6" x14ac:dyDescent="0.15">
      <c r="A950" s="2">
        <v>46089</v>
      </c>
      <c r="B950" s="1" t="s">
        <v>1775</v>
      </c>
      <c r="C950" s="1" t="s">
        <v>1776</v>
      </c>
      <c r="D950" t="b">
        <f ca="1">IF(A950="","",[1]!s_techanal_rcnthigh(B950,$B$2,1,3))</f>
        <v>0</v>
      </c>
      <c r="E950">
        <f ca="1">IF(A950="","",COUNTIF(D$6:D950,"True"))</f>
        <v>8</v>
      </c>
      <c r="F950" t="str">
        <f t="shared" si="14"/>
        <v>002443.SZ</v>
      </c>
    </row>
    <row r="951" spans="1:6" x14ac:dyDescent="0.15">
      <c r="A951" s="2">
        <v>46089</v>
      </c>
      <c r="B951" s="1" t="s">
        <v>1777</v>
      </c>
      <c r="C951" s="1" t="s">
        <v>1778</v>
      </c>
      <c r="D951" t="b">
        <f ca="1">IF(A951="","",[1]!s_techanal_rcnthigh(B951,$B$2,1,3))</f>
        <v>0</v>
      </c>
      <c r="E951">
        <f ca="1">IF(A951="","",COUNTIF(D$6:D951,"True"))</f>
        <v>8</v>
      </c>
      <c r="F951" t="str">
        <f t="shared" si="14"/>
        <v>002444.SZ</v>
      </c>
    </row>
    <row r="952" spans="1:6" x14ac:dyDescent="0.15">
      <c r="A952" s="2">
        <v>46089</v>
      </c>
      <c r="B952" s="1" t="s">
        <v>1779</v>
      </c>
      <c r="C952" s="1" t="s">
        <v>1780</v>
      </c>
      <c r="D952" t="b">
        <f ca="1">IF(A952="","",[1]!s_techanal_rcnthigh(B952,$B$2,1,3))</f>
        <v>0</v>
      </c>
      <c r="E952">
        <f ca="1">IF(A952="","",COUNTIF(D$6:D952,"True"))</f>
        <v>8</v>
      </c>
      <c r="F952" t="str">
        <f t="shared" si="14"/>
        <v>002445.SZ</v>
      </c>
    </row>
    <row r="953" spans="1:6" x14ac:dyDescent="0.15">
      <c r="A953" s="2">
        <v>46089</v>
      </c>
      <c r="B953" s="1" t="s">
        <v>1781</v>
      </c>
      <c r="C953" s="1" t="s">
        <v>1782</v>
      </c>
      <c r="D953" t="b">
        <f ca="1">IF(A953="","",[1]!s_techanal_rcnthigh(B953,$B$2,1,3))</f>
        <v>0</v>
      </c>
      <c r="E953">
        <f ca="1">IF(A953="","",COUNTIF(D$6:D953,"True"))</f>
        <v>8</v>
      </c>
      <c r="F953" t="str">
        <f t="shared" si="14"/>
        <v>002446.SZ</v>
      </c>
    </row>
    <row r="954" spans="1:6" x14ac:dyDescent="0.15">
      <c r="A954" s="2">
        <v>46089</v>
      </c>
      <c r="B954" s="1" t="s">
        <v>1783</v>
      </c>
      <c r="C954" s="1" t="s">
        <v>1784</v>
      </c>
      <c r="D954" t="b">
        <f ca="1">IF(A954="","",[1]!s_techanal_rcnthigh(B954,$B$2,1,3))</f>
        <v>0</v>
      </c>
      <c r="E954">
        <f ca="1">IF(A954="","",COUNTIF(D$6:D954,"True"))</f>
        <v>8</v>
      </c>
      <c r="F954" t="str">
        <f t="shared" si="14"/>
        <v>002448.SZ</v>
      </c>
    </row>
    <row r="955" spans="1:6" x14ac:dyDescent="0.15">
      <c r="A955" s="2">
        <v>46089</v>
      </c>
      <c r="B955" s="1" t="s">
        <v>1785</v>
      </c>
      <c r="C955" s="1" t="s">
        <v>1786</v>
      </c>
      <c r="D955" t="b">
        <f ca="1">IF(A955="","",[1]!s_techanal_rcnthigh(B955,$B$2,1,3))</f>
        <v>0</v>
      </c>
      <c r="E955">
        <f ca="1">IF(A955="","",COUNTIF(D$6:D955,"True"))</f>
        <v>8</v>
      </c>
      <c r="F955" t="str">
        <f t="shared" si="14"/>
        <v>002449.SZ</v>
      </c>
    </row>
    <row r="956" spans="1:6" x14ac:dyDescent="0.15">
      <c r="A956" s="2">
        <v>46089</v>
      </c>
      <c r="B956" s="1" t="s">
        <v>1787</v>
      </c>
      <c r="C956" s="1" t="s">
        <v>1788</v>
      </c>
      <c r="D956" t="b">
        <f ca="1">IF(A956="","",[1]!s_techanal_rcnthigh(B956,$B$2,1,3))</f>
        <v>0</v>
      </c>
      <c r="E956">
        <f ca="1">IF(A956="","",COUNTIF(D$6:D956,"True"))</f>
        <v>8</v>
      </c>
      <c r="F956" t="str">
        <f t="shared" si="14"/>
        <v>002451.SZ</v>
      </c>
    </row>
    <row r="957" spans="1:6" x14ac:dyDescent="0.15">
      <c r="A957" s="2">
        <v>46089</v>
      </c>
      <c r="B957" s="1" t="s">
        <v>1789</v>
      </c>
      <c r="C957" s="1" t="s">
        <v>1790</v>
      </c>
      <c r="D957" t="b">
        <f ca="1">IF(A957="","",[1]!s_techanal_rcnthigh(B957,$B$2,1,3))</f>
        <v>0</v>
      </c>
      <c r="E957">
        <f ca="1">IF(A957="","",COUNTIF(D$6:D957,"True"))</f>
        <v>8</v>
      </c>
      <c r="F957" t="str">
        <f t="shared" si="14"/>
        <v>002452.SZ</v>
      </c>
    </row>
    <row r="958" spans="1:6" x14ac:dyDescent="0.15">
      <c r="A958" s="2">
        <v>46089</v>
      </c>
      <c r="B958" s="1" t="s">
        <v>1791</v>
      </c>
      <c r="C958" s="1" t="s">
        <v>1792</v>
      </c>
      <c r="D958" t="b">
        <f ca="1">IF(A958="","",[1]!s_techanal_rcnthigh(B958,$B$2,1,3))</f>
        <v>0</v>
      </c>
      <c r="E958">
        <f ca="1">IF(A958="","",COUNTIF(D$6:D958,"True"))</f>
        <v>8</v>
      </c>
      <c r="F958" t="str">
        <f t="shared" si="14"/>
        <v>002453.SZ</v>
      </c>
    </row>
    <row r="959" spans="1:6" x14ac:dyDescent="0.15">
      <c r="A959" s="2">
        <v>46089</v>
      </c>
      <c r="B959" s="1" t="s">
        <v>1793</v>
      </c>
      <c r="C959" s="1" t="s">
        <v>1794</v>
      </c>
      <c r="D959" t="b">
        <f ca="1">IF(A959="","",[1]!s_techanal_rcnthigh(B959,$B$2,1,3))</f>
        <v>0</v>
      </c>
      <c r="E959">
        <f ca="1">IF(A959="","",COUNTIF(D$6:D959,"True"))</f>
        <v>8</v>
      </c>
      <c r="F959" t="str">
        <f t="shared" si="14"/>
        <v>002454.SZ</v>
      </c>
    </row>
    <row r="960" spans="1:6" x14ac:dyDescent="0.15">
      <c r="A960" s="2">
        <v>46089</v>
      </c>
      <c r="B960" s="1" t="s">
        <v>1795</v>
      </c>
      <c r="C960" s="1" t="s">
        <v>1796</v>
      </c>
      <c r="D960" t="b">
        <f ca="1">IF(A960="","",[1]!s_techanal_rcnthigh(B960,$B$2,1,3))</f>
        <v>0</v>
      </c>
      <c r="E960">
        <f ca="1">IF(A960="","",COUNTIF(D$6:D960,"True"))</f>
        <v>8</v>
      </c>
      <c r="F960" t="str">
        <f t="shared" si="14"/>
        <v>002455.SZ</v>
      </c>
    </row>
    <row r="961" spans="1:6" x14ac:dyDescent="0.15">
      <c r="A961" s="2">
        <v>46089</v>
      </c>
      <c r="B961" s="1" t="s">
        <v>1797</v>
      </c>
      <c r="C961" s="1" t="s">
        <v>1798</v>
      </c>
      <c r="D961" t="b">
        <f ca="1">IF(A961="","",[1]!s_techanal_rcnthigh(B961,$B$2,1,3))</f>
        <v>0</v>
      </c>
      <c r="E961">
        <f ca="1">IF(A961="","",COUNTIF(D$6:D961,"True"))</f>
        <v>8</v>
      </c>
      <c r="F961" t="str">
        <f t="shared" si="14"/>
        <v>002456.SZ</v>
      </c>
    </row>
    <row r="962" spans="1:6" x14ac:dyDescent="0.15">
      <c r="A962" s="2">
        <v>46089</v>
      </c>
      <c r="B962" s="1" t="s">
        <v>1799</v>
      </c>
      <c r="C962" s="1" t="s">
        <v>1800</v>
      </c>
      <c r="D962" t="b">
        <f ca="1">IF(A962="","",[1]!s_techanal_rcnthigh(B962,$B$2,1,3))</f>
        <v>0</v>
      </c>
      <c r="E962">
        <f ca="1">IF(A962="","",COUNTIF(D$6:D962,"True"))</f>
        <v>8</v>
      </c>
      <c r="F962" t="str">
        <f t="shared" si="14"/>
        <v>002457.SZ</v>
      </c>
    </row>
    <row r="963" spans="1:6" x14ac:dyDescent="0.15">
      <c r="A963" s="2">
        <v>46089</v>
      </c>
      <c r="B963" s="1" t="s">
        <v>1801</v>
      </c>
      <c r="C963" s="1" t="s">
        <v>1802</v>
      </c>
      <c r="D963" t="b">
        <f ca="1">IF(A963="","",[1]!s_techanal_rcnthigh(B963,$B$2,1,3))</f>
        <v>0</v>
      </c>
      <c r="E963">
        <f ca="1">IF(A963="","",COUNTIF(D$6:D963,"True"))</f>
        <v>8</v>
      </c>
      <c r="F963" t="str">
        <f t="shared" si="14"/>
        <v>002458.SZ</v>
      </c>
    </row>
    <row r="964" spans="1:6" x14ac:dyDescent="0.15">
      <c r="A964" s="2">
        <v>46089</v>
      </c>
      <c r="B964" s="1" t="s">
        <v>1803</v>
      </c>
      <c r="C964" s="1" t="s">
        <v>1804</v>
      </c>
      <c r="D964" t="b">
        <f ca="1">IF(A964="","",[1]!s_techanal_rcnthigh(B964,$B$2,1,3))</f>
        <v>0</v>
      </c>
      <c r="E964">
        <f ca="1">IF(A964="","",COUNTIF(D$6:D964,"True"))</f>
        <v>8</v>
      </c>
      <c r="F964" t="str">
        <f t="shared" si="14"/>
        <v>002459.SZ</v>
      </c>
    </row>
    <row r="965" spans="1:6" x14ac:dyDescent="0.15">
      <c r="A965" s="2">
        <v>46089</v>
      </c>
      <c r="B965" s="1" t="s">
        <v>1805</v>
      </c>
      <c r="C965" s="1" t="s">
        <v>1806</v>
      </c>
      <c r="D965" t="b">
        <f ca="1">IF(A965="","",[1]!s_techanal_rcnthigh(B965,$B$2,1,3))</f>
        <v>0</v>
      </c>
      <c r="E965">
        <f ca="1">IF(A965="","",COUNTIF(D$6:D965,"True"))</f>
        <v>8</v>
      </c>
      <c r="F965" t="str">
        <f t="shared" si="14"/>
        <v>002460.SZ</v>
      </c>
    </row>
    <row r="966" spans="1:6" x14ac:dyDescent="0.15">
      <c r="A966" s="2">
        <v>46089</v>
      </c>
      <c r="B966" s="1" t="s">
        <v>1807</v>
      </c>
      <c r="C966" s="1" t="s">
        <v>1808</v>
      </c>
      <c r="D966" t="b">
        <f ca="1">IF(A966="","",[1]!s_techanal_rcnthigh(B966,$B$2,1,3))</f>
        <v>0</v>
      </c>
      <c r="E966">
        <f ca="1">IF(A966="","",COUNTIF(D$6:D966,"True"))</f>
        <v>8</v>
      </c>
      <c r="F966" t="str">
        <f t="shared" ref="F966:F1029" si="15">IF(B966="","",B966)</f>
        <v>002461.SZ</v>
      </c>
    </row>
    <row r="967" spans="1:6" x14ac:dyDescent="0.15">
      <c r="A967" s="2">
        <v>46089</v>
      </c>
      <c r="B967" s="1" t="s">
        <v>1809</v>
      </c>
      <c r="C967" s="1" t="s">
        <v>1810</v>
      </c>
      <c r="D967" t="b">
        <f ca="1">IF(A967="","",[1]!s_techanal_rcnthigh(B967,$B$2,1,3))</f>
        <v>0</v>
      </c>
      <c r="E967">
        <f ca="1">IF(A967="","",COUNTIF(D$6:D967,"True"))</f>
        <v>8</v>
      </c>
      <c r="F967" t="str">
        <f t="shared" si="15"/>
        <v>002462.SZ</v>
      </c>
    </row>
    <row r="968" spans="1:6" x14ac:dyDescent="0.15">
      <c r="A968" s="2">
        <v>46089</v>
      </c>
      <c r="B968" s="1" t="s">
        <v>1811</v>
      </c>
      <c r="C968" s="1" t="s">
        <v>1812</v>
      </c>
      <c r="D968" t="b">
        <f ca="1">IF(A968="","",[1]!s_techanal_rcnthigh(B968,$B$2,1,3))</f>
        <v>0</v>
      </c>
      <c r="E968">
        <f ca="1">IF(A968="","",COUNTIF(D$6:D968,"True"))</f>
        <v>8</v>
      </c>
      <c r="F968" t="str">
        <f t="shared" si="15"/>
        <v>002463.SZ</v>
      </c>
    </row>
    <row r="969" spans="1:6" x14ac:dyDescent="0.15">
      <c r="A969" s="2">
        <v>46089</v>
      </c>
      <c r="B969" s="1" t="s">
        <v>1813</v>
      </c>
      <c r="C969" s="1" t="s">
        <v>1814</v>
      </c>
      <c r="D969" t="b">
        <f ca="1">IF(A969="","",[1]!s_techanal_rcnthigh(B969,$B$2,1,3))</f>
        <v>0</v>
      </c>
      <c r="E969">
        <f ca="1">IF(A969="","",COUNTIF(D$6:D969,"True"))</f>
        <v>8</v>
      </c>
      <c r="F969" t="str">
        <f t="shared" si="15"/>
        <v>002465.SZ</v>
      </c>
    </row>
    <row r="970" spans="1:6" x14ac:dyDescent="0.15">
      <c r="A970" s="2">
        <v>46089</v>
      </c>
      <c r="B970" s="1" t="s">
        <v>1815</v>
      </c>
      <c r="C970" s="1" t="s">
        <v>1816</v>
      </c>
      <c r="D970" t="b">
        <f ca="1">IF(A970="","",[1]!s_techanal_rcnthigh(B970,$B$2,1,3))</f>
        <v>0</v>
      </c>
      <c r="E970">
        <f ca="1">IF(A970="","",COUNTIF(D$6:D970,"True"))</f>
        <v>8</v>
      </c>
      <c r="F970" t="str">
        <f t="shared" si="15"/>
        <v>002466.SZ</v>
      </c>
    </row>
    <row r="971" spans="1:6" x14ac:dyDescent="0.15">
      <c r="A971" s="2">
        <v>46089</v>
      </c>
      <c r="B971" s="1" t="s">
        <v>1817</v>
      </c>
      <c r="C971" s="1" t="s">
        <v>1818</v>
      </c>
      <c r="D971" t="b">
        <f ca="1">IF(A971="","",[1]!s_techanal_rcnthigh(B971,$B$2,1,3))</f>
        <v>0</v>
      </c>
      <c r="E971">
        <f ca="1">IF(A971="","",COUNTIF(D$6:D971,"True"))</f>
        <v>8</v>
      </c>
      <c r="F971" t="str">
        <f t="shared" si="15"/>
        <v>002467.SZ</v>
      </c>
    </row>
    <row r="972" spans="1:6" x14ac:dyDescent="0.15">
      <c r="A972" s="2">
        <v>46089</v>
      </c>
      <c r="B972" s="1" t="s">
        <v>1819</v>
      </c>
      <c r="C972" s="1" t="s">
        <v>1820</v>
      </c>
      <c r="D972" t="b">
        <f ca="1">IF(A972="","",[1]!s_techanal_rcnthigh(B972,$B$2,1,3))</f>
        <v>0</v>
      </c>
      <c r="E972">
        <f ca="1">IF(A972="","",COUNTIF(D$6:D972,"True"))</f>
        <v>8</v>
      </c>
      <c r="F972" t="str">
        <f t="shared" si="15"/>
        <v>002468.SZ</v>
      </c>
    </row>
    <row r="973" spans="1:6" x14ac:dyDescent="0.15">
      <c r="A973" s="2">
        <v>46089</v>
      </c>
      <c r="B973" s="1" t="s">
        <v>1821</v>
      </c>
      <c r="C973" s="1" t="s">
        <v>1822</v>
      </c>
      <c r="D973" t="b">
        <f ca="1">IF(A973="","",[1]!s_techanal_rcnthigh(B973,$B$2,1,3))</f>
        <v>0</v>
      </c>
      <c r="E973">
        <f ca="1">IF(A973="","",COUNTIF(D$6:D973,"True"))</f>
        <v>8</v>
      </c>
      <c r="F973" t="str">
        <f t="shared" si="15"/>
        <v>002469.SZ</v>
      </c>
    </row>
    <row r="974" spans="1:6" x14ac:dyDescent="0.15">
      <c r="A974" s="2">
        <v>46089</v>
      </c>
      <c r="B974" s="1" t="s">
        <v>1823</v>
      </c>
      <c r="C974" s="1" t="s">
        <v>1824</v>
      </c>
      <c r="D974" t="b">
        <f ca="1">IF(A974="","",[1]!s_techanal_rcnthigh(B974,$B$2,1,3))</f>
        <v>0</v>
      </c>
      <c r="E974">
        <f ca="1">IF(A974="","",COUNTIF(D$6:D974,"True"))</f>
        <v>8</v>
      </c>
      <c r="F974" t="str">
        <f t="shared" si="15"/>
        <v>002470.SZ</v>
      </c>
    </row>
    <row r="975" spans="1:6" x14ac:dyDescent="0.15">
      <c r="A975" s="2">
        <v>46089</v>
      </c>
      <c r="B975" s="1" t="s">
        <v>1825</v>
      </c>
      <c r="C975" s="1" t="s">
        <v>1826</v>
      </c>
      <c r="D975" t="b">
        <f ca="1">IF(A975="","",[1]!s_techanal_rcnthigh(B975,$B$2,1,3))</f>
        <v>0</v>
      </c>
      <c r="E975">
        <f ca="1">IF(A975="","",COUNTIF(D$6:D975,"True"))</f>
        <v>8</v>
      </c>
      <c r="F975" t="str">
        <f t="shared" si="15"/>
        <v>002471.SZ</v>
      </c>
    </row>
    <row r="976" spans="1:6" x14ac:dyDescent="0.15">
      <c r="A976" s="2">
        <v>46089</v>
      </c>
      <c r="B976" s="1" t="s">
        <v>1827</v>
      </c>
      <c r="C976" s="1" t="s">
        <v>1828</v>
      </c>
      <c r="D976" t="b">
        <f ca="1">IF(A976="","",[1]!s_techanal_rcnthigh(B976,$B$2,1,3))</f>
        <v>0</v>
      </c>
      <c r="E976">
        <f ca="1">IF(A976="","",COUNTIF(D$6:D976,"True"))</f>
        <v>8</v>
      </c>
      <c r="F976" t="str">
        <f t="shared" si="15"/>
        <v>002472.SZ</v>
      </c>
    </row>
    <row r="977" spans="1:6" x14ac:dyDescent="0.15">
      <c r="A977" s="2">
        <v>46089</v>
      </c>
      <c r="B977" s="1" t="s">
        <v>1829</v>
      </c>
      <c r="C977" s="1" t="s">
        <v>1830</v>
      </c>
      <c r="D977" t="b">
        <f ca="1">IF(A977="","",[1]!s_techanal_rcnthigh(B977,$B$2,1,3))</f>
        <v>0</v>
      </c>
      <c r="E977">
        <f ca="1">IF(A977="","",COUNTIF(D$6:D977,"True"))</f>
        <v>8</v>
      </c>
      <c r="F977" t="str">
        <f t="shared" si="15"/>
        <v>002474.SZ</v>
      </c>
    </row>
    <row r="978" spans="1:6" x14ac:dyDescent="0.15">
      <c r="A978" s="2">
        <v>46089</v>
      </c>
      <c r="B978" s="1" t="s">
        <v>1831</v>
      </c>
      <c r="C978" s="1" t="s">
        <v>1832</v>
      </c>
      <c r="D978" t="b">
        <f ca="1">IF(A978="","",[1]!s_techanal_rcnthigh(B978,$B$2,1,3))</f>
        <v>0</v>
      </c>
      <c r="E978">
        <f ca="1">IF(A978="","",COUNTIF(D$6:D978,"True"))</f>
        <v>8</v>
      </c>
      <c r="F978" t="str">
        <f t="shared" si="15"/>
        <v>002475.SZ</v>
      </c>
    </row>
    <row r="979" spans="1:6" x14ac:dyDescent="0.15">
      <c r="A979" s="2">
        <v>46089</v>
      </c>
      <c r="B979" s="1" t="s">
        <v>1833</v>
      </c>
      <c r="C979" s="1" t="s">
        <v>1834</v>
      </c>
      <c r="D979" t="b">
        <f ca="1">IF(A979="","",[1]!s_techanal_rcnthigh(B979,$B$2,1,3))</f>
        <v>0</v>
      </c>
      <c r="E979">
        <f ca="1">IF(A979="","",COUNTIF(D$6:D979,"True"))</f>
        <v>8</v>
      </c>
      <c r="F979" t="str">
        <f t="shared" si="15"/>
        <v>002476.SZ</v>
      </c>
    </row>
    <row r="980" spans="1:6" x14ac:dyDescent="0.15">
      <c r="A980" s="2">
        <v>46089</v>
      </c>
      <c r="B980" s="1" t="s">
        <v>1835</v>
      </c>
      <c r="C980" s="1" t="s">
        <v>1836</v>
      </c>
      <c r="D980" t="b">
        <f ca="1">IF(A980="","",[1]!s_techanal_rcnthigh(B980,$B$2,1,3))</f>
        <v>0</v>
      </c>
      <c r="E980">
        <f ca="1">IF(A980="","",COUNTIF(D$6:D980,"True"))</f>
        <v>8</v>
      </c>
      <c r="F980" t="str">
        <f t="shared" si="15"/>
        <v>002478.SZ</v>
      </c>
    </row>
    <row r="981" spans="1:6" x14ac:dyDescent="0.15">
      <c r="A981" s="2">
        <v>46089</v>
      </c>
      <c r="B981" s="1" t="s">
        <v>1837</v>
      </c>
      <c r="C981" s="1" t="s">
        <v>1838</v>
      </c>
      <c r="D981" t="b">
        <f ca="1">IF(A981="","",[1]!s_techanal_rcnthigh(B981,$B$2,1,3))</f>
        <v>0</v>
      </c>
      <c r="E981">
        <f ca="1">IF(A981="","",COUNTIF(D$6:D981,"True"))</f>
        <v>8</v>
      </c>
      <c r="F981" t="str">
        <f t="shared" si="15"/>
        <v>002479.SZ</v>
      </c>
    </row>
    <row r="982" spans="1:6" x14ac:dyDescent="0.15">
      <c r="A982" s="2">
        <v>46089</v>
      </c>
      <c r="B982" s="1" t="s">
        <v>1839</v>
      </c>
      <c r="C982" s="1" t="s">
        <v>1840</v>
      </c>
      <c r="D982" t="b">
        <f ca="1">IF(A982="","",[1]!s_techanal_rcnthigh(B982,$B$2,1,3))</f>
        <v>0</v>
      </c>
      <c r="E982">
        <f ca="1">IF(A982="","",COUNTIF(D$6:D982,"True"))</f>
        <v>8</v>
      </c>
      <c r="F982" t="str">
        <f t="shared" si="15"/>
        <v>002480.SZ</v>
      </c>
    </row>
    <row r="983" spans="1:6" x14ac:dyDescent="0.15">
      <c r="A983" s="2">
        <v>46089</v>
      </c>
      <c r="B983" s="1" t="s">
        <v>1841</v>
      </c>
      <c r="C983" s="1" t="s">
        <v>1842</v>
      </c>
      <c r="D983" t="b">
        <f ca="1">IF(A983="","",[1]!s_techanal_rcnthigh(B983,$B$2,1,3))</f>
        <v>0</v>
      </c>
      <c r="E983">
        <f ca="1">IF(A983="","",COUNTIF(D$6:D983,"True"))</f>
        <v>8</v>
      </c>
      <c r="F983" t="str">
        <f t="shared" si="15"/>
        <v>002481.SZ</v>
      </c>
    </row>
    <row r="984" spans="1:6" x14ac:dyDescent="0.15">
      <c r="A984" s="2">
        <v>46089</v>
      </c>
      <c r="B984" s="1" t="s">
        <v>1843</v>
      </c>
      <c r="C984" s="1" t="s">
        <v>10137</v>
      </c>
      <c r="D984" t="b">
        <f ca="1">IF(A984="","",[1]!s_techanal_rcnthigh(B984,$B$2,1,3))</f>
        <v>0</v>
      </c>
      <c r="E984">
        <f ca="1">IF(A984="","",COUNTIF(D$6:D984,"True"))</f>
        <v>8</v>
      </c>
      <c r="F984" t="str">
        <f t="shared" si="15"/>
        <v>002482.SZ</v>
      </c>
    </row>
    <row r="985" spans="1:6" x14ac:dyDescent="0.15">
      <c r="A985" s="2">
        <v>46089</v>
      </c>
      <c r="B985" s="1" t="s">
        <v>1844</v>
      </c>
      <c r="C985" s="1" t="s">
        <v>1845</v>
      </c>
      <c r="D985" t="b">
        <f ca="1">IF(A985="","",[1]!s_techanal_rcnthigh(B985,$B$2,1,3))</f>
        <v>0</v>
      </c>
      <c r="E985">
        <f ca="1">IF(A985="","",COUNTIF(D$6:D985,"True"))</f>
        <v>8</v>
      </c>
      <c r="F985" t="str">
        <f t="shared" si="15"/>
        <v>002483.SZ</v>
      </c>
    </row>
    <row r="986" spans="1:6" x14ac:dyDescent="0.15">
      <c r="A986" s="2">
        <v>46089</v>
      </c>
      <c r="B986" s="1" t="s">
        <v>1846</v>
      </c>
      <c r="C986" s="1" t="s">
        <v>1847</v>
      </c>
      <c r="D986" t="b">
        <f ca="1">IF(A986="","",[1]!s_techanal_rcnthigh(B986,$B$2,1,3))</f>
        <v>0</v>
      </c>
      <c r="E986">
        <f ca="1">IF(A986="","",COUNTIF(D$6:D986,"True"))</f>
        <v>8</v>
      </c>
      <c r="F986" t="str">
        <f t="shared" si="15"/>
        <v>002484.SZ</v>
      </c>
    </row>
    <row r="987" spans="1:6" x14ac:dyDescent="0.15">
      <c r="A987" s="2">
        <v>46089</v>
      </c>
      <c r="B987" s="1" t="s">
        <v>1848</v>
      </c>
      <c r="C987" s="1" t="s">
        <v>1849</v>
      </c>
      <c r="D987" t="b">
        <f ca="1">IF(A987="","",[1]!s_techanal_rcnthigh(B987,$B$2,1,3))</f>
        <v>0</v>
      </c>
      <c r="E987">
        <f ca="1">IF(A987="","",COUNTIF(D$6:D987,"True"))</f>
        <v>8</v>
      </c>
      <c r="F987" t="str">
        <f t="shared" si="15"/>
        <v>002485.SZ</v>
      </c>
    </row>
    <row r="988" spans="1:6" x14ac:dyDescent="0.15">
      <c r="A988" s="2">
        <v>46089</v>
      </c>
      <c r="B988" s="1" t="s">
        <v>1850</v>
      </c>
      <c r="C988" s="1" t="s">
        <v>1851</v>
      </c>
      <c r="D988" t="b">
        <f ca="1">IF(A988="","",[1]!s_techanal_rcnthigh(B988,$B$2,1,3))</f>
        <v>0</v>
      </c>
      <c r="E988">
        <f ca="1">IF(A988="","",COUNTIF(D$6:D988,"True"))</f>
        <v>8</v>
      </c>
      <c r="F988" t="str">
        <f t="shared" si="15"/>
        <v>002486.SZ</v>
      </c>
    </row>
    <row r="989" spans="1:6" x14ac:dyDescent="0.15">
      <c r="A989" s="2">
        <v>46089</v>
      </c>
      <c r="B989" s="1" t="s">
        <v>1852</v>
      </c>
      <c r="C989" s="1" t="s">
        <v>1853</v>
      </c>
      <c r="D989" t="b">
        <f ca="1">IF(A989="","",[1]!s_techanal_rcnthigh(B989,$B$2,1,3))</f>
        <v>0</v>
      </c>
      <c r="E989">
        <f ca="1">IF(A989="","",COUNTIF(D$6:D989,"True"))</f>
        <v>8</v>
      </c>
      <c r="F989" t="str">
        <f t="shared" si="15"/>
        <v>002487.SZ</v>
      </c>
    </row>
    <row r="990" spans="1:6" x14ac:dyDescent="0.15">
      <c r="A990" s="2">
        <v>46089</v>
      </c>
      <c r="B990" s="1" t="s">
        <v>1854</v>
      </c>
      <c r="C990" s="1" t="s">
        <v>1855</v>
      </c>
      <c r="D990" t="b">
        <f ca="1">IF(A990="","",[1]!s_techanal_rcnthigh(B990,$B$2,1,3))</f>
        <v>0</v>
      </c>
      <c r="E990">
        <f ca="1">IF(A990="","",COUNTIF(D$6:D990,"True"))</f>
        <v>8</v>
      </c>
      <c r="F990" t="str">
        <f t="shared" si="15"/>
        <v>002488.SZ</v>
      </c>
    </row>
    <row r="991" spans="1:6" x14ac:dyDescent="0.15">
      <c r="A991" s="2">
        <v>46089</v>
      </c>
      <c r="B991" s="1" t="s">
        <v>1856</v>
      </c>
      <c r="C991" s="1" t="s">
        <v>1857</v>
      </c>
      <c r="D991" t="b">
        <f ca="1">IF(A991="","",[1]!s_techanal_rcnthigh(B991,$B$2,1,3))</f>
        <v>0</v>
      </c>
      <c r="E991">
        <f ca="1">IF(A991="","",COUNTIF(D$6:D991,"True"))</f>
        <v>8</v>
      </c>
      <c r="F991" t="str">
        <f t="shared" si="15"/>
        <v>002489.SZ</v>
      </c>
    </row>
    <row r="992" spans="1:6" x14ac:dyDescent="0.15">
      <c r="A992" s="2">
        <v>46089</v>
      </c>
      <c r="B992" s="1" t="s">
        <v>1858</v>
      </c>
      <c r="C992" s="1" t="s">
        <v>10138</v>
      </c>
      <c r="D992" t="b">
        <f ca="1">IF(A992="","",[1]!s_techanal_rcnthigh(B992,$B$2,1,3))</f>
        <v>0</v>
      </c>
      <c r="E992">
        <f ca="1">IF(A992="","",COUNTIF(D$6:D992,"True"))</f>
        <v>8</v>
      </c>
      <c r="F992" t="str">
        <f t="shared" si="15"/>
        <v>002490.SZ</v>
      </c>
    </row>
    <row r="993" spans="1:6" x14ac:dyDescent="0.15">
      <c r="A993" s="2">
        <v>46089</v>
      </c>
      <c r="B993" s="1" t="s">
        <v>1859</v>
      </c>
      <c r="C993" s="1" t="s">
        <v>1860</v>
      </c>
      <c r="D993" t="b">
        <f ca="1">IF(A993="","",[1]!s_techanal_rcnthigh(B993,$B$2,1,3))</f>
        <v>0</v>
      </c>
      <c r="E993">
        <f ca="1">IF(A993="","",COUNTIF(D$6:D993,"True"))</f>
        <v>8</v>
      </c>
      <c r="F993" t="str">
        <f t="shared" si="15"/>
        <v>002491.SZ</v>
      </c>
    </row>
    <row r="994" spans="1:6" x14ac:dyDescent="0.15">
      <c r="A994" s="2">
        <v>46089</v>
      </c>
      <c r="B994" s="1" t="s">
        <v>1861</v>
      </c>
      <c r="C994" s="1" t="s">
        <v>1862</v>
      </c>
      <c r="D994" t="b">
        <f ca="1">IF(A994="","",[1]!s_techanal_rcnthigh(B994,$B$2,1,3))</f>
        <v>0</v>
      </c>
      <c r="E994">
        <f ca="1">IF(A994="","",COUNTIF(D$6:D994,"True"))</f>
        <v>8</v>
      </c>
      <c r="F994" t="str">
        <f t="shared" si="15"/>
        <v>002492.SZ</v>
      </c>
    </row>
    <row r="995" spans="1:6" x14ac:dyDescent="0.15">
      <c r="A995" s="2">
        <v>46089</v>
      </c>
      <c r="B995" s="1" t="s">
        <v>1863</v>
      </c>
      <c r="C995" s="1" t="s">
        <v>1864</v>
      </c>
      <c r="D995" t="b">
        <f ca="1">IF(A995="","",[1]!s_techanal_rcnthigh(B995,$B$2,1,3))</f>
        <v>0</v>
      </c>
      <c r="E995">
        <f ca="1">IF(A995="","",COUNTIF(D$6:D995,"True"))</f>
        <v>8</v>
      </c>
      <c r="F995" t="str">
        <f t="shared" si="15"/>
        <v>002493.SZ</v>
      </c>
    </row>
    <row r="996" spans="1:6" x14ac:dyDescent="0.15">
      <c r="A996" s="2">
        <v>46089</v>
      </c>
      <c r="B996" s="1" t="s">
        <v>1865</v>
      </c>
      <c r="C996" s="1" t="s">
        <v>1866</v>
      </c>
      <c r="D996" t="b">
        <f ca="1">IF(A996="","",[1]!s_techanal_rcnthigh(B996,$B$2,1,3))</f>
        <v>0</v>
      </c>
      <c r="E996">
        <f ca="1">IF(A996="","",COUNTIF(D$6:D996,"True"))</f>
        <v>8</v>
      </c>
      <c r="F996" t="str">
        <f t="shared" si="15"/>
        <v>002494.SZ</v>
      </c>
    </row>
    <row r="997" spans="1:6" x14ac:dyDescent="0.15">
      <c r="A997" s="2">
        <v>46089</v>
      </c>
      <c r="B997" s="1" t="s">
        <v>1867</v>
      </c>
      <c r="C997" s="1" t="s">
        <v>1868</v>
      </c>
      <c r="D997" t="b">
        <f ca="1">IF(A997="","",[1]!s_techanal_rcnthigh(B997,$B$2,1,3))</f>
        <v>0</v>
      </c>
      <c r="E997">
        <f ca="1">IF(A997="","",COUNTIF(D$6:D997,"True"))</f>
        <v>8</v>
      </c>
      <c r="F997" t="str">
        <f t="shared" si="15"/>
        <v>002495.SZ</v>
      </c>
    </row>
    <row r="998" spans="1:6" x14ac:dyDescent="0.15">
      <c r="A998" s="2">
        <v>46089</v>
      </c>
      <c r="B998" s="1" t="s">
        <v>1869</v>
      </c>
      <c r="C998" s="1" t="s">
        <v>10139</v>
      </c>
      <c r="D998" t="b">
        <f ca="1">IF(A998="","",[1]!s_techanal_rcnthigh(B998,$B$2,1,3))</f>
        <v>0</v>
      </c>
      <c r="E998">
        <f ca="1">IF(A998="","",COUNTIF(D$6:D998,"True"))</f>
        <v>8</v>
      </c>
      <c r="F998" t="str">
        <f t="shared" si="15"/>
        <v>002496.SZ</v>
      </c>
    </row>
    <row r="999" spans="1:6" x14ac:dyDescent="0.15">
      <c r="A999" s="2">
        <v>46089</v>
      </c>
      <c r="B999" s="1" t="s">
        <v>1870</v>
      </c>
      <c r="C999" s="1" t="s">
        <v>1871</v>
      </c>
      <c r="D999" t="b">
        <f ca="1">IF(A999="","",[1]!s_techanal_rcnthigh(B999,$B$2,1,3))</f>
        <v>0</v>
      </c>
      <c r="E999">
        <f ca="1">IF(A999="","",COUNTIF(D$6:D999,"True"))</f>
        <v>8</v>
      </c>
      <c r="F999" t="str">
        <f t="shared" si="15"/>
        <v>002497.SZ</v>
      </c>
    </row>
    <row r="1000" spans="1:6" x14ac:dyDescent="0.15">
      <c r="A1000" s="2">
        <v>46089</v>
      </c>
      <c r="B1000" s="1" t="s">
        <v>1872</v>
      </c>
      <c r="C1000" s="1" t="s">
        <v>1873</v>
      </c>
      <c r="D1000" t="b">
        <f ca="1">IF(A1000="","",[1]!s_techanal_rcnthigh(B1000,$B$2,1,3))</f>
        <v>0</v>
      </c>
      <c r="E1000">
        <f ca="1">IF(A1000="","",COUNTIF(D$6:D1000,"True"))</f>
        <v>8</v>
      </c>
      <c r="F1000" t="str">
        <f t="shared" si="15"/>
        <v>002498.SZ</v>
      </c>
    </row>
    <row r="1001" spans="1:6" x14ac:dyDescent="0.15">
      <c r="A1001" s="2">
        <v>46089</v>
      </c>
      <c r="B1001" s="1" t="s">
        <v>1874</v>
      </c>
      <c r="C1001" s="1" t="s">
        <v>1875</v>
      </c>
      <c r="D1001" t="b">
        <f ca="1">IF(A1001="","",[1]!s_techanal_rcnthigh(B1001,$B$2,1,3))</f>
        <v>0</v>
      </c>
      <c r="E1001">
        <f ca="1">IF(A1001="","",COUNTIF(D$6:D1001,"True"))</f>
        <v>8</v>
      </c>
      <c r="F1001" t="str">
        <f t="shared" si="15"/>
        <v>002500.SZ</v>
      </c>
    </row>
    <row r="1002" spans="1:6" x14ac:dyDescent="0.15">
      <c r="A1002" s="2">
        <v>46089</v>
      </c>
      <c r="B1002" s="1" t="s">
        <v>1876</v>
      </c>
      <c r="C1002" s="1" t="s">
        <v>1877</v>
      </c>
      <c r="D1002" t="b">
        <f ca="1">IF(A1002="","",[1]!s_techanal_rcnthigh(B1002,$B$2,1,3))</f>
        <v>0</v>
      </c>
      <c r="E1002">
        <f ca="1">IF(A1002="","",COUNTIF(D$6:D1002,"True"))</f>
        <v>8</v>
      </c>
      <c r="F1002" t="str">
        <f t="shared" si="15"/>
        <v>002501.SZ</v>
      </c>
    </row>
    <row r="1003" spans="1:6" x14ac:dyDescent="0.15">
      <c r="A1003" s="2">
        <v>46089</v>
      </c>
      <c r="B1003" s="1" t="s">
        <v>1878</v>
      </c>
      <c r="C1003" s="1" t="s">
        <v>1879</v>
      </c>
      <c r="D1003" t="b">
        <f ca="1">IF(A1003="","",[1]!s_techanal_rcnthigh(B1003,$B$2,1,3))</f>
        <v>0</v>
      </c>
      <c r="E1003">
        <f ca="1">IF(A1003="","",COUNTIF(D$6:D1003,"True"))</f>
        <v>8</v>
      </c>
      <c r="F1003" t="str">
        <f t="shared" si="15"/>
        <v>002506.SZ</v>
      </c>
    </row>
    <row r="1004" spans="1:6" x14ac:dyDescent="0.15">
      <c r="A1004" s="2">
        <v>46089</v>
      </c>
      <c r="B1004" s="1" t="s">
        <v>1880</v>
      </c>
      <c r="C1004" s="1" t="s">
        <v>1881</v>
      </c>
      <c r="D1004" t="b">
        <f ca="1">IF(A1004="","",[1]!s_techanal_rcnthigh(B1004,$B$2,1,3))</f>
        <v>0</v>
      </c>
      <c r="E1004">
        <f ca="1">IF(A1004="","",COUNTIF(D$6:D1004,"True"))</f>
        <v>8</v>
      </c>
      <c r="F1004" t="str">
        <f t="shared" si="15"/>
        <v>002507.SZ</v>
      </c>
    </row>
    <row r="1005" spans="1:6" x14ac:dyDescent="0.15">
      <c r="A1005" s="2">
        <v>46089</v>
      </c>
      <c r="B1005" s="1" t="s">
        <v>1882</v>
      </c>
      <c r="C1005" s="1" t="s">
        <v>1883</v>
      </c>
      <c r="D1005" t="b">
        <f ca="1">IF(A1005="","",[1]!s_techanal_rcnthigh(B1005,$B$2,1,3))</f>
        <v>0</v>
      </c>
      <c r="E1005">
        <f ca="1">IF(A1005="","",COUNTIF(D$6:D1005,"True"))</f>
        <v>8</v>
      </c>
      <c r="F1005" t="str">
        <f t="shared" si="15"/>
        <v>002508.SZ</v>
      </c>
    </row>
    <row r="1006" spans="1:6" x14ac:dyDescent="0.15">
      <c r="A1006" s="2">
        <v>46089</v>
      </c>
      <c r="B1006" s="1" t="s">
        <v>1884</v>
      </c>
      <c r="C1006" s="1" t="s">
        <v>1885</v>
      </c>
      <c r="D1006" t="b">
        <f ca="1">IF(A1006="","",[1]!s_techanal_rcnthigh(B1006,$B$2,1,3))</f>
        <v>0</v>
      </c>
      <c r="E1006">
        <f ca="1">IF(A1006="","",COUNTIF(D$6:D1006,"True"))</f>
        <v>8</v>
      </c>
      <c r="F1006" t="str">
        <f t="shared" si="15"/>
        <v>002510.SZ</v>
      </c>
    </row>
    <row r="1007" spans="1:6" x14ac:dyDescent="0.15">
      <c r="A1007" s="2">
        <v>46089</v>
      </c>
      <c r="B1007" s="1" t="s">
        <v>1886</v>
      </c>
      <c r="C1007" s="1" t="s">
        <v>1887</v>
      </c>
      <c r="D1007" t="b">
        <f ca="1">IF(A1007="","",[1]!s_techanal_rcnthigh(B1007,$B$2,1,3))</f>
        <v>0</v>
      </c>
      <c r="E1007">
        <f ca="1">IF(A1007="","",COUNTIF(D$6:D1007,"True"))</f>
        <v>8</v>
      </c>
      <c r="F1007" t="str">
        <f t="shared" si="15"/>
        <v>002511.SZ</v>
      </c>
    </row>
    <row r="1008" spans="1:6" x14ac:dyDescent="0.15">
      <c r="A1008" s="2">
        <v>46089</v>
      </c>
      <c r="B1008" s="1" t="s">
        <v>1888</v>
      </c>
      <c r="C1008" s="1" t="s">
        <v>10140</v>
      </c>
      <c r="D1008" t="b">
        <f ca="1">IF(A1008="","",[1]!s_techanal_rcnthigh(B1008,$B$2,1,3))</f>
        <v>0</v>
      </c>
      <c r="E1008">
        <f ca="1">IF(A1008="","",COUNTIF(D$6:D1008,"True"))</f>
        <v>8</v>
      </c>
      <c r="F1008" t="str">
        <f t="shared" si="15"/>
        <v>002512.SZ</v>
      </c>
    </row>
    <row r="1009" spans="1:6" x14ac:dyDescent="0.15">
      <c r="A1009" s="2">
        <v>46089</v>
      </c>
      <c r="B1009" s="1" t="s">
        <v>1889</v>
      </c>
      <c r="C1009" s="1" t="s">
        <v>1890</v>
      </c>
      <c r="D1009" t="b">
        <f ca="1">IF(A1009="","",[1]!s_techanal_rcnthigh(B1009,$B$2,1,3))</f>
        <v>0</v>
      </c>
      <c r="E1009">
        <f ca="1">IF(A1009="","",COUNTIF(D$6:D1009,"True"))</f>
        <v>8</v>
      </c>
      <c r="F1009" t="str">
        <f t="shared" si="15"/>
        <v>002513.SZ</v>
      </c>
    </row>
    <row r="1010" spans="1:6" x14ac:dyDescent="0.15">
      <c r="A1010" s="2">
        <v>46089</v>
      </c>
      <c r="B1010" s="1" t="s">
        <v>1891</v>
      </c>
      <c r="C1010" s="1" t="s">
        <v>1892</v>
      </c>
      <c r="D1010" t="b">
        <f ca="1">IF(A1010="","",[1]!s_techanal_rcnthigh(B1010,$B$2,1,3))</f>
        <v>0</v>
      </c>
      <c r="E1010">
        <f ca="1">IF(A1010="","",COUNTIF(D$6:D1010,"True"))</f>
        <v>8</v>
      </c>
      <c r="F1010" t="str">
        <f t="shared" si="15"/>
        <v>002514.SZ</v>
      </c>
    </row>
    <row r="1011" spans="1:6" x14ac:dyDescent="0.15">
      <c r="A1011" s="2">
        <v>46089</v>
      </c>
      <c r="B1011" s="1" t="s">
        <v>1893</v>
      </c>
      <c r="C1011" s="1" t="s">
        <v>1894</v>
      </c>
      <c r="D1011" t="b">
        <f ca="1">IF(A1011="","",[1]!s_techanal_rcnthigh(B1011,$B$2,1,3))</f>
        <v>0</v>
      </c>
      <c r="E1011">
        <f ca="1">IF(A1011="","",COUNTIF(D$6:D1011,"True"))</f>
        <v>8</v>
      </c>
      <c r="F1011" t="str">
        <f t="shared" si="15"/>
        <v>002515.SZ</v>
      </c>
    </row>
    <row r="1012" spans="1:6" x14ac:dyDescent="0.15">
      <c r="A1012" s="2">
        <v>46089</v>
      </c>
      <c r="B1012" s="1" t="s">
        <v>1895</v>
      </c>
      <c r="C1012" s="1" t="s">
        <v>1896</v>
      </c>
      <c r="D1012" t="b">
        <f ca="1">IF(A1012="","",[1]!s_techanal_rcnthigh(B1012,$B$2,1,3))</f>
        <v>0</v>
      </c>
      <c r="E1012">
        <f ca="1">IF(A1012="","",COUNTIF(D$6:D1012,"True"))</f>
        <v>8</v>
      </c>
      <c r="F1012" t="str">
        <f t="shared" si="15"/>
        <v>002516.SZ</v>
      </c>
    </row>
    <row r="1013" spans="1:6" x14ac:dyDescent="0.15">
      <c r="A1013" s="2">
        <v>46089</v>
      </c>
      <c r="B1013" s="1" t="s">
        <v>1897</v>
      </c>
      <c r="C1013" s="1" t="s">
        <v>1898</v>
      </c>
      <c r="D1013" t="b">
        <f ca="1">IF(A1013="","",[1]!s_techanal_rcnthigh(B1013,$B$2,1,3))</f>
        <v>0</v>
      </c>
      <c r="E1013">
        <f ca="1">IF(A1013="","",COUNTIF(D$6:D1013,"True"))</f>
        <v>8</v>
      </c>
      <c r="F1013" t="str">
        <f t="shared" si="15"/>
        <v>002517.SZ</v>
      </c>
    </row>
    <row r="1014" spans="1:6" x14ac:dyDescent="0.15">
      <c r="A1014" s="2">
        <v>46089</v>
      </c>
      <c r="B1014" s="1" t="s">
        <v>1899</v>
      </c>
      <c r="C1014" s="1" t="s">
        <v>1900</v>
      </c>
      <c r="D1014" t="b">
        <f ca="1">IF(A1014="","",[1]!s_techanal_rcnthigh(B1014,$B$2,1,3))</f>
        <v>0</v>
      </c>
      <c r="E1014">
        <f ca="1">IF(A1014="","",COUNTIF(D$6:D1014,"True"))</f>
        <v>8</v>
      </c>
      <c r="F1014" t="str">
        <f t="shared" si="15"/>
        <v>002518.SZ</v>
      </c>
    </row>
    <row r="1015" spans="1:6" x14ac:dyDescent="0.15">
      <c r="A1015" s="2">
        <v>46089</v>
      </c>
      <c r="B1015" s="1" t="s">
        <v>1901</v>
      </c>
      <c r="C1015" s="1" t="s">
        <v>1902</v>
      </c>
      <c r="D1015" t="b">
        <f ca="1">IF(A1015="","",[1]!s_techanal_rcnthigh(B1015,$B$2,1,3))</f>
        <v>0</v>
      </c>
      <c r="E1015">
        <f ca="1">IF(A1015="","",COUNTIF(D$6:D1015,"True"))</f>
        <v>8</v>
      </c>
      <c r="F1015" t="str">
        <f t="shared" si="15"/>
        <v>002519.SZ</v>
      </c>
    </row>
    <row r="1016" spans="1:6" x14ac:dyDescent="0.15">
      <c r="A1016" s="2">
        <v>46089</v>
      </c>
      <c r="B1016" s="1" t="s">
        <v>1903</v>
      </c>
      <c r="C1016" s="1" t="s">
        <v>1904</v>
      </c>
      <c r="D1016" t="b">
        <f ca="1">IF(A1016="","",[1]!s_techanal_rcnthigh(B1016,$B$2,1,3))</f>
        <v>0</v>
      </c>
      <c r="E1016">
        <f ca="1">IF(A1016="","",COUNTIF(D$6:D1016,"True"))</f>
        <v>8</v>
      </c>
      <c r="F1016" t="str">
        <f t="shared" si="15"/>
        <v>002520.SZ</v>
      </c>
    </row>
    <row r="1017" spans="1:6" x14ac:dyDescent="0.15">
      <c r="A1017" s="2">
        <v>46089</v>
      </c>
      <c r="B1017" s="1" t="s">
        <v>1905</v>
      </c>
      <c r="C1017" s="1" t="s">
        <v>1906</v>
      </c>
      <c r="D1017" t="b">
        <f ca="1">IF(A1017="","",[1]!s_techanal_rcnthigh(B1017,$B$2,1,3))</f>
        <v>0</v>
      </c>
      <c r="E1017">
        <f ca="1">IF(A1017="","",COUNTIF(D$6:D1017,"True"))</f>
        <v>8</v>
      </c>
      <c r="F1017" t="str">
        <f t="shared" si="15"/>
        <v>002521.SZ</v>
      </c>
    </row>
    <row r="1018" spans="1:6" x14ac:dyDescent="0.15">
      <c r="A1018" s="2">
        <v>46089</v>
      </c>
      <c r="B1018" s="1" t="s">
        <v>1907</v>
      </c>
      <c r="C1018" s="1" t="s">
        <v>1908</v>
      </c>
      <c r="D1018" t="b">
        <f ca="1">IF(A1018="","",[1]!s_techanal_rcnthigh(B1018,$B$2,1,3))</f>
        <v>0</v>
      </c>
      <c r="E1018">
        <f ca="1">IF(A1018="","",COUNTIF(D$6:D1018,"True"))</f>
        <v>8</v>
      </c>
      <c r="F1018" t="str">
        <f t="shared" si="15"/>
        <v>002522.SZ</v>
      </c>
    </row>
    <row r="1019" spans="1:6" x14ac:dyDescent="0.15">
      <c r="A1019" s="2">
        <v>46089</v>
      </c>
      <c r="B1019" s="1" t="s">
        <v>1909</v>
      </c>
      <c r="C1019" s="1" t="s">
        <v>1910</v>
      </c>
      <c r="D1019" t="b">
        <f ca="1">IF(A1019="","",[1]!s_techanal_rcnthigh(B1019,$B$2,1,3))</f>
        <v>0</v>
      </c>
      <c r="E1019">
        <f ca="1">IF(A1019="","",COUNTIF(D$6:D1019,"True"))</f>
        <v>8</v>
      </c>
      <c r="F1019" t="str">
        <f t="shared" si="15"/>
        <v>002523.SZ</v>
      </c>
    </row>
    <row r="1020" spans="1:6" x14ac:dyDescent="0.15">
      <c r="A1020" s="2">
        <v>46089</v>
      </c>
      <c r="B1020" s="1" t="s">
        <v>1911</v>
      </c>
      <c r="C1020" s="1" t="s">
        <v>1912</v>
      </c>
      <c r="D1020" t="b">
        <f ca="1">IF(A1020="","",[1]!s_techanal_rcnthigh(B1020,$B$2,1,3))</f>
        <v>0</v>
      </c>
      <c r="E1020">
        <f ca="1">IF(A1020="","",COUNTIF(D$6:D1020,"True"))</f>
        <v>8</v>
      </c>
      <c r="F1020" t="str">
        <f t="shared" si="15"/>
        <v>002524.SZ</v>
      </c>
    </row>
    <row r="1021" spans="1:6" x14ac:dyDescent="0.15">
      <c r="A1021" s="2">
        <v>46089</v>
      </c>
      <c r="B1021" s="1" t="s">
        <v>1913</v>
      </c>
      <c r="C1021" s="1" t="s">
        <v>1914</v>
      </c>
      <c r="D1021" t="b">
        <f ca="1">IF(A1021="","",[1]!s_techanal_rcnthigh(B1021,$B$2,1,3))</f>
        <v>0</v>
      </c>
      <c r="E1021">
        <f ca="1">IF(A1021="","",COUNTIF(D$6:D1021,"True"))</f>
        <v>8</v>
      </c>
      <c r="F1021" t="str">
        <f t="shared" si="15"/>
        <v>002526.SZ</v>
      </c>
    </row>
    <row r="1022" spans="1:6" x14ac:dyDescent="0.15">
      <c r="A1022" s="2">
        <v>46089</v>
      </c>
      <c r="B1022" s="1" t="s">
        <v>1915</v>
      </c>
      <c r="C1022" s="1" t="s">
        <v>1916</v>
      </c>
      <c r="D1022" t="b">
        <f ca="1">IF(A1022="","",[1]!s_techanal_rcnthigh(B1022,$B$2,1,3))</f>
        <v>0</v>
      </c>
      <c r="E1022">
        <f ca="1">IF(A1022="","",COUNTIF(D$6:D1022,"True"))</f>
        <v>8</v>
      </c>
      <c r="F1022" t="str">
        <f t="shared" si="15"/>
        <v>002527.SZ</v>
      </c>
    </row>
    <row r="1023" spans="1:6" x14ac:dyDescent="0.15">
      <c r="A1023" s="2">
        <v>46089</v>
      </c>
      <c r="B1023" s="1" t="s">
        <v>1917</v>
      </c>
      <c r="C1023" s="1" t="s">
        <v>10141</v>
      </c>
      <c r="D1023" t="b">
        <f ca="1">IF(A1023="","",[1]!s_techanal_rcnthigh(B1023,$B$2,1,3))</f>
        <v>0</v>
      </c>
      <c r="E1023">
        <f ca="1">IF(A1023="","",COUNTIF(D$6:D1023,"True"))</f>
        <v>8</v>
      </c>
      <c r="F1023" t="str">
        <f t="shared" si="15"/>
        <v>002528.SZ</v>
      </c>
    </row>
    <row r="1024" spans="1:6" x14ac:dyDescent="0.15">
      <c r="A1024" s="2">
        <v>46089</v>
      </c>
      <c r="B1024" s="1" t="s">
        <v>1918</v>
      </c>
      <c r="C1024" s="1" t="s">
        <v>10142</v>
      </c>
      <c r="D1024" t="b">
        <f ca="1">IF(A1024="","",[1]!s_techanal_rcnthigh(B1024,$B$2,1,3))</f>
        <v>0</v>
      </c>
      <c r="E1024">
        <f ca="1">IF(A1024="","",COUNTIF(D$6:D1024,"True"))</f>
        <v>8</v>
      </c>
      <c r="F1024" t="str">
        <f t="shared" si="15"/>
        <v>002529.SZ</v>
      </c>
    </row>
    <row r="1025" spans="1:6" x14ac:dyDescent="0.15">
      <c r="A1025" s="2">
        <v>46089</v>
      </c>
      <c r="B1025" s="1" t="s">
        <v>1919</v>
      </c>
      <c r="C1025" s="1" t="s">
        <v>1920</v>
      </c>
      <c r="D1025" t="b">
        <f ca="1">IF(A1025="","",[1]!s_techanal_rcnthigh(B1025,$B$2,1,3))</f>
        <v>0</v>
      </c>
      <c r="E1025">
        <f ca="1">IF(A1025="","",COUNTIF(D$6:D1025,"True"))</f>
        <v>8</v>
      </c>
      <c r="F1025" t="str">
        <f t="shared" si="15"/>
        <v>002530.SZ</v>
      </c>
    </row>
    <row r="1026" spans="1:6" x14ac:dyDescent="0.15">
      <c r="A1026" s="2">
        <v>46089</v>
      </c>
      <c r="B1026" s="1" t="s">
        <v>1921</v>
      </c>
      <c r="C1026" s="1" t="s">
        <v>1922</v>
      </c>
      <c r="D1026" t="b">
        <f ca="1">IF(A1026="","",[1]!s_techanal_rcnthigh(B1026,$B$2,1,3))</f>
        <v>0</v>
      </c>
      <c r="E1026">
        <f ca="1">IF(A1026="","",COUNTIF(D$6:D1026,"True"))</f>
        <v>8</v>
      </c>
      <c r="F1026" t="str">
        <f t="shared" si="15"/>
        <v>002531.SZ</v>
      </c>
    </row>
    <row r="1027" spans="1:6" x14ac:dyDescent="0.15">
      <c r="A1027" s="2">
        <v>46089</v>
      </c>
      <c r="B1027" s="1" t="s">
        <v>1923</v>
      </c>
      <c r="C1027" s="1" t="s">
        <v>1924</v>
      </c>
      <c r="D1027" t="b">
        <f ca="1">IF(A1027="","",[1]!s_techanal_rcnthigh(B1027,$B$2,1,3))</f>
        <v>0</v>
      </c>
      <c r="E1027">
        <f ca="1">IF(A1027="","",COUNTIF(D$6:D1027,"True"))</f>
        <v>8</v>
      </c>
      <c r="F1027" t="str">
        <f t="shared" si="15"/>
        <v>002532.SZ</v>
      </c>
    </row>
    <row r="1028" spans="1:6" x14ac:dyDescent="0.15">
      <c r="A1028" s="2">
        <v>46089</v>
      </c>
      <c r="B1028" s="1" t="s">
        <v>1925</v>
      </c>
      <c r="C1028" s="1" t="s">
        <v>1926</v>
      </c>
      <c r="D1028" t="b">
        <f ca="1">IF(A1028="","",[1]!s_techanal_rcnthigh(B1028,$B$2,1,3))</f>
        <v>1</v>
      </c>
      <c r="E1028">
        <f ca="1">IF(A1028="","",COUNTIF(D$6:D1028,"True"))</f>
        <v>9</v>
      </c>
      <c r="F1028" t="str">
        <f t="shared" si="15"/>
        <v>002533.SZ</v>
      </c>
    </row>
    <row r="1029" spans="1:6" x14ac:dyDescent="0.15">
      <c r="A1029" s="2">
        <v>46089</v>
      </c>
      <c r="B1029" s="1" t="s">
        <v>1927</v>
      </c>
      <c r="C1029" s="1" t="s">
        <v>1928</v>
      </c>
      <c r="D1029" t="b">
        <f ca="1">IF(A1029="","",[1]!s_techanal_rcnthigh(B1029,$B$2,1,3))</f>
        <v>0</v>
      </c>
      <c r="E1029">
        <f ca="1">IF(A1029="","",COUNTIF(D$6:D1029,"True"))</f>
        <v>9</v>
      </c>
      <c r="F1029" t="str">
        <f t="shared" si="15"/>
        <v>002534.SZ</v>
      </c>
    </row>
    <row r="1030" spans="1:6" x14ac:dyDescent="0.15">
      <c r="A1030" s="2">
        <v>46089</v>
      </c>
      <c r="B1030" s="1" t="s">
        <v>1929</v>
      </c>
      <c r="C1030" s="1" t="s">
        <v>1930</v>
      </c>
      <c r="D1030" t="b">
        <f ca="1">IF(A1030="","",[1]!s_techanal_rcnthigh(B1030,$B$2,1,3))</f>
        <v>0</v>
      </c>
      <c r="E1030">
        <f ca="1">IF(A1030="","",COUNTIF(D$6:D1030,"True"))</f>
        <v>9</v>
      </c>
      <c r="F1030" t="str">
        <f t="shared" ref="F1030:F1093" si="16">IF(B1030="","",B1030)</f>
        <v>002535.SZ</v>
      </c>
    </row>
    <row r="1031" spans="1:6" x14ac:dyDescent="0.15">
      <c r="A1031" s="2">
        <v>46089</v>
      </c>
      <c r="B1031" s="1" t="s">
        <v>1931</v>
      </c>
      <c r="C1031" s="1" t="s">
        <v>1932</v>
      </c>
      <c r="D1031" t="b">
        <f ca="1">IF(A1031="","",[1]!s_techanal_rcnthigh(B1031,$B$2,1,3))</f>
        <v>1</v>
      </c>
      <c r="E1031">
        <f ca="1">IF(A1031="","",COUNTIF(D$6:D1031,"True"))</f>
        <v>10</v>
      </c>
      <c r="F1031" t="str">
        <f t="shared" si="16"/>
        <v>002536.SZ</v>
      </c>
    </row>
    <row r="1032" spans="1:6" x14ac:dyDescent="0.15">
      <c r="A1032" s="2">
        <v>46089</v>
      </c>
      <c r="B1032" s="1" t="s">
        <v>1933</v>
      </c>
      <c r="C1032" s="1" t="s">
        <v>1934</v>
      </c>
      <c r="D1032" t="b">
        <f ca="1">IF(A1032="","",[1]!s_techanal_rcnthigh(B1032,$B$2,1,3))</f>
        <v>0</v>
      </c>
      <c r="E1032">
        <f ca="1">IF(A1032="","",COUNTIF(D$6:D1032,"True"))</f>
        <v>10</v>
      </c>
      <c r="F1032" t="str">
        <f t="shared" si="16"/>
        <v>002537.SZ</v>
      </c>
    </row>
    <row r="1033" spans="1:6" x14ac:dyDescent="0.15">
      <c r="A1033" s="2">
        <v>46089</v>
      </c>
      <c r="B1033" s="1" t="s">
        <v>1935</v>
      </c>
      <c r="C1033" s="1" t="s">
        <v>1936</v>
      </c>
      <c r="D1033" t="b">
        <f ca="1">IF(A1033="","",[1]!s_techanal_rcnthigh(B1033,$B$2,1,3))</f>
        <v>0</v>
      </c>
      <c r="E1033">
        <f ca="1">IF(A1033="","",COUNTIF(D$6:D1033,"True"))</f>
        <v>10</v>
      </c>
      <c r="F1033" t="str">
        <f t="shared" si="16"/>
        <v>002538.SZ</v>
      </c>
    </row>
    <row r="1034" spans="1:6" x14ac:dyDescent="0.15">
      <c r="A1034" s="2">
        <v>46089</v>
      </c>
      <c r="B1034" s="1" t="s">
        <v>1937</v>
      </c>
      <c r="C1034" s="1" t="s">
        <v>1938</v>
      </c>
      <c r="D1034" t="b">
        <f ca="1">IF(A1034="","",[1]!s_techanal_rcnthigh(B1034,$B$2,1,3))</f>
        <v>0</v>
      </c>
      <c r="E1034">
        <f ca="1">IF(A1034="","",COUNTIF(D$6:D1034,"True"))</f>
        <v>10</v>
      </c>
      <c r="F1034" t="str">
        <f t="shared" si="16"/>
        <v>002539.SZ</v>
      </c>
    </row>
    <row r="1035" spans="1:6" x14ac:dyDescent="0.15">
      <c r="A1035" s="2">
        <v>46089</v>
      </c>
      <c r="B1035" s="1" t="s">
        <v>1939</v>
      </c>
      <c r="C1035" s="1" t="s">
        <v>1940</v>
      </c>
      <c r="D1035" t="b">
        <f ca="1">IF(A1035="","",[1]!s_techanal_rcnthigh(B1035,$B$2,1,3))</f>
        <v>0</v>
      </c>
      <c r="E1035">
        <f ca="1">IF(A1035="","",COUNTIF(D$6:D1035,"True"))</f>
        <v>10</v>
      </c>
      <c r="F1035" t="str">
        <f t="shared" si="16"/>
        <v>002540.SZ</v>
      </c>
    </row>
    <row r="1036" spans="1:6" x14ac:dyDescent="0.15">
      <c r="A1036" s="2">
        <v>46089</v>
      </c>
      <c r="B1036" s="1" t="s">
        <v>1941</v>
      </c>
      <c r="C1036" s="1" t="s">
        <v>1942</v>
      </c>
      <c r="D1036" t="b">
        <f ca="1">IF(A1036="","",[1]!s_techanal_rcnthigh(B1036,$B$2,1,3))</f>
        <v>0</v>
      </c>
      <c r="E1036">
        <f ca="1">IF(A1036="","",COUNTIF(D$6:D1036,"True"))</f>
        <v>10</v>
      </c>
      <c r="F1036" t="str">
        <f t="shared" si="16"/>
        <v>002541.SZ</v>
      </c>
    </row>
    <row r="1037" spans="1:6" x14ac:dyDescent="0.15">
      <c r="A1037" s="2">
        <v>46089</v>
      </c>
      <c r="B1037" s="1" t="s">
        <v>1943</v>
      </c>
      <c r="C1037" s="1" t="s">
        <v>1944</v>
      </c>
      <c r="D1037" t="b">
        <f ca="1">IF(A1037="","",[1]!s_techanal_rcnthigh(B1037,$B$2,1,3))</f>
        <v>0</v>
      </c>
      <c r="E1037">
        <f ca="1">IF(A1037="","",COUNTIF(D$6:D1037,"True"))</f>
        <v>10</v>
      </c>
      <c r="F1037" t="str">
        <f t="shared" si="16"/>
        <v>002542.SZ</v>
      </c>
    </row>
    <row r="1038" spans="1:6" x14ac:dyDescent="0.15">
      <c r="A1038" s="2">
        <v>46089</v>
      </c>
      <c r="B1038" s="1" t="s">
        <v>1945</v>
      </c>
      <c r="C1038" s="1" t="s">
        <v>1946</v>
      </c>
      <c r="D1038" t="b">
        <f ca="1">IF(A1038="","",[1]!s_techanal_rcnthigh(B1038,$B$2,1,3))</f>
        <v>0</v>
      </c>
      <c r="E1038">
        <f ca="1">IF(A1038="","",COUNTIF(D$6:D1038,"True"))</f>
        <v>10</v>
      </c>
      <c r="F1038" t="str">
        <f t="shared" si="16"/>
        <v>002543.SZ</v>
      </c>
    </row>
    <row r="1039" spans="1:6" x14ac:dyDescent="0.15">
      <c r="A1039" s="2">
        <v>46089</v>
      </c>
      <c r="B1039" s="1" t="s">
        <v>1947</v>
      </c>
      <c r="C1039" s="1" t="s">
        <v>1948</v>
      </c>
      <c r="D1039" t="b">
        <f ca="1">IF(A1039="","",[1]!s_techanal_rcnthigh(B1039,$B$2,1,3))</f>
        <v>0</v>
      </c>
      <c r="E1039">
        <f ca="1">IF(A1039="","",COUNTIF(D$6:D1039,"True"))</f>
        <v>10</v>
      </c>
      <c r="F1039" t="str">
        <f t="shared" si="16"/>
        <v>002544.SZ</v>
      </c>
    </row>
    <row r="1040" spans="1:6" x14ac:dyDescent="0.15">
      <c r="A1040" s="2">
        <v>46089</v>
      </c>
      <c r="B1040" s="1" t="s">
        <v>1949</v>
      </c>
      <c r="C1040" s="1" t="s">
        <v>1950</v>
      </c>
      <c r="D1040" t="b">
        <f ca="1">IF(A1040="","",[1]!s_techanal_rcnthigh(B1040,$B$2,1,3))</f>
        <v>0</v>
      </c>
      <c r="E1040">
        <f ca="1">IF(A1040="","",COUNTIF(D$6:D1040,"True"))</f>
        <v>10</v>
      </c>
      <c r="F1040" t="str">
        <f t="shared" si="16"/>
        <v>002545.SZ</v>
      </c>
    </row>
    <row r="1041" spans="1:6" x14ac:dyDescent="0.15">
      <c r="A1041" s="2">
        <v>46089</v>
      </c>
      <c r="B1041" s="1" t="s">
        <v>1951</v>
      </c>
      <c r="C1041" s="1" t="s">
        <v>1952</v>
      </c>
      <c r="D1041" t="b">
        <f ca="1">IF(A1041="","",[1]!s_techanal_rcnthigh(B1041,$B$2,1,3))</f>
        <v>0</v>
      </c>
      <c r="E1041">
        <f ca="1">IF(A1041="","",COUNTIF(D$6:D1041,"True"))</f>
        <v>10</v>
      </c>
      <c r="F1041" t="str">
        <f t="shared" si="16"/>
        <v>002546.SZ</v>
      </c>
    </row>
    <row r="1042" spans="1:6" x14ac:dyDescent="0.15">
      <c r="A1042" s="2">
        <v>46089</v>
      </c>
      <c r="B1042" s="1" t="s">
        <v>1953</v>
      </c>
      <c r="C1042" s="1" t="s">
        <v>1954</v>
      </c>
      <c r="D1042" t="b">
        <f ca="1">IF(A1042="","",[1]!s_techanal_rcnthigh(B1042,$B$2,1,3))</f>
        <v>0</v>
      </c>
      <c r="E1042">
        <f ca="1">IF(A1042="","",COUNTIF(D$6:D1042,"True"))</f>
        <v>10</v>
      </c>
      <c r="F1042" t="str">
        <f t="shared" si="16"/>
        <v>002547.SZ</v>
      </c>
    </row>
    <row r="1043" spans="1:6" x14ac:dyDescent="0.15">
      <c r="A1043" s="2">
        <v>46089</v>
      </c>
      <c r="B1043" s="1" t="s">
        <v>1955</v>
      </c>
      <c r="C1043" s="1" t="s">
        <v>1956</v>
      </c>
      <c r="D1043" t="b">
        <f ca="1">IF(A1043="","",[1]!s_techanal_rcnthigh(B1043,$B$2,1,3))</f>
        <v>0</v>
      </c>
      <c r="E1043">
        <f ca="1">IF(A1043="","",COUNTIF(D$6:D1043,"True"))</f>
        <v>10</v>
      </c>
      <c r="F1043" t="str">
        <f t="shared" si="16"/>
        <v>002548.SZ</v>
      </c>
    </row>
    <row r="1044" spans="1:6" x14ac:dyDescent="0.15">
      <c r="A1044" s="2">
        <v>46089</v>
      </c>
      <c r="B1044" s="1" t="s">
        <v>1957</v>
      </c>
      <c r="C1044" s="1" t="s">
        <v>1958</v>
      </c>
      <c r="D1044" t="b">
        <f ca="1">IF(A1044="","",[1]!s_techanal_rcnthigh(B1044,$B$2,1,3))</f>
        <v>0</v>
      </c>
      <c r="E1044">
        <f ca="1">IF(A1044="","",COUNTIF(D$6:D1044,"True"))</f>
        <v>10</v>
      </c>
      <c r="F1044" t="str">
        <f t="shared" si="16"/>
        <v>002549.SZ</v>
      </c>
    </row>
    <row r="1045" spans="1:6" x14ac:dyDescent="0.15">
      <c r="A1045" s="2">
        <v>46089</v>
      </c>
      <c r="B1045" s="1" t="s">
        <v>1959</v>
      </c>
      <c r="C1045" s="1" t="s">
        <v>1960</v>
      </c>
      <c r="D1045" t="b">
        <f ca="1">IF(A1045="","",[1]!s_techanal_rcnthigh(B1045,$B$2,1,3))</f>
        <v>0</v>
      </c>
      <c r="E1045">
        <f ca="1">IF(A1045="","",COUNTIF(D$6:D1045,"True"))</f>
        <v>10</v>
      </c>
      <c r="F1045" t="str">
        <f t="shared" si="16"/>
        <v>002550.SZ</v>
      </c>
    </row>
    <row r="1046" spans="1:6" x14ac:dyDescent="0.15">
      <c r="A1046" s="2">
        <v>46089</v>
      </c>
      <c r="B1046" s="1" t="s">
        <v>1961</v>
      </c>
      <c r="C1046" s="1" t="s">
        <v>1962</v>
      </c>
      <c r="D1046" t="b">
        <f ca="1">IF(A1046="","",[1]!s_techanal_rcnthigh(B1046,$B$2,1,3))</f>
        <v>0</v>
      </c>
      <c r="E1046">
        <f ca="1">IF(A1046="","",COUNTIF(D$6:D1046,"True"))</f>
        <v>10</v>
      </c>
      <c r="F1046" t="str">
        <f t="shared" si="16"/>
        <v>002551.SZ</v>
      </c>
    </row>
    <row r="1047" spans="1:6" x14ac:dyDescent="0.15">
      <c r="A1047" s="2">
        <v>46089</v>
      </c>
      <c r="B1047" s="1" t="s">
        <v>1963</v>
      </c>
      <c r="C1047" s="1" t="s">
        <v>1964</v>
      </c>
      <c r="D1047" t="b">
        <f ca="1">IF(A1047="","",[1]!s_techanal_rcnthigh(B1047,$B$2,1,3))</f>
        <v>0</v>
      </c>
      <c r="E1047">
        <f ca="1">IF(A1047="","",COUNTIF(D$6:D1047,"True"))</f>
        <v>10</v>
      </c>
      <c r="F1047" t="str">
        <f t="shared" si="16"/>
        <v>002552.SZ</v>
      </c>
    </row>
    <row r="1048" spans="1:6" x14ac:dyDescent="0.15">
      <c r="A1048" s="2">
        <v>46089</v>
      </c>
      <c r="B1048" s="1" t="s">
        <v>1965</v>
      </c>
      <c r="C1048" s="1" t="s">
        <v>1966</v>
      </c>
      <c r="D1048" t="b">
        <f ca="1">IF(A1048="","",[1]!s_techanal_rcnthigh(B1048,$B$2,1,3))</f>
        <v>0</v>
      </c>
      <c r="E1048">
        <f ca="1">IF(A1048="","",COUNTIF(D$6:D1048,"True"))</f>
        <v>10</v>
      </c>
      <c r="F1048" t="str">
        <f t="shared" si="16"/>
        <v>002553.SZ</v>
      </c>
    </row>
    <row r="1049" spans="1:6" x14ac:dyDescent="0.15">
      <c r="A1049" s="2">
        <v>46089</v>
      </c>
      <c r="B1049" s="1" t="s">
        <v>1967</v>
      </c>
      <c r="C1049" s="1" t="s">
        <v>1968</v>
      </c>
      <c r="D1049" t="b">
        <f ca="1">IF(A1049="","",[1]!s_techanal_rcnthigh(B1049,$B$2,1,3))</f>
        <v>0</v>
      </c>
      <c r="E1049">
        <f ca="1">IF(A1049="","",COUNTIF(D$6:D1049,"True"))</f>
        <v>10</v>
      </c>
      <c r="F1049" t="str">
        <f t="shared" si="16"/>
        <v>002554.SZ</v>
      </c>
    </row>
    <row r="1050" spans="1:6" x14ac:dyDescent="0.15">
      <c r="A1050" s="2">
        <v>46089</v>
      </c>
      <c r="B1050" s="1" t="s">
        <v>1969</v>
      </c>
      <c r="C1050" s="1" t="s">
        <v>1970</v>
      </c>
      <c r="D1050" t="b">
        <f ca="1">IF(A1050="","",[1]!s_techanal_rcnthigh(B1050,$B$2,1,3))</f>
        <v>0</v>
      </c>
      <c r="E1050">
        <f ca="1">IF(A1050="","",COUNTIF(D$6:D1050,"True"))</f>
        <v>10</v>
      </c>
      <c r="F1050" t="str">
        <f t="shared" si="16"/>
        <v>002555.SZ</v>
      </c>
    </row>
    <row r="1051" spans="1:6" x14ac:dyDescent="0.15">
      <c r="A1051" s="2">
        <v>46089</v>
      </c>
      <c r="B1051" s="1" t="s">
        <v>1971</v>
      </c>
      <c r="C1051" s="1" t="s">
        <v>1972</v>
      </c>
      <c r="D1051" t="b">
        <f ca="1">IF(A1051="","",[1]!s_techanal_rcnthigh(B1051,$B$2,1,3))</f>
        <v>0</v>
      </c>
      <c r="E1051">
        <f ca="1">IF(A1051="","",COUNTIF(D$6:D1051,"True"))</f>
        <v>10</v>
      </c>
      <c r="F1051" t="str">
        <f t="shared" si="16"/>
        <v>002556.SZ</v>
      </c>
    </row>
    <row r="1052" spans="1:6" x14ac:dyDescent="0.15">
      <c r="A1052" s="2">
        <v>46089</v>
      </c>
      <c r="B1052" s="1" t="s">
        <v>1973</v>
      </c>
      <c r="C1052" s="1" t="s">
        <v>1974</v>
      </c>
      <c r="D1052" t="b">
        <f ca="1">IF(A1052="","",[1]!s_techanal_rcnthigh(B1052,$B$2,1,3))</f>
        <v>0</v>
      </c>
      <c r="E1052">
        <f ca="1">IF(A1052="","",COUNTIF(D$6:D1052,"True"))</f>
        <v>10</v>
      </c>
      <c r="F1052" t="str">
        <f t="shared" si="16"/>
        <v>002557.SZ</v>
      </c>
    </row>
    <row r="1053" spans="1:6" x14ac:dyDescent="0.15">
      <c r="A1053" s="2">
        <v>46089</v>
      </c>
      <c r="B1053" s="1" t="s">
        <v>1975</v>
      </c>
      <c r="C1053" s="1" t="s">
        <v>1976</v>
      </c>
      <c r="D1053" t="b">
        <f ca="1">IF(A1053="","",[1]!s_techanal_rcnthigh(B1053,$B$2,1,3))</f>
        <v>0</v>
      </c>
      <c r="E1053">
        <f ca="1">IF(A1053="","",COUNTIF(D$6:D1053,"True"))</f>
        <v>10</v>
      </c>
      <c r="F1053" t="str">
        <f t="shared" si="16"/>
        <v>002558.SZ</v>
      </c>
    </row>
    <row r="1054" spans="1:6" x14ac:dyDescent="0.15">
      <c r="A1054" s="2">
        <v>46089</v>
      </c>
      <c r="B1054" s="1" t="s">
        <v>1977</v>
      </c>
      <c r="C1054" s="1" t="s">
        <v>1978</v>
      </c>
      <c r="D1054" t="b">
        <f ca="1">IF(A1054="","",[1]!s_techanal_rcnthigh(B1054,$B$2,1,3))</f>
        <v>0</v>
      </c>
      <c r="E1054">
        <f ca="1">IF(A1054="","",COUNTIF(D$6:D1054,"True"))</f>
        <v>10</v>
      </c>
      <c r="F1054" t="str">
        <f t="shared" si="16"/>
        <v>002559.SZ</v>
      </c>
    </row>
    <row r="1055" spans="1:6" x14ac:dyDescent="0.15">
      <c r="A1055" s="2">
        <v>46089</v>
      </c>
      <c r="B1055" s="1" t="s">
        <v>1979</v>
      </c>
      <c r="C1055" s="1" t="s">
        <v>1980</v>
      </c>
      <c r="D1055" t="b">
        <f ca="1">IF(A1055="","",[1]!s_techanal_rcnthigh(B1055,$B$2,1,3))</f>
        <v>0</v>
      </c>
      <c r="E1055">
        <f ca="1">IF(A1055="","",COUNTIF(D$6:D1055,"True"))</f>
        <v>10</v>
      </c>
      <c r="F1055" t="str">
        <f t="shared" si="16"/>
        <v>002560.SZ</v>
      </c>
    </row>
    <row r="1056" spans="1:6" x14ac:dyDescent="0.15">
      <c r="A1056" s="2">
        <v>46089</v>
      </c>
      <c r="B1056" s="1" t="s">
        <v>1981</v>
      </c>
      <c r="C1056" s="1" t="s">
        <v>1982</v>
      </c>
      <c r="D1056" t="b">
        <f ca="1">IF(A1056="","",[1]!s_techanal_rcnthigh(B1056,$B$2,1,3))</f>
        <v>0</v>
      </c>
      <c r="E1056">
        <f ca="1">IF(A1056="","",COUNTIF(D$6:D1056,"True"))</f>
        <v>10</v>
      </c>
      <c r="F1056" t="str">
        <f t="shared" si="16"/>
        <v>002561.SZ</v>
      </c>
    </row>
    <row r="1057" spans="1:6" x14ac:dyDescent="0.15">
      <c r="A1057" s="2">
        <v>46089</v>
      </c>
      <c r="B1057" s="1" t="s">
        <v>1983</v>
      </c>
      <c r="C1057" s="1" t="s">
        <v>1984</v>
      </c>
      <c r="D1057" t="b">
        <f ca="1">IF(A1057="","",[1]!s_techanal_rcnthigh(B1057,$B$2,1,3))</f>
        <v>0</v>
      </c>
      <c r="E1057">
        <f ca="1">IF(A1057="","",COUNTIF(D$6:D1057,"True"))</f>
        <v>10</v>
      </c>
      <c r="F1057" t="str">
        <f t="shared" si="16"/>
        <v>002562.SZ</v>
      </c>
    </row>
    <row r="1058" spans="1:6" x14ac:dyDescent="0.15">
      <c r="A1058" s="2">
        <v>46089</v>
      </c>
      <c r="B1058" s="1" t="s">
        <v>1985</v>
      </c>
      <c r="C1058" s="1" t="s">
        <v>1986</v>
      </c>
      <c r="D1058" t="b">
        <f ca="1">IF(A1058="","",[1]!s_techanal_rcnthigh(B1058,$B$2,1,3))</f>
        <v>0</v>
      </c>
      <c r="E1058">
        <f ca="1">IF(A1058="","",COUNTIF(D$6:D1058,"True"))</f>
        <v>10</v>
      </c>
      <c r="F1058" t="str">
        <f t="shared" si="16"/>
        <v>002563.SZ</v>
      </c>
    </row>
    <row r="1059" spans="1:6" x14ac:dyDescent="0.15">
      <c r="A1059" s="2">
        <v>46089</v>
      </c>
      <c r="B1059" s="1" t="s">
        <v>1987</v>
      </c>
      <c r="C1059" s="1" t="s">
        <v>10143</v>
      </c>
      <c r="D1059" t="b">
        <f ca="1">IF(A1059="","",[1]!s_techanal_rcnthigh(B1059,$B$2,1,3))</f>
        <v>0</v>
      </c>
      <c r="E1059">
        <f ca="1">IF(A1059="","",COUNTIF(D$6:D1059,"True"))</f>
        <v>10</v>
      </c>
      <c r="F1059" t="str">
        <f t="shared" si="16"/>
        <v>002564.SZ</v>
      </c>
    </row>
    <row r="1060" spans="1:6" x14ac:dyDescent="0.15">
      <c r="A1060" s="2">
        <v>46089</v>
      </c>
      <c r="B1060" s="1" t="s">
        <v>1988</v>
      </c>
      <c r="C1060" s="1" t="s">
        <v>1989</v>
      </c>
      <c r="D1060" t="b">
        <f ca="1">IF(A1060="","",[1]!s_techanal_rcnthigh(B1060,$B$2,1,3))</f>
        <v>0</v>
      </c>
      <c r="E1060">
        <f ca="1">IF(A1060="","",COUNTIF(D$6:D1060,"True"))</f>
        <v>10</v>
      </c>
      <c r="F1060" t="str">
        <f t="shared" si="16"/>
        <v>002565.SZ</v>
      </c>
    </row>
    <row r="1061" spans="1:6" x14ac:dyDescent="0.15">
      <c r="A1061" s="2">
        <v>46089</v>
      </c>
      <c r="B1061" s="1" t="s">
        <v>1990</v>
      </c>
      <c r="C1061" s="1" t="s">
        <v>1991</v>
      </c>
      <c r="D1061" t="b">
        <f ca="1">IF(A1061="","",[1]!s_techanal_rcnthigh(B1061,$B$2,1,3))</f>
        <v>0</v>
      </c>
      <c r="E1061">
        <f ca="1">IF(A1061="","",COUNTIF(D$6:D1061,"True"))</f>
        <v>10</v>
      </c>
      <c r="F1061" t="str">
        <f t="shared" si="16"/>
        <v>002566.SZ</v>
      </c>
    </row>
    <row r="1062" spans="1:6" x14ac:dyDescent="0.15">
      <c r="A1062" s="2">
        <v>46089</v>
      </c>
      <c r="B1062" s="1" t="s">
        <v>1992</v>
      </c>
      <c r="C1062" s="1" t="s">
        <v>1993</v>
      </c>
      <c r="D1062" t="b">
        <f ca="1">IF(A1062="","",[1]!s_techanal_rcnthigh(B1062,$B$2,1,3))</f>
        <v>0</v>
      </c>
      <c r="E1062">
        <f ca="1">IF(A1062="","",COUNTIF(D$6:D1062,"True"))</f>
        <v>10</v>
      </c>
      <c r="F1062" t="str">
        <f t="shared" si="16"/>
        <v>002567.SZ</v>
      </c>
    </row>
    <row r="1063" spans="1:6" x14ac:dyDescent="0.15">
      <c r="A1063" s="2">
        <v>46089</v>
      </c>
      <c r="B1063" s="1" t="s">
        <v>1994</v>
      </c>
      <c r="C1063" s="1" t="s">
        <v>1995</v>
      </c>
      <c r="D1063" t="b">
        <f ca="1">IF(A1063="","",[1]!s_techanal_rcnthigh(B1063,$B$2,1,3))</f>
        <v>0</v>
      </c>
      <c r="E1063">
        <f ca="1">IF(A1063="","",COUNTIF(D$6:D1063,"True"))</f>
        <v>10</v>
      </c>
      <c r="F1063" t="str">
        <f t="shared" si="16"/>
        <v>002568.SZ</v>
      </c>
    </row>
    <row r="1064" spans="1:6" x14ac:dyDescent="0.15">
      <c r="A1064" s="2">
        <v>46089</v>
      </c>
      <c r="B1064" s="1" t="s">
        <v>1996</v>
      </c>
      <c r="C1064" s="1" t="s">
        <v>10144</v>
      </c>
      <c r="D1064" t="b">
        <f ca="1">IF(A1064="","",[1]!s_techanal_rcnthigh(B1064,$B$2,1,3))</f>
        <v>0</v>
      </c>
      <c r="E1064">
        <f ca="1">IF(A1064="","",COUNTIF(D$6:D1064,"True"))</f>
        <v>10</v>
      </c>
      <c r="F1064" t="str">
        <f t="shared" si="16"/>
        <v>002569.SZ</v>
      </c>
    </row>
    <row r="1065" spans="1:6" x14ac:dyDescent="0.15">
      <c r="A1065" s="2">
        <v>46089</v>
      </c>
      <c r="B1065" s="1" t="s">
        <v>1997</v>
      </c>
      <c r="C1065" s="1" t="s">
        <v>1998</v>
      </c>
      <c r="D1065" t="b">
        <f ca="1">IF(A1065="","",[1]!s_techanal_rcnthigh(B1065,$B$2,1,3))</f>
        <v>0</v>
      </c>
      <c r="E1065">
        <f ca="1">IF(A1065="","",COUNTIF(D$6:D1065,"True"))</f>
        <v>10</v>
      </c>
      <c r="F1065" t="str">
        <f t="shared" si="16"/>
        <v>002570.SZ</v>
      </c>
    </row>
    <row r="1066" spans="1:6" x14ac:dyDescent="0.15">
      <c r="A1066" s="2">
        <v>46089</v>
      </c>
      <c r="B1066" s="1" t="s">
        <v>1999</v>
      </c>
      <c r="C1066" s="1" t="s">
        <v>2000</v>
      </c>
      <c r="D1066" t="b">
        <f ca="1">IF(A1066="","",[1]!s_techanal_rcnthigh(B1066,$B$2,1,3))</f>
        <v>0</v>
      </c>
      <c r="E1066">
        <f ca="1">IF(A1066="","",COUNTIF(D$6:D1066,"True"))</f>
        <v>10</v>
      </c>
      <c r="F1066" t="str">
        <f t="shared" si="16"/>
        <v>002571.SZ</v>
      </c>
    </row>
    <row r="1067" spans="1:6" x14ac:dyDescent="0.15">
      <c r="A1067" s="2">
        <v>46089</v>
      </c>
      <c r="B1067" s="1" t="s">
        <v>2001</v>
      </c>
      <c r="C1067" s="1" t="s">
        <v>2002</v>
      </c>
      <c r="D1067" t="b">
        <f ca="1">IF(A1067="","",[1]!s_techanal_rcnthigh(B1067,$B$2,1,3))</f>
        <v>0</v>
      </c>
      <c r="E1067">
        <f ca="1">IF(A1067="","",COUNTIF(D$6:D1067,"True"))</f>
        <v>10</v>
      </c>
      <c r="F1067" t="str">
        <f t="shared" si="16"/>
        <v>002572.SZ</v>
      </c>
    </row>
    <row r="1068" spans="1:6" x14ac:dyDescent="0.15">
      <c r="A1068" s="2">
        <v>46089</v>
      </c>
      <c r="B1068" s="1" t="s">
        <v>2003</v>
      </c>
      <c r="C1068" s="1" t="s">
        <v>2004</v>
      </c>
      <c r="D1068" t="b">
        <f ca="1">IF(A1068="","",[1]!s_techanal_rcnthigh(B1068,$B$2,1,3))</f>
        <v>0</v>
      </c>
      <c r="E1068">
        <f ca="1">IF(A1068="","",COUNTIF(D$6:D1068,"True"))</f>
        <v>10</v>
      </c>
      <c r="F1068" t="str">
        <f t="shared" si="16"/>
        <v>002573.SZ</v>
      </c>
    </row>
    <row r="1069" spans="1:6" x14ac:dyDescent="0.15">
      <c r="A1069" s="2">
        <v>46089</v>
      </c>
      <c r="B1069" s="1" t="s">
        <v>2005</v>
      </c>
      <c r="C1069" s="1" t="s">
        <v>2006</v>
      </c>
      <c r="D1069" t="b">
        <f ca="1">IF(A1069="","",[1]!s_techanal_rcnthigh(B1069,$B$2,1,3))</f>
        <v>0</v>
      </c>
      <c r="E1069">
        <f ca="1">IF(A1069="","",COUNTIF(D$6:D1069,"True"))</f>
        <v>10</v>
      </c>
      <c r="F1069" t="str">
        <f t="shared" si="16"/>
        <v>002574.SZ</v>
      </c>
    </row>
    <row r="1070" spans="1:6" x14ac:dyDescent="0.15">
      <c r="A1070" s="2">
        <v>46089</v>
      </c>
      <c r="B1070" s="1" t="s">
        <v>2007</v>
      </c>
      <c r="C1070" s="1" t="s">
        <v>2008</v>
      </c>
      <c r="D1070" t="b">
        <f ca="1">IF(A1070="","",[1]!s_techanal_rcnthigh(B1070,$B$2,1,3))</f>
        <v>0</v>
      </c>
      <c r="E1070">
        <f ca="1">IF(A1070="","",COUNTIF(D$6:D1070,"True"))</f>
        <v>10</v>
      </c>
      <c r="F1070" t="str">
        <f t="shared" si="16"/>
        <v>002575.SZ</v>
      </c>
    </row>
    <row r="1071" spans="1:6" x14ac:dyDescent="0.15">
      <c r="A1071" s="2">
        <v>46089</v>
      </c>
      <c r="B1071" s="1" t="s">
        <v>2009</v>
      </c>
      <c r="C1071" s="1" t="s">
        <v>2010</v>
      </c>
      <c r="D1071" t="b">
        <f ca="1">IF(A1071="","",[1]!s_techanal_rcnthigh(B1071,$B$2,1,3))</f>
        <v>0</v>
      </c>
      <c r="E1071">
        <f ca="1">IF(A1071="","",COUNTIF(D$6:D1071,"True"))</f>
        <v>10</v>
      </c>
      <c r="F1071" t="str">
        <f t="shared" si="16"/>
        <v>002576.SZ</v>
      </c>
    </row>
    <row r="1072" spans="1:6" x14ac:dyDescent="0.15">
      <c r="A1072" s="2">
        <v>46089</v>
      </c>
      <c r="B1072" s="1" t="s">
        <v>2011</v>
      </c>
      <c r="C1072" s="1" t="s">
        <v>2012</v>
      </c>
      <c r="D1072" t="b">
        <f ca="1">IF(A1072="","",[1]!s_techanal_rcnthigh(B1072,$B$2,1,3))</f>
        <v>0</v>
      </c>
      <c r="E1072">
        <f ca="1">IF(A1072="","",COUNTIF(D$6:D1072,"True"))</f>
        <v>10</v>
      </c>
      <c r="F1072" t="str">
        <f t="shared" si="16"/>
        <v>002577.SZ</v>
      </c>
    </row>
    <row r="1073" spans="1:6" x14ac:dyDescent="0.15">
      <c r="A1073" s="2">
        <v>46089</v>
      </c>
      <c r="B1073" s="1" t="s">
        <v>2013</v>
      </c>
      <c r="C1073" s="1" t="s">
        <v>2014</v>
      </c>
      <c r="D1073" t="b">
        <f ca="1">IF(A1073="","",[1]!s_techanal_rcnthigh(B1073,$B$2,1,3))</f>
        <v>0</v>
      </c>
      <c r="E1073">
        <f ca="1">IF(A1073="","",COUNTIF(D$6:D1073,"True"))</f>
        <v>10</v>
      </c>
      <c r="F1073" t="str">
        <f t="shared" si="16"/>
        <v>002578.SZ</v>
      </c>
    </row>
    <row r="1074" spans="1:6" x14ac:dyDescent="0.15">
      <c r="A1074" s="2">
        <v>46089</v>
      </c>
      <c r="B1074" s="1" t="s">
        <v>2015</v>
      </c>
      <c r="C1074" s="1" t="s">
        <v>2016</v>
      </c>
      <c r="D1074" t="b">
        <f ca="1">IF(A1074="","",[1]!s_techanal_rcnthigh(B1074,$B$2,1,3))</f>
        <v>0</v>
      </c>
      <c r="E1074">
        <f ca="1">IF(A1074="","",COUNTIF(D$6:D1074,"True"))</f>
        <v>10</v>
      </c>
      <c r="F1074" t="str">
        <f t="shared" si="16"/>
        <v>002579.SZ</v>
      </c>
    </row>
    <row r="1075" spans="1:6" x14ac:dyDescent="0.15">
      <c r="A1075" s="2">
        <v>46089</v>
      </c>
      <c r="B1075" s="1" t="s">
        <v>2017</v>
      </c>
      <c r="C1075" s="1" t="s">
        <v>2018</v>
      </c>
      <c r="D1075" t="b">
        <f ca="1">IF(A1075="","",[1]!s_techanal_rcnthigh(B1075,$B$2,1,3))</f>
        <v>0</v>
      </c>
      <c r="E1075">
        <f ca="1">IF(A1075="","",COUNTIF(D$6:D1075,"True"))</f>
        <v>10</v>
      </c>
      <c r="F1075" t="str">
        <f t="shared" si="16"/>
        <v>002580.SZ</v>
      </c>
    </row>
    <row r="1076" spans="1:6" x14ac:dyDescent="0.15">
      <c r="A1076" s="2">
        <v>46089</v>
      </c>
      <c r="B1076" s="1" t="s">
        <v>2019</v>
      </c>
      <c r="C1076" s="1" t="s">
        <v>10145</v>
      </c>
      <c r="D1076" t="b">
        <f ca="1">IF(A1076="","",[1]!s_techanal_rcnthigh(B1076,$B$2,1,3))</f>
        <v>0</v>
      </c>
      <c r="E1076">
        <f ca="1">IF(A1076="","",COUNTIF(D$6:D1076,"True"))</f>
        <v>10</v>
      </c>
      <c r="F1076" t="str">
        <f t="shared" si="16"/>
        <v>002581.SZ</v>
      </c>
    </row>
    <row r="1077" spans="1:6" x14ac:dyDescent="0.15">
      <c r="A1077" s="2">
        <v>46089</v>
      </c>
      <c r="B1077" s="1" t="s">
        <v>2020</v>
      </c>
      <c r="C1077" s="1" t="s">
        <v>2021</v>
      </c>
      <c r="D1077" t="b">
        <f ca="1">IF(A1077="","",[1]!s_techanal_rcnthigh(B1077,$B$2,1,3))</f>
        <v>0</v>
      </c>
      <c r="E1077">
        <f ca="1">IF(A1077="","",COUNTIF(D$6:D1077,"True"))</f>
        <v>10</v>
      </c>
      <c r="F1077" t="str">
        <f t="shared" si="16"/>
        <v>002582.SZ</v>
      </c>
    </row>
    <row r="1078" spans="1:6" x14ac:dyDescent="0.15">
      <c r="A1078" s="2">
        <v>46089</v>
      </c>
      <c r="B1078" s="1" t="s">
        <v>2022</v>
      </c>
      <c r="C1078" s="1" t="s">
        <v>2023</v>
      </c>
      <c r="D1078" t="b">
        <f ca="1">IF(A1078="","",[1]!s_techanal_rcnthigh(B1078,$B$2,1,3))</f>
        <v>0</v>
      </c>
      <c r="E1078">
        <f ca="1">IF(A1078="","",COUNTIF(D$6:D1078,"True"))</f>
        <v>10</v>
      </c>
      <c r="F1078" t="str">
        <f t="shared" si="16"/>
        <v>002583.SZ</v>
      </c>
    </row>
    <row r="1079" spans="1:6" x14ac:dyDescent="0.15">
      <c r="A1079" s="2">
        <v>46089</v>
      </c>
      <c r="B1079" s="1" t="s">
        <v>2024</v>
      </c>
      <c r="C1079" s="1" t="s">
        <v>2025</v>
      </c>
      <c r="D1079" t="b">
        <f ca="1">IF(A1079="","",[1]!s_techanal_rcnthigh(B1079,$B$2,1,3))</f>
        <v>0</v>
      </c>
      <c r="E1079">
        <f ca="1">IF(A1079="","",COUNTIF(D$6:D1079,"True"))</f>
        <v>10</v>
      </c>
      <c r="F1079" t="str">
        <f t="shared" si="16"/>
        <v>002584.SZ</v>
      </c>
    </row>
    <row r="1080" spans="1:6" x14ac:dyDescent="0.15">
      <c r="A1080" s="2">
        <v>46089</v>
      </c>
      <c r="B1080" s="1" t="s">
        <v>2026</v>
      </c>
      <c r="C1080" s="1" t="s">
        <v>2027</v>
      </c>
      <c r="D1080" t="b">
        <f ca="1">IF(A1080="","",[1]!s_techanal_rcnthigh(B1080,$B$2,1,3))</f>
        <v>0</v>
      </c>
      <c r="E1080">
        <f ca="1">IF(A1080="","",COUNTIF(D$6:D1080,"True"))</f>
        <v>10</v>
      </c>
      <c r="F1080" t="str">
        <f t="shared" si="16"/>
        <v>002585.SZ</v>
      </c>
    </row>
    <row r="1081" spans="1:6" x14ac:dyDescent="0.15">
      <c r="A1081" s="2">
        <v>46089</v>
      </c>
      <c r="B1081" s="1" t="s">
        <v>2028</v>
      </c>
      <c r="C1081" s="1" t="s">
        <v>10146</v>
      </c>
      <c r="D1081" t="b">
        <f ca="1">IF(A1081="","",[1]!s_techanal_rcnthigh(B1081,$B$2,1,3))</f>
        <v>0</v>
      </c>
      <c r="E1081">
        <f ca="1">IF(A1081="","",COUNTIF(D$6:D1081,"True"))</f>
        <v>10</v>
      </c>
      <c r="F1081" t="str">
        <f t="shared" si="16"/>
        <v>002586.SZ</v>
      </c>
    </row>
    <row r="1082" spans="1:6" x14ac:dyDescent="0.15">
      <c r="A1082" s="2">
        <v>46089</v>
      </c>
      <c r="B1082" s="1" t="s">
        <v>2029</v>
      </c>
      <c r="C1082" s="1" t="s">
        <v>2030</v>
      </c>
      <c r="D1082" t="b">
        <f ca="1">IF(A1082="","",[1]!s_techanal_rcnthigh(B1082,$B$2,1,3))</f>
        <v>0</v>
      </c>
      <c r="E1082">
        <f ca="1">IF(A1082="","",COUNTIF(D$6:D1082,"True"))</f>
        <v>10</v>
      </c>
      <c r="F1082" t="str">
        <f t="shared" si="16"/>
        <v>002587.SZ</v>
      </c>
    </row>
    <row r="1083" spans="1:6" x14ac:dyDescent="0.15">
      <c r="A1083" s="2">
        <v>46089</v>
      </c>
      <c r="B1083" s="1" t="s">
        <v>2031</v>
      </c>
      <c r="C1083" s="1" t="s">
        <v>2032</v>
      </c>
      <c r="D1083" t="b">
        <f ca="1">IF(A1083="","",[1]!s_techanal_rcnthigh(B1083,$B$2,1,3))</f>
        <v>0</v>
      </c>
      <c r="E1083">
        <f ca="1">IF(A1083="","",COUNTIF(D$6:D1083,"True"))</f>
        <v>10</v>
      </c>
      <c r="F1083" t="str">
        <f t="shared" si="16"/>
        <v>002588.SZ</v>
      </c>
    </row>
    <row r="1084" spans="1:6" x14ac:dyDescent="0.15">
      <c r="A1084" s="2">
        <v>46089</v>
      </c>
      <c r="B1084" s="1" t="s">
        <v>2033</v>
      </c>
      <c r="C1084" s="1" t="s">
        <v>2034</v>
      </c>
      <c r="D1084" t="b">
        <f ca="1">IF(A1084="","",[1]!s_techanal_rcnthigh(B1084,$B$2,1,3))</f>
        <v>0</v>
      </c>
      <c r="E1084">
        <f ca="1">IF(A1084="","",COUNTIF(D$6:D1084,"True"))</f>
        <v>10</v>
      </c>
      <c r="F1084" t="str">
        <f t="shared" si="16"/>
        <v>002589.SZ</v>
      </c>
    </row>
    <row r="1085" spans="1:6" x14ac:dyDescent="0.15">
      <c r="A1085" s="2">
        <v>46089</v>
      </c>
      <c r="B1085" s="1" t="s">
        <v>2035</v>
      </c>
      <c r="C1085" s="1" t="s">
        <v>2036</v>
      </c>
      <c r="D1085" t="b">
        <f ca="1">IF(A1085="","",[1]!s_techanal_rcnthigh(B1085,$B$2,1,3))</f>
        <v>0</v>
      </c>
      <c r="E1085">
        <f ca="1">IF(A1085="","",COUNTIF(D$6:D1085,"True"))</f>
        <v>10</v>
      </c>
      <c r="F1085" t="str">
        <f t="shared" si="16"/>
        <v>002590.SZ</v>
      </c>
    </row>
    <row r="1086" spans="1:6" x14ac:dyDescent="0.15">
      <c r="A1086" s="2">
        <v>46089</v>
      </c>
      <c r="B1086" s="1" t="s">
        <v>2037</v>
      </c>
      <c r="C1086" s="1" t="s">
        <v>2038</v>
      </c>
      <c r="D1086" t="b">
        <f ca="1">IF(A1086="","",[1]!s_techanal_rcnthigh(B1086,$B$2,1,3))</f>
        <v>0</v>
      </c>
      <c r="E1086">
        <f ca="1">IF(A1086="","",COUNTIF(D$6:D1086,"True"))</f>
        <v>10</v>
      </c>
      <c r="F1086" t="str">
        <f t="shared" si="16"/>
        <v>002591.SZ</v>
      </c>
    </row>
    <row r="1087" spans="1:6" x14ac:dyDescent="0.15">
      <c r="A1087" s="2">
        <v>46089</v>
      </c>
      <c r="B1087" s="1" t="s">
        <v>2039</v>
      </c>
      <c r="C1087" s="1" t="s">
        <v>2040</v>
      </c>
      <c r="D1087" t="b">
        <f ca="1">IF(A1087="","",[1]!s_techanal_rcnthigh(B1087,$B$2,1,3))</f>
        <v>0</v>
      </c>
      <c r="E1087">
        <f ca="1">IF(A1087="","",COUNTIF(D$6:D1087,"True"))</f>
        <v>10</v>
      </c>
      <c r="F1087" t="str">
        <f t="shared" si="16"/>
        <v>002592.SZ</v>
      </c>
    </row>
    <row r="1088" spans="1:6" x14ac:dyDescent="0.15">
      <c r="A1088" s="2">
        <v>46089</v>
      </c>
      <c r="B1088" s="1" t="s">
        <v>2041</v>
      </c>
      <c r="C1088" s="1" t="s">
        <v>2042</v>
      </c>
      <c r="D1088" t="b">
        <f ca="1">IF(A1088="","",[1]!s_techanal_rcnthigh(B1088,$B$2,1,3))</f>
        <v>0</v>
      </c>
      <c r="E1088">
        <f ca="1">IF(A1088="","",COUNTIF(D$6:D1088,"True"))</f>
        <v>10</v>
      </c>
      <c r="F1088" t="str">
        <f t="shared" si="16"/>
        <v>002593.SZ</v>
      </c>
    </row>
    <row r="1089" spans="1:6" x14ac:dyDescent="0.15">
      <c r="A1089" s="2">
        <v>46089</v>
      </c>
      <c r="B1089" s="1" t="s">
        <v>2043</v>
      </c>
      <c r="C1089" s="1" t="s">
        <v>2044</v>
      </c>
      <c r="D1089" t="b">
        <f ca="1">IF(A1089="","",[1]!s_techanal_rcnthigh(B1089,$B$2,1,3))</f>
        <v>0</v>
      </c>
      <c r="E1089">
        <f ca="1">IF(A1089="","",COUNTIF(D$6:D1089,"True"))</f>
        <v>10</v>
      </c>
      <c r="F1089" t="str">
        <f t="shared" si="16"/>
        <v>002594.SZ</v>
      </c>
    </row>
    <row r="1090" spans="1:6" x14ac:dyDescent="0.15">
      <c r="A1090" s="2">
        <v>46089</v>
      </c>
      <c r="B1090" s="1" t="s">
        <v>2045</v>
      </c>
      <c r="C1090" s="1" t="s">
        <v>2046</v>
      </c>
      <c r="D1090" t="b">
        <f ca="1">IF(A1090="","",[1]!s_techanal_rcnthigh(B1090,$B$2,1,3))</f>
        <v>1</v>
      </c>
      <c r="E1090">
        <f ca="1">IF(A1090="","",COUNTIF(D$6:D1090,"True"))</f>
        <v>11</v>
      </c>
      <c r="F1090" t="str">
        <f t="shared" si="16"/>
        <v>002595.SZ</v>
      </c>
    </row>
    <row r="1091" spans="1:6" x14ac:dyDescent="0.15">
      <c r="A1091" s="2">
        <v>46089</v>
      </c>
      <c r="B1091" s="1" t="s">
        <v>2047</v>
      </c>
      <c r="C1091" s="1" t="s">
        <v>2048</v>
      </c>
      <c r="D1091" t="b">
        <f ca="1">IF(A1091="","",[1]!s_techanal_rcnthigh(B1091,$B$2,1,3))</f>
        <v>0</v>
      </c>
      <c r="E1091">
        <f ca="1">IF(A1091="","",COUNTIF(D$6:D1091,"True"))</f>
        <v>11</v>
      </c>
      <c r="F1091" t="str">
        <f t="shared" si="16"/>
        <v>002596.SZ</v>
      </c>
    </row>
    <row r="1092" spans="1:6" x14ac:dyDescent="0.15">
      <c r="A1092" s="2">
        <v>46089</v>
      </c>
      <c r="B1092" s="1" t="s">
        <v>2049</v>
      </c>
      <c r="C1092" s="1" t="s">
        <v>2050</v>
      </c>
      <c r="D1092" t="b">
        <f ca="1">IF(A1092="","",[1]!s_techanal_rcnthigh(B1092,$B$2,1,3))</f>
        <v>0</v>
      </c>
      <c r="E1092">
        <f ca="1">IF(A1092="","",COUNTIF(D$6:D1092,"True"))</f>
        <v>11</v>
      </c>
      <c r="F1092" t="str">
        <f t="shared" si="16"/>
        <v>002597.SZ</v>
      </c>
    </row>
    <row r="1093" spans="1:6" x14ac:dyDescent="0.15">
      <c r="A1093" s="2">
        <v>46089</v>
      </c>
      <c r="B1093" s="1" t="s">
        <v>2051</v>
      </c>
      <c r="C1093" s="1" t="s">
        <v>2052</v>
      </c>
      <c r="D1093" t="b">
        <f ca="1">IF(A1093="","",[1]!s_techanal_rcnthigh(B1093,$B$2,1,3))</f>
        <v>0</v>
      </c>
      <c r="E1093">
        <f ca="1">IF(A1093="","",COUNTIF(D$6:D1093,"True"))</f>
        <v>11</v>
      </c>
      <c r="F1093" t="str">
        <f t="shared" si="16"/>
        <v>002598.SZ</v>
      </c>
    </row>
    <row r="1094" spans="1:6" x14ac:dyDescent="0.15">
      <c r="A1094" s="2">
        <v>46089</v>
      </c>
      <c r="B1094" s="1" t="s">
        <v>2053</v>
      </c>
      <c r="C1094" s="1" t="s">
        <v>2054</v>
      </c>
      <c r="D1094" t="b">
        <f ca="1">IF(A1094="","",[1]!s_techanal_rcnthigh(B1094,$B$2,1,3))</f>
        <v>0</v>
      </c>
      <c r="E1094">
        <f ca="1">IF(A1094="","",COUNTIF(D$6:D1094,"True"))</f>
        <v>11</v>
      </c>
      <c r="F1094" t="str">
        <f t="shared" ref="F1094:F1157" si="17">IF(B1094="","",B1094)</f>
        <v>002599.SZ</v>
      </c>
    </row>
    <row r="1095" spans="1:6" x14ac:dyDescent="0.15">
      <c r="A1095" s="2">
        <v>46089</v>
      </c>
      <c r="B1095" s="1" t="s">
        <v>2055</v>
      </c>
      <c r="C1095" s="1" t="s">
        <v>2056</v>
      </c>
      <c r="D1095" t="b">
        <f ca="1">IF(A1095="","",[1]!s_techanal_rcnthigh(B1095,$B$2,1,3))</f>
        <v>0</v>
      </c>
      <c r="E1095">
        <f ca="1">IF(A1095="","",COUNTIF(D$6:D1095,"True"))</f>
        <v>11</v>
      </c>
      <c r="F1095" t="str">
        <f t="shared" si="17"/>
        <v>002600.SZ</v>
      </c>
    </row>
    <row r="1096" spans="1:6" x14ac:dyDescent="0.15">
      <c r="A1096" s="2">
        <v>46089</v>
      </c>
      <c r="B1096" s="1" t="s">
        <v>2057</v>
      </c>
      <c r="C1096" s="1" t="s">
        <v>2058</v>
      </c>
      <c r="D1096" t="b">
        <f ca="1">IF(A1096="","",[1]!s_techanal_rcnthigh(B1096,$B$2,1,3))</f>
        <v>0</v>
      </c>
      <c r="E1096">
        <f ca="1">IF(A1096="","",COUNTIF(D$6:D1096,"True"))</f>
        <v>11</v>
      </c>
      <c r="F1096" t="str">
        <f t="shared" si="17"/>
        <v>002601.SZ</v>
      </c>
    </row>
    <row r="1097" spans="1:6" x14ac:dyDescent="0.15">
      <c r="A1097" s="2">
        <v>46089</v>
      </c>
      <c r="B1097" s="1" t="s">
        <v>2059</v>
      </c>
      <c r="C1097" s="1" t="s">
        <v>2060</v>
      </c>
      <c r="D1097" t="b">
        <f ca="1">IF(A1097="","",[1]!s_techanal_rcnthigh(B1097,$B$2,1,3))</f>
        <v>0</v>
      </c>
      <c r="E1097">
        <f ca="1">IF(A1097="","",COUNTIF(D$6:D1097,"True"))</f>
        <v>11</v>
      </c>
      <c r="F1097" t="str">
        <f t="shared" si="17"/>
        <v>002602.SZ</v>
      </c>
    </row>
    <row r="1098" spans="1:6" x14ac:dyDescent="0.15">
      <c r="A1098" s="2">
        <v>46089</v>
      </c>
      <c r="B1098" s="1" t="s">
        <v>2061</v>
      </c>
      <c r="C1098" s="1" t="s">
        <v>2062</v>
      </c>
      <c r="D1098" t="b">
        <f ca="1">IF(A1098="","",[1]!s_techanal_rcnthigh(B1098,$B$2,1,3))</f>
        <v>0</v>
      </c>
      <c r="E1098">
        <f ca="1">IF(A1098="","",COUNTIF(D$6:D1098,"True"))</f>
        <v>11</v>
      </c>
      <c r="F1098" t="str">
        <f t="shared" si="17"/>
        <v>002603.SZ</v>
      </c>
    </row>
    <row r="1099" spans="1:6" x14ac:dyDescent="0.15">
      <c r="A1099" s="2">
        <v>46089</v>
      </c>
      <c r="B1099" s="1" t="s">
        <v>2063</v>
      </c>
      <c r="C1099" s="1" t="s">
        <v>2064</v>
      </c>
      <c r="D1099" t="b">
        <f ca="1">IF(A1099="","",[1]!s_techanal_rcnthigh(B1099,$B$2,1,3))</f>
        <v>0</v>
      </c>
      <c r="E1099">
        <f ca="1">IF(A1099="","",COUNTIF(D$6:D1099,"True"))</f>
        <v>11</v>
      </c>
      <c r="F1099" t="str">
        <f t="shared" si="17"/>
        <v>002605.SZ</v>
      </c>
    </row>
    <row r="1100" spans="1:6" x14ac:dyDescent="0.15">
      <c r="A1100" s="2">
        <v>46089</v>
      </c>
      <c r="B1100" s="1" t="s">
        <v>2065</v>
      </c>
      <c r="C1100" s="1" t="s">
        <v>2066</v>
      </c>
      <c r="D1100" t="b">
        <f ca="1">IF(A1100="","",[1]!s_techanal_rcnthigh(B1100,$B$2,1,3))</f>
        <v>0</v>
      </c>
      <c r="E1100">
        <f ca="1">IF(A1100="","",COUNTIF(D$6:D1100,"True"))</f>
        <v>11</v>
      </c>
      <c r="F1100" t="str">
        <f t="shared" si="17"/>
        <v>002606.SZ</v>
      </c>
    </row>
    <row r="1101" spans="1:6" x14ac:dyDescent="0.15">
      <c r="A1101" s="2">
        <v>46089</v>
      </c>
      <c r="B1101" s="1" t="s">
        <v>2067</v>
      </c>
      <c r="C1101" s="1" t="s">
        <v>2068</v>
      </c>
      <c r="D1101" t="b">
        <f ca="1">IF(A1101="","",[1]!s_techanal_rcnthigh(B1101,$B$2,1,3))</f>
        <v>0</v>
      </c>
      <c r="E1101">
        <f ca="1">IF(A1101="","",COUNTIF(D$6:D1101,"True"))</f>
        <v>11</v>
      </c>
      <c r="F1101" t="str">
        <f t="shared" si="17"/>
        <v>002607.SZ</v>
      </c>
    </row>
    <row r="1102" spans="1:6" x14ac:dyDescent="0.15">
      <c r="A1102" s="2">
        <v>46089</v>
      </c>
      <c r="B1102" s="1" t="s">
        <v>2069</v>
      </c>
      <c r="C1102" s="1" t="s">
        <v>2070</v>
      </c>
      <c r="D1102" t="b">
        <f ca="1">IF(A1102="","",[1]!s_techanal_rcnthigh(B1102,$B$2,1,3))</f>
        <v>0</v>
      </c>
      <c r="E1102">
        <f ca="1">IF(A1102="","",COUNTIF(D$6:D1102,"True"))</f>
        <v>11</v>
      </c>
      <c r="F1102" t="str">
        <f t="shared" si="17"/>
        <v>002608.SZ</v>
      </c>
    </row>
    <row r="1103" spans="1:6" x14ac:dyDescent="0.15">
      <c r="A1103" s="2">
        <v>46089</v>
      </c>
      <c r="B1103" s="1" t="s">
        <v>2071</v>
      </c>
      <c r="C1103" s="1" t="s">
        <v>2072</v>
      </c>
      <c r="D1103" t="b">
        <f ca="1">IF(A1103="","",[1]!s_techanal_rcnthigh(B1103,$B$2,1,3))</f>
        <v>0</v>
      </c>
      <c r="E1103">
        <f ca="1">IF(A1103="","",COUNTIF(D$6:D1103,"True"))</f>
        <v>11</v>
      </c>
      <c r="F1103" t="str">
        <f t="shared" si="17"/>
        <v>002609.SZ</v>
      </c>
    </row>
    <row r="1104" spans="1:6" x14ac:dyDescent="0.15">
      <c r="A1104" s="2">
        <v>46089</v>
      </c>
      <c r="B1104" s="1" t="s">
        <v>2073</v>
      </c>
      <c r="C1104" s="1" t="s">
        <v>2074</v>
      </c>
      <c r="D1104" t="b">
        <f ca="1">IF(A1104="","",[1]!s_techanal_rcnthigh(B1104,$B$2,1,3))</f>
        <v>0</v>
      </c>
      <c r="E1104">
        <f ca="1">IF(A1104="","",COUNTIF(D$6:D1104,"True"))</f>
        <v>11</v>
      </c>
      <c r="F1104" t="str">
        <f t="shared" si="17"/>
        <v>002611.SZ</v>
      </c>
    </row>
    <row r="1105" spans="1:6" x14ac:dyDescent="0.15">
      <c r="A1105" s="2">
        <v>46089</v>
      </c>
      <c r="B1105" s="1" t="s">
        <v>2075</v>
      </c>
      <c r="C1105" s="1" t="s">
        <v>2076</v>
      </c>
      <c r="D1105" t="b">
        <f ca="1">IF(A1105="","",[1]!s_techanal_rcnthigh(B1105,$B$2,1,3))</f>
        <v>0</v>
      </c>
      <c r="E1105">
        <f ca="1">IF(A1105="","",COUNTIF(D$6:D1105,"True"))</f>
        <v>11</v>
      </c>
      <c r="F1105" t="str">
        <f t="shared" si="17"/>
        <v>002612.SZ</v>
      </c>
    </row>
    <row r="1106" spans="1:6" x14ac:dyDescent="0.15">
      <c r="A1106" s="2">
        <v>46089</v>
      </c>
      <c r="B1106" s="1" t="s">
        <v>2077</v>
      </c>
      <c r="C1106" s="1" t="s">
        <v>2078</v>
      </c>
      <c r="D1106" t="b">
        <f ca="1">IF(A1106="","",[1]!s_techanal_rcnthigh(B1106,$B$2,1,3))</f>
        <v>0</v>
      </c>
      <c r="E1106">
        <f ca="1">IF(A1106="","",COUNTIF(D$6:D1106,"True"))</f>
        <v>11</v>
      </c>
      <c r="F1106" t="str">
        <f t="shared" si="17"/>
        <v>002613.SZ</v>
      </c>
    </row>
    <row r="1107" spans="1:6" x14ac:dyDescent="0.15">
      <c r="A1107" s="2">
        <v>46089</v>
      </c>
      <c r="B1107" s="1" t="s">
        <v>2079</v>
      </c>
      <c r="C1107" s="1" t="s">
        <v>2080</v>
      </c>
      <c r="D1107" t="b">
        <f ca="1">IF(A1107="","",[1]!s_techanal_rcnthigh(B1107,$B$2,1,3))</f>
        <v>0</v>
      </c>
      <c r="E1107">
        <f ca="1">IF(A1107="","",COUNTIF(D$6:D1107,"True"))</f>
        <v>11</v>
      </c>
      <c r="F1107" t="str">
        <f t="shared" si="17"/>
        <v>002614.SZ</v>
      </c>
    </row>
    <row r="1108" spans="1:6" x14ac:dyDescent="0.15">
      <c r="A1108" s="2">
        <v>46089</v>
      </c>
      <c r="B1108" s="1" t="s">
        <v>2081</v>
      </c>
      <c r="C1108" s="1" t="s">
        <v>2082</v>
      </c>
      <c r="D1108" t="b">
        <f ca="1">IF(A1108="","",[1]!s_techanal_rcnthigh(B1108,$B$2,1,3))</f>
        <v>0</v>
      </c>
      <c r="E1108">
        <f ca="1">IF(A1108="","",COUNTIF(D$6:D1108,"True"))</f>
        <v>11</v>
      </c>
      <c r="F1108" t="str">
        <f t="shared" si="17"/>
        <v>002615.SZ</v>
      </c>
    </row>
    <row r="1109" spans="1:6" x14ac:dyDescent="0.15">
      <c r="A1109" s="2">
        <v>46089</v>
      </c>
      <c r="B1109" s="1" t="s">
        <v>2083</v>
      </c>
      <c r="C1109" s="1" t="s">
        <v>2084</v>
      </c>
      <c r="D1109" t="b">
        <f ca="1">IF(A1109="","",[1]!s_techanal_rcnthigh(B1109,$B$2,1,3))</f>
        <v>0</v>
      </c>
      <c r="E1109">
        <f ca="1">IF(A1109="","",COUNTIF(D$6:D1109,"True"))</f>
        <v>11</v>
      </c>
      <c r="F1109" t="str">
        <f t="shared" si="17"/>
        <v>002616.SZ</v>
      </c>
    </row>
    <row r="1110" spans="1:6" x14ac:dyDescent="0.15">
      <c r="A1110" s="2">
        <v>46089</v>
      </c>
      <c r="B1110" s="1" t="s">
        <v>2085</v>
      </c>
      <c r="C1110" s="1" t="s">
        <v>2086</v>
      </c>
      <c r="D1110" t="b">
        <f ca="1">IF(A1110="","",[1]!s_techanal_rcnthigh(B1110,$B$2,1,3))</f>
        <v>0</v>
      </c>
      <c r="E1110">
        <f ca="1">IF(A1110="","",COUNTIF(D$6:D1110,"True"))</f>
        <v>11</v>
      </c>
      <c r="F1110" t="str">
        <f t="shared" si="17"/>
        <v>002617.SZ</v>
      </c>
    </row>
    <row r="1111" spans="1:6" x14ac:dyDescent="0.15">
      <c r="A1111" s="2">
        <v>46089</v>
      </c>
      <c r="B1111" s="1" t="s">
        <v>2087</v>
      </c>
      <c r="C1111" s="1" t="s">
        <v>10147</v>
      </c>
      <c r="D1111" t="b">
        <f ca="1">IF(A1111="","",[1]!s_techanal_rcnthigh(B1111,$B$2,1,3))</f>
        <v>0</v>
      </c>
      <c r="E1111">
        <f ca="1">IF(A1111="","",COUNTIF(D$6:D1111,"True"))</f>
        <v>11</v>
      </c>
      <c r="F1111" t="str">
        <f t="shared" si="17"/>
        <v>002620.SZ</v>
      </c>
    </row>
    <row r="1112" spans="1:6" x14ac:dyDescent="0.15">
      <c r="A1112" s="2">
        <v>46089</v>
      </c>
      <c r="B1112" s="1" t="s">
        <v>2088</v>
      </c>
      <c r="C1112" s="1" t="s">
        <v>2089</v>
      </c>
      <c r="D1112" t="b">
        <f ca="1">IF(A1112="","",[1]!s_techanal_rcnthigh(B1112,$B$2,1,3))</f>
        <v>0</v>
      </c>
      <c r="E1112">
        <f ca="1">IF(A1112="","",COUNTIF(D$6:D1112,"True"))</f>
        <v>11</v>
      </c>
      <c r="F1112" t="str">
        <f t="shared" si="17"/>
        <v>002622.SZ</v>
      </c>
    </row>
    <row r="1113" spans="1:6" x14ac:dyDescent="0.15">
      <c r="A1113" s="2">
        <v>46089</v>
      </c>
      <c r="B1113" s="1" t="s">
        <v>2090</v>
      </c>
      <c r="C1113" s="1" t="s">
        <v>2091</v>
      </c>
      <c r="D1113" t="b">
        <f ca="1">IF(A1113="","",[1]!s_techanal_rcnthigh(B1113,$B$2,1,3))</f>
        <v>0</v>
      </c>
      <c r="E1113">
        <f ca="1">IF(A1113="","",COUNTIF(D$6:D1113,"True"))</f>
        <v>11</v>
      </c>
      <c r="F1113" t="str">
        <f t="shared" si="17"/>
        <v>002623.SZ</v>
      </c>
    </row>
    <row r="1114" spans="1:6" x14ac:dyDescent="0.15">
      <c r="A1114" s="2">
        <v>46089</v>
      </c>
      <c r="B1114" s="1" t="s">
        <v>2092</v>
      </c>
      <c r="C1114" s="1" t="s">
        <v>2093</v>
      </c>
      <c r="D1114" t="b">
        <f ca="1">IF(A1114="","",[1]!s_techanal_rcnthigh(B1114,$B$2,1,3))</f>
        <v>0</v>
      </c>
      <c r="E1114">
        <f ca="1">IF(A1114="","",COUNTIF(D$6:D1114,"True"))</f>
        <v>11</v>
      </c>
      <c r="F1114" t="str">
        <f t="shared" si="17"/>
        <v>002624.SZ</v>
      </c>
    </row>
    <row r="1115" spans="1:6" x14ac:dyDescent="0.15">
      <c r="A1115" s="2">
        <v>46089</v>
      </c>
      <c r="B1115" s="1" t="s">
        <v>2094</v>
      </c>
      <c r="C1115" s="1" t="s">
        <v>2095</v>
      </c>
      <c r="D1115" t="b">
        <f ca="1">IF(A1115="","",[1]!s_techanal_rcnthigh(B1115,$B$2,1,3))</f>
        <v>0</v>
      </c>
      <c r="E1115">
        <f ca="1">IF(A1115="","",COUNTIF(D$6:D1115,"True"))</f>
        <v>11</v>
      </c>
      <c r="F1115" t="str">
        <f t="shared" si="17"/>
        <v>002625.SZ</v>
      </c>
    </row>
    <row r="1116" spans="1:6" x14ac:dyDescent="0.15">
      <c r="A1116" s="2">
        <v>46089</v>
      </c>
      <c r="B1116" s="1" t="s">
        <v>2096</v>
      </c>
      <c r="C1116" s="1" t="s">
        <v>2097</v>
      </c>
      <c r="D1116" t="b">
        <f ca="1">IF(A1116="","",[1]!s_techanal_rcnthigh(B1116,$B$2,1,3))</f>
        <v>0</v>
      </c>
      <c r="E1116">
        <f ca="1">IF(A1116="","",COUNTIF(D$6:D1116,"True"))</f>
        <v>11</v>
      </c>
      <c r="F1116" t="str">
        <f t="shared" si="17"/>
        <v>002626.SZ</v>
      </c>
    </row>
    <row r="1117" spans="1:6" x14ac:dyDescent="0.15">
      <c r="A1117" s="2">
        <v>46089</v>
      </c>
      <c r="B1117" s="1" t="s">
        <v>2098</v>
      </c>
      <c r="C1117" s="1" t="s">
        <v>2099</v>
      </c>
      <c r="D1117" t="b">
        <f ca="1">IF(A1117="","",[1]!s_techanal_rcnthigh(B1117,$B$2,1,3))</f>
        <v>0</v>
      </c>
      <c r="E1117">
        <f ca="1">IF(A1117="","",COUNTIF(D$6:D1117,"True"))</f>
        <v>11</v>
      </c>
      <c r="F1117" t="str">
        <f t="shared" si="17"/>
        <v>002627.SZ</v>
      </c>
    </row>
    <row r="1118" spans="1:6" x14ac:dyDescent="0.15">
      <c r="A1118" s="2">
        <v>46089</v>
      </c>
      <c r="B1118" s="1" t="s">
        <v>2100</v>
      </c>
      <c r="C1118" s="1" t="s">
        <v>2101</v>
      </c>
      <c r="D1118" t="b">
        <f ca="1">IF(A1118="","",[1]!s_techanal_rcnthigh(B1118,$B$2,1,3))</f>
        <v>0</v>
      </c>
      <c r="E1118">
        <f ca="1">IF(A1118="","",COUNTIF(D$6:D1118,"True"))</f>
        <v>11</v>
      </c>
      <c r="F1118" t="str">
        <f t="shared" si="17"/>
        <v>002628.SZ</v>
      </c>
    </row>
    <row r="1119" spans="1:6" x14ac:dyDescent="0.15">
      <c r="A1119" s="2">
        <v>46089</v>
      </c>
      <c r="B1119" s="1" t="s">
        <v>2102</v>
      </c>
      <c r="C1119" s="1" t="s">
        <v>2103</v>
      </c>
      <c r="D1119" t="b">
        <f ca="1">IF(A1119="","",[1]!s_techanal_rcnthigh(B1119,$B$2,1,3))</f>
        <v>0</v>
      </c>
      <c r="E1119">
        <f ca="1">IF(A1119="","",COUNTIF(D$6:D1119,"True"))</f>
        <v>11</v>
      </c>
      <c r="F1119" t="str">
        <f t="shared" si="17"/>
        <v>002629.SZ</v>
      </c>
    </row>
    <row r="1120" spans="1:6" x14ac:dyDescent="0.15">
      <c r="A1120" s="2">
        <v>46089</v>
      </c>
      <c r="B1120" s="1" t="s">
        <v>2104</v>
      </c>
      <c r="C1120" s="1" t="s">
        <v>10148</v>
      </c>
      <c r="D1120" t="b">
        <f ca="1">IF(A1120="","",[1]!s_techanal_rcnthigh(B1120,$B$2,1,3))</f>
        <v>0</v>
      </c>
      <c r="E1120">
        <f ca="1">IF(A1120="","",COUNTIF(D$6:D1120,"True"))</f>
        <v>11</v>
      </c>
      <c r="F1120" t="str">
        <f t="shared" si="17"/>
        <v>002630.SZ</v>
      </c>
    </row>
    <row r="1121" spans="1:6" x14ac:dyDescent="0.15">
      <c r="A1121" s="2">
        <v>46089</v>
      </c>
      <c r="B1121" s="1" t="s">
        <v>2105</v>
      </c>
      <c r="C1121" s="1" t="s">
        <v>2106</v>
      </c>
      <c r="D1121" t="b">
        <f ca="1">IF(A1121="","",[1]!s_techanal_rcnthigh(B1121,$B$2,1,3))</f>
        <v>0</v>
      </c>
      <c r="E1121">
        <f ca="1">IF(A1121="","",COUNTIF(D$6:D1121,"True"))</f>
        <v>11</v>
      </c>
      <c r="F1121" t="str">
        <f t="shared" si="17"/>
        <v>002631.SZ</v>
      </c>
    </row>
    <row r="1122" spans="1:6" x14ac:dyDescent="0.15">
      <c r="A1122" s="2">
        <v>46089</v>
      </c>
      <c r="B1122" s="1" t="s">
        <v>2107</v>
      </c>
      <c r="C1122" s="1" t="s">
        <v>2108</v>
      </c>
      <c r="D1122" t="b">
        <f ca="1">IF(A1122="","",[1]!s_techanal_rcnthigh(B1122,$B$2,1,3))</f>
        <v>0</v>
      </c>
      <c r="E1122">
        <f ca="1">IF(A1122="","",COUNTIF(D$6:D1122,"True"))</f>
        <v>11</v>
      </c>
      <c r="F1122" t="str">
        <f t="shared" si="17"/>
        <v>002632.SZ</v>
      </c>
    </row>
    <row r="1123" spans="1:6" x14ac:dyDescent="0.15">
      <c r="A1123" s="2">
        <v>46089</v>
      </c>
      <c r="B1123" s="1" t="s">
        <v>2109</v>
      </c>
      <c r="C1123" s="1" t="s">
        <v>2110</v>
      </c>
      <c r="D1123" t="b">
        <f ca="1">IF(A1123="","",[1]!s_techanal_rcnthigh(B1123,$B$2,1,3))</f>
        <v>0</v>
      </c>
      <c r="E1123">
        <f ca="1">IF(A1123="","",COUNTIF(D$6:D1123,"True"))</f>
        <v>11</v>
      </c>
      <c r="F1123" t="str">
        <f t="shared" si="17"/>
        <v>002633.SZ</v>
      </c>
    </row>
    <row r="1124" spans="1:6" x14ac:dyDescent="0.15">
      <c r="A1124" s="2">
        <v>46089</v>
      </c>
      <c r="B1124" s="1" t="s">
        <v>2111</v>
      </c>
      <c r="C1124" s="1" t="s">
        <v>2112</v>
      </c>
      <c r="D1124" t="b">
        <f ca="1">IF(A1124="","",[1]!s_techanal_rcnthigh(B1124,$B$2,1,3))</f>
        <v>0</v>
      </c>
      <c r="E1124">
        <f ca="1">IF(A1124="","",COUNTIF(D$6:D1124,"True"))</f>
        <v>11</v>
      </c>
      <c r="F1124" t="str">
        <f t="shared" si="17"/>
        <v>002634.SZ</v>
      </c>
    </row>
    <row r="1125" spans="1:6" x14ac:dyDescent="0.15">
      <c r="A1125" s="2">
        <v>46089</v>
      </c>
      <c r="B1125" s="1" t="s">
        <v>2113</v>
      </c>
      <c r="C1125" s="1" t="s">
        <v>2114</v>
      </c>
      <c r="D1125" t="b">
        <f ca="1">IF(A1125="","",[1]!s_techanal_rcnthigh(B1125,$B$2,1,3))</f>
        <v>0</v>
      </c>
      <c r="E1125">
        <f ca="1">IF(A1125="","",COUNTIF(D$6:D1125,"True"))</f>
        <v>11</v>
      </c>
      <c r="F1125" t="str">
        <f t="shared" si="17"/>
        <v>002635.SZ</v>
      </c>
    </row>
    <row r="1126" spans="1:6" x14ac:dyDescent="0.15">
      <c r="A1126" s="2">
        <v>46089</v>
      </c>
      <c r="B1126" s="1" t="s">
        <v>2115</v>
      </c>
      <c r="C1126" s="1" t="s">
        <v>2116</v>
      </c>
      <c r="D1126" t="b">
        <f ca="1">IF(A1126="","",[1]!s_techanal_rcnthigh(B1126,$B$2,1,3))</f>
        <v>0</v>
      </c>
      <c r="E1126">
        <f ca="1">IF(A1126="","",COUNTIF(D$6:D1126,"True"))</f>
        <v>11</v>
      </c>
      <c r="F1126" t="str">
        <f t="shared" si="17"/>
        <v>002636.SZ</v>
      </c>
    </row>
    <row r="1127" spans="1:6" x14ac:dyDescent="0.15">
      <c r="A1127" s="2">
        <v>46089</v>
      </c>
      <c r="B1127" s="1" t="s">
        <v>2117</v>
      </c>
      <c r="C1127" s="1" t="s">
        <v>2118</v>
      </c>
      <c r="D1127" t="b">
        <f ca="1">IF(A1127="","",[1]!s_techanal_rcnthigh(B1127,$B$2,1,3))</f>
        <v>0</v>
      </c>
      <c r="E1127">
        <f ca="1">IF(A1127="","",COUNTIF(D$6:D1127,"True"))</f>
        <v>11</v>
      </c>
      <c r="F1127" t="str">
        <f t="shared" si="17"/>
        <v>002637.SZ</v>
      </c>
    </row>
    <row r="1128" spans="1:6" x14ac:dyDescent="0.15">
      <c r="A1128" s="2">
        <v>46089</v>
      </c>
      <c r="B1128" s="1" t="s">
        <v>2119</v>
      </c>
      <c r="C1128" s="1" t="s">
        <v>2120</v>
      </c>
      <c r="D1128" t="b">
        <f ca="1">IF(A1128="","",[1]!s_techanal_rcnthigh(B1128,$B$2,1,3))</f>
        <v>0</v>
      </c>
      <c r="E1128">
        <f ca="1">IF(A1128="","",COUNTIF(D$6:D1128,"True"))</f>
        <v>11</v>
      </c>
      <c r="F1128" t="str">
        <f t="shared" si="17"/>
        <v>002638.SZ</v>
      </c>
    </row>
    <row r="1129" spans="1:6" x14ac:dyDescent="0.15">
      <c r="A1129" s="2">
        <v>46089</v>
      </c>
      <c r="B1129" s="1" t="s">
        <v>2121</v>
      </c>
      <c r="C1129" s="1" t="s">
        <v>10149</v>
      </c>
      <c r="D1129" t="b">
        <f ca="1">IF(A1129="","",[1]!s_techanal_rcnthigh(B1129,$B$2,1,3))</f>
        <v>0</v>
      </c>
      <c r="E1129">
        <f ca="1">IF(A1129="","",COUNTIF(D$6:D1129,"True"))</f>
        <v>11</v>
      </c>
      <c r="F1129" t="str">
        <f t="shared" si="17"/>
        <v>002639.SZ</v>
      </c>
    </row>
    <row r="1130" spans="1:6" x14ac:dyDescent="0.15">
      <c r="A1130" s="2">
        <v>46089</v>
      </c>
      <c r="B1130" s="1" t="s">
        <v>2122</v>
      </c>
      <c r="C1130" s="1" t="s">
        <v>2123</v>
      </c>
      <c r="D1130" t="b">
        <f ca="1">IF(A1130="","",[1]!s_techanal_rcnthigh(B1130,$B$2,1,3))</f>
        <v>0</v>
      </c>
      <c r="E1130">
        <f ca="1">IF(A1130="","",COUNTIF(D$6:D1130,"True"))</f>
        <v>11</v>
      </c>
      <c r="F1130" t="str">
        <f t="shared" si="17"/>
        <v>002640.SZ</v>
      </c>
    </row>
    <row r="1131" spans="1:6" x14ac:dyDescent="0.15">
      <c r="A1131" s="2">
        <v>46089</v>
      </c>
      <c r="B1131" s="1" t="s">
        <v>2124</v>
      </c>
      <c r="C1131" s="1" t="s">
        <v>2125</v>
      </c>
      <c r="D1131" t="b">
        <f ca="1">IF(A1131="","",[1]!s_techanal_rcnthigh(B1131,$B$2,1,3))</f>
        <v>0</v>
      </c>
      <c r="E1131">
        <f ca="1">IF(A1131="","",COUNTIF(D$6:D1131,"True"))</f>
        <v>11</v>
      </c>
      <c r="F1131" t="str">
        <f t="shared" si="17"/>
        <v>002641.SZ</v>
      </c>
    </row>
    <row r="1132" spans="1:6" x14ac:dyDescent="0.15">
      <c r="A1132" s="2">
        <v>46089</v>
      </c>
      <c r="B1132" s="1" t="s">
        <v>2126</v>
      </c>
      <c r="C1132" s="1" t="s">
        <v>2127</v>
      </c>
      <c r="D1132" t="b">
        <f ca="1">IF(A1132="","",[1]!s_techanal_rcnthigh(B1132,$B$2,1,3))</f>
        <v>0</v>
      </c>
      <c r="E1132">
        <f ca="1">IF(A1132="","",COUNTIF(D$6:D1132,"True"))</f>
        <v>11</v>
      </c>
      <c r="F1132" t="str">
        <f t="shared" si="17"/>
        <v>002642.SZ</v>
      </c>
    </row>
    <row r="1133" spans="1:6" x14ac:dyDescent="0.15">
      <c r="A1133" s="2">
        <v>46089</v>
      </c>
      <c r="B1133" s="1" t="s">
        <v>2128</v>
      </c>
      <c r="C1133" s="1" t="s">
        <v>2129</v>
      </c>
      <c r="D1133" t="b">
        <f ca="1">IF(A1133="","",[1]!s_techanal_rcnthigh(B1133,$B$2,1,3))</f>
        <v>0</v>
      </c>
      <c r="E1133">
        <f ca="1">IF(A1133="","",COUNTIF(D$6:D1133,"True"))</f>
        <v>11</v>
      </c>
      <c r="F1133" t="str">
        <f t="shared" si="17"/>
        <v>002643.SZ</v>
      </c>
    </row>
    <row r="1134" spans="1:6" x14ac:dyDescent="0.15">
      <c r="A1134" s="2">
        <v>46089</v>
      </c>
      <c r="B1134" s="1" t="s">
        <v>2130</v>
      </c>
      <c r="C1134" s="1" t="s">
        <v>2131</v>
      </c>
      <c r="D1134" t="b">
        <f ca="1">IF(A1134="","",[1]!s_techanal_rcnthigh(B1134,$B$2,1,3))</f>
        <v>0</v>
      </c>
      <c r="E1134">
        <f ca="1">IF(A1134="","",COUNTIF(D$6:D1134,"True"))</f>
        <v>11</v>
      </c>
      <c r="F1134" t="str">
        <f t="shared" si="17"/>
        <v>002644.SZ</v>
      </c>
    </row>
    <row r="1135" spans="1:6" x14ac:dyDescent="0.15">
      <c r="A1135" s="2">
        <v>46089</v>
      </c>
      <c r="B1135" s="1" t="s">
        <v>2132</v>
      </c>
      <c r="C1135" s="1" t="s">
        <v>2133</v>
      </c>
      <c r="D1135" t="b">
        <f ca="1">IF(A1135="","",[1]!s_techanal_rcnthigh(B1135,$B$2,1,3))</f>
        <v>0</v>
      </c>
      <c r="E1135">
        <f ca="1">IF(A1135="","",COUNTIF(D$6:D1135,"True"))</f>
        <v>11</v>
      </c>
      <c r="F1135" t="str">
        <f t="shared" si="17"/>
        <v>002645.SZ</v>
      </c>
    </row>
    <row r="1136" spans="1:6" x14ac:dyDescent="0.15">
      <c r="A1136" s="2">
        <v>46089</v>
      </c>
      <c r="B1136" s="1" t="s">
        <v>2134</v>
      </c>
      <c r="C1136" s="1" t="s">
        <v>2135</v>
      </c>
      <c r="D1136" t="b">
        <f ca="1">IF(A1136="","",[1]!s_techanal_rcnthigh(B1136,$B$2,1,3))</f>
        <v>0</v>
      </c>
      <c r="E1136">
        <f ca="1">IF(A1136="","",COUNTIF(D$6:D1136,"True"))</f>
        <v>11</v>
      </c>
      <c r="F1136" t="str">
        <f t="shared" si="17"/>
        <v>002646.SZ</v>
      </c>
    </row>
    <row r="1137" spans="1:6" x14ac:dyDescent="0.15">
      <c r="A1137" s="2">
        <v>46089</v>
      </c>
      <c r="B1137" s="1" t="s">
        <v>2136</v>
      </c>
      <c r="C1137" s="1" t="s">
        <v>10150</v>
      </c>
      <c r="D1137" t="b">
        <f ca="1">IF(A1137="","",[1]!s_techanal_rcnthigh(B1137,$B$2,1,3))</f>
        <v>0</v>
      </c>
      <c r="E1137">
        <f ca="1">IF(A1137="","",COUNTIF(D$6:D1137,"True"))</f>
        <v>11</v>
      </c>
      <c r="F1137" t="str">
        <f t="shared" si="17"/>
        <v>002647.SZ</v>
      </c>
    </row>
    <row r="1138" spans="1:6" x14ac:dyDescent="0.15">
      <c r="A1138" s="2">
        <v>46089</v>
      </c>
      <c r="B1138" s="1" t="s">
        <v>2137</v>
      </c>
      <c r="C1138" s="1" t="s">
        <v>2138</v>
      </c>
      <c r="D1138" t="b">
        <f ca="1">IF(A1138="","",[1]!s_techanal_rcnthigh(B1138,$B$2,1,3))</f>
        <v>0</v>
      </c>
      <c r="E1138">
        <f ca="1">IF(A1138="","",COUNTIF(D$6:D1138,"True"))</f>
        <v>11</v>
      </c>
      <c r="F1138" t="str">
        <f t="shared" si="17"/>
        <v>002648.SZ</v>
      </c>
    </row>
    <row r="1139" spans="1:6" x14ac:dyDescent="0.15">
      <c r="A1139" s="2">
        <v>46089</v>
      </c>
      <c r="B1139" s="1" t="s">
        <v>2139</v>
      </c>
      <c r="C1139" s="1" t="s">
        <v>2140</v>
      </c>
      <c r="D1139" t="b">
        <f ca="1">IF(A1139="","",[1]!s_techanal_rcnthigh(B1139,$B$2,1,3))</f>
        <v>0</v>
      </c>
      <c r="E1139">
        <f ca="1">IF(A1139="","",COUNTIF(D$6:D1139,"True"))</f>
        <v>11</v>
      </c>
      <c r="F1139" t="str">
        <f t="shared" si="17"/>
        <v>002649.SZ</v>
      </c>
    </row>
    <row r="1140" spans="1:6" x14ac:dyDescent="0.15">
      <c r="A1140" s="2">
        <v>46089</v>
      </c>
      <c r="B1140" s="1" t="s">
        <v>2141</v>
      </c>
      <c r="C1140" s="1" t="s">
        <v>10151</v>
      </c>
      <c r="D1140" t="b">
        <f ca="1">IF(A1140="","",[1]!s_techanal_rcnthigh(B1140,$B$2,1,3))</f>
        <v>0</v>
      </c>
      <c r="E1140">
        <f ca="1">IF(A1140="","",COUNTIF(D$6:D1140,"True"))</f>
        <v>11</v>
      </c>
      <c r="F1140" t="str">
        <f t="shared" si="17"/>
        <v>002650.SZ</v>
      </c>
    </row>
    <row r="1141" spans="1:6" x14ac:dyDescent="0.15">
      <c r="A1141" s="2">
        <v>46089</v>
      </c>
      <c r="B1141" s="1" t="s">
        <v>2142</v>
      </c>
      <c r="C1141" s="1" t="s">
        <v>2143</v>
      </c>
      <c r="D1141" t="b">
        <f ca="1">IF(A1141="","",[1]!s_techanal_rcnthigh(B1141,$B$2,1,3))</f>
        <v>0</v>
      </c>
      <c r="E1141">
        <f ca="1">IF(A1141="","",COUNTIF(D$6:D1141,"True"))</f>
        <v>11</v>
      </c>
      <c r="F1141" t="str">
        <f t="shared" si="17"/>
        <v>002651.SZ</v>
      </c>
    </row>
    <row r="1142" spans="1:6" x14ac:dyDescent="0.15">
      <c r="A1142" s="2">
        <v>46089</v>
      </c>
      <c r="B1142" s="1" t="s">
        <v>2144</v>
      </c>
      <c r="C1142" s="1" t="s">
        <v>2145</v>
      </c>
      <c r="D1142" t="b">
        <f ca="1">IF(A1142="","",[1]!s_techanal_rcnthigh(B1142,$B$2,1,3))</f>
        <v>0</v>
      </c>
      <c r="E1142">
        <f ca="1">IF(A1142="","",COUNTIF(D$6:D1142,"True"))</f>
        <v>11</v>
      </c>
      <c r="F1142" t="str">
        <f t="shared" si="17"/>
        <v>002652.SZ</v>
      </c>
    </row>
    <row r="1143" spans="1:6" x14ac:dyDescent="0.15">
      <c r="A1143" s="2">
        <v>46089</v>
      </c>
      <c r="B1143" s="1" t="s">
        <v>2146</v>
      </c>
      <c r="C1143" s="1" t="s">
        <v>2147</v>
      </c>
      <c r="D1143" t="b">
        <f ca="1">IF(A1143="","",[1]!s_techanal_rcnthigh(B1143,$B$2,1,3))</f>
        <v>0</v>
      </c>
      <c r="E1143">
        <f ca="1">IF(A1143="","",COUNTIF(D$6:D1143,"True"))</f>
        <v>11</v>
      </c>
      <c r="F1143" t="str">
        <f t="shared" si="17"/>
        <v>002653.SZ</v>
      </c>
    </row>
    <row r="1144" spans="1:6" x14ac:dyDescent="0.15">
      <c r="A1144" s="2">
        <v>46089</v>
      </c>
      <c r="B1144" s="1" t="s">
        <v>2148</v>
      </c>
      <c r="C1144" s="1" t="s">
        <v>2149</v>
      </c>
      <c r="D1144" t="b">
        <f ca="1">IF(A1144="","",[1]!s_techanal_rcnthigh(B1144,$B$2,1,3))</f>
        <v>0</v>
      </c>
      <c r="E1144">
        <f ca="1">IF(A1144="","",COUNTIF(D$6:D1144,"True"))</f>
        <v>11</v>
      </c>
      <c r="F1144" t="str">
        <f t="shared" si="17"/>
        <v>002654.SZ</v>
      </c>
    </row>
    <row r="1145" spans="1:6" x14ac:dyDescent="0.15">
      <c r="A1145" s="2">
        <v>46089</v>
      </c>
      <c r="B1145" s="1" t="s">
        <v>2150</v>
      </c>
      <c r="C1145" s="1" t="s">
        <v>2151</v>
      </c>
      <c r="D1145" t="b">
        <f ca="1">IF(A1145="","",[1]!s_techanal_rcnthigh(B1145,$B$2,1,3))</f>
        <v>0</v>
      </c>
      <c r="E1145">
        <f ca="1">IF(A1145="","",COUNTIF(D$6:D1145,"True"))</f>
        <v>11</v>
      </c>
      <c r="F1145" t="str">
        <f t="shared" si="17"/>
        <v>002655.SZ</v>
      </c>
    </row>
    <row r="1146" spans="1:6" x14ac:dyDescent="0.15">
      <c r="A1146" s="2">
        <v>46089</v>
      </c>
      <c r="B1146" s="1" t="s">
        <v>2152</v>
      </c>
      <c r="C1146" s="1" t="s">
        <v>10152</v>
      </c>
      <c r="D1146" t="b">
        <f ca="1">IF(A1146="","",[1]!s_techanal_rcnthigh(B1146,$B$2,1,3))</f>
        <v>0</v>
      </c>
      <c r="E1146">
        <f ca="1">IF(A1146="","",COUNTIF(D$6:D1146,"True"))</f>
        <v>11</v>
      </c>
      <c r="F1146" t="str">
        <f t="shared" si="17"/>
        <v>002656.SZ</v>
      </c>
    </row>
    <row r="1147" spans="1:6" x14ac:dyDescent="0.15">
      <c r="A1147" s="2">
        <v>46089</v>
      </c>
      <c r="B1147" s="1" t="s">
        <v>2153</v>
      </c>
      <c r="C1147" s="1" t="s">
        <v>2154</v>
      </c>
      <c r="D1147" t="b">
        <f ca="1">IF(A1147="","",[1]!s_techanal_rcnthigh(B1147,$B$2,1,3))</f>
        <v>0</v>
      </c>
      <c r="E1147">
        <f ca="1">IF(A1147="","",COUNTIF(D$6:D1147,"True"))</f>
        <v>11</v>
      </c>
      <c r="F1147" t="str">
        <f t="shared" si="17"/>
        <v>002657.SZ</v>
      </c>
    </row>
    <row r="1148" spans="1:6" x14ac:dyDescent="0.15">
      <c r="A1148" s="2">
        <v>46089</v>
      </c>
      <c r="B1148" s="1" t="s">
        <v>2155</v>
      </c>
      <c r="C1148" s="1" t="s">
        <v>2156</v>
      </c>
      <c r="D1148" t="b">
        <f ca="1">IF(A1148="","",[1]!s_techanal_rcnthigh(B1148,$B$2,1,3))</f>
        <v>0</v>
      </c>
      <c r="E1148">
        <f ca="1">IF(A1148="","",COUNTIF(D$6:D1148,"True"))</f>
        <v>11</v>
      </c>
      <c r="F1148" t="str">
        <f t="shared" si="17"/>
        <v>002658.SZ</v>
      </c>
    </row>
    <row r="1149" spans="1:6" x14ac:dyDescent="0.15">
      <c r="A1149" s="2">
        <v>46089</v>
      </c>
      <c r="B1149" s="1" t="s">
        <v>2157</v>
      </c>
      <c r="C1149" s="1" t="s">
        <v>2158</v>
      </c>
      <c r="D1149" t="b">
        <f ca="1">IF(A1149="","",[1]!s_techanal_rcnthigh(B1149,$B$2,1,3))</f>
        <v>0</v>
      </c>
      <c r="E1149">
        <f ca="1">IF(A1149="","",COUNTIF(D$6:D1149,"True"))</f>
        <v>11</v>
      </c>
      <c r="F1149" t="str">
        <f t="shared" si="17"/>
        <v>002659.SZ</v>
      </c>
    </row>
    <row r="1150" spans="1:6" x14ac:dyDescent="0.15">
      <c r="A1150" s="2">
        <v>46089</v>
      </c>
      <c r="B1150" s="1" t="s">
        <v>2159</v>
      </c>
      <c r="C1150" s="1" t="s">
        <v>2160</v>
      </c>
      <c r="D1150" t="b">
        <f ca="1">IF(A1150="","",[1]!s_techanal_rcnthigh(B1150,$B$2,1,3))</f>
        <v>0</v>
      </c>
      <c r="E1150">
        <f ca="1">IF(A1150="","",COUNTIF(D$6:D1150,"True"))</f>
        <v>11</v>
      </c>
      <c r="F1150" t="str">
        <f t="shared" si="17"/>
        <v>002660.SZ</v>
      </c>
    </row>
    <row r="1151" spans="1:6" x14ac:dyDescent="0.15">
      <c r="A1151" s="2">
        <v>46089</v>
      </c>
      <c r="B1151" s="1" t="s">
        <v>2161</v>
      </c>
      <c r="C1151" s="1" t="s">
        <v>2162</v>
      </c>
      <c r="D1151" t="b">
        <f ca="1">IF(A1151="","",[1]!s_techanal_rcnthigh(B1151,$B$2,1,3))</f>
        <v>0</v>
      </c>
      <c r="E1151">
        <f ca="1">IF(A1151="","",COUNTIF(D$6:D1151,"True"))</f>
        <v>11</v>
      </c>
      <c r="F1151" t="str">
        <f t="shared" si="17"/>
        <v>002661.SZ</v>
      </c>
    </row>
    <row r="1152" spans="1:6" x14ac:dyDescent="0.15">
      <c r="A1152" s="2">
        <v>46089</v>
      </c>
      <c r="B1152" s="1" t="s">
        <v>2163</v>
      </c>
      <c r="C1152" s="1" t="s">
        <v>10153</v>
      </c>
      <c r="D1152" t="b">
        <f ca="1">IF(A1152="","",[1]!s_techanal_rcnthigh(B1152,$B$2,1,3))</f>
        <v>0</v>
      </c>
      <c r="E1152">
        <f ca="1">IF(A1152="","",COUNTIF(D$6:D1152,"True"))</f>
        <v>11</v>
      </c>
      <c r="F1152" t="str">
        <f t="shared" si="17"/>
        <v>002662.SZ</v>
      </c>
    </row>
    <row r="1153" spans="1:6" x14ac:dyDescent="0.15">
      <c r="A1153" s="2">
        <v>46089</v>
      </c>
      <c r="B1153" s="1" t="s">
        <v>2164</v>
      </c>
      <c r="C1153" s="1" t="s">
        <v>2165</v>
      </c>
      <c r="D1153" t="b">
        <f ca="1">IF(A1153="","",[1]!s_techanal_rcnthigh(B1153,$B$2,1,3))</f>
        <v>0</v>
      </c>
      <c r="E1153">
        <f ca="1">IF(A1153="","",COUNTIF(D$6:D1153,"True"))</f>
        <v>11</v>
      </c>
      <c r="F1153" t="str">
        <f t="shared" si="17"/>
        <v>002663.SZ</v>
      </c>
    </row>
    <row r="1154" spans="1:6" x14ac:dyDescent="0.15">
      <c r="A1154" s="2">
        <v>46089</v>
      </c>
      <c r="B1154" s="1" t="s">
        <v>2166</v>
      </c>
      <c r="C1154" s="1" t="s">
        <v>2167</v>
      </c>
      <c r="D1154" t="b">
        <f ca="1">IF(A1154="","",[1]!s_techanal_rcnthigh(B1154,$B$2,1,3))</f>
        <v>0</v>
      </c>
      <c r="E1154">
        <f ca="1">IF(A1154="","",COUNTIF(D$6:D1154,"True"))</f>
        <v>11</v>
      </c>
      <c r="F1154" t="str">
        <f t="shared" si="17"/>
        <v>002664.SZ</v>
      </c>
    </row>
    <row r="1155" spans="1:6" x14ac:dyDescent="0.15">
      <c r="A1155" s="2">
        <v>46089</v>
      </c>
      <c r="B1155" s="1" t="s">
        <v>2168</v>
      </c>
      <c r="C1155" s="1" t="s">
        <v>2169</v>
      </c>
      <c r="D1155" t="b">
        <f ca="1">IF(A1155="","",[1]!s_techanal_rcnthigh(B1155,$B$2,1,3))</f>
        <v>0</v>
      </c>
      <c r="E1155">
        <f ca="1">IF(A1155="","",COUNTIF(D$6:D1155,"True"))</f>
        <v>11</v>
      </c>
      <c r="F1155" t="str">
        <f t="shared" si="17"/>
        <v>002666.SZ</v>
      </c>
    </row>
    <row r="1156" spans="1:6" x14ac:dyDescent="0.15">
      <c r="A1156" s="2">
        <v>46089</v>
      </c>
      <c r="B1156" s="1" t="s">
        <v>2170</v>
      </c>
      <c r="C1156" s="1" t="s">
        <v>2171</v>
      </c>
      <c r="D1156" t="b">
        <f ca="1">IF(A1156="","",[1]!s_techanal_rcnthigh(B1156,$B$2,1,3))</f>
        <v>0</v>
      </c>
      <c r="E1156">
        <f ca="1">IF(A1156="","",COUNTIF(D$6:D1156,"True"))</f>
        <v>11</v>
      </c>
      <c r="F1156" t="str">
        <f t="shared" si="17"/>
        <v>002667.SZ</v>
      </c>
    </row>
    <row r="1157" spans="1:6" x14ac:dyDescent="0.15">
      <c r="A1157" s="2">
        <v>46089</v>
      </c>
      <c r="B1157" s="1" t="s">
        <v>2172</v>
      </c>
      <c r="C1157" s="1" t="s">
        <v>10154</v>
      </c>
      <c r="D1157" t="b">
        <f ca="1">IF(A1157="","",[1]!s_techanal_rcnthigh(B1157,$B$2,1,3))</f>
        <v>0</v>
      </c>
      <c r="E1157">
        <f ca="1">IF(A1157="","",COUNTIF(D$6:D1157,"True"))</f>
        <v>11</v>
      </c>
      <c r="F1157" t="str">
        <f t="shared" si="17"/>
        <v>002668.SZ</v>
      </c>
    </row>
    <row r="1158" spans="1:6" x14ac:dyDescent="0.15">
      <c r="A1158" s="2">
        <v>46089</v>
      </c>
      <c r="B1158" s="1" t="s">
        <v>2173</v>
      </c>
      <c r="C1158" s="1" t="s">
        <v>2174</v>
      </c>
      <c r="D1158" t="b">
        <f ca="1">IF(A1158="","",[1]!s_techanal_rcnthigh(B1158,$B$2,1,3))</f>
        <v>0</v>
      </c>
      <c r="E1158">
        <f ca="1">IF(A1158="","",COUNTIF(D$6:D1158,"True"))</f>
        <v>11</v>
      </c>
      <c r="F1158" t="str">
        <f t="shared" ref="F1158:F1221" si="18">IF(B1158="","",B1158)</f>
        <v>002669.SZ</v>
      </c>
    </row>
    <row r="1159" spans="1:6" x14ac:dyDescent="0.15">
      <c r="A1159" s="2">
        <v>46089</v>
      </c>
      <c r="B1159" s="1" t="s">
        <v>2175</v>
      </c>
      <c r="C1159" s="1" t="s">
        <v>10155</v>
      </c>
      <c r="D1159" t="b">
        <f ca="1">IF(A1159="","",[1]!s_techanal_rcnthigh(B1159,$B$2,1,3))</f>
        <v>0</v>
      </c>
      <c r="E1159">
        <f ca="1">IF(A1159="","",COUNTIF(D$6:D1159,"True"))</f>
        <v>11</v>
      </c>
      <c r="F1159" t="str">
        <f t="shared" si="18"/>
        <v>002670.SZ</v>
      </c>
    </row>
    <row r="1160" spans="1:6" x14ac:dyDescent="0.15">
      <c r="A1160" s="2">
        <v>46089</v>
      </c>
      <c r="B1160" s="1" t="s">
        <v>2176</v>
      </c>
      <c r="C1160" s="1" t="s">
        <v>2177</v>
      </c>
      <c r="D1160" t="b">
        <f ca="1">IF(A1160="","",[1]!s_techanal_rcnthigh(B1160,$B$2,1,3))</f>
        <v>0</v>
      </c>
      <c r="E1160">
        <f ca="1">IF(A1160="","",COUNTIF(D$6:D1160,"True"))</f>
        <v>11</v>
      </c>
      <c r="F1160" t="str">
        <f t="shared" si="18"/>
        <v>002671.SZ</v>
      </c>
    </row>
    <row r="1161" spans="1:6" x14ac:dyDescent="0.15">
      <c r="A1161" s="2">
        <v>46089</v>
      </c>
      <c r="B1161" s="1" t="s">
        <v>2178</v>
      </c>
      <c r="C1161" s="1" t="s">
        <v>2179</v>
      </c>
      <c r="D1161" t="b">
        <f ca="1">IF(A1161="","",[1]!s_techanal_rcnthigh(B1161,$B$2,1,3))</f>
        <v>0</v>
      </c>
      <c r="E1161">
        <f ca="1">IF(A1161="","",COUNTIF(D$6:D1161,"True"))</f>
        <v>11</v>
      </c>
      <c r="F1161" t="str">
        <f t="shared" si="18"/>
        <v>002672.SZ</v>
      </c>
    </row>
    <row r="1162" spans="1:6" x14ac:dyDescent="0.15">
      <c r="A1162" s="2">
        <v>46089</v>
      </c>
      <c r="B1162" s="1" t="s">
        <v>2180</v>
      </c>
      <c r="C1162" s="1" t="s">
        <v>2181</v>
      </c>
      <c r="D1162" t="b">
        <f ca="1">IF(A1162="","",[1]!s_techanal_rcnthigh(B1162,$B$2,1,3))</f>
        <v>0</v>
      </c>
      <c r="E1162">
        <f ca="1">IF(A1162="","",COUNTIF(D$6:D1162,"True"))</f>
        <v>11</v>
      </c>
      <c r="F1162" t="str">
        <f t="shared" si="18"/>
        <v>002673.SZ</v>
      </c>
    </row>
    <row r="1163" spans="1:6" x14ac:dyDescent="0.15">
      <c r="A1163" s="2">
        <v>46089</v>
      </c>
      <c r="B1163" s="1" t="s">
        <v>2182</v>
      </c>
      <c r="C1163" s="1" t="s">
        <v>2183</v>
      </c>
      <c r="D1163" t="b">
        <f ca="1">IF(A1163="","",[1]!s_techanal_rcnthigh(B1163,$B$2,1,3))</f>
        <v>0</v>
      </c>
      <c r="E1163">
        <f ca="1">IF(A1163="","",COUNTIF(D$6:D1163,"True"))</f>
        <v>11</v>
      </c>
      <c r="F1163" t="str">
        <f t="shared" si="18"/>
        <v>002674.SZ</v>
      </c>
    </row>
    <row r="1164" spans="1:6" x14ac:dyDescent="0.15">
      <c r="A1164" s="2">
        <v>46089</v>
      </c>
      <c r="B1164" s="1" t="s">
        <v>2184</v>
      </c>
      <c r="C1164" s="1" t="s">
        <v>2185</v>
      </c>
      <c r="D1164" t="b">
        <f ca="1">IF(A1164="","",[1]!s_techanal_rcnthigh(B1164,$B$2,1,3))</f>
        <v>0</v>
      </c>
      <c r="E1164">
        <f ca="1">IF(A1164="","",COUNTIF(D$6:D1164,"True"))</f>
        <v>11</v>
      </c>
      <c r="F1164" t="str">
        <f t="shared" si="18"/>
        <v>002675.SZ</v>
      </c>
    </row>
    <row r="1165" spans="1:6" x14ac:dyDescent="0.15">
      <c r="A1165" s="2">
        <v>46089</v>
      </c>
      <c r="B1165" s="1" t="s">
        <v>2186</v>
      </c>
      <c r="C1165" s="1" t="s">
        <v>2187</v>
      </c>
      <c r="D1165" t="b">
        <f ca="1">IF(A1165="","",[1]!s_techanal_rcnthigh(B1165,$B$2,1,3))</f>
        <v>0</v>
      </c>
      <c r="E1165">
        <f ca="1">IF(A1165="","",COUNTIF(D$6:D1165,"True"))</f>
        <v>11</v>
      </c>
      <c r="F1165" t="str">
        <f t="shared" si="18"/>
        <v>002676.SZ</v>
      </c>
    </row>
    <row r="1166" spans="1:6" x14ac:dyDescent="0.15">
      <c r="A1166" s="2">
        <v>46089</v>
      </c>
      <c r="B1166" s="1" t="s">
        <v>2188</v>
      </c>
      <c r="C1166" s="1" t="s">
        <v>2189</v>
      </c>
      <c r="D1166" t="b">
        <f ca="1">IF(A1166="","",[1]!s_techanal_rcnthigh(B1166,$B$2,1,3))</f>
        <v>0</v>
      </c>
      <c r="E1166">
        <f ca="1">IF(A1166="","",COUNTIF(D$6:D1166,"True"))</f>
        <v>11</v>
      </c>
      <c r="F1166" t="str">
        <f t="shared" si="18"/>
        <v>002677.SZ</v>
      </c>
    </row>
    <row r="1167" spans="1:6" x14ac:dyDescent="0.15">
      <c r="A1167" s="2">
        <v>46089</v>
      </c>
      <c r="B1167" s="1" t="s">
        <v>2190</v>
      </c>
      <c r="C1167" s="1" t="s">
        <v>2191</v>
      </c>
      <c r="D1167" t="b">
        <f ca="1">IF(A1167="","",[1]!s_techanal_rcnthigh(B1167,$B$2,1,3))</f>
        <v>0</v>
      </c>
      <c r="E1167">
        <f ca="1">IF(A1167="","",COUNTIF(D$6:D1167,"True"))</f>
        <v>11</v>
      </c>
      <c r="F1167" t="str">
        <f t="shared" si="18"/>
        <v>002678.SZ</v>
      </c>
    </row>
    <row r="1168" spans="1:6" x14ac:dyDescent="0.15">
      <c r="A1168" s="2">
        <v>46089</v>
      </c>
      <c r="B1168" s="1" t="s">
        <v>2192</v>
      </c>
      <c r="C1168" s="1" t="s">
        <v>2193</v>
      </c>
      <c r="D1168" t="b">
        <f ca="1">IF(A1168="","",[1]!s_techanal_rcnthigh(B1168,$B$2,1,3))</f>
        <v>0</v>
      </c>
      <c r="E1168">
        <f ca="1">IF(A1168="","",COUNTIF(D$6:D1168,"True"))</f>
        <v>11</v>
      </c>
      <c r="F1168" t="str">
        <f t="shared" si="18"/>
        <v>002679.SZ</v>
      </c>
    </row>
    <row r="1169" spans="1:6" x14ac:dyDescent="0.15">
      <c r="A1169" s="2">
        <v>46089</v>
      </c>
      <c r="B1169" s="1" t="s">
        <v>2194</v>
      </c>
      <c r="C1169" s="1" t="s">
        <v>2195</v>
      </c>
      <c r="D1169" t="b">
        <f ca="1">IF(A1169="","",[1]!s_techanal_rcnthigh(B1169,$B$2,1,3))</f>
        <v>0</v>
      </c>
      <c r="E1169">
        <f ca="1">IF(A1169="","",COUNTIF(D$6:D1169,"True"))</f>
        <v>11</v>
      </c>
      <c r="F1169" t="str">
        <f t="shared" si="18"/>
        <v>002681.SZ</v>
      </c>
    </row>
    <row r="1170" spans="1:6" x14ac:dyDescent="0.15">
      <c r="A1170" s="2">
        <v>46089</v>
      </c>
      <c r="B1170" s="1" t="s">
        <v>2196</v>
      </c>
      <c r="C1170" s="1" t="s">
        <v>2197</v>
      </c>
      <c r="D1170" t="b">
        <f ca="1">IF(A1170="","",[1]!s_techanal_rcnthigh(B1170,$B$2,1,3))</f>
        <v>0</v>
      </c>
      <c r="E1170">
        <f ca="1">IF(A1170="","",COUNTIF(D$6:D1170,"True"))</f>
        <v>11</v>
      </c>
      <c r="F1170" t="str">
        <f t="shared" si="18"/>
        <v>002682.SZ</v>
      </c>
    </row>
    <row r="1171" spans="1:6" x14ac:dyDescent="0.15">
      <c r="A1171" s="2">
        <v>46089</v>
      </c>
      <c r="B1171" s="1" t="s">
        <v>2198</v>
      </c>
      <c r="C1171" s="1" t="s">
        <v>2199</v>
      </c>
      <c r="D1171" t="b">
        <f ca="1">IF(A1171="","",[1]!s_techanal_rcnthigh(B1171,$B$2,1,3))</f>
        <v>0</v>
      </c>
      <c r="E1171">
        <f ca="1">IF(A1171="","",COUNTIF(D$6:D1171,"True"))</f>
        <v>11</v>
      </c>
      <c r="F1171" t="str">
        <f t="shared" si="18"/>
        <v>002683.SZ</v>
      </c>
    </row>
    <row r="1172" spans="1:6" x14ac:dyDescent="0.15">
      <c r="A1172" s="2">
        <v>46089</v>
      </c>
      <c r="B1172" s="1" t="s">
        <v>2200</v>
      </c>
      <c r="C1172" s="1" t="s">
        <v>2201</v>
      </c>
      <c r="D1172" t="b">
        <f ca="1">IF(A1172="","",[1]!s_techanal_rcnthigh(B1172,$B$2,1,3))</f>
        <v>0</v>
      </c>
      <c r="E1172">
        <f ca="1">IF(A1172="","",COUNTIF(D$6:D1172,"True"))</f>
        <v>11</v>
      </c>
      <c r="F1172" t="str">
        <f t="shared" si="18"/>
        <v>002685.SZ</v>
      </c>
    </row>
    <row r="1173" spans="1:6" x14ac:dyDescent="0.15">
      <c r="A1173" s="2">
        <v>46089</v>
      </c>
      <c r="B1173" s="1" t="s">
        <v>2202</v>
      </c>
      <c r="C1173" s="1" t="s">
        <v>2203</v>
      </c>
      <c r="D1173" t="b">
        <f ca="1">IF(A1173="","",[1]!s_techanal_rcnthigh(B1173,$B$2,1,3))</f>
        <v>0</v>
      </c>
      <c r="E1173">
        <f ca="1">IF(A1173="","",COUNTIF(D$6:D1173,"True"))</f>
        <v>11</v>
      </c>
      <c r="F1173" t="str">
        <f t="shared" si="18"/>
        <v>002686.SZ</v>
      </c>
    </row>
    <row r="1174" spans="1:6" x14ac:dyDescent="0.15">
      <c r="A1174" s="2">
        <v>46089</v>
      </c>
      <c r="B1174" s="1" t="s">
        <v>2204</v>
      </c>
      <c r="C1174" s="1" t="s">
        <v>2205</v>
      </c>
      <c r="D1174" t="b">
        <f ca="1">IF(A1174="","",[1]!s_techanal_rcnthigh(B1174,$B$2,1,3))</f>
        <v>0</v>
      </c>
      <c r="E1174">
        <f ca="1">IF(A1174="","",COUNTIF(D$6:D1174,"True"))</f>
        <v>11</v>
      </c>
      <c r="F1174" t="str">
        <f t="shared" si="18"/>
        <v>002687.SZ</v>
      </c>
    </row>
    <row r="1175" spans="1:6" x14ac:dyDescent="0.15">
      <c r="A1175" s="2">
        <v>46089</v>
      </c>
      <c r="B1175" s="1" t="s">
        <v>2206</v>
      </c>
      <c r="C1175" s="1" t="s">
        <v>2207</v>
      </c>
      <c r="D1175" t="b">
        <f ca="1">IF(A1175="","",[1]!s_techanal_rcnthigh(B1175,$B$2,1,3))</f>
        <v>0</v>
      </c>
      <c r="E1175">
        <f ca="1">IF(A1175="","",COUNTIF(D$6:D1175,"True"))</f>
        <v>11</v>
      </c>
      <c r="F1175" t="str">
        <f t="shared" si="18"/>
        <v>002688.SZ</v>
      </c>
    </row>
    <row r="1176" spans="1:6" x14ac:dyDescent="0.15">
      <c r="A1176" s="2">
        <v>46089</v>
      </c>
      <c r="B1176" s="1" t="s">
        <v>2208</v>
      </c>
      <c r="C1176" s="1" t="s">
        <v>10156</v>
      </c>
      <c r="D1176" t="b">
        <f ca="1">IF(A1176="","",[1]!s_techanal_rcnthigh(B1176,$B$2,1,3))</f>
        <v>0</v>
      </c>
      <c r="E1176">
        <f ca="1">IF(A1176="","",COUNTIF(D$6:D1176,"True"))</f>
        <v>11</v>
      </c>
      <c r="F1176" t="str">
        <f t="shared" si="18"/>
        <v>002689.SZ</v>
      </c>
    </row>
    <row r="1177" spans="1:6" x14ac:dyDescent="0.15">
      <c r="A1177" s="2">
        <v>46089</v>
      </c>
      <c r="B1177" s="1" t="s">
        <v>2209</v>
      </c>
      <c r="C1177" s="1" t="s">
        <v>2210</v>
      </c>
      <c r="D1177" t="b">
        <f ca="1">IF(A1177="","",[1]!s_techanal_rcnthigh(B1177,$B$2,1,3))</f>
        <v>0</v>
      </c>
      <c r="E1177">
        <f ca="1">IF(A1177="","",COUNTIF(D$6:D1177,"True"))</f>
        <v>11</v>
      </c>
      <c r="F1177" t="str">
        <f t="shared" si="18"/>
        <v>002690.SZ</v>
      </c>
    </row>
    <row r="1178" spans="1:6" x14ac:dyDescent="0.15">
      <c r="A1178" s="2">
        <v>46089</v>
      </c>
      <c r="B1178" s="1" t="s">
        <v>2211</v>
      </c>
      <c r="C1178" s="1" t="s">
        <v>2212</v>
      </c>
      <c r="D1178" t="b">
        <f ca="1">IF(A1178="","",[1]!s_techanal_rcnthigh(B1178,$B$2,1,3))</f>
        <v>0</v>
      </c>
      <c r="E1178">
        <f ca="1">IF(A1178="","",COUNTIF(D$6:D1178,"True"))</f>
        <v>11</v>
      </c>
      <c r="F1178" t="str">
        <f t="shared" si="18"/>
        <v>002691.SZ</v>
      </c>
    </row>
    <row r="1179" spans="1:6" x14ac:dyDescent="0.15">
      <c r="A1179" s="2">
        <v>46089</v>
      </c>
      <c r="B1179" s="1" t="s">
        <v>2213</v>
      </c>
      <c r="C1179" s="1" t="s">
        <v>2214</v>
      </c>
      <c r="D1179" t="b">
        <f ca="1">IF(A1179="","",[1]!s_techanal_rcnthigh(B1179,$B$2,1,3))</f>
        <v>0</v>
      </c>
      <c r="E1179">
        <f ca="1">IF(A1179="","",COUNTIF(D$6:D1179,"True"))</f>
        <v>11</v>
      </c>
      <c r="F1179" t="str">
        <f t="shared" si="18"/>
        <v>002692.SZ</v>
      </c>
    </row>
    <row r="1180" spans="1:6" x14ac:dyDescent="0.15">
      <c r="A1180" s="2">
        <v>46089</v>
      </c>
      <c r="B1180" s="1" t="s">
        <v>2215</v>
      </c>
      <c r="C1180" s="1" t="s">
        <v>10157</v>
      </c>
      <c r="D1180" t="b">
        <f ca="1">IF(A1180="","",[1]!s_techanal_rcnthigh(B1180,$B$2,1,3))</f>
        <v>0</v>
      </c>
      <c r="E1180">
        <f ca="1">IF(A1180="","",COUNTIF(D$6:D1180,"True"))</f>
        <v>11</v>
      </c>
      <c r="F1180" t="str">
        <f t="shared" si="18"/>
        <v>002693.SZ</v>
      </c>
    </row>
    <row r="1181" spans="1:6" x14ac:dyDescent="0.15">
      <c r="A1181" s="2">
        <v>46089</v>
      </c>
      <c r="B1181" s="1" t="s">
        <v>2216</v>
      </c>
      <c r="C1181" s="1" t="s">
        <v>2217</v>
      </c>
      <c r="D1181" t="b">
        <f ca="1">IF(A1181="","",[1]!s_techanal_rcnthigh(B1181,$B$2,1,3))</f>
        <v>0</v>
      </c>
      <c r="E1181">
        <f ca="1">IF(A1181="","",COUNTIF(D$6:D1181,"True"))</f>
        <v>11</v>
      </c>
      <c r="F1181" t="str">
        <f t="shared" si="18"/>
        <v>002694.SZ</v>
      </c>
    </row>
    <row r="1182" spans="1:6" x14ac:dyDescent="0.15">
      <c r="A1182" s="2">
        <v>46089</v>
      </c>
      <c r="B1182" s="1" t="s">
        <v>2218</v>
      </c>
      <c r="C1182" s="1" t="s">
        <v>2219</v>
      </c>
      <c r="D1182" t="b">
        <f ca="1">IF(A1182="","",[1]!s_techanal_rcnthigh(B1182,$B$2,1,3))</f>
        <v>0</v>
      </c>
      <c r="E1182">
        <f ca="1">IF(A1182="","",COUNTIF(D$6:D1182,"True"))</f>
        <v>11</v>
      </c>
      <c r="F1182" t="str">
        <f t="shared" si="18"/>
        <v>002695.SZ</v>
      </c>
    </row>
    <row r="1183" spans="1:6" x14ac:dyDescent="0.15">
      <c r="A1183" s="2">
        <v>46089</v>
      </c>
      <c r="B1183" s="1" t="s">
        <v>2220</v>
      </c>
      <c r="C1183" s="1" t="s">
        <v>2221</v>
      </c>
      <c r="D1183" t="b">
        <f ca="1">IF(A1183="","",[1]!s_techanal_rcnthigh(B1183,$B$2,1,3))</f>
        <v>0</v>
      </c>
      <c r="E1183">
        <f ca="1">IF(A1183="","",COUNTIF(D$6:D1183,"True"))</f>
        <v>11</v>
      </c>
      <c r="F1183" t="str">
        <f t="shared" si="18"/>
        <v>002696.SZ</v>
      </c>
    </row>
    <row r="1184" spans="1:6" x14ac:dyDescent="0.15">
      <c r="A1184" s="2">
        <v>46089</v>
      </c>
      <c r="B1184" s="1" t="s">
        <v>2222</v>
      </c>
      <c r="C1184" s="1" t="s">
        <v>2223</v>
      </c>
      <c r="D1184" t="b">
        <f ca="1">IF(A1184="","",[1]!s_techanal_rcnthigh(B1184,$B$2,1,3))</f>
        <v>0</v>
      </c>
      <c r="E1184">
        <f ca="1">IF(A1184="","",COUNTIF(D$6:D1184,"True"))</f>
        <v>11</v>
      </c>
      <c r="F1184" t="str">
        <f t="shared" si="18"/>
        <v>002697.SZ</v>
      </c>
    </row>
    <row r="1185" spans="1:6" x14ac:dyDescent="0.15">
      <c r="A1185" s="2">
        <v>46089</v>
      </c>
      <c r="B1185" s="1" t="s">
        <v>2224</v>
      </c>
      <c r="C1185" s="1" t="s">
        <v>2225</v>
      </c>
      <c r="D1185" t="b">
        <f ca="1">IF(A1185="","",[1]!s_techanal_rcnthigh(B1185,$B$2,1,3))</f>
        <v>0</v>
      </c>
      <c r="E1185">
        <f ca="1">IF(A1185="","",COUNTIF(D$6:D1185,"True"))</f>
        <v>11</v>
      </c>
      <c r="F1185" t="str">
        <f t="shared" si="18"/>
        <v>002698.SZ</v>
      </c>
    </row>
    <row r="1186" spans="1:6" x14ac:dyDescent="0.15">
      <c r="A1186" s="2">
        <v>46089</v>
      </c>
      <c r="B1186" s="1" t="s">
        <v>2226</v>
      </c>
      <c r="C1186" s="1" t="s">
        <v>10158</v>
      </c>
      <c r="D1186" t="b">
        <f ca="1">IF(A1186="","",[1]!s_techanal_rcnthigh(B1186,$B$2,1,3))</f>
        <v>0</v>
      </c>
      <c r="E1186">
        <f ca="1">IF(A1186="","",COUNTIF(D$6:D1186,"True"))</f>
        <v>11</v>
      </c>
      <c r="F1186" t="str">
        <f t="shared" si="18"/>
        <v>002700.SZ</v>
      </c>
    </row>
    <row r="1187" spans="1:6" x14ac:dyDescent="0.15">
      <c r="A1187" s="2">
        <v>46089</v>
      </c>
      <c r="B1187" s="1" t="s">
        <v>2227</v>
      </c>
      <c r="C1187" s="1" t="s">
        <v>2228</v>
      </c>
      <c r="D1187" t="b">
        <f ca="1">IF(A1187="","",[1]!s_techanal_rcnthigh(B1187,$B$2,1,3))</f>
        <v>0</v>
      </c>
      <c r="E1187">
        <f ca="1">IF(A1187="","",COUNTIF(D$6:D1187,"True"))</f>
        <v>11</v>
      </c>
      <c r="F1187" t="str">
        <f t="shared" si="18"/>
        <v>002701.SZ</v>
      </c>
    </row>
    <row r="1188" spans="1:6" x14ac:dyDescent="0.15">
      <c r="A1188" s="2">
        <v>46089</v>
      </c>
      <c r="B1188" s="1" t="s">
        <v>2229</v>
      </c>
      <c r="C1188" s="1" t="s">
        <v>2230</v>
      </c>
      <c r="D1188" t="b">
        <f ca="1">IF(A1188="","",[1]!s_techanal_rcnthigh(B1188,$B$2,1,3))</f>
        <v>0</v>
      </c>
      <c r="E1188">
        <f ca="1">IF(A1188="","",COUNTIF(D$6:D1188,"True"))</f>
        <v>11</v>
      </c>
      <c r="F1188" t="str">
        <f t="shared" si="18"/>
        <v>002702.SZ</v>
      </c>
    </row>
    <row r="1189" spans="1:6" x14ac:dyDescent="0.15">
      <c r="A1189" s="2">
        <v>46089</v>
      </c>
      <c r="B1189" s="1" t="s">
        <v>2231</v>
      </c>
      <c r="C1189" s="1" t="s">
        <v>2232</v>
      </c>
      <c r="D1189" t="b">
        <f ca="1">IF(A1189="","",[1]!s_techanal_rcnthigh(B1189,$B$2,1,3))</f>
        <v>0</v>
      </c>
      <c r="E1189">
        <f ca="1">IF(A1189="","",COUNTIF(D$6:D1189,"True"))</f>
        <v>11</v>
      </c>
      <c r="F1189" t="str">
        <f t="shared" si="18"/>
        <v>002703.SZ</v>
      </c>
    </row>
    <row r="1190" spans="1:6" x14ac:dyDescent="0.15">
      <c r="A1190" s="2">
        <v>46089</v>
      </c>
      <c r="B1190" s="1" t="s">
        <v>2233</v>
      </c>
      <c r="C1190" s="1" t="s">
        <v>2234</v>
      </c>
      <c r="D1190" t="b">
        <f ca="1">IF(A1190="","",[1]!s_techanal_rcnthigh(B1190,$B$2,1,3))</f>
        <v>0</v>
      </c>
      <c r="E1190">
        <f ca="1">IF(A1190="","",COUNTIF(D$6:D1190,"True"))</f>
        <v>11</v>
      </c>
      <c r="F1190" t="str">
        <f t="shared" si="18"/>
        <v>002705.SZ</v>
      </c>
    </row>
    <row r="1191" spans="1:6" x14ac:dyDescent="0.15">
      <c r="A1191" s="2">
        <v>46089</v>
      </c>
      <c r="B1191" s="1" t="s">
        <v>2235</v>
      </c>
      <c r="C1191" s="1" t="s">
        <v>2236</v>
      </c>
      <c r="D1191" t="b">
        <f ca="1">IF(A1191="","",[1]!s_techanal_rcnthigh(B1191,$B$2,1,3))</f>
        <v>0</v>
      </c>
      <c r="E1191">
        <f ca="1">IF(A1191="","",COUNTIF(D$6:D1191,"True"))</f>
        <v>11</v>
      </c>
      <c r="F1191" t="str">
        <f t="shared" si="18"/>
        <v>002706.SZ</v>
      </c>
    </row>
    <row r="1192" spans="1:6" x14ac:dyDescent="0.15">
      <c r="A1192" s="2">
        <v>46089</v>
      </c>
      <c r="B1192" s="1" t="s">
        <v>2237</v>
      </c>
      <c r="C1192" s="1" t="s">
        <v>2238</v>
      </c>
      <c r="D1192" t="b">
        <f ca="1">IF(A1192="","",[1]!s_techanal_rcnthigh(B1192,$B$2,1,3))</f>
        <v>0</v>
      </c>
      <c r="E1192">
        <f ca="1">IF(A1192="","",COUNTIF(D$6:D1192,"True"))</f>
        <v>11</v>
      </c>
      <c r="F1192" t="str">
        <f t="shared" si="18"/>
        <v>002707.SZ</v>
      </c>
    </row>
    <row r="1193" spans="1:6" x14ac:dyDescent="0.15">
      <c r="A1193" s="2">
        <v>46089</v>
      </c>
      <c r="B1193" s="1" t="s">
        <v>2239</v>
      </c>
      <c r="C1193" s="1" t="s">
        <v>2240</v>
      </c>
      <c r="D1193" t="b">
        <f ca="1">IF(A1193="","",[1]!s_techanal_rcnthigh(B1193,$B$2,1,3))</f>
        <v>0</v>
      </c>
      <c r="E1193">
        <f ca="1">IF(A1193="","",COUNTIF(D$6:D1193,"True"))</f>
        <v>11</v>
      </c>
      <c r="F1193" t="str">
        <f t="shared" si="18"/>
        <v>002708.SZ</v>
      </c>
    </row>
    <row r="1194" spans="1:6" x14ac:dyDescent="0.15">
      <c r="A1194" s="2">
        <v>46089</v>
      </c>
      <c r="B1194" s="1" t="s">
        <v>2241</v>
      </c>
      <c r="C1194" s="1" t="s">
        <v>2242</v>
      </c>
      <c r="D1194" t="b">
        <f ca="1">IF(A1194="","",[1]!s_techanal_rcnthigh(B1194,$B$2,1,3))</f>
        <v>0</v>
      </c>
      <c r="E1194">
        <f ca="1">IF(A1194="","",COUNTIF(D$6:D1194,"True"))</f>
        <v>11</v>
      </c>
      <c r="F1194" t="str">
        <f t="shared" si="18"/>
        <v>002709.SZ</v>
      </c>
    </row>
    <row r="1195" spans="1:6" x14ac:dyDescent="0.15">
      <c r="A1195" s="2">
        <v>46089</v>
      </c>
      <c r="B1195" s="1" t="s">
        <v>2243</v>
      </c>
      <c r="C1195" s="1" t="s">
        <v>2244</v>
      </c>
      <c r="D1195" t="b">
        <f ca="1">IF(A1195="","",[1]!s_techanal_rcnthigh(B1195,$B$2,1,3))</f>
        <v>0</v>
      </c>
      <c r="E1195">
        <f ca="1">IF(A1195="","",COUNTIF(D$6:D1195,"True"))</f>
        <v>11</v>
      </c>
      <c r="F1195" t="str">
        <f t="shared" si="18"/>
        <v>002712.SZ</v>
      </c>
    </row>
    <row r="1196" spans="1:6" x14ac:dyDescent="0.15">
      <c r="A1196" s="2">
        <v>46089</v>
      </c>
      <c r="B1196" s="1" t="s">
        <v>2245</v>
      </c>
      <c r="C1196" s="1" t="s">
        <v>10159</v>
      </c>
      <c r="D1196" t="b">
        <f ca="1">IF(A1196="","",[1]!s_techanal_rcnthigh(B1196,$B$2,1,3))</f>
        <v>0</v>
      </c>
      <c r="E1196">
        <f ca="1">IF(A1196="","",COUNTIF(D$6:D1196,"True"))</f>
        <v>11</v>
      </c>
      <c r="F1196" t="str">
        <f t="shared" si="18"/>
        <v>002713.SZ</v>
      </c>
    </row>
    <row r="1197" spans="1:6" x14ac:dyDescent="0.15">
      <c r="A1197" s="2">
        <v>46089</v>
      </c>
      <c r="B1197" s="1" t="s">
        <v>2246</v>
      </c>
      <c r="C1197" s="1" t="s">
        <v>2247</v>
      </c>
      <c r="D1197" t="b">
        <f ca="1">IF(A1197="","",[1]!s_techanal_rcnthigh(B1197,$B$2,1,3))</f>
        <v>0</v>
      </c>
      <c r="E1197">
        <f ca="1">IF(A1197="","",COUNTIF(D$6:D1197,"True"))</f>
        <v>11</v>
      </c>
      <c r="F1197" t="str">
        <f t="shared" si="18"/>
        <v>002714.SZ</v>
      </c>
    </row>
    <row r="1198" spans="1:6" x14ac:dyDescent="0.15">
      <c r="A1198" s="2">
        <v>46089</v>
      </c>
      <c r="B1198" s="1" t="s">
        <v>2248</v>
      </c>
      <c r="C1198" s="1" t="s">
        <v>2249</v>
      </c>
      <c r="D1198" t="b">
        <f ca="1">IF(A1198="","",[1]!s_techanal_rcnthigh(B1198,$B$2,1,3))</f>
        <v>0</v>
      </c>
      <c r="E1198">
        <f ca="1">IF(A1198="","",COUNTIF(D$6:D1198,"True"))</f>
        <v>11</v>
      </c>
      <c r="F1198" t="str">
        <f t="shared" si="18"/>
        <v>002715.SZ</v>
      </c>
    </row>
    <row r="1199" spans="1:6" x14ac:dyDescent="0.15">
      <c r="A1199" s="2">
        <v>46089</v>
      </c>
      <c r="B1199" s="1" t="s">
        <v>2250</v>
      </c>
      <c r="C1199" s="1" t="s">
        <v>10160</v>
      </c>
      <c r="D1199" t="b">
        <f ca="1">IF(A1199="","",[1]!s_techanal_rcnthigh(B1199,$B$2,1,3))</f>
        <v>0</v>
      </c>
      <c r="E1199">
        <f ca="1">IF(A1199="","",COUNTIF(D$6:D1199,"True"))</f>
        <v>11</v>
      </c>
      <c r="F1199" t="str">
        <f t="shared" si="18"/>
        <v>002716.SZ</v>
      </c>
    </row>
    <row r="1200" spans="1:6" x14ac:dyDescent="0.15">
      <c r="A1200" s="2">
        <v>46089</v>
      </c>
      <c r="B1200" s="1" t="s">
        <v>2251</v>
      </c>
      <c r="C1200" s="1" t="s">
        <v>10161</v>
      </c>
      <c r="D1200" t="b">
        <f ca="1">IF(A1200="","",[1]!s_techanal_rcnthigh(B1200,$B$2,1,3))</f>
        <v>0</v>
      </c>
      <c r="E1200">
        <f ca="1">IF(A1200="","",COUNTIF(D$6:D1200,"True"))</f>
        <v>11</v>
      </c>
      <c r="F1200" t="str">
        <f t="shared" si="18"/>
        <v>002717.SZ</v>
      </c>
    </row>
    <row r="1201" spans="1:6" x14ac:dyDescent="0.15">
      <c r="A1201" s="2">
        <v>46089</v>
      </c>
      <c r="B1201" s="1" t="s">
        <v>2252</v>
      </c>
      <c r="C1201" s="1" t="s">
        <v>2253</v>
      </c>
      <c r="D1201" t="b">
        <f ca="1">IF(A1201="","",[1]!s_techanal_rcnthigh(B1201,$B$2,1,3))</f>
        <v>0</v>
      </c>
      <c r="E1201">
        <f ca="1">IF(A1201="","",COUNTIF(D$6:D1201,"True"))</f>
        <v>11</v>
      </c>
      <c r="F1201" t="str">
        <f t="shared" si="18"/>
        <v>002718.SZ</v>
      </c>
    </row>
    <row r="1202" spans="1:6" x14ac:dyDescent="0.15">
      <c r="A1202" s="2">
        <v>46089</v>
      </c>
      <c r="B1202" s="1" t="s">
        <v>2254</v>
      </c>
      <c r="C1202" s="1" t="s">
        <v>2255</v>
      </c>
      <c r="D1202" t="b">
        <f ca="1">IF(A1202="","",[1]!s_techanal_rcnthigh(B1202,$B$2,1,3))</f>
        <v>0</v>
      </c>
      <c r="E1202">
        <f ca="1">IF(A1202="","",COUNTIF(D$6:D1202,"True"))</f>
        <v>11</v>
      </c>
      <c r="F1202" t="str">
        <f t="shared" si="18"/>
        <v>002719.SZ</v>
      </c>
    </row>
    <row r="1203" spans="1:6" x14ac:dyDescent="0.15">
      <c r="A1203" s="2">
        <v>46089</v>
      </c>
      <c r="B1203" s="1" t="s">
        <v>2256</v>
      </c>
      <c r="C1203" s="1" t="s">
        <v>10162</v>
      </c>
      <c r="D1203" t="b">
        <f ca="1">IF(A1203="","",[1]!s_techanal_rcnthigh(B1203,$B$2,1,3))</f>
        <v>0</v>
      </c>
      <c r="E1203">
        <f ca="1">IF(A1203="","",COUNTIF(D$6:D1203,"True"))</f>
        <v>11</v>
      </c>
      <c r="F1203" t="str">
        <f t="shared" si="18"/>
        <v>002721.SZ</v>
      </c>
    </row>
    <row r="1204" spans="1:6" x14ac:dyDescent="0.15">
      <c r="A1204" s="2">
        <v>46089</v>
      </c>
      <c r="B1204" s="1" t="s">
        <v>2257</v>
      </c>
      <c r="C1204" s="1" t="s">
        <v>2258</v>
      </c>
      <c r="D1204" t="b">
        <f ca="1">IF(A1204="","",[1]!s_techanal_rcnthigh(B1204,$B$2,1,3))</f>
        <v>0</v>
      </c>
      <c r="E1204">
        <f ca="1">IF(A1204="","",COUNTIF(D$6:D1204,"True"))</f>
        <v>11</v>
      </c>
      <c r="F1204" t="str">
        <f t="shared" si="18"/>
        <v>002722.SZ</v>
      </c>
    </row>
    <row r="1205" spans="1:6" x14ac:dyDescent="0.15">
      <c r="A1205" s="2">
        <v>46089</v>
      </c>
      <c r="B1205" s="1" t="s">
        <v>2259</v>
      </c>
      <c r="C1205" s="1" t="s">
        <v>2260</v>
      </c>
      <c r="D1205" t="b">
        <f ca="1">IF(A1205="","",[1]!s_techanal_rcnthigh(B1205,$B$2,1,3))</f>
        <v>0</v>
      </c>
      <c r="E1205">
        <f ca="1">IF(A1205="","",COUNTIF(D$6:D1205,"True"))</f>
        <v>11</v>
      </c>
      <c r="F1205" t="str">
        <f t="shared" si="18"/>
        <v>002723.SZ</v>
      </c>
    </row>
    <row r="1206" spans="1:6" x14ac:dyDescent="0.15">
      <c r="A1206" s="2">
        <v>46089</v>
      </c>
      <c r="B1206" s="1" t="s">
        <v>2261</v>
      </c>
      <c r="C1206" s="1" t="s">
        <v>2262</v>
      </c>
      <c r="D1206" t="b">
        <f ca="1">IF(A1206="","",[1]!s_techanal_rcnthigh(B1206,$B$2,1,3))</f>
        <v>0</v>
      </c>
      <c r="E1206">
        <f ca="1">IF(A1206="","",COUNTIF(D$6:D1206,"True"))</f>
        <v>11</v>
      </c>
      <c r="F1206" t="str">
        <f t="shared" si="18"/>
        <v>002724.SZ</v>
      </c>
    </row>
    <row r="1207" spans="1:6" x14ac:dyDescent="0.15">
      <c r="A1207" s="2">
        <v>46089</v>
      </c>
      <c r="B1207" s="1" t="s">
        <v>2263</v>
      </c>
      <c r="C1207" s="1" t="s">
        <v>2264</v>
      </c>
      <c r="D1207" t="b">
        <f ca="1">IF(A1207="","",[1]!s_techanal_rcnthigh(B1207,$B$2,1,3))</f>
        <v>0</v>
      </c>
      <c r="E1207">
        <f ca="1">IF(A1207="","",COUNTIF(D$6:D1207,"True"))</f>
        <v>11</v>
      </c>
      <c r="F1207" t="str">
        <f t="shared" si="18"/>
        <v>002725.SZ</v>
      </c>
    </row>
    <row r="1208" spans="1:6" x14ac:dyDescent="0.15">
      <c r="A1208" s="2">
        <v>46089</v>
      </c>
      <c r="B1208" s="1" t="s">
        <v>2265</v>
      </c>
      <c r="C1208" s="1" t="s">
        <v>2266</v>
      </c>
      <c r="D1208" t="b">
        <f ca="1">IF(A1208="","",[1]!s_techanal_rcnthigh(B1208,$B$2,1,3))</f>
        <v>0</v>
      </c>
      <c r="E1208">
        <f ca="1">IF(A1208="","",COUNTIF(D$6:D1208,"True"))</f>
        <v>11</v>
      </c>
      <c r="F1208" t="str">
        <f t="shared" si="18"/>
        <v>002726.SZ</v>
      </c>
    </row>
    <row r="1209" spans="1:6" x14ac:dyDescent="0.15">
      <c r="A1209" s="2">
        <v>46089</v>
      </c>
      <c r="B1209" s="1" t="s">
        <v>2267</v>
      </c>
      <c r="C1209" s="1" t="s">
        <v>2268</v>
      </c>
      <c r="D1209" t="b">
        <f ca="1">IF(A1209="","",[1]!s_techanal_rcnthigh(B1209,$B$2,1,3))</f>
        <v>0</v>
      </c>
      <c r="E1209">
        <f ca="1">IF(A1209="","",COUNTIF(D$6:D1209,"True"))</f>
        <v>11</v>
      </c>
      <c r="F1209" t="str">
        <f t="shared" si="18"/>
        <v>002727.SZ</v>
      </c>
    </row>
    <row r="1210" spans="1:6" x14ac:dyDescent="0.15">
      <c r="A1210" s="2">
        <v>46089</v>
      </c>
      <c r="B1210" s="1" t="s">
        <v>2269</v>
      </c>
      <c r="C1210" s="1" t="s">
        <v>2270</v>
      </c>
      <c r="D1210" t="b">
        <f ca="1">IF(A1210="","",[1]!s_techanal_rcnthigh(B1210,$B$2,1,3))</f>
        <v>0</v>
      </c>
      <c r="E1210">
        <f ca="1">IF(A1210="","",COUNTIF(D$6:D1210,"True"))</f>
        <v>11</v>
      </c>
      <c r="F1210" t="str">
        <f t="shared" si="18"/>
        <v>002728.SZ</v>
      </c>
    </row>
    <row r="1211" spans="1:6" x14ac:dyDescent="0.15">
      <c r="A1211" s="2">
        <v>46089</v>
      </c>
      <c r="B1211" s="1" t="s">
        <v>2271</v>
      </c>
      <c r="C1211" s="1" t="s">
        <v>2272</v>
      </c>
      <c r="D1211" t="b">
        <f ca="1">IF(A1211="","",[1]!s_techanal_rcnthigh(B1211,$B$2,1,3))</f>
        <v>0</v>
      </c>
      <c r="E1211">
        <f ca="1">IF(A1211="","",COUNTIF(D$6:D1211,"True"))</f>
        <v>11</v>
      </c>
      <c r="F1211" t="str">
        <f t="shared" si="18"/>
        <v>002729.SZ</v>
      </c>
    </row>
    <row r="1212" spans="1:6" x14ac:dyDescent="0.15">
      <c r="A1212" s="2">
        <v>46089</v>
      </c>
      <c r="B1212" s="1" t="s">
        <v>2273</v>
      </c>
      <c r="C1212" s="1" t="s">
        <v>2274</v>
      </c>
      <c r="D1212" t="b">
        <f ca="1">IF(A1212="","",[1]!s_techanal_rcnthigh(B1212,$B$2,1,3))</f>
        <v>0</v>
      </c>
      <c r="E1212">
        <f ca="1">IF(A1212="","",COUNTIF(D$6:D1212,"True"))</f>
        <v>11</v>
      </c>
      <c r="F1212" t="str">
        <f t="shared" si="18"/>
        <v>002730.SZ</v>
      </c>
    </row>
    <row r="1213" spans="1:6" x14ac:dyDescent="0.15">
      <c r="A1213" s="2">
        <v>46089</v>
      </c>
      <c r="B1213" s="1" t="s">
        <v>2275</v>
      </c>
      <c r="C1213" s="1" t="s">
        <v>10163</v>
      </c>
      <c r="D1213" t="b">
        <f ca="1">IF(A1213="","",[1]!s_techanal_rcnthigh(B1213,$B$2,1,3))</f>
        <v>0</v>
      </c>
      <c r="E1213">
        <f ca="1">IF(A1213="","",COUNTIF(D$6:D1213,"True"))</f>
        <v>11</v>
      </c>
      <c r="F1213" t="str">
        <f t="shared" si="18"/>
        <v>002731.SZ</v>
      </c>
    </row>
    <row r="1214" spans="1:6" x14ac:dyDescent="0.15">
      <c r="A1214" s="2">
        <v>46089</v>
      </c>
      <c r="B1214" s="1" t="s">
        <v>2276</v>
      </c>
      <c r="C1214" s="1" t="s">
        <v>2277</v>
      </c>
      <c r="D1214" t="b">
        <f ca="1">IF(A1214="","",[1]!s_techanal_rcnthigh(B1214,$B$2,1,3))</f>
        <v>0</v>
      </c>
      <c r="E1214">
        <f ca="1">IF(A1214="","",COUNTIF(D$6:D1214,"True"))</f>
        <v>11</v>
      </c>
      <c r="F1214" t="str">
        <f t="shared" si="18"/>
        <v>002732.SZ</v>
      </c>
    </row>
    <row r="1215" spans="1:6" x14ac:dyDescent="0.15">
      <c r="A1215" s="2">
        <v>46089</v>
      </c>
      <c r="B1215" s="1" t="s">
        <v>2278</v>
      </c>
      <c r="C1215" s="1" t="s">
        <v>2279</v>
      </c>
      <c r="D1215" t="b">
        <f ca="1">IF(A1215="","",[1]!s_techanal_rcnthigh(B1215,$B$2,1,3))</f>
        <v>0</v>
      </c>
      <c r="E1215">
        <f ca="1">IF(A1215="","",COUNTIF(D$6:D1215,"True"))</f>
        <v>11</v>
      </c>
      <c r="F1215" t="str">
        <f t="shared" si="18"/>
        <v>002733.SZ</v>
      </c>
    </row>
    <row r="1216" spans="1:6" x14ac:dyDescent="0.15">
      <c r="A1216" s="2">
        <v>46089</v>
      </c>
      <c r="B1216" s="1" t="s">
        <v>2280</v>
      </c>
      <c r="C1216" s="1" t="s">
        <v>2281</v>
      </c>
      <c r="D1216" t="b">
        <f ca="1">IF(A1216="","",[1]!s_techanal_rcnthigh(B1216,$B$2,1,3))</f>
        <v>0</v>
      </c>
      <c r="E1216">
        <f ca="1">IF(A1216="","",COUNTIF(D$6:D1216,"True"))</f>
        <v>11</v>
      </c>
      <c r="F1216" t="str">
        <f t="shared" si="18"/>
        <v>002734.SZ</v>
      </c>
    </row>
    <row r="1217" spans="1:6" x14ac:dyDescent="0.15">
      <c r="A1217" s="2">
        <v>46089</v>
      </c>
      <c r="B1217" s="1" t="s">
        <v>2282</v>
      </c>
      <c r="C1217" s="1" t="s">
        <v>2283</v>
      </c>
      <c r="D1217" t="b">
        <f ca="1">IF(A1217="","",[1]!s_techanal_rcnthigh(B1217,$B$2,1,3))</f>
        <v>0</v>
      </c>
      <c r="E1217">
        <f ca="1">IF(A1217="","",COUNTIF(D$6:D1217,"True"))</f>
        <v>11</v>
      </c>
      <c r="F1217" t="str">
        <f t="shared" si="18"/>
        <v>002735.SZ</v>
      </c>
    </row>
    <row r="1218" spans="1:6" x14ac:dyDescent="0.15">
      <c r="A1218" s="2">
        <v>46089</v>
      </c>
      <c r="B1218" s="1" t="s">
        <v>2284</v>
      </c>
      <c r="C1218" s="1" t="s">
        <v>2285</v>
      </c>
      <c r="D1218" t="b">
        <f ca="1">IF(A1218="","",[1]!s_techanal_rcnthigh(B1218,$B$2,1,3))</f>
        <v>0</v>
      </c>
      <c r="E1218">
        <f ca="1">IF(A1218="","",COUNTIF(D$6:D1218,"True"))</f>
        <v>11</v>
      </c>
      <c r="F1218" t="str">
        <f t="shared" si="18"/>
        <v>002736.SZ</v>
      </c>
    </row>
    <row r="1219" spans="1:6" x14ac:dyDescent="0.15">
      <c r="A1219" s="2">
        <v>46089</v>
      </c>
      <c r="B1219" s="1" t="s">
        <v>2286</v>
      </c>
      <c r="C1219" s="1" t="s">
        <v>2287</v>
      </c>
      <c r="D1219" t="b">
        <f ca="1">IF(A1219="","",[1]!s_techanal_rcnthigh(B1219,$B$2,1,3))</f>
        <v>0</v>
      </c>
      <c r="E1219">
        <f ca="1">IF(A1219="","",COUNTIF(D$6:D1219,"True"))</f>
        <v>11</v>
      </c>
      <c r="F1219" t="str">
        <f t="shared" si="18"/>
        <v>002737.SZ</v>
      </c>
    </row>
    <row r="1220" spans="1:6" x14ac:dyDescent="0.15">
      <c r="A1220" s="2">
        <v>46089</v>
      </c>
      <c r="B1220" s="1" t="s">
        <v>2288</v>
      </c>
      <c r="C1220" s="1" t="s">
        <v>2289</v>
      </c>
      <c r="D1220" t="b">
        <f ca="1">IF(A1220="","",[1]!s_techanal_rcnthigh(B1220,$B$2,1,3))</f>
        <v>0</v>
      </c>
      <c r="E1220">
        <f ca="1">IF(A1220="","",COUNTIF(D$6:D1220,"True"))</f>
        <v>11</v>
      </c>
      <c r="F1220" t="str">
        <f t="shared" si="18"/>
        <v>002738.SZ</v>
      </c>
    </row>
    <row r="1221" spans="1:6" x14ac:dyDescent="0.15">
      <c r="A1221" s="2">
        <v>46089</v>
      </c>
      <c r="B1221" s="1" t="s">
        <v>2290</v>
      </c>
      <c r="C1221" s="1" t="s">
        <v>2291</v>
      </c>
      <c r="D1221" t="b">
        <f ca="1">IF(A1221="","",[1]!s_techanal_rcnthigh(B1221,$B$2,1,3))</f>
        <v>0</v>
      </c>
      <c r="E1221">
        <f ca="1">IF(A1221="","",COUNTIF(D$6:D1221,"True"))</f>
        <v>11</v>
      </c>
      <c r="F1221" t="str">
        <f t="shared" si="18"/>
        <v>002739.SZ</v>
      </c>
    </row>
    <row r="1222" spans="1:6" x14ac:dyDescent="0.15">
      <c r="A1222" s="2">
        <v>46089</v>
      </c>
      <c r="B1222" s="1" t="s">
        <v>2292</v>
      </c>
      <c r="C1222" s="1" t="s">
        <v>2293</v>
      </c>
      <c r="D1222" t="b">
        <f ca="1">IF(A1222="","",[1]!s_techanal_rcnthigh(B1222,$B$2,1,3))</f>
        <v>0</v>
      </c>
      <c r="E1222">
        <f ca="1">IF(A1222="","",COUNTIF(D$6:D1222,"True"))</f>
        <v>11</v>
      </c>
      <c r="F1222" t="str">
        <f t="shared" ref="F1222:F1285" si="19">IF(B1222="","",B1222)</f>
        <v>002741.SZ</v>
      </c>
    </row>
    <row r="1223" spans="1:6" x14ac:dyDescent="0.15">
      <c r="A1223" s="2">
        <v>46089</v>
      </c>
      <c r="B1223" s="1" t="s">
        <v>2294</v>
      </c>
      <c r="C1223" s="1" t="s">
        <v>10164</v>
      </c>
      <c r="D1223" t="b">
        <f ca="1">IF(A1223="","",[1]!s_techanal_rcnthigh(B1223,$B$2,1,3))</f>
        <v>0</v>
      </c>
      <c r="E1223">
        <f ca="1">IF(A1223="","",COUNTIF(D$6:D1223,"True"))</f>
        <v>11</v>
      </c>
      <c r="F1223" t="str">
        <f t="shared" si="19"/>
        <v>002742.SZ</v>
      </c>
    </row>
    <row r="1224" spans="1:6" x14ac:dyDescent="0.15">
      <c r="A1224" s="2">
        <v>46089</v>
      </c>
      <c r="B1224" s="1" t="s">
        <v>2295</v>
      </c>
      <c r="C1224" s="1" t="s">
        <v>2296</v>
      </c>
      <c r="D1224" t="b">
        <f ca="1">IF(A1224="","",[1]!s_techanal_rcnthigh(B1224,$B$2,1,3))</f>
        <v>0</v>
      </c>
      <c r="E1224">
        <f ca="1">IF(A1224="","",COUNTIF(D$6:D1224,"True"))</f>
        <v>11</v>
      </c>
      <c r="F1224" t="str">
        <f t="shared" si="19"/>
        <v>002743.SZ</v>
      </c>
    </row>
    <row r="1225" spans="1:6" x14ac:dyDescent="0.15">
      <c r="A1225" s="2">
        <v>46089</v>
      </c>
      <c r="B1225" s="1" t="s">
        <v>2297</v>
      </c>
      <c r="C1225" s="1" t="s">
        <v>2298</v>
      </c>
      <c r="D1225" t="b">
        <f ca="1">IF(A1225="","",[1]!s_techanal_rcnthigh(B1225,$B$2,1,3))</f>
        <v>0</v>
      </c>
      <c r="E1225">
        <f ca="1">IF(A1225="","",COUNTIF(D$6:D1225,"True"))</f>
        <v>11</v>
      </c>
      <c r="F1225" t="str">
        <f t="shared" si="19"/>
        <v>002745.SZ</v>
      </c>
    </row>
    <row r="1226" spans="1:6" x14ac:dyDescent="0.15">
      <c r="A1226" s="2">
        <v>46089</v>
      </c>
      <c r="B1226" s="1" t="s">
        <v>2299</v>
      </c>
      <c r="C1226" s="1" t="s">
        <v>2300</v>
      </c>
      <c r="D1226" t="b">
        <f ca="1">IF(A1226="","",[1]!s_techanal_rcnthigh(B1226,$B$2,1,3))</f>
        <v>0</v>
      </c>
      <c r="E1226">
        <f ca="1">IF(A1226="","",COUNTIF(D$6:D1226,"True"))</f>
        <v>11</v>
      </c>
      <c r="F1226" t="str">
        <f t="shared" si="19"/>
        <v>002746.SZ</v>
      </c>
    </row>
    <row r="1227" spans="1:6" x14ac:dyDescent="0.15">
      <c r="A1227" s="2">
        <v>46089</v>
      </c>
      <c r="B1227" s="1" t="s">
        <v>2301</v>
      </c>
      <c r="C1227" s="1" t="s">
        <v>2302</v>
      </c>
      <c r="D1227" t="b">
        <f ca="1">IF(A1227="","",[1]!s_techanal_rcnthigh(B1227,$B$2,1,3))</f>
        <v>0</v>
      </c>
      <c r="E1227">
        <f ca="1">IF(A1227="","",COUNTIF(D$6:D1227,"True"))</f>
        <v>11</v>
      </c>
      <c r="F1227" t="str">
        <f t="shared" si="19"/>
        <v>002747.SZ</v>
      </c>
    </row>
    <row r="1228" spans="1:6" x14ac:dyDescent="0.15">
      <c r="A1228" s="2">
        <v>46089</v>
      </c>
      <c r="B1228" s="1" t="s">
        <v>2303</v>
      </c>
      <c r="C1228" s="1" t="s">
        <v>2304</v>
      </c>
      <c r="D1228" t="b">
        <f ca="1">IF(A1228="","",[1]!s_techanal_rcnthigh(B1228,$B$2,1,3))</f>
        <v>0</v>
      </c>
      <c r="E1228">
        <f ca="1">IF(A1228="","",COUNTIF(D$6:D1228,"True"))</f>
        <v>11</v>
      </c>
      <c r="F1228" t="str">
        <f t="shared" si="19"/>
        <v>002748.SZ</v>
      </c>
    </row>
    <row r="1229" spans="1:6" x14ac:dyDescent="0.15">
      <c r="A1229" s="2">
        <v>46089</v>
      </c>
      <c r="B1229" s="1" t="s">
        <v>2305</v>
      </c>
      <c r="C1229" s="1" t="s">
        <v>2306</v>
      </c>
      <c r="D1229" t="b">
        <f ca="1">IF(A1229="","",[1]!s_techanal_rcnthigh(B1229,$B$2,1,3))</f>
        <v>0</v>
      </c>
      <c r="E1229">
        <f ca="1">IF(A1229="","",COUNTIF(D$6:D1229,"True"))</f>
        <v>11</v>
      </c>
      <c r="F1229" t="str">
        <f t="shared" si="19"/>
        <v>002749.SZ</v>
      </c>
    </row>
    <row r="1230" spans="1:6" x14ac:dyDescent="0.15">
      <c r="A1230" s="2">
        <v>46089</v>
      </c>
      <c r="B1230" s="1" t="s">
        <v>2307</v>
      </c>
      <c r="C1230" s="1" t="s">
        <v>2308</v>
      </c>
      <c r="D1230" t="b">
        <f ca="1">IF(A1230="","",[1]!s_techanal_rcnthigh(B1230,$B$2,1,3))</f>
        <v>0</v>
      </c>
      <c r="E1230">
        <f ca="1">IF(A1230="","",COUNTIF(D$6:D1230,"True"))</f>
        <v>11</v>
      </c>
      <c r="F1230" t="str">
        <f t="shared" si="19"/>
        <v>002752.SZ</v>
      </c>
    </row>
    <row r="1231" spans="1:6" x14ac:dyDescent="0.15">
      <c r="A1231" s="2">
        <v>46089</v>
      </c>
      <c r="B1231" s="1" t="s">
        <v>2309</v>
      </c>
      <c r="C1231" s="1" t="s">
        <v>2310</v>
      </c>
      <c r="D1231" t="b">
        <f ca="1">IF(A1231="","",[1]!s_techanal_rcnthigh(B1231,$B$2,1,3))</f>
        <v>0</v>
      </c>
      <c r="E1231">
        <f ca="1">IF(A1231="","",COUNTIF(D$6:D1231,"True"))</f>
        <v>11</v>
      </c>
      <c r="F1231" t="str">
        <f t="shared" si="19"/>
        <v>002753.SZ</v>
      </c>
    </row>
    <row r="1232" spans="1:6" x14ac:dyDescent="0.15">
      <c r="A1232" s="2">
        <v>46089</v>
      </c>
      <c r="B1232" s="1" t="s">
        <v>2311</v>
      </c>
      <c r="C1232" s="1" t="s">
        <v>2312</v>
      </c>
      <c r="D1232" t="b">
        <f ca="1">IF(A1232="","",[1]!s_techanal_rcnthigh(B1232,$B$2,1,3))</f>
        <v>0</v>
      </c>
      <c r="E1232">
        <f ca="1">IF(A1232="","",COUNTIF(D$6:D1232,"True"))</f>
        <v>11</v>
      </c>
      <c r="F1232" t="str">
        <f t="shared" si="19"/>
        <v>002755.SZ</v>
      </c>
    </row>
    <row r="1233" spans="1:6" x14ac:dyDescent="0.15">
      <c r="A1233" s="2">
        <v>46089</v>
      </c>
      <c r="B1233" s="1" t="s">
        <v>2313</v>
      </c>
      <c r="C1233" s="1" t="s">
        <v>2314</v>
      </c>
      <c r="D1233" t="b">
        <f ca="1">IF(A1233="","",[1]!s_techanal_rcnthigh(B1233,$B$2,1,3))</f>
        <v>0</v>
      </c>
      <c r="E1233">
        <f ca="1">IF(A1233="","",COUNTIF(D$6:D1233,"True"))</f>
        <v>11</v>
      </c>
      <c r="F1233" t="str">
        <f t="shared" si="19"/>
        <v>002756.SZ</v>
      </c>
    </row>
    <row r="1234" spans="1:6" x14ac:dyDescent="0.15">
      <c r="A1234" s="2">
        <v>46089</v>
      </c>
      <c r="B1234" s="1" t="s">
        <v>2315</v>
      </c>
      <c r="C1234" s="1" t="s">
        <v>2316</v>
      </c>
      <c r="D1234" t="b">
        <f ca="1">IF(A1234="","",[1]!s_techanal_rcnthigh(B1234,$B$2,1,3))</f>
        <v>0</v>
      </c>
      <c r="E1234">
        <f ca="1">IF(A1234="","",COUNTIF(D$6:D1234,"True"))</f>
        <v>11</v>
      </c>
      <c r="F1234" t="str">
        <f t="shared" si="19"/>
        <v>002757.SZ</v>
      </c>
    </row>
    <row r="1235" spans="1:6" x14ac:dyDescent="0.15">
      <c r="A1235" s="2">
        <v>46089</v>
      </c>
      <c r="B1235" s="1" t="s">
        <v>2317</v>
      </c>
      <c r="C1235" s="1" t="s">
        <v>2318</v>
      </c>
      <c r="D1235" t="b">
        <f ca="1">IF(A1235="","",[1]!s_techanal_rcnthigh(B1235,$B$2,1,3))</f>
        <v>0</v>
      </c>
      <c r="E1235">
        <f ca="1">IF(A1235="","",COUNTIF(D$6:D1235,"True"))</f>
        <v>11</v>
      </c>
      <c r="F1235" t="str">
        <f t="shared" si="19"/>
        <v>002758.SZ</v>
      </c>
    </row>
    <row r="1236" spans="1:6" x14ac:dyDescent="0.15">
      <c r="A1236" s="2">
        <v>46089</v>
      </c>
      <c r="B1236" s="1" t="s">
        <v>2319</v>
      </c>
      <c r="C1236" s="1" t="s">
        <v>2320</v>
      </c>
      <c r="D1236" t="b">
        <f ca="1">IF(A1236="","",[1]!s_techanal_rcnthigh(B1236,$B$2,1,3))</f>
        <v>0</v>
      </c>
      <c r="E1236">
        <f ca="1">IF(A1236="","",COUNTIF(D$6:D1236,"True"))</f>
        <v>11</v>
      </c>
      <c r="F1236" t="str">
        <f t="shared" si="19"/>
        <v>002759.SZ</v>
      </c>
    </row>
    <row r="1237" spans="1:6" x14ac:dyDescent="0.15">
      <c r="A1237" s="2">
        <v>46089</v>
      </c>
      <c r="B1237" s="1" t="s">
        <v>2321</v>
      </c>
      <c r="C1237" s="1" t="s">
        <v>2322</v>
      </c>
      <c r="D1237" t="b">
        <f ca="1">IF(A1237="","",[1]!s_techanal_rcnthigh(B1237,$B$2,1,3))</f>
        <v>0</v>
      </c>
      <c r="E1237">
        <f ca="1">IF(A1237="","",COUNTIF(D$6:D1237,"True"))</f>
        <v>11</v>
      </c>
      <c r="F1237" t="str">
        <f t="shared" si="19"/>
        <v>002760.SZ</v>
      </c>
    </row>
    <row r="1238" spans="1:6" x14ac:dyDescent="0.15">
      <c r="A1238" s="2">
        <v>46089</v>
      </c>
      <c r="B1238" s="1" t="s">
        <v>2323</v>
      </c>
      <c r="C1238" s="1" t="s">
        <v>2324</v>
      </c>
      <c r="D1238" t="b">
        <f ca="1">IF(A1238="","",[1]!s_techanal_rcnthigh(B1238,$B$2,1,3))</f>
        <v>0</v>
      </c>
      <c r="E1238">
        <f ca="1">IF(A1238="","",COUNTIF(D$6:D1238,"True"))</f>
        <v>11</v>
      </c>
      <c r="F1238" t="str">
        <f t="shared" si="19"/>
        <v>002761.SZ</v>
      </c>
    </row>
    <row r="1239" spans="1:6" x14ac:dyDescent="0.15">
      <c r="A1239" s="2">
        <v>46089</v>
      </c>
      <c r="B1239" s="1" t="s">
        <v>2325</v>
      </c>
      <c r="C1239" s="1" t="s">
        <v>10165</v>
      </c>
      <c r="D1239" t="b">
        <f ca="1">IF(A1239="","",[1]!s_techanal_rcnthigh(B1239,$B$2,1,3))</f>
        <v>0</v>
      </c>
      <c r="E1239">
        <f ca="1">IF(A1239="","",COUNTIF(D$6:D1239,"True"))</f>
        <v>11</v>
      </c>
      <c r="F1239" t="str">
        <f t="shared" si="19"/>
        <v>002762.SZ</v>
      </c>
    </row>
    <row r="1240" spans="1:6" x14ac:dyDescent="0.15">
      <c r="A1240" s="2">
        <v>46089</v>
      </c>
      <c r="B1240" s="1" t="s">
        <v>2326</v>
      </c>
      <c r="C1240" s="1" t="s">
        <v>2327</v>
      </c>
      <c r="D1240" t="b">
        <f ca="1">IF(A1240="","",[1]!s_techanal_rcnthigh(B1240,$B$2,1,3))</f>
        <v>0</v>
      </c>
      <c r="E1240">
        <f ca="1">IF(A1240="","",COUNTIF(D$6:D1240,"True"))</f>
        <v>11</v>
      </c>
      <c r="F1240" t="str">
        <f t="shared" si="19"/>
        <v>002763.SZ</v>
      </c>
    </row>
    <row r="1241" spans="1:6" x14ac:dyDescent="0.15">
      <c r="A1241" s="2">
        <v>46089</v>
      </c>
      <c r="B1241" s="1" t="s">
        <v>2328</v>
      </c>
      <c r="C1241" s="1" t="s">
        <v>2329</v>
      </c>
      <c r="D1241" t="b">
        <f ca="1">IF(A1241="","",[1]!s_techanal_rcnthigh(B1241,$B$2,1,3))</f>
        <v>0</v>
      </c>
      <c r="E1241">
        <f ca="1">IF(A1241="","",COUNTIF(D$6:D1241,"True"))</f>
        <v>11</v>
      </c>
      <c r="F1241" t="str">
        <f t="shared" si="19"/>
        <v>002765.SZ</v>
      </c>
    </row>
    <row r="1242" spans="1:6" x14ac:dyDescent="0.15">
      <c r="A1242" s="2">
        <v>46089</v>
      </c>
      <c r="B1242" s="1" t="s">
        <v>2330</v>
      </c>
      <c r="C1242" s="1" t="s">
        <v>2331</v>
      </c>
      <c r="D1242" t="b">
        <f ca="1">IF(A1242="","",[1]!s_techanal_rcnthigh(B1242,$B$2,1,3))</f>
        <v>0</v>
      </c>
      <c r="E1242">
        <f ca="1">IF(A1242="","",COUNTIF(D$6:D1242,"True"))</f>
        <v>11</v>
      </c>
      <c r="F1242" t="str">
        <f t="shared" si="19"/>
        <v>002766.SZ</v>
      </c>
    </row>
    <row r="1243" spans="1:6" x14ac:dyDescent="0.15">
      <c r="A1243" s="2">
        <v>46089</v>
      </c>
      <c r="B1243" s="1" t="s">
        <v>2332</v>
      </c>
      <c r="C1243" s="1" t="s">
        <v>2333</v>
      </c>
      <c r="D1243" t="b">
        <f ca="1">IF(A1243="","",[1]!s_techanal_rcnthigh(B1243,$B$2,1,3))</f>
        <v>0</v>
      </c>
      <c r="E1243">
        <f ca="1">IF(A1243="","",COUNTIF(D$6:D1243,"True"))</f>
        <v>11</v>
      </c>
      <c r="F1243" t="str">
        <f t="shared" si="19"/>
        <v>002767.SZ</v>
      </c>
    </row>
    <row r="1244" spans="1:6" x14ac:dyDescent="0.15">
      <c r="A1244" s="2">
        <v>46089</v>
      </c>
      <c r="B1244" s="1" t="s">
        <v>2334</v>
      </c>
      <c r="C1244" s="1" t="s">
        <v>2335</v>
      </c>
      <c r="D1244" t="b">
        <f ca="1">IF(A1244="","",[1]!s_techanal_rcnthigh(B1244,$B$2,1,3))</f>
        <v>0</v>
      </c>
      <c r="E1244">
        <f ca="1">IF(A1244="","",COUNTIF(D$6:D1244,"True"))</f>
        <v>11</v>
      </c>
      <c r="F1244" t="str">
        <f t="shared" si="19"/>
        <v>002768.SZ</v>
      </c>
    </row>
    <row r="1245" spans="1:6" x14ac:dyDescent="0.15">
      <c r="A1245" s="2">
        <v>46089</v>
      </c>
      <c r="B1245" s="1" t="s">
        <v>2336</v>
      </c>
      <c r="C1245" s="1" t="s">
        <v>2337</v>
      </c>
      <c r="D1245" t="b">
        <f ca="1">IF(A1245="","",[1]!s_techanal_rcnthigh(B1245,$B$2,1,3))</f>
        <v>0</v>
      </c>
      <c r="E1245">
        <f ca="1">IF(A1245="","",COUNTIF(D$6:D1245,"True"))</f>
        <v>11</v>
      </c>
      <c r="F1245" t="str">
        <f t="shared" si="19"/>
        <v>002769.SZ</v>
      </c>
    </row>
    <row r="1246" spans="1:6" x14ac:dyDescent="0.15">
      <c r="A1246" s="2">
        <v>46089</v>
      </c>
      <c r="B1246" s="1" t="s">
        <v>2338</v>
      </c>
      <c r="C1246" s="1" t="s">
        <v>2339</v>
      </c>
      <c r="D1246" t="b">
        <f ca="1">IF(A1246="","",[1]!s_techanal_rcnthigh(B1246,$B$2,1,3))</f>
        <v>0</v>
      </c>
      <c r="E1246">
        <f ca="1">IF(A1246="","",COUNTIF(D$6:D1246,"True"))</f>
        <v>11</v>
      </c>
      <c r="F1246" t="str">
        <f t="shared" si="19"/>
        <v>002771.SZ</v>
      </c>
    </row>
    <row r="1247" spans="1:6" x14ac:dyDescent="0.15">
      <c r="A1247" s="2">
        <v>46089</v>
      </c>
      <c r="B1247" s="1" t="s">
        <v>2340</v>
      </c>
      <c r="C1247" s="1" t="s">
        <v>2341</v>
      </c>
      <c r="D1247" t="b">
        <f ca="1">IF(A1247="","",[1]!s_techanal_rcnthigh(B1247,$B$2,1,3))</f>
        <v>0</v>
      </c>
      <c r="E1247">
        <f ca="1">IF(A1247="","",COUNTIF(D$6:D1247,"True"))</f>
        <v>11</v>
      </c>
      <c r="F1247" t="str">
        <f t="shared" si="19"/>
        <v>002772.SZ</v>
      </c>
    </row>
    <row r="1248" spans="1:6" x14ac:dyDescent="0.15">
      <c r="A1248" s="2">
        <v>46089</v>
      </c>
      <c r="B1248" s="1" t="s">
        <v>2342</v>
      </c>
      <c r="C1248" s="1" t="s">
        <v>2343</v>
      </c>
      <c r="D1248" t="b">
        <f ca="1">IF(A1248="","",[1]!s_techanal_rcnthigh(B1248,$B$2,1,3))</f>
        <v>0</v>
      </c>
      <c r="E1248">
        <f ca="1">IF(A1248="","",COUNTIF(D$6:D1248,"True"))</f>
        <v>11</v>
      </c>
      <c r="F1248" t="str">
        <f t="shared" si="19"/>
        <v>002773.SZ</v>
      </c>
    </row>
    <row r="1249" spans="1:6" x14ac:dyDescent="0.15">
      <c r="A1249" s="2">
        <v>46089</v>
      </c>
      <c r="B1249" s="1" t="s">
        <v>2344</v>
      </c>
      <c r="C1249" s="1" t="s">
        <v>2345</v>
      </c>
      <c r="D1249" t="b">
        <f ca="1">IF(A1249="","",[1]!s_techanal_rcnthigh(B1249,$B$2,1,3))</f>
        <v>0</v>
      </c>
      <c r="E1249">
        <f ca="1">IF(A1249="","",COUNTIF(D$6:D1249,"True"))</f>
        <v>11</v>
      </c>
      <c r="F1249" t="str">
        <f t="shared" si="19"/>
        <v>002774.SZ</v>
      </c>
    </row>
    <row r="1250" spans="1:6" x14ac:dyDescent="0.15">
      <c r="A1250" s="2">
        <v>46089</v>
      </c>
      <c r="B1250" s="1" t="s">
        <v>2346</v>
      </c>
      <c r="C1250" s="1" t="s">
        <v>2347</v>
      </c>
      <c r="D1250" t="b">
        <f ca="1">IF(A1250="","",[1]!s_techanal_rcnthigh(B1250,$B$2,1,3))</f>
        <v>0</v>
      </c>
      <c r="E1250">
        <f ca="1">IF(A1250="","",COUNTIF(D$6:D1250,"True"))</f>
        <v>11</v>
      </c>
      <c r="F1250" t="str">
        <f t="shared" si="19"/>
        <v>002775.SZ</v>
      </c>
    </row>
    <row r="1251" spans="1:6" x14ac:dyDescent="0.15">
      <c r="A1251" s="2">
        <v>46089</v>
      </c>
      <c r="B1251" s="1" t="s">
        <v>2348</v>
      </c>
      <c r="C1251" s="1" t="s">
        <v>2349</v>
      </c>
      <c r="D1251" t="b">
        <f ca="1">IF(A1251="","",[1]!s_techanal_rcnthigh(B1251,$B$2,1,3))</f>
        <v>0</v>
      </c>
      <c r="E1251">
        <f ca="1">IF(A1251="","",COUNTIF(D$6:D1251,"True"))</f>
        <v>11</v>
      </c>
      <c r="F1251" t="str">
        <f t="shared" si="19"/>
        <v>002777.SZ</v>
      </c>
    </row>
    <row r="1252" spans="1:6" x14ac:dyDescent="0.15">
      <c r="A1252" s="2">
        <v>46089</v>
      </c>
      <c r="B1252" s="1" t="s">
        <v>2350</v>
      </c>
      <c r="C1252" s="1" t="s">
        <v>2351</v>
      </c>
      <c r="D1252" t="b">
        <f ca="1">IF(A1252="","",[1]!s_techanal_rcnthigh(B1252,$B$2,1,3))</f>
        <v>0</v>
      </c>
      <c r="E1252">
        <f ca="1">IF(A1252="","",COUNTIF(D$6:D1252,"True"))</f>
        <v>11</v>
      </c>
      <c r="F1252" t="str">
        <f t="shared" si="19"/>
        <v>002778.SZ</v>
      </c>
    </row>
    <row r="1253" spans="1:6" x14ac:dyDescent="0.15">
      <c r="A1253" s="2">
        <v>46089</v>
      </c>
      <c r="B1253" s="1" t="s">
        <v>2352</v>
      </c>
      <c r="C1253" s="1" t="s">
        <v>2353</v>
      </c>
      <c r="D1253" t="b">
        <f ca="1">IF(A1253="","",[1]!s_techanal_rcnthigh(B1253,$B$2,1,3))</f>
        <v>0</v>
      </c>
      <c r="E1253">
        <f ca="1">IF(A1253="","",COUNTIF(D$6:D1253,"True"))</f>
        <v>11</v>
      </c>
      <c r="F1253" t="str">
        <f t="shared" si="19"/>
        <v>002779.SZ</v>
      </c>
    </row>
    <row r="1254" spans="1:6" x14ac:dyDescent="0.15">
      <c r="A1254" s="2">
        <v>46089</v>
      </c>
      <c r="B1254" s="1" t="s">
        <v>2354</v>
      </c>
      <c r="C1254" s="1" t="s">
        <v>2355</v>
      </c>
      <c r="D1254" t="b">
        <f ca="1">IF(A1254="","",[1]!s_techanal_rcnthigh(B1254,$B$2,1,3))</f>
        <v>0</v>
      </c>
      <c r="E1254">
        <f ca="1">IF(A1254="","",COUNTIF(D$6:D1254,"True"))</f>
        <v>11</v>
      </c>
      <c r="F1254" t="str">
        <f t="shared" si="19"/>
        <v>002780.SZ</v>
      </c>
    </row>
    <row r="1255" spans="1:6" x14ac:dyDescent="0.15">
      <c r="A1255" s="2">
        <v>46089</v>
      </c>
      <c r="B1255" s="1" t="s">
        <v>2356</v>
      </c>
      <c r="C1255" s="1" t="s">
        <v>2357</v>
      </c>
      <c r="D1255" t="b">
        <f ca="1">IF(A1255="","",[1]!s_techanal_rcnthigh(B1255,$B$2,1,3))</f>
        <v>0</v>
      </c>
      <c r="E1255">
        <f ca="1">IF(A1255="","",COUNTIF(D$6:D1255,"True"))</f>
        <v>11</v>
      </c>
      <c r="F1255" t="str">
        <f t="shared" si="19"/>
        <v>002782.SZ</v>
      </c>
    </row>
    <row r="1256" spans="1:6" x14ac:dyDescent="0.15">
      <c r="A1256" s="2">
        <v>46089</v>
      </c>
      <c r="B1256" s="1" t="s">
        <v>2358</v>
      </c>
      <c r="C1256" s="1" t="s">
        <v>2359</v>
      </c>
      <c r="D1256" t="b">
        <f ca="1">IF(A1256="","",[1]!s_techanal_rcnthigh(B1256,$B$2,1,3))</f>
        <v>0</v>
      </c>
      <c r="E1256">
        <f ca="1">IF(A1256="","",COUNTIF(D$6:D1256,"True"))</f>
        <v>11</v>
      </c>
      <c r="F1256" t="str">
        <f t="shared" si="19"/>
        <v>002783.SZ</v>
      </c>
    </row>
    <row r="1257" spans="1:6" x14ac:dyDescent="0.15">
      <c r="A1257" s="2">
        <v>46089</v>
      </c>
      <c r="B1257" s="1" t="s">
        <v>2360</v>
      </c>
      <c r="C1257" s="1" t="s">
        <v>2361</v>
      </c>
      <c r="D1257" t="b">
        <f ca="1">IF(A1257="","",[1]!s_techanal_rcnthigh(B1257,$B$2,1,3))</f>
        <v>0</v>
      </c>
      <c r="E1257">
        <f ca="1">IF(A1257="","",COUNTIF(D$6:D1257,"True"))</f>
        <v>11</v>
      </c>
      <c r="F1257" t="str">
        <f t="shared" si="19"/>
        <v>002785.SZ</v>
      </c>
    </row>
    <row r="1258" spans="1:6" x14ac:dyDescent="0.15">
      <c r="A1258" s="2">
        <v>46089</v>
      </c>
      <c r="B1258" s="1" t="s">
        <v>2362</v>
      </c>
      <c r="C1258" s="1" t="s">
        <v>2363</v>
      </c>
      <c r="D1258" t="b">
        <f ca="1">IF(A1258="","",[1]!s_techanal_rcnthigh(B1258,$B$2,1,3))</f>
        <v>0</v>
      </c>
      <c r="E1258">
        <f ca="1">IF(A1258="","",COUNTIF(D$6:D1258,"True"))</f>
        <v>11</v>
      </c>
      <c r="F1258" t="str">
        <f t="shared" si="19"/>
        <v>002786.SZ</v>
      </c>
    </row>
    <row r="1259" spans="1:6" x14ac:dyDescent="0.15">
      <c r="A1259" s="2">
        <v>46089</v>
      </c>
      <c r="B1259" s="1" t="s">
        <v>2364</v>
      </c>
      <c r="C1259" s="1" t="s">
        <v>2365</v>
      </c>
      <c r="D1259" t="b">
        <f ca="1">IF(A1259="","",[1]!s_techanal_rcnthigh(B1259,$B$2,1,3))</f>
        <v>0</v>
      </c>
      <c r="E1259">
        <f ca="1">IF(A1259="","",COUNTIF(D$6:D1259,"True"))</f>
        <v>11</v>
      </c>
      <c r="F1259" t="str">
        <f t="shared" si="19"/>
        <v>002787.SZ</v>
      </c>
    </row>
    <row r="1260" spans="1:6" x14ac:dyDescent="0.15">
      <c r="A1260" s="2">
        <v>46089</v>
      </c>
      <c r="B1260" s="1" t="s">
        <v>2366</v>
      </c>
      <c r="C1260" s="1" t="s">
        <v>2367</v>
      </c>
      <c r="D1260" t="b">
        <f ca="1">IF(A1260="","",[1]!s_techanal_rcnthigh(B1260,$B$2,1,3))</f>
        <v>0</v>
      </c>
      <c r="E1260">
        <f ca="1">IF(A1260="","",COUNTIF(D$6:D1260,"True"))</f>
        <v>11</v>
      </c>
      <c r="F1260" t="str">
        <f t="shared" si="19"/>
        <v>002788.SZ</v>
      </c>
    </row>
    <row r="1261" spans="1:6" x14ac:dyDescent="0.15">
      <c r="A1261" s="2">
        <v>46089</v>
      </c>
      <c r="B1261" s="1" t="s">
        <v>2368</v>
      </c>
      <c r="C1261" s="1" t="s">
        <v>10166</v>
      </c>
      <c r="D1261" t="b">
        <f ca="1">IF(A1261="","",[1]!s_techanal_rcnthigh(B1261,$B$2,1,3))</f>
        <v>0</v>
      </c>
      <c r="E1261">
        <f ca="1">IF(A1261="","",COUNTIF(D$6:D1261,"True"))</f>
        <v>11</v>
      </c>
      <c r="F1261" t="str">
        <f t="shared" si="19"/>
        <v>002789.SZ</v>
      </c>
    </row>
    <row r="1262" spans="1:6" x14ac:dyDescent="0.15">
      <c r="A1262" s="2">
        <v>46089</v>
      </c>
      <c r="B1262" s="1" t="s">
        <v>2369</v>
      </c>
      <c r="C1262" s="1" t="s">
        <v>2370</v>
      </c>
      <c r="D1262" t="b">
        <f ca="1">IF(A1262="","",[1]!s_techanal_rcnthigh(B1262,$B$2,1,3))</f>
        <v>0</v>
      </c>
      <c r="E1262">
        <f ca="1">IF(A1262="","",COUNTIF(D$6:D1262,"True"))</f>
        <v>11</v>
      </c>
      <c r="F1262" t="str">
        <f t="shared" si="19"/>
        <v>002790.SZ</v>
      </c>
    </row>
    <row r="1263" spans="1:6" x14ac:dyDescent="0.15">
      <c r="A1263" s="2">
        <v>46089</v>
      </c>
      <c r="B1263" s="1" t="s">
        <v>2371</v>
      </c>
      <c r="C1263" s="1" t="s">
        <v>2372</v>
      </c>
      <c r="D1263" t="b">
        <f ca="1">IF(A1263="","",[1]!s_techanal_rcnthigh(B1263,$B$2,1,3))</f>
        <v>0</v>
      </c>
      <c r="E1263">
        <f ca="1">IF(A1263="","",COUNTIF(D$6:D1263,"True"))</f>
        <v>11</v>
      </c>
      <c r="F1263" t="str">
        <f t="shared" si="19"/>
        <v>002791.SZ</v>
      </c>
    </row>
    <row r="1264" spans="1:6" x14ac:dyDescent="0.15">
      <c r="A1264" s="2">
        <v>46089</v>
      </c>
      <c r="B1264" s="1" t="s">
        <v>2373</v>
      </c>
      <c r="C1264" s="1" t="s">
        <v>2374</v>
      </c>
      <c r="D1264" t="b">
        <f ca="1">IF(A1264="","",[1]!s_techanal_rcnthigh(B1264,$B$2,1,3))</f>
        <v>0</v>
      </c>
      <c r="E1264">
        <f ca="1">IF(A1264="","",COUNTIF(D$6:D1264,"True"))</f>
        <v>11</v>
      </c>
      <c r="F1264" t="str">
        <f t="shared" si="19"/>
        <v>002792.SZ</v>
      </c>
    </row>
    <row r="1265" spans="1:6" x14ac:dyDescent="0.15">
      <c r="A1265" s="2">
        <v>46089</v>
      </c>
      <c r="B1265" s="1" t="s">
        <v>2375</v>
      </c>
      <c r="C1265" s="1" t="s">
        <v>2376</v>
      </c>
      <c r="D1265" t="b">
        <f ca="1">IF(A1265="","",[1]!s_techanal_rcnthigh(B1265,$B$2,1,3))</f>
        <v>0</v>
      </c>
      <c r="E1265">
        <f ca="1">IF(A1265="","",COUNTIF(D$6:D1265,"True"))</f>
        <v>11</v>
      </c>
      <c r="F1265" t="str">
        <f t="shared" si="19"/>
        <v>002793.SZ</v>
      </c>
    </row>
    <row r="1266" spans="1:6" x14ac:dyDescent="0.15">
      <c r="A1266" s="2">
        <v>46089</v>
      </c>
      <c r="B1266" s="1" t="s">
        <v>2377</v>
      </c>
      <c r="C1266" s="1" t="s">
        <v>2378</v>
      </c>
      <c r="D1266" t="b">
        <f ca="1">IF(A1266="","",[1]!s_techanal_rcnthigh(B1266,$B$2,1,3))</f>
        <v>0</v>
      </c>
      <c r="E1266">
        <f ca="1">IF(A1266="","",COUNTIF(D$6:D1266,"True"))</f>
        <v>11</v>
      </c>
      <c r="F1266" t="str">
        <f t="shared" si="19"/>
        <v>002795.SZ</v>
      </c>
    </row>
    <row r="1267" spans="1:6" x14ac:dyDescent="0.15">
      <c r="A1267" s="2">
        <v>46089</v>
      </c>
      <c r="B1267" s="1" t="s">
        <v>2379</v>
      </c>
      <c r="C1267" s="1" t="s">
        <v>2380</v>
      </c>
      <c r="D1267" t="b">
        <f ca="1">IF(A1267="","",[1]!s_techanal_rcnthigh(B1267,$B$2,1,3))</f>
        <v>1</v>
      </c>
      <c r="E1267">
        <f ca="1">IF(A1267="","",COUNTIF(D$6:D1267,"True"))</f>
        <v>12</v>
      </c>
      <c r="F1267" t="str">
        <f t="shared" si="19"/>
        <v>002796.SZ</v>
      </c>
    </row>
    <row r="1268" spans="1:6" x14ac:dyDescent="0.15">
      <c r="A1268" s="2">
        <v>46089</v>
      </c>
      <c r="B1268" s="1" t="s">
        <v>2381</v>
      </c>
      <c r="C1268" s="1" t="s">
        <v>2382</v>
      </c>
      <c r="D1268" t="b">
        <f ca="1">IF(A1268="","",[1]!s_techanal_rcnthigh(B1268,$B$2,1,3))</f>
        <v>0</v>
      </c>
      <c r="E1268">
        <f ca="1">IF(A1268="","",COUNTIF(D$6:D1268,"True"))</f>
        <v>12</v>
      </c>
      <c r="F1268" t="str">
        <f t="shared" si="19"/>
        <v>002797.SZ</v>
      </c>
    </row>
    <row r="1269" spans="1:6" x14ac:dyDescent="0.15">
      <c r="A1269" s="2">
        <v>46089</v>
      </c>
      <c r="B1269" s="1" t="s">
        <v>2383</v>
      </c>
      <c r="C1269" s="1" t="s">
        <v>10167</v>
      </c>
      <c r="D1269" t="b">
        <f ca="1">IF(A1269="","",[1]!s_techanal_rcnthigh(B1269,$B$2,1,3))</f>
        <v>0</v>
      </c>
      <c r="E1269">
        <f ca="1">IF(A1269="","",COUNTIF(D$6:D1269,"True"))</f>
        <v>12</v>
      </c>
      <c r="F1269" t="str">
        <f t="shared" si="19"/>
        <v>002798.SZ</v>
      </c>
    </row>
    <row r="1270" spans="1:6" x14ac:dyDescent="0.15">
      <c r="A1270" s="2">
        <v>46089</v>
      </c>
      <c r="B1270" s="1" t="s">
        <v>2384</v>
      </c>
      <c r="C1270" s="1" t="s">
        <v>2385</v>
      </c>
      <c r="D1270" t="b">
        <f ca="1">IF(A1270="","",[1]!s_techanal_rcnthigh(B1270,$B$2,1,3))</f>
        <v>0</v>
      </c>
      <c r="E1270">
        <f ca="1">IF(A1270="","",COUNTIF(D$6:D1270,"True"))</f>
        <v>12</v>
      </c>
      <c r="F1270" t="str">
        <f t="shared" si="19"/>
        <v>002799.SZ</v>
      </c>
    </row>
    <row r="1271" spans="1:6" x14ac:dyDescent="0.15">
      <c r="A1271" s="2">
        <v>46089</v>
      </c>
      <c r="B1271" s="1" t="s">
        <v>2386</v>
      </c>
      <c r="C1271" s="1" t="s">
        <v>10168</v>
      </c>
      <c r="D1271" t="b">
        <f ca="1">IF(A1271="","",[1]!s_techanal_rcnthigh(B1271,$B$2,1,3))</f>
        <v>0</v>
      </c>
      <c r="E1271">
        <f ca="1">IF(A1271="","",COUNTIF(D$6:D1271,"True"))</f>
        <v>12</v>
      </c>
      <c r="F1271" t="str">
        <f t="shared" si="19"/>
        <v>002800.SZ</v>
      </c>
    </row>
    <row r="1272" spans="1:6" x14ac:dyDescent="0.15">
      <c r="A1272" s="2">
        <v>46089</v>
      </c>
      <c r="B1272" s="1" t="s">
        <v>2387</v>
      </c>
      <c r="C1272" s="1" t="s">
        <v>2388</v>
      </c>
      <c r="D1272" t="b">
        <f ca="1">IF(A1272="","",[1]!s_techanal_rcnthigh(B1272,$B$2,1,3))</f>
        <v>0</v>
      </c>
      <c r="E1272">
        <f ca="1">IF(A1272="","",COUNTIF(D$6:D1272,"True"))</f>
        <v>12</v>
      </c>
      <c r="F1272" t="str">
        <f t="shared" si="19"/>
        <v>002801.SZ</v>
      </c>
    </row>
    <row r="1273" spans="1:6" x14ac:dyDescent="0.15">
      <c r="A1273" s="2">
        <v>46089</v>
      </c>
      <c r="B1273" s="1" t="s">
        <v>2389</v>
      </c>
      <c r="C1273" s="1" t="s">
        <v>2390</v>
      </c>
      <c r="D1273" t="b">
        <f ca="1">IF(A1273="","",[1]!s_techanal_rcnthigh(B1273,$B$2,1,3))</f>
        <v>0</v>
      </c>
      <c r="E1273">
        <f ca="1">IF(A1273="","",COUNTIF(D$6:D1273,"True"))</f>
        <v>12</v>
      </c>
      <c r="F1273" t="str">
        <f t="shared" si="19"/>
        <v>002802.SZ</v>
      </c>
    </row>
    <row r="1274" spans="1:6" x14ac:dyDescent="0.15">
      <c r="A1274" s="2">
        <v>46089</v>
      </c>
      <c r="B1274" s="1" t="s">
        <v>2391</v>
      </c>
      <c r="C1274" s="1" t="s">
        <v>2392</v>
      </c>
      <c r="D1274" t="b">
        <f ca="1">IF(A1274="","",[1]!s_techanal_rcnthigh(B1274,$B$2,1,3))</f>
        <v>0</v>
      </c>
      <c r="E1274">
        <f ca="1">IF(A1274="","",COUNTIF(D$6:D1274,"True"))</f>
        <v>12</v>
      </c>
      <c r="F1274" t="str">
        <f t="shared" si="19"/>
        <v>002803.SZ</v>
      </c>
    </row>
    <row r="1275" spans="1:6" x14ac:dyDescent="0.15">
      <c r="A1275" s="2">
        <v>46089</v>
      </c>
      <c r="B1275" s="1" t="s">
        <v>2393</v>
      </c>
      <c r="C1275" s="1" t="s">
        <v>2394</v>
      </c>
      <c r="D1275" t="b">
        <f ca="1">IF(A1275="","",[1]!s_techanal_rcnthigh(B1275,$B$2,1,3))</f>
        <v>0</v>
      </c>
      <c r="E1275">
        <f ca="1">IF(A1275="","",COUNTIF(D$6:D1275,"True"))</f>
        <v>12</v>
      </c>
      <c r="F1275" t="str">
        <f t="shared" si="19"/>
        <v>002805.SZ</v>
      </c>
    </row>
    <row r="1276" spans="1:6" x14ac:dyDescent="0.15">
      <c r="A1276" s="2">
        <v>46089</v>
      </c>
      <c r="B1276" s="1" t="s">
        <v>2395</v>
      </c>
      <c r="C1276" s="1" t="s">
        <v>2396</v>
      </c>
      <c r="D1276" t="b">
        <f ca="1">IF(A1276="","",[1]!s_techanal_rcnthigh(B1276,$B$2,1,3))</f>
        <v>0</v>
      </c>
      <c r="E1276">
        <f ca="1">IF(A1276="","",COUNTIF(D$6:D1276,"True"))</f>
        <v>12</v>
      </c>
      <c r="F1276" t="str">
        <f t="shared" si="19"/>
        <v>002806.SZ</v>
      </c>
    </row>
    <row r="1277" spans="1:6" x14ac:dyDescent="0.15">
      <c r="A1277" s="2">
        <v>46089</v>
      </c>
      <c r="B1277" s="1" t="s">
        <v>2397</v>
      </c>
      <c r="C1277" s="1" t="s">
        <v>2398</v>
      </c>
      <c r="D1277" t="b">
        <f ca="1">IF(A1277="","",[1]!s_techanal_rcnthigh(B1277,$B$2,1,3))</f>
        <v>0</v>
      </c>
      <c r="E1277">
        <f ca="1">IF(A1277="","",COUNTIF(D$6:D1277,"True"))</f>
        <v>12</v>
      </c>
      <c r="F1277" t="str">
        <f t="shared" si="19"/>
        <v>002807.SZ</v>
      </c>
    </row>
    <row r="1278" spans="1:6" x14ac:dyDescent="0.15">
      <c r="A1278" s="2">
        <v>46089</v>
      </c>
      <c r="B1278" s="1" t="s">
        <v>2399</v>
      </c>
      <c r="C1278" s="1" t="s">
        <v>10169</v>
      </c>
      <c r="D1278" t="b">
        <f ca="1">IF(A1278="","",[1]!s_techanal_rcnthigh(B1278,$B$2,1,3))</f>
        <v>0</v>
      </c>
      <c r="E1278">
        <f ca="1">IF(A1278="","",COUNTIF(D$6:D1278,"True"))</f>
        <v>12</v>
      </c>
      <c r="F1278" t="str">
        <f t="shared" si="19"/>
        <v>002808.SZ</v>
      </c>
    </row>
    <row r="1279" spans="1:6" x14ac:dyDescent="0.15">
      <c r="A1279" s="2">
        <v>46089</v>
      </c>
      <c r="B1279" s="1" t="s">
        <v>2400</v>
      </c>
      <c r="C1279" s="1" t="s">
        <v>2401</v>
      </c>
      <c r="D1279" t="b">
        <f ca="1">IF(A1279="","",[1]!s_techanal_rcnthigh(B1279,$B$2,1,3))</f>
        <v>0</v>
      </c>
      <c r="E1279">
        <f ca="1">IF(A1279="","",COUNTIF(D$6:D1279,"True"))</f>
        <v>12</v>
      </c>
      <c r="F1279" t="str">
        <f t="shared" si="19"/>
        <v>002809.SZ</v>
      </c>
    </row>
    <row r="1280" spans="1:6" x14ac:dyDescent="0.15">
      <c r="A1280" s="2">
        <v>46089</v>
      </c>
      <c r="B1280" s="1" t="s">
        <v>2402</v>
      </c>
      <c r="C1280" s="1" t="s">
        <v>2403</v>
      </c>
      <c r="D1280" t="b">
        <f ca="1">IF(A1280="","",[1]!s_techanal_rcnthigh(B1280,$B$2,1,3))</f>
        <v>0</v>
      </c>
      <c r="E1280">
        <f ca="1">IF(A1280="","",COUNTIF(D$6:D1280,"True"))</f>
        <v>12</v>
      </c>
      <c r="F1280" t="str">
        <f t="shared" si="19"/>
        <v>002810.SZ</v>
      </c>
    </row>
    <row r="1281" spans="1:6" x14ac:dyDescent="0.15">
      <c r="A1281" s="2">
        <v>46089</v>
      </c>
      <c r="B1281" s="1" t="s">
        <v>2404</v>
      </c>
      <c r="C1281" s="1" t="s">
        <v>2405</v>
      </c>
      <c r="D1281" t="b">
        <f ca="1">IF(A1281="","",[1]!s_techanal_rcnthigh(B1281,$B$2,1,3))</f>
        <v>0</v>
      </c>
      <c r="E1281">
        <f ca="1">IF(A1281="","",COUNTIF(D$6:D1281,"True"))</f>
        <v>12</v>
      </c>
      <c r="F1281" t="str">
        <f t="shared" si="19"/>
        <v>002811.SZ</v>
      </c>
    </row>
    <row r="1282" spans="1:6" x14ac:dyDescent="0.15">
      <c r="A1282" s="2">
        <v>46089</v>
      </c>
      <c r="B1282" s="1" t="s">
        <v>2406</v>
      </c>
      <c r="C1282" s="1" t="s">
        <v>2407</v>
      </c>
      <c r="D1282" t="b">
        <f ca="1">IF(A1282="","",[1]!s_techanal_rcnthigh(B1282,$B$2,1,3))</f>
        <v>0</v>
      </c>
      <c r="E1282">
        <f ca="1">IF(A1282="","",COUNTIF(D$6:D1282,"True"))</f>
        <v>12</v>
      </c>
      <c r="F1282" t="str">
        <f t="shared" si="19"/>
        <v>002812.SZ</v>
      </c>
    </row>
    <row r="1283" spans="1:6" x14ac:dyDescent="0.15">
      <c r="A1283" s="2">
        <v>46089</v>
      </c>
      <c r="B1283" s="1" t="s">
        <v>2408</v>
      </c>
      <c r="C1283" s="1" t="s">
        <v>2409</v>
      </c>
      <c r="D1283" t="b">
        <f ca="1">IF(A1283="","",[1]!s_techanal_rcnthigh(B1283,$B$2,1,3))</f>
        <v>0</v>
      </c>
      <c r="E1283">
        <f ca="1">IF(A1283="","",COUNTIF(D$6:D1283,"True"))</f>
        <v>12</v>
      </c>
      <c r="F1283" t="str">
        <f t="shared" si="19"/>
        <v>002813.SZ</v>
      </c>
    </row>
    <row r="1284" spans="1:6" x14ac:dyDescent="0.15">
      <c r="A1284" s="2">
        <v>46089</v>
      </c>
      <c r="B1284" s="1" t="s">
        <v>2410</v>
      </c>
      <c r="C1284" s="1" t="s">
        <v>2411</v>
      </c>
      <c r="D1284" t="b">
        <f ca="1">IF(A1284="","",[1]!s_techanal_rcnthigh(B1284,$B$2,1,3))</f>
        <v>0</v>
      </c>
      <c r="E1284">
        <f ca="1">IF(A1284="","",COUNTIF(D$6:D1284,"True"))</f>
        <v>12</v>
      </c>
      <c r="F1284" t="str">
        <f t="shared" si="19"/>
        <v>002815.SZ</v>
      </c>
    </row>
    <row r="1285" spans="1:6" x14ac:dyDescent="0.15">
      <c r="A1285" s="2">
        <v>46089</v>
      </c>
      <c r="B1285" s="1" t="s">
        <v>2412</v>
      </c>
      <c r="C1285" s="1" t="s">
        <v>2413</v>
      </c>
      <c r="D1285" t="b">
        <f ca="1">IF(A1285="","",[1]!s_techanal_rcnthigh(B1285,$B$2,1,3))</f>
        <v>0</v>
      </c>
      <c r="E1285">
        <f ca="1">IF(A1285="","",COUNTIF(D$6:D1285,"True"))</f>
        <v>12</v>
      </c>
      <c r="F1285" t="str">
        <f t="shared" si="19"/>
        <v>002816.SZ</v>
      </c>
    </row>
    <row r="1286" spans="1:6" x14ac:dyDescent="0.15">
      <c r="A1286" s="2">
        <v>46089</v>
      </c>
      <c r="B1286" s="1" t="s">
        <v>2414</v>
      </c>
      <c r="C1286" s="1" t="s">
        <v>2415</v>
      </c>
      <c r="D1286" t="b">
        <f ca="1">IF(A1286="","",[1]!s_techanal_rcnthigh(B1286,$B$2,1,3))</f>
        <v>0</v>
      </c>
      <c r="E1286">
        <f ca="1">IF(A1286="","",COUNTIF(D$6:D1286,"True"))</f>
        <v>12</v>
      </c>
      <c r="F1286" t="str">
        <f t="shared" ref="F1286:F1349" si="20">IF(B1286="","",B1286)</f>
        <v>002817.SZ</v>
      </c>
    </row>
    <row r="1287" spans="1:6" x14ac:dyDescent="0.15">
      <c r="A1287" s="2">
        <v>46089</v>
      </c>
      <c r="B1287" s="1" t="s">
        <v>2416</v>
      </c>
      <c r="C1287" s="1" t="s">
        <v>2417</v>
      </c>
      <c r="D1287" t="b">
        <f ca="1">IF(A1287="","",[1]!s_techanal_rcnthigh(B1287,$B$2,1,3))</f>
        <v>0</v>
      </c>
      <c r="E1287">
        <f ca="1">IF(A1287="","",COUNTIF(D$6:D1287,"True"))</f>
        <v>12</v>
      </c>
      <c r="F1287" t="str">
        <f t="shared" si="20"/>
        <v>002818.SZ</v>
      </c>
    </row>
    <row r="1288" spans="1:6" x14ac:dyDescent="0.15">
      <c r="A1288" s="2">
        <v>46089</v>
      </c>
      <c r="B1288" s="1" t="s">
        <v>2418</v>
      </c>
      <c r="C1288" s="1" t="s">
        <v>2419</v>
      </c>
      <c r="D1288" t="b">
        <f ca="1">IF(A1288="","",[1]!s_techanal_rcnthigh(B1288,$B$2,1,3))</f>
        <v>0</v>
      </c>
      <c r="E1288">
        <f ca="1">IF(A1288="","",COUNTIF(D$6:D1288,"True"))</f>
        <v>12</v>
      </c>
      <c r="F1288" t="str">
        <f t="shared" si="20"/>
        <v>002819.SZ</v>
      </c>
    </row>
    <row r="1289" spans="1:6" x14ac:dyDescent="0.15">
      <c r="A1289" s="2">
        <v>46089</v>
      </c>
      <c r="B1289" s="1" t="s">
        <v>2420</v>
      </c>
      <c r="C1289" s="1" t="s">
        <v>2421</v>
      </c>
      <c r="D1289" t="b">
        <f ca="1">IF(A1289="","",[1]!s_techanal_rcnthigh(B1289,$B$2,1,3))</f>
        <v>0</v>
      </c>
      <c r="E1289">
        <f ca="1">IF(A1289="","",COUNTIF(D$6:D1289,"True"))</f>
        <v>12</v>
      </c>
      <c r="F1289" t="str">
        <f t="shared" si="20"/>
        <v>002820.SZ</v>
      </c>
    </row>
    <row r="1290" spans="1:6" x14ac:dyDescent="0.15">
      <c r="A1290" s="2">
        <v>46089</v>
      </c>
      <c r="B1290" s="1" t="s">
        <v>2422</v>
      </c>
      <c r="C1290" s="1" t="s">
        <v>2423</v>
      </c>
      <c r="D1290" t="b">
        <f ca="1">IF(A1290="","",[1]!s_techanal_rcnthigh(B1290,$B$2,1,3))</f>
        <v>0</v>
      </c>
      <c r="E1290">
        <f ca="1">IF(A1290="","",COUNTIF(D$6:D1290,"True"))</f>
        <v>12</v>
      </c>
      <c r="F1290" t="str">
        <f t="shared" si="20"/>
        <v>002821.SZ</v>
      </c>
    </row>
    <row r="1291" spans="1:6" x14ac:dyDescent="0.15">
      <c r="A1291" s="2">
        <v>46089</v>
      </c>
      <c r="B1291" s="1" t="s">
        <v>2424</v>
      </c>
      <c r="C1291" s="1" t="s">
        <v>2425</v>
      </c>
      <c r="D1291" t="b">
        <f ca="1">IF(A1291="","",[1]!s_techanal_rcnthigh(B1291,$B$2,1,3))</f>
        <v>0</v>
      </c>
      <c r="E1291">
        <f ca="1">IF(A1291="","",COUNTIF(D$6:D1291,"True"))</f>
        <v>12</v>
      </c>
      <c r="F1291" t="str">
        <f t="shared" si="20"/>
        <v>002822.SZ</v>
      </c>
    </row>
    <row r="1292" spans="1:6" x14ac:dyDescent="0.15">
      <c r="A1292" s="2">
        <v>46089</v>
      </c>
      <c r="B1292" s="1" t="s">
        <v>2426</v>
      </c>
      <c r="C1292" s="1" t="s">
        <v>2427</v>
      </c>
      <c r="D1292" t="b">
        <f ca="1">IF(A1292="","",[1]!s_techanal_rcnthigh(B1292,$B$2,1,3))</f>
        <v>0</v>
      </c>
      <c r="E1292">
        <f ca="1">IF(A1292="","",COUNTIF(D$6:D1292,"True"))</f>
        <v>12</v>
      </c>
      <c r="F1292" t="str">
        <f t="shared" si="20"/>
        <v>002823.SZ</v>
      </c>
    </row>
    <row r="1293" spans="1:6" x14ac:dyDescent="0.15">
      <c r="A1293" s="2">
        <v>46089</v>
      </c>
      <c r="B1293" s="1" t="s">
        <v>2428</v>
      </c>
      <c r="C1293" s="1" t="s">
        <v>2429</v>
      </c>
      <c r="D1293" t="b">
        <f ca="1">IF(A1293="","",[1]!s_techanal_rcnthigh(B1293,$B$2,1,3))</f>
        <v>0</v>
      </c>
      <c r="E1293">
        <f ca="1">IF(A1293="","",COUNTIF(D$6:D1293,"True"))</f>
        <v>12</v>
      </c>
      <c r="F1293" t="str">
        <f t="shared" si="20"/>
        <v>002824.SZ</v>
      </c>
    </row>
    <row r="1294" spans="1:6" x14ac:dyDescent="0.15">
      <c r="A1294" s="2">
        <v>46089</v>
      </c>
      <c r="B1294" s="1" t="s">
        <v>2430</v>
      </c>
      <c r="C1294" s="1" t="s">
        <v>2431</v>
      </c>
      <c r="D1294" t="b">
        <f ca="1">IF(A1294="","",[1]!s_techanal_rcnthigh(B1294,$B$2,1,3))</f>
        <v>0</v>
      </c>
      <c r="E1294">
        <f ca="1">IF(A1294="","",COUNTIF(D$6:D1294,"True"))</f>
        <v>12</v>
      </c>
      <c r="F1294" t="str">
        <f t="shared" si="20"/>
        <v>002825.SZ</v>
      </c>
    </row>
    <row r="1295" spans="1:6" x14ac:dyDescent="0.15">
      <c r="A1295" s="2">
        <v>46089</v>
      </c>
      <c r="B1295" s="1" t="s">
        <v>2432</v>
      </c>
      <c r="C1295" s="1" t="s">
        <v>2433</v>
      </c>
      <c r="D1295" t="b">
        <f ca="1">IF(A1295="","",[1]!s_techanal_rcnthigh(B1295,$B$2,1,3))</f>
        <v>0</v>
      </c>
      <c r="E1295">
        <f ca="1">IF(A1295="","",COUNTIF(D$6:D1295,"True"))</f>
        <v>12</v>
      </c>
      <c r="F1295" t="str">
        <f t="shared" si="20"/>
        <v>002826.SZ</v>
      </c>
    </row>
    <row r="1296" spans="1:6" x14ac:dyDescent="0.15">
      <c r="A1296" s="2">
        <v>46089</v>
      </c>
      <c r="B1296" s="1" t="s">
        <v>2434</v>
      </c>
      <c r="C1296" s="1" t="s">
        <v>2435</v>
      </c>
      <c r="D1296" t="b">
        <f ca="1">IF(A1296="","",[1]!s_techanal_rcnthigh(B1296,$B$2,1,3))</f>
        <v>0</v>
      </c>
      <c r="E1296">
        <f ca="1">IF(A1296="","",COUNTIF(D$6:D1296,"True"))</f>
        <v>12</v>
      </c>
      <c r="F1296" t="str">
        <f t="shared" si="20"/>
        <v>002827.SZ</v>
      </c>
    </row>
    <row r="1297" spans="1:6" x14ac:dyDescent="0.15">
      <c r="A1297" s="2">
        <v>46089</v>
      </c>
      <c r="B1297" s="1" t="s">
        <v>2436</v>
      </c>
      <c r="C1297" s="1" t="s">
        <v>2437</v>
      </c>
      <c r="D1297" t="b">
        <f ca="1">IF(A1297="","",[1]!s_techanal_rcnthigh(B1297,$B$2,1,3))</f>
        <v>0</v>
      </c>
      <c r="E1297">
        <f ca="1">IF(A1297="","",COUNTIF(D$6:D1297,"True"))</f>
        <v>12</v>
      </c>
      <c r="F1297" t="str">
        <f t="shared" si="20"/>
        <v>002828.SZ</v>
      </c>
    </row>
    <row r="1298" spans="1:6" x14ac:dyDescent="0.15">
      <c r="A1298" s="2">
        <v>46089</v>
      </c>
      <c r="B1298" s="1" t="s">
        <v>2438</v>
      </c>
      <c r="C1298" s="1" t="s">
        <v>2439</v>
      </c>
      <c r="D1298" t="b">
        <f ca="1">IF(A1298="","",[1]!s_techanal_rcnthigh(B1298,$B$2,1,3))</f>
        <v>0</v>
      </c>
      <c r="E1298">
        <f ca="1">IF(A1298="","",COUNTIF(D$6:D1298,"True"))</f>
        <v>12</v>
      </c>
      <c r="F1298" t="str">
        <f t="shared" si="20"/>
        <v>002829.SZ</v>
      </c>
    </row>
    <row r="1299" spans="1:6" x14ac:dyDescent="0.15">
      <c r="A1299" s="2">
        <v>46089</v>
      </c>
      <c r="B1299" s="1" t="s">
        <v>2440</v>
      </c>
      <c r="C1299" s="1" t="s">
        <v>2441</v>
      </c>
      <c r="D1299" t="b">
        <f ca="1">IF(A1299="","",[1]!s_techanal_rcnthigh(B1299,$B$2,1,3))</f>
        <v>0</v>
      </c>
      <c r="E1299">
        <f ca="1">IF(A1299="","",COUNTIF(D$6:D1299,"True"))</f>
        <v>12</v>
      </c>
      <c r="F1299" t="str">
        <f t="shared" si="20"/>
        <v>002830.SZ</v>
      </c>
    </row>
    <row r="1300" spans="1:6" x14ac:dyDescent="0.15">
      <c r="A1300" s="2">
        <v>46089</v>
      </c>
      <c r="B1300" s="1" t="s">
        <v>2442</v>
      </c>
      <c r="C1300" s="1" t="s">
        <v>2443</v>
      </c>
      <c r="D1300" t="b">
        <f ca="1">IF(A1300="","",[1]!s_techanal_rcnthigh(B1300,$B$2,1,3))</f>
        <v>0</v>
      </c>
      <c r="E1300">
        <f ca="1">IF(A1300="","",COUNTIF(D$6:D1300,"True"))</f>
        <v>12</v>
      </c>
      <c r="F1300" t="str">
        <f t="shared" si="20"/>
        <v>002831.SZ</v>
      </c>
    </row>
    <row r="1301" spans="1:6" x14ac:dyDescent="0.15">
      <c r="A1301" s="2">
        <v>46089</v>
      </c>
      <c r="B1301" s="1" t="s">
        <v>2444</v>
      </c>
      <c r="C1301" s="1" t="s">
        <v>2445</v>
      </c>
      <c r="D1301" t="b">
        <f ca="1">IF(A1301="","",[1]!s_techanal_rcnthigh(B1301,$B$2,1,3))</f>
        <v>0</v>
      </c>
      <c r="E1301">
        <f ca="1">IF(A1301="","",COUNTIF(D$6:D1301,"True"))</f>
        <v>12</v>
      </c>
      <c r="F1301" t="str">
        <f t="shared" si="20"/>
        <v>002832.SZ</v>
      </c>
    </row>
    <row r="1302" spans="1:6" x14ac:dyDescent="0.15">
      <c r="A1302" s="2">
        <v>46089</v>
      </c>
      <c r="B1302" s="1" t="s">
        <v>2446</v>
      </c>
      <c r="C1302" s="1" t="s">
        <v>2447</v>
      </c>
      <c r="D1302" t="b">
        <f ca="1">IF(A1302="","",[1]!s_techanal_rcnthigh(B1302,$B$2,1,3))</f>
        <v>0</v>
      </c>
      <c r="E1302">
        <f ca="1">IF(A1302="","",COUNTIF(D$6:D1302,"True"))</f>
        <v>12</v>
      </c>
      <c r="F1302" t="str">
        <f t="shared" si="20"/>
        <v>002833.SZ</v>
      </c>
    </row>
    <row r="1303" spans="1:6" x14ac:dyDescent="0.15">
      <c r="A1303" s="2">
        <v>46089</v>
      </c>
      <c r="B1303" s="1" t="s">
        <v>2448</v>
      </c>
      <c r="C1303" s="1" t="s">
        <v>2449</v>
      </c>
      <c r="D1303" t="b">
        <f ca="1">IF(A1303="","",[1]!s_techanal_rcnthigh(B1303,$B$2,1,3))</f>
        <v>0</v>
      </c>
      <c r="E1303">
        <f ca="1">IF(A1303="","",COUNTIF(D$6:D1303,"True"))</f>
        <v>12</v>
      </c>
      <c r="F1303" t="str">
        <f t="shared" si="20"/>
        <v>002835.SZ</v>
      </c>
    </row>
    <row r="1304" spans="1:6" x14ac:dyDescent="0.15">
      <c r="A1304" s="2">
        <v>46089</v>
      </c>
      <c r="B1304" s="1" t="s">
        <v>2450</v>
      </c>
      <c r="C1304" s="1" t="s">
        <v>2451</v>
      </c>
      <c r="D1304" t="b">
        <f ca="1">IF(A1304="","",[1]!s_techanal_rcnthigh(B1304,$B$2,1,3))</f>
        <v>0</v>
      </c>
      <c r="E1304">
        <f ca="1">IF(A1304="","",COUNTIF(D$6:D1304,"True"))</f>
        <v>12</v>
      </c>
      <c r="F1304" t="str">
        <f t="shared" si="20"/>
        <v>002836.SZ</v>
      </c>
    </row>
    <row r="1305" spans="1:6" x14ac:dyDescent="0.15">
      <c r="A1305" s="2">
        <v>46089</v>
      </c>
      <c r="B1305" s="1" t="s">
        <v>2452</v>
      </c>
      <c r="C1305" s="1" t="s">
        <v>2453</v>
      </c>
      <c r="D1305" t="b">
        <f ca="1">IF(A1305="","",[1]!s_techanal_rcnthigh(B1305,$B$2,1,3))</f>
        <v>0</v>
      </c>
      <c r="E1305">
        <f ca="1">IF(A1305="","",COUNTIF(D$6:D1305,"True"))</f>
        <v>12</v>
      </c>
      <c r="F1305" t="str">
        <f t="shared" si="20"/>
        <v>002837.SZ</v>
      </c>
    </row>
    <row r="1306" spans="1:6" x14ac:dyDescent="0.15">
      <c r="A1306" s="2">
        <v>46089</v>
      </c>
      <c r="B1306" s="1" t="s">
        <v>2454</v>
      </c>
      <c r="C1306" s="1" t="s">
        <v>2455</v>
      </c>
      <c r="D1306" t="b">
        <f ca="1">IF(A1306="","",[1]!s_techanal_rcnthigh(B1306,$B$2,1,3))</f>
        <v>0</v>
      </c>
      <c r="E1306">
        <f ca="1">IF(A1306="","",COUNTIF(D$6:D1306,"True"))</f>
        <v>12</v>
      </c>
      <c r="F1306" t="str">
        <f t="shared" si="20"/>
        <v>002838.SZ</v>
      </c>
    </row>
    <row r="1307" spans="1:6" x14ac:dyDescent="0.15">
      <c r="A1307" s="2">
        <v>46089</v>
      </c>
      <c r="B1307" s="1" t="s">
        <v>2456</v>
      </c>
      <c r="C1307" s="1" t="s">
        <v>2457</v>
      </c>
      <c r="D1307" t="b">
        <f ca="1">IF(A1307="","",[1]!s_techanal_rcnthigh(B1307,$B$2,1,3))</f>
        <v>0</v>
      </c>
      <c r="E1307">
        <f ca="1">IF(A1307="","",COUNTIF(D$6:D1307,"True"))</f>
        <v>12</v>
      </c>
      <c r="F1307" t="str">
        <f t="shared" si="20"/>
        <v>002839.SZ</v>
      </c>
    </row>
    <row r="1308" spans="1:6" x14ac:dyDescent="0.15">
      <c r="A1308" s="2">
        <v>46089</v>
      </c>
      <c r="B1308" s="1" t="s">
        <v>2458</v>
      </c>
      <c r="C1308" s="1" t="s">
        <v>2459</v>
      </c>
      <c r="D1308" t="b">
        <f ca="1">IF(A1308="","",[1]!s_techanal_rcnthigh(B1308,$B$2,1,3))</f>
        <v>0</v>
      </c>
      <c r="E1308">
        <f ca="1">IF(A1308="","",COUNTIF(D$6:D1308,"True"))</f>
        <v>12</v>
      </c>
      <c r="F1308" t="str">
        <f t="shared" si="20"/>
        <v>002840.SZ</v>
      </c>
    </row>
    <row r="1309" spans="1:6" x14ac:dyDescent="0.15">
      <c r="A1309" s="2">
        <v>46089</v>
      </c>
      <c r="B1309" s="1" t="s">
        <v>2460</v>
      </c>
      <c r="C1309" s="1" t="s">
        <v>2461</v>
      </c>
      <c r="D1309" t="b">
        <f ca="1">IF(A1309="","",[1]!s_techanal_rcnthigh(B1309,$B$2,1,3))</f>
        <v>0</v>
      </c>
      <c r="E1309">
        <f ca="1">IF(A1309="","",COUNTIF(D$6:D1309,"True"))</f>
        <v>12</v>
      </c>
      <c r="F1309" t="str">
        <f t="shared" si="20"/>
        <v>002841.SZ</v>
      </c>
    </row>
    <row r="1310" spans="1:6" x14ac:dyDescent="0.15">
      <c r="A1310" s="2">
        <v>46089</v>
      </c>
      <c r="B1310" s="1" t="s">
        <v>2462</v>
      </c>
      <c r="C1310" s="1" t="s">
        <v>2463</v>
      </c>
      <c r="D1310" t="b">
        <f ca="1">IF(A1310="","",[1]!s_techanal_rcnthigh(B1310,$B$2,1,3))</f>
        <v>0</v>
      </c>
      <c r="E1310">
        <f ca="1">IF(A1310="","",COUNTIF(D$6:D1310,"True"))</f>
        <v>12</v>
      </c>
      <c r="F1310" t="str">
        <f t="shared" si="20"/>
        <v>002842.SZ</v>
      </c>
    </row>
    <row r="1311" spans="1:6" x14ac:dyDescent="0.15">
      <c r="A1311" s="2">
        <v>46089</v>
      </c>
      <c r="B1311" s="1" t="s">
        <v>2464</v>
      </c>
      <c r="C1311" s="1" t="s">
        <v>2465</v>
      </c>
      <c r="D1311" t="b">
        <f ca="1">IF(A1311="","",[1]!s_techanal_rcnthigh(B1311,$B$2,1,3))</f>
        <v>0</v>
      </c>
      <c r="E1311">
        <f ca="1">IF(A1311="","",COUNTIF(D$6:D1311,"True"))</f>
        <v>12</v>
      </c>
      <c r="F1311" t="str">
        <f t="shared" si="20"/>
        <v>002843.SZ</v>
      </c>
    </row>
    <row r="1312" spans="1:6" x14ac:dyDescent="0.15">
      <c r="A1312" s="2">
        <v>46089</v>
      </c>
      <c r="B1312" s="1" t="s">
        <v>2466</v>
      </c>
      <c r="C1312" s="1" t="s">
        <v>2467</v>
      </c>
      <c r="D1312" t="b">
        <f ca="1">IF(A1312="","",[1]!s_techanal_rcnthigh(B1312,$B$2,1,3))</f>
        <v>0</v>
      </c>
      <c r="E1312">
        <f ca="1">IF(A1312="","",COUNTIF(D$6:D1312,"True"))</f>
        <v>12</v>
      </c>
      <c r="F1312" t="str">
        <f t="shared" si="20"/>
        <v>002845.SZ</v>
      </c>
    </row>
    <row r="1313" spans="1:6" x14ac:dyDescent="0.15">
      <c r="A1313" s="2">
        <v>46089</v>
      </c>
      <c r="B1313" s="1" t="s">
        <v>2468</v>
      </c>
      <c r="C1313" s="1" t="s">
        <v>2469</v>
      </c>
      <c r="D1313" t="b">
        <f ca="1">IF(A1313="","",[1]!s_techanal_rcnthigh(B1313,$B$2,1,3))</f>
        <v>0</v>
      </c>
      <c r="E1313">
        <f ca="1">IF(A1313="","",COUNTIF(D$6:D1313,"True"))</f>
        <v>12</v>
      </c>
      <c r="F1313" t="str">
        <f t="shared" si="20"/>
        <v>002846.SZ</v>
      </c>
    </row>
    <row r="1314" spans="1:6" x14ac:dyDescent="0.15">
      <c r="A1314" s="2">
        <v>46089</v>
      </c>
      <c r="B1314" s="1" t="s">
        <v>2470</v>
      </c>
      <c r="C1314" s="1" t="s">
        <v>2471</v>
      </c>
      <c r="D1314" t="b">
        <f ca="1">IF(A1314="","",[1]!s_techanal_rcnthigh(B1314,$B$2,1,3))</f>
        <v>0</v>
      </c>
      <c r="E1314">
        <f ca="1">IF(A1314="","",COUNTIF(D$6:D1314,"True"))</f>
        <v>12</v>
      </c>
      <c r="F1314" t="str">
        <f t="shared" si="20"/>
        <v>002847.SZ</v>
      </c>
    </row>
    <row r="1315" spans="1:6" x14ac:dyDescent="0.15">
      <c r="A1315" s="2">
        <v>46089</v>
      </c>
      <c r="B1315" s="1" t="s">
        <v>2472</v>
      </c>
      <c r="C1315" s="1" t="s">
        <v>10170</v>
      </c>
      <c r="D1315" t="b">
        <f ca="1">IF(A1315="","",[1]!s_techanal_rcnthigh(B1315,$B$2,1,3))</f>
        <v>0</v>
      </c>
      <c r="E1315">
        <f ca="1">IF(A1315="","",COUNTIF(D$6:D1315,"True"))</f>
        <v>12</v>
      </c>
      <c r="F1315" t="str">
        <f t="shared" si="20"/>
        <v>002848.SZ</v>
      </c>
    </row>
    <row r="1316" spans="1:6" x14ac:dyDescent="0.15">
      <c r="A1316" s="2">
        <v>46089</v>
      </c>
      <c r="B1316" s="1" t="s">
        <v>2473</v>
      </c>
      <c r="C1316" s="1" t="s">
        <v>2474</v>
      </c>
      <c r="D1316" t="b">
        <f ca="1">IF(A1316="","",[1]!s_techanal_rcnthigh(B1316,$B$2,1,3))</f>
        <v>0</v>
      </c>
      <c r="E1316">
        <f ca="1">IF(A1316="","",COUNTIF(D$6:D1316,"True"))</f>
        <v>12</v>
      </c>
      <c r="F1316" t="str">
        <f t="shared" si="20"/>
        <v>002849.SZ</v>
      </c>
    </row>
    <row r="1317" spans="1:6" x14ac:dyDescent="0.15">
      <c r="A1317" s="2">
        <v>46089</v>
      </c>
      <c r="B1317" s="1" t="s">
        <v>2475</v>
      </c>
      <c r="C1317" s="1" t="s">
        <v>2476</v>
      </c>
      <c r="D1317" t="b">
        <f ca="1">IF(A1317="","",[1]!s_techanal_rcnthigh(B1317,$B$2,1,3))</f>
        <v>0</v>
      </c>
      <c r="E1317">
        <f ca="1">IF(A1317="","",COUNTIF(D$6:D1317,"True"))</f>
        <v>12</v>
      </c>
      <c r="F1317" t="str">
        <f t="shared" si="20"/>
        <v>002850.SZ</v>
      </c>
    </row>
    <row r="1318" spans="1:6" x14ac:dyDescent="0.15">
      <c r="A1318" s="2">
        <v>46089</v>
      </c>
      <c r="B1318" s="1" t="s">
        <v>2477</v>
      </c>
      <c r="C1318" s="1" t="s">
        <v>2478</v>
      </c>
      <c r="D1318" t="b">
        <f ca="1">IF(A1318="","",[1]!s_techanal_rcnthigh(B1318,$B$2,1,3))</f>
        <v>0</v>
      </c>
      <c r="E1318">
        <f ca="1">IF(A1318="","",COUNTIF(D$6:D1318,"True"))</f>
        <v>12</v>
      </c>
      <c r="F1318" t="str">
        <f t="shared" si="20"/>
        <v>002851.SZ</v>
      </c>
    </row>
    <row r="1319" spans="1:6" x14ac:dyDescent="0.15">
      <c r="A1319" s="2">
        <v>46089</v>
      </c>
      <c r="B1319" s="1" t="s">
        <v>2479</v>
      </c>
      <c r="C1319" s="1" t="s">
        <v>2480</v>
      </c>
      <c r="D1319" t="b">
        <f ca="1">IF(A1319="","",[1]!s_techanal_rcnthigh(B1319,$B$2,1,3))</f>
        <v>0</v>
      </c>
      <c r="E1319">
        <f ca="1">IF(A1319="","",COUNTIF(D$6:D1319,"True"))</f>
        <v>12</v>
      </c>
      <c r="F1319" t="str">
        <f t="shared" si="20"/>
        <v>002852.SZ</v>
      </c>
    </row>
    <row r="1320" spans="1:6" x14ac:dyDescent="0.15">
      <c r="A1320" s="2">
        <v>46089</v>
      </c>
      <c r="B1320" s="1" t="s">
        <v>2481</v>
      </c>
      <c r="C1320" s="1" t="s">
        <v>2482</v>
      </c>
      <c r="D1320" t="b">
        <f ca="1">IF(A1320="","",[1]!s_techanal_rcnthigh(B1320,$B$2,1,3))</f>
        <v>0</v>
      </c>
      <c r="E1320">
        <f ca="1">IF(A1320="","",COUNTIF(D$6:D1320,"True"))</f>
        <v>12</v>
      </c>
      <c r="F1320" t="str">
        <f t="shared" si="20"/>
        <v>002853.SZ</v>
      </c>
    </row>
    <row r="1321" spans="1:6" x14ac:dyDescent="0.15">
      <c r="A1321" s="2">
        <v>46089</v>
      </c>
      <c r="B1321" s="1" t="s">
        <v>2483</v>
      </c>
      <c r="C1321" s="1" t="s">
        <v>2484</v>
      </c>
      <c r="D1321" t="b">
        <f ca="1">IF(A1321="","",[1]!s_techanal_rcnthigh(B1321,$B$2,1,3))</f>
        <v>0</v>
      </c>
      <c r="E1321">
        <f ca="1">IF(A1321="","",COUNTIF(D$6:D1321,"True"))</f>
        <v>12</v>
      </c>
      <c r="F1321" t="str">
        <f t="shared" si="20"/>
        <v>002855.SZ</v>
      </c>
    </row>
    <row r="1322" spans="1:6" x14ac:dyDescent="0.15">
      <c r="A1322" s="2">
        <v>46089</v>
      </c>
      <c r="B1322" s="1" t="s">
        <v>2485</v>
      </c>
      <c r="C1322" s="1" t="s">
        <v>2486</v>
      </c>
      <c r="D1322" t="b">
        <f ca="1">IF(A1322="","",[1]!s_techanal_rcnthigh(B1322,$B$2,1,3))</f>
        <v>0</v>
      </c>
      <c r="E1322">
        <f ca="1">IF(A1322="","",COUNTIF(D$6:D1322,"True"))</f>
        <v>12</v>
      </c>
      <c r="F1322" t="str">
        <f t="shared" si="20"/>
        <v>002856.SZ</v>
      </c>
    </row>
    <row r="1323" spans="1:6" x14ac:dyDescent="0.15">
      <c r="A1323" s="2">
        <v>46089</v>
      </c>
      <c r="B1323" s="1" t="s">
        <v>2487</v>
      </c>
      <c r="C1323" s="1" t="s">
        <v>2488</v>
      </c>
      <c r="D1323" t="b">
        <f ca="1">IF(A1323="","",[1]!s_techanal_rcnthigh(B1323,$B$2,1,3))</f>
        <v>0</v>
      </c>
      <c r="E1323">
        <f ca="1">IF(A1323="","",COUNTIF(D$6:D1323,"True"))</f>
        <v>12</v>
      </c>
      <c r="F1323" t="str">
        <f t="shared" si="20"/>
        <v>002857.SZ</v>
      </c>
    </row>
    <row r="1324" spans="1:6" x14ac:dyDescent="0.15">
      <c r="A1324" s="2">
        <v>46089</v>
      </c>
      <c r="B1324" s="1" t="s">
        <v>2489</v>
      </c>
      <c r="C1324" s="1" t="s">
        <v>2490</v>
      </c>
      <c r="D1324" t="b">
        <f ca="1">IF(A1324="","",[1]!s_techanal_rcnthigh(B1324,$B$2,1,3))</f>
        <v>0</v>
      </c>
      <c r="E1324">
        <f ca="1">IF(A1324="","",COUNTIF(D$6:D1324,"True"))</f>
        <v>12</v>
      </c>
      <c r="F1324" t="str">
        <f t="shared" si="20"/>
        <v>002858.SZ</v>
      </c>
    </row>
    <row r="1325" spans="1:6" x14ac:dyDescent="0.15">
      <c r="A1325" s="2">
        <v>46089</v>
      </c>
      <c r="B1325" s="1" t="s">
        <v>2491</v>
      </c>
      <c r="C1325" s="1" t="s">
        <v>2492</v>
      </c>
      <c r="D1325" t="b">
        <f ca="1">IF(A1325="","",[1]!s_techanal_rcnthigh(B1325,$B$2,1,3))</f>
        <v>0</v>
      </c>
      <c r="E1325">
        <f ca="1">IF(A1325="","",COUNTIF(D$6:D1325,"True"))</f>
        <v>12</v>
      </c>
      <c r="F1325" t="str">
        <f t="shared" si="20"/>
        <v>002859.SZ</v>
      </c>
    </row>
    <row r="1326" spans="1:6" x14ac:dyDescent="0.15">
      <c r="A1326" s="2">
        <v>46089</v>
      </c>
      <c r="B1326" s="1" t="s">
        <v>2493</v>
      </c>
      <c r="C1326" s="1" t="s">
        <v>2494</v>
      </c>
      <c r="D1326" t="b">
        <f ca="1">IF(A1326="","",[1]!s_techanal_rcnthigh(B1326,$B$2,1,3))</f>
        <v>0</v>
      </c>
      <c r="E1326">
        <f ca="1">IF(A1326="","",COUNTIF(D$6:D1326,"True"))</f>
        <v>12</v>
      </c>
      <c r="F1326" t="str">
        <f t="shared" si="20"/>
        <v>002860.SZ</v>
      </c>
    </row>
    <row r="1327" spans="1:6" x14ac:dyDescent="0.15">
      <c r="A1327" s="2">
        <v>46089</v>
      </c>
      <c r="B1327" s="1" t="s">
        <v>2495</v>
      </c>
      <c r="C1327" s="1" t="s">
        <v>2496</v>
      </c>
      <c r="D1327" t="b">
        <f ca="1">IF(A1327="","",[1]!s_techanal_rcnthigh(B1327,$B$2,1,3))</f>
        <v>0</v>
      </c>
      <c r="E1327">
        <f ca="1">IF(A1327="","",COUNTIF(D$6:D1327,"True"))</f>
        <v>12</v>
      </c>
      <c r="F1327" t="str">
        <f t="shared" si="20"/>
        <v>002861.SZ</v>
      </c>
    </row>
    <row r="1328" spans="1:6" x14ac:dyDescent="0.15">
      <c r="A1328" s="2">
        <v>46089</v>
      </c>
      <c r="B1328" s="1" t="s">
        <v>2497</v>
      </c>
      <c r="C1328" s="1" t="s">
        <v>2498</v>
      </c>
      <c r="D1328" t="b">
        <f ca="1">IF(A1328="","",[1]!s_techanal_rcnthigh(B1328,$B$2,1,3))</f>
        <v>0</v>
      </c>
      <c r="E1328">
        <f ca="1">IF(A1328="","",COUNTIF(D$6:D1328,"True"))</f>
        <v>12</v>
      </c>
      <c r="F1328" t="str">
        <f t="shared" si="20"/>
        <v>002862.SZ</v>
      </c>
    </row>
    <row r="1329" spans="1:6" x14ac:dyDescent="0.15">
      <c r="A1329" s="2">
        <v>46089</v>
      </c>
      <c r="B1329" s="1" t="s">
        <v>2499</v>
      </c>
      <c r="C1329" s="1" t="s">
        <v>2500</v>
      </c>
      <c r="D1329" t="b">
        <f ca="1">IF(A1329="","",[1]!s_techanal_rcnthigh(B1329,$B$2,1,3))</f>
        <v>0</v>
      </c>
      <c r="E1329">
        <f ca="1">IF(A1329="","",COUNTIF(D$6:D1329,"True"))</f>
        <v>12</v>
      </c>
      <c r="F1329" t="str">
        <f t="shared" si="20"/>
        <v>002863.SZ</v>
      </c>
    </row>
    <row r="1330" spans="1:6" x14ac:dyDescent="0.15">
      <c r="A1330" s="2">
        <v>46089</v>
      </c>
      <c r="B1330" s="1" t="s">
        <v>2501</v>
      </c>
      <c r="C1330" s="1" t="s">
        <v>2502</v>
      </c>
      <c r="D1330" t="b">
        <f ca="1">IF(A1330="","",[1]!s_techanal_rcnthigh(B1330,$B$2,1,3))</f>
        <v>0</v>
      </c>
      <c r="E1330">
        <f ca="1">IF(A1330="","",COUNTIF(D$6:D1330,"True"))</f>
        <v>12</v>
      </c>
      <c r="F1330" t="str">
        <f t="shared" si="20"/>
        <v>002864.SZ</v>
      </c>
    </row>
    <row r="1331" spans="1:6" x14ac:dyDescent="0.15">
      <c r="A1331" s="2">
        <v>46089</v>
      </c>
      <c r="B1331" s="1" t="s">
        <v>2503</v>
      </c>
      <c r="C1331" s="1" t="s">
        <v>2504</v>
      </c>
      <c r="D1331" t="b">
        <f ca="1">IF(A1331="","",[1]!s_techanal_rcnthigh(B1331,$B$2,1,3))</f>
        <v>0</v>
      </c>
      <c r="E1331">
        <f ca="1">IF(A1331="","",COUNTIF(D$6:D1331,"True"))</f>
        <v>12</v>
      </c>
      <c r="F1331" t="str">
        <f t="shared" si="20"/>
        <v>002865.SZ</v>
      </c>
    </row>
    <row r="1332" spans="1:6" x14ac:dyDescent="0.15">
      <c r="A1332" s="2">
        <v>46089</v>
      </c>
      <c r="B1332" s="1" t="s">
        <v>2505</v>
      </c>
      <c r="C1332" s="1" t="s">
        <v>2506</v>
      </c>
      <c r="D1332" t="b">
        <f ca="1">IF(A1332="","",[1]!s_techanal_rcnthigh(B1332,$B$2,1,3))</f>
        <v>0</v>
      </c>
      <c r="E1332">
        <f ca="1">IF(A1332="","",COUNTIF(D$6:D1332,"True"))</f>
        <v>12</v>
      </c>
      <c r="F1332" t="str">
        <f t="shared" si="20"/>
        <v>002866.SZ</v>
      </c>
    </row>
    <row r="1333" spans="1:6" x14ac:dyDescent="0.15">
      <c r="A1333" s="2">
        <v>46089</v>
      </c>
      <c r="B1333" s="1" t="s">
        <v>2507</v>
      </c>
      <c r="C1333" s="1" t="s">
        <v>2508</v>
      </c>
      <c r="D1333" t="b">
        <f ca="1">IF(A1333="","",[1]!s_techanal_rcnthigh(B1333,$B$2,1,3))</f>
        <v>0</v>
      </c>
      <c r="E1333">
        <f ca="1">IF(A1333="","",COUNTIF(D$6:D1333,"True"))</f>
        <v>12</v>
      </c>
      <c r="F1333" t="str">
        <f t="shared" si="20"/>
        <v>002867.SZ</v>
      </c>
    </row>
    <row r="1334" spans="1:6" x14ac:dyDescent="0.15">
      <c r="A1334" s="2">
        <v>46089</v>
      </c>
      <c r="B1334" s="1" t="s">
        <v>2509</v>
      </c>
      <c r="C1334" s="1" t="s">
        <v>10171</v>
      </c>
      <c r="D1334" t="b">
        <f ca="1">IF(A1334="","",[1]!s_techanal_rcnthigh(B1334,$B$2,1,3))</f>
        <v>0</v>
      </c>
      <c r="E1334">
        <f ca="1">IF(A1334="","",COUNTIF(D$6:D1334,"True"))</f>
        <v>12</v>
      </c>
      <c r="F1334" t="str">
        <f t="shared" si="20"/>
        <v>002868.SZ</v>
      </c>
    </row>
    <row r="1335" spans="1:6" x14ac:dyDescent="0.15">
      <c r="A1335" s="2">
        <v>46089</v>
      </c>
      <c r="B1335" s="1" t="s">
        <v>2510</v>
      </c>
      <c r="C1335" s="1" t="s">
        <v>2511</v>
      </c>
      <c r="D1335" t="b">
        <f ca="1">IF(A1335="","",[1]!s_techanal_rcnthigh(B1335,$B$2,1,3))</f>
        <v>0</v>
      </c>
      <c r="E1335">
        <f ca="1">IF(A1335="","",COUNTIF(D$6:D1335,"True"))</f>
        <v>12</v>
      </c>
      <c r="F1335" t="str">
        <f t="shared" si="20"/>
        <v>002869.SZ</v>
      </c>
    </row>
    <row r="1336" spans="1:6" x14ac:dyDescent="0.15">
      <c r="A1336" s="2">
        <v>46089</v>
      </c>
      <c r="B1336" s="1" t="s">
        <v>2512</v>
      </c>
      <c r="C1336" s="1" t="s">
        <v>2513</v>
      </c>
      <c r="D1336" t="b">
        <f ca="1">IF(A1336="","",[1]!s_techanal_rcnthigh(B1336,$B$2,1,3))</f>
        <v>0</v>
      </c>
      <c r="E1336">
        <f ca="1">IF(A1336="","",COUNTIF(D$6:D1336,"True"))</f>
        <v>12</v>
      </c>
      <c r="F1336" t="str">
        <f t="shared" si="20"/>
        <v>002870.SZ</v>
      </c>
    </row>
    <row r="1337" spans="1:6" x14ac:dyDescent="0.15">
      <c r="A1337" s="2">
        <v>46089</v>
      </c>
      <c r="B1337" s="1" t="s">
        <v>2514</v>
      </c>
      <c r="C1337" s="1" t="s">
        <v>2515</v>
      </c>
      <c r="D1337" t="b">
        <f ca="1">IF(A1337="","",[1]!s_techanal_rcnthigh(B1337,$B$2,1,3))</f>
        <v>0</v>
      </c>
      <c r="E1337">
        <f ca="1">IF(A1337="","",COUNTIF(D$6:D1337,"True"))</f>
        <v>12</v>
      </c>
      <c r="F1337" t="str">
        <f t="shared" si="20"/>
        <v>002871.SZ</v>
      </c>
    </row>
    <row r="1338" spans="1:6" x14ac:dyDescent="0.15">
      <c r="A1338" s="2">
        <v>46089</v>
      </c>
      <c r="B1338" s="1" t="s">
        <v>2516</v>
      </c>
      <c r="C1338" s="1" t="s">
        <v>2517</v>
      </c>
      <c r="D1338" t="b">
        <f ca="1">IF(A1338="","",[1]!s_techanal_rcnthigh(B1338,$B$2,1,3))</f>
        <v>0</v>
      </c>
      <c r="E1338">
        <f ca="1">IF(A1338="","",COUNTIF(D$6:D1338,"True"))</f>
        <v>12</v>
      </c>
      <c r="F1338" t="str">
        <f t="shared" si="20"/>
        <v>002872.SZ</v>
      </c>
    </row>
    <row r="1339" spans="1:6" x14ac:dyDescent="0.15">
      <c r="A1339" s="2">
        <v>46089</v>
      </c>
      <c r="B1339" s="1" t="s">
        <v>2518</v>
      </c>
      <c r="C1339" s="1" t="s">
        <v>2519</v>
      </c>
      <c r="D1339" t="b">
        <f ca="1">IF(A1339="","",[1]!s_techanal_rcnthigh(B1339,$B$2,1,3))</f>
        <v>0</v>
      </c>
      <c r="E1339">
        <f ca="1">IF(A1339="","",COUNTIF(D$6:D1339,"True"))</f>
        <v>12</v>
      </c>
      <c r="F1339" t="str">
        <f t="shared" si="20"/>
        <v>002873.SZ</v>
      </c>
    </row>
    <row r="1340" spans="1:6" x14ac:dyDescent="0.15">
      <c r="A1340" s="2">
        <v>46089</v>
      </c>
      <c r="B1340" s="1" t="s">
        <v>2520</v>
      </c>
      <c r="C1340" s="1" t="s">
        <v>2521</v>
      </c>
      <c r="D1340" t="b">
        <f ca="1">IF(A1340="","",[1]!s_techanal_rcnthigh(B1340,$B$2,1,3))</f>
        <v>0</v>
      </c>
      <c r="E1340">
        <f ca="1">IF(A1340="","",COUNTIF(D$6:D1340,"True"))</f>
        <v>12</v>
      </c>
      <c r="F1340" t="str">
        <f t="shared" si="20"/>
        <v>002875.SZ</v>
      </c>
    </row>
    <row r="1341" spans="1:6" x14ac:dyDescent="0.15">
      <c r="A1341" s="2">
        <v>46089</v>
      </c>
      <c r="B1341" s="1" t="s">
        <v>2522</v>
      </c>
      <c r="C1341" s="1" t="s">
        <v>2523</v>
      </c>
      <c r="D1341" t="b">
        <f ca="1">IF(A1341="","",[1]!s_techanal_rcnthigh(B1341,$B$2,1,3))</f>
        <v>0</v>
      </c>
      <c r="E1341">
        <f ca="1">IF(A1341="","",COUNTIF(D$6:D1341,"True"))</f>
        <v>12</v>
      </c>
      <c r="F1341" t="str">
        <f t="shared" si="20"/>
        <v>002876.SZ</v>
      </c>
    </row>
    <row r="1342" spans="1:6" x14ac:dyDescent="0.15">
      <c r="A1342" s="2">
        <v>46089</v>
      </c>
      <c r="B1342" s="1" t="s">
        <v>2524</v>
      </c>
      <c r="C1342" s="1" t="s">
        <v>2525</v>
      </c>
      <c r="D1342" t="b">
        <f ca="1">IF(A1342="","",[1]!s_techanal_rcnthigh(B1342,$B$2,1,3))</f>
        <v>0</v>
      </c>
      <c r="E1342">
        <f ca="1">IF(A1342="","",COUNTIF(D$6:D1342,"True"))</f>
        <v>12</v>
      </c>
      <c r="F1342" t="str">
        <f t="shared" si="20"/>
        <v>002877.SZ</v>
      </c>
    </row>
    <row r="1343" spans="1:6" x14ac:dyDescent="0.15">
      <c r="A1343" s="2">
        <v>46089</v>
      </c>
      <c r="B1343" s="1" t="s">
        <v>2526</v>
      </c>
      <c r="C1343" s="1" t="s">
        <v>2527</v>
      </c>
      <c r="D1343" t="b">
        <f ca="1">IF(A1343="","",[1]!s_techanal_rcnthigh(B1343,$B$2,1,3))</f>
        <v>0</v>
      </c>
      <c r="E1343">
        <f ca="1">IF(A1343="","",COUNTIF(D$6:D1343,"True"))</f>
        <v>12</v>
      </c>
      <c r="F1343" t="str">
        <f t="shared" si="20"/>
        <v>002878.SZ</v>
      </c>
    </row>
    <row r="1344" spans="1:6" x14ac:dyDescent="0.15">
      <c r="A1344" s="2">
        <v>46089</v>
      </c>
      <c r="B1344" s="1" t="s">
        <v>2528</v>
      </c>
      <c r="C1344" s="1" t="s">
        <v>2529</v>
      </c>
      <c r="D1344" t="b">
        <f ca="1">IF(A1344="","",[1]!s_techanal_rcnthigh(B1344,$B$2,1,3))</f>
        <v>0</v>
      </c>
      <c r="E1344">
        <f ca="1">IF(A1344="","",COUNTIF(D$6:D1344,"True"))</f>
        <v>12</v>
      </c>
      <c r="F1344" t="str">
        <f t="shared" si="20"/>
        <v>002879.SZ</v>
      </c>
    </row>
    <row r="1345" spans="1:6" x14ac:dyDescent="0.15">
      <c r="A1345" s="2">
        <v>46089</v>
      </c>
      <c r="B1345" s="1" t="s">
        <v>2530</v>
      </c>
      <c r="C1345" s="1" t="s">
        <v>2531</v>
      </c>
      <c r="D1345" t="b">
        <f ca="1">IF(A1345="","",[1]!s_techanal_rcnthigh(B1345,$B$2,1,3))</f>
        <v>0</v>
      </c>
      <c r="E1345">
        <f ca="1">IF(A1345="","",COUNTIF(D$6:D1345,"True"))</f>
        <v>12</v>
      </c>
      <c r="F1345" t="str">
        <f t="shared" si="20"/>
        <v>002880.SZ</v>
      </c>
    </row>
    <row r="1346" spans="1:6" x14ac:dyDescent="0.15">
      <c r="A1346" s="2">
        <v>46089</v>
      </c>
      <c r="B1346" s="1" t="s">
        <v>2532</v>
      </c>
      <c r="C1346" s="1" t="s">
        <v>2533</v>
      </c>
      <c r="D1346" t="b">
        <f ca="1">IF(A1346="","",[1]!s_techanal_rcnthigh(B1346,$B$2,1,3))</f>
        <v>0</v>
      </c>
      <c r="E1346">
        <f ca="1">IF(A1346="","",COUNTIF(D$6:D1346,"True"))</f>
        <v>12</v>
      </c>
      <c r="F1346" t="str">
        <f t="shared" si="20"/>
        <v>002881.SZ</v>
      </c>
    </row>
    <row r="1347" spans="1:6" x14ac:dyDescent="0.15">
      <c r="A1347" s="2">
        <v>46089</v>
      </c>
      <c r="B1347" s="1" t="s">
        <v>2534</v>
      </c>
      <c r="C1347" s="1" t="s">
        <v>2535</v>
      </c>
      <c r="D1347" t="b">
        <f ca="1">IF(A1347="","",[1]!s_techanal_rcnthigh(B1347,$B$2,1,3))</f>
        <v>0</v>
      </c>
      <c r="E1347">
        <f ca="1">IF(A1347="","",COUNTIF(D$6:D1347,"True"))</f>
        <v>12</v>
      </c>
      <c r="F1347" t="str">
        <f t="shared" si="20"/>
        <v>002882.SZ</v>
      </c>
    </row>
    <row r="1348" spans="1:6" x14ac:dyDescent="0.15">
      <c r="A1348" s="2">
        <v>46089</v>
      </c>
      <c r="B1348" s="1" t="s">
        <v>2536</v>
      </c>
      <c r="C1348" s="1" t="s">
        <v>2537</v>
      </c>
      <c r="D1348" t="b">
        <f ca="1">IF(A1348="","",[1]!s_techanal_rcnthigh(B1348,$B$2,1,3))</f>
        <v>0</v>
      </c>
      <c r="E1348">
        <f ca="1">IF(A1348="","",COUNTIF(D$6:D1348,"True"))</f>
        <v>12</v>
      </c>
      <c r="F1348" t="str">
        <f t="shared" si="20"/>
        <v>002883.SZ</v>
      </c>
    </row>
    <row r="1349" spans="1:6" x14ac:dyDescent="0.15">
      <c r="A1349" s="2">
        <v>46089</v>
      </c>
      <c r="B1349" s="1" t="s">
        <v>2538</v>
      </c>
      <c r="C1349" s="1" t="s">
        <v>2539</v>
      </c>
      <c r="D1349" t="b">
        <f ca="1">IF(A1349="","",[1]!s_techanal_rcnthigh(B1349,$B$2,1,3))</f>
        <v>0</v>
      </c>
      <c r="E1349">
        <f ca="1">IF(A1349="","",COUNTIF(D$6:D1349,"True"))</f>
        <v>12</v>
      </c>
      <c r="F1349" t="str">
        <f t="shared" si="20"/>
        <v>002884.SZ</v>
      </c>
    </row>
    <row r="1350" spans="1:6" x14ac:dyDescent="0.15">
      <c r="A1350" s="2">
        <v>46089</v>
      </c>
      <c r="B1350" s="1" t="s">
        <v>2540</v>
      </c>
      <c r="C1350" s="1" t="s">
        <v>2541</v>
      </c>
      <c r="D1350" t="b">
        <f ca="1">IF(A1350="","",[1]!s_techanal_rcnthigh(B1350,$B$2,1,3))</f>
        <v>0</v>
      </c>
      <c r="E1350">
        <f ca="1">IF(A1350="","",COUNTIF(D$6:D1350,"True"))</f>
        <v>12</v>
      </c>
      <c r="F1350" t="str">
        <f t="shared" ref="F1350:F1413" si="21">IF(B1350="","",B1350)</f>
        <v>002885.SZ</v>
      </c>
    </row>
    <row r="1351" spans="1:6" x14ac:dyDescent="0.15">
      <c r="A1351" s="2">
        <v>46089</v>
      </c>
      <c r="B1351" s="1" t="s">
        <v>2542</v>
      </c>
      <c r="C1351" s="1" t="s">
        <v>2543</v>
      </c>
      <c r="D1351" t="b">
        <f ca="1">IF(A1351="","",[1]!s_techanal_rcnthigh(B1351,$B$2,1,3))</f>
        <v>0</v>
      </c>
      <c r="E1351">
        <f ca="1">IF(A1351="","",COUNTIF(D$6:D1351,"True"))</f>
        <v>12</v>
      </c>
      <c r="F1351" t="str">
        <f t="shared" si="21"/>
        <v>002886.SZ</v>
      </c>
    </row>
    <row r="1352" spans="1:6" x14ac:dyDescent="0.15">
      <c r="A1352" s="2">
        <v>46089</v>
      </c>
      <c r="B1352" s="1" t="s">
        <v>2544</v>
      </c>
      <c r="C1352" s="1" t="s">
        <v>2545</v>
      </c>
      <c r="D1352" t="b">
        <f ca="1">IF(A1352="","",[1]!s_techanal_rcnthigh(B1352,$B$2,1,3))</f>
        <v>0</v>
      </c>
      <c r="E1352">
        <f ca="1">IF(A1352="","",COUNTIF(D$6:D1352,"True"))</f>
        <v>12</v>
      </c>
      <c r="F1352" t="str">
        <f t="shared" si="21"/>
        <v>002887.SZ</v>
      </c>
    </row>
    <row r="1353" spans="1:6" x14ac:dyDescent="0.15">
      <c r="A1353" s="2">
        <v>46089</v>
      </c>
      <c r="B1353" s="1" t="s">
        <v>2546</v>
      </c>
      <c r="C1353" s="1" t="s">
        <v>2547</v>
      </c>
      <c r="D1353" t="b">
        <f ca="1">IF(A1353="","",[1]!s_techanal_rcnthigh(B1353,$B$2,1,3))</f>
        <v>0</v>
      </c>
      <c r="E1353">
        <f ca="1">IF(A1353="","",COUNTIF(D$6:D1353,"True"))</f>
        <v>12</v>
      </c>
      <c r="F1353" t="str">
        <f t="shared" si="21"/>
        <v>002888.SZ</v>
      </c>
    </row>
    <row r="1354" spans="1:6" x14ac:dyDescent="0.15">
      <c r="A1354" s="2">
        <v>46089</v>
      </c>
      <c r="B1354" s="1" t="s">
        <v>2548</v>
      </c>
      <c r="C1354" s="1" t="s">
        <v>2549</v>
      </c>
      <c r="D1354" t="b">
        <f ca="1">IF(A1354="","",[1]!s_techanal_rcnthigh(B1354,$B$2,1,3))</f>
        <v>0</v>
      </c>
      <c r="E1354">
        <f ca="1">IF(A1354="","",COUNTIF(D$6:D1354,"True"))</f>
        <v>12</v>
      </c>
      <c r="F1354" t="str">
        <f t="shared" si="21"/>
        <v>002889.SZ</v>
      </c>
    </row>
    <row r="1355" spans="1:6" x14ac:dyDescent="0.15">
      <c r="A1355" s="2">
        <v>46089</v>
      </c>
      <c r="B1355" s="1" t="s">
        <v>2550</v>
      </c>
      <c r="C1355" s="1" t="s">
        <v>2551</v>
      </c>
      <c r="D1355" t="b">
        <f ca="1">IF(A1355="","",[1]!s_techanal_rcnthigh(B1355,$B$2,1,3))</f>
        <v>0</v>
      </c>
      <c r="E1355">
        <f ca="1">IF(A1355="","",COUNTIF(D$6:D1355,"True"))</f>
        <v>12</v>
      </c>
      <c r="F1355" t="str">
        <f t="shared" si="21"/>
        <v>002890.SZ</v>
      </c>
    </row>
    <row r="1356" spans="1:6" x14ac:dyDescent="0.15">
      <c r="A1356" s="2">
        <v>46089</v>
      </c>
      <c r="B1356" s="1" t="s">
        <v>2552</v>
      </c>
      <c r="C1356" s="1" t="s">
        <v>2553</v>
      </c>
      <c r="D1356" t="b">
        <f ca="1">IF(A1356="","",[1]!s_techanal_rcnthigh(B1356,$B$2,1,3))</f>
        <v>0</v>
      </c>
      <c r="E1356">
        <f ca="1">IF(A1356="","",COUNTIF(D$6:D1356,"True"))</f>
        <v>12</v>
      </c>
      <c r="F1356" t="str">
        <f t="shared" si="21"/>
        <v>002891.SZ</v>
      </c>
    </row>
    <row r="1357" spans="1:6" x14ac:dyDescent="0.15">
      <c r="A1357" s="2">
        <v>46089</v>
      </c>
      <c r="B1357" s="1" t="s">
        <v>2554</v>
      </c>
      <c r="C1357" s="1" t="s">
        <v>2555</v>
      </c>
      <c r="D1357" t="b">
        <f ca="1">IF(A1357="","",[1]!s_techanal_rcnthigh(B1357,$B$2,1,3))</f>
        <v>0</v>
      </c>
      <c r="E1357">
        <f ca="1">IF(A1357="","",COUNTIF(D$6:D1357,"True"))</f>
        <v>12</v>
      </c>
      <c r="F1357" t="str">
        <f t="shared" si="21"/>
        <v>002892.SZ</v>
      </c>
    </row>
    <row r="1358" spans="1:6" x14ac:dyDescent="0.15">
      <c r="A1358" s="2">
        <v>46089</v>
      </c>
      <c r="B1358" s="1" t="s">
        <v>2556</v>
      </c>
      <c r="C1358" s="1" t="s">
        <v>2557</v>
      </c>
      <c r="D1358" t="b">
        <f ca="1">IF(A1358="","",[1]!s_techanal_rcnthigh(B1358,$B$2,1,3))</f>
        <v>0</v>
      </c>
      <c r="E1358">
        <f ca="1">IF(A1358="","",COUNTIF(D$6:D1358,"True"))</f>
        <v>12</v>
      </c>
      <c r="F1358" t="str">
        <f t="shared" si="21"/>
        <v>002893.SZ</v>
      </c>
    </row>
    <row r="1359" spans="1:6" x14ac:dyDescent="0.15">
      <c r="A1359" s="2">
        <v>46089</v>
      </c>
      <c r="B1359" s="1" t="s">
        <v>2558</v>
      </c>
      <c r="C1359" s="1" t="s">
        <v>2559</v>
      </c>
      <c r="D1359" t="b">
        <f ca="1">IF(A1359="","",[1]!s_techanal_rcnthigh(B1359,$B$2,1,3))</f>
        <v>0</v>
      </c>
      <c r="E1359">
        <f ca="1">IF(A1359="","",COUNTIF(D$6:D1359,"True"))</f>
        <v>12</v>
      </c>
      <c r="F1359" t="str">
        <f t="shared" si="21"/>
        <v>002895.SZ</v>
      </c>
    </row>
    <row r="1360" spans="1:6" x14ac:dyDescent="0.15">
      <c r="A1360" s="2">
        <v>46089</v>
      </c>
      <c r="B1360" s="1" t="s">
        <v>2560</v>
      </c>
      <c r="C1360" s="1" t="s">
        <v>2561</v>
      </c>
      <c r="D1360" t="b">
        <f ca="1">IF(A1360="","",[1]!s_techanal_rcnthigh(B1360,$B$2,1,3))</f>
        <v>0</v>
      </c>
      <c r="E1360">
        <f ca="1">IF(A1360="","",COUNTIF(D$6:D1360,"True"))</f>
        <v>12</v>
      </c>
      <c r="F1360" t="str">
        <f t="shared" si="21"/>
        <v>002896.SZ</v>
      </c>
    </row>
    <row r="1361" spans="1:6" x14ac:dyDescent="0.15">
      <c r="A1361" s="2">
        <v>46089</v>
      </c>
      <c r="B1361" s="1" t="s">
        <v>2562</v>
      </c>
      <c r="C1361" s="1" t="s">
        <v>2563</v>
      </c>
      <c r="D1361" t="b">
        <f ca="1">IF(A1361="","",[1]!s_techanal_rcnthigh(B1361,$B$2,1,3))</f>
        <v>0</v>
      </c>
      <c r="E1361">
        <f ca="1">IF(A1361="","",COUNTIF(D$6:D1361,"True"))</f>
        <v>12</v>
      </c>
      <c r="F1361" t="str">
        <f t="shared" si="21"/>
        <v>002897.SZ</v>
      </c>
    </row>
    <row r="1362" spans="1:6" x14ac:dyDescent="0.15">
      <c r="A1362" s="2">
        <v>46089</v>
      </c>
      <c r="B1362" s="1" t="s">
        <v>2564</v>
      </c>
      <c r="C1362" s="1" t="s">
        <v>10172</v>
      </c>
      <c r="D1362" t="b">
        <f ca="1">IF(A1362="","",[1]!s_techanal_rcnthigh(B1362,$B$2,1,3))</f>
        <v>0</v>
      </c>
      <c r="E1362">
        <f ca="1">IF(A1362="","",COUNTIF(D$6:D1362,"True"))</f>
        <v>12</v>
      </c>
      <c r="F1362" t="str">
        <f t="shared" si="21"/>
        <v>002898.SZ</v>
      </c>
    </row>
    <row r="1363" spans="1:6" x14ac:dyDescent="0.15">
      <c r="A1363" s="2">
        <v>46089</v>
      </c>
      <c r="B1363" s="1" t="s">
        <v>2565</v>
      </c>
      <c r="C1363" s="1" t="s">
        <v>2566</v>
      </c>
      <c r="D1363" t="b">
        <f ca="1">IF(A1363="","",[1]!s_techanal_rcnthigh(B1363,$B$2,1,3))</f>
        <v>0</v>
      </c>
      <c r="E1363">
        <f ca="1">IF(A1363="","",COUNTIF(D$6:D1363,"True"))</f>
        <v>12</v>
      </c>
      <c r="F1363" t="str">
        <f t="shared" si="21"/>
        <v>002899.SZ</v>
      </c>
    </row>
    <row r="1364" spans="1:6" x14ac:dyDescent="0.15">
      <c r="A1364" s="2">
        <v>46089</v>
      </c>
      <c r="B1364" s="1" t="s">
        <v>2567</v>
      </c>
      <c r="C1364" s="1" t="s">
        <v>2568</v>
      </c>
      <c r="D1364" t="b">
        <f ca="1">IF(A1364="","",[1]!s_techanal_rcnthigh(B1364,$B$2,1,3))</f>
        <v>0</v>
      </c>
      <c r="E1364">
        <f ca="1">IF(A1364="","",COUNTIF(D$6:D1364,"True"))</f>
        <v>12</v>
      </c>
      <c r="F1364" t="str">
        <f t="shared" si="21"/>
        <v>002900.SZ</v>
      </c>
    </row>
    <row r="1365" spans="1:6" x14ac:dyDescent="0.15">
      <c r="A1365" s="2">
        <v>46089</v>
      </c>
      <c r="B1365" s="1" t="s">
        <v>2569</v>
      </c>
      <c r="C1365" s="1" t="s">
        <v>2570</v>
      </c>
      <c r="D1365" t="b">
        <f ca="1">IF(A1365="","",[1]!s_techanal_rcnthigh(B1365,$B$2,1,3))</f>
        <v>0</v>
      </c>
      <c r="E1365">
        <f ca="1">IF(A1365="","",COUNTIF(D$6:D1365,"True"))</f>
        <v>12</v>
      </c>
      <c r="F1365" t="str">
        <f t="shared" si="21"/>
        <v>002901.SZ</v>
      </c>
    </row>
    <row r="1366" spans="1:6" x14ac:dyDescent="0.15">
      <c r="A1366" s="2">
        <v>46089</v>
      </c>
      <c r="B1366" s="1" t="s">
        <v>2571</v>
      </c>
      <c r="C1366" s="1" t="s">
        <v>2572</v>
      </c>
      <c r="D1366" t="b">
        <f ca="1">IF(A1366="","",[1]!s_techanal_rcnthigh(B1366,$B$2,1,3))</f>
        <v>0</v>
      </c>
      <c r="E1366">
        <f ca="1">IF(A1366="","",COUNTIF(D$6:D1366,"True"))</f>
        <v>12</v>
      </c>
      <c r="F1366" t="str">
        <f t="shared" si="21"/>
        <v>002902.SZ</v>
      </c>
    </row>
    <row r="1367" spans="1:6" x14ac:dyDescent="0.15">
      <c r="A1367" s="2">
        <v>46089</v>
      </c>
      <c r="B1367" s="1" t="s">
        <v>2573</v>
      </c>
      <c r="C1367" s="1" t="s">
        <v>2574</v>
      </c>
      <c r="D1367" t="b">
        <f ca="1">IF(A1367="","",[1]!s_techanal_rcnthigh(B1367,$B$2,1,3))</f>
        <v>0</v>
      </c>
      <c r="E1367">
        <f ca="1">IF(A1367="","",COUNTIF(D$6:D1367,"True"))</f>
        <v>12</v>
      </c>
      <c r="F1367" t="str">
        <f t="shared" si="21"/>
        <v>002903.SZ</v>
      </c>
    </row>
    <row r="1368" spans="1:6" x14ac:dyDescent="0.15">
      <c r="A1368" s="2">
        <v>46089</v>
      </c>
      <c r="B1368" s="1" t="s">
        <v>2575</v>
      </c>
      <c r="C1368" s="1" t="s">
        <v>2576</v>
      </c>
      <c r="D1368" t="b">
        <f ca="1">IF(A1368="","",[1]!s_techanal_rcnthigh(B1368,$B$2,1,3))</f>
        <v>0</v>
      </c>
      <c r="E1368">
        <f ca="1">IF(A1368="","",COUNTIF(D$6:D1368,"True"))</f>
        <v>12</v>
      </c>
      <c r="F1368" t="str">
        <f t="shared" si="21"/>
        <v>002905.SZ</v>
      </c>
    </row>
    <row r="1369" spans="1:6" x14ac:dyDescent="0.15">
      <c r="A1369" s="2">
        <v>46089</v>
      </c>
      <c r="B1369" s="1" t="s">
        <v>2577</v>
      </c>
      <c r="C1369" s="1" t="s">
        <v>2578</v>
      </c>
      <c r="D1369" t="b">
        <f ca="1">IF(A1369="","",[1]!s_techanal_rcnthigh(B1369,$B$2,1,3))</f>
        <v>0</v>
      </c>
      <c r="E1369">
        <f ca="1">IF(A1369="","",COUNTIF(D$6:D1369,"True"))</f>
        <v>12</v>
      </c>
      <c r="F1369" t="str">
        <f t="shared" si="21"/>
        <v>002906.SZ</v>
      </c>
    </row>
    <row r="1370" spans="1:6" x14ac:dyDescent="0.15">
      <c r="A1370" s="2">
        <v>46089</v>
      </c>
      <c r="B1370" s="1" t="s">
        <v>2579</v>
      </c>
      <c r="C1370" s="1" t="s">
        <v>2580</v>
      </c>
      <c r="D1370" t="b">
        <f ca="1">IF(A1370="","",[1]!s_techanal_rcnthigh(B1370,$B$2,1,3))</f>
        <v>0</v>
      </c>
      <c r="E1370">
        <f ca="1">IF(A1370="","",COUNTIF(D$6:D1370,"True"))</f>
        <v>12</v>
      </c>
      <c r="F1370" t="str">
        <f t="shared" si="21"/>
        <v>002907.SZ</v>
      </c>
    </row>
    <row r="1371" spans="1:6" x14ac:dyDescent="0.15">
      <c r="A1371" s="2">
        <v>46089</v>
      </c>
      <c r="B1371" s="1" t="s">
        <v>2581</v>
      </c>
      <c r="C1371" s="1" t="s">
        <v>2582</v>
      </c>
      <c r="D1371" t="b">
        <f ca="1">IF(A1371="","",[1]!s_techanal_rcnthigh(B1371,$B$2,1,3))</f>
        <v>0</v>
      </c>
      <c r="E1371">
        <f ca="1">IF(A1371="","",COUNTIF(D$6:D1371,"True"))</f>
        <v>12</v>
      </c>
      <c r="F1371" t="str">
        <f t="shared" si="21"/>
        <v>002908.SZ</v>
      </c>
    </row>
    <row r="1372" spans="1:6" x14ac:dyDescent="0.15">
      <c r="A1372" s="2">
        <v>46089</v>
      </c>
      <c r="B1372" s="1" t="s">
        <v>2583</v>
      </c>
      <c r="C1372" s="1" t="s">
        <v>2584</v>
      </c>
      <c r="D1372" t="b">
        <f ca="1">IF(A1372="","",[1]!s_techanal_rcnthigh(B1372,$B$2,1,3))</f>
        <v>0</v>
      </c>
      <c r="E1372">
        <f ca="1">IF(A1372="","",COUNTIF(D$6:D1372,"True"))</f>
        <v>12</v>
      </c>
      <c r="F1372" t="str">
        <f t="shared" si="21"/>
        <v>002909.SZ</v>
      </c>
    </row>
    <row r="1373" spans="1:6" x14ac:dyDescent="0.15">
      <c r="A1373" s="2">
        <v>46089</v>
      </c>
      <c r="B1373" s="1" t="s">
        <v>2585</v>
      </c>
      <c r="C1373" s="1" t="s">
        <v>2586</v>
      </c>
      <c r="D1373" t="b">
        <f ca="1">IF(A1373="","",[1]!s_techanal_rcnthigh(B1373,$B$2,1,3))</f>
        <v>0</v>
      </c>
      <c r="E1373">
        <f ca="1">IF(A1373="","",COUNTIF(D$6:D1373,"True"))</f>
        <v>12</v>
      </c>
      <c r="F1373" t="str">
        <f t="shared" si="21"/>
        <v>002910.SZ</v>
      </c>
    </row>
    <row r="1374" spans="1:6" x14ac:dyDescent="0.15">
      <c r="A1374" s="2">
        <v>46089</v>
      </c>
      <c r="B1374" s="1" t="s">
        <v>2587</v>
      </c>
      <c r="C1374" s="1" t="s">
        <v>2588</v>
      </c>
      <c r="D1374" t="b">
        <f ca="1">IF(A1374="","",[1]!s_techanal_rcnthigh(B1374,$B$2,1,3))</f>
        <v>0</v>
      </c>
      <c r="E1374">
        <f ca="1">IF(A1374="","",COUNTIF(D$6:D1374,"True"))</f>
        <v>12</v>
      </c>
      <c r="F1374" t="str">
        <f t="shared" si="21"/>
        <v>002911.SZ</v>
      </c>
    </row>
    <row r="1375" spans="1:6" x14ac:dyDescent="0.15">
      <c r="A1375" s="2">
        <v>46089</v>
      </c>
      <c r="B1375" s="1" t="s">
        <v>2589</v>
      </c>
      <c r="C1375" s="1" t="s">
        <v>2590</v>
      </c>
      <c r="D1375" t="b">
        <f ca="1">IF(A1375="","",[1]!s_techanal_rcnthigh(B1375,$B$2,1,3))</f>
        <v>0</v>
      </c>
      <c r="E1375">
        <f ca="1">IF(A1375="","",COUNTIF(D$6:D1375,"True"))</f>
        <v>12</v>
      </c>
      <c r="F1375" t="str">
        <f t="shared" si="21"/>
        <v>002912.SZ</v>
      </c>
    </row>
    <row r="1376" spans="1:6" x14ac:dyDescent="0.15">
      <c r="A1376" s="2">
        <v>46089</v>
      </c>
      <c r="B1376" s="1" t="s">
        <v>2591</v>
      </c>
      <c r="C1376" s="1" t="s">
        <v>2592</v>
      </c>
      <c r="D1376" t="b">
        <f ca="1">IF(A1376="","",[1]!s_techanal_rcnthigh(B1376,$B$2,1,3))</f>
        <v>0</v>
      </c>
      <c r="E1376">
        <f ca="1">IF(A1376="","",COUNTIF(D$6:D1376,"True"))</f>
        <v>12</v>
      </c>
      <c r="F1376" t="str">
        <f t="shared" si="21"/>
        <v>002913.SZ</v>
      </c>
    </row>
    <row r="1377" spans="1:6" x14ac:dyDescent="0.15">
      <c r="A1377" s="2">
        <v>46089</v>
      </c>
      <c r="B1377" s="1" t="s">
        <v>2593</v>
      </c>
      <c r="C1377" s="1" t="s">
        <v>2594</v>
      </c>
      <c r="D1377" t="b">
        <f ca="1">IF(A1377="","",[1]!s_techanal_rcnthigh(B1377,$B$2,1,3))</f>
        <v>0</v>
      </c>
      <c r="E1377">
        <f ca="1">IF(A1377="","",COUNTIF(D$6:D1377,"True"))</f>
        <v>12</v>
      </c>
      <c r="F1377" t="str">
        <f t="shared" si="21"/>
        <v>002915.SZ</v>
      </c>
    </row>
    <row r="1378" spans="1:6" x14ac:dyDescent="0.15">
      <c r="A1378" s="2">
        <v>46089</v>
      </c>
      <c r="B1378" s="1" t="s">
        <v>2595</v>
      </c>
      <c r="C1378" s="1" t="s">
        <v>2596</v>
      </c>
      <c r="D1378" t="b">
        <f ca="1">IF(A1378="","",[1]!s_techanal_rcnthigh(B1378,$B$2,1,3))</f>
        <v>0</v>
      </c>
      <c r="E1378">
        <f ca="1">IF(A1378="","",COUNTIF(D$6:D1378,"True"))</f>
        <v>12</v>
      </c>
      <c r="F1378" t="str">
        <f t="shared" si="21"/>
        <v>002916.SZ</v>
      </c>
    </row>
    <row r="1379" spans="1:6" x14ac:dyDescent="0.15">
      <c r="A1379" s="2">
        <v>46089</v>
      </c>
      <c r="B1379" s="1" t="s">
        <v>2597</v>
      </c>
      <c r="C1379" s="1" t="s">
        <v>2598</v>
      </c>
      <c r="D1379" t="b">
        <f ca="1">IF(A1379="","",[1]!s_techanal_rcnthigh(B1379,$B$2,1,3))</f>
        <v>0</v>
      </c>
      <c r="E1379">
        <f ca="1">IF(A1379="","",COUNTIF(D$6:D1379,"True"))</f>
        <v>12</v>
      </c>
      <c r="F1379" t="str">
        <f t="shared" si="21"/>
        <v>002917.SZ</v>
      </c>
    </row>
    <row r="1380" spans="1:6" x14ac:dyDescent="0.15">
      <c r="A1380" s="2">
        <v>46089</v>
      </c>
      <c r="B1380" s="1" t="s">
        <v>2599</v>
      </c>
      <c r="C1380" s="1" t="s">
        <v>2600</v>
      </c>
      <c r="D1380" t="b">
        <f ca="1">IF(A1380="","",[1]!s_techanal_rcnthigh(B1380,$B$2,1,3))</f>
        <v>0</v>
      </c>
      <c r="E1380">
        <f ca="1">IF(A1380="","",COUNTIF(D$6:D1380,"True"))</f>
        <v>12</v>
      </c>
      <c r="F1380" t="str">
        <f t="shared" si="21"/>
        <v>002918.SZ</v>
      </c>
    </row>
    <row r="1381" spans="1:6" x14ac:dyDescent="0.15">
      <c r="A1381" s="2">
        <v>46089</v>
      </c>
      <c r="B1381" s="1" t="s">
        <v>2601</v>
      </c>
      <c r="C1381" s="1" t="s">
        <v>2602</v>
      </c>
      <c r="D1381" t="b">
        <f ca="1">IF(A1381="","",[1]!s_techanal_rcnthigh(B1381,$B$2,1,3))</f>
        <v>0</v>
      </c>
      <c r="E1381">
        <f ca="1">IF(A1381="","",COUNTIF(D$6:D1381,"True"))</f>
        <v>12</v>
      </c>
      <c r="F1381" t="str">
        <f t="shared" si="21"/>
        <v>002919.SZ</v>
      </c>
    </row>
    <row r="1382" spans="1:6" x14ac:dyDescent="0.15">
      <c r="A1382" s="2">
        <v>46089</v>
      </c>
      <c r="B1382" s="1" t="s">
        <v>2603</v>
      </c>
      <c r="C1382" s="1" t="s">
        <v>2604</v>
      </c>
      <c r="D1382" t="b">
        <f ca="1">IF(A1382="","",[1]!s_techanal_rcnthigh(B1382,$B$2,1,3))</f>
        <v>0</v>
      </c>
      <c r="E1382">
        <f ca="1">IF(A1382="","",COUNTIF(D$6:D1382,"True"))</f>
        <v>12</v>
      </c>
      <c r="F1382" t="str">
        <f t="shared" si="21"/>
        <v>002920.SZ</v>
      </c>
    </row>
    <row r="1383" spans="1:6" x14ac:dyDescent="0.15">
      <c r="A1383" s="2">
        <v>46089</v>
      </c>
      <c r="B1383" s="1" t="s">
        <v>2605</v>
      </c>
      <c r="C1383" s="1" t="s">
        <v>2606</v>
      </c>
      <c r="D1383" t="b">
        <f ca="1">IF(A1383="","",[1]!s_techanal_rcnthigh(B1383,$B$2,1,3))</f>
        <v>0</v>
      </c>
      <c r="E1383">
        <f ca="1">IF(A1383="","",COUNTIF(D$6:D1383,"True"))</f>
        <v>12</v>
      </c>
      <c r="F1383" t="str">
        <f t="shared" si="21"/>
        <v>002921.SZ</v>
      </c>
    </row>
    <row r="1384" spans="1:6" x14ac:dyDescent="0.15">
      <c r="A1384" s="2">
        <v>46089</v>
      </c>
      <c r="B1384" s="1" t="s">
        <v>2607</v>
      </c>
      <c r="C1384" s="1" t="s">
        <v>2608</v>
      </c>
      <c r="D1384" t="b">
        <f ca="1">IF(A1384="","",[1]!s_techanal_rcnthigh(B1384,$B$2,1,3))</f>
        <v>0</v>
      </c>
      <c r="E1384">
        <f ca="1">IF(A1384="","",COUNTIF(D$6:D1384,"True"))</f>
        <v>12</v>
      </c>
      <c r="F1384" t="str">
        <f t="shared" si="21"/>
        <v>002922.SZ</v>
      </c>
    </row>
    <row r="1385" spans="1:6" x14ac:dyDescent="0.15">
      <c r="A1385" s="2">
        <v>46089</v>
      </c>
      <c r="B1385" s="1" t="s">
        <v>2609</v>
      </c>
      <c r="C1385" s="1" t="s">
        <v>2610</v>
      </c>
      <c r="D1385" t="b">
        <f ca="1">IF(A1385="","",[1]!s_techanal_rcnthigh(B1385,$B$2,1,3))</f>
        <v>0</v>
      </c>
      <c r="E1385">
        <f ca="1">IF(A1385="","",COUNTIF(D$6:D1385,"True"))</f>
        <v>12</v>
      </c>
      <c r="F1385" t="str">
        <f t="shared" si="21"/>
        <v>002923.SZ</v>
      </c>
    </row>
    <row r="1386" spans="1:6" x14ac:dyDescent="0.15">
      <c r="A1386" s="2">
        <v>46089</v>
      </c>
      <c r="B1386" s="1" t="s">
        <v>2611</v>
      </c>
      <c r="C1386" s="1" t="s">
        <v>2612</v>
      </c>
      <c r="D1386" t="b">
        <f ca="1">IF(A1386="","",[1]!s_techanal_rcnthigh(B1386,$B$2,1,3))</f>
        <v>0</v>
      </c>
      <c r="E1386">
        <f ca="1">IF(A1386="","",COUNTIF(D$6:D1386,"True"))</f>
        <v>12</v>
      </c>
      <c r="F1386" t="str">
        <f t="shared" si="21"/>
        <v>002925.SZ</v>
      </c>
    </row>
    <row r="1387" spans="1:6" x14ac:dyDescent="0.15">
      <c r="A1387" s="2">
        <v>46089</v>
      </c>
      <c r="B1387" s="1" t="s">
        <v>2613</v>
      </c>
      <c r="C1387" s="1" t="s">
        <v>2614</v>
      </c>
      <c r="D1387" t="b">
        <f ca="1">IF(A1387="","",[1]!s_techanal_rcnthigh(B1387,$B$2,1,3))</f>
        <v>0</v>
      </c>
      <c r="E1387">
        <f ca="1">IF(A1387="","",COUNTIF(D$6:D1387,"True"))</f>
        <v>12</v>
      </c>
      <c r="F1387" t="str">
        <f t="shared" si="21"/>
        <v>002926.SZ</v>
      </c>
    </row>
    <row r="1388" spans="1:6" x14ac:dyDescent="0.15">
      <c r="A1388" s="2">
        <v>46089</v>
      </c>
      <c r="B1388" s="1" t="s">
        <v>2615</v>
      </c>
      <c r="C1388" s="1" t="s">
        <v>2616</v>
      </c>
      <c r="D1388" t="b">
        <f ca="1">IF(A1388="","",[1]!s_techanal_rcnthigh(B1388,$B$2,1,3))</f>
        <v>0</v>
      </c>
      <c r="E1388">
        <f ca="1">IF(A1388="","",COUNTIF(D$6:D1388,"True"))</f>
        <v>12</v>
      </c>
      <c r="F1388" t="str">
        <f t="shared" si="21"/>
        <v>002927.SZ</v>
      </c>
    </row>
    <row r="1389" spans="1:6" x14ac:dyDescent="0.15">
      <c r="A1389" s="2">
        <v>46089</v>
      </c>
      <c r="B1389" s="1" t="s">
        <v>2617</v>
      </c>
      <c r="C1389" s="1" t="s">
        <v>2618</v>
      </c>
      <c r="D1389" t="b">
        <f ca="1">IF(A1389="","",[1]!s_techanal_rcnthigh(B1389,$B$2,1,3))</f>
        <v>0</v>
      </c>
      <c r="E1389">
        <f ca="1">IF(A1389="","",COUNTIF(D$6:D1389,"True"))</f>
        <v>12</v>
      </c>
      <c r="F1389" t="str">
        <f t="shared" si="21"/>
        <v>002928.SZ</v>
      </c>
    </row>
    <row r="1390" spans="1:6" x14ac:dyDescent="0.15">
      <c r="A1390" s="2">
        <v>46089</v>
      </c>
      <c r="B1390" s="1" t="s">
        <v>2619</v>
      </c>
      <c r="C1390" s="1" t="s">
        <v>2620</v>
      </c>
      <c r="D1390" t="b">
        <f ca="1">IF(A1390="","",[1]!s_techanal_rcnthigh(B1390,$B$2,1,3))</f>
        <v>0</v>
      </c>
      <c r="E1390">
        <f ca="1">IF(A1390="","",COUNTIF(D$6:D1390,"True"))</f>
        <v>12</v>
      </c>
      <c r="F1390" t="str">
        <f t="shared" si="21"/>
        <v>002929.SZ</v>
      </c>
    </row>
    <row r="1391" spans="1:6" x14ac:dyDescent="0.15">
      <c r="A1391" s="2">
        <v>46089</v>
      </c>
      <c r="B1391" s="1" t="s">
        <v>2621</v>
      </c>
      <c r="C1391" s="1" t="s">
        <v>2622</v>
      </c>
      <c r="D1391" t="b">
        <f ca="1">IF(A1391="","",[1]!s_techanal_rcnthigh(B1391,$B$2,1,3))</f>
        <v>0</v>
      </c>
      <c r="E1391">
        <f ca="1">IF(A1391="","",COUNTIF(D$6:D1391,"True"))</f>
        <v>12</v>
      </c>
      <c r="F1391" t="str">
        <f t="shared" si="21"/>
        <v>002930.SZ</v>
      </c>
    </row>
    <row r="1392" spans="1:6" x14ac:dyDescent="0.15">
      <c r="A1392" s="2">
        <v>46089</v>
      </c>
      <c r="B1392" s="1" t="s">
        <v>2623</v>
      </c>
      <c r="C1392" s="1" t="s">
        <v>2624</v>
      </c>
      <c r="D1392" t="b">
        <f ca="1">IF(A1392="","",[1]!s_techanal_rcnthigh(B1392,$B$2,1,3))</f>
        <v>0</v>
      </c>
      <c r="E1392">
        <f ca="1">IF(A1392="","",COUNTIF(D$6:D1392,"True"))</f>
        <v>12</v>
      </c>
      <c r="F1392" t="str">
        <f t="shared" si="21"/>
        <v>002931.SZ</v>
      </c>
    </row>
    <row r="1393" spans="1:6" x14ac:dyDescent="0.15">
      <c r="A1393" s="2">
        <v>46089</v>
      </c>
      <c r="B1393" s="1" t="s">
        <v>2625</v>
      </c>
      <c r="C1393" s="1" t="s">
        <v>2626</v>
      </c>
      <c r="D1393" t="b">
        <f ca="1">IF(A1393="","",[1]!s_techanal_rcnthigh(B1393,$B$2,1,3))</f>
        <v>0</v>
      </c>
      <c r="E1393">
        <f ca="1">IF(A1393="","",COUNTIF(D$6:D1393,"True"))</f>
        <v>12</v>
      </c>
      <c r="F1393" t="str">
        <f t="shared" si="21"/>
        <v>002932.SZ</v>
      </c>
    </row>
    <row r="1394" spans="1:6" x14ac:dyDescent="0.15">
      <c r="A1394" s="2">
        <v>46089</v>
      </c>
      <c r="B1394" s="1" t="s">
        <v>2627</v>
      </c>
      <c r="C1394" s="1" t="s">
        <v>2628</v>
      </c>
      <c r="D1394" t="b">
        <f ca="1">IF(A1394="","",[1]!s_techanal_rcnthigh(B1394,$B$2,1,3))</f>
        <v>0</v>
      </c>
      <c r="E1394">
        <f ca="1">IF(A1394="","",COUNTIF(D$6:D1394,"True"))</f>
        <v>12</v>
      </c>
      <c r="F1394" t="str">
        <f t="shared" si="21"/>
        <v>002933.SZ</v>
      </c>
    </row>
    <row r="1395" spans="1:6" x14ac:dyDescent="0.15">
      <c r="A1395" s="2">
        <v>46089</v>
      </c>
      <c r="B1395" s="1" t="s">
        <v>2629</v>
      </c>
      <c r="C1395" s="1" t="s">
        <v>2630</v>
      </c>
      <c r="D1395" t="b">
        <f ca="1">IF(A1395="","",[1]!s_techanal_rcnthigh(B1395,$B$2,1,3))</f>
        <v>0</v>
      </c>
      <c r="E1395">
        <f ca="1">IF(A1395="","",COUNTIF(D$6:D1395,"True"))</f>
        <v>12</v>
      </c>
      <c r="F1395" t="str">
        <f t="shared" si="21"/>
        <v>002935.SZ</v>
      </c>
    </row>
    <row r="1396" spans="1:6" x14ac:dyDescent="0.15">
      <c r="A1396" s="2">
        <v>46089</v>
      </c>
      <c r="B1396" s="1" t="s">
        <v>2631</v>
      </c>
      <c r="C1396" s="1" t="s">
        <v>2632</v>
      </c>
      <c r="D1396" t="b">
        <f ca="1">IF(A1396="","",[1]!s_techanal_rcnthigh(B1396,$B$2,1,3))</f>
        <v>0</v>
      </c>
      <c r="E1396">
        <f ca="1">IF(A1396="","",COUNTIF(D$6:D1396,"True"))</f>
        <v>12</v>
      </c>
      <c r="F1396" t="str">
        <f t="shared" si="21"/>
        <v>002936.SZ</v>
      </c>
    </row>
    <row r="1397" spans="1:6" x14ac:dyDescent="0.15">
      <c r="A1397" s="2">
        <v>46089</v>
      </c>
      <c r="B1397" s="1" t="s">
        <v>2633</v>
      </c>
      <c r="C1397" s="1" t="s">
        <v>2634</v>
      </c>
      <c r="D1397" t="b">
        <f ca="1">IF(A1397="","",[1]!s_techanal_rcnthigh(B1397,$B$2,1,3))</f>
        <v>0</v>
      </c>
      <c r="E1397">
        <f ca="1">IF(A1397="","",COUNTIF(D$6:D1397,"True"))</f>
        <v>12</v>
      </c>
      <c r="F1397" t="str">
        <f t="shared" si="21"/>
        <v>002937.SZ</v>
      </c>
    </row>
    <row r="1398" spans="1:6" x14ac:dyDescent="0.15">
      <c r="A1398" s="2">
        <v>46089</v>
      </c>
      <c r="B1398" s="1" t="s">
        <v>2635</v>
      </c>
      <c r="C1398" s="1" t="s">
        <v>2636</v>
      </c>
      <c r="D1398" t="b">
        <f ca="1">IF(A1398="","",[1]!s_techanal_rcnthigh(B1398,$B$2,1,3))</f>
        <v>0</v>
      </c>
      <c r="E1398">
        <f ca="1">IF(A1398="","",COUNTIF(D$6:D1398,"True"))</f>
        <v>12</v>
      </c>
      <c r="F1398" t="str">
        <f t="shared" si="21"/>
        <v>002938.SZ</v>
      </c>
    </row>
    <row r="1399" spans="1:6" x14ac:dyDescent="0.15">
      <c r="A1399" s="2">
        <v>46089</v>
      </c>
      <c r="B1399" s="1" t="s">
        <v>2637</v>
      </c>
      <c r="C1399" s="1" t="s">
        <v>2638</v>
      </c>
      <c r="D1399" t="b">
        <f ca="1">IF(A1399="","",[1]!s_techanal_rcnthigh(B1399,$B$2,1,3))</f>
        <v>0</v>
      </c>
      <c r="E1399">
        <f ca="1">IF(A1399="","",COUNTIF(D$6:D1399,"True"))</f>
        <v>12</v>
      </c>
      <c r="F1399" t="str">
        <f t="shared" si="21"/>
        <v>002939.SZ</v>
      </c>
    </row>
    <row r="1400" spans="1:6" x14ac:dyDescent="0.15">
      <c r="A1400" s="2">
        <v>46089</v>
      </c>
      <c r="B1400" s="1" t="s">
        <v>2639</v>
      </c>
      <c r="C1400" s="1" t="s">
        <v>2640</v>
      </c>
      <c r="D1400" t="b">
        <f ca="1">IF(A1400="","",[1]!s_techanal_rcnthigh(B1400,$B$2,1,3))</f>
        <v>0</v>
      </c>
      <c r="E1400">
        <f ca="1">IF(A1400="","",COUNTIF(D$6:D1400,"True"))</f>
        <v>12</v>
      </c>
      <c r="F1400" t="str">
        <f t="shared" si="21"/>
        <v>002940.SZ</v>
      </c>
    </row>
    <row r="1401" spans="1:6" x14ac:dyDescent="0.15">
      <c r="A1401" s="2">
        <v>46089</v>
      </c>
      <c r="B1401" s="1" t="s">
        <v>2641</v>
      </c>
      <c r="C1401" s="1" t="s">
        <v>2642</v>
      </c>
      <c r="D1401" t="b">
        <f ca="1">IF(A1401="","",[1]!s_techanal_rcnthigh(B1401,$B$2,1,3))</f>
        <v>0</v>
      </c>
      <c r="E1401">
        <f ca="1">IF(A1401="","",COUNTIF(D$6:D1401,"True"))</f>
        <v>12</v>
      </c>
      <c r="F1401" t="str">
        <f t="shared" si="21"/>
        <v>002941.SZ</v>
      </c>
    </row>
    <row r="1402" spans="1:6" x14ac:dyDescent="0.15">
      <c r="A1402" s="2">
        <v>46089</v>
      </c>
      <c r="B1402" s="1" t="s">
        <v>2643</v>
      </c>
      <c r="C1402" s="1" t="s">
        <v>2644</v>
      </c>
      <c r="D1402" t="b">
        <f ca="1">IF(A1402="","",[1]!s_techanal_rcnthigh(B1402,$B$2,1,3))</f>
        <v>0</v>
      </c>
      <c r="E1402">
        <f ca="1">IF(A1402="","",COUNTIF(D$6:D1402,"True"))</f>
        <v>12</v>
      </c>
      <c r="F1402" t="str">
        <f t="shared" si="21"/>
        <v>002942.SZ</v>
      </c>
    </row>
    <row r="1403" spans="1:6" x14ac:dyDescent="0.15">
      <c r="A1403" s="2">
        <v>46089</v>
      </c>
      <c r="B1403" s="1" t="s">
        <v>2645</v>
      </c>
      <c r="C1403" s="1" t="s">
        <v>2646</v>
      </c>
      <c r="D1403" t="b">
        <f ca="1">IF(A1403="","",[1]!s_techanal_rcnthigh(B1403,$B$2,1,3))</f>
        <v>0</v>
      </c>
      <c r="E1403">
        <f ca="1">IF(A1403="","",COUNTIF(D$6:D1403,"True"))</f>
        <v>12</v>
      </c>
      <c r="F1403" t="str">
        <f t="shared" si="21"/>
        <v>002943.SZ</v>
      </c>
    </row>
    <row r="1404" spans="1:6" x14ac:dyDescent="0.15">
      <c r="A1404" s="2">
        <v>46089</v>
      </c>
      <c r="B1404" s="1" t="s">
        <v>2647</v>
      </c>
      <c r="C1404" s="1" t="s">
        <v>2648</v>
      </c>
      <c r="D1404" t="b">
        <f ca="1">IF(A1404="","",[1]!s_techanal_rcnthigh(B1404,$B$2,1,3))</f>
        <v>0</v>
      </c>
      <c r="E1404">
        <f ca="1">IF(A1404="","",COUNTIF(D$6:D1404,"True"))</f>
        <v>12</v>
      </c>
      <c r="F1404" t="str">
        <f t="shared" si="21"/>
        <v>002945.SZ</v>
      </c>
    </row>
    <row r="1405" spans="1:6" x14ac:dyDescent="0.15">
      <c r="A1405" s="2">
        <v>46089</v>
      </c>
      <c r="B1405" s="1" t="s">
        <v>2649</v>
      </c>
      <c r="C1405" s="1" t="s">
        <v>2650</v>
      </c>
      <c r="D1405" t="b">
        <f ca="1">IF(A1405="","",[1]!s_techanal_rcnthigh(B1405,$B$2,1,3))</f>
        <v>0</v>
      </c>
      <c r="E1405">
        <f ca="1">IF(A1405="","",COUNTIF(D$6:D1405,"True"))</f>
        <v>12</v>
      </c>
      <c r="F1405" t="str">
        <f t="shared" si="21"/>
        <v>002946.SZ</v>
      </c>
    </row>
    <row r="1406" spans="1:6" x14ac:dyDescent="0.15">
      <c r="A1406" s="2">
        <v>46089</v>
      </c>
      <c r="B1406" s="1" t="s">
        <v>2651</v>
      </c>
      <c r="C1406" s="1" t="s">
        <v>2652</v>
      </c>
      <c r="D1406" t="b">
        <f ca="1">IF(A1406="","",[1]!s_techanal_rcnthigh(B1406,$B$2,1,3))</f>
        <v>0</v>
      </c>
      <c r="E1406">
        <f ca="1">IF(A1406="","",COUNTIF(D$6:D1406,"True"))</f>
        <v>12</v>
      </c>
      <c r="F1406" t="str">
        <f t="shared" si="21"/>
        <v>002947.SZ</v>
      </c>
    </row>
    <row r="1407" spans="1:6" x14ac:dyDescent="0.15">
      <c r="A1407" s="2">
        <v>46089</v>
      </c>
      <c r="B1407" s="1" t="s">
        <v>2653</v>
      </c>
      <c r="C1407" s="1" t="s">
        <v>2654</v>
      </c>
      <c r="D1407" t="b">
        <f ca="1">IF(A1407="","",[1]!s_techanal_rcnthigh(B1407,$B$2,1,3))</f>
        <v>0</v>
      </c>
      <c r="E1407">
        <f ca="1">IF(A1407="","",COUNTIF(D$6:D1407,"True"))</f>
        <v>12</v>
      </c>
      <c r="F1407" t="str">
        <f t="shared" si="21"/>
        <v>002948.SZ</v>
      </c>
    </row>
    <row r="1408" spans="1:6" x14ac:dyDescent="0.15">
      <c r="A1408" s="2">
        <v>46089</v>
      </c>
      <c r="B1408" s="1" t="s">
        <v>2655</v>
      </c>
      <c r="C1408" s="1" t="s">
        <v>2656</v>
      </c>
      <c r="D1408" t="b">
        <f ca="1">IF(A1408="","",[1]!s_techanal_rcnthigh(B1408,$B$2,1,3))</f>
        <v>0</v>
      </c>
      <c r="E1408">
        <f ca="1">IF(A1408="","",COUNTIF(D$6:D1408,"True"))</f>
        <v>12</v>
      </c>
      <c r="F1408" t="str">
        <f t="shared" si="21"/>
        <v>002949.SZ</v>
      </c>
    </row>
    <row r="1409" spans="1:6" x14ac:dyDescent="0.15">
      <c r="A1409" s="2">
        <v>46089</v>
      </c>
      <c r="B1409" s="1" t="s">
        <v>2657</v>
      </c>
      <c r="C1409" s="1" t="s">
        <v>2658</v>
      </c>
      <c r="D1409" t="b">
        <f ca="1">IF(A1409="","",[1]!s_techanal_rcnthigh(B1409,$B$2,1,3))</f>
        <v>0</v>
      </c>
      <c r="E1409">
        <f ca="1">IF(A1409="","",COUNTIF(D$6:D1409,"True"))</f>
        <v>12</v>
      </c>
      <c r="F1409" t="str">
        <f t="shared" si="21"/>
        <v>002950.SZ</v>
      </c>
    </row>
    <row r="1410" spans="1:6" x14ac:dyDescent="0.15">
      <c r="A1410" s="2">
        <v>46089</v>
      </c>
      <c r="B1410" s="1" t="s">
        <v>2659</v>
      </c>
      <c r="C1410" s="1" t="s">
        <v>10173</v>
      </c>
      <c r="D1410" t="b">
        <f ca="1">IF(A1410="","",[1]!s_techanal_rcnthigh(B1410,$B$2,1,3))</f>
        <v>0</v>
      </c>
      <c r="E1410">
        <f ca="1">IF(A1410="","",COUNTIF(D$6:D1410,"True"))</f>
        <v>12</v>
      </c>
      <c r="F1410" t="str">
        <f t="shared" si="21"/>
        <v>002951.SZ</v>
      </c>
    </row>
    <row r="1411" spans="1:6" x14ac:dyDescent="0.15">
      <c r="A1411" s="2">
        <v>46089</v>
      </c>
      <c r="B1411" s="1" t="s">
        <v>2660</v>
      </c>
      <c r="C1411" s="1" t="s">
        <v>2661</v>
      </c>
      <c r="D1411" t="b">
        <f ca="1">IF(A1411="","",[1]!s_techanal_rcnthigh(B1411,$B$2,1,3))</f>
        <v>0</v>
      </c>
      <c r="E1411">
        <f ca="1">IF(A1411="","",COUNTIF(D$6:D1411,"True"))</f>
        <v>12</v>
      </c>
      <c r="F1411" t="str">
        <f t="shared" si="21"/>
        <v>002952.SZ</v>
      </c>
    </row>
    <row r="1412" spans="1:6" x14ac:dyDescent="0.15">
      <c r="A1412" s="2">
        <v>46089</v>
      </c>
      <c r="B1412" s="1" t="s">
        <v>2662</v>
      </c>
      <c r="C1412" s="1" t="s">
        <v>2663</v>
      </c>
      <c r="D1412" t="b">
        <f ca="1">IF(A1412="","",[1]!s_techanal_rcnthigh(B1412,$B$2,1,3))</f>
        <v>0</v>
      </c>
      <c r="E1412">
        <f ca="1">IF(A1412="","",COUNTIF(D$6:D1412,"True"))</f>
        <v>12</v>
      </c>
      <c r="F1412" t="str">
        <f t="shared" si="21"/>
        <v>002953.SZ</v>
      </c>
    </row>
    <row r="1413" spans="1:6" x14ac:dyDescent="0.15">
      <c r="A1413" s="2">
        <v>46089</v>
      </c>
      <c r="B1413" s="1" t="s">
        <v>2664</v>
      </c>
      <c r="C1413" s="1" t="s">
        <v>2665</v>
      </c>
      <c r="D1413" t="b">
        <f ca="1">IF(A1413="","",[1]!s_techanal_rcnthigh(B1413,$B$2,1,3))</f>
        <v>0</v>
      </c>
      <c r="E1413">
        <f ca="1">IF(A1413="","",COUNTIF(D$6:D1413,"True"))</f>
        <v>12</v>
      </c>
      <c r="F1413" t="str">
        <f t="shared" si="21"/>
        <v>002955.SZ</v>
      </c>
    </row>
    <row r="1414" spans="1:6" x14ac:dyDescent="0.15">
      <c r="A1414" s="2">
        <v>46089</v>
      </c>
      <c r="B1414" s="1" t="s">
        <v>2666</v>
      </c>
      <c r="C1414" s="1" t="s">
        <v>2667</v>
      </c>
      <c r="D1414" t="b">
        <f ca="1">IF(A1414="","",[1]!s_techanal_rcnthigh(B1414,$B$2,1,3))</f>
        <v>0</v>
      </c>
      <c r="E1414">
        <f ca="1">IF(A1414="","",COUNTIF(D$6:D1414,"True"))</f>
        <v>12</v>
      </c>
      <c r="F1414" t="str">
        <f t="shared" ref="F1414:F1477" si="22">IF(B1414="","",B1414)</f>
        <v>002956.SZ</v>
      </c>
    </row>
    <row r="1415" spans="1:6" x14ac:dyDescent="0.15">
      <c r="A1415" s="2">
        <v>46089</v>
      </c>
      <c r="B1415" s="1" t="s">
        <v>2668</v>
      </c>
      <c r="C1415" s="1" t="s">
        <v>2669</v>
      </c>
      <c r="D1415" t="b">
        <f ca="1">IF(A1415="","",[1]!s_techanal_rcnthigh(B1415,$B$2,1,3))</f>
        <v>0</v>
      </c>
      <c r="E1415">
        <f ca="1">IF(A1415="","",COUNTIF(D$6:D1415,"True"))</f>
        <v>12</v>
      </c>
      <c r="F1415" t="str">
        <f t="shared" si="22"/>
        <v>002957.SZ</v>
      </c>
    </row>
    <row r="1416" spans="1:6" x14ac:dyDescent="0.15">
      <c r="A1416" s="2">
        <v>46089</v>
      </c>
      <c r="B1416" s="1" t="s">
        <v>2670</v>
      </c>
      <c r="C1416" s="1" t="s">
        <v>2671</v>
      </c>
      <c r="D1416" t="b">
        <f ca="1">IF(A1416="","",[1]!s_techanal_rcnthigh(B1416,$B$2,1,3))</f>
        <v>0</v>
      </c>
      <c r="E1416">
        <f ca="1">IF(A1416="","",COUNTIF(D$6:D1416,"True"))</f>
        <v>12</v>
      </c>
      <c r="F1416" t="str">
        <f t="shared" si="22"/>
        <v>002958.SZ</v>
      </c>
    </row>
    <row r="1417" spans="1:6" x14ac:dyDescent="0.15">
      <c r="A1417" s="2">
        <v>46089</v>
      </c>
      <c r="B1417" s="1" t="s">
        <v>2672</v>
      </c>
      <c r="C1417" s="1" t="s">
        <v>2673</v>
      </c>
      <c r="D1417" t="b">
        <f ca="1">IF(A1417="","",[1]!s_techanal_rcnthigh(B1417,$B$2,1,3))</f>
        <v>0</v>
      </c>
      <c r="E1417">
        <f ca="1">IF(A1417="","",COUNTIF(D$6:D1417,"True"))</f>
        <v>12</v>
      </c>
      <c r="F1417" t="str">
        <f t="shared" si="22"/>
        <v>002959.SZ</v>
      </c>
    </row>
    <row r="1418" spans="1:6" x14ac:dyDescent="0.15">
      <c r="A1418" s="2">
        <v>46089</v>
      </c>
      <c r="B1418" s="1" t="s">
        <v>2674</v>
      </c>
      <c r="C1418" s="1" t="s">
        <v>2675</v>
      </c>
      <c r="D1418" t="b">
        <f ca="1">IF(A1418="","",[1]!s_techanal_rcnthigh(B1418,$B$2,1,3))</f>
        <v>0</v>
      </c>
      <c r="E1418">
        <f ca="1">IF(A1418="","",COUNTIF(D$6:D1418,"True"))</f>
        <v>12</v>
      </c>
      <c r="F1418" t="str">
        <f t="shared" si="22"/>
        <v>002960.SZ</v>
      </c>
    </row>
    <row r="1419" spans="1:6" x14ac:dyDescent="0.15">
      <c r="A1419" s="2">
        <v>46089</v>
      </c>
      <c r="B1419" s="1" t="s">
        <v>2676</v>
      </c>
      <c r="C1419" s="1" t="s">
        <v>2677</v>
      </c>
      <c r="D1419" t="b">
        <f ca="1">IF(A1419="","",[1]!s_techanal_rcnthigh(B1419,$B$2,1,3))</f>
        <v>0</v>
      </c>
      <c r="E1419">
        <f ca="1">IF(A1419="","",COUNTIF(D$6:D1419,"True"))</f>
        <v>12</v>
      </c>
      <c r="F1419" t="str">
        <f t="shared" si="22"/>
        <v>002961.SZ</v>
      </c>
    </row>
    <row r="1420" spans="1:6" x14ac:dyDescent="0.15">
      <c r="A1420" s="2">
        <v>46089</v>
      </c>
      <c r="B1420" s="1" t="s">
        <v>2678</v>
      </c>
      <c r="C1420" s="1" t="s">
        <v>2679</v>
      </c>
      <c r="D1420" t="b">
        <f ca="1">IF(A1420="","",[1]!s_techanal_rcnthigh(B1420,$B$2,1,3))</f>
        <v>0</v>
      </c>
      <c r="E1420">
        <f ca="1">IF(A1420="","",COUNTIF(D$6:D1420,"True"))</f>
        <v>12</v>
      </c>
      <c r="F1420" t="str">
        <f t="shared" si="22"/>
        <v>002962.SZ</v>
      </c>
    </row>
    <row r="1421" spans="1:6" x14ac:dyDescent="0.15">
      <c r="A1421" s="2">
        <v>46089</v>
      </c>
      <c r="B1421" s="1" t="s">
        <v>2680</v>
      </c>
      <c r="C1421" s="1" t="s">
        <v>2681</v>
      </c>
      <c r="D1421" t="b">
        <f ca="1">IF(A1421="","",[1]!s_techanal_rcnthigh(B1421,$B$2,1,3))</f>
        <v>0</v>
      </c>
      <c r="E1421">
        <f ca="1">IF(A1421="","",COUNTIF(D$6:D1421,"True"))</f>
        <v>12</v>
      </c>
      <c r="F1421" t="str">
        <f t="shared" si="22"/>
        <v>002963.SZ</v>
      </c>
    </row>
    <row r="1422" spans="1:6" x14ac:dyDescent="0.15">
      <c r="A1422" s="2">
        <v>46089</v>
      </c>
      <c r="B1422" s="1" t="s">
        <v>2682</v>
      </c>
      <c r="C1422" s="1" t="s">
        <v>2683</v>
      </c>
      <c r="D1422" t="b">
        <f ca="1">IF(A1422="","",[1]!s_techanal_rcnthigh(B1422,$B$2,1,3))</f>
        <v>0</v>
      </c>
      <c r="E1422">
        <f ca="1">IF(A1422="","",COUNTIF(D$6:D1422,"True"))</f>
        <v>12</v>
      </c>
      <c r="F1422" t="str">
        <f t="shared" si="22"/>
        <v>002965.SZ</v>
      </c>
    </row>
    <row r="1423" spans="1:6" x14ac:dyDescent="0.15">
      <c r="A1423" s="2">
        <v>46089</v>
      </c>
      <c r="B1423" s="1" t="s">
        <v>2684</v>
      </c>
      <c r="C1423" s="1" t="s">
        <v>2685</v>
      </c>
      <c r="D1423" t="b">
        <f ca="1">IF(A1423="","",[1]!s_techanal_rcnthigh(B1423,$B$2,1,3))</f>
        <v>0</v>
      </c>
      <c r="E1423">
        <f ca="1">IF(A1423="","",COUNTIF(D$6:D1423,"True"))</f>
        <v>12</v>
      </c>
      <c r="F1423" t="str">
        <f t="shared" si="22"/>
        <v>002966.SZ</v>
      </c>
    </row>
    <row r="1424" spans="1:6" x14ac:dyDescent="0.15">
      <c r="A1424" s="2">
        <v>46089</v>
      </c>
      <c r="B1424" s="1" t="s">
        <v>2686</v>
      </c>
      <c r="C1424" s="1" t="s">
        <v>2687</v>
      </c>
      <c r="D1424" t="b">
        <f ca="1">IF(A1424="","",[1]!s_techanal_rcnthigh(B1424,$B$2,1,3))</f>
        <v>0</v>
      </c>
      <c r="E1424">
        <f ca="1">IF(A1424="","",COUNTIF(D$6:D1424,"True"))</f>
        <v>12</v>
      </c>
      <c r="F1424" t="str">
        <f t="shared" si="22"/>
        <v>002967.SZ</v>
      </c>
    </row>
    <row r="1425" spans="1:6" x14ac:dyDescent="0.15">
      <c r="A1425" s="2">
        <v>46089</v>
      </c>
      <c r="B1425" s="1" t="s">
        <v>2688</v>
      </c>
      <c r="C1425" s="1" t="s">
        <v>2689</v>
      </c>
      <c r="D1425" t="b">
        <f ca="1">IF(A1425="","",[1]!s_techanal_rcnthigh(B1425,$B$2,1,3))</f>
        <v>0</v>
      </c>
      <c r="E1425">
        <f ca="1">IF(A1425="","",COUNTIF(D$6:D1425,"True"))</f>
        <v>12</v>
      </c>
      <c r="F1425" t="str">
        <f t="shared" si="22"/>
        <v>002968.SZ</v>
      </c>
    </row>
    <row r="1426" spans="1:6" x14ac:dyDescent="0.15">
      <c r="A1426" s="2">
        <v>46089</v>
      </c>
      <c r="B1426" s="1" t="s">
        <v>2690</v>
      </c>
      <c r="C1426" s="1" t="s">
        <v>2691</v>
      </c>
      <c r="D1426" t="b">
        <f ca="1">IF(A1426="","",[1]!s_techanal_rcnthigh(B1426,$B$2,1,3))</f>
        <v>0</v>
      </c>
      <c r="E1426">
        <f ca="1">IF(A1426="","",COUNTIF(D$6:D1426,"True"))</f>
        <v>12</v>
      </c>
      <c r="F1426" t="str">
        <f t="shared" si="22"/>
        <v>002969.SZ</v>
      </c>
    </row>
    <row r="1427" spans="1:6" x14ac:dyDescent="0.15">
      <c r="A1427" s="2">
        <v>46089</v>
      </c>
      <c r="B1427" s="1" t="s">
        <v>2692</v>
      </c>
      <c r="C1427" s="1" t="s">
        <v>2693</v>
      </c>
      <c r="D1427" t="b">
        <f ca="1">IF(A1427="","",[1]!s_techanal_rcnthigh(B1427,$B$2,1,3))</f>
        <v>0</v>
      </c>
      <c r="E1427">
        <f ca="1">IF(A1427="","",COUNTIF(D$6:D1427,"True"))</f>
        <v>12</v>
      </c>
      <c r="F1427" t="str">
        <f t="shared" si="22"/>
        <v>002970.SZ</v>
      </c>
    </row>
    <row r="1428" spans="1:6" x14ac:dyDescent="0.15">
      <c r="A1428" s="2">
        <v>46089</v>
      </c>
      <c r="B1428" s="1" t="s">
        <v>2694</v>
      </c>
      <c r="C1428" s="1" t="s">
        <v>2695</v>
      </c>
      <c r="D1428" t="b">
        <f ca="1">IF(A1428="","",[1]!s_techanal_rcnthigh(B1428,$B$2,1,3))</f>
        <v>0</v>
      </c>
      <c r="E1428">
        <f ca="1">IF(A1428="","",COUNTIF(D$6:D1428,"True"))</f>
        <v>12</v>
      </c>
      <c r="F1428" t="str">
        <f t="shared" si="22"/>
        <v>002971.SZ</v>
      </c>
    </row>
    <row r="1429" spans="1:6" x14ac:dyDescent="0.15">
      <c r="A1429" s="2">
        <v>46089</v>
      </c>
      <c r="B1429" s="1" t="s">
        <v>2696</v>
      </c>
      <c r="C1429" s="1" t="s">
        <v>2697</v>
      </c>
      <c r="D1429" t="b">
        <f ca="1">IF(A1429="","",[1]!s_techanal_rcnthigh(B1429,$B$2,1,3))</f>
        <v>0</v>
      </c>
      <c r="E1429">
        <f ca="1">IF(A1429="","",COUNTIF(D$6:D1429,"True"))</f>
        <v>12</v>
      </c>
      <c r="F1429" t="str">
        <f t="shared" si="22"/>
        <v>002972.SZ</v>
      </c>
    </row>
    <row r="1430" spans="1:6" x14ac:dyDescent="0.15">
      <c r="A1430" s="2">
        <v>46089</v>
      </c>
      <c r="B1430" s="1" t="s">
        <v>2698</v>
      </c>
      <c r="C1430" s="1" t="s">
        <v>2699</v>
      </c>
      <c r="D1430" t="b">
        <f ca="1">IF(A1430="","",[1]!s_techanal_rcnthigh(B1430,$B$2,1,3))</f>
        <v>0</v>
      </c>
      <c r="E1430">
        <f ca="1">IF(A1430="","",COUNTIF(D$6:D1430,"True"))</f>
        <v>12</v>
      </c>
      <c r="F1430" t="str">
        <f t="shared" si="22"/>
        <v>002973.SZ</v>
      </c>
    </row>
    <row r="1431" spans="1:6" x14ac:dyDescent="0.15">
      <c r="A1431" s="2">
        <v>46089</v>
      </c>
      <c r="B1431" s="1" t="s">
        <v>2700</v>
      </c>
      <c r="C1431" s="1" t="s">
        <v>2701</v>
      </c>
      <c r="D1431" t="b">
        <f ca="1">IF(A1431="","",[1]!s_techanal_rcnthigh(B1431,$B$2,1,3))</f>
        <v>0</v>
      </c>
      <c r="E1431">
        <f ca="1">IF(A1431="","",COUNTIF(D$6:D1431,"True"))</f>
        <v>12</v>
      </c>
      <c r="F1431" t="str">
        <f t="shared" si="22"/>
        <v>002975.SZ</v>
      </c>
    </row>
    <row r="1432" spans="1:6" x14ac:dyDescent="0.15">
      <c r="A1432" s="2">
        <v>46089</v>
      </c>
      <c r="B1432" s="1" t="s">
        <v>2702</v>
      </c>
      <c r="C1432" s="1" t="s">
        <v>2703</v>
      </c>
      <c r="D1432" t="b">
        <f ca="1">IF(A1432="","",[1]!s_techanal_rcnthigh(B1432,$B$2,1,3))</f>
        <v>0</v>
      </c>
      <c r="E1432">
        <f ca="1">IF(A1432="","",COUNTIF(D$6:D1432,"True"))</f>
        <v>12</v>
      </c>
      <c r="F1432" t="str">
        <f t="shared" si="22"/>
        <v>002976.SZ</v>
      </c>
    </row>
    <row r="1433" spans="1:6" x14ac:dyDescent="0.15">
      <c r="A1433" s="2">
        <v>46089</v>
      </c>
      <c r="B1433" s="1" t="s">
        <v>2704</v>
      </c>
      <c r="C1433" s="1" t="s">
        <v>2705</v>
      </c>
      <c r="D1433" t="b">
        <f ca="1">IF(A1433="","",[1]!s_techanal_rcnthigh(B1433,$B$2,1,3))</f>
        <v>0</v>
      </c>
      <c r="E1433">
        <f ca="1">IF(A1433="","",COUNTIF(D$6:D1433,"True"))</f>
        <v>12</v>
      </c>
      <c r="F1433" t="str">
        <f t="shared" si="22"/>
        <v>002977.SZ</v>
      </c>
    </row>
    <row r="1434" spans="1:6" x14ac:dyDescent="0.15">
      <c r="A1434" s="2">
        <v>46089</v>
      </c>
      <c r="B1434" s="1" t="s">
        <v>2706</v>
      </c>
      <c r="C1434" s="1" t="s">
        <v>2707</v>
      </c>
      <c r="D1434" t="b">
        <f ca="1">IF(A1434="","",[1]!s_techanal_rcnthigh(B1434,$B$2,1,3))</f>
        <v>0</v>
      </c>
      <c r="E1434">
        <f ca="1">IF(A1434="","",COUNTIF(D$6:D1434,"True"))</f>
        <v>12</v>
      </c>
      <c r="F1434" t="str">
        <f t="shared" si="22"/>
        <v>002978.SZ</v>
      </c>
    </row>
    <row r="1435" spans="1:6" x14ac:dyDescent="0.15">
      <c r="A1435" s="2">
        <v>46089</v>
      </c>
      <c r="B1435" s="1" t="s">
        <v>2708</v>
      </c>
      <c r="C1435" s="1" t="s">
        <v>2709</v>
      </c>
      <c r="D1435" t="b">
        <f ca="1">IF(A1435="","",[1]!s_techanal_rcnthigh(B1435,$B$2,1,3))</f>
        <v>0</v>
      </c>
      <c r="E1435">
        <f ca="1">IF(A1435="","",COUNTIF(D$6:D1435,"True"))</f>
        <v>12</v>
      </c>
      <c r="F1435" t="str">
        <f t="shared" si="22"/>
        <v>002979.SZ</v>
      </c>
    </row>
    <row r="1436" spans="1:6" x14ac:dyDescent="0.15">
      <c r="A1436" s="2">
        <v>46089</v>
      </c>
      <c r="B1436" s="1" t="s">
        <v>2710</v>
      </c>
      <c r="C1436" s="1" t="s">
        <v>2711</v>
      </c>
      <c r="D1436" t="b">
        <f ca="1">IF(A1436="","",[1]!s_techanal_rcnthigh(B1436,$B$2,1,3))</f>
        <v>0</v>
      </c>
      <c r="E1436">
        <f ca="1">IF(A1436="","",COUNTIF(D$6:D1436,"True"))</f>
        <v>12</v>
      </c>
      <c r="F1436" t="str">
        <f t="shared" si="22"/>
        <v>002980.SZ</v>
      </c>
    </row>
    <row r="1437" spans="1:6" x14ac:dyDescent="0.15">
      <c r="A1437" s="2">
        <v>46089</v>
      </c>
      <c r="B1437" s="1" t="s">
        <v>2712</v>
      </c>
      <c r="C1437" s="1" t="s">
        <v>2713</v>
      </c>
      <c r="D1437" t="b">
        <f ca="1">IF(A1437="","",[1]!s_techanal_rcnthigh(B1437,$B$2,1,3))</f>
        <v>0</v>
      </c>
      <c r="E1437">
        <f ca="1">IF(A1437="","",COUNTIF(D$6:D1437,"True"))</f>
        <v>12</v>
      </c>
      <c r="F1437" t="str">
        <f t="shared" si="22"/>
        <v>002981.SZ</v>
      </c>
    </row>
    <row r="1438" spans="1:6" x14ac:dyDescent="0.15">
      <c r="A1438" s="2">
        <v>46089</v>
      </c>
      <c r="B1438" s="1" t="s">
        <v>2714</v>
      </c>
      <c r="C1438" s="1" t="s">
        <v>2715</v>
      </c>
      <c r="D1438" t="b">
        <f ca="1">IF(A1438="","",[1]!s_techanal_rcnthigh(B1438,$B$2,1,3))</f>
        <v>0</v>
      </c>
      <c r="E1438">
        <f ca="1">IF(A1438="","",COUNTIF(D$6:D1438,"True"))</f>
        <v>12</v>
      </c>
      <c r="F1438" t="str">
        <f t="shared" si="22"/>
        <v>002982.SZ</v>
      </c>
    </row>
    <row r="1439" spans="1:6" x14ac:dyDescent="0.15">
      <c r="A1439" s="2">
        <v>46089</v>
      </c>
      <c r="B1439" s="1" t="s">
        <v>2716</v>
      </c>
      <c r="C1439" s="1" t="s">
        <v>2717</v>
      </c>
      <c r="D1439" t="b">
        <f ca="1">IF(A1439="","",[1]!s_techanal_rcnthigh(B1439,$B$2,1,3))</f>
        <v>0</v>
      </c>
      <c r="E1439">
        <f ca="1">IF(A1439="","",COUNTIF(D$6:D1439,"True"))</f>
        <v>12</v>
      </c>
      <c r="F1439" t="str">
        <f t="shared" si="22"/>
        <v>002983.SZ</v>
      </c>
    </row>
    <row r="1440" spans="1:6" x14ac:dyDescent="0.15">
      <c r="A1440" s="2">
        <v>46089</v>
      </c>
      <c r="B1440" s="1" t="s">
        <v>2718</v>
      </c>
      <c r="C1440" s="1" t="s">
        <v>2719</v>
      </c>
      <c r="D1440" t="b">
        <f ca="1">IF(A1440="","",[1]!s_techanal_rcnthigh(B1440,$B$2,1,3))</f>
        <v>0</v>
      </c>
      <c r="E1440">
        <f ca="1">IF(A1440="","",COUNTIF(D$6:D1440,"True"))</f>
        <v>12</v>
      </c>
      <c r="F1440" t="str">
        <f t="shared" si="22"/>
        <v>002984.SZ</v>
      </c>
    </row>
    <row r="1441" spans="1:6" x14ac:dyDescent="0.15">
      <c r="A1441" s="2">
        <v>46089</v>
      </c>
      <c r="B1441" s="1" t="s">
        <v>2720</v>
      </c>
      <c r="C1441" s="1" t="s">
        <v>2721</v>
      </c>
      <c r="D1441" t="b">
        <f ca="1">IF(A1441="","",[1]!s_techanal_rcnthigh(B1441,$B$2,1,3))</f>
        <v>0</v>
      </c>
      <c r="E1441">
        <f ca="1">IF(A1441="","",COUNTIF(D$6:D1441,"True"))</f>
        <v>12</v>
      </c>
      <c r="F1441" t="str">
        <f t="shared" si="22"/>
        <v>002985.SZ</v>
      </c>
    </row>
    <row r="1442" spans="1:6" x14ac:dyDescent="0.15">
      <c r="A1442" s="2">
        <v>46089</v>
      </c>
      <c r="B1442" s="1" t="s">
        <v>2722</v>
      </c>
      <c r="C1442" s="1" t="s">
        <v>2723</v>
      </c>
      <c r="D1442" t="b">
        <f ca="1">IF(A1442="","",[1]!s_techanal_rcnthigh(B1442,$B$2,1,3))</f>
        <v>0</v>
      </c>
      <c r="E1442">
        <f ca="1">IF(A1442="","",COUNTIF(D$6:D1442,"True"))</f>
        <v>12</v>
      </c>
      <c r="F1442" t="str">
        <f t="shared" si="22"/>
        <v>002986.SZ</v>
      </c>
    </row>
    <row r="1443" spans="1:6" x14ac:dyDescent="0.15">
      <c r="A1443" s="2">
        <v>46089</v>
      </c>
      <c r="B1443" s="1" t="s">
        <v>2724</v>
      </c>
      <c r="C1443" s="1" t="s">
        <v>2725</v>
      </c>
      <c r="D1443" t="b">
        <f ca="1">IF(A1443="","",[1]!s_techanal_rcnthigh(B1443,$B$2,1,3))</f>
        <v>0</v>
      </c>
      <c r="E1443">
        <f ca="1">IF(A1443="","",COUNTIF(D$6:D1443,"True"))</f>
        <v>12</v>
      </c>
      <c r="F1443" t="str">
        <f t="shared" si="22"/>
        <v>002987.SZ</v>
      </c>
    </row>
    <row r="1444" spans="1:6" x14ac:dyDescent="0.15">
      <c r="A1444" s="2">
        <v>46089</v>
      </c>
      <c r="B1444" s="1" t="s">
        <v>2726</v>
      </c>
      <c r="C1444" s="1" t="s">
        <v>2727</v>
      </c>
      <c r="D1444" t="b">
        <f ca="1">IF(A1444="","",[1]!s_techanal_rcnthigh(B1444,$B$2,1,3))</f>
        <v>0</v>
      </c>
      <c r="E1444">
        <f ca="1">IF(A1444="","",COUNTIF(D$6:D1444,"True"))</f>
        <v>12</v>
      </c>
      <c r="F1444" t="str">
        <f t="shared" si="22"/>
        <v>002988.SZ</v>
      </c>
    </row>
    <row r="1445" spans="1:6" x14ac:dyDescent="0.15">
      <c r="A1445" s="2">
        <v>46089</v>
      </c>
      <c r="B1445" s="1" t="s">
        <v>2728</v>
      </c>
      <c r="C1445" s="1" t="s">
        <v>2729</v>
      </c>
      <c r="D1445" t="b">
        <f ca="1">IF(A1445="","",[1]!s_techanal_rcnthigh(B1445,$B$2,1,3))</f>
        <v>0</v>
      </c>
      <c r="E1445">
        <f ca="1">IF(A1445="","",COUNTIF(D$6:D1445,"True"))</f>
        <v>12</v>
      </c>
      <c r="F1445" t="str">
        <f t="shared" si="22"/>
        <v>002989.SZ</v>
      </c>
    </row>
    <row r="1446" spans="1:6" x14ac:dyDescent="0.15">
      <c r="A1446" s="2">
        <v>46089</v>
      </c>
      <c r="B1446" s="1" t="s">
        <v>2730</v>
      </c>
      <c r="C1446" s="1" t="s">
        <v>2731</v>
      </c>
      <c r="D1446" t="b">
        <f ca="1">IF(A1446="","",[1]!s_techanal_rcnthigh(B1446,$B$2,1,3))</f>
        <v>0</v>
      </c>
      <c r="E1446">
        <f ca="1">IF(A1446="","",COUNTIF(D$6:D1446,"True"))</f>
        <v>12</v>
      </c>
      <c r="F1446" t="str">
        <f t="shared" si="22"/>
        <v>002990.SZ</v>
      </c>
    </row>
    <row r="1447" spans="1:6" x14ac:dyDescent="0.15">
      <c r="A1447" s="2">
        <v>46089</v>
      </c>
      <c r="B1447" s="1" t="s">
        <v>2732</v>
      </c>
      <c r="C1447" s="1" t="s">
        <v>2733</v>
      </c>
      <c r="D1447" t="b">
        <f ca="1">IF(A1447="","",[1]!s_techanal_rcnthigh(B1447,$B$2,1,3))</f>
        <v>0</v>
      </c>
      <c r="E1447">
        <f ca="1">IF(A1447="","",COUNTIF(D$6:D1447,"True"))</f>
        <v>12</v>
      </c>
      <c r="F1447" t="str">
        <f t="shared" si="22"/>
        <v>002991.SZ</v>
      </c>
    </row>
    <row r="1448" spans="1:6" x14ac:dyDescent="0.15">
      <c r="A1448" s="2">
        <v>46089</v>
      </c>
      <c r="B1448" s="1" t="s">
        <v>2734</v>
      </c>
      <c r="C1448" s="1" t="s">
        <v>2735</v>
      </c>
      <c r="D1448" t="b">
        <f ca="1">IF(A1448="","",[1]!s_techanal_rcnthigh(B1448,$B$2,1,3))</f>
        <v>0</v>
      </c>
      <c r="E1448">
        <f ca="1">IF(A1448="","",COUNTIF(D$6:D1448,"True"))</f>
        <v>12</v>
      </c>
      <c r="F1448" t="str">
        <f t="shared" si="22"/>
        <v>002992.SZ</v>
      </c>
    </row>
    <row r="1449" spans="1:6" x14ac:dyDescent="0.15">
      <c r="A1449" s="2">
        <v>46089</v>
      </c>
      <c r="B1449" s="1" t="s">
        <v>2736</v>
      </c>
      <c r="C1449" s="1" t="s">
        <v>2737</v>
      </c>
      <c r="D1449" t="b">
        <f ca="1">IF(A1449="","",[1]!s_techanal_rcnthigh(B1449,$B$2,1,3))</f>
        <v>0</v>
      </c>
      <c r="E1449">
        <f ca="1">IF(A1449="","",COUNTIF(D$6:D1449,"True"))</f>
        <v>12</v>
      </c>
      <c r="F1449" t="str">
        <f t="shared" si="22"/>
        <v>002993.SZ</v>
      </c>
    </row>
    <row r="1450" spans="1:6" x14ac:dyDescent="0.15">
      <c r="A1450" s="2">
        <v>46089</v>
      </c>
      <c r="B1450" s="1" t="s">
        <v>2738</v>
      </c>
      <c r="C1450" s="1" t="s">
        <v>2739</v>
      </c>
      <c r="D1450" t="b">
        <f ca="1">IF(A1450="","",[1]!s_techanal_rcnthigh(B1450,$B$2,1,3))</f>
        <v>0</v>
      </c>
      <c r="E1450">
        <f ca="1">IF(A1450="","",COUNTIF(D$6:D1450,"True"))</f>
        <v>12</v>
      </c>
      <c r="F1450" t="str">
        <f t="shared" si="22"/>
        <v>002995.SZ</v>
      </c>
    </row>
    <row r="1451" spans="1:6" x14ac:dyDescent="0.15">
      <c r="A1451" s="2">
        <v>46089</v>
      </c>
      <c r="B1451" s="1" t="s">
        <v>2740</v>
      </c>
      <c r="C1451" s="1" t="s">
        <v>2741</v>
      </c>
      <c r="D1451" t="b">
        <f ca="1">IF(A1451="","",[1]!s_techanal_rcnthigh(B1451,$B$2,1,3))</f>
        <v>0</v>
      </c>
      <c r="E1451">
        <f ca="1">IF(A1451="","",COUNTIF(D$6:D1451,"True"))</f>
        <v>12</v>
      </c>
      <c r="F1451" t="str">
        <f t="shared" si="22"/>
        <v>002996.SZ</v>
      </c>
    </row>
    <row r="1452" spans="1:6" x14ac:dyDescent="0.15">
      <c r="A1452" s="2">
        <v>46089</v>
      </c>
      <c r="B1452" s="1" t="s">
        <v>2742</v>
      </c>
      <c r="C1452" s="1" t="s">
        <v>2743</v>
      </c>
      <c r="D1452" t="b">
        <f ca="1">IF(A1452="","",[1]!s_techanal_rcnthigh(B1452,$B$2,1,3))</f>
        <v>0</v>
      </c>
      <c r="E1452">
        <f ca="1">IF(A1452="","",COUNTIF(D$6:D1452,"True"))</f>
        <v>12</v>
      </c>
      <c r="F1452" t="str">
        <f t="shared" si="22"/>
        <v>002997.SZ</v>
      </c>
    </row>
    <row r="1453" spans="1:6" x14ac:dyDescent="0.15">
      <c r="A1453" s="2">
        <v>46089</v>
      </c>
      <c r="B1453" s="1" t="s">
        <v>2744</v>
      </c>
      <c r="C1453" s="1" t="s">
        <v>2745</v>
      </c>
      <c r="D1453" t="b">
        <f ca="1">IF(A1453="","",[1]!s_techanal_rcnthigh(B1453,$B$2,1,3))</f>
        <v>0</v>
      </c>
      <c r="E1453">
        <f ca="1">IF(A1453="","",COUNTIF(D$6:D1453,"True"))</f>
        <v>12</v>
      </c>
      <c r="F1453" t="str">
        <f t="shared" si="22"/>
        <v>002998.SZ</v>
      </c>
    </row>
    <row r="1454" spans="1:6" x14ac:dyDescent="0.15">
      <c r="A1454" s="2">
        <v>46089</v>
      </c>
      <c r="B1454" s="1" t="s">
        <v>2746</v>
      </c>
      <c r="C1454" s="1" t="s">
        <v>2747</v>
      </c>
      <c r="D1454" t="b">
        <f ca="1">IF(A1454="","",[1]!s_techanal_rcnthigh(B1454,$B$2,1,3))</f>
        <v>0</v>
      </c>
      <c r="E1454">
        <f ca="1">IF(A1454="","",COUNTIF(D$6:D1454,"True"))</f>
        <v>12</v>
      </c>
      <c r="F1454" t="str">
        <f t="shared" si="22"/>
        <v>002999.SZ</v>
      </c>
    </row>
    <row r="1455" spans="1:6" x14ac:dyDescent="0.15">
      <c r="A1455" s="2">
        <v>46089</v>
      </c>
      <c r="B1455" s="1" t="s">
        <v>2748</v>
      </c>
      <c r="C1455" s="1" t="s">
        <v>2749</v>
      </c>
      <c r="D1455" t="b">
        <f ca="1">IF(A1455="","",[1]!s_techanal_rcnthigh(B1455,$B$2,1,3))</f>
        <v>0</v>
      </c>
      <c r="E1455">
        <f ca="1">IF(A1455="","",COUNTIF(D$6:D1455,"True"))</f>
        <v>12</v>
      </c>
      <c r="F1455" t="str">
        <f t="shared" si="22"/>
        <v>003000.SZ</v>
      </c>
    </row>
    <row r="1456" spans="1:6" x14ac:dyDescent="0.15">
      <c r="A1456" s="2">
        <v>46089</v>
      </c>
      <c r="B1456" s="1" t="s">
        <v>2750</v>
      </c>
      <c r="C1456" s="1" t="s">
        <v>2751</v>
      </c>
      <c r="D1456" t="b">
        <f ca="1">IF(A1456="","",[1]!s_techanal_rcnthigh(B1456,$B$2,1,3))</f>
        <v>0</v>
      </c>
      <c r="E1456">
        <f ca="1">IF(A1456="","",COUNTIF(D$6:D1456,"True"))</f>
        <v>12</v>
      </c>
      <c r="F1456" t="str">
        <f t="shared" si="22"/>
        <v>003001.SZ</v>
      </c>
    </row>
    <row r="1457" spans="1:6" x14ac:dyDescent="0.15">
      <c r="A1457" s="2">
        <v>46089</v>
      </c>
      <c r="B1457" s="1" t="s">
        <v>2752</v>
      </c>
      <c r="C1457" s="1" t="s">
        <v>2753</v>
      </c>
      <c r="D1457" t="b">
        <f ca="1">IF(A1457="","",[1]!s_techanal_rcnthigh(B1457,$B$2,1,3))</f>
        <v>0</v>
      </c>
      <c r="E1457">
        <f ca="1">IF(A1457="","",COUNTIF(D$6:D1457,"True"))</f>
        <v>12</v>
      </c>
      <c r="F1457" t="str">
        <f t="shared" si="22"/>
        <v>003002.SZ</v>
      </c>
    </row>
    <row r="1458" spans="1:6" x14ac:dyDescent="0.15">
      <c r="A1458" s="2">
        <v>46089</v>
      </c>
      <c r="B1458" s="1" t="s">
        <v>2754</v>
      </c>
      <c r="C1458" s="1" t="s">
        <v>2755</v>
      </c>
      <c r="D1458" t="b">
        <f ca="1">IF(A1458="","",[1]!s_techanal_rcnthigh(B1458,$B$2,1,3))</f>
        <v>0</v>
      </c>
      <c r="E1458">
        <f ca="1">IF(A1458="","",COUNTIF(D$6:D1458,"True"))</f>
        <v>12</v>
      </c>
      <c r="F1458" t="str">
        <f t="shared" si="22"/>
        <v>003003.SZ</v>
      </c>
    </row>
    <row r="1459" spans="1:6" x14ac:dyDescent="0.15">
      <c r="A1459" s="2">
        <v>46089</v>
      </c>
      <c r="B1459" s="1" t="s">
        <v>2756</v>
      </c>
      <c r="C1459" s="1" t="s">
        <v>10174</v>
      </c>
      <c r="D1459" t="b">
        <f ca="1">IF(A1459="","",[1]!s_techanal_rcnthigh(B1459,$B$2,1,3))</f>
        <v>0</v>
      </c>
      <c r="E1459">
        <f ca="1">IF(A1459="","",COUNTIF(D$6:D1459,"True"))</f>
        <v>12</v>
      </c>
      <c r="F1459" t="str">
        <f t="shared" si="22"/>
        <v>003004.SZ</v>
      </c>
    </row>
    <row r="1460" spans="1:6" x14ac:dyDescent="0.15">
      <c r="A1460" s="2">
        <v>46089</v>
      </c>
      <c r="B1460" s="1" t="s">
        <v>2757</v>
      </c>
      <c r="C1460" s="1" t="s">
        <v>2758</v>
      </c>
      <c r="D1460" t="b">
        <f ca="1">IF(A1460="","",[1]!s_techanal_rcnthigh(B1460,$B$2,1,3))</f>
        <v>0</v>
      </c>
      <c r="E1460">
        <f ca="1">IF(A1460="","",COUNTIF(D$6:D1460,"True"))</f>
        <v>12</v>
      </c>
      <c r="F1460" t="str">
        <f t="shared" si="22"/>
        <v>003005.SZ</v>
      </c>
    </row>
    <row r="1461" spans="1:6" x14ac:dyDescent="0.15">
      <c r="A1461" s="2">
        <v>46089</v>
      </c>
      <c r="B1461" s="1" t="s">
        <v>2759</v>
      </c>
      <c r="C1461" s="1" t="s">
        <v>2760</v>
      </c>
      <c r="D1461" t="b">
        <f ca="1">IF(A1461="","",[1]!s_techanal_rcnthigh(B1461,$B$2,1,3))</f>
        <v>0</v>
      </c>
      <c r="E1461">
        <f ca="1">IF(A1461="","",COUNTIF(D$6:D1461,"True"))</f>
        <v>12</v>
      </c>
      <c r="F1461" t="str">
        <f t="shared" si="22"/>
        <v>003006.SZ</v>
      </c>
    </row>
    <row r="1462" spans="1:6" x14ac:dyDescent="0.15">
      <c r="A1462" s="2">
        <v>46089</v>
      </c>
      <c r="B1462" s="1" t="s">
        <v>2761</v>
      </c>
      <c r="C1462" s="1" t="s">
        <v>2762</v>
      </c>
      <c r="D1462" t="b">
        <f ca="1">IF(A1462="","",[1]!s_techanal_rcnthigh(B1462,$B$2,1,3))</f>
        <v>0</v>
      </c>
      <c r="E1462">
        <f ca="1">IF(A1462="","",COUNTIF(D$6:D1462,"True"))</f>
        <v>12</v>
      </c>
      <c r="F1462" t="str">
        <f t="shared" si="22"/>
        <v>003007.SZ</v>
      </c>
    </row>
    <row r="1463" spans="1:6" x14ac:dyDescent="0.15">
      <c r="A1463" s="2">
        <v>46089</v>
      </c>
      <c r="B1463" s="1" t="s">
        <v>2763</v>
      </c>
      <c r="C1463" s="1" t="s">
        <v>2764</v>
      </c>
      <c r="D1463" t="b">
        <f ca="1">IF(A1463="","",[1]!s_techanal_rcnthigh(B1463,$B$2,1,3))</f>
        <v>0</v>
      </c>
      <c r="E1463">
        <f ca="1">IF(A1463="","",COUNTIF(D$6:D1463,"True"))</f>
        <v>12</v>
      </c>
      <c r="F1463" t="str">
        <f t="shared" si="22"/>
        <v>003008.SZ</v>
      </c>
    </row>
    <row r="1464" spans="1:6" x14ac:dyDescent="0.15">
      <c r="A1464" s="2">
        <v>46089</v>
      </c>
      <c r="B1464" s="1" t="s">
        <v>2765</v>
      </c>
      <c r="C1464" s="1" t="s">
        <v>2766</v>
      </c>
      <c r="D1464" t="b">
        <f ca="1">IF(A1464="","",[1]!s_techanal_rcnthigh(B1464,$B$2,1,3))</f>
        <v>0</v>
      </c>
      <c r="E1464">
        <f ca="1">IF(A1464="","",COUNTIF(D$6:D1464,"True"))</f>
        <v>12</v>
      </c>
      <c r="F1464" t="str">
        <f t="shared" si="22"/>
        <v>003009.SZ</v>
      </c>
    </row>
    <row r="1465" spans="1:6" x14ac:dyDescent="0.15">
      <c r="A1465" s="2">
        <v>46089</v>
      </c>
      <c r="B1465" s="1" t="s">
        <v>2767</v>
      </c>
      <c r="C1465" s="1" t="s">
        <v>2768</v>
      </c>
      <c r="D1465" t="b">
        <f ca="1">IF(A1465="","",[1]!s_techanal_rcnthigh(B1465,$B$2,1,3))</f>
        <v>0</v>
      </c>
      <c r="E1465">
        <f ca="1">IF(A1465="","",COUNTIF(D$6:D1465,"True"))</f>
        <v>12</v>
      </c>
      <c r="F1465" t="str">
        <f t="shared" si="22"/>
        <v>003010.SZ</v>
      </c>
    </row>
    <row r="1466" spans="1:6" x14ac:dyDescent="0.15">
      <c r="A1466" s="2">
        <v>46089</v>
      </c>
      <c r="B1466" s="1" t="s">
        <v>2769</v>
      </c>
      <c r="C1466" s="1" t="s">
        <v>2770</v>
      </c>
      <c r="D1466" t="b">
        <f ca="1">IF(A1466="","",[1]!s_techanal_rcnthigh(B1466,$B$2,1,3))</f>
        <v>0</v>
      </c>
      <c r="E1466">
        <f ca="1">IF(A1466="","",COUNTIF(D$6:D1466,"True"))</f>
        <v>12</v>
      </c>
      <c r="F1466" t="str">
        <f t="shared" si="22"/>
        <v>003011.SZ</v>
      </c>
    </row>
    <row r="1467" spans="1:6" x14ac:dyDescent="0.15">
      <c r="A1467" s="2">
        <v>46089</v>
      </c>
      <c r="B1467" s="1" t="s">
        <v>2771</v>
      </c>
      <c r="C1467" s="1" t="s">
        <v>2772</v>
      </c>
      <c r="D1467" t="b">
        <f ca="1">IF(A1467="","",[1]!s_techanal_rcnthigh(B1467,$B$2,1,3))</f>
        <v>0</v>
      </c>
      <c r="E1467">
        <f ca="1">IF(A1467="","",COUNTIF(D$6:D1467,"True"))</f>
        <v>12</v>
      </c>
      <c r="F1467" t="str">
        <f t="shared" si="22"/>
        <v>003012.SZ</v>
      </c>
    </row>
    <row r="1468" spans="1:6" x14ac:dyDescent="0.15">
      <c r="A1468" s="2">
        <v>46089</v>
      </c>
      <c r="B1468" s="1" t="s">
        <v>2773</v>
      </c>
      <c r="C1468" s="1" t="s">
        <v>2774</v>
      </c>
      <c r="D1468" t="b">
        <f ca="1">IF(A1468="","",[1]!s_techanal_rcnthigh(B1468,$B$2,1,3))</f>
        <v>0</v>
      </c>
      <c r="E1468">
        <f ca="1">IF(A1468="","",COUNTIF(D$6:D1468,"True"))</f>
        <v>12</v>
      </c>
      <c r="F1468" t="str">
        <f t="shared" si="22"/>
        <v>003013.SZ</v>
      </c>
    </row>
    <row r="1469" spans="1:6" x14ac:dyDescent="0.15">
      <c r="A1469" s="2">
        <v>46089</v>
      </c>
      <c r="B1469" s="1" t="s">
        <v>2775</v>
      </c>
      <c r="C1469" s="1" t="s">
        <v>2776</v>
      </c>
      <c r="D1469" t="b">
        <f ca="1">IF(A1469="","",[1]!s_techanal_rcnthigh(B1469,$B$2,1,3))</f>
        <v>0</v>
      </c>
      <c r="E1469">
        <f ca="1">IF(A1469="","",COUNTIF(D$6:D1469,"True"))</f>
        <v>12</v>
      </c>
      <c r="F1469" t="str">
        <f t="shared" si="22"/>
        <v>003015.SZ</v>
      </c>
    </row>
    <row r="1470" spans="1:6" x14ac:dyDescent="0.15">
      <c r="A1470" s="2">
        <v>46089</v>
      </c>
      <c r="B1470" s="1" t="s">
        <v>2777</v>
      </c>
      <c r="C1470" s="1" t="s">
        <v>2778</v>
      </c>
      <c r="D1470" t="b">
        <f ca="1">IF(A1470="","",[1]!s_techanal_rcnthigh(B1470,$B$2,1,3))</f>
        <v>0</v>
      </c>
      <c r="E1470">
        <f ca="1">IF(A1470="","",COUNTIF(D$6:D1470,"True"))</f>
        <v>12</v>
      </c>
      <c r="F1470" t="str">
        <f t="shared" si="22"/>
        <v>003016.SZ</v>
      </c>
    </row>
    <row r="1471" spans="1:6" x14ac:dyDescent="0.15">
      <c r="A1471" s="2">
        <v>46089</v>
      </c>
      <c r="B1471" s="1" t="s">
        <v>2779</v>
      </c>
      <c r="C1471" s="1" t="s">
        <v>2780</v>
      </c>
      <c r="D1471" t="b">
        <f ca="1">IF(A1471="","",[1]!s_techanal_rcnthigh(B1471,$B$2,1,3))</f>
        <v>0</v>
      </c>
      <c r="E1471">
        <f ca="1">IF(A1471="","",COUNTIF(D$6:D1471,"True"))</f>
        <v>12</v>
      </c>
      <c r="F1471" t="str">
        <f t="shared" si="22"/>
        <v>003017.SZ</v>
      </c>
    </row>
    <row r="1472" spans="1:6" x14ac:dyDescent="0.15">
      <c r="A1472" s="2">
        <v>46089</v>
      </c>
      <c r="B1472" s="1" t="s">
        <v>2781</v>
      </c>
      <c r="C1472" s="1" t="s">
        <v>2782</v>
      </c>
      <c r="D1472" t="b">
        <f ca="1">IF(A1472="","",[1]!s_techanal_rcnthigh(B1472,$B$2,1,3))</f>
        <v>0</v>
      </c>
      <c r="E1472">
        <f ca="1">IF(A1472="","",COUNTIF(D$6:D1472,"True"))</f>
        <v>12</v>
      </c>
      <c r="F1472" t="str">
        <f t="shared" si="22"/>
        <v>003018.SZ</v>
      </c>
    </row>
    <row r="1473" spans="1:6" x14ac:dyDescent="0.15">
      <c r="A1473" s="2">
        <v>46089</v>
      </c>
      <c r="B1473" s="1" t="s">
        <v>2783</v>
      </c>
      <c r="C1473" s="1" t="s">
        <v>2784</v>
      </c>
      <c r="D1473" t="b">
        <f ca="1">IF(A1473="","",[1]!s_techanal_rcnthigh(B1473,$B$2,1,3))</f>
        <v>0</v>
      </c>
      <c r="E1473">
        <f ca="1">IF(A1473="","",COUNTIF(D$6:D1473,"True"))</f>
        <v>12</v>
      </c>
      <c r="F1473" t="str">
        <f t="shared" si="22"/>
        <v>003019.SZ</v>
      </c>
    </row>
    <row r="1474" spans="1:6" x14ac:dyDescent="0.15">
      <c r="A1474" s="2">
        <v>46089</v>
      </c>
      <c r="B1474" s="1" t="s">
        <v>2785</v>
      </c>
      <c r="C1474" s="1" t="s">
        <v>2786</v>
      </c>
      <c r="D1474" t="b">
        <f ca="1">IF(A1474="","",[1]!s_techanal_rcnthigh(B1474,$B$2,1,3))</f>
        <v>0</v>
      </c>
      <c r="E1474">
        <f ca="1">IF(A1474="","",COUNTIF(D$6:D1474,"True"))</f>
        <v>12</v>
      </c>
      <c r="F1474" t="str">
        <f t="shared" si="22"/>
        <v>003020.SZ</v>
      </c>
    </row>
    <row r="1475" spans="1:6" x14ac:dyDescent="0.15">
      <c r="A1475" s="2">
        <v>46089</v>
      </c>
      <c r="B1475" s="1" t="s">
        <v>2787</v>
      </c>
      <c r="C1475" s="1" t="s">
        <v>2788</v>
      </c>
      <c r="D1475" t="b">
        <f ca="1">IF(A1475="","",[1]!s_techanal_rcnthigh(B1475,$B$2,1,3))</f>
        <v>0</v>
      </c>
      <c r="E1475">
        <f ca="1">IF(A1475="","",COUNTIF(D$6:D1475,"True"))</f>
        <v>12</v>
      </c>
      <c r="F1475" t="str">
        <f t="shared" si="22"/>
        <v>003021.SZ</v>
      </c>
    </row>
    <row r="1476" spans="1:6" x14ac:dyDescent="0.15">
      <c r="A1476" s="2">
        <v>46089</v>
      </c>
      <c r="B1476" s="1" t="s">
        <v>2789</v>
      </c>
      <c r="C1476" s="1" t="s">
        <v>2790</v>
      </c>
      <c r="D1476" t="b">
        <f ca="1">IF(A1476="","",[1]!s_techanal_rcnthigh(B1476,$B$2,1,3))</f>
        <v>0</v>
      </c>
      <c r="E1476">
        <f ca="1">IF(A1476="","",COUNTIF(D$6:D1476,"True"))</f>
        <v>12</v>
      </c>
      <c r="F1476" t="str">
        <f t="shared" si="22"/>
        <v>003022.SZ</v>
      </c>
    </row>
    <row r="1477" spans="1:6" x14ac:dyDescent="0.15">
      <c r="A1477" s="2">
        <v>46089</v>
      </c>
      <c r="B1477" s="1" t="s">
        <v>2791</v>
      </c>
      <c r="C1477" s="1" t="s">
        <v>2792</v>
      </c>
      <c r="D1477" t="b">
        <f ca="1">IF(A1477="","",[1]!s_techanal_rcnthigh(B1477,$B$2,1,3))</f>
        <v>0</v>
      </c>
      <c r="E1477">
        <f ca="1">IF(A1477="","",COUNTIF(D$6:D1477,"True"))</f>
        <v>12</v>
      </c>
      <c r="F1477" t="str">
        <f t="shared" si="22"/>
        <v>003023.SZ</v>
      </c>
    </row>
    <row r="1478" spans="1:6" x14ac:dyDescent="0.15">
      <c r="A1478" s="2">
        <v>46089</v>
      </c>
      <c r="B1478" s="1" t="s">
        <v>2793</v>
      </c>
      <c r="C1478" s="1" t="s">
        <v>2794</v>
      </c>
      <c r="D1478" t="b">
        <f ca="1">IF(A1478="","",[1]!s_techanal_rcnthigh(B1478,$B$2,1,3))</f>
        <v>0</v>
      </c>
      <c r="E1478">
        <f ca="1">IF(A1478="","",COUNTIF(D$6:D1478,"True"))</f>
        <v>12</v>
      </c>
      <c r="F1478" t="str">
        <f t="shared" ref="F1478:F1541" si="23">IF(B1478="","",B1478)</f>
        <v>003025.SZ</v>
      </c>
    </row>
    <row r="1479" spans="1:6" x14ac:dyDescent="0.15">
      <c r="A1479" s="2">
        <v>46089</v>
      </c>
      <c r="B1479" s="1" t="s">
        <v>2795</v>
      </c>
      <c r="C1479" s="1" t="s">
        <v>2796</v>
      </c>
      <c r="D1479" t="b">
        <f ca="1">IF(A1479="","",[1]!s_techanal_rcnthigh(B1479,$B$2,1,3))</f>
        <v>0</v>
      </c>
      <c r="E1479">
        <f ca="1">IF(A1479="","",COUNTIF(D$6:D1479,"True"))</f>
        <v>12</v>
      </c>
      <c r="F1479" t="str">
        <f t="shared" si="23"/>
        <v>003026.SZ</v>
      </c>
    </row>
    <row r="1480" spans="1:6" x14ac:dyDescent="0.15">
      <c r="A1480" s="2">
        <v>46089</v>
      </c>
      <c r="B1480" s="1" t="s">
        <v>2797</v>
      </c>
      <c r="C1480" s="1" t="s">
        <v>10175</v>
      </c>
      <c r="D1480" t="b">
        <f ca="1">IF(A1480="","",[1]!s_techanal_rcnthigh(B1480,$B$2,1,3))</f>
        <v>0</v>
      </c>
      <c r="E1480">
        <f ca="1">IF(A1480="","",COUNTIF(D$6:D1480,"True"))</f>
        <v>12</v>
      </c>
      <c r="F1480" t="str">
        <f t="shared" si="23"/>
        <v>003027.SZ</v>
      </c>
    </row>
    <row r="1481" spans="1:6" x14ac:dyDescent="0.15">
      <c r="A1481" s="2">
        <v>46089</v>
      </c>
      <c r="B1481" s="1" t="s">
        <v>2798</v>
      </c>
      <c r="C1481" s="1" t="s">
        <v>2799</v>
      </c>
      <c r="D1481" t="b">
        <f ca="1">IF(A1481="","",[1]!s_techanal_rcnthigh(B1481,$B$2,1,3))</f>
        <v>0</v>
      </c>
      <c r="E1481">
        <f ca="1">IF(A1481="","",COUNTIF(D$6:D1481,"True"))</f>
        <v>12</v>
      </c>
      <c r="F1481" t="str">
        <f t="shared" si="23"/>
        <v>003028.SZ</v>
      </c>
    </row>
    <row r="1482" spans="1:6" x14ac:dyDescent="0.15">
      <c r="A1482" s="2">
        <v>46089</v>
      </c>
      <c r="B1482" s="1" t="s">
        <v>2800</v>
      </c>
      <c r="C1482" s="1" t="s">
        <v>2801</v>
      </c>
      <c r="D1482" t="b">
        <f ca="1">IF(A1482="","",[1]!s_techanal_rcnthigh(B1482,$B$2,1,3))</f>
        <v>0</v>
      </c>
      <c r="E1482">
        <f ca="1">IF(A1482="","",COUNTIF(D$6:D1482,"True"))</f>
        <v>12</v>
      </c>
      <c r="F1482" t="str">
        <f t="shared" si="23"/>
        <v>003029.SZ</v>
      </c>
    </row>
    <row r="1483" spans="1:6" x14ac:dyDescent="0.15">
      <c r="A1483" s="2">
        <v>46089</v>
      </c>
      <c r="B1483" s="1" t="s">
        <v>2802</v>
      </c>
      <c r="C1483" s="1" t="s">
        <v>2803</v>
      </c>
      <c r="D1483" t="b">
        <f ca="1">IF(A1483="","",[1]!s_techanal_rcnthigh(B1483,$B$2,1,3))</f>
        <v>0</v>
      </c>
      <c r="E1483">
        <f ca="1">IF(A1483="","",COUNTIF(D$6:D1483,"True"))</f>
        <v>12</v>
      </c>
      <c r="F1483" t="str">
        <f t="shared" si="23"/>
        <v>003030.SZ</v>
      </c>
    </row>
    <row r="1484" spans="1:6" x14ac:dyDescent="0.15">
      <c r="A1484" s="2">
        <v>46089</v>
      </c>
      <c r="B1484" s="1" t="s">
        <v>2804</v>
      </c>
      <c r="C1484" s="1" t="s">
        <v>2805</v>
      </c>
      <c r="D1484" t="b">
        <f ca="1">IF(A1484="","",[1]!s_techanal_rcnthigh(B1484,$B$2,1,3))</f>
        <v>0</v>
      </c>
      <c r="E1484">
        <f ca="1">IF(A1484="","",COUNTIF(D$6:D1484,"True"))</f>
        <v>12</v>
      </c>
      <c r="F1484" t="str">
        <f t="shared" si="23"/>
        <v>003031.SZ</v>
      </c>
    </row>
    <row r="1485" spans="1:6" x14ac:dyDescent="0.15">
      <c r="A1485" s="2">
        <v>46089</v>
      </c>
      <c r="B1485" s="1" t="s">
        <v>2806</v>
      </c>
      <c r="C1485" s="1" t="s">
        <v>10176</v>
      </c>
      <c r="D1485" t="b">
        <f ca="1">IF(A1485="","",[1]!s_techanal_rcnthigh(B1485,$B$2,1,3))</f>
        <v>0</v>
      </c>
      <c r="E1485">
        <f ca="1">IF(A1485="","",COUNTIF(D$6:D1485,"True"))</f>
        <v>12</v>
      </c>
      <c r="F1485" t="str">
        <f t="shared" si="23"/>
        <v>003032.SZ</v>
      </c>
    </row>
    <row r="1486" spans="1:6" x14ac:dyDescent="0.15">
      <c r="A1486" s="2">
        <v>46089</v>
      </c>
      <c r="B1486" s="1" t="s">
        <v>2807</v>
      </c>
      <c r="C1486" s="1" t="s">
        <v>2808</v>
      </c>
      <c r="D1486" t="b">
        <f ca="1">IF(A1486="","",[1]!s_techanal_rcnthigh(B1486,$B$2,1,3))</f>
        <v>0</v>
      </c>
      <c r="E1486">
        <f ca="1">IF(A1486="","",COUNTIF(D$6:D1486,"True"))</f>
        <v>12</v>
      </c>
      <c r="F1486" t="str">
        <f t="shared" si="23"/>
        <v>003033.SZ</v>
      </c>
    </row>
    <row r="1487" spans="1:6" x14ac:dyDescent="0.15">
      <c r="A1487" s="2">
        <v>46089</v>
      </c>
      <c r="B1487" s="1" t="s">
        <v>2809</v>
      </c>
      <c r="C1487" s="1" t="s">
        <v>2810</v>
      </c>
      <c r="D1487" t="b">
        <f ca="1">IF(A1487="","",[1]!s_techanal_rcnthigh(B1487,$B$2,1,3))</f>
        <v>0</v>
      </c>
      <c r="E1487">
        <f ca="1">IF(A1487="","",COUNTIF(D$6:D1487,"True"))</f>
        <v>12</v>
      </c>
      <c r="F1487" t="str">
        <f t="shared" si="23"/>
        <v>003035.SZ</v>
      </c>
    </row>
    <row r="1488" spans="1:6" x14ac:dyDescent="0.15">
      <c r="A1488" s="2">
        <v>46089</v>
      </c>
      <c r="B1488" s="1" t="s">
        <v>2811</v>
      </c>
      <c r="C1488" s="1" t="s">
        <v>2812</v>
      </c>
      <c r="D1488" t="b">
        <f ca="1">IF(A1488="","",[1]!s_techanal_rcnthigh(B1488,$B$2,1,3))</f>
        <v>0</v>
      </c>
      <c r="E1488">
        <f ca="1">IF(A1488="","",COUNTIF(D$6:D1488,"True"))</f>
        <v>12</v>
      </c>
      <c r="F1488" t="str">
        <f t="shared" si="23"/>
        <v>003036.SZ</v>
      </c>
    </row>
    <row r="1489" spans="1:6" x14ac:dyDescent="0.15">
      <c r="A1489" s="2">
        <v>46089</v>
      </c>
      <c r="B1489" s="1" t="s">
        <v>2813</v>
      </c>
      <c r="C1489" s="1" t="s">
        <v>2814</v>
      </c>
      <c r="D1489" t="b">
        <f ca="1">IF(A1489="","",[1]!s_techanal_rcnthigh(B1489,$B$2,1,3))</f>
        <v>0</v>
      </c>
      <c r="E1489">
        <f ca="1">IF(A1489="","",COUNTIF(D$6:D1489,"True"))</f>
        <v>12</v>
      </c>
      <c r="F1489" t="str">
        <f t="shared" si="23"/>
        <v>003037.SZ</v>
      </c>
    </row>
    <row r="1490" spans="1:6" x14ac:dyDescent="0.15">
      <c r="A1490" s="2">
        <v>46089</v>
      </c>
      <c r="B1490" s="1" t="s">
        <v>2815</v>
      </c>
      <c r="C1490" s="1" t="s">
        <v>2816</v>
      </c>
      <c r="D1490" t="b">
        <f ca="1">IF(A1490="","",[1]!s_techanal_rcnthigh(B1490,$B$2,1,3))</f>
        <v>0</v>
      </c>
      <c r="E1490">
        <f ca="1">IF(A1490="","",COUNTIF(D$6:D1490,"True"))</f>
        <v>12</v>
      </c>
      <c r="F1490" t="str">
        <f t="shared" si="23"/>
        <v>003038.SZ</v>
      </c>
    </row>
    <row r="1491" spans="1:6" x14ac:dyDescent="0.15">
      <c r="A1491" s="2">
        <v>46089</v>
      </c>
      <c r="B1491" s="1" t="s">
        <v>2817</v>
      </c>
      <c r="C1491" s="1" t="s">
        <v>2818</v>
      </c>
      <c r="D1491" t="b">
        <f ca="1">IF(A1491="","",[1]!s_techanal_rcnthigh(B1491,$B$2,1,3))</f>
        <v>0</v>
      </c>
      <c r="E1491">
        <f ca="1">IF(A1491="","",COUNTIF(D$6:D1491,"True"))</f>
        <v>12</v>
      </c>
      <c r="F1491" t="str">
        <f t="shared" si="23"/>
        <v>003039.SZ</v>
      </c>
    </row>
    <row r="1492" spans="1:6" x14ac:dyDescent="0.15">
      <c r="A1492" s="2">
        <v>46089</v>
      </c>
      <c r="B1492" s="1" t="s">
        <v>2819</v>
      </c>
      <c r="C1492" s="1" t="s">
        <v>2820</v>
      </c>
      <c r="D1492" t="b">
        <f ca="1">IF(A1492="","",[1]!s_techanal_rcnthigh(B1492,$B$2,1,3))</f>
        <v>0</v>
      </c>
      <c r="E1492">
        <f ca="1">IF(A1492="","",COUNTIF(D$6:D1492,"True"))</f>
        <v>12</v>
      </c>
      <c r="F1492" t="str">
        <f t="shared" si="23"/>
        <v>003040.SZ</v>
      </c>
    </row>
    <row r="1493" spans="1:6" x14ac:dyDescent="0.15">
      <c r="A1493" s="2">
        <v>46089</v>
      </c>
      <c r="B1493" s="1" t="s">
        <v>2821</v>
      </c>
      <c r="C1493" s="1" t="s">
        <v>2822</v>
      </c>
      <c r="D1493" t="b">
        <f ca="1">IF(A1493="","",[1]!s_techanal_rcnthigh(B1493,$B$2,1,3))</f>
        <v>0</v>
      </c>
      <c r="E1493">
        <f ca="1">IF(A1493="","",COUNTIF(D$6:D1493,"True"))</f>
        <v>12</v>
      </c>
      <c r="F1493" t="str">
        <f t="shared" si="23"/>
        <v>003041.SZ</v>
      </c>
    </row>
    <row r="1494" spans="1:6" x14ac:dyDescent="0.15">
      <c r="A1494" s="2">
        <v>46089</v>
      </c>
      <c r="B1494" s="1" t="s">
        <v>2823</v>
      </c>
      <c r="C1494" s="1" t="s">
        <v>2824</v>
      </c>
      <c r="D1494" t="b">
        <f ca="1">IF(A1494="","",[1]!s_techanal_rcnthigh(B1494,$B$2,1,3))</f>
        <v>0</v>
      </c>
      <c r="E1494">
        <f ca="1">IF(A1494="","",COUNTIF(D$6:D1494,"True"))</f>
        <v>12</v>
      </c>
      <c r="F1494" t="str">
        <f t="shared" si="23"/>
        <v>003042.SZ</v>
      </c>
    </row>
    <row r="1495" spans="1:6" x14ac:dyDescent="0.15">
      <c r="A1495" s="2">
        <v>46089</v>
      </c>
      <c r="B1495" s="1" t="s">
        <v>2825</v>
      </c>
      <c r="C1495" s="1" t="s">
        <v>2826</v>
      </c>
      <c r="D1495" t="b">
        <f ca="1">IF(A1495="","",[1]!s_techanal_rcnthigh(B1495,$B$2,1,3))</f>
        <v>0</v>
      </c>
      <c r="E1495">
        <f ca="1">IF(A1495="","",COUNTIF(D$6:D1495,"True"))</f>
        <v>12</v>
      </c>
      <c r="F1495" t="str">
        <f t="shared" si="23"/>
        <v>003043.SZ</v>
      </c>
    </row>
    <row r="1496" spans="1:6" x14ac:dyDescent="0.15">
      <c r="A1496" s="2">
        <v>46089</v>
      </c>
      <c r="B1496" s="1" t="s">
        <v>2827</v>
      </c>
      <c r="C1496" s="1" t="s">
        <v>2828</v>
      </c>
      <c r="D1496" t="b">
        <f ca="1">IF(A1496="","",[1]!s_techanal_rcnthigh(B1496,$B$2,1,3))</f>
        <v>0</v>
      </c>
      <c r="E1496">
        <f ca="1">IF(A1496="","",COUNTIF(D$6:D1496,"True"))</f>
        <v>12</v>
      </c>
      <c r="F1496" t="str">
        <f t="shared" si="23"/>
        <v>003816.SZ</v>
      </c>
    </row>
    <row r="1497" spans="1:6" x14ac:dyDescent="0.15">
      <c r="A1497" s="2">
        <v>46089</v>
      </c>
      <c r="B1497" s="1" t="s">
        <v>2829</v>
      </c>
      <c r="C1497" s="1" t="s">
        <v>2830</v>
      </c>
      <c r="D1497" t="b">
        <f ca="1">IF(A1497="","",[1]!s_techanal_rcnthigh(B1497,$B$2,1,3))</f>
        <v>0</v>
      </c>
      <c r="E1497">
        <f ca="1">IF(A1497="","",COUNTIF(D$6:D1497,"True"))</f>
        <v>12</v>
      </c>
      <c r="F1497" t="str">
        <f t="shared" si="23"/>
        <v>300001.SZ</v>
      </c>
    </row>
    <row r="1498" spans="1:6" x14ac:dyDescent="0.15">
      <c r="A1498" s="2">
        <v>46089</v>
      </c>
      <c r="B1498" s="1" t="s">
        <v>2831</v>
      </c>
      <c r="C1498" s="1" t="s">
        <v>2832</v>
      </c>
      <c r="D1498" t="b">
        <f ca="1">IF(A1498="","",[1]!s_techanal_rcnthigh(B1498,$B$2,1,3))</f>
        <v>0</v>
      </c>
      <c r="E1498">
        <f ca="1">IF(A1498="","",COUNTIF(D$6:D1498,"True"))</f>
        <v>12</v>
      </c>
      <c r="F1498" t="str">
        <f t="shared" si="23"/>
        <v>300002.SZ</v>
      </c>
    </row>
    <row r="1499" spans="1:6" x14ac:dyDescent="0.15">
      <c r="A1499" s="2">
        <v>46089</v>
      </c>
      <c r="B1499" s="1" t="s">
        <v>2833</v>
      </c>
      <c r="C1499" s="1" t="s">
        <v>2834</v>
      </c>
      <c r="D1499" t="b">
        <f ca="1">IF(A1499="","",[1]!s_techanal_rcnthigh(B1499,$B$2,1,3))</f>
        <v>0</v>
      </c>
      <c r="E1499">
        <f ca="1">IF(A1499="","",COUNTIF(D$6:D1499,"True"))</f>
        <v>12</v>
      </c>
      <c r="F1499" t="str">
        <f t="shared" si="23"/>
        <v>300003.SZ</v>
      </c>
    </row>
    <row r="1500" spans="1:6" x14ac:dyDescent="0.15">
      <c r="A1500" s="2">
        <v>46089</v>
      </c>
      <c r="B1500" s="1" t="s">
        <v>2835</v>
      </c>
      <c r="C1500" s="1" t="s">
        <v>2836</v>
      </c>
      <c r="D1500" t="b">
        <f ca="1">IF(A1500="","",[1]!s_techanal_rcnthigh(B1500,$B$2,1,3))</f>
        <v>0</v>
      </c>
      <c r="E1500">
        <f ca="1">IF(A1500="","",COUNTIF(D$6:D1500,"True"))</f>
        <v>12</v>
      </c>
      <c r="F1500" t="str">
        <f t="shared" si="23"/>
        <v>300004.SZ</v>
      </c>
    </row>
    <row r="1501" spans="1:6" x14ac:dyDescent="0.15">
      <c r="A1501" s="2">
        <v>46089</v>
      </c>
      <c r="B1501" s="1" t="s">
        <v>2837</v>
      </c>
      <c r="C1501" s="1" t="s">
        <v>2838</v>
      </c>
      <c r="D1501" t="b">
        <f ca="1">IF(A1501="","",[1]!s_techanal_rcnthigh(B1501,$B$2,1,3))</f>
        <v>0</v>
      </c>
      <c r="E1501">
        <f ca="1">IF(A1501="","",COUNTIF(D$6:D1501,"True"))</f>
        <v>12</v>
      </c>
      <c r="F1501" t="str">
        <f t="shared" si="23"/>
        <v>300005.SZ</v>
      </c>
    </row>
    <row r="1502" spans="1:6" x14ac:dyDescent="0.15">
      <c r="A1502" s="2">
        <v>46089</v>
      </c>
      <c r="B1502" s="1" t="s">
        <v>2839</v>
      </c>
      <c r="C1502" s="1" t="s">
        <v>2840</v>
      </c>
      <c r="D1502" t="b">
        <f ca="1">IF(A1502="","",[1]!s_techanal_rcnthigh(B1502,$B$2,1,3))</f>
        <v>0</v>
      </c>
      <c r="E1502">
        <f ca="1">IF(A1502="","",COUNTIF(D$6:D1502,"True"))</f>
        <v>12</v>
      </c>
      <c r="F1502" t="str">
        <f t="shared" si="23"/>
        <v>300006.SZ</v>
      </c>
    </row>
    <row r="1503" spans="1:6" x14ac:dyDescent="0.15">
      <c r="A1503" s="2">
        <v>46089</v>
      </c>
      <c r="B1503" s="1" t="s">
        <v>2841</v>
      </c>
      <c r="C1503" s="1" t="s">
        <v>2842</v>
      </c>
      <c r="D1503" t="b">
        <f ca="1">IF(A1503="","",[1]!s_techanal_rcnthigh(B1503,$B$2,1,3))</f>
        <v>0</v>
      </c>
      <c r="E1503">
        <f ca="1">IF(A1503="","",COUNTIF(D$6:D1503,"True"))</f>
        <v>12</v>
      </c>
      <c r="F1503" t="str">
        <f t="shared" si="23"/>
        <v>300007.SZ</v>
      </c>
    </row>
    <row r="1504" spans="1:6" x14ac:dyDescent="0.15">
      <c r="A1504" s="2">
        <v>46089</v>
      </c>
      <c r="B1504" s="1" t="s">
        <v>2843</v>
      </c>
      <c r="C1504" s="1" t="s">
        <v>2844</v>
      </c>
      <c r="D1504" t="b">
        <f ca="1">IF(A1504="","",[1]!s_techanal_rcnthigh(B1504,$B$2,1,3))</f>
        <v>0</v>
      </c>
      <c r="E1504">
        <f ca="1">IF(A1504="","",COUNTIF(D$6:D1504,"True"))</f>
        <v>12</v>
      </c>
      <c r="F1504" t="str">
        <f t="shared" si="23"/>
        <v>300008.SZ</v>
      </c>
    </row>
    <row r="1505" spans="1:6" x14ac:dyDescent="0.15">
      <c r="A1505" s="2">
        <v>46089</v>
      </c>
      <c r="B1505" s="1" t="s">
        <v>2845</v>
      </c>
      <c r="C1505" s="1" t="s">
        <v>2846</v>
      </c>
      <c r="D1505" t="b">
        <f ca="1">IF(A1505="","",[1]!s_techanal_rcnthigh(B1505,$B$2,1,3))</f>
        <v>0</v>
      </c>
      <c r="E1505">
        <f ca="1">IF(A1505="","",COUNTIF(D$6:D1505,"True"))</f>
        <v>12</v>
      </c>
      <c r="F1505" t="str">
        <f t="shared" si="23"/>
        <v>300009.SZ</v>
      </c>
    </row>
    <row r="1506" spans="1:6" x14ac:dyDescent="0.15">
      <c r="A1506" s="2">
        <v>46089</v>
      </c>
      <c r="B1506" s="1" t="s">
        <v>2847</v>
      </c>
      <c r="C1506" s="1" t="s">
        <v>10177</v>
      </c>
      <c r="D1506" t="b">
        <f ca="1">IF(A1506="","",[1]!s_techanal_rcnthigh(B1506,$B$2,1,3))</f>
        <v>0</v>
      </c>
      <c r="E1506">
        <f ca="1">IF(A1506="","",COUNTIF(D$6:D1506,"True"))</f>
        <v>12</v>
      </c>
      <c r="F1506" t="str">
        <f t="shared" si="23"/>
        <v>300010.SZ</v>
      </c>
    </row>
    <row r="1507" spans="1:6" x14ac:dyDescent="0.15">
      <c r="A1507" s="2">
        <v>46089</v>
      </c>
      <c r="B1507" s="1" t="s">
        <v>2848</v>
      </c>
      <c r="C1507" s="1" t="s">
        <v>2849</v>
      </c>
      <c r="D1507" t="b">
        <f ca="1">IF(A1507="","",[1]!s_techanal_rcnthigh(B1507,$B$2,1,3))</f>
        <v>0</v>
      </c>
      <c r="E1507">
        <f ca="1">IF(A1507="","",COUNTIF(D$6:D1507,"True"))</f>
        <v>12</v>
      </c>
      <c r="F1507" t="str">
        <f t="shared" si="23"/>
        <v>300011.SZ</v>
      </c>
    </row>
    <row r="1508" spans="1:6" x14ac:dyDescent="0.15">
      <c r="A1508" s="2">
        <v>46089</v>
      </c>
      <c r="B1508" s="1" t="s">
        <v>2850</v>
      </c>
      <c r="C1508" s="1" t="s">
        <v>2851</v>
      </c>
      <c r="D1508" t="b">
        <f ca="1">IF(A1508="","",[1]!s_techanal_rcnthigh(B1508,$B$2,1,3))</f>
        <v>0</v>
      </c>
      <c r="E1508">
        <f ca="1">IF(A1508="","",COUNTIF(D$6:D1508,"True"))</f>
        <v>12</v>
      </c>
      <c r="F1508" t="str">
        <f t="shared" si="23"/>
        <v>300012.SZ</v>
      </c>
    </row>
    <row r="1509" spans="1:6" x14ac:dyDescent="0.15">
      <c r="A1509" s="2">
        <v>46089</v>
      </c>
      <c r="B1509" s="1" t="s">
        <v>2852</v>
      </c>
      <c r="C1509" s="1" t="s">
        <v>2853</v>
      </c>
      <c r="D1509" t="b">
        <f ca="1">IF(A1509="","",[1]!s_techanal_rcnthigh(B1509,$B$2,1,3))</f>
        <v>0</v>
      </c>
      <c r="E1509">
        <f ca="1">IF(A1509="","",COUNTIF(D$6:D1509,"True"))</f>
        <v>12</v>
      </c>
      <c r="F1509" t="str">
        <f t="shared" si="23"/>
        <v>300013.SZ</v>
      </c>
    </row>
    <row r="1510" spans="1:6" x14ac:dyDescent="0.15">
      <c r="A1510" s="2">
        <v>46089</v>
      </c>
      <c r="B1510" s="1" t="s">
        <v>2854</v>
      </c>
      <c r="C1510" s="1" t="s">
        <v>2855</v>
      </c>
      <c r="D1510" t="b">
        <f ca="1">IF(A1510="","",[1]!s_techanal_rcnthigh(B1510,$B$2,1,3))</f>
        <v>0</v>
      </c>
      <c r="E1510">
        <f ca="1">IF(A1510="","",COUNTIF(D$6:D1510,"True"))</f>
        <v>12</v>
      </c>
      <c r="F1510" t="str">
        <f t="shared" si="23"/>
        <v>300014.SZ</v>
      </c>
    </row>
    <row r="1511" spans="1:6" x14ac:dyDescent="0.15">
      <c r="A1511" s="2">
        <v>46089</v>
      </c>
      <c r="B1511" s="1" t="s">
        <v>2856</v>
      </c>
      <c r="C1511" s="1" t="s">
        <v>2857</v>
      </c>
      <c r="D1511" t="b">
        <f ca="1">IF(A1511="","",[1]!s_techanal_rcnthigh(B1511,$B$2,1,3))</f>
        <v>0</v>
      </c>
      <c r="E1511">
        <f ca="1">IF(A1511="","",COUNTIF(D$6:D1511,"True"))</f>
        <v>12</v>
      </c>
      <c r="F1511" t="str">
        <f t="shared" si="23"/>
        <v>300015.SZ</v>
      </c>
    </row>
    <row r="1512" spans="1:6" x14ac:dyDescent="0.15">
      <c r="A1512" s="2">
        <v>46089</v>
      </c>
      <c r="B1512" s="1" t="s">
        <v>2858</v>
      </c>
      <c r="C1512" s="1" t="s">
        <v>2859</v>
      </c>
      <c r="D1512" t="b">
        <f ca="1">IF(A1512="","",[1]!s_techanal_rcnthigh(B1512,$B$2,1,3))</f>
        <v>0</v>
      </c>
      <c r="E1512">
        <f ca="1">IF(A1512="","",COUNTIF(D$6:D1512,"True"))</f>
        <v>12</v>
      </c>
      <c r="F1512" t="str">
        <f t="shared" si="23"/>
        <v>300016.SZ</v>
      </c>
    </row>
    <row r="1513" spans="1:6" x14ac:dyDescent="0.15">
      <c r="A1513" s="2">
        <v>46089</v>
      </c>
      <c r="B1513" s="1" t="s">
        <v>2860</v>
      </c>
      <c r="C1513" s="1" t="s">
        <v>2861</v>
      </c>
      <c r="D1513" t="b">
        <f ca="1">IF(A1513="","",[1]!s_techanal_rcnthigh(B1513,$B$2,1,3))</f>
        <v>0</v>
      </c>
      <c r="E1513">
        <f ca="1">IF(A1513="","",COUNTIF(D$6:D1513,"True"))</f>
        <v>12</v>
      </c>
      <c r="F1513" t="str">
        <f t="shared" si="23"/>
        <v>300017.SZ</v>
      </c>
    </row>
    <row r="1514" spans="1:6" x14ac:dyDescent="0.15">
      <c r="A1514" s="2">
        <v>46089</v>
      </c>
      <c r="B1514" s="1" t="s">
        <v>2862</v>
      </c>
      <c r="C1514" s="1" t="s">
        <v>2863</v>
      </c>
      <c r="D1514" t="b">
        <f ca="1">IF(A1514="","",[1]!s_techanal_rcnthigh(B1514,$B$2,1,3))</f>
        <v>0</v>
      </c>
      <c r="E1514">
        <f ca="1">IF(A1514="","",COUNTIF(D$6:D1514,"True"))</f>
        <v>12</v>
      </c>
      <c r="F1514" t="str">
        <f t="shared" si="23"/>
        <v>300018.SZ</v>
      </c>
    </row>
    <row r="1515" spans="1:6" x14ac:dyDescent="0.15">
      <c r="A1515" s="2">
        <v>46089</v>
      </c>
      <c r="B1515" s="1" t="s">
        <v>2864</v>
      </c>
      <c r="C1515" s="1" t="s">
        <v>2865</v>
      </c>
      <c r="D1515" t="b">
        <f ca="1">IF(A1515="","",[1]!s_techanal_rcnthigh(B1515,$B$2,1,3))</f>
        <v>0</v>
      </c>
      <c r="E1515">
        <f ca="1">IF(A1515="","",COUNTIF(D$6:D1515,"True"))</f>
        <v>12</v>
      </c>
      <c r="F1515" t="str">
        <f t="shared" si="23"/>
        <v>300019.SZ</v>
      </c>
    </row>
    <row r="1516" spans="1:6" x14ac:dyDescent="0.15">
      <c r="A1516" s="2">
        <v>46089</v>
      </c>
      <c r="B1516" s="1" t="s">
        <v>2866</v>
      </c>
      <c r="C1516" s="1" t="s">
        <v>10178</v>
      </c>
      <c r="D1516" t="b">
        <f ca="1">IF(A1516="","",[1]!s_techanal_rcnthigh(B1516,$B$2,1,3))</f>
        <v>0</v>
      </c>
      <c r="E1516">
        <f ca="1">IF(A1516="","",COUNTIF(D$6:D1516,"True"))</f>
        <v>12</v>
      </c>
      <c r="F1516" t="str">
        <f t="shared" si="23"/>
        <v>300020.SZ</v>
      </c>
    </row>
    <row r="1517" spans="1:6" x14ac:dyDescent="0.15">
      <c r="A1517" s="2">
        <v>46089</v>
      </c>
      <c r="B1517" s="1" t="s">
        <v>2867</v>
      </c>
      <c r="C1517" s="1" t="s">
        <v>2868</v>
      </c>
      <c r="D1517" t="b">
        <f ca="1">IF(A1517="","",[1]!s_techanal_rcnthigh(B1517,$B$2,1,3))</f>
        <v>0</v>
      </c>
      <c r="E1517">
        <f ca="1">IF(A1517="","",COUNTIF(D$6:D1517,"True"))</f>
        <v>12</v>
      </c>
      <c r="F1517" t="str">
        <f t="shared" si="23"/>
        <v>300021.SZ</v>
      </c>
    </row>
    <row r="1518" spans="1:6" x14ac:dyDescent="0.15">
      <c r="A1518" s="2">
        <v>46089</v>
      </c>
      <c r="B1518" s="1" t="s">
        <v>2869</v>
      </c>
      <c r="C1518" s="1" t="s">
        <v>2870</v>
      </c>
      <c r="D1518" t="b">
        <f ca="1">IF(A1518="","",[1]!s_techanal_rcnthigh(B1518,$B$2,1,3))</f>
        <v>0</v>
      </c>
      <c r="E1518">
        <f ca="1">IF(A1518="","",COUNTIF(D$6:D1518,"True"))</f>
        <v>12</v>
      </c>
      <c r="F1518" t="str">
        <f t="shared" si="23"/>
        <v>300022.SZ</v>
      </c>
    </row>
    <row r="1519" spans="1:6" x14ac:dyDescent="0.15">
      <c r="A1519" s="2">
        <v>46089</v>
      </c>
      <c r="B1519" s="1" t="s">
        <v>2871</v>
      </c>
      <c r="C1519" s="1" t="s">
        <v>2872</v>
      </c>
      <c r="D1519" t="b">
        <f ca="1">IF(A1519="","",[1]!s_techanal_rcnthigh(B1519,$B$2,1,3))</f>
        <v>0</v>
      </c>
      <c r="E1519">
        <f ca="1">IF(A1519="","",COUNTIF(D$6:D1519,"True"))</f>
        <v>12</v>
      </c>
      <c r="F1519" t="str">
        <f t="shared" si="23"/>
        <v>300024.SZ</v>
      </c>
    </row>
    <row r="1520" spans="1:6" x14ac:dyDescent="0.15">
      <c r="A1520" s="2">
        <v>46089</v>
      </c>
      <c r="B1520" s="1" t="s">
        <v>2873</v>
      </c>
      <c r="C1520" s="1" t="s">
        <v>2874</v>
      </c>
      <c r="D1520" t="b">
        <f ca="1">IF(A1520="","",[1]!s_techanal_rcnthigh(B1520,$B$2,1,3))</f>
        <v>0</v>
      </c>
      <c r="E1520">
        <f ca="1">IF(A1520="","",COUNTIF(D$6:D1520,"True"))</f>
        <v>12</v>
      </c>
      <c r="F1520" t="str">
        <f t="shared" si="23"/>
        <v>300025.SZ</v>
      </c>
    </row>
    <row r="1521" spans="1:6" x14ac:dyDescent="0.15">
      <c r="A1521" s="2">
        <v>46089</v>
      </c>
      <c r="B1521" s="1" t="s">
        <v>2875</v>
      </c>
      <c r="C1521" s="1" t="s">
        <v>2876</v>
      </c>
      <c r="D1521" t="b">
        <f ca="1">IF(A1521="","",[1]!s_techanal_rcnthigh(B1521,$B$2,1,3))</f>
        <v>0</v>
      </c>
      <c r="E1521">
        <f ca="1">IF(A1521="","",COUNTIF(D$6:D1521,"True"))</f>
        <v>12</v>
      </c>
      <c r="F1521" t="str">
        <f t="shared" si="23"/>
        <v>300026.SZ</v>
      </c>
    </row>
    <row r="1522" spans="1:6" x14ac:dyDescent="0.15">
      <c r="A1522" s="2">
        <v>46089</v>
      </c>
      <c r="B1522" s="1" t="s">
        <v>2877</v>
      </c>
      <c r="C1522" s="1" t="s">
        <v>2878</v>
      </c>
      <c r="D1522" t="b">
        <f ca="1">IF(A1522="","",[1]!s_techanal_rcnthigh(B1522,$B$2,1,3))</f>
        <v>0</v>
      </c>
      <c r="E1522">
        <f ca="1">IF(A1522="","",COUNTIF(D$6:D1522,"True"))</f>
        <v>12</v>
      </c>
      <c r="F1522" t="str">
        <f t="shared" si="23"/>
        <v>300027.SZ</v>
      </c>
    </row>
    <row r="1523" spans="1:6" x14ac:dyDescent="0.15">
      <c r="A1523" s="2">
        <v>46089</v>
      </c>
      <c r="B1523" s="1" t="s">
        <v>2879</v>
      </c>
      <c r="C1523" s="1" t="s">
        <v>10179</v>
      </c>
      <c r="D1523" t="b">
        <f ca="1">IF(A1523="","",[1]!s_techanal_rcnthigh(B1523,$B$2,1,3))</f>
        <v>0</v>
      </c>
      <c r="E1523">
        <f ca="1">IF(A1523="","",COUNTIF(D$6:D1523,"True"))</f>
        <v>12</v>
      </c>
      <c r="F1523" t="str">
        <f t="shared" si="23"/>
        <v>300029.SZ</v>
      </c>
    </row>
    <row r="1524" spans="1:6" x14ac:dyDescent="0.15">
      <c r="A1524" s="2">
        <v>46089</v>
      </c>
      <c r="B1524" s="1" t="s">
        <v>2880</v>
      </c>
      <c r="C1524" s="1" t="s">
        <v>2881</v>
      </c>
      <c r="D1524" t="b">
        <f ca="1">IF(A1524="","",[1]!s_techanal_rcnthigh(B1524,$B$2,1,3))</f>
        <v>0</v>
      </c>
      <c r="E1524">
        <f ca="1">IF(A1524="","",COUNTIF(D$6:D1524,"True"))</f>
        <v>12</v>
      </c>
      <c r="F1524" t="str">
        <f t="shared" si="23"/>
        <v>300030.SZ</v>
      </c>
    </row>
    <row r="1525" spans="1:6" x14ac:dyDescent="0.15">
      <c r="A1525" s="2">
        <v>46089</v>
      </c>
      <c r="B1525" s="1" t="s">
        <v>2882</v>
      </c>
      <c r="C1525" s="1" t="s">
        <v>2883</v>
      </c>
      <c r="D1525" t="b">
        <f ca="1">IF(A1525="","",[1]!s_techanal_rcnthigh(B1525,$B$2,1,3))</f>
        <v>0</v>
      </c>
      <c r="E1525">
        <f ca="1">IF(A1525="","",COUNTIF(D$6:D1525,"True"))</f>
        <v>12</v>
      </c>
      <c r="F1525" t="str">
        <f t="shared" si="23"/>
        <v>300031.SZ</v>
      </c>
    </row>
    <row r="1526" spans="1:6" x14ac:dyDescent="0.15">
      <c r="A1526" s="2">
        <v>46089</v>
      </c>
      <c r="B1526" s="1" t="s">
        <v>2884</v>
      </c>
      <c r="C1526" s="1" t="s">
        <v>2885</v>
      </c>
      <c r="D1526" t="b">
        <f ca="1">IF(A1526="","",[1]!s_techanal_rcnthigh(B1526,$B$2,1,3))</f>
        <v>0</v>
      </c>
      <c r="E1526">
        <f ca="1">IF(A1526="","",COUNTIF(D$6:D1526,"True"))</f>
        <v>12</v>
      </c>
      <c r="F1526" t="str">
        <f t="shared" si="23"/>
        <v>300032.SZ</v>
      </c>
    </row>
    <row r="1527" spans="1:6" x14ac:dyDescent="0.15">
      <c r="A1527" s="2">
        <v>46089</v>
      </c>
      <c r="B1527" s="1" t="s">
        <v>2886</v>
      </c>
      <c r="C1527" s="1" t="s">
        <v>2887</v>
      </c>
      <c r="D1527" t="b">
        <f ca="1">IF(A1527="","",[1]!s_techanal_rcnthigh(B1527,$B$2,1,3))</f>
        <v>0</v>
      </c>
      <c r="E1527">
        <f ca="1">IF(A1527="","",COUNTIF(D$6:D1527,"True"))</f>
        <v>12</v>
      </c>
      <c r="F1527" t="str">
        <f t="shared" si="23"/>
        <v>300033.SZ</v>
      </c>
    </row>
    <row r="1528" spans="1:6" x14ac:dyDescent="0.15">
      <c r="A1528" s="2">
        <v>46089</v>
      </c>
      <c r="B1528" s="1" t="s">
        <v>2888</v>
      </c>
      <c r="C1528" s="1" t="s">
        <v>2889</v>
      </c>
      <c r="D1528" t="b">
        <f ca="1">IF(A1528="","",[1]!s_techanal_rcnthigh(B1528,$B$2,1,3))</f>
        <v>0</v>
      </c>
      <c r="E1528">
        <f ca="1">IF(A1528="","",COUNTIF(D$6:D1528,"True"))</f>
        <v>12</v>
      </c>
      <c r="F1528" t="str">
        <f t="shared" si="23"/>
        <v>300034.SZ</v>
      </c>
    </row>
    <row r="1529" spans="1:6" x14ac:dyDescent="0.15">
      <c r="A1529" s="2">
        <v>46089</v>
      </c>
      <c r="B1529" s="1" t="s">
        <v>2890</v>
      </c>
      <c r="C1529" s="1" t="s">
        <v>2891</v>
      </c>
      <c r="D1529" t="b">
        <f ca="1">IF(A1529="","",[1]!s_techanal_rcnthigh(B1529,$B$2,1,3))</f>
        <v>0</v>
      </c>
      <c r="E1529">
        <f ca="1">IF(A1529="","",COUNTIF(D$6:D1529,"True"))</f>
        <v>12</v>
      </c>
      <c r="F1529" t="str">
        <f t="shared" si="23"/>
        <v>300035.SZ</v>
      </c>
    </row>
    <row r="1530" spans="1:6" x14ac:dyDescent="0.15">
      <c r="A1530" s="2">
        <v>46089</v>
      </c>
      <c r="B1530" s="1" t="s">
        <v>2892</v>
      </c>
      <c r="C1530" s="1" t="s">
        <v>2893</v>
      </c>
      <c r="D1530" t="b">
        <f ca="1">IF(A1530="","",[1]!s_techanal_rcnthigh(B1530,$B$2,1,3))</f>
        <v>0</v>
      </c>
      <c r="E1530">
        <f ca="1">IF(A1530="","",COUNTIF(D$6:D1530,"True"))</f>
        <v>12</v>
      </c>
      <c r="F1530" t="str">
        <f t="shared" si="23"/>
        <v>300036.SZ</v>
      </c>
    </row>
    <row r="1531" spans="1:6" x14ac:dyDescent="0.15">
      <c r="A1531" s="2">
        <v>46089</v>
      </c>
      <c r="B1531" s="1" t="s">
        <v>2894</v>
      </c>
      <c r="C1531" s="1" t="s">
        <v>2895</v>
      </c>
      <c r="D1531" t="b">
        <f ca="1">IF(A1531="","",[1]!s_techanal_rcnthigh(B1531,$B$2,1,3))</f>
        <v>0</v>
      </c>
      <c r="E1531">
        <f ca="1">IF(A1531="","",COUNTIF(D$6:D1531,"True"))</f>
        <v>12</v>
      </c>
      <c r="F1531" t="str">
        <f t="shared" si="23"/>
        <v>300037.SZ</v>
      </c>
    </row>
    <row r="1532" spans="1:6" x14ac:dyDescent="0.15">
      <c r="A1532" s="2">
        <v>46089</v>
      </c>
      <c r="B1532" s="1" t="s">
        <v>2896</v>
      </c>
      <c r="C1532" s="1" t="s">
        <v>2897</v>
      </c>
      <c r="D1532" t="b">
        <f ca="1">IF(A1532="","",[1]!s_techanal_rcnthigh(B1532,$B$2,1,3))</f>
        <v>0</v>
      </c>
      <c r="E1532">
        <f ca="1">IF(A1532="","",COUNTIF(D$6:D1532,"True"))</f>
        <v>12</v>
      </c>
      <c r="F1532" t="str">
        <f t="shared" si="23"/>
        <v>300039.SZ</v>
      </c>
    </row>
    <row r="1533" spans="1:6" x14ac:dyDescent="0.15">
      <c r="A1533" s="2">
        <v>46089</v>
      </c>
      <c r="B1533" s="1" t="s">
        <v>2898</v>
      </c>
      <c r="C1533" s="1" t="s">
        <v>2899</v>
      </c>
      <c r="D1533" t="b">
        <f ca="1">IF(A1533="","",[1]!s_techanal_rcnthigh(B1533,$B$2,1,3))</f>
        <v>0</v>
      </c>
      <c r="E1533">
        <f ca="1">IF(A1533="","",COUNTIF(D$6:D1533,"True"))</f>
        <v>12</v>
      </c>
      <c r="F1533" t="str">
        <f t="shared" si="23"/>
        <v>300040.SZ</v>
      </c>
    </row>
    <row r="1534" spans="1:6" x14ac:dyDescent="0.15">
      <c r="A1534" s="2">
        <v>46089</v>
      </c>
      <c r="B1534" s="1" t="s">
        <v>2900</v>
      </c>
      <c r="C1534" s="1" t="s">
        <v>2901</v>
      </c>
      <c r="D1534" t="b">
        <f ca="1">IF(A1534="","",[1]!s_techanal_rcnthigh(B1534,$B$2,1,3))</f>
        <v>0</v>
      </c>
      <c r="E1534">
        <f ca="1">IF(A1534="","",COUNTIF(D$6:D1534,"True"))</f>
        <v>12</v>
      </c>
      <c r="F1534" t="str">
        <f t="shared" si="23"/>
        <v>300041.SZ</v>
      </c>
    </row>
    <row r="1535" spans="1:6" x14ac:dyDescent="0.15">
      <c r="A1535" s="2">
        <v>46089</v>
      </c>
      <c r="B1535" s="1" t="s">
        <v>2902</v>
      </c>
      <c r="C1535" s="1" t="s">
        <v>2903</v>
      </c>
      <c r="D1535" t="b">
        <f ca="1">IF(A1535="","",[1]!s_techanal_rcnthigh(B1535,$B$2,1,3))</f>
        <v>0</v>
      </c>
      <c r="E1535">
        <f ca="1">IF(A1535="","",COUNTIF(D$6:D1535,"True"))</f>
        <v>12</v>
      </c>
      <c r="F1535" t="str">
        <f t="shared" si="23"/>
        <v>300042.SZ</v>
      </c>
    </row>
    <row r="1536" spans="1:6" x14ac:dyDescent="0.15">
      <c r="A1536" s="2">
        <v>46089</v>
      </c>
      <c r="B1536" s="1" t="s">
        <v>2904</v>
      </c>
      <c r="C1536" s="1" t="s">
        <v>2905</v>
      </c>
      <c r="D1536" t="b">
        <f ca="1">IF(A1536="","",[1]!s_techanal_rcnthigh(B1536,$B$2,1,3))</f>
        <v>0</v>
      </c>
      <c r="E1536">
        <f ca="1">IF(A1536="","",COUNTIF(D$6:D1536,"True"))</f>
        <v>12</v>
      </c>
      <c r="F1536" t="str">
        <f t="shared" si="23"/>
        <v>300043.SZ</v>
      </c>
    </row>
    <row r="1537" spans="1:6" x14ac:dyDescent="0.15">
      <c r="A1537" s="2">
        <v>46089</v>
      </c>
      <c r="B1537" s="1" t="s">
        <v>2906</v>
      </c>
      <c r="C1537" s="1" t="s">
        <v>10180</v>
      </c>
      <c r="D1537" t="b">
        <f ca="1">IF(A1537="","",[1]!s_techanal_rcnthigh(B1537,$B$2,1,3))</f>
        <v>0</v>
      </c>
      <c r="E1537">
        <f ca="1">IF(A1537="","",COUNTIF(D$6:D1537,"True"))</f>
        <v>12</v>
      </c>
      <c r="F1537" t="str">
        <f t="shared" si="23"/>
        <v>300044.SZ</v>
      </c>
    </row>
    <row r="1538" spans="1:6" x14ac:dyDescent="0.15">
      <c r="A1538" s="2">
        <v>46089</v>
      </c>
      <c r="B1538" s="1" t="s">
        <v>2907</v>
      </c>
      <c r="C1538" s="1" t="s">
        <v>2908</v>
      </c>
      <c r="D1538" t="b">
        <f ca="1">IF(A1538="","",[1]!s_techanal_rcnthigh(B1538,$B$2,1,3))</f>
        <v>0</v>
      </c>
      <c r="E1538">
        <f ca="1">IF(A1538="","",COUNTIF(D$6:D1538,"True"))</f>
        <v>12</v>
      </c>
      <c r="F1538" t="str">
        <f t="shared" si="23"/>
        <v>300045.SZ</v>
      </c>
    </row>
    <row r="1539" spans="1:6" x14ac:dyDescent="0.15">
      <c r="A1539" s="2">
        <v>46089</v>
      </c>
      <c r="B1539" s="1" t="s">
        <v>2909</v>
      </c>
      <c r="C1539" s="1" t="s">
        <v>2910</v>
      </c>
      <c r="D1539" t="b">
        <f ca="1">IF(A1539="","",[1]!s_techanal_rcnthigh(B1539,$B$2,1,3))</f>
        <v>0</v>
      </c>
      <c r="E1539">
        <f ca="1">IF(A1539="","",COUNTIF(D$6:D1539,"True"))</f>
        <v>12</v>
      </c>
      <c r="F1539" t="str">
        <f t="shared" si="23"/>
        <v>300046.SZ</v>
      </c>
    </row>
    <row r="1540" spans="1:6" x14ac:dyDescent="0.15">
      <c r="A1540" s="2">
        <v>46089</v>
      </c>
      <c r="B1540" s="1" t="s">
        <v>2911</v>
      </c>
      <c r="C1540" s="1" t="s">
        <v>2912</v>
      </c>
      <c r="D1540" t="b">
        <f ca="1">IF(A1540="","",[1]!s_techanal_rcnthigh(B1540,$B$2,1,3))</f>
        <v>0</v>
      </c>
      <c r="E1540">
        <f ca="1">IF(A1540="","",COUNTIF(D$6:D1540,"True"))</f>
        <v>12</v>
      </c>
      <c r="F1540" t="str">
        <f t="shared" si="23"/>
        <v>300047.SZ</v>
      </c>
    </row>
    <row r="1541" spans="1:6" x14ac:dyDescent="0.15">
      <c r="A1541" s="2">
        <v>46089</v>
      </c>
      <c r="B1541" s="1" t="s">
        <v>2913</v>
      </c>
      <c r="C1541" s="1" t="s">
        <v>2914</v>
      </c>
      <c r="D1541" t="b">
        <f ca="1">IF(A1541="","",[1]!s_techanal_rcnthigh(B1541,$B$2,1,3))</f>
        <v>0</v>
      </c>
      <c r="E1541">
        <f ca="1">IF(A1541="","",COUNTIF(D$6:D1541,"True"))</f>
        <v>12</v>
      </c>
      <c r="F1541" t="str">
        <f t="shared" si="23"/>
        <v>300048.SZ</v>
      </c>
    </row>
    <row r="1542" spans="1:6" x14ac:dyDescent="0.15">
      <c r="A1542" s="2">
        <v>46089</v>
      </c>
      <c r="B1542" s="1" t="s">
        <v>2915</v>
      </c>
      <c r="C1542" s="1" t="s">
        <v>10181</v>
      </c>
      <c r="D1542" t="b">
        <f ca="1">IF(A1542="","",[1]!s_techanal_rcnthigh(B1542,$B$2,1,3))</f>
        <v>0</v>
      </c>
      <c r="E1542">
        <f ca="1">IF(A1542="","",COUNTIF(D$6:D1542,"True"))</f>
        <v>12</v>
      </c>
      <c r="F1542" t="str">
        <f t="shared" ref="F1542:F1605" si="24">IF(B1542="","",B1542)</f>
        <v>300049.SZ</v>
      </c>
    </row>
    <row r="1543" spans="1:6" x14ac:dyDescent="0.15">
      <c r="A1543" s="2">
        <v>46089</v>
      </c>
      <c r="B1543" s="1" t="s">
        <v>2916</v>
      </c>
      <c r="C1543" s="1" t="s">
        <v>2917</v>
      </c>
      <c r="D1543" t="b">
        <f ca="1">IF(A1543="","",[1]!s_techanal_rcnthigh(B1543,$B$2,1,3))</f>
        <v>0</v>
      </c>
      <c r="E1543">
        <f ca="1">IF(A1543="","",COUNTIF(D$6:D1543,"True"))</f>
        <v>12</v>
      </c>
      <c r="F1543" t="str">
        <f t="shared" si="24"/>
        <v>300050.SZ</v>
      </c>
    </row>
    <row r="1544" spans="1:6" x14ac:dyDescent="0.15">
      <c r="A1544" s="2">
        <v>46089</v>
      </c>
      <c r="B1544" s="1" t="s">
        <v>2918</v>
      </c>
      <c r="C1544" s="1" t="s">
        <v>2919</v>
      </c>
      <c r="D1544" t="b">
        <f ca="1">IF(A1544="","",[1]!s_techanal_rcnthigh(B1544,$B$2,1,3))</f>
        <v>0</v>
      </c>
      <c r="E1544">
        <f ca="1">IF(A1544="","",COUNTIF(D$6:D1544,"True"))</f>
        <v>12</v>
      </c>
      <c r="F1544" t="str">
        <f t="shared" si="24"/>
        <v>300051.SZ</v>
      </c>
    </row>
    <row r="1545" spans="1:6" x14ac:dyDescent="0.15">
      <c r="A1545" s="2">
        <v>46089</v>
      </c>
      <c r="B1545" s="1" t="s">
        <v>2920</v>
      </c>
      <c r="C1545" s="1" t="s">
        <v>10182</v>
      </c>
      <c r="D1545" t="b">
        <f ca="1">IF(A1545="","",[1]!s_techanal_rcnthigh(B1545,$B$2,1,3))</f>
        <v>0</v>
      </c>
      <c r="E1545">
        <f ca="1">IF(A1545="","",COUNTIF(D$6:D1545,"True"))</f>
        <v>12</v>
      </c>
      <c r="F1545" t="str">
        <f t="shared" si="24"/>
        <v>300052.SZ</v>
      </c>
    </row>
    <row r="1546" spans="1:6" x14ac:dyDescent="0.15">
      <c r="A1546" s="2">
        <v>46089</v>
      </c>
      <c r="B1546" s="1" t="s">
        <v>2921</v>
      </c>
      <c r="C1546" s="1" t="s">
        <v>2922</v>
      </c>
      <c r="D1546" t="b">
        <f ca="1">IF(A1546="","",[1]!s_techanal_rcnthigh(B1546,$B$2,1,3))</f>
        <v>0</v>
      </c>
      <c r="E1546">
        <f ca="1">IF(A1546="","",COUNTIF(D$6:D1546,"True"))</f>
        <v>12</v>
      </c>
      <c r="F1546" t="str">
        <f t="shared" si="24"/>
        <v>300053.SZ</v>
      </c>
    </row>
    <row r="1547" spans="1:6" x14ac:dyDescent="0.15">
      <c r="A1547" s="2">
        <v>46089</v>
      </c>
      <c r="B1547" s="1" t="s">
        <v>2923</v>
      </c>
      <c r="C1547" s="1" t="s">
        <v>2924</v>
      </c>
      <c r="D1547" t="b">
        <f ca="1">IF(A1547="","",[1]!s_techanal_rcnthigh(B1547,$B$2,1,3))</f>
        <v>0</v>
      </c>
      <c r="E1547">
        <f ca="1">IF(A1547="","",COUNTIF(D$6:D1547,"True"))</f>
        <v>12</v>
      </c>
      <c r="F1547" t="str">
        <f t="shared" si="24"/>
        <v>300054.SZ</v>
      </c>
    </row>
    <row r="1548" spans="1:6" x14ac:dyDescent="0.15">
      <c r="A1548" s="2">
        <v>46089</v>
      </c>
      <c r="B1548" s="1" t="s">
        <v>2925</v>
      </c>
      <c r="C1548" s="1" t="s">
        <v>2926</v>
      </c>
      <c r="D1548" t="b">
        <f ca="1">IF(A1548="","",[1]!s_techanal_rcnthigh(B1548,$B$2,1,3))</f>
        <v>0</v>
      </c>
      <c r="E1548">
        <f ca="1">IF(A1548="","",COUNTIF(D$6:D1548,"True"))</f>
        <v>12</v>
      </c>
      <c r="F1548" t="str">
        <f t="shared" si="24"/>
        <v>300055.SZ</v>
      </c>
    </row>
    <row r="1549" spans="1:6" x14ac:dyDescent="0.15">
      <c r="A1549" s="2">
        <v>46089</v>
      </c>
      <c r="B1549" s="1" t="s">
        <v>2927</v>
      </c>
      <c r="C1549" s="1" t="s">
        <v>2928</v>
      </c>
      <c r="D1549" t="b">
        <f ca="1">IF(A1549="","",[1]!s_techanal_rcnthigh(B1549,$B$2,1,3))</f>
        <v>0</v>
      </c>
      <c r="E1549">
        <f ca="1">IF(A1549="","",COUNTIF(D$6:D1549,"True"))</f>
        <v>12</v>
      </c>
      <c r="F1549" t="str">
        <f t="shared" si="24"/>
        <v>300056.SZ</v>
      </c>
    </row>
    <row r="1550" spans="1:6" x14ac:dyDescent="0.15">
      <c r="A1550" s="2">
        <v>46089</v>
      </c>
      <c r="B1550" s="1" t="s">
        <v>2929</v>
      </c>
      <c r="C1550" s="1" t="s">
        <v>2930</v>
      </c>
      <c r="D1550" t="b">
        <f ca="1">IF(A1550="","",[1]!s_techanal_rcnthigh(B1550,$B$2,1,3))</f>
        <v>0</v>
      </c>
      <c r="E1550">
        <f ca="1">IF(A1550="","",COUNTIF(D$6:D1550,"True"))</f>
        <v>12</v>
      </c>
      <c r="F1550" t="str">
        <f t="shared" si="24"/>
        <v>300057.SZ</v>
      </c>
    </row>
    <row r="1551" spans="1:6" x14ac:dyDescent="0.15">
      <c r="A1551" s="2">
        <v>46089</v>
      </c>
      <c r="B1551" s="1" t="s">
        <v>2931</v>
      </c>
      <c r="C1551" s="1" t="s">
        <v>2932</v>
      </c>
      <c r="D1551" t="b">
        <f ca="1">IF(A1551="","",[1]!s_techanal_rcnthigh(B1551,$B$2,1,3))</f>
        <v>0</v>
      </c>
      <c r="E1551">
        <f ca="1">IF(A1551="","",COUNTIF(D$6:D1551,"True"))</f>
        <v>12</v>
      </c>
      <c r="F1551" t="str">
        <f t="shared" si="24"/>
        <v>300058.SZ</v>
      </c>
    </row>
    <row r="1552" spans="1:6" x14ac:dyDescent="0.15">
      <c r="A1552" s="2">
        <v>46089</v>
      </c>
      <c r="B1552" s="1" t="s">
        <v>2933</v>
      </c>
      <c r="C1552" s="1" t="s">
        <v>2934</v>
      </c>
      <c r="D1552" t="b">
        <f ca="1">IF(A1552="","",[1]!s_techanal_rcnthigh(B1552,$B$2,1,3))</f>
        <v>0</v>
      </c>
      <c r="E1552">
        <f ca="1">IF(A1552="","",COUNTIF(D$6:D1552,"True"))</f>
        <v>12</v>
      </c>
      <c r="F1552" t="str">
        <f t="shared" si="24"/>
        <v>300059.SZ</v>
      </c>
    </row>
    <row r="1553" spans="1:6" x14ac:dyDescent="0.15">
      <c r="A1553" s="2">
        <v>46089</v>
      </c>
      <c r="B1553" s="1" t="s">
        <v>2935</v>
      </c>
      <c r="C1553" s="1" t="s">
        <v>2936</v>
      </c>
      <c r="D1553" t="b">
        <f ca="1">IF(A1553="","",[1]!s_techanal_rcnthigh(B1553,$B$2,1,3))</f>
        <v>0</v>
      </c>
      <c r="E1553">
        <f ca="1">IF(A1553="","",COUNTIF(D$6:D1553,"True"))</f>
        <v>12</v>
      </c>
      <c r="F1553" t="str">
        <f t="shared" si="24"/>
        <v>300061.SZ</v>
      </c>
    </row>
    <row r="1554" spans="1:6" x14ac:dyDescent="0.15">
      <c r="A1554" s="2">
        <v>46089</v>
      </c>
      <c r="B1554" s="1" t="s">
        <v>2937</v>
      </c>
      <c r="C1554" s="1" t="s">
        <v>2938</v>
      </c>
      <c r="D1554" t="b">
        <f ca="1">IF(A1554="","",[1]!s_techanal_rcnthigh(B1554,$B$2,1,3))</f>
        <v>0</v>
      </c>
      <c r="E1554">
        <f ca="1">IF(A1554="","",COUNTIF(D$6:D1554,"True"))</f>
        <v>12</v>
      </c>
      <c r="F1554" t="str">
        <f t="shared" si="24"/>
        <v>300062.SZ</v>
      </c>
    </row>
    <row r="1555" spans="1:6" x14ac:dyDescent="0.15">
      <c r="A1555" s="2">
        <v>46089</v>
      </c>
      <c r="B1555" s="1" t="s">
        <v>2939</v>
      </c>
      <c r="C1555" s="1" t="s">
        <v>2940</v>
      </c>
      <c r="D1555" t="b">
        <f ca="1">IF(A1555="","",[1]!s_techanal_rcnthigh(B1555,$B$2,1,3))</f>
        <v>0</v>
      </c>
      <c r="E1555">
        <f ca="1">IF(A1555="","",COUNTIF(D$6:D1555,"True"))</f>
        <v>12</v>
      </c>
      <c r="F1555" t="str">
        <f t="shared" si="24"/>
        <v>300063.SZ</v>
      </c>
    </row>
    <row r="1556" spans="1:6" x14ac:dyDescent="0.15">
      <c r="A1556" s="2">
        <v>46089</v>
      </c>
      <c r="B1556" s="1" t="s">
        <v>2941</v>
      </c>
      <c r="C1556" s="1" t="s">
        <v>2942</v>
      </c>
      <c r="D1556" t="b">
        <f ca="1">IF(A1556="","",[1]!s_techanal_rcnthigh(B1556,$B$2,1,3))</f>
        <v>0</v>
      </c>
      <c r="E1556">
        <f ca="1">IF(A1556="","",COUNTIF(D$6:D1556,"True"))</f>
        <v>12</v>
      </c>
      <c r="F1556" t="str">
        <f t="shared" si="24"/>
        <v>300065.SZ</v>
      </c>
    </row>
    <row r="1557" spans="1:6" x14ac:dyDescent="0.15">
      <c r="A1557" s="2">
        <v>46089</v>
      </c>
      <c r="B1557" s="1" t="s">
        <v>2943</v>
      </c>
      <c r="C1557" s="1" t="s">
        <v>2944</v>
      </c>
      <c r="D1557" t="b">
        <f ca="1">IF(A1557="","",[1]!s_techanal_rcnthigh(B1557,$B$2,1,3))</f>
        <v>0</v>
      </c>
      <c r="E1557">
        <f ca="1">IF(A1557="","",COUNTIF(D$6:D1557,"True"))</f>
        <v>12</v>
      </c>
      <c r="F1557" t="str">
        <f t="shared" si="24"/>
        <v>300066.SZ</v>
      </c>
    </row>
    <row r="1558" spans="1:6" x14ac:dyDescent="0.15">
      <c r="A1558" s="2">
        <v>46089</v>
      </c>
      <c r="B1558" s="1" t="s">
        <v>2945</v>
      </c>
      <c r="C1558" s="1" t="s">
        <v>2946</v>
      </c>
      <c r="D1558" t="b">
        <f ca="1">IF(A1558="","",[1]!s_techanal_rcnthigh(B1558,$B$2,1,3))</f>
        <v>0</v>
      </c>
      <c r="E1558">
        <f ca="1">IF(A1558="","",COUNTIF(D$6:D1558,"True"))</f>
        <v>12</v>
      </c>
      <c r="F1558" t="str">
        <f t="shared" si="24"/>
        <v>300067.SZ</v>
      </c>
    </row>
    <row r="1559" spans="1:6" x14ac:dyDescent="0.15">
      <c r="A1559" s="2">
        <v>46089</v>
      </c>
      <c r="B1559" s="1" t="s">
        <v>2947</v>
      </c>
      <c r="C1559" s="1" t="s">
        <v>2948</v>
      </c>
      <c r="D1559" t="b">
        <f ca="1">IF(A1559="","",[1]!s_techanal_rcnthigh(B1559,$B$2,1,3))</f>
        <v>0</v>
      </c>
      <c r="E1559">
        <f ca="1">IF(A1559="","",COUNTIF(D$6:D1559,"True"))</f>
        <v>12</v>
      </c>
      <c r="F1559" t="str">
        <f t="shared" si="24"/>
        <v>300068.SZ</v>
      </c>
    </row>
    <row r="1560" spans="1:6" x14ac:dyDescent="0.15">
      <c r="A1560" s="2">
        <v>46089</v>
      </c>
      <c r="B1560" s="1" t="s">
        <v>2949</v>
      </c>
      <c r="C1560" s="1" t="s">
        <v>2950</v>
      </c>
      <c r="D1560" t="b">
        <f ca="1">IF(A1560="","",[1]!s_techanal_rcnthigh(B1560,$B$2,1,3))</f>
        <v>0</v>
      </c>
      <c r="E1560">
        <f ca="1">IF(A1560="","",COUNTIF(D$6:D1560,"True"))</f>
        <v>12</v>
      </c>
      <c r="F1560" t="str">
        <f t="shared" si="24"/>
        <v>300069.SZ</v>
      </c>
    </row>
    <row r="1561" spans="1:6" x14ac:dyDescent="0.15">
      <c r="A1561" s="2">
        <v>46089</v>
      </c>
      <c r="B1561" s="1" t="s">
        <v>2951</v>
      </c>
      <c r="C1561" s="1" t="s">
        <v>2952</v>
      </c>
      <c r="D1561" t="b">
        <f ca="1">IF(A1561="","",[1]!s_techanal_rcnthigh(B1561,$B$2,1,3))</f>
        <v>0</v>
      </c>
      <c r="E1561">
        <f ca="1">IF(A1561="","",COUNTIF(D$6:D1561,"True"))</f>
        <v>12</v>
      </c>
      <c r="F1561" t="str">
        <f t="shared" si="24"/>
        <v>300070.SZ</v>
      </c>
    </row>
    <row r="1562" spans="1:6" x14ac:dyDescent="0.15">
      <c r="A1562" s="2">
        <v>46089</v>
      </c>
      <c r="B1562" s="1" t="s">
        <v>2953</v>
      </c>
      <c r="C1562" s="1" t="s">
        <v>2954</v>
      </c>
      <c r="D1562" t="b">
        <f ca="1">IF(A1562="","",[1]!s_techanal_rcnthigh(B1562,$B$2,1,3))</f>
        <v>0</v>
      </c>
      <c r="E1562">
        <f ca="1">IF(A1562="","",COUNTIF(D$6:D1562,"True"))</f>
        <v>12</v>
      </c>
      <c r="F1562" t="str">
        <f t="shared" si="24"/>
        <v>300071.SZ</v>
      </c>
    </row>
    <row r="1563" spans="1:6" x14ac:dyDescent="0.15">
      <c r="A1563" s="2">
        <v>46089</v>
      </c>
      <c r="B1563" s="1" t="s">
        <v>2955</v>
      </c>
      <c r="C1563" s="1" t="s">
        <v>2956</v>
      </c>
      <c r="D1563" t="b">
        <f ca="1">IF(A1563="","",[1]!s_techanal_rcnthigh(B1563,$B$2,1,3))</f>
        <v>0</v>
      </c>
      <c r="E1563">
        <f ca="1">IF(A1563="","",COUNTIF(D$6:D1563,"True"))</f>
        <v>12</v>
      </c>
      <c r="F1563" t="str">
        <f t="shared" si="24"/>
        <v>300072.SZ</v>
      </c>
    </row>
    <row r="1564" spans="1:6" x14ac:dyDescent="0.15">
      <c r="A1564" s="2">
        <v>46089</v>
      </c>
      <c r="B1564" s="1" t="s">
        <v>2957</v>
      </c>
      <c r="C1564" s="1" t="s">
        <v>2958</v>
      </c>
      <c r="D1564" t="b">
        <f ca="1">IF(A1564="","",[1]!s_techanal_rcnthigh(B1564,$B$2,1,3))</f>
        <v>0</v>
      </c>
      <c r="E1564">
        <f ca="1">IF(A1564="","",COUNTIF(D$6:D1564,"True"))</f>
        <v>12</v>
      </c>
      <c r="F1564" t="str">
        <f t="shared" si="24"/>
        <v>300073.SZ</v>
      </c>
    </row>
    <row r="1565" spans="1:6" x14ac:dyDescent="0.15">
      <c r="A1565" s="2">
        <v>46089</v>
      </c>
      <c r="B1565" s="1" t="s">
        <v>2959</v>
      </c>
      <c r="C1565" s="1" t="s">
        <v>2960</v>
      </c>
      <c r="D1565" t="b">
        <f ca="1">IF(A1565="","",[1]!s_techanal_rcnthigh(B1565,$B$2,1,3))</f>
        <v>0</v>
      </c>
      <c r="E1565">
        <f ca="1">IF(A1565="","",COUNTIF(D$6:D1565,"True"))</f>
        <v>12</v>
      </c>
      <c r="F1565" t="str">
        <f t="shared" si="24"/>
        <v>300074.SZ</v>
      </c>
    </row>
    <row r="1566" spans="1:6" x14ac:dyDescent="0.15">
      <c r="A1566" s="2">
        <v>46089</v>
      </c>
      <c r="B1566" s="1" t="s">
        <v>2961</v>
      </c>
      <c r="C1566" s="1" t="s">
        <v>2962</v>
      </c>
      <c r="D1566" t="b">
        <f ca="1">IF(A1566="","",[1]!s_techanal_rcnthigh(B1566,$B$2,1,3))</f>
        <v>0</v>
      </c>
      <c r="E1566">
        <f ca="1">IF(A1566="","",COUNTIF(D$6:D1566,"True"))</f>
        <v>12</v>
      </c>
      <c r="F1566" t="str">
        <f t="shared" si="24"/>
        <v>300075.SZ</v>
      </c>
    </row>
    <row r="1567" spans="1:6" x14ac:dyDescent="0.15">
      <c r="A1567" s="2">
        <v>46089</v>
      </c>
      <c r="B1567" s="1" t="s">
        <v>2963</v>
      </c>
      <c r="C1567" s="1" t="s">
        <v>2964</v>
      </c>
      <c r="D1567" t="b">
        <f ca="1">IF(A1567="","",[1]!s_techanal_rcnthigh(B1567,$B$2,1,3))</f>
        <v>0</v>
      </c>
      <c r="E1567">
        <f ca="1">IF(A1567="","",COUNTIF(D$6:D1567,"True"))</f>
        <v>12</v>
      </c>
      <c r="F1567" t="str">
        <f t="shared" si="24"/>
        <v>300076.SZ</v>
      </c>
    </row>
    <row r="1568" spans="1:6" x14ac:dyDescent="0.15">
      <c r="A1568" s="2">
        <v>46089</v>
      </c>
      <c r="B1568" s="1" t="s">
        <v>2965</v>
      </c>
      <c r="C1568" s="1" t="s">
        <v>2966</v>
      </c>
      <c r="D1568" t="b">
        <f ca="1">IF(A1568="","",[1]!s_techanal_rcnthigh(B1568,$B$2,1,3))</f>
        <v>0</v>
      </c>
      <c r="E1568">
        <f ca="1">IF(A1568="","",COUNTIF(D$6:D1568,"True"))</f>
        <v>12</v>
      </c>
      <c r="F1568" t="str">
        <f t="shared" si="24"/>
        <v>300077.SZ</v>
      </c>
    </row>
    <row r="1569" spans="1:6" x14ac:dyDescent="0.15">
      <c r="A1569" s="2">
        <v>46089</v>
      </c>
      <c r="B1569" s="1" t="s">
        <v>2967</v>
      </c>
      <c r="C1569" s="1" t="s">
        <v>10183</v>
      </c>
      <c r="D1569" t="b">
        <f ca="1">IF(A1569="","",[1]!s_techanal_rcnthigh(B1569,$B$2,1,3))</f>
        <v>0</v>
      </c>
      <c r="E1569">
        <f ca="1">IF(A1569="","",COUNTIF(D$6:D1569,"True"))</f>
        <v>12</v>
      </c>
      <c r="F1569" t="str">
        <f t="shared" si="24"/>
        <v>300078.SZ</v>
      </c>
    </row>
    <row r="1570" spans="1:6" x14ac:dyDescent="0.15">
      <c r="A1570" s="2">
        <v>46089</v>
      </c>
      <c r="B1570" s="1" t="s">
        <v>2968</v>
      </c>
      <c r="C1570" s="1" t="s">
        <v>2969</v>
      </c>
      <c r="D1570" t="b">
        <f ca="1">IF(A1570="","",[1]!s_techanal_rcnthigh(B1570,$B$2,1,3))</f>
        <v>0</v>
      </c>
      <c r="E1570">
        <f ca="1">IF(A1570="","",COUNTIF(D$6:D1570,"True"))</f>
        <v>12</v>
      </c>
      <c r="F1570" t="str">
        <f t="shared" si="24"/>
        <v>300079.SZ</v>
      </c>
    </row>
    <row r="1571" spans="1:6" x14ac:dyDescent="0.15">
      <c r="A1571" s="2">
        <v>46089</v>
      </c>
      <c r="B1571" s="1" t="s">
        <v>2970</v>
      </c>
      <c r="C1571" s="1" t="s">
        <v>2971</v>
      </c>
      <c r="D1571" t="b">
        <f ca="1">IF(A1571="","",[1]!s_techanal_rcnthigh(B1571,$B$2,1,3))</f>
        <v>0</v>
      </c>
      <c r="E1571">
        <f ca="1">IF(A1571="","",COUNTIF(D$6:D1571,"True"))</f>
        <v>12</v>
      </c>
      <c r="F1571" t="str">
        <f t="shared" si="24"/>
        <v>300080.SZ</v>
      </c>
    </row>
    <row r="1572" spans="1:6" x14ac:dyDescent="0.15">
      <c r="A1572" s="2">
        <v>46089</v>
      </c>
      <c r="B1572" s="1" t="s">
        <v>2972</v>
      </c>
      <c r="C1572" s="1" t="s">
        <v>2973</v>
      </c>
      <c r="D1572" t="b">
        <f ca="1">IF(A1572="","",[1]!s_techanal_rcnthigh(B1572,$B$2,1,3))</f>
        <v>0</v>
      </c>
      <c r="E1572">
        <f ca="1">IF(A1572="","",COUNTIF(D$6:D1572,"True"))</f>
        <v>12</v>
      </c>
      <c r="F1572" t="str">
        <f t="shared" si="24"/>
        <v>300081.SZ</v>
      </c>
    </row>
    <row r="1573" spans="1:6" x14ac:dyDescent="0.15">
      <c r="A1573" s="2">
        <v>46089</v>
      </c>
      <c r="B1573" s="1" t="s">
        <v>2974</v>
      </c>
      <c r="C1573" s="1" t="s">
        <v>2975</v>
      </c>
      <c r="D1573" t="b">
        <f ca="1">IF(A1573="","",[1]!s_techanal_rcnthigh(B1573,$B$2,1,3))</f>
        <v>0</v>
      </c>
      <c r="E1573">
        <f ca="1">IF(A1573="","",COUNTIF(D$6:D1573,"True"))</f>
        <v>12</v>
      </c>
      <c r="F1573" t="str">
        <f t="shared" si="24"/>
        <v>300082.SZ</v>
      </c>
    </row>
    <row r="1574" spans="1:6" x14ac:dyDescent="0.15">
      <c r="A1574" s="2">
        <v>46089</v>
      </c>
      <c r="B1574" s="1" t="s">
        <v>2976</v>
      </c>
      <c r="C1574" s="1" t="s">
        <v>2977</v>
      </c>
      <c r="D1574" t="b">
        <f ca="1">IF(A1574="","",[1]!s_techanal_rcnthigh(B1574,$B$2,1,3))</f>
        <v>0</v>
      </c>
      <c r="E1574">
        <f ca="1">IF(A1574="","",COUNTIF(D$6:D1574,"True"))</f>
        <v>12</v>
      </c>
      <c r="F1574" t="str">
        <f t="shared" si="24"/>
        <v>300083.SZ</v>
      </c>
    </row>
    <row r="1575" spans="1:6" x14ac:dyDescent="0.15">
      <c r="A1575" s="2">
        <v>46089</v>
      </c>
      <c r="B1575" s="1" t="s">
        <v>2978</v>
      </c>
      <c r="C1575" s="1" t="s">
        <v>2979</v>
      </c>
      <c r="D1575" t="b">
        <f ca="1">IF(A1575="","",[1]!s_techanal_rcnthigh(B1575,$B$2,1,3))</f>
        <v>0</v>
      </c>
      <c r="E1575">
        <f ca="1">IF(A1575="","",COUNTIF(D$6:D1575,"True"))</f>
        <v>12</v>
      </c>
      <c r="F1575" t="str">
        <f t="shared" si="24"/>
        <v>300084.SZ</v>
      </c>
    </row>
    <row r="1576" spans="1:6" x14ac:dyDescent="0.15">
      <c r="A1576" s="2">
        <v>46089</v>
      </c>
      <c r="B1576" s="1" t="s">
        <v>2980</v>
      </c>
      <c r="C1576" s="1" t="s">
        <v>2981</v>
      </c>
      <c r="D1576" t="b">
        <f ca="1">IF(A1576="","",[1]!s_techanal_rcnthigh(B1576,$B$2,1,3))</f>
        <v>0</v>
      </c>
      <c r="E1576">
        <f ca="1">IF(A1576="","",COUNTIF(D$6:D1576,"True"))</f>
        <v>12</v>
      </c>
      <c r="F1576" t="str">
        <f t="shared" si="24"/>
        <v>300085.SZ</v>
      </c>
    </row>
    <row r="1577" spans="1:6" x14ac:dyDescent="0.15">
      <c r="A1577" s="2">
        <v>46089</v>
      </c>
      <c r="B1577" s="1" t="s">
        <v>2982</v>
      </c>
      <c r="C1577" s="1" t="s">
        <v>2983</v>
      </c>
      <c r="D1577" t="b">
        <f ca="1">IF(A1577="","",[1]!s_techanal_rcnthigh(B1577,$B$2,1,3))</f>
        <v>0</v>
      </c>
      <c r="E1577">
        <f ca="1">IF(A1577="","",COUNTIF(D$6:D1577,"True"))</f>
        <v>12</v>
      </c>
      <c r="F1577" t="str">
        <f t="shared" si="24"/>
        <v>300086.SZ</v>
      </c>
    </row>
    <row r="1578" spans="1:6" x14ac:dyDescent="0.15">
      <c r="A1578" s="2">
        <v>46089</v>
      </c>
      <c r="B1578" s="1" t="s">
        <v>2984</v>
      </c>
      <c r="C1578" s="1" t="s">
        <v>2985</v>
      </c>
      <c r="D1578" t="b">
        <f ca="1">IF(A1578="","",[1]!s_techanal_rcnthigh(B1578,$B$2,1,3))</f>
        <v>0</v>
      </c>
      <c r="E1578">
        <f ca="1">IF(A1578="","",COUNTIF(D$6:D1578,"True"))</f>
        <v>12</v>
      </c>
      <c r="F1578" t="str">
        <f t="shared" si="24"/>
        <v>300087.SZ</v>
      </c>
    </row>
    <row r="1579" spans="1:6" x14ac:dyDescent="0.15">
      <c r="A1579" s="2">
        <v>46089</v>
      </c>
      <c r="B1579" s="1" t="s">
        <v>2986</v>
      </c>
      <c r="C1579" s="1" t="s">
        <v>2987</v>
      </c>
      <c r="D1579" t="b">
        <f ca="1">IF(A1579="","",[1]!s_techanal_rcnthigh(B1579,$B$2,1,3))</f>
        <v>0</v>
      </c>
      <c r="E1579">
        <f ca="1">IF(A1579="","",COUNTIF(D$6:D1579,"True"))</f>
        <v>12</v>
      </c>
      <c r="F1579" t="str">
        <f t="shared" si="24"/>
        <v>300088.SZ</v>
      </c>
    </row>
    <row r="1580" spans="1:6" x14ac:dyDescent="0.15">
      <c r="A1580" s="2">
        <v>46089</v>
      </c>
      <c r="B1580" s="1" t="s">
        <v>2988</v>
      </c>
      <c r="C1580" s="1" t="s">
        <v>10184</v>
      </c>
      <c r="D1580" t="b">
        <f ca="1">IF(A1580="","",[1]!s_techanal_rcnthigh(B1580,$B$2,1,3))</f>
        <v>0</v>
      </c>
      <c r="E1580">
        <f ca="1">IF(A1580="","",COUNTIF(D$6:D1580,"True"))</f>
        <v>12</v>
      </c>
      <c r="F1580" t="str">
        <f t="shared" si="24"/>
        <v>300091.SZ</v>
      </c>
    </row>
    <row r="1581" spans="1:6" x14ac:dyDescent="0.15">
      <c r="A1581" s="2">
        <v>46089</v>
      </c>
      <c r="B1581" s="1" t="s">
        <v>2989</v>
      </c>
      <c r="C1581" s="1" t="s">
        <v>2990</v>
      </c>
      <c r="D1581" t="b">
        <f ca="1">IF(A1581="","",[1]!s_techanal_rcnthigh(B1581,$B$2,1,3))</f>
        <v>0</v>
      </c>
      <c r="E1581">
        <f ca="1">IF(A1581="","",COUNTIF(D$6:D1581,"True"))</f>
        <v>12</v>
      </c>
      <c r="F1581" t="str">
        <f t="shared" si="24"/>
        <v>300092.SZ</v>
      </c>
    </row>
    <row r="1582" spans="1:6" x14ac:dyDescent="0.15">
      <c r="A1582" s="2">
        <v>46089</v>
      </c>
      <c r="B1582" s="1" t="s">
        <v>2991</v>
      </c>
      <c r="C1582" s="1" t="s">
        <v>10185</v>
      </c>
      <c r="D1582" t="b">
        <f ca="1">IF(A1582="","",[1]!s_techanal_rcnthigh(B1582,$B$2,1,3))</f>
        <v>0</v>
      </c>
      <c r="E1582">
        <f ca="1">IF(A1582="","",COUNTIF(D$6:D1582,"True"))</f>
        <v>12</v>
      </c>
      <c r="F1582" t="str">
        <f t="shared" si="24"/>
        <v>300093.SZ</v>
      </c>
    </row>
    <row r="1583" spans="1:6" x14ac:dyDescent="0.15">
      <c r="A1583" s="2">
        <v>46089</v>
      </c>
      <c r="B1583" s="1" t="s">
        <v>2992</v>
      </c>
      <c r="C1583" s="1" t="s">
        <v>2993</v>
      </c>
      <c r="D1583" t="b">
        <f ca="1">IF(A1583="","",[1]!s_techanal_rcnthigh(B1583,$B$2,1,3))</f>
        <v>0</v>
      </c>
      <c r="E1583">
        <f ca="1">IF(A1583="","",COUNTIF(D$6:D1583,"True"))</f>
        <v>12</v>
      </c>
      <c r="F1583" t="str">
        <f t="shared" si="24"/>
        <v>300094.SZ</v>
      </c>
    </row>
    <row r="1584" spans="1:6" x14ac:dyDescent="0.15">
      <c r="A1584" s="2">
        <v>46089</v>
      </c>
      <c r="B1584" s="1" t="s">
        <v>2994</v>
      </c>
      <c r="C1584" s="1" t="s">
        <v>2995</v>
      </c>
      <c r="D1584" t="b">
        <f ca="1">IF(A1584="","",[1]!s_techanal_rcnthigh(B1584,$B$2,1,3))</f>
        <v>0</v>
      </c>
      <c r="E1584">
        <f ca="1">IF(A1584="","",COUNTIF(D$6:D1584,"True"))</f>
        <v>12</v>
      </c>
      <c r="F1584" t="str">
        <f t="shared" si="24"/>
        <v>300095.SZ</v>
      </c>
    </row>
    <row r="1585" spans="1:6" x14ac:dyDescent="0.15">
      <c r="A1585" s="2">
        <v>46089</v>
      </c>
      <c r="B1585" s="1" t="s">
        <v>2996</v>
      </c>
      <c r="C1585" s="1" t="s">
        <v>2997</v>
      </c>
      <c r="D1585" t="b">
        <f ca="1">IF(A1585="","",[1]!s_techanal_rcnthigh(B1585,$B$2,1,3))</f>
        <v>0</v>
      </c>
      <c r="E1585">
        <f ca="1">IF(A1585="","",COUNTIF(D$6:D1585,"True"))</f>
        <v>12</v>
      </c>
      <c r="F1585" t="str">
        <f t="shared" si="24"/>
        <v>300096.SZ</v>
      </c>
    </row>
    <row r="1586" spans="1:6" x14ac:dyDescent="0.15">
      <c r="A1586" s="2">
        <v>46089</v>
      </c>
      <c r="B1586" s="1" t="s">
        <v>2998</v>
      </c>
      <c r="C1586" s="1" t="s">
        <v>10186</v>
      </c>
      <c r="D1586" t="b">
        <f ca="1">IF(A1586="","",[1]!s_techanal_rcnthigh(B1586,$B$2,1,3))</f>
        <v>0</v>
      </c>
      <c r="E1586">
        <f ca="1">IF(A1586="","",COUNTIF(D$6:D1586,"True"))</f>
        <v>12</v>
      </c>
      <c r="F1586" t="str">
        <f t="shared" si="24"/>
        <v>300097.SZ</v>
      </c>
    </row>
    <row r="1587" spans="1:6" x14ac:dyDescent="0.15">
      <c r="A1587" s="2">
        <v>46089</v>
      </c>
      <c r="B1587" s="1" t="s">
        <v>2999</v>
      </c>
      <c r="C1587" s="1" t="s">
        <v>3000</v>
      </c>
      <c r="D1587" t="b">
        <f ca="1">IF(A1587="","",[1]!s_techanal_rcnthigh(B1587,$B$2,1,3))</f>
        <v>0</v>
      </c>
      <c r="E1587">
        <f ca="1">IF(A1587="","",COUNTIF(D$6:D1587,"True"))</f>
        <v>12</v>
      </c>
      <c r="F1587" t="str">
        <f t="shared" si="24"/>
        <v>300098.SZ</v>
      </c>
    </row>
    <row r="1588" spans="1:6" x14ac:dyDescent="0.15">
      <c r="A1588" s="2">
        <v>46089</v>
      </c>
      <c r="B1588" s="1" t="s">
        <v>3001</v>
      </c>
      <c r="C1588" s="1" t="s">
        <v>3002</v>
      </c>
      <c r="D1588" t="b">
        <f ca="1">IF(A1588="","",[1]!s_techanal_rcnthigh(B1588,$B$2,1,3))</f>
        <v>0</v>
      </c>
      <c r="E1588">
        <f ca="1">IF(A1588="","",COUNTIF(D$6:D1588,"True"))</f>
        <v>12</v>
      </c>
      <c r="F1588" t="str">
        <f t="shared" si="24"/>
        <v>300099.SZ</v>
      </c>
    </row>
    <row r="1589" spans="1:6" x14ac:dyDescent="0.15">
      <c r="A1589" s="2">
        <v>46089</v>
      </c>
      <c r="B1589" s="1" t="s">
        <v>3003</v>
      </c>
      <c r="C1589" s="1" t="s">
        <v>3004</v>
      </c>
      <c r="D1589" t="b">
        <f ca="1">IF(A1589="","",[1]!s_techanal_rcnthigh(B1589,$B$2,1,3))</f>
        <v>0</v>
      </c>
      <c r="E1589">
        <f ca="1">IF(A1589="","",COUNTIF(D$6:D1589,"True"))</f>
        <v>12</v>
      </c>
      <c r="F1589" t="str">
        <f t="shared" si="24"/>
        <v>300100.SZ</v>
      </c>
    </row>
    <row r="1590" spans="1:6" x14ac:dyDescent="0.15">
      <c r="A1590" s="2">
        <v>46089</v>
      </c>
      <c r="B1590" s="1" t="s">
        <v>3005</v>
      </c>
      <c r="C1590" s="1" t="s">
        <v>3006</v>
      </c>
      <c r="D1590" t="b">
        <f ca="1">IF(A1590="","",[1]!s_techanal_rcnthigh(B1590,$B$2,1,3))</f>
        <v>0</v>
      </c>
      <c r="E1590">
        <f ca="1">IF(A1590="","",COUNTIF(D$6:D1590,"True"))</f>
        <v>12</v>
      </c>
      <c r="F1590" t="str">
        <f t="shared" si="24"/>
        <v>300101.SZ</v>
      </c>
    </row>
    <row r="1591" spans="1:6" x14ac:dyDescent="0.15">
      <c r="A1591" s="2">
        <v>46089</v>
      </c>
      <c r="B1591" s="1" t="s">
        <v>3007</v>
      </c>
      <c r="C1591" s="1" t="s">
        <v>3008</v>
      </c>
      <c r="D1591" t="b">
        <f ca="1">IF(A1591="","",[1]!s_techanal_rcnthigh(B1591,$B$2,1,3))</f>
        <v>0</v>
      </c>
      <c r="E1591">
        <f ca="1">IF(A1591="","",COUNTIF(D$6:D1591,"True"))</f>
        <v>12</v>
      </c>
      <c r="F1591" t="str">
        <f t="shared" si="24"/>
        <v>300102.SZ</v>
      </c>
    </row>
    <row r="1592" spans="1:6" x14ac:dyDescent="0.15">
      <c r="A1592" s="2">
        <v>46089</v>
      </c>
      <c r="B1592" s="1" t="s">
        <v>3009</v>
      </c>
      <c r="C1592" s="1" t="s">
        <v>3010</v>
      </c>
      <c r="D1592" t="b">
        <f ca="1">IF(A1592="","",[1]!s_techanal_rcnthigh(B1592,$B$2,1,3))</f>
        <v>0</v>
      </c>
      <c r="E1592">
        <f ca="1">IF(A1592="","",COUNTIF(D$6:D1592,"True"))</f>
        <v>12</v>
      </c>
      <c r="F1592" t="str">
        <f t="shared" si="24"/>
        <v>300103.SZ</v>
      </c>
    </row>
    <row r="1593" spans="1:6" x14ac:dyDescent="0.15">
      <c r="A1593" s="2">
        <v>46089</v>
      </c>
      <c r="B1593" s="1" t="s">
        <v>3011</v>
      </c>
      <c r="C1593" s="1" t="s">
        <v>3012</v>
      </c>
      <c r="D1593" t="b">
        <f ca="1">IF(A1593="","",[1]!s_techanal_rcnthigh(B1593,$B$2,1,3))</f>
        <v>0</v>
      </c>
      <c r="E1593">
        <f ca="1">IF(A1593="","",COUNTIF(D$6:D1593,"True"))</f>
        <v>12</v>
      </c>
      <c r="F1593" t="str">
        <f t="shared" si="24"/>
        <v>300105.SZ</v>
      </c>
    </row>
    <row r="1594" spans="1:6" x14ac:dyDescent="0.15">
      <c r="A1594" s="2">
        <v>46089</v>
      </c>
      <c r="B1594" s="1" t="s">
        <v>3013</v>
      </c>
      <c r="C1594" s="1" t="s">
        <v>3014</v>
      </c>
      <c r="D1594" t="b">
        <f ca="1">IF(A1594="","",[1]!s_techanal_rcnthigh(B1594,$B$2,1,3))</f>
        <v>0</v>
      </c>
      <c r="E1594">
        <f ca="1">IF(A1594="","",COUNTIF(D$6:D1594,"True"))</f>
        <v>12</v>
      </c>
      <c r="F1594" t="str">
        <f t="shared" si="24"/>
        <v>300106.SZ</v>
      </c>
    </row>
    <row r="1595" spans="1:6" x14ac:dyDescent="0.15">
      <c r="A1595" s="2">
        <v>46089</v>
      </c>
      <c r="B1595" s="1" t="s">
        <v>3015</v>
      </c>
      <c r="C1595" s="1" t="s">
        <v>3016</v>
      </c>
      <c r="D1595" t="b">
        <f ca="1">IF(A1595="","",[1]!s_techanal_rcnthigh(B1595,$B$2,1,3))</f>
        <v>0</v>
      </c>
      <c r="E1595">
        <f ca="1">IF(A1595="","",COUNTIF(D$6:D1595,"True"))</f>
        <v>12</v>
      </c>
      <c r="F1595" t="str">
        <f t="shared" si="24"/>
        <v>300107.SZ</v>
      </c>
    </row>
    <row r="1596" spans="1:6" x14ac:dyDescent="0.15">
      <c r="A1596" s="2">
        <v>46089</v>
      </c>
      <c r="B1596" s="1" t="s">
        <v>3017</v>
      </c>
      <c r="C1596" s="1" t="s">
        <v>3018</v>
      </c>
      <c r="D1596" t="b">
        <f ca="1">IF(A1596="","",[1]!s_techanal_rcnthigh(B1596,$B$2,1,3))</f>
        <v>0</v>
      </c>
      <c r="E1596">
        <f ca="1">IF(A1596="","",COUNTIF(D$6:D1596,"True"))</f>
        <v>12</v>
      </c>
      <c r="F1596" t="str">
        <f t="shared" si="24"/>
        <v>300109.SZ</v>
      </c>
    </row>
    <row r="1597" spans="1:6" x14ac:dyDescent="0.15">
      <c r="A1597" s="2">
        <v>46089</v>
      </c>
      <c r="B1597" s="1" t="s">
        <v>3019</v>
      </c>
      <c r="C1597" s="1" t="s">
        <v>3020</v>
      </c>
      <c r="D1597" t="b">
        <f ca="1">IF(A1597="","",[1]!s_techanal_rcnthigh(B1597,$B$2,1,3))</f>
        <v>0</v>
      </c>
      <c r="E1597">
        <f ca="1">IF(A1597="","",COUNTIF(D$6:D1597,"True"))</f>
        <v>12</v>
      </c>
      <c r="F1597" t="str">
        <f t="shared" si="24"/>
        <v>300110.SZ</v>
      </c>
    </row>
    <row r="1598" spans="1:6" x14ac:dyDescent="0.15">
      <c r="A1598" s="2">
        <v>46089</v>
      </c>
      <c r="B1598" s="1" t="s">
        <v>3021</v>
      </c>
      <c r="C1598" s="1" t="s">
        <v>3022</v>
      </c>
      <c r="D1598" t="b">
        <f ca="1">IF(A1598="","",[1]!s_techanal_rcnthigh(B1598,$B$2,1,3))</f>
        <v>0</v>
      </c>
      <c r="E1598">
        <f ca="1">IF(A1598="","",COUNTIF(D$6:D1598,"True"))</f>
        <v>12</v>
      </c>
      <c r="F1598" t="str">
        <f t="shared" si="24"/>
        <v>300111.SZ</v>
      </c>
    </row>
    <row r="1599" spans="1:6" x14ac:dyDescent="0.15">
      <c r="A1599" s="2">
        <v>46089</v>
      </c>
      <c r="B1599" s="1" t="s">
        <v>3023</v>
      </c>
      <c r="C1599" s="1" t="s">
        <v>3024</v>
      </c>
      <c r="D1599" t="b">
        <f ca="1">IF(A1599="","",[1]!s_techanal_rcnthigh(B1599,$B$2,1,3))</f>
        <v>0</v>
      </c>
      <c r="E1599">
        <f ca="1">IF(A1599="","",COUNTIF(D$6:D1599,"True"))</f>
        <v>12</v>
      </c>
      <c r="F1599" t="str">
        <f t="shared" si="24"/>
        <v>300112.SZ</v>
      </c>
    </row>
    <row r="1600" spans="1:6" x14ac:dyDescent="0.15">
      <c r="A1600" s="2">
        <v>46089</v>
      </c>
      <c r="B1600" s="1" t="s">
        <v>3025</v>
      </c>
      <c r="C1600" s="1" t="s">
        <v>3026</v>
      </c>
      <c r="D1600" t="b">
        <f ca="1">IF(A1600="","",[1]!s_techanal_rcnthigh(B1600,$B$2,1,3))</f>
        <v>0</v>
      </c>
      <c r="E1600">
        <f ca="1">IF(A1600="","",COUNTIF(D$6:D1600,"True"))</f>
        <v>12</v>
      </c>
      <c r="F1600" t="str">
        <f t="shared" si="24"/>
        <v>300113.SZ</v>
      </c>
    </row>
    <row r="1601" spans="1:6" x14ac:dyDescent="0.15">
      <c r="A1601" s="2">
        <v>46089</v>
      </c>
      <c r="B1601" s="1" t="s">
        <v>3027</v>
      </c>
      <c r="C1601" s="1" t="s">
        <v>3028</v>
      </c>
      <c r="D1601" t="b">
        <f ca="1">IF(A1601="","",[1]!s_techanal_rcnthigh(B1601,$B$2,1,3))</f>
        <v>0</v>
      </c>
      <c r="E1601">
        <f ca="1">IF(A1601="","",COUNTIF(D$6:D1601,"True"))</f>
        <v>12</v>
      </c>
      <c r="F1601" t="str">
        <f t="shared" si="24"/>
        <v>300115.SZ</v>
      </c>
    </row>
    <row r="1602" spans="1:6" x14ac:dyDescent="0.15">
      <c r="A1602" s="2">
        <v>46089</v>
      </c>
      <c r="B1602" s="1" t="s">
        <v>3029</v>
      </c>
      <c r="C1602" s="1" t="s">
        <v>3030</v>
      </c>
      <c r="D1602" t="b">
        <f ca="1">IF(A1602="","",[1]!s_techanal_rcnthigh(B1602,$B$2,1,3))</f>
        <v>0</v>
      </c>
      <c r="E1602">
        <f ca="1">IF(A1602="","",COUNTIF(D$6:D1602,"True"))</f>
        <v>12</v>
      </c>
      <c r="F1602" t="str">
        <f t="shared" si="24"/>
        <v>300118.SZ</v>
      </c>
    </row>
    <row r="1603" spans="1:6" x14ac:dyDescent="0.15">
      <c r="A1603" s="2">
        <v>46089</v>
      </c>
      <c r="B1603" s="1" t="s">
        <v>3031</v>
      </c>
      <c r="C1603" s="1" t="s">
        <v>3032</v>
      </c>
      <c r="D1603" t="b">
        <f ca="1">IF(A1603="","",[1]!s_techanal_rcnthigh(B1603,$B$2,1,3))</f>
        <v>0</v>
      </c>
      <c r="E1603">
        <f ca="1">IF(A1603="","",COUNTIF(D$6:D1603,"True"))</f>
        <v>12</v>
      </c>
      <c r="F1603" t="str">
        <f t="shared" si="24"/>
        <v>300119.SZ</v>
      </c>
    </row>
    <row r="1604" spans="1:6" x14ac:dyDescent="0.15">
      <c r="A1604" s="2">
        <v>46089</v>
      </c>
      <c r="B1604" s="1" t="s">
        <v>3033</v>
      </c>
      <c r="C1604" s="1" t="s">
        <v>3034</v>
      </c>
      <c r="D1604" t="b">
        <f ca="1">IF(A1604="","",[1]!s_techanal_rcnthigh(B1604,$B$2,1,3))</f>
        <v>0</v>
      </c>
      <c r="E1604">
        <f ca="1">IF(A1604="","",COUNTIF(D$6:D1604,"True"))</f>
        <v>12</v>
      </c>
      <c r="F1604" t="str">
        <f t="shared" si="24"/>
        <v>300120.SZ</v>
      </c>
    </row>
    <row r="1605" spans="1:6" x14ac:dyDescent="0.15">
      <c r="A1605" s="2">
        <v>46089</v>
      </c>
      <c r="B1605" s="1" t="s">
        <v>3035</v>
      </c>
      <c r="C1605" s="1" t="s">
        <v>3036</v>
      </c>
      <c r="D1605" t="b">
        <f ca="1">IF(A1605="","",[1]!s_techanal_rcnthigh(B1605,$B$2,1,3))</f>
        <v>0</v>
      </c>
      <c r="E1605">
        <f ca="1">IF(A1605="","",COUNTIF(D$6:D1605,"True"))</f>
        <v>12</v>
      </c>
      <c r="F1605" t="str">
        <f t="shared" si="24"/>
        <v>300121.SZ</v>
      </c>
    </row>
    <row r="1606" spans="1:6" x14ac:dyDescent="0.15">
      <c r="A1606" s="2">
        <v>46089</v>
      </c>
      <c r="B1606" s="1" t="s">
        <v>3037</v>
      </c>
      <c r="C1606" s="1" t="s">
        <v>3038</v>
      </c>
      <c r="D1606" t="b">
        <f ca="1">IF(A1606="","",[1]!s_techanal_rcnthigh(B1606,$B$2,1,3))</f>
        <v>0</v>
      </c>
      <c r="E1606">
        <f ca="1">IF(A1606="","",COUNTIF(D$6:D1606,"True"))</f>
        <v>12</v>
      </c>
      <c r="F1606" t="str">
        <f t="shared" ref="F1606:F1669" si="25">IF(B1606="","",B1606)</f>
        <v>300122.SZ</v>
      </c>
    </row>
    <row r="1607" spans="1:6" x14ac:dyDescent="0.15">
      <c r="A1607" s="2">
        <v>46089</v>
      </c>
      <c r="B1607" s="1" t="s">
        <v>3039</v>
      </c>
      <c r="C1607" s="1" t="s">
        <v>3040</v>
      </c>
      <c r="D1607" t="b">
        <f ca="1">IF(A1607="","",[1]!s_techanal_rcnthigh(B1607,$B$2,1,3))</f>
        <v>0</v>
      </c>
      <c r="E1607">
        <f ca="1">IF(A1607="","",COUNTIF(D$6:D1607,"True"))</f>
        <v>12</v>
      </c>
      <c r="F1607" t="str">
        <f t="shared" si="25"/>
        <v>300123.SZ</v>
      </c>
    </row>
    <row r="1608" spans="1:6" x14ac:dyDescent="0.15">
      <c r="A1608" s="2">
        <v>46089</v>
      </c>
      <c r="B1608" s="1" t="s">
        <v>3041</v>
      </c>
      <c r="C1608" s="1" t="s">
        <v>3042</v>
      </c>
      <c r="D1608" t="b">
        <f ca="1">IF(A1608="","",[1]!s_techanal_rcnthigh(B1608,$B$2,1,3))</f>
        <v>0</v>
      </c>
      <c r="E1608">
        <f ca="1">IF(A1608="","",COUNTIF(D$6:D1608,"True"))</f>
        <v>12</v>
      </c>
      <c r="F1608" t="str">
        <f t="shared" si="25"/>
        <v>300124.SZ</v>
      </c>
    </row>
    <row r="1609" spans="1:6" x14ac:dyDescent="0.15">
      <c r="A1609" s="2">
        <v>46089</v>
      </c>
      <c r="B1609" s="1" t="s">
        <v>3043</v>
      </c>
      <c r="C1609" s="1" t="s">
        <v>10187</v>
      </c>
      <c r="D1609" t="b">
        <f ca="1">IF(A1609="","",[1]!s_techanal_rcnthigh(B1609,$B$2,1,3))</f>
        <v>0</v>
      </c>
      <c r="E1609">
        <f ca="1">IF(A1609="","",COUNTIF(D$6:D1609,"True"))</f>
        <v>12</v>
      </c>
      <c r="F1609" t="str">
        <f t="shared" si="25"/>
        <v>300125.SZ</v>
      </c>
    </row>
    <row r="1610" spans="1:6" x14ac:dyDescent="0.15">
      <c r="A1610" s="2">
        <v>46089</v>
      </c>
      <c r="B1610" s="1" t="s">
        <v>3044</v>
      </c>
      <c r="C1610" s="1" t="s">
        <v>3045</v>
      </c>
      <c r="D1610" t="b">
        <f ca="1">IF(A1610="","",[1]!s_techanal_rcnthigh(B1610,$B$2,1,3))</f>
        <v>0</v>
      </c>
      <c r="E1610">
        <f ca="1">IF(A1610="","",COUNTIF(D$6:D1610,"True"))</f>
        <v>12</v>
      </c>
      <c r="F1610" t="str">
        <f t="shared" si="25"/>
        <v>300126.SZ</v>
      </c>
    </row>
    <row r="1611" spans="1:6" x14ac:dyDescent="0.15">
      <c r="A1611" s="2">
        <v>46089</v>
      </c>
      <c r="B1611" s="1" t="s">
        <v>3046</v>
      </c>
      <c r="C1611" s="1" t="s">
        <v>3047</v>
      </c>
      <c r="D1611" t="b">
        <f ca="1">IF(A1611="","",[1]!s_techanal_rcnthigh(B1611,$B$2,1,3))</f>
        <v>0</v>
      </c>
      <c r="E1611">
        <f ca="1">IF(A1611="","",COUNTIF(D$6:D1611,"True"))</f>
        <v>12</v>
      </c>
      <c r="F1611" t="str">
        <f t="shared" si="25"/>
        <v>300127.SZ</v>
      </c>
    </row>
    <row r="1612" spans="1:6" x14ac:dyDescent="0.15">
      <c r="A1612" s="2">
        <v>46089</v>
      </c>
      <c r="B1612" s="1" t="s">
        <v>3048</v>
      </c>
      <c r="C1612" s="1" t="s">
        <v>3049</v>
      </c>
      <c r="D1612" t="b">
        <f ca="1">IF(A1612="","",[1]!s_techanal_rcnthigh(B1612,$B$2,1,3))</f>
        <v>0</v>
      </c>
      <c r="E1612">
        <f ca="1">IF(A1612="","",COUNTIF(D$6:D1612,"True"))</f>
        <v>12</v>
      </c>
      <c r="F1612" t="str">
        <f t="shared" si="25"/>
        <v>300128.SZ</v>
      </c>
    </row>
    <row r="1613" spans="1:6" x14ac:dyDescent="0.15">
      <c r="A1613" s="2">
        <v>46089</v>
      </c>
      <c r="B1613" s="1" t="s">
        <v>3050</v>
      </c>
      <c r="C1613" s="1" t="s">
        <v>3051</v>
      </c>
      <c r="D1613" t="b">
        <f ca="1">IF(A1613="","",[1]!s_techanal_rcnthigh(B1613,$B$2,1,3))</f>
        <v>0</v>
      </c>
      <c r="E1613">
        <f ca="1">IF(A1613="","",COUNTIF(D$6:D1613,"True"))</f>
        <v>12</v>
      </c>
      <c r="F1613" t="str">
        <f t="shared" si="25"/>
        <v>300129.SZ</v>
      </c>
    </row>
    <row r="1614" spans="1:6" x14ac:dyDescent="0.15">
      <c r="A1614" s="2">
        <v>46089</v>
      </c>
      <c r="B1614" s="1" t="s">
        <v>3052</v>
      </c>
      <c r="C1614" s="1" t="s">
        <v>3053</v>
      </c>
      <c r="D1614" t="b">
        <f ca="1">IF(A1614="","",[1]!s_techanal_rcnthigh(B1614,$B$2,1,3))</f>
        <v>0</v>
      </c>
      <c r="E1614">
        <f ca="1">IF(A1614="","",COUNTIF(D$6:D1614,"True"))</f>
        <v>12</v>
      </c>
      <c r="F1614" t="str">
        <f t="shared" si="25"/>
        <v>300130.SZ</v>
      </c>
    </row>
    <row r="1615" spans="1:6" x14ac:dyDescent="0.15">
      <c r="A1615" s="2">
        <v>46089</v>
      </c>
      <c r="B1615" s="1" t="s">
        <v>3054</v>
      </c>
      <c r="C1615" s="1" t="s">
        <v>3055</v>
      </c>
      <c r="D1615" t="b">
        <f ca="1">IF(A1615="","",[1]!s_techanal_rcnthigh(B1615,$B$2,1,3))</f>
        <v>0</v>
      </c>
      <c r="E1615">
        <f ca="1">IF(A1615="","",COUNTIF(D$6:D1615,"True"))</f>
        <v>12</v>
      </c>
      <c r="F1615" t="str">
        <f t="shared" si="25"/>
        <v>300131.SZ</v>
      </c>
    </row>
    <row r="1616" spans="1:6" x14ac:dyDescent="0.15">
      <c r="A1616" s="2">
        <v>46089</v>
      </c>
      <c r="B1616" s="1" t="s">
        <v>3056</v>
      </c>
      <c r="C1616" s="1" t="s">
        <v>3057</v>
      </c>
      <c r="D1616" t="b">
        <f ca="1">IF(A1616="","",[1]!s_techanal_rcnthigh(B1616,$B$2,1,3))</f>
        <v>0</v>
      </c>
      <c r="E1616">
        <f ca="1">IF(A1616="","",COUNTIF(D$6:D1616,"True"))</f>
        <v>12</v>
      </c>
      <c r="F1616" t="str">
        <f t="shared" si="25"/>
        <v>300132.SZ</v>
      </c>
    </row>
    <row r="1617" spans="1:6" x14ac:dyDescent="0.15">
      <c r="A1617" s="2">
        <v>46089</v>
      </c>
      <c r="B1617" s="1" t="s">
        <v>3058</v>
      </c>
      <c r="C1617" s="1" t="s">
        <v>3059</v>
      </c>
      <c r="D1617" t="b">
        <f ca="1">IF(A1617="","",[1]!s_techanal_rcnthigh(B1617,$B$2,1,3))</f>
        <v>0</v>
      </c>
      <c r="E1617">
        <f ca="1">IF(A1617="","",COUNTIF(D$6:D1617,"True"))</f>
        <v>12</v>
      </c>
      <c r="F1617" t="str">
        <f t="shared" si="25"/>
        <v>300133.SZ</v>
      </c>
    </row>
    <row r="1618" spans="1:6" x14ac:dyDescent="0.15">
      <c r="A1618" s="2">
        <v>46089</v>
      </c>
      <c r="B1618" s="1" t="s">
        <v>3060</v>
      </c>
      <c r="C1618" s="1" t="s">
        <v>3061</v>
      </c>
      <c r="D1618" t="b">
        <f ca="1">IF(A1618="","",[1]!s_techanal_rcnthigh(B1618,$B$2,1,3))</f>
        <v>0</v>
      </c>
      <c r="E1618">
        <f ca="1">IF(A1618="","",COUNTIF(D$6:D1618,"True"))</f>
        <v>12</v>
      </c>
      <c r="F1618" t="str">
        <f t="shared" si="25"/>
        <v>300134.SZ</v>
      </c>
    </row>
    <row r="1619" spans="1:6" x14ac:dyDescent="0.15">
      <c r="A1619" s="2">
        <v>46089</v>
      </c>
      <c r="B1619" s="1" t="s">
        <v>3062</v>
      </c>
      <c r="C1619" s="1" t="s">
        <v>3063</v>
      </c>
      <c r="D1619" t="b">
        <f ca="1">IF(A1619="","",[1]!s_techanal_rcnthigh(B1619,$B$2,1,3))</f>
        <v>0</v>
      </c>
      <c r="E1619">
        <f ca="1">IF(A1619="","",COUNTIF(D$6:D1619,"True"))</f>
        <v>12</v>
      </c>
      <c r="F1619" t="str">
        <f t="shared" si="25"/>
        <v>300135.SZ</v>
      </c>
    </row>
    <row r="1620" spans="1:6" x14ac:dyDescent="0.15">
      <c r="A1620" s="2">
        <v>46089</v>
      </c>
      <c r="B1620" s="1" t="s">
        <v>3064</v>
      </c>
      <c r="C1620" s="1" t="s">
        <v>3065</v>
      </c>
      <c r="D1620" t="b">
        <f ca="1">IF(A1620="","",[1]!s_techanal_rcnthigh(B1620,$B$2,1,3))</f>
        <v>0</v>
      </c>
      <c r="E1620">
        <f ca="1">IF(A1620="","",COUNTIF(D$6:D1620,"True"))</f>
        <v>12</v>
      </c>
      <c r="F1620" t="str">
        <f t="shared" si="25"/>
        <v>300136.SZ</v>
      </c>
    </row>
    <row r="1621" spans="1:6" x14ac:dyDescent="0.15">
      <c r="A1621" s="2">
        <v>46089</v>
      </c>
      <c r="B1621" s="1" t="s">
        <v>3066</v>
      </c>
      <c r="C1621" s="1" t="s">
        <v>3067</v>
      </c>
      <c r="D1621" t="b">
        <f ca="1">IF(A1621="","",[1]!s_techanal_rcnthigh(B1621,$B$2,1,3))</f>
        <v>0</v>
      </c>
      <c r="E1621">
        <f ca="1">IF(A1621="","",COUNTIF(D$6:D1621,"True"))</f>
        <v>12</v>
      </c>
      <c r="F1621" t="str">
        <f t="shared" si="25"/>
        <v>300137.SZ</v>
      </c>
    </row>
    <row r="1622" spans="1:6" x14ac:dyDescent="0.15">
      <c r="A1622" s="2">
        <v>46089</v>
      </c>
      <c r="B1622" s="1" t="s">
        <v>3068</v>
      </c>
      <c r="C1622" s="1" t="s">
        <v>3069</v>
      </c>
      <c r="D1622" t="b">
        <f ca="1">IF(A1622="","",[1]!s_techanal_rcnthigh(B1622,$B$2,1,3))</f>
        <v>0</v>
      </c>
      <c r="E1622">
        <f ca="1">IF(A1622="","",COUNTIF(D$6:D1622,"True"))</f>
        <v>12</v>
      </c>
      <c r="F1622" t="str">
        <f t="shared" si="25"/>
        <v>300138.SZ</v>
      </c>
    </row>
    <row r="1623" spans="1:6" x14ac:dyDescent="0.15">
      <c r="A1623" s="2">
        <v>46089</v>
      </c>
      <c r="B1623" s="1" t="s">
        <v>3070</v>
      </c>
      <c r="C1623" s="1" t="s">
        <v>3071</v>
      </c>
      <c r="D1623" t="b">
        <f ca="1">IF(A1623="","",[1]!s_techanal_rcnthigh(B1623,$B$2,1,3))</f>
        <v>0</v>
      </c>
      <c r="E1623">
        <f ca="1">IF(A1623="","",COUNTIF(D$6:D1623,"True"))</f>
        <v>12</v>
      </c>
      <c r="F1623" t="str">
        <f t="shared" si="25"/>
        <v>300139.SZ</v>
      </c>
    </row>
    <row r="1624" spans="1:6" x14ac:dyDescent="0.15">
      <c r="A1624" s="2">
        <v>46089</v>
      </c>
      <c r="B1624" s="1" t="s">
        <v>3072</v>
      </c>
      <c r="C1624" s="1" t="s">
        <v>3073</v>
      </c>
      <c r="D1624" t="b">
        <f ca="1">IF(A1624="","",[1]!s_techanal_rcnthigh(B1624,$B$2,1,3))</f>
        <v>0</v>
      </c>
      <c r="E1624">
        <f ca="1">IF(A1624="","",COUNTIF(D$6:D1624,"True"))</f>
        <v>12</v>
      </c>
      <c r="F1624" t="str">
        <f t="shared" si="25"/>
        <v>300140.SZ</v>
      </c>
    </row>
    <row r="1625" spans="1:6" x14ac:dyDescent="0.15">
      <c r="A1625" s="2">
        <v>46089</v>
      </c>
      <c r="B1625" s="1" t="s">
        <v>3074</v>
      </c>
      <c r="C1625" s="1" t="s">
        <v>3075</v>
      </c>
      <c r="D1625" t="b">
        <f ca="1">IF(A1625="","",[1]!s_techanal_rcnthigh(B1625,$B$2,1,3))</f>
        <v>0</v>
      </c>
      <c r="E1625">
        <f ca="1">IF(A1625="","",COUNTIF(D$6:D1625,"True"))</f>
        <v>12</v>
      </c>
      <c r="F1625" t="str">
        <f t="shared" si="25"/>
        <v>300141.SZ</v>
      </c>
    </row>
    <row r="1626" spans="1:6" x14ac:dyDescent="0.15">
      <c r="A1626" s="2">
        <v>46089</v>
      </c>
      <c r="B1626" s="1" t="s">
        <v>3076</v>
      </c>
      <c r="C1626" s="1" t="s">
        <v>3077</v>
      </c>
      <c r="D1626" t="b">
        <f ca="1">IF(A1626="","",[1]!s_techanal_rcnthigh(B1626,$B$2,1,3))</f>
        <v>0</v>
      </c>
      <c r="E1626">
        <f ca="1">IF(A1626="","",COUNTIF(D$6:D1626,"True"))</f>
        <v>12</v>
      </c>
      <c r="F1626" t="str">
        <f t="shared" si="25"/>
        <v>300142.SZ</v>
      </c>
    </row>
    <row r="1627" spans="1:6" x14ac:dyDescent="0.15">
      <c r="A1627" s="2">
        <v>46089</v>
      </c>
      <c r="B1627" s="1" t="s">
        <v>3078</v>
      </c>
      <c r="C1627" s="1" t="s">
        <v>3079</v>
      </c>
      <c r="D1627" t="b">
        <f ca="1">IF(A1627="","",[1]!s_techanal_rcnthigh(B1627,$B$2,1,3))</f>
        <v>0</v>
      </c>
      <c r="E1627">
        <f ca="1">IF(A1627="","",COUNTIF(D$6:D1627,"True"))</f>
        <v>12</v>
      </c>
      <c r="F1627" t="str">
        <f t="shared" si="25"/>
        <v>300143.SZ</v>
      </c>
    </row>
    <row r="1628" spans="1:6" x14ac:dyDescent="0.15">
      <c r="A1628" s="2">
        <v>46089</v>
      </c>
      <c r="B1628" s="1" t="s">
        <v>3080</v>
      </c>
      <c r="C1628" s="1" t="s">
        <v>3081</v>
      </c>
      <c r="D1628" t="b">
        <f ca="1">IF(A1628="","",[1]!s_techanal_rcnthigh(B1628,$B$2,1,3))</f>
        <v>0</v>
      </c>
      <c r="E1628">
        <f ca="1">IF(A1628="","",COUNTIF(D$6:D1628,"True"))</f>
        <v>12</v>
      </c>
      <c r="F1628" t="str">
        <f t="shared" si="25"/>
        <v>300144.SZ</v>
      </c>
    </row>
    <row r="1629" spans="1:6" x14ac:dyDescent="0.15">
      <c r="A1629" s="2">
        <v>46089</v>
      </c>
      <c r="B1629" s="1" t="s">
        <v>3082</v>
      </c>
      <c r="C1629" s="1" t="s">
        <v>10188</v>
      </c>
      <c r="D1629" t="b">
        <f ca="1">IF(A1629="","",[1]!s_techanal_rcnthigh(B1629,$B$2,1,3))</f>
        <v>0</v>
      </c>
      <c r="E1629">
        <f ca="1">IF(A1629="","",COUNTIF(D$6:D1629,"True"))</f>
        <v>12</v>
      </c>
      <c r="F1629" t="str">
        <f t="shared" si="25"/>
        <v>300145.SZ</v>
      </c>
    </row>
    <row r="1630" spans="1:6" x14ac:dyDescent="0.15">
      <c r="A1630" s="2">
        <v>46089</v>
      </c>
      <c r="B1630" s="1" t="s">
        <v>3083</v>
      </c>
      <c r="C1630" s="1" t="s">
        <v>3084</v>
      </c>
      <c r="D1630" t="b">
        <f ca="1">IF(A1630="","",[1]!s_techanal_rcnthigh(B1630,$B$2,1,3))</f>
        <v>0</v>
      </c>
      <c r="E1630">
        <f ca="1">IF(A1630="","",COUNTIF(D$6:D1630,"True"))</f>
        <v>12</v>
      </c>
      <c r="F1630" t="str">
        <f t="shared" si="25"/>
        <v>300146.SZ</v>
      </c>
    </row>
    <row r="1631" spans="1:6" x14ac:dyDescent="0.15">
      <c r="A1631" s="2">
        <v>46089</v>
      </c>
      <c r="B1631" s="1" t="s">
        <v>3085</v>
      </c>
      <c r="C1631" s="1" t="s">
        <v>10189</v>
      </c>
      <c r="D1631" t="b">
        <f ca="1">IF(A1631="","",[1]!s_techanal_rcnthigh(B1631,$B$2,1,3))</f>
        <v>0</v>
      </c>
      <c r="E1631">
        <f ca="1">IF(A1631="","",COUNTIF(D$6:D1631,"True"))</f>
        <v>12</v>
      </c>
      <c r="F1631" t="str">
        <f t="shared" si="25"/>
        <v>300147.SZ</v>
      </c>
    </row>
    <row r="1632" spans="1:6" x14ac:dyDescent="0.15">
      <c r="A1632" s="2">
        <v>46089</v>
      </c>
      <c r="B1632" s="1" t="s">
        <v>3086</v>
      </c>
      <c r="C1632" s="1" t="s">
        <v>3087</v>
      </c>
      <c r="D1632" t="b">
        <f ca="1">IF(A1632="","",[1]!s_techanal_rcnthigh(B1632,$B$2,1,3))</f>
        <v>0</v>
      </c>
      <c r="E1632">
        <f ca="1">IF(A1632="","",COUNTIF(D$6:D1632,"True"))</f>
        <v>12</v>
      </c>
      <c r="F1632" t="str">
        <f t="shared" si="25"/>
        <v>300148.SZ</v>
      </c>
    </row>
    <row r="1633" spans="1:6" x14ac:dyDescent="0.15">
      <c r="A1633" s="2">
        <v>46089</v>
      </c>
      <c r="B1633" s="1" t="s">
        <v>3088</v>
      </c>
      <c r="C1633" s="1" t="s">
        <v>3089</v>
      </c>
      <c r="D1633" t="b">
        <f ca="1">IF(A1633="","",[1]!s_techanal_rcnthigh(B1633,$B$2,1,3))</f>
        <v>0</v>
      </c>
      <c r="E1633">
        <f ca="1">IF(A1633="","",COUNTIF(D$6:D1633,"True"))</f>
        <v>12</v>
      </c>
      <c r="F1633" t="str">
        <f t="shared" si="25"/>
        <v>300149.SZ</v>
      </c>
    </row>
    <row r="1634" spans="1:6" x14ac:dyDescent="0.15">
      <c r="A1634" s="2">
        <v>46089</v>
      </c>
      <c r="B1634" s="1" t="s">
        <v>3090</v>
      </c>
      <c r="C1634" s="1" t="s">
        <v>3091</v>
      </c>
      <c r="D1634" t="b">
        <f ca="1">IF(A1634="","",[1]!s_techanal_rcnthigh(B1634,$B$2,1,3))</f>
        <v>0</v>
      </c>
      <c r="E1634">
        <f ca="1">IF(A1634="","",COUNTIF(D$6:D1634,"True"))</f>
        <v>12</v>
      </c>
      <c r="F1634" t="str">
        <f t="shared" si="25"/>
        <v>300150.SZ</v>
      </c>
    </row>
    <row r="1635" spans="1:6" x14ac:dyDescent="0.15">
      <c r="A1635" s="2">
        <v>46089</v>
      </c>
      <c r="B1635" s="1" t="s">
        <v>3092</v>
      </c>
      <c r="C1635" s="1" t="s">
        <v>3093</v>
      </c>
      <c r="D1635" t="b">
        <f ca="1">IF(A1635="","",[1]!s_techanal_rcnthigh(B1635,$B$2,1,3))</f>
        <v>0</v>
      </c>
      <c r="E1635">
        <f ca="1">IF(A1635="","",COUNTIF(D$6:D1635,"True"))</f>
        <v>12</v>
      </c>
      <c r="F1635" t="str">
        <f t="shared" si="25"/>
        <v>300151.SZ</v>
      </c>
    </row>
    <row r="1636" spans="1:6" x14ac:dyDescent="0.15">
      <c r="A1636" s="2">
        <v>46089</v>
      </c>
      <c r="B1636" s="1" t="s">
        <v>3094</v>
      </c>
      <c r="C1636" s="1" t="s">
        <v>10190</v>
      </c>
      <c r="D1636" t="b">
        <f ca="1">IF(A1636="","",[1]!s_techanal_rcnthigh(B1636,$B$2,1,3))</f>
        <v>0</v>
      </c>
      <c r="E1636">
        <f ca="1">IF(A1636="","",COUNTIF(D$6:D1636,"True"))</f>
        <v>12</v>
      </c>
      <c r="F1636" t="str">
        <f t="shared" si="25"/>
        <v>300152.SZ</v>
      </c>
    </row>
    <row r="1637" spans="1:6" x14ac:dyDescent="0.15">
      <c r="A1637" s="2">
        <v>46089</v>
      </c>
      <c r="B1637" s="1" t="s">
        <v>3095</v>
      </c>
      <c r="C1637" s="1" t="s">
        <v>3096</v>
      </c>
      <c r="D1637" t="b">
        <f ca="1">IF(A1637="","",[1]!s_techanal_rcnthigh(B1637,$B$2,1,3))</f>
        <v>0</v>
      </c>
      <c r="E1637">
        <f ca="1">IF(A1637="","",COUNTIF(D$6:D1637,"True"))</f>
        <v>12</v>
      </c>
      <c r="F1637" t="str">
        <f t="shared" si="25"/>
        <v>300153.SZ</v>
      </c>
    </row>
    <row r="1638" spans="1:6" x14ac:dyDescent="0.15">
      <c r="A1638" s="2">
        <v>46089</v>
      </c>
      <c r="B1638" s="1" t="s">
        <v>3097</v>
      </c>
      <c r="C1638" s="1" t="s">
        <v>3098</v>
      </c>
      <c r="D1638" t="b">
        <f ca="1">IF(A1638="","",[1]!s_techanal_rcnthigh(B1638,$B$2,1,3))</f>
        <v>0</v>
      </c>
      <c r="E1638">
        <f ca="1">IF(A1638="","",COUNTIF(D$6:D1638,"True"))</f>
        <v>12</v>
      </c>
      <c r="F1638" t="str">
        <f t="shared" si="25"/>
        <v>300154.SZ</v>
      </c>
    </row>
    <row r="1639" spans="1:6" x14ac:dyDescent="0.15">
      <c r="A1639" s="2">
        <v>46089</v>
      </c>
      <c r="B1639" s="1" t="s">
        <v>3099</v>
      </c>
      <c r="C1639" s="1" t="s">
        <v>3100</v>
      </c>
      <c r="D1639" t="b">
        <f ca="1">IF(A1639="","",[1]!s_techanal_rcnthigh(B1639,$B$2,1,3))</f>
        <v>0</v>
      </c>
      <c r="E1639">
        <f ca="1">IF(A1639="","",COUNTIF(D$6:D1639,"True"))</f>
        <v>12</v>
      </c>
      <c r="F1639" t="str">
        <f t="shared" si="25"/>
        <v>300155.SZ</v>
      </c>
    </row>
    <row r="1640" spans="1:6" x14ac:dyDescent="0.15">
      <c r="A1640" s="2">
        <v>46089</v>
      </c>
      <c r="B1640" s="1" t="s">
        <v>3101</v>
      </c>
      <c r="C1640" s="1" t="s">
        <v>3102</v>
      </c>
      <c r="D1640" t="b">
        <f ca="1">IF(A1640="","",[1]!s_techanal_rcnthigh(B1640,$B$2,1,3))</f>
        <v>0</v>
      </c>
      <c r="E1640">
        <f ca="1">IF(A1640="","",COUNTIF(D$6:D1640,"True"))</f>
        <v>12</v>
      </c>
      <c r="F1640" t="str">
        <f t="shared" si="25"/>
        <v>300157.SZ</v>
      </c>
    </row>
    <row r="1641" spans="1:6" x14ac:dyDescent="0.15">
      <c r="A1641" s="2">
        <v>46089</v>
      </c>
      <c r="B1641" s="1" t="s">
        <v>3103</v>
      </c>
      <c r="C1641" s="1" t="s">
        <v>3104</v>
      </c>
      <c r="D1641" t="b">
        <f ca="1">IF(A1641="","",[1]!s_techanal_rcnthigh(B1641,$B$2,1,3))</f>
        <v>0</v>
      </c>
      <c r="E1641">
        <f ca="1">IF(A1641="","",COUNTIF(D$6:D1641,"True"))</f>
        <v>12</v>
      </c>
      <c r="F1641" t="str">
        <f t="shared" si="25"/>
        <v>300158.SZ</v>
      </c>
    </row>
    <row r="1642" spans="1:6" x14ac:dyDescent="0.15">
      <c r="A1642" s="2">
        <v>46089</v>
      </c>
      <c r="B1642" s="1" t="s">
        <v>3105</v>
      </c>
      <c r="C1642" s="1" t="s">
        <v>10191</v>
      </c>
      <c r="D1642" t="b">
        <f ca="1">IF(A1642="","",[1]!s_techanal_rcnthigh(B1642,$B$2,1,3))</f>
        <v>0</v>
      </c>
      <c r="E1642">
        <f ca="1">IF(A1642="","",COUNTIF(D$6:D1642,"True"))</f>
        <v>12</v>
      </c>
      <c r="F1642" t="str">
        <f t="shared" si="25"/>
        <v>300159.SZ</v>
      </c>
    </row>
    <row r="1643" spans="1:6" x14ac:dyDescent="0.15">
      <c r="A1643" s="2">
        <v>46089</v>
      </c>
      <c r="B1643" s="1" t="s">
        <v>3106</v>
      </c>
      <c r="C1643" s="1" t="s">
        <v>3107</v>
      </c>
      <c r="D1643" t="b">
        <f ca="1">IF(A1643="","",[1]!s_techanal_rcnthigh(B1643,$B$2,1,3))</f>
        <v>0</v>
      </c>
      <c r="E1643">
        <f ca="1">IF(A1643="","",COUNTIF(D$6:D1643,"True"))</f>
        <v>12</v>
      </c>
      <c r="F1643" t="str">
        <f t="shared" si="25"/>
        <v>300160.SZ</v>
      </c>
    </row>
    <row r="1644" spans="1:6" x14ac:dyDescent="0.15">
      <c r="A1644" s="2">
        <v>46089</v>
      </c>
      <c r="B1644" s="1" t="s">
        <v>3108</v>
      </c>
      <c r="C1644" s="1" t="s">
        <v>3109</v>
      </c>
      <c r="D1644" t="b">
        <f ca="1">IF(A1644="","",[1]!s_techanal_rcnthigh(B1644,$B$2,1,3))</f>
        <v>0</v>
      </c>
      <c r="E1644">
        <f ca="1">IF(A1644="","",COUNTIF(D$6:D1644,"True"))</f>
        <v>12</v>
      </c>
      <c r="F1644" t="str">
        <f t="shared" si="25"/>
        <v>300161.SZ</v>
      </c>
    </row>
    <row r="1645" spans="1:6" x14ac:dyDescent="0.15">
      <c r="A1645" s="2">
        <v>46089</v>
      </c>
      <c r="B1645" s="1" t="s">
        <v>3110</v>
      </c>
      <c r="C1645" s="1" t="s">
        <v>3111</v>
      </c>
      <c r="D1645" t="b">
        <f ca="1">IF(A1645="","",[1]!s_techanal_rcnthigh(B1645,$B$2,1,3))</f>
        <v>0</v>
      </c>
      <c r="E1645">
        <f ca="1">IF(A1645="","",COUNTIF(D$6:D1645,"True"))</f>
        <v>12</v>
      </c>
      <c r="F1645" t="str">
        <f t="shared" si="25"/>
        <v>300162.SZ</v>
      </c>
    </row>
    <row r="1646" spans="1:6" x14ac:dyDescent="0.15">
      <c r="A1646" s="2">
        <v>46089</v>
      </c>
      <c r="B1646" s="1" t="s">
        <v>3112</v>
      </c>
      <c r="C1646" s="1" t="s">
        <v>3113</v>
      </c>
      <c r="D1646" t="b">
        <f ca="1">IF(A1646="","",[1]!s_techanal_rcnthigh(B1646,$B$2,1,3))</f>
        <v>0</v>
      </c>
      <c r="E1646">
        <f ca="1">IF(A1646="","",COUNTIF(D$6:D1646,"True"))</f>
        <v>12</v>
      </c>
      <c r="F1646" t="str">
        <f t="shared" si="25"/>
        <v>300163.SZ</v>
      </c>
    </row>
    <row r="1647" spans="1:6" x14ac:dyDescent="0.15">
      <c r="A1647" s="2">
        <v>46089</v>
      </c>
      <c r="B1647" s="1" t="s">
        <v>3114</v>
      </c>
      <c r="C1647" s="1" t="s">
        <v>3115</v>
      </c>
      <c r="D1647" t="b">
        <f ca="1">IF(A1647="","",[1]!s_techanal_rcnthigh(B1647,$B$2,1,3))</f>
        <v>1</v>
      </c>
      <c r="E1647">
        <f ca="1">IF(A1647="","",COUNTIF(D$6:D1647,"True"))</f>
        <v>13</v>
      </c>
      <c r="F1647" t="str">
        <f t="shared" si="25"/>
        <v>300164.SZ</v>
      </c>
    </row>
    <row r="1648" spans="1:6" x14ac:dyDescent="0.15">
      <c r="A1648" s="2">
        <v>46089</v>
      </c>
      <c r="B1648" s="1" t="s">
        <v>3116</v>
      </c>
      <c r="C1648" s="1" t="s">
        <v>10192</v>
      </c>
      <c r="D1648" t="b">
        <f ca="1">IF(A1648="","",[1]!s_techanal_rcnthigh(B1648,$B$2,1,3))</f>
        <v>0</v>
      </c>
      <c r="E1648">
        <f ca="1">IF(A1648="","",COUNTIF(D$6:D1648,"True"))</f>
        <v>13</v>
      </c>
      <c r="F1648" t="str">
        <f t="shared" si="25"/>
        <v>300165.SZ</v>
      </c>
    </row>
    <row r="1649" spans="1:6" x14ac:dyDescent="0.15">
      <c r="A1649" s="2">
        <v>46089</v>
      </c>
      <c r="B1649" s="1" t="s">
        <v>3117</v>
      </c>
      <c r="C1649" s="1" t="s">
        <v>3118</v>
      </c>
      <c r="D1649" t="b">
        <f ca="1">IF(A1649="","",[1]!s_techanal_rcnthigh(B1649,$B$2,1,3))</f>
        <v>0</v>
      </c>
      <c r="E1649">
        <f ca="1">IF(A1649="","",COUNTIF(D$6:D1649,"True"))</f>
        <v>13</v>
      </c>
      <c r="F1649" t="str">
        <f t="shared" si="25"/>
        <v>300166.SZ</v>
      </c>
    </row>
    <row r="1650" spans="1:6" x14ac:dyDescent="0.15">
      <c r="A1650" s="2">
        <v>46089</v>
      </c>
      <c r="B1650" s="1" t="s">
        <v>3119</v>
      </c>
      <c r="C1650" s="1" t="s">
        <v>3120</v>
      </c>
      <c r="D1650" t="b">
        <f ca="1">IF(A1650="","",[1]!s_techanal_rcnthigh(B1650,$B$2,1,3))</f>
        <v>0</v>
      </c>
      <c r="E1650">
        <f ca="1">IF(A1650="","",COUNTIF(D$6:D1650,"True"))</f>
        <v>13</v>
      </c>
      <c r="F1650" t="str">
        <f t="shared" si="25"/>
        <v>300167.SZ</v>
      </c>
    </row>
    <row r="1651" spans="1:6" x14ac:dyDescent="0.15">
      <c r="A1651" s="2">
        <v>46089</v>
      </c>
      <c r="B1651" s="1" t="s">
        <v>3121</v>
      </c>
      <c r="C1651" s="1" t="s">
        <v>3122</v>
      </c>
      <c r="D1651" t="b">
        <f ca="1">IF(A1651="","",[1]!s_techanal_rcnthigh(B1651,$B$2,1,3))</f>
        <v>0</v>
      </c>
      <c r="E1651">
        <f ca="1">IF(A1651="","",COUNTIF(D$6:D1651,"True"))</f>
        <v>13</v>
      </c>
      <c r="F1651" t="str">
        <f t="shared" si="25"/>
        <v>300168.SZ</v>
      </c>
    </row>
    <row r="1652" spans="1:6" x14ac:dyDescent="0.15">
      <c r="A1652" s="2">
        <v>46089</v>
      </c>
      <c r="B1652" s="1" t="s">
        <v>3123</v>
      </c>
      <c r="C1652" s="1" t="s">
        <v>3124</v>
      </c>
      <c r="D1652" t="b">
        <f ca="1">IF(A1652="","",[1]!s_techanal_rcnthigh(B1652,$B$2,1,3))</f>
        <v>0</v>
      </c>
      <c r="E1652">
        <f ca="1">IF(A1652="","",COUNTIF(D$6:D1652,"True"))</f>
        <v>13</v>
      </c>
      <c r="F1652" t="str">
        <f t="shared" si="25"/>
        <v>300169.SZ</v>
      </c>
    </row>
    <row r="1653" spans="1:6" x14ac:dyDescent="0.15">
      <c r="A1653" s="2">
        <v>46089</v>
      </c>
      <c r="B1653" s="1" t="s">
        <v>3125</v>
      </c>
      <c r="C1653" s="1" t="s">
        <v>3126</v>
      </c>
      <c r="D1653" t="b">
        <f ca="1">IF(A1653="","",[1]!s_techanal_rcnthigh(B1653,$B$2,1,3))</f>
        <v>0</v>
      </c>
      <c r="E1653">
        <f ca="1">IF(A1653="","",COUNTIF(D$6:D1653,"True"))</f>
        <v>13</v>
      </c>
      <c r="F1653" t="str">
        <f t="shared" si="25"/>
        <v>300170.SZ</v>
      </c>
    </row>
    <row r="1654" spans="1:6" x14ac:dyDescent="0.15">
      <c r="A1654" s="2">
        <v>46089</v>
      </c>
      <c r="B1654" s="1" t="s">
        <v>3127</v>
      </c>
      <c r="C1654" s="1" t="s">
        <v>3128</v>
      </c>
      <c r="D1654" t="b">
        <f ca="1">IF(A1654="","",[1]!s_techanal_rcnthigh(B1654,$B$2,1,3))</f>
        <v>0</v>
      </c>
      <c r="E1654">
        <f ca="1">IF(A1654="","",COUNTIF(D$6:D1654,"True"))</f>
        <v>13</v>
      </c>
      <c r="F1654" t="str">
        <f t="shared" si="25"/>
        <v>300171.SZ</v>
      </c>
    </row>
    <row r="1655" spans="1:6" x14ac:dyDescent="0.15">
      <c r="A1655" s="2">
        <v>46089</v>
      </c>
      <c r="B1655" s="1" t="s">
        <v>3129</v>
      </c>
      <c r="C1655" s="1" t="s">
        <v>3130</v>
      </c>
      <c r="D1655" t="b">
        <f ca="1">IF(A1655="","",[1]!s_techanal_rcnthigh(B1655,$B$2,1,3))</f>
        <v>0</v>
      </c>
      <c r="E1655">
        <f ca="1">IF(A1655="","",COUNTIF(D$6:D1655,"True"))</f>
        <v>13</v>
      </c>
      <c r="F1655" t="str">
        <f t="shared" si="25"/>
        <v>300172.SZ</v>
      </c>
    </row>
    <row r="1656" spans="1:6" x14ac:dyDescent="0.15">
      <c r="A1656" s="2">
        <v>46089</v>
      </c>
      <c r="B1656" s="1" t="s">
        <v>3131</v>
      </c>
      <c r="C1656" s="1" t="s">
        <v>10193</v>
      </c>
      <c r="D1656" t="b">
        <f ca="1">IF(A1656="","",[1]!s_techanal_rcnthigh(B1656,$B$2,1,3))</f>
        <v>0</v>
      </c>
      <c r="E1656">
        <f ca="1">IF(A1656="","",COUNTIF(D$6:D1656,"True"))</f>
        <v>13</v>
      </c>
      <c r="F1656" t="str">
        <f t="shared" si="25"/>
        <v>300173.SZ</v>
      </c>
    </row>
    <row r="1657" spans="1:6" x14ac:dyDescent="0.15">
      <c r="A1657" s="2">
        <v>46089</v>
      </c>
      <c r="B1657" s="1" t="s">
        <v>3132</v>
      </c>
      <c r="C1657" s="1" t="s">
        <v>3133</v>
      </c>
      <c r="D1657" t="b">
        <f ca="1">IF(A1657="","",[1]!s_techanal_rcnthigh(B1657,$B$2,1,3))</f>
        <v>0</v>
      </c>
      <c r="E1657">
        <f ca="1">IF(A1657="","",COUNTIF(D$6:D1657,"True"))</f>
        <v>13</v>
      </c>
      <c r="F1657" t="str">
        <f t="shared" si="25"/>
        <v>300174.SZ</v>
      </c>
    </row>
    <row r="1658" spans="1:6" x14ac:dyDescent="0.15">
      <c r="A1658" s="2">
        <v>46089</v>
      </c>
      <c r="B1658" s="1" t="s">
        <v>3134</v>
      </c>
      <c r="C1658" s="1" t="s">
        <v>10194</v>
      </c>
      <c r="D1658" t="b">
        <f ca="1">IF(A1658="","",[1]!s_techanal_rcnthigh(B1658,$B$2,1,3))</f>
        <v>0</v>
      </c>
      <c r="E1658">
        <f ca="1">IF(A1658="","",COUNTIF(D$6:D1658,"True"))</f>
        <v>13</v>
      </c>
      <c r="F1658" t="str">
        <f t="shared" si="25"/>
        <v>300175.SZ</v>
      </c>
    </row>
    <row r="1659" spans="1:6" x14ac:dyDescent="0.15">
      <c r="A1659" s="2">
        <v>46089</v>
      </c>
      <c r="B1659" s="1" t="s">
        <v>3135</v>
      </c>
      <c r="C1659" s="1" t="s">
        <v>10195</v>
      </c>
      <c r="D1659" t="b">
        <f ca="1">IF(A1659="","",[1]!s_techanal_rcnthigh(B1659,$B$2,1,3))</f>
        <v>0</v>
      </c>
      <c r="E1659">
        <f ca="1">IF(A1659="","",COUNTIF(D$6:D1659,"True"))</f>
        <v>13</v>
      </c>
      <c r="F1659" t="str">
        <f t="shared" si="25"/>
        <v>300176.SZ</v>
      </c>
    </row>
    <row r="1660" spans="1:6" x14ac:dyDescent="0.15">
      <c r="A1660" s="2">
        <v>46089</v>
      </c>
      <c r="B1660" s="1" t="s">
        <v>3136</v>
      </c>
      <c r="C1660" s="1" t="s">
        <v>3137</v>
      </c>
      <c r="D1660" t="b">
        <f ca="1">IF(A1660="","",[1]!s_techanal_rcnthigh(B1660,$B$2,1,3))</f>
        <v>0</v>
      </c>
      <c r="E1660">
        <f ca="1">IF(A1660="","",COUNTIF(D$6:D1660,"True"))</f>
        <v>13</v>
      </c>
      <c r="F1660" t="str">
        <f t="shared" si="25"/>
        <v>300177.SZ</v>
      </c>
    </row>
    <row r="1661" spans="1:6" x14ac:dyDescent="0.15">
      <c r="A1661" s="2">
        <v>46089</v>
      </c>
      <c r="B1661" s="1" t="s">
        <v>3138</v>
      </c>
      <c r="C1661" s="1" t="s">
        <v>3139</v>
      </c>
      <c r="D1661" t="b">
        <f ca="1">IF(A1661="","",[1]!s_techanal_rcnthigh(B1661,$B$2,1,3))</f>
        <v>1</v>
      </c>
      <c r="E1661">
        <f ca="1">IF(A1661="","",COUNTIF(D$6:D1661,"True"))</f>
        <v>14</v>
      </c>
      <c r="F1661" t="str">
        <f t="shared" si="25"/>
        <v>300179.SZ</v>
      </c>
    </row>
    <row r="1662" spans="1:6" x14ac:dyDescent="0.15">
      <c r="A1662" s="2">
        <v>46089</v>
      </c>
      <c r="B1662" s="1" t="s">
        <v>3140</v>
      </c>
      <c r="C1662" s="1" t="s">
        <v>3141</v>
      </c>
      <c r="D1662" t="b">
        <f ca="1">IF(A1662="","",[1]!s_techanal_rcnthigh(B1662,$B$2,1,3))</f>
        <v>0</v>
      </c>
      <c r="E1662">
        <f ca="1">IF(A1662="","",COUNTIF(D$6:D1662,"True"))</f>
        <v>14</v>
      </c>
      <c r="F1662" t="str">
        <f t="shared" si="25"/>
        <v>300180.SZ</v>
      </c>
    </row>
    <row r="1663" spans="1:6" x14ac:dyDescent="0.15">
      <c r="A1663" s="2">
        <v>46089</v>
      </c>
      <c r="B1663" s="1" t="s">
        <v>3142</v>
      </c>
      <c r="C1663" s="1" t="s">
        <v>3143</v>
      </c>
      <c r="D1663" t="b">
        <f ca="1">IF(A1663="","",[1]!s_techanal_rcnthigh(B1663,$B$2,1,3))</f>
        <v>0</v>
      </c>
      <c r="E1663">
        <f ca="1">IF(A1663="","",COUNTIF(D$6:D1663,"True"))</f>
        <v>14</v>
      </c>
      <c r="F1663" t="str">
        <f t="shared" si="25"/>
        <v>300181.SZ</v>
      </c>
    </row>
    <row r="1664" spans="1:6" x14ac:dyDescent="0.15">
      <c r="A1664" s="2">
        <v>46089</v>
      </c>
      <c r="B1664" s="1" t="s">
        <v>3144</v>
      </c>
      <c r="C1664" s="1" t="s">
        <v>3145</v>
      </c>
      <c r="D1664" t="b">
        <f ca="1">IF(A1664="","",[1]!s_techanal_rcnthigh(B1664,$B$2,1,3))</f>
        <v>0</v>
      </c>
      <c r="E1664">
        <f ca="1">IF(A1664="","",COUNTIF(D$6:D1664,"True"))</f>
        <v>14</v>
      </c>
      <c r="F1664" t="str">
        <f t="shared" si="25"/>
        <v>300182.SZ</v>
      </c>
    </row>
    <row r="1665" spans="1:6" x14ac:dyDescent="0.15">
      <c r="A1665" s="2">
        <v>46089</v>
      </c>
      <c r="B1665" s="1" t="s">
        <v>3146</v>
      </c>
      <c r="C1665" s="1" t="s">
        <v>3147</v>
      </c>
      <c r="D1665" t="b">
        <f ca="1">IF(A1665="","",[1]!s_techanal_rcnthigh(B1665,$B$2,1,3))</f>
        <v>0</v>
      </c>
      <c r="E1665">
        <f ca="1">IF(A1665="","",COUNTIF(D$6:D1665,"True"))</f>
        <v>14</v>
      </c>
      <c r="F1665" t="str">
        <f t="shared" si="25"/>
        <v>300183.SZ</v>
      </c>
    </row>
    <row r="1666" spans="1:6" x14ac:dyDescent="0.15">
      <c r="A1666" s="2">
        <v>46089</v>
      </c>
      <c r="B1666" s="1" t="s">
        <v>3148</v>
      </c>
      <c r="C1666" s="1" t="s">
        <v>3149</v>
      </c>
      <c r="D1666" t="b">
        <f ca="1">IF(A1666="","",[1]!s_techanal_rcnthigh(B1666,$B$2,1,3))</f>
        <v>0</v>
      </c>
      <c r="E1666">
        <f ca="1">IF(A1666="","",COUNTIF(D$6:D1666,"True"))</f>
        <v>14</v>
      </c>
      <c r="F1666" t="str">
        <f t="shared" si="25"/>
        <v>300184.SZ</v>
      </c>
    </row>
    <row r="1667" spans="1:6" x14ac:dyDescent="0.15">
      <c r="A1667" s="2">
        <v>46089</v>
      </c>
      <c r="B1667" s="1" t="s">
        <v>3150</v>
      </c>
      <c r="C1667" s="1" t="s">
        <v>3151</v>
      </c>
      <c r="D1667" t="b">
        <f ca="1">IF(A1667="","",[1]!s_techanal_rcnthigh(B1667,$B$2,1,3))</f>
        <v>0</v>
      </c>
      <c r="E1667">
        <f ca="1">IF(A1667="","",COUNTIF(D$6:D1667,"True"))</f>
        <v>14</v>
      </c>
      <c r="F1667" t="str">
        <f t="shared" si="25"/>
        <v>300185.SZ</v>
      </c>
    </row>
    <row r="1668" spans="1:6" x14ac:dyDescent="0.15">
      <c r="A1668" s="2">
        <v>46089</v>
      </c>
      <c r="B1668" s="1" t="s">
        <v>3152</v>
      </c>
      <c r="C1668" s="1" t="s">
        <v>3153</v>
      </c>
      <c r="D1668" t="b">
        <f ca="1">IF(A1668="","",[1]!s_techanal_rcnthigh(B1668,$B$2,1,3))</f>
        <v>0</v>
      </c>
      <c r="E1668">
        <f ca="1">IF(A1668="","",COUNTIF(D$6:D1668,"True"))</f>
        <v>14</v>
      </c>
      <c r="F1668" t="str">
        <f t="shared" si="25"/>
        <v>300187.SZ</v>
      </c>
    </row>
    <row r="1669" spans="1:6" x14ac:dyDescent="0.15">
      <c r="A1669" s="2">
        <v>46089</v>
      </c>
      <c r="B1669" s="1" t="s">
        <v>3154</v>
      </c>
      <c r="C1669" s="1" t="s">
        <v>3155</v>
      </c>
      <c r="D1669" t="b">
        <f ca="1">IF(A1669="","",[1]!s_techanal_rcnthigh(B1669,$B$2,1,3))</f>
        <v>0</v>
      </c>
      <c r="E1669">
        <f ca="1">IF(A1669="","",COUNTIF(D$6:D1669,"True"))</f>
        <v>14</v>
      </c>
      <c r="F1669" t="str">
        <f t="shared" si="25"/>
        <v>300188.SZ</v>
      </c>
    </row>
    <row r="1670" spans="1:6" x14ac:dyDescent="0.15">
      <c r="A1670" s="2">
        <v>46089</v>
      </c>
      <c r="B1670" s="1" t="s">
        <v>3156</v>
      </c>
      <c r="C1670" s="1" t="s">
        <v>10196</v>
      </c>
      <c r="D1670" t="b">
        <f ca="1">IF(A1670="","",[1]!s_techanal_rcnthigh(B1670,$B$2,1,3))</f>
        <v>0</v>
      </c>
      <c r="E1670">
        <f ca="1">IF(A1670="","",COUNTIF(D$6:D1670,"True"))</f>
        <v>14</v>
      </c>
      <c r="F1670" t="str">
        <f t="shared" ref="F1670:F1733" si="26">IF(B1670="","",B1670)</f>
        <v>300189.SZ</v>
      </c>
    </row>
    <row r="1671" spans="1:6" x14ac:dyDescent="0.15">
      <c r="A1671" s="2">
        <v>46089</v>
      </c>
      <c r="B1671" s="1" t="s">
        <v>3157</v>
      </c>
      <c r="C1671" s="1" t="s">
        <v>3158</v>
      </c>
      <c r="D1671" t="b">
        <f ca="1">IF(A1671="","",[1]!s_techanal_rcnthigh(B1671,$B$2,1,3))</f>
        <v>0</v>
      </c>
      <c r="E1671">
        <f ca="1">IF(A1671="","",COUNTIF(D$6:D1671,"True"))</f>
        <v>14</v>
      </c>
      <c r="F1671" t="str">
        <f t="shared" si="26"/>
        <v>300190.SZ</v>
      </c>
    </row>
    <row r="1672" spans="1:6" x14ac:dyDescent="0.15">
      <c r="A1672" s="2">
        <v>46089</v>
      </c>
      <c r="B1672" s="1" t="s">
        <v>3159</v>
      </c>
      <c r="C1672" s="1" t="s">
        <v>3160</v>
      </c>
      <c r="D1672" t="b">
        <f ca="1">IF(A1672="","",[1]!s_techanal_rcnthigh(B1672,$B$2,1,3))</f>
        <v>0</v>
      </c>
      <c r="E1672">
        <f ca="1">IF(A1672="","",COUNTIF(D$6:D1672,"True"))</f>
        <v>14</v>
      </c>
      <c r="F1672" t="str">
        <f t="shared" si="26"/>
        <v>300191.SZ</v>
      </c>
    </row>
    <row r="1673" spans="1:6" x14ac:dyDescent="0.15">
      <c r="A1673" s="2">
        <v>46089</v>
      </c>
      <c r="B1673" s="1" t="s">
        <v>3161</v>
      </c>
      <c r="C1673" s="1" t="s">
        <v>3162</v>
      </c>
      <c r="D1673" t="b">
        <f ca="1">IF(A1673="","",[1]!s_techanal_rcnthigh(B1673,$B$2,1,3))</f>
        <v>0</v>
      </c>
      <c r="E1673">
        <f ca="1">IF(A1673="","",COUNTIF(D$6:D1673,"True"))</f>
        <v>14</v>
      </c>
      <c r="F1673" t="str">
        <f t="shared" si="26"/>
        <v>300192.SZ</v>
      </c>
    </row>
    <row r="1674" spans="1:6" x14ac:dyDescent="0.15">
      <c r="A1674" s="2">
        <v>46089</v>
      </c>
      <c r="B1674" s="1" t="s">
        <v>3163</v>
      </c>
      <c r="C1674" s="1" t="s">
        <v>3164</v>
      </c>
      <c r="D1674" t="b">
        <f ca="1">IF(A1674="","",[1]!s_techanal_rcnthigh(B1674,$B$2,1,3))</f>
        <v>0</v>
      </c>
      <c r="E1674">
        <f ca="1">IF(A1674="","",COUNTIF(D$6:D1674,"True"))</f>
        <v>14</v>
      </c>
      <c r="F1674" t="str">
        <f t="shared" si="26"/>
        <v>300193.SZ</v>
      </c>
    </row>
    <row r="1675" spans="1:6" x14ac:dyDescent="0.15">
      <c r="A1675" s="2">
        <v>46089</v>
      </c>
      <c r="B1675" s="1" t="s">
        <v>3165</v>
      </c>
      <c r="C1675" s="1" t="s">
        <v>3166</v>
      </c>
      <c r="D1675" t="b">
        <f ca="1">IF(A1675="","",[1]!s_techanal_rcnthigh(B1675,$B$2,1,3))</f>
        <v>0</v>
      </c>
      <c r="E1675">
        <f ca="1">IF(A1675="","",COUNTIF(D$6:D1675,"True"))</f>
        <v>14</v>
      </c>
      <c r="F1675" t="str">
        <f t="shared" si="26"/>
        <v>300194.SZ</v>
      </c>
    </row>
    <row r="1676" spans="1:6" x14ac:dyDescent="0.15">
      <c r="A1676" s="2">
        <v>46089</v>
      </c>
      <c r="B1676" s="1" t="s">
        <v>3167</v>
      </c>
      <c r="C1676" s="1" t="s">
        <v>3168</v>
      </c>
      <c r="D1676" t="b">
        <f ca="1">IF(A1676="","",[1]!s_techanal_rcnthigh(B1676,$B$2,1,3))</f>
        <v>0</v>
      </c>
      <c r="E1676">
        <f ca="1">IF(A1676="","",COUNTIF(D$6:D1676,"True"))</f>
        <v>14</v>
      </c>
      <c r="F1676" t="str">
        <f t="shared" si="26"/>
        <v>300195.SZ</v>
      </c>
    </row>
    <row r="1677" spans="1:6" x14ac:dyDescent="0.15">
      <c r="A1677" s="2">
        <v>46089</v>
      </c>
      <c r="B1677" s="1" t="s">
        <v>3169</v>
      </c>
      <c r="C1677" s="1" t="s">
        <v>3170</v>
      </c>
      <c r="D1677" t="b">
        <f ca="1">IF(A1677="","",[1]!s_techanal_rcnthigh(B1677,$B$2,1,3))</f>
        <v>0</v>
      </c>
      <c r="E1677">
        <f ca="1">IF(A1677="","",COUNTIF(D$6:D1677,"True"))</f>
        <v>14</v>
      </c>
      <c r="F1677" t="str">
        <f t="shared" si="26"/>
        <v>300196.SZ</v>
      </c>
    </row>
    <row r="1678" spans="1:6" x14ac:dyDescent="0.15">
      <c r="A1678" s="2">
        <v>46089</v>
      </c>
      <c r="B1678" s="1" t="s">
        <v>3171</v>
      </c>
      <c r="C1678" s="1" t="s">
        <v>3172</v>
      </c>
      <c r="D1678" t="b">
        <f ca="1">IF(A1678="","",[1]!s_techanal_rcnthigh(B1678,$B$2,1,3))</f>
        <v>0</v>
      </c>
      <c r="E1678">
        <f ca="1">IF(A1678="","",COUNTIF(D$6:D1678,"True"))</f>
        <v>14</v>
      </c>
      <c r="F1678" t="str">
        <f t="shared" si="26"/>
        <v>300197.SZ</v>
      </c>
    </row>
    <row r="1679" spans="1:6" x14ac:dyDescent="0.15">
      <c r="A1679" s="2">
        <v>46089</v>
      </c>
      <c r="B1679" s="1" t="s">
        <v>3173</v>
      </c>
      <c r="C1679" s="1" t="s">
        <v>10197</v>
      </c>
      <c r="D1679" t="b">
        <f ca="1">IF(A1679="","",[1]!s_techanal_rcnthigh(B1679,$B$2,1,3))</f>
        <v>0</v>
      </c>
      <c r="E1679">
        <f ca="1">IF(A1679="","",COUNTIF(D$6:D1679,"True"))</f>
        <v>14</v>
      </c>
      <c r="F1679" t="str">
        <f t="shared" si="26"/>
        <v>300198.SZ</v>
      </c>
    </row>
    <row r="1680" spans="1:6" x14ac:dyDescent="0.15">
      <c r="A1680" s="2">
        <v>46089</v>
      </c>
      <c r="B1680" s="1" t="s">
        <v>3174</v>
      </c>
      <c r="C1680" s="1" t="s">
        <v>3175</v>
      </c>
      <c r="D1680" t="b">
        <f ca="1">IF(A1680="","",[1]!s_techanal_rcnthigh(B1680,$B$2,1,3))</f>
        <v>0</v>
      </c>
      <c r="E1680">
        <f ca="1">IF(A1680="","",COUNTIF(D$6:D1680,"True"))</f>
        <v>14</v>
      </c>
      <c r="F1680" t="str">
        <f t="shared" si="26"/>
        <v>300199.SZ</v>
      </c>
    </row>
    <row r="1681" spans="1:6" x14ac:dyDescent="0.15">
      <c r="A1681" s="2">
        <v>46089</v>
      </c>
      <c r="B1681" s="1" t="s">
        <v>3176</v>
      </c>
      <c r="C1681" s="1" t="s">
        <v>3177</v>
      </c>
      <c r="D1681" t="b">
        <f ca="1">IF(A1681="","",[1]!s_techanal_rcnthigh(B1681,$B$2,1,3))</f>
        <v>0</v>
      </c>
      <c r="E1681">
        <f ca="1">IF(A1681="","",COUNTIF(D$6:D1681,"True"))</f>
        <v>14</v>
      </c>
      <c r="F1681" t="str">
        <f t="shared" si="26"/>
        <v>300200.SZ</v>
      </c>
    </row>
    <row r="1682" spans="1:6" x14ac:dyDescent="0.15">
      <c r="A1682" s="2">
        <v>46089</v>
      </c>
      <c r="B1682" s="1" t="s">
        <v>3178</v>
      </c>
      <c r="C1682" s="1" t="s">
        <v>3179</v>
      </c>
      <c r="D1682" t="b">
        <f ca="1">IF(A1682="","",[1]!s_techanal_rcnthigh(B1682,$B$2,1,3))</f>
        <v>0</v>
      </c>
      <c r="E1682">
        <f ca="1">IF(A1682="","",COUNTIF(D$6:D1682,"True"))</f>
        <v>14</v>
      </c>
      <c r="F1682" t="str">
        <f t="shared" si="26"/>
        <v>300201.SZ</v>
      </c>
    </row>
    <row r="1683" spans="1:6" x14ac:dyDescent="0.15">
      <c r="A1683" s="2">
        <v>46089</v>
      </c>
      <c r="B1683" s="1" t="s">
        <v>3180</v>
      </c>
      <c r="C1683" s="1" t="s">
        <v>3181</v>
      </c>
      <c r="D1683" t="b">
        <f ca="1">IF(A1683="","",[1]!s_techanal_rcnthigh(B1683,$B$2,1,3))</f>
        <v>0</v>
      </c>
      <c r="E1683">
        <f ca="1">IF(A1683="","",COUNTIF(D$6:D1683,"True"))</f>
        <v>14</v>
      </c>
      <c r="F1683" t="str">
        <f t="shared" si="26"/>
        <v>300203.SZ</v>
      </c>
    </row>
    <row r="1684" spans="1:6" x14ac:dyDescent="0.15">
      <c r="A1684" s="2">
        <v>46089</v>
      </c>
      <c r="B1684" s="1" t="s">
        <v>3182</v>
      </c>
      <c r="C1684" s="1" t="s">
        <v>3183</v>
      </c>
      <c r="D1684" t="b">
        <f ca="1">IF(A1684="","",[1]!s_techanal_rcnthigh(B1684,$B$2,1,3))</f>
        <v>0</v>
      </c>
      <c r="E1684">
        <f ca="1">IF(A1684="","",COUNTIF(D$6:D1684,"True"))</f>
        <v>14</v>
      </c>
      <c r="F1684" t="str">
        <f t="shared" si="26"/>
        <v>300204.SZ</v>
      </c>
    </row>
    <row r="1685" spans="1:6" x14ac:dyDescent="0.15">
      <c r="A1685" s="2">
        <v>46089</v>
      </c>
      <c r="B1685" s="1" t="s">
        <v>3184</v>
      </c>
      <c r="C1685" s="1" t="s">
        <v>10198</v>
      </c>
      <c r="D1685" t="b">
        <f ca="1">IF(A1685="","",[1]!s_techanal_rcnthigh(B1685,$B$2,1,3))</f>
        <v>0</v>
      </c>
      <c r="E1685">
        <f ca="1">IF(A1685="","",COUNTIF(D$6:D1685,"True"))</f>
        <v>14</v>
      </c>
      <c r="F1685" t="str">
        <f t="shared" si="26"/>
        <v>300205.SZ</v>
      </c>
    </row>
    <row r="1686" spans="1:6" x14ac:dyDescent="0.15">
      <c r="A1686" s="2">
        <v>46089</v>
      </c>
      <c r="B1686" s="1" t="s">
        <v>3185</v>
      </c>
      <c r="C1686" s="1" t="s">
        <v>3186</v>
      </c>
      <c r="D1686" t="b">
        <f ca="1">IF(A1686="","",[1]!s_techanal_rcnthigh(B1686,$B$2,1,3))</f>
        <v>0</v>
      </c>
      <c r="E1686">
        <f ca="1">IF(A1686="","",COUNTIF(D$6:D1686,"True"))</f>
        <v>14</v>
      </c>
      <c r="F1686" t="str">
        <f t="shared" si="26"/>
        <v>300206.SZ</v>
      </c>
    </row>
    <row r="1687" spans="1:6" x14ac:dyDescent="0.15">
      <c r="A1687" s="2">
        <v>46089</v>
      </c>
      <c r="B1687" s="1" t="s">
        <v>3187</v>
      </c>
      <c r="C1687" s="1" t="s">
        <v>3188</v>
      </c>
      <c r="D1687" t="b">
        <f ca="1">IF(A1687="","",[1]!s_techanal_rcnthigh(B1687,$B$2,1,3))</f>
        <v>0</v>
      </c>
      <c r="E1687">
        <f ca="1">IF(A1687="","",COUNTIF(D$6:D1687,"True"))</f>
        <v>14</v>
      </c>
      <c r="F1687" t="str">
        <f t="shared" si="26"/>
        <v>300207.SZ</v>
      </c>
    </row>
    <row r="1688" spans="1:6" x14ac:dyDescent="0.15">
      <c r="A1688" s="2">
        <v>46089</v>
      </c>
      <c r="B1688" s="1" t="s">
        <v>3189</v>
      </c>
      <c r="C1688" s="1" t="s">
        <v>10199</v>
      </c>
      <c r="D1688" t="b">
        <f ca="1">IF(A1688="","",[1]!s_techanal_rcnthigh(B1688,$B$2,1,3))</f>
        <v>0</v>
      </c>
      <c r="E1688">
        <f ca="1">IF(A1688="","",COUNTIF(D$6:D1688,"True"))</f>
        <v>14</v>
      </c>
      <c r="F1688" t="str">
        <f t="shared" si="26"/>
        <v>300209.SZ</v>
      </c>
    </row>
    <row r="1689" spans="1:6" x14ac:dyDescent="0.15">
      <c r="A1689" s="2">
        <v>46089</v>
      </c>
      <c r="B1689" s="1" t="s">
        <v>3190</v>
      </c>
      <c r="C1689" s="1" t="s">
        <v>3191</v>
      </c>
      <c r="D1689" t="b">
        <f ca="1">IF(A1689="","",[1]!s_techanal_rcnthigh(B1689,$B$2,1,3))</f>
        <v>0</v>
      </c>
      <c r="E1689">
        <f ca="1">IF(A1689="","",COUNTIF(D$6:D1689,"True"))</f>
        <v>14</v>
      </c>
      <c r="F1689" t="str">
        <f t="shared" si="26"/>
        <v>300210.SZ</v>
      </c>
    </row>
    <row r="1690" spans="1:6" x14ac:dyDescent="0.15">
      <c r="A1690" s="2">
        <v>46089</v>
      </c>
      <c r="B1690" s="1" t="s">
        <v>3192</v>
      </c>
      <c r="C1690" s="1" t="s">
        <v>10200</v>
      </c>
      <c r="D1690" t="b">
        <f ca="1">IF(A1690="","",[1]!s_techanal_rcnthigh(B1690,$B$2,1,3))</f>
        <v>0</v>
      </c>
      <c r="E1690">
        <f ca="1">IF(A1690="","",COUNTIF(D$6:D1690,"True"))</f>
        <v>14</v>
      </c>
      <c r="F1690" t="str">
        <f t="shared" si="26"/>
        <v>300211.SZ</v>
      </c>
    </row>
    <row r="1691" spans="1:6" x14ac:dyDescent="0.15">
      <c r="A1691" s="2">
        <v>46089</v>
      </c>
      <c r="B1691" s="1" t="s">
        <v>3193</v>
      </c>
      <c r="C1691" s="1" t="s">
        <v>3194</v>
      </c>
      <c r="D1691" t="b">
        <f ca="1">IF(A1691="","",[1]!s_techanal_rcnthigh(B1691,$B$2,1,3))</f>
        <v>0</v>
      </c>
      <c r="E1691">
        <f ca="1">IF(A1691="","",COUNTIF(D$6:D1691,"True"))</f>
        <v>14</v>
      </c>
      <c r="F1691" t="str">
        <f t="shared" si="26"/>
        <v>300212.SZ</v>
      </c>
    </row>
    <row r="1692" spans="1:6" x14ac:dyDescent="0.15">
      <c r="A1692" s="2">
        <v>46089</v>
      </c>
      <c r="B1692" s="1" t="s">
        <v>3195</v>
      </c>
      <c r="C1692" s="1" t="s">
        <v>3196</v>
      </c>
      <c r="D1692" t="b">
        <f ca="1">IF(A1692="","",[1]!s_techanal_rcnthigh(B1692,$B$2,1,3))</f>
        <v>0</v>
      </c>
      <c r="E1692">
        <f ca="1">IF(A1692="","",COUNTIF(D$6:D1692,"True"))</f>
        <v>14</v>
      </c>
      <c r="F1692" t="str">
        <f t="shared" si="26"/>
        <v>300213.SZ</v>
      </c>
    </row>
    <row r="1693" spans="1:6" x14ac:dyDescent="0.15">
      <c r="A1693" s="2">
        <v>46089</v>
      </c>
      <c r="B1693" s="1" t="s">
        <v>3197</v>
      </c>
      <c r="C1693" s="1" t="s">
        <v>3198</v>
      </c>
      <c r="D1693" t="b">
        <f ca="1">IF(A1693="","",[1]!s_techanal_rcnthigh(B1693,$B$2,1,3))</f>
        <v>0</v>
      </c>
      <c r="E1693">
        <f ca="1">IF(A1693="","",COUNTIF(D$6:D1693,"True"))</f>
        <v>14</v>
      </c>
      <c r="F1693" t="str">
        <f t="shared" si="26"/>
        <v>300214.SZ</v>
      </c>
    </row>
    <row r="1694" spans="1:6" x14ac:dyDescent="0.15">
      <c r="A1694" s="2">
        <v>46089</v>
      </c>
      <c r="B1694" s="1" t="s">
        <v>3199</v>
      </c>
      <c r="C1694" s="1" t="s">
        <v>3200</v>
      </c>
      <c r="D1694" t="b">
        <f ca="1">IF(A1694="","",[1]!s_techanal_rcnthigh(B1694,$B$2,1,3))</f>
        <v>0</v>
      </c>
      <c r="E1694">
        <f ca="1">IF(A1694="","",COUNTIF(D$6:D1694,"True"))</f>
        <v>14</v>
      </c>
      <c r="F1694" t="str">
        <f t="shared" si="26"/>
        <v>300215.SZ</v>
      </c>
    </row>
    <row r="1695" spans="1:6" x14ac:dyDescent="0.15">
      <c r="A1695" s="2">
        <v>46089</v>
      </c>
      <c r="B1695" s="1" t="s">
        <v>3201</v>
      </c>
      <c r="C1695" s="1" t="s">
        <v>3202</v>
      </c>
      <c r="D1695" t="b">
        <f ca="1">IF(A1695="","",[1]!s_techanal_rcnthigh(B1695,$B$2,1,3))</f>
        <v>0</v>
      </c>
      <c r="E1695">
        <f ca="1">IF(A1695="","",COUNTIF(D$6:D1695,"True"))</f>
        <v>14</v>
      </c>
      <c r="F1695" t="str">
        <f t="shared" si="26"/>
        <v>300217.SZ</v>
      </c>
    </row>
    <row r="1696" spans="1:6" x14ac:dyDescent="0.15">
      <c r="A1696" s="2">
        <v>46089</v>
      </c>
      <c r="B1696" s="1" t="s">
        <v>3203</v>
      </c>
      <c r="C1696" s="1" t="s">
        <v>3204</v>
      </c>
      <c r="D1696" t="b">
        <f ca="1">IF(A1696="","",[1]!s_techanal_rcnthigh(B1696,$B$2,1,3))</f>
        <v>0</v>
      </c>
      <c r="E1696">
        <f ca="1">IF(A1696="","",COUNTIF(D$6:D1696,"True"))</f>
        <v>14</v>
      </c>
      <c r="F1696" t="str">
        <f t="shared" si="26"/>
        <v>300218.SZ</v>
      </c>
    </row>
    <row r="1697" spans="1:6" x14ac:dyDescent="0.15">
      <c r="A1697" s="2">
        <v>46089</v>
      </c>
      <c r="B1697" s="1" t="s">
        <v>3205</v>
      </c>
      <c r="C1697" s="1" t="s">
        <v>3206</v>
      </c>
      <c r="D1697" t="b">
        <f ca="1">IF(A1697="","",[1]!s_techanal_rcnthigh(B1697,$B$2,1,3))</f>
        <v>0</v>
      </c>
      <c r="E1697">
        <f ca="1">IF(A1697="","",COUNTIF(D$6:D1697,"True"))</f>
        <v>14</v>
      </c>
      <c r="F1697" t="str">
        <f t="shared" si="26"/>
        <v>300219.SZ</v>
      </c>
    </row>
    <row r="1698" spans="1:6" x14ac:dyDescent="0.15">
      <c r="A1698" s="2">
        <v>46089</v>
      </c>
      <c r="B1698" s="1" t="s">
        <v>3207</v>
      </c>
      <c r="C1698" s="1" t="s">
        <v>10201</v>
      </c>
      <c r="D1698" t="b">
        <f ca="1">IF(A1698="","",[1]!s_techanal_rcnthigh(B1698,$B$2,1,3))</f>
        <v>0</v>
      </c>
      <c r="E1698">
        <f ca="1">IF(A1698="","",COUNTIF(D$6:D1698,"True"))</f>
        <v>14</v>
      </c>
      <c r="F1698" t="str">
        <f t="shared" si="26"/>
        <v>300220.SZ</v>
      </c>
    </row>
    <row r="1699" spans="1:6" x14ac:dyDescent="0.15">
      <c r="A1699" s="2">
        <v>46089</v>
      </c>
      <c r="B1699" s="1" t="s">
        <v>3208</v>
      </c>
      <c r="C1699" s="1" t="s">
        <v>3209</v>
      </c>
      <c r="D1699" t="b">
        <f ca="1">IF(A1699="","",[1]!s_techanal_rcnthigh(B1699,$B$2,1,3))</f>
        <v>0</v>
      </c>
      <c r="E1699">
        <f ca="1">IF(A1699="","",COUNTIF(D$6:D1699,"True"))</f>
        <v>14</v>
      </c>
      <c r="F1699" t="str">
        <f t="shared" si="26"/>
        <v>300221.SZ</v>
      </c>
    </row>
    <row r="1700" spans="1:6" x14ac:dyDescent="0.15">
      <c r="A1700" s="2">
        <v>46089</v>
      </c>
      <c r="B1700" s="1" t="s">
        <v>3210</v>
      </c>
      <c r="C1700" s="1" t="s">
        <v>3211</v>
      </c>
      <c r="D1700" t="b">
        <f ca="1">IF(A1700="","",[1]!s_techanal_rcnthigh(B1700,$B$2,1,3))</f>
        <v>0</v>
      </c>
      <c r="E1700">
        <f ca="1">IF(A1700="","",COUNTIF(D$6:D1700,"True"))</f>
        <v>14</v>
      </c>
      <c r="F1700" t="str">
        <f t="shared" si="26"/>
        <v>300222.SZ</v>
      </c>
    </row>
    <row r="1701" spans="1:6" x14ac:dyDescent="0.15">
      <c r="A1701" s="2">
        <v>46089</v>
      </c>
      <c r="B1701" s="1" t="s">
        <v>3212</v>
      </c>
      <c r="C1701" s="1" t="s">
        <v>3213</v>
      </c>
      <c r="D1701" t="b">
        <f ca="1">IF(A1701="","",[1]!s_techanal_rcnthigh(B1701,$B$2,1,3))</f>
        <v>0</v>
      </c>
      <c r="E1701">
        <f ca="1">IF(A1701="","",COUNTIF(D$6:D1701,"True"))</f>
        <v>14</v>
      </c>
      <c r="F1701" t="str">
        <f t="shared" si="26"/>
        <v>300223.SZ</v>
      </c>
    </row>
    <row r="1702" spans="1:6" x14ac:dyDescent="0.15">
      <c r="A1702" s="2">
        <v>46089</v>
      </c>
      <c r="B1702" s="1" t="s">
        <v>3214</v>
      </c>
      <c r="C1702" s="1" t="s">
        <v>3215</v>
      </c>
      <c r="D1702" t="b">
        <f ca="1">IF(A1702="","",[1]!s_techanal_rcnthigh(B1702,$B$2,1,3))</f>
        <v>0</v>
      </c>
      <c r="E1702">
        <f ca="1">IF(A1702="","",COUNTIF(D$6:D1702,"True"))</f>
        <v>14</v>
      </c>
      <c r="F1702" t="str">
        <f t="shared" si="26"/>
        <v>300224.SZ</v>
      </c>
    </row>
    <row r="1703" spans="1:6" x14ac:dyDescent="0.15">
      <c r="A1703" s="2">
        <v>46089</v>
      </c>
      <c r="B1703" s="1" t="s">
        <v>3216</v>
      </c>
      <c r="C1703" s="1" t="s">
        <v>10202</v>
      </c>
      <c r="D1703" t="b">
        <f ca="1">IF(A1703="","",[1]!s_techanal_rcnthigh(B1703,$B$2,1,3))</f>
        <v>0</v>
      </c>
      <c r="E1703">
        <f ca="1">IF(A1703="","",COUNTIF(D$6:D1703,"True"))</f>
        <v>14</v>
      </c>
      <c r="F1703" t="str">
        <f t="shared" si="26"/>
        <v>300225.SZ</v>
      </c>
    </row>
    <row r="1704" spans="1:6" x14ac:dyDescent="0.15">
      <c r="A1704" s="2">
        <v>46089</v>
      </c>
      <c r="B1704" s="1" t="s">
        <v>3217</v>
      </c>
      <c r="C1704" s="1" t="s">
        <v>3218</v>
      </c>
      <c r="D1704" t="b">
        <f ca="1">IF(A1704="","",[1]!s_techanal_rcnthigh(B1704,$B$2,1,3))</f>
        <v>0</v>
      </c>
      <c r="E1704">
        <f ca="1">IF(A1704="","",COUNTIF(D$6:D1704,"True"))</f>
        <v>14</v>
      </c>
      <c r="F1704" t="str">
        <f t="shared" si="26"/>
        <v>300226.SZ</v>
      </c>
    </row>
    <row r="1705" spans="1:6" x14ac:dyDescent="0.15">
      <c r="A1705" s="2">
        <v>46089</v>
      </c>
      <c r="B1705" s="1" t="s">
        <v>3219</v>
      </c>
      <c r="C1705" s="1" t="s">
        <v>3220</v>
      </c>
      <c r="D1705" t="b">
        <f ca="1">IF(A1705="","",[1]!s_techanal_rcnthigh(B1705,$B$2,1,3))</f>
        <v>0</v>
      </c>
      <c r="E1705">
        <f ca="1">IF(A1705="","",COUNTIF(D$6:D1705,"True"))</f>
        <v>14</v>
      </c>
      <c r="F1705" t="str">
        <f t="shared" si="26"/>
        <v>300227.SZ</v>
      </c>
    </row>
    <row r="1706" spans="1:6" x14ac:dyDescent="0.15">
      <c r="A1706" s="2">
        <v>46089</v>
      </c>
      <c r="B1706" s="1" t="s">
        <v>3221</v>
      </c>
      <c r="C1706" s="1" t="s">
        <v>3222</v>
      </c>
      <c r="D1706" t="b">
        <f ca="1">IF(A1706="","",[1]!s_techanal_rcnthigh(B1706,$B$2,1,3))</f>
        <v>0</v>
      </c>
      <c r="E1706">
        <f ca="1">IF(A1706="","",COUNTIF(D$6:D1706,"True"))</f>
        <v>14</v>
      </c>
      <c r="F1706" t="str">
        <f t="shared" si="26"/>
        <v>300228.SZ</v>
      </c>
    </row>
    <row r="1707" spans="1:6" x14ac:dyDescent="0.15">
      <c r="A1707" s="2">
        <v>46089</v>
      </c>
      <c r="B1707" s="1" t="s">
        <v>3223</v>
      </c>
      <c r="C1707" s="1" t="s">
        <v>3224</v>
      </c>
      <c r="D1707" t="b">
        <f ca="1">IF(A1707="","",[1]!s_techanal_rcnthigh(B1707,$B$2,1,3))</f>
        <v>0</v>
      </c>
      <c r="E1707">
        <f ca="1">IF(A1707="","",COUNTIF(D$6:D1707,"True"))</f>
        <v>14</v>
      </c>
      <c r="F1707" t="str">
        <f t="shared" si="26"/>
        <v>300229.SZ</v>
      </c>
    </row>
    <row r="1708" spans="1:6" x14ac:dyDescent="0.15">
      <c r="A1708" s="2">
        <v>46089</v>
      </c>
      <c r="B1708" s="1" t="s">
        <v>3225</v>
      </c>
      <c r="C1708" s="1" t="s">
        <v>3226</v>
      </c>
      <c r="D1708" t="b">
        <f ca="1">IF(A1708="","",[1]!s_techanal_rcnthigh(B1708,$B$2,1,3))</f>
        <v>0</v>
      </c>
      <c r="E1708">
        <f ca="1">IF(A1708="","",COUNTIF(D$6:D1708,"True"))</f>
        <v>14</v>
      </c>
      <c r="F1708" t="str">
        <f t="shared" si="26"/>
        <v>300230.SZ</v>
      </c>
    </row>
    <row r="1709" spans="1:6" x14ac:dyDescent="0.15">
      <c r="A1709" s="2">
        <v>46089</v>
      </c>
      <c r="B1709" s="1" t="s">
        <v>3227</v>
      </c>
      <c r="C1709" s="1" t="s">
        <v>3228</v>
      </c>
      <c r="D1709" t="b">
        <f ca="1">IF(A1709="","",[1]!s_techanal_rcnthigh(B1709,$B$2,1,3))</f>
        <v>0</v>
      </c>
      <c r="E1709">
        <f ca="1">IF(A1709="","",COUNTIF(D$6:D1709,"True"))</f>
        <v>14</v>
      </c>
      <c r="F1709" t="str">
        <f t="shared" si="26"/>
        <v>300231.SZ</v>
      </c>
    </row>
    <row r="1710" spans="1:6" x14ac:dyDescent="0.15">
      <c r="A1710" s="2">
        <v>46089</v>
      </c>
      <c r="B1710" s="1" t="s">
        <v>3229</v>
      </c>
      <c r="C1710" s="1" t="s">
        <v>3230</v>
      </c>
      <c r="D1710" t="b">
        <f ca="1">IF(A1710="","",[1]!s_techanal_rcnthigh(B1710,$B$2,1,3))</f>
        <v>0</v>
      </c>
      <c r="E1710">
        <f ca="1">IF(A1710="","",COUNTIF(D$6:D1710,"True"))</f>
        <v>14</v>
      </c>
      <c r="F1710" t="str">
        <f t="shared" si="26"/>
        <v>300232.SZ</v>
      </c>
    </row>
    <row r="1711" spans="1:6" x14ac:dyDescent="0.15">
      <c r="A1711" s="2">
        <v>46089</v>
      </c>
      <c r="B1711" s="1" t="s">
        <v>3231</v>
      </c>
      <c r="C1711" s="1" t="s">
        <v>3232</v>
      </c>
      <c r="D1711" t="b">
        <f ca="1">IF(A1711="","",[1]!s_techanal_rcnthigh(B1711,$B$2,1,3))</f>
        <v>0</v>
      </c>
      <c r="E1711">
        <f ca="1">IF(A1711="","",COUNTIF(D$6:D1711,"True"))</f>
        <v>14</v>
      </c>
      <c r="F1711" t="str">
        <f t="shared" si="26"/>
        <v>300233.SZ</v>
      </c>
    </row>
    <row r="1712" spans="1:6" x14ac:dyDescent="0.15">
      <c r="A1712" s="2">
        <v>46089</v>
      </c>
      <c r="B1712" s="1" t="s">
        <v>3233</v>
      </c>
      <c r="C1712" s="1" t="s">
        <v>3234</v>
      </c>
      <c r="D1712" t="b">
        <f ca="1">IF(A1712="","",[1]!s_techanal_rcnthigh(B1712,$B$2,1,3))</f>
        <v>0</v>
      </c>
      <c r="E1712">
        <f ca="1">IF(A1712="","",COUNTIF(D$6:D1712,"True"))</f>
        <v>14</v>
      </c>
      <c r="F1712" t="str">
        <f t="shared" si="26"/>
        <v>300234.SZ</v>
      </c>
    </row>
    <row r="1713" spans="1:6" x14ac:dyDescent="0.15">
      <c r="A1713" s="2">
        <v>46089</v>
      </c>
      <c r="B1713" s="1" t="s">
        <v>3235</v>
      </c>
      <c r="C1713" s="1" t="s">
        <v>3236</v>
      </c>
      <c r="D1713" t="b">
        <f ca="1">IF(A1713="","",[1]!s_techanal_rcnthigh(B1713,$B$2,1,3))</f>
        <v>0</v>
      </c>
      <c r="E1713">
        <f ca="1">IF(A1713="","",COUNTIF(D$6:D1713,"True"))</f>
        <v>14</v>
      </c>
      <c r="F1713" t="str">
        <f t="shared" si="26"/>
        <v>300235.SZ</v>
      </c>
    </row>
    <row r="1714" spans="1:6" x14ac:dyDescent="0.15">
      <c r="A1714" s="2">
        <v>46089</v>
      </c>
      <c r="B1714" s="1" t="s">
        <v>3237</v>
      </c>
      <c r="C1714" s="1" t="s">
        <v>3238</v>
      </c>
      <c r="D1714" t="b">
        <f ca="1">IF(A1714="","",[1]!s_techanal_rcnthigh(B1714,$B$2,1,3))</f>
        <v>0</v>
      </c>
      <c r="E1714">
        <f ca="1">IF(A1714="","",COUNTIF(D$6:D1714,"True"))</f>
        <v>14</v>
      </c>
      <c r="F1714" t="str">
        <f t="shared" si="26"/>
        <v>300236.SZ</v>
      </c>
    </row>
    <row r="1715" spans="1:6" x14ac:dyDescent="0.15">
      <c r="A1715" s="2">
        <v>46089</v>
      </c>
      <c r="B1715" s="1" t="s">
        <v>3239</v>
      </c>
      <c r="C1715" s="1" t="s">
        <v>10203</v>
      </c>
      <c r="D1715" t="b">
        <f ca="1">IF(A1715="","",[1]!s_techanal_rcnthigh(B1715,$B$2,1,3))</f>
        <v>0</v>
      </c>
      <c r="E1715">
        <f ca="1">IF(A1715="","",COUNTIF(D$6:D1715,"True"))</f>
        <v>14</v>
      </c>
      <c r="F1715" t="str">
        <f t="shared" si="26"/>
        <v>300237.SZ</v>
      </c>
    </row>
    <row r="1716" spans="1:6" x14ac:dyDescent="0.15">
      <c r="A1716" s="2">
        <v>46089</v>
      </c>
      <c r="B1716" s="1" t="s">
        <v>3240</v>
      </c>
      <c r="C1716" s="1" t="s">
        <v>3241</v>
      </c>
      <c r="D1716" t="b">
        <f ca="1">IF(A1716="","",[1]!s_techanal_rcnthigh(B1716,$B$2,1,3))</f>
        <v>0</v>
      </c>
      <c r="E1716">
        <f ca="1">IF(A1716="","",COUNTIF(D$6:D1716,"True"))</f>
        <v>14</v>
      </c>
      <c r="F1716" t="str">
        <f t="shared" si="26"/>
        <v>300238.SZ</v>
      </c>
    </row>
    <row r="1717" spans="1:6" x14ac:dyDescent="0.15">
      <c r="A1717" s="2">
        <v>46089</v>
      </c>
      <c r="B1717" s="1" t="s">
        <v>3242</v>
      </c>
      <c r="C1717" s="1" t="s">
        <v>3243</v>
      </c>
      <c r="D1717" t="b">
        <f ca="1">IF(A1717="","",[1]!s_techanal_rcnthigh(B1717,$B$2,1,3))</f>
        <v>0</v>
      </c>
      <c r="E1717">
        <f ca="1">IF(A1717="","",COUNTIF(D$6:D1717,"True"))</f>
        <v>14</v>
      </c>
      <c r="F1717" t="str">
        <f t="shared" si="26"/>
        <v>300239.SZ</v>
      </c>
    </row>
    <row r="1718" spans="1:6" x14ac:dyDescent="0.15">
      <c r="A1718" s="2">
        <v>46089</v>
      </c>
      <c r="B1718" s="1" t="s">
        <v>3244</v>
      </c>
      <c r="C1718" s="1" t="s">
        <v>3245</v>
      </c>
      <c r="D1718" t="b">
        <f ca="1">IF(A1718="","",[1]!s_techanal_rcnthigh(B1718,$B$2,1,3))</f>
        <v>0</v>
      </c>
      <c r="E1718">
        <f ca="1">IF(A1718="","",COUNTIF(D$6:D1718,"True"))</f>
        <v>14</v>
      </c>
      <c r="F1718" t="str">
        <f t="shared" si="26"/>
        <v>300240.SZ</v>
      </c>
    </row>
    <row r="1719" spans="1:6" x14ac:dyDescent="0.15">
      <c r="A1719" s="2">
        <v>46089</v>
      </c>
      <c r="B1719" s="1" t="s">
        <v>3246</v>
      </c>
      <c r="C1719" s="1" t="s">
        <v>3247</v>
      </c>
      <c r="D1719" t="b">
        <f ca="1">IF(A1719="","",[1]!s_techanal_rcnthigh(B1719,$B$2,1,3))</f>
        <v>0</v>
      </c>
      <c r="E1719">
        <f ca="1">IF(A1719="","",COUNTIF(D$6:D1719,"True"))</f>
        <v>14</v>
      </c>
      <c r="F1719" t="str">
        <f t="shared" si="26"/>
        <v>300241.SZ</v>
      </c>
    </row>
    <row r="1720" spans="1:6" x14ac:dyDescent="0.15">
      <c r="A1720" s="2">
        <v>46089</v>
      </c>
      <c r="B1720" s="1" t="s">
        <v>3248</v>
      </c>
      <c r="C1720" s="1" t="s">
        <v>3249</v>
      </c>
      <c r="D1720" t="b">
        <f ca="1">IF(A1720="","",[1]!s_techanal_rcnthigh(B1720,$B$2,1,3))</f>
        <v>0</v>
      </c>
      <c r="E1720">
        <f ca="1">IF(A1720="","",COUNTIF(D$6:D1720,"True"))</f>
        <v>14</v>
      </c>
      <c r="F1720" t="str">
        <f t="shared" si="26"/>
        <v>300242.SZ</v>
      </c>
    </row>
    <row r="1721" spans="1:6" x14ac:dyDescent="0.15">
      <c r="A1721" s="2">
        <v>46089</v>
      </c>
      <c r="B1721" s="1" t="s">
        <v>3250</v>
      </c>
      <c r="C1721" s="1" t="s">
        <v>3251</v>
      </c>
      <c r="D1721" t="b">
        <f ca="1">IF(A1721="","",[1]!s_techanal_rcnthigh(B1721,$B$2,1,3))</f>
        <v>0</v>
      </c>
      <c r="E1721">
        <f ca="1">IF(A1721="","",COUNTIF(D$6:D1721,"True"))</f>
        <v>14</v>
      </c>
      <c r="F1721" t="str">
        <f t="shared" si="26"/>
        <v>300243.SZ</v>
      </c>
    </row>
    <row r="1722" spans="1:6" x14ac:dyDescent="0.15">
      <c r="A1722" s="2">
        <v>46089</v>
      </c>
      <c r="B1722" s="1" t="s">
        <v>3252</v>
      </c>
      <c r="C1722" s="1" t="s">
        <v>3253</v>
      </c>
      <c r="D1722" t="b">
        <f ca="1">IF(A1722="","",[1]!s_techanal_rcnthigh(B1722,$B$2,1,3))</f>
        <v>0</v>
      </c>
      <c r="E1722">
        <f ca="1">IF(A1722="","",COUNTIF(D$6:D1722,"True"))</f>
        <v>14</v>
      </c>
      <c r="F1722" t="str">
        <f t="shared" si="26"/>
        <v>300244.SZ</v>
      </c>
    </row>
    <row r="1723" spans="1:6" x14ac:dyDescent="0.15">
      <c r="A1723" s="2">
        <v>46089</v>
      </c>
      <c r="B1723" s="1" t="s">
        <v>3254</v>
      </c>
      <c r="C1723" s="1" t="s">
        <v>3255</v>
      </c>
      <c r="D1723" t="b">
        <f ca="1">IF(A1723="","",[1]!s_techanal_rcnthigh(B1723,$B$2,1,3))</f>
        <v>0</v>
      </c>
      <c r="E1723">
        <f ca="1">IF(A1723="","",COUNTIF(D$6:D1723,"True"))</f>
        <v>14</v>
      </c>
      <c r="F1723" t="str">
        <f t="shared" si="26"/>
        <v>300245.SZ</v>
      </c>
    </row>
    <row r="1724" spans="1:6" x14ac:dyDescent="0.15">
      <c r="A1724" s="2">
        <v>46089</v>
      </c>
      <c r="B1724" s="1" t="s">
        <v>3256</v>
      </c>
      <c r="C1724" s="1" t="s">
        <v>3257</v>
      </c>
      <c r="D1724" t="b">
        <f ca="1">IF(A1724="","",[1]!s_techanal_rcnthigh(B1724,$B$2,1,3))</f>
        <v>0</v>
      </c>
      <c r="E1724">
        <f ca="1">IF(A1724="","",COUNTIF(D$6:D1724,"True"))</f>
        <v>14</v>
      </c>
      <c r="F1724" t="str">
        <f t="shared" si="26"/>
        <v>300246.SZ</v>
      </c>
    </row>
    <row r="1725" spans="1:6" x14ac:dyDescent="0.15">
      <c r="A1725" s="2">
        <v>46089</v>
      </c>
      <c r="B1725" s="1" t="s">
        <v>3258</v>
      </c>
      <c r="C1725" s="1" t="s">
        <v>3259</v>
      </c>
      <c r="D1725" t="b">
        <f ca="1">IF(A1725="","",[1]!s_techanal_rcnthigh(B1725,$B$2,1,3))</f>
        <v>0</v>
      </c>
      <c r="E1725">
        <f ca="1">IF(A1725="","",COUNTIF(D$6:D1725,"True"))</f>
        <v>14</v>
      </c>
      <c r="F1725" t="str">
        <f t="shared" si="26"/>
        <v>300247.SZ</v>
      </c>
    </row>
    <row r="1726" spans="1:6" x14ac:dyDescent="0.15">
      <c r="A1726" s="2">
        <v>46089</v>
      </c>
      <c r="B1726" s="1" t="s">
        <v>3260</v>
      </c>
      <c r="C1726" s="1" t="s">
        <v>3261</v>
      </c>
      <c r="D1726" t="b">
        <f ca="1">IF(A1726="","",[1]!s_techanal_rcnthigh(B1726,$B$2,1,3))</f>
        <v>0</v>
      </c>
      <c r="E1726">
        <f ca="1">IF(A1726="","",COUNTIF(D$6:D1726,"True"))</f>
        <v>14</v>
      </c>
      <c r="F1726" t="str">
        <f t="shared" si="26"/>
        <v>300248.SZ</v>
      </c>
    </row>
    <row r="1727" spans="1:6" x14ac:dyDescent="0.15">
      <c r="A1727" s="2">
        <v>46089</v>
      </c>
      <c r="B1727" s="1" t="s">
        <v>3262</v>
      </c>
      <c r="C1727" s="1" t="s">
        <v>3263</v>
      </c>
      <c r="D1727" t="b">
        <f ca="1">IF(A1727="","",[1]!s_techanal_rcnthigh(B1727,$B$2,1,3))</f>
        <v>0</v>
      </c>
      <c r="E1727">
        <f ca="1">IF(A1727="","",COUNTIF(D$6:D1727,"True"))</f>
        <v>14</v>
      </c>
      <c r="F1727" t="str">
        <f t="shared" si="26"/>
        <v>300249.SZ</v>
      </c>
    </row>
    <row r="1728" spans="1:6" x14ac:dyDescent="0.15">
      <c r="A1728" s="2">
        <v>46089</v>
      </c>
      <c r="B1728" s="1" t="s">
        <v>3264</v>
      </c>
      <c r="C1728" s="1" t="s">
        <v>3265</v>
      </c>
      <c r="D1728" t="b">
        <f ca="1">IF(A1728="","",[1]!s_techanal_rcnthigh(B1728,$B$2,1,3))</f>
        <v>0</v>
      </c>
      <c r="E1728">
        <f ca="1">IF(A1728="","",COUNTIF(D$6:D1728,"True"))</f>
        <v>14</v>
      </c>
      <c r="F1728" t="str">
        <f t="shared" si="26"/>
        <v>300250.SZ</v>
      </c>
    </row>
    <row r="1729" spans="1:6" x14ac:dyDescent="0.15">
      <c r="A1729" s="2">
        <v>46089</v>
      </c>
      <c r="B1729" s="1" t="s">
        <v>3266</v>
      </c>
      <c r="C1729" s="1" t="s">
        <v>3267</v>
      </c>
      <c r="D1729" t="b">
        <f ca="1">IF(A1729="","",[1]!s_techanal_rcnthigh(B1729,$B$2,1,3))</f>
        <v>0</v>
      </c>
      <c r="E1729">
        <f ca="1">IF(A1729="","",COUNTIF(D$6:D1729,"True"))</f>
        <v>14</v>
      </c>
      <c r="F1729" t="str">
        <f t="shared" si="26"/>
        <v>300251.SZ</v>
      </c>
    </row>
    <row r="1730" spans="1:6" x14ac:dyDescent="0.15">
      <c r="A1730" s="2">
        <v>46089</v>
      </c>
      <c r="B1730" s="1" t="s">
        <v>3268</v>
      </c>
      <c r="C1730" s="1" t="s">
        <v>3269</v>
      </c>
      <c r="D1730" t="b">
        <f ca="1">IF(A1730="","",[1]!s_techanal_rcnthigh(B1730,$B$2,1,3))</f>
        <v>0</v>
      </c>
      <c r="E1730">
        <f ca="1">IF(A1730="","",COUNTIF(D$6:D1730,"True"))</f>
        <v>14</v>
      </c>
      <c r="F1730" t="str">
        <f t="shared" si="26"/>
        <v>300252.SZ</v>
      </c>
    </row>
    <row r="1731" spans="1:6" x14ac:dyDescent="0.15">
      <c r="A1731" s="2">
        <v>46089</v>
      </c>
      <c r="B1731" s="1" t="s">
        <v>3270</v>
      </c>
      <c r="C1731" s="1" t="s">
        <v>3271</v>
      </c>
      <c r="D1731" t="b">
        <f ca="1">IF(A1731="","",[1]!s_techanal_rcnthigh(B1731,$B$2,1,3))</f>
        <v>0</v>
      </c>
      <c r="E1731">
        <f ca="1">IF(A1731="","",COUNTIF(D$6:D1731,"True"))</f>
        <v>14</v>
      </c>
      <c r="F1731" t="str">
        <f t="shared" si="26"/>
        <v>300253.SZ</v>
      </c>
    </row>
    <row r="1732" spans="1:6" x14ac:dyDescent="0.15">
      <c r="A1732" s="2">
        <v>46089</v>
      </c>
      <c r="B1732" s="1" t="s">
        <v>3272</v>
      </c>
      <c r="C1732" s="1" t="s">
        <v>3273</v>
      </c>
      <c r="D1732" t="b">
        <f ca="1">IF(A1732="","",[1]!s_techanal_rcnthigh(B1732,$B$2,1,3))</f>
        <v>0</v>
      </c>
      <c r="E1732">
        <f ca="1">IF(A1732="","",COUNTIF(D$6:D1732,"True"))</f>
        <v>14</v>
      </c>
      <c r="F1732" t="str">
        <f t="shared" si="26"/>
        <v>300254.SZ</v>
      </c>
    </row>
    <row r="1733" spans="1:6" x14ac:dyDescent="0.15">
      <c r="A1733" s="2">
        <v>46089</v>
      </c>
      <c r="B1733" s="1" t="s">
        <v>3274</v>
      </c>
      <c r="C1733" s="1" t="s">
        <v>3275</v>
      </c>
      <c r="D1733" t="b">
        <f ca="1">IF(A1733="","",[1]!s_techanal_rcnthigh(B1733,$B$2,1,3))</f>
        <v>0</v>
      </c>
      <c r="E1733">
        <f ca="1">IF(A1733="","",COUNTIF(D$6:D1733,"True"))</f>
        <v>14</v>
      </c>
      <c r="F1733" t="str">
        <f t="shared" si="26"/>
        <v>300255.SZ</v>
      </c>
    </row>
    <row r="1734" spans="1:6" x14ac:dyDescent="0.15">
      <c r="A1734" s="2">
        <v>46089</v>
      </c>
      <c r="B1734" s="1" t="s">
        <v>3276</v>
      </c>
      <c r="C1734" s="1" t="s">
        <v>3277</v>
      </c>
      <c r="D1734" t="b">
        <f ca="1">IF(A1734="","",[1]!s_techanal_rcnthigh(B1734,$B$2,1,3))</f>
        <v>0</v>
      </c>
      <c r="E1734">
        <f ca="1">IF(A1734="","",COUNTIF(D$6:D1734,"True"))</f>
        <v>14</v>
      </c>
      <c r="F1734" t="str">
        <f t="shared" ref="F1734:F1797" si="27">IF(B1734="","",B1734)</f>
        <v>300256.SZ</v>
      </c>
    </row>
    <row r="1735" spans="1:6" x14ac:dyDescent="0.15">
      <c r="A1735" s="2">
        <v>46089</v>
      </c>
      <c r="B1735" s="1" t="s">
        <v>3278</v>
      </c>
      <c r="C1735" s="1" t="s">
        <v>3279</v>
      </c>
      <c r="D1735" t="b">
        <f ca="1">IF(A1735="","",[1]!s_techanal_rcnthigh(B1735,$B$2,1,3))</f>
        <v>0</v>
      </c>
      <c r="E1735">
        <f ca="1">IF(A1735="","",COUNTIF(D$6:D1735,"True"))</f>
        <v>14</v>
      </c>
      <c r="F1735" t="str">
        <f t="shared" si="27"/>
        <v>300257.SZ</v>
      </c>
    </row>
    <row r="1736" spans="1:6" x14ac:dyDescent="0.15">
      <c r="A1736" s="2">
        <v>46089</v>
      </c>
      <c r="B1736" s="1" t="s">
        <v>3280</v>
      </c>
      <c r="C1736" s="1" t="s">
        <v>3281</v>
      </c>
      <c r="D1736" t="b">
        <f ca="1">IF(A1736="","",[1]!s_techanal_rcnthigh(B1736,$B$2,1,3))</f>
        <v>0</v>
      </c>
      <c r="E1736">
        <f ca="1">IF(A1736="","",COUNTIF(D$6:D1736,"True"))</f>
        <v>14</v>
      </c>
      <c r="F1736" t="str">
        <f t="shared" si="27"/>
        <v>300258.SZ</v>
      </c>
    </row>
    <row r="1737" spans="1:6" x14ac:dyDescent="0.15">
      <c r="A1737" s="2">
        <v>46089</v>
      </c>
      <c r="B1737" s="1" t="s">
        <v>3282</v>
      </c>
      <c r="C1737" s="1" t="s">
        <v>3283</v>
      </c>
      <c r="D1737" t="b">
        <f ca="1">IF(A1737="","",[1]!s_techanal_rcnthigh(B1737,$B$2,1,3))</f>
        <v>0</v>
      </c>
      <c r="E1737">
        <f ca="1">IF(A1737="","",COUNTIF(D$6:D1737,"True"))</f>
        <v>14</v>
      </c>
      <c r="F1737" t="str">
        <f t="shared" si="27"/>
        <v>300259.SZ</v>
      </c>
    </row>
    <row r="1738" spans="1:6" x14ac:dyDescent="0.15">
      <c r="A1738" s="2">
        <v>46089</v>
      </c>
      <c r="B1738" s="1" t="s">
        <v>3284</v>
      </c>
      <c r="C1738" s="1" t="s">
        <v>3285</v>
      </c>
      <c r="D1738" t="b">
        <f ca="1">IF(A1738="","",[1]!s_techanal_rcnthigh(B1738,$B$2,1,3))</f>
        <v>0</v>
      </c>
      <c r="E1738">
        <f ca="1">IF(A1738="","",COUNTIF(D$6:D1738,"True"))</f>
        <v>14</v>
      </c>
      <c r="F1738" t="str">
        <f t="shared" si="27"/>
        <v>300260.SZ</v>
      </c>
    </row>
    <row r="1739" spans="1:6" x14ac:dyDescent="0.15">
      <c r="A1739" s="2">
        <v>46089</v>
      </c>
      <c r="B1739" s="1" t="s">
        <v>3286</v>
      </c>
      <c r="C1739" s="1" t="s">
        <v>3287</v>
      </c>
      <c r="D1739" t="b">
        <f ca="1">IF(A1739="","",[1]!s_techanal_rcnthigh(B1739,$B$2,1,3))</f>
        <v>0</v>
      </c>
      <c r="E1739">
        <f ca="1">IF(A1739="","",COUNTIF(D$6:D1739,"True"))</f>
        <v>14</v>
      </c>
      <c r="F1739" t="str">
        <f t="shared" si="27"/>
        <v>300261.SZ</v>
      </c>
    </row>
    <row r="1740" spans="1:6" x14ac:dyDescent="0.15">
      <c r="A1740" s="2">
        <v>46089</v>
      </c>
      <c r="B1740" s="1" t="s">
        <v>3288</v>
      </c>
      <c r="C1740" s="1" t="s">
        <v>3289</v>
      </c>
      <c r="D1740" t="b">
        <f ca="1">IF(A1740="","",[1]!s_techanal_rcnthigh(B1740,$B$2,1,3))</f>
        <v>0</v>
      </c>
      <c r="E1740">
        <f ca="1">IF(A1740="","",COUNTIF(D$6:D1740,"True"))</f>
        <v>14</v>
      </c>
      <c r="F1740" t="str">
        <f t="shared" si="27"/>
        <v>300263.SZ</v>
      </c>
    </row>
    <row r="1741" spans="1:6" x14ac:dyDescent="0.15">
      <c r="A1741" s="2">
        <v>46089</v>
      </c>
      <c r="B1741" s="1" t="s">
        <v>3290</v>
      </c>
      <c r="C1741" s="1" t="s">
        <v>3291</v>
      </c>
      <c r="D1741" t="b">
        <f ca="1">IF(A1741="","",[1]!s_techanal_rcnthigh(B1741,$B$2,1,3))</f>
        <v>0</v>
      </c>
      <c r="E1741">
        <f ca="1">IF(A1741="","",COUNTIF(D$6:D1741,"True"))</f>
        <v>14</v>
      </c>
      <c r="F1741" t="str">
        <f t="shared" si="27"/>
        <v>300264.SZ</v>
      </c>
    </row>
    <row r="1742" spans="1:6" x14ac:dyDescent="0.15">
      <c r="A1742" s="2">
        <v>46089</v>
      </c>
      <c r="B1742" s="1" t="s">
        <v>3292</v>
      </c>
      <c r="C1742" s="1" t="s">
        <v>3293</v>
      </c>
      <c r="D1742" t="b">
        <f ca="1">IF(A1742="","",[1]!s_techanal_rcnthigh(B1742,$B$2,1,3))</f>
        <v>0</v>
      </c>
      <c r="E1742">
        <f ca="1">IF(A1742="","",COUNTIF(D$6:D1742,"True"))</f>
        <v>14</v>
      </c>
      <c r="F1742" t="str">
        <f t="shared" si="27"/>
        <v>300265.SZ</v>
      </c>
    </row>
    <row r="1743" spans="1:6" x14ac:dyDescent="0.15">
      <c r="A1743" s="2">
        <v>46089</v>
      </c>
      <c r="B1743" s="1" t="s">
        <v>3294</v>
      </c>
      <c r="C1743" s="1" t="s">
        <v>3295</v>
      </c>
      <c r="D1743" t="b">
        <f ca="1">IF(A1743="","",[1]!s_techanal_rcnthigh(B1743,$B$2,1,3))</f>
        <v>0</v>
      </c>
      <c r="E1743">
        <f ca="1">IF(A1743="","",COUNTIF(D$6:D1743,"True"))</f>
        <v>14</v>
      </c>
      <c r="F1743" t="str">
        <f t="shared" si="27"/>
        <v>300266.SZ</v>
      </c>
    </row>
    <row r="1744" spans="1:6" x14ac:dyDescent="0.15">
      <c r="A1744" s="2">
        <v>46089</v>
      </c>
      <c r="B1744" s="1" t="s">
        <v>3296</v>
      </c>
      <c r="C1744" s="1" t="s">
        <v>3297</v>
      </c>
      <c r="D1744" t="b">
        <f ca="1">IF(A1744="","",[1]!s_techanal_rcnthigh(B1744,$B$2,1,3))</f>
        <v>0</v>
      </c>
      <c r="E1744">
        <f ca="1">IF(A1744="","",COUNTIF(D$6:D1744,"True"))</f>
        <v>14</v>
      </c>
      <c r="F1744" t="str">
        <f t="shared" si="27"/>
        <v>300267.SZ</v>
      </c>
    </row>
    <row r="1745" spans="1:6" x14ac:dyDescent="0.15">
      <c r="A1745" s="2">
        <v>46089</v>
      </c>
      <c r="B1745" s="1" t="s">
        <v>3298</v>
      </c>
      <c r="C1745" s="1" t="s">
        <v>3299</v>
      </c>
      <c r="D1745" t="b">
        <f ca="1">IF(A1745="","",[1]!s_techanal_rcnthigh(B1745,$B$2,1,3))</f>
        <v>0</v>
      </c>
      <c r="E1745">
        <f ca="1">IF(A1745="","",COUNTIF(D$6:D1745,"True"))</f>
        <v>14</v>
      </c>
      <c r="F1745" t="str">
        <f t="shared" si="27"/>
        <v>300268.SZ</v>
      </c>
    </row>
    <row r="1746" spans="1:6" x14ac:dyDescent="0.15">
      <c r="A1746" s="2">
        <v>46089</v>
      </c>
      <c r="B1746" s="1" t="s">
        <v>3300</v>
      </c>
      <c r="C1746" s="1" t="s">
        <v>3301</v>
      </c>
      <c r="D1746" t="b">
        <f ca="1">IF(A1746="","",[1]!s_techanal_rcnthigh(B1746,$B$2,1,3))</f>
        <v>0</v>
      </c>
      <c r="E1746">
        <f ca="1">IF(A1746="","",COUNTIF(D$6:D1746,"True"))</f>
        <v>14</v>
      </c>
      <c r="F1746" t="str">
        <f t="shared" si="27"/>
        <v>300269.SZ</v>
      </c>
    </row>
    <row r="1747" spans="1:6" x14ac:dyDescent="0.15">
      <c r="A1747" s="2">
        <v>46089</v>
      </c>
      <c r="B1747" s="1" t="s">
        <v>3302</v>
      </c>
      <c r="C1747" s="1" t="s">
        <v>3303</v>
      </c>
      <c r="D1747" t="b">
        <f ca="1">IF(A1747="","",[1]!s_techanal_rcnthigh(B1747,$B$2,1,3))</f>
        <v>0</v>
      </c>
      <c r="E1747">
        <f ca="1">IF(A1747="","",COUNTIF(D$6:D1747,"True"))</f>
        <v>14</v>
      </c>
      <c r="F1747" t="str">
        <f t="shared" si="27"/>
        <v>300270.SZ</v>
      </c>
    </row>
    <row r="1748" spans="1:6" x14ac:dyDescent="0.15">
      <c r="A1748" s="2">
        <v>46089</v>
      </c>
      <c r="B1748" s="1" t="s">
        <v>3304</v>
      </c>
      <c r="C1748" s="1" t="s">
        <v>3305</v>
      </c>
      <c r="D1748" t="b">
        <f ca="1">IF(A1748="","",[1]!s_techanal_rcnthigh(B1748,$B$2,1,3))</f>
        <v>0</v>
      </c>
      <c r="E1748">
        <f ca="1">IF(A1748="","",COUNTIF(D$6:D1748,"True"))</f>
        <v>14</v>
      </c>
      <c r="F1748" t="str">
        <f t="shared" si="27"/>
        <v>300271.SZ</v>
      </c>
    </row>
    <row r="1749" spans="1:6" x14ac:dyDescent="0.15">
      <c r="A1749" s="2">
        <v>46089</v>
      </c>
      <c r="B1749" s="1" t="s">
        <v>3306</v>
      </c>
      <c r="C1749" s="1" t="s">
        <v>3307</v>
      </c>
      <c r="D1749" t="b">
        <f ca="1">IF(A1749="","",[1]!s_techanal_rcnthigh(B1749,$B$2,1,3))</f>
        <v>0</v>
      </c>
      <c r="E1749">
        <f ca="1">IF(A1749="","",COUNTIF(D$6:D1749,"True"))</f>
        <v>14</v>
      </c>
      <c r="F1749" t="str">
        <f t="shared" si="27"/>
        <v>300272.SZ</v>
      </c>
    </row>
    <row r="1750" spans="1:6" x14ac:dyDescent="0.15">
      <c r="A1750" s="2">
        <v>46089</v>
      </c>
      <c r="B1750" s="1" t="s">
        <v>3308</v>
      </c>
      <c r="C1750" s="1" t="s">
        <v>3309</v>
      </c>
      <c r="D1750" t="b">
        <f ca="1">IF(A1750="","",[1]!s_techanal_rcnthigh(B1750,$B$2,1,3))</f>
        <v>0</v>
      </c>
      <c r="E1750">
        <f ca="1">IF(A1750="","",COUNTIF(D$6:D1750,"True"))</f>
        <v>14</v>
      </c>
      <c r="F1750" t="str">
        <f t="shared" si="27"/>
        <v>300274.SZ</v>
      </c>
    </row>
    <row r="1751" spans="1:6" x14ac:dyDescent="0.15">
      <c r="A1751" s="2">
        <v>46089</v>
      </c>
      <c r="B1751" s="1" t="s">
        <v>3310</v>
      </c>
      <c r="C1751" s="1" t="s">
        <v>3311</v>
      </c>
      <c r="D1751" t="b">
        <f ca="1">IF(A1751="","",[1]!s_techanal_rcnthigh(B1751,$B$2,1,3))</f>
        <v>0</v>
      </c>
      <c r="E1751">
        <f ca="1">IF(A1751="","",COUNTIF(D$6:D1751,"True"))</f>
        <v>14</v>
      </c>
      <c r="F1751" t="str">
        <f t="shared" si="27"/>
        <v>300275.SZ</v>
      </c>
    </row>
    <row r="1752" spans="1:6" x14ac:dyDescent="0.15">
      <c r="A1752" s="2">
        <v>46089</v>
      </c>
      <c r="B1752" s="1" t="s">
        <v>3312</v>
      </c>
      <c r="C1752" s="1" t="s">
        <v>3313</v>
      </c>
      <c r="D1752" t="b">
        <f ca="1">IF(A1752="","",[1]!s_techanal_rcnthigh(B1752,$B$2,1,3))</f>
        <v>0</v>
      </c>
      <c r="E1752">
        <f ca="1">IF(A1752="","",COUNTIF(D$6:D1752,"True"))</f>
        <v>14</v>
      </c>
      <c r="F1752" t="str">
        <f t="shared" si="27"/>
        <v>300276.SZ</v>
      </c>
    </row>
    <row r="1753" spans="1:6" x14ac:dyDescent="0.15">
      <c r="A1753" s="2">
        <v>46089</v>
      </c>
      <c r="B1753" s="1" t="s">
        <v>3314</v>
      </c>
      <c r="C1753" s="1" t="s">
        <v>3315</v>
      </c>
      <c r="D1753" t="b">
        <f ca="1">IF(A1753="","",[1]!s_techanal_rcnthigh(B1753,$B$2,1,3))</f>
        <v>1</v>
      </c>
      <c r="E1753">
        <f ca="1">IF(A1753="","",COUNTIF(D$6:D1753,"True"))</f>
        <v>15</v>
      </c>
      <c r="F1753" t="str">
        <f t="shared" si="27"/>
        <v>300277.SZ</v>
      </c>
    </row>
    <row r="1754" spans="1:6" x14ac:dyDescent="0.15">
      <c r="A1754" s="2">
        <v>46089</v>
      </c>
      <c r="B1754" s="1" t="s">
        <v>3316</v>
      </c>
      <c r="C1754" s="1" t="s">
        <v>3317</v>
      </c>
      <c r="D1754" t="b">
        <f ca="1">IF(A1754="","",[1]!s_techanal_rcnthigh(B1754,$B$2,1,3))</f>
        <v>0</v>
      </c>
      <c r="E1754">
        <f ca="1">IF(A1754="","",COUNTIF(D$6:D1754,"True"))</f>
        <v>15</v>
      </c>
      <c r="F1754" t="str">
        <f t="shared" si="27"/>
        <v>300278.SZ</v>
      </c>
    </row>
    <row r="1755" spans="1:6" x14ac:dyDescent="0.15">
      <c r="A1755" s="2">
        <v>46089</v>
      </c>
      <c r="B1755" s="1" t="s">
        <v>3318</v>
      </c>
      <c r="C1755" s="1" t="s">
        <v>3319</v>
      </c>
      <c r="D1755" t="b">
        <f ca="1">IF(A1755="","",[1]!s_techanal_rcnthigh(B1755,$B$2,1,3))</f>
        <v>0</v>
      </c>
      <c r="E1755">
        <f ca="1">IF(A1755="","",COUNTIF(D$6:D1755,"True"))</f>
        <v>15</v>
      </c>
      <c r="F1755" t="str">
        <f t="shared" si="27"/>
        <v>300279.SZ</v>
      </c>
    </row>
    <row r="1756" spans="1:6" x14ac:dyDescent="0.15">
      <c r="A1756" s="2">
        <v>46089</v>
      </c>
      <c r="B1756" s="1" t="s">
        <v>3320</v>
      </c>
      <c r="C1756" s="1" t="s">
        <v>3321</v>
      </c>
      <c r="D1756" t="b">
        <f ca="1">IF(A1756="","",[1]!s_techanal_rcnthigh(B1756,$B$2,1,3))</f>
        <v>0</v>
      </c>
      <c r="E1756">
        <f ca="1">IF(A1756="","",COUNTIF(D$6:D1756,"True"))</f>
        <v>15</v>
      </c>
      <c r="F1756" t="str">
        <f t="shared" si="27"/>
        <v>300281.SZ</v>
      </c>
    </row>
    <row r="1757" spans="1:6" x14ac:dyDescent="0.15">
      <c r="A1757" s="2">
        <v>46089</v>
      </c>
      <c r="B1757" s="1" t="s">
        <v>3322</v>
      </c>
      <c r="C1757" s="1" t="s">
        <v>3323</v>
      </c>
      <c r="D1757" t="b">
        <f ca="1">IF(A1757="","",[1]!s_techanal_rcnthigh(B1757,$B$2,1,3))</f>
        <v>0</v>
      </c>
      <c r="E1757">
        <f ca="1">IF(A1757="","",COUNTIF(D$6:D1757,"True"))</f>
        <v>15</v>
      </c>
      <c r="F1757" t="str">
        <f t="shared" si="27"/>
        <v>300283.SZ</v>
      </c>
    </row>
    <row r="1758" spans="1:6" x14ac:dyDescent="0.15">
      <c r="A1758" s="2">
        <v>46089</v>
      </c>
      <c r="B1758" s="1" t="s">
        <v>3324</v>
      </c>
      <c r="C1758" s="1" t="s">
        <v>3325</v>
      </c>
      <c r="D1758" t="b">
        <f ca="1">IF(A1758="","",[1]!s_techanal_rcnthigh(B1758,$B$2,1,3))</f>
        <v>0</v>
      </c>
      <c r="E1758">
        <f ca="1">IF(A1758="","",COUNTIF(D$6:D1758,"True"))</f>
        <v>15</v>
      </c>
      <c r="F1758" t="str">
        <f t="shared" si="27"/>
        <v>300284.SZ</v>
      </c>
    </row>
    <row r="1759" spans="1:6" x14ac:dyDescent="0.15">
      <c r="A1759" s="2">
        <v>46089</v>
      </c>
      <c r="B1759" s="1" t="s">
        <v>3326</v>
      </c>
      <c r="C1759" s="1" t="s">
        <v>3327</v>
      </c>
      <c r="D1759" t="b">
        <f ca="1">IF(A1759="","",[1]!s_techanal_rcnthigh(B1759,$B$2,1,3))</f>
        <v>0</v>
      </c>
      <c r="E1759">
        <f ca="1">IF(A1759="","",COUNTIF(D$6:D1759,"True"))</f>
        <v>15</v>
      </c>
      <c r="F1759" t="str">
        <f t="shared" si="27"/>
        <v>300285.SZ</v>
      </c>
    </row>
    <row r="1760" spans="1:6" x14ac:dyDescent="0.15">
      <c r="A1760" s="2">
        <v>46089</v>
      </c>
      <c r="B1760" s="1" t="s">
        <v>3328</v>
      </c>
      <c r="C1760" s="1" t="s">
        <v>3329</v>
      </c>
      <c r="D1760" t="b">
        <f ca="1">IF(A1760="","",[1]!s_techanal_rcnthigh(B1760,$B$2,1,3))</f>
        <v>0</v>
      </c>
      <c r="E1760">
        <f ca="1">IF(A1760="","",COUNTIF(D$6:D1760,"True"))</f>
        <v>15</v>
      </c>
      <c r="F1760" t="str">
        <f t="shared" si="27"/>
        <v>300286.SZ</v>
      </c>
    </row>
    <row r="1761" spans="1:6" x14ac:dyDescent="0.15">
      <c r="A1761" s="2">
        <v>46089</v>
      </c>
      <c r="B1761" s="1" t="s">
        <v>3330</v>
      </c>
      <c r="C1761" s="1" t="s">
        <v>3331</v>
      </c>
      <c r="D1761" t="b">
        <f ca="1">IF(A1761="","",[1]!s_techanal_rcnthigh(B1761,$B$2,1,3))</f>
        <v>0</v>
      </c>
      <c r="E1761">
        <f ca="1">IF(A1761="","",COUNTIF(D$6:D1761,"True"))</f>
        <v>15</v>
      </c>
      <c r="F1761" t="str">
        <f t="shared" si="27"/>
        <v>300287.SZ</v>
      </c>
    </row>
    <row r="1762" spans="1:6" x14ac:dyDescent="0.15">
      <c r="A1762" s="2">
        <v>46089</v>
      </c>
      <c r="B1762" s="1" t="s">
        <v>3332</v>
      </c>
      <c r="C1762" s="1" t="s">
        <v>3333</v>
      </c>
      <c r="D1762" t="b">
        <f ca="1">IF(A1762="","",[1]!s_techanal_rcnthigh(B1762,$B$2,1,3))</f>
        <v>0</v>
      </c>
      <c r="E1762">
        <f ca="1">IF(A1762="","",COUNTIF(D$6:D1762,"True"))</f>
        <v>15</v>
      </c>
      <c r="F1762" t="str">
        <f t="shared" si="27"/>
        <v>300288.SZ</v>
      </c>
    </row>
    <row r="1763" spans="1:6" x14ac:dyDescent="0.15">
      <c r="A1763" s="2">
        <v>46089</v>
      </c>
      <c r="B1763" s="1" t="s">
        <v>3334</v>
      </c>
      <c r="C1763" s="1" t="s">
        <v>3335</v>
      </c>
      <c r="D1763" t="b">
        <f ca="1">IF(A1763="","",[1]!s_techanal_rcnthigh(B1763,$B$2,1,3))</f>
        <v>0</v>
      </c>
      <c r="E1763">
        <f ca="1">IF(A1763="","",COUNTIF(D$6:D1763,"True"))</f>
        <v>15</v>
      </c>
      <c r="F1763" t="str">
        <f t="shared" si="27"/>
        <v>300289.SZ</v>
      </c>
    </row>
    <row r="1764" spans="1:6" x14ac:dyDescent="0.15">
      <c r="A1764" s="2">
        <v>46089</v>
      </c>
      <c r="B1764" s="1" t="s">
        <v>3336</v>
      </c>
      <c r="C1764" s="1" t="s">
        <v>3337</v>
      </c>
      <c r="D1764" t="b">
        <f ca="1">IF(A1764="","",[1]!s_techanal_rcnthigh(B1764,$B$2,1,3))</f>
        <v>0</v>
      </c>
      <c r="E1764">
        <f ca="1">IF(A1764="","",COUNTIF(D$6:D1764,"True"))</f>
        <v>15</v>
      </c>
      <c r="F1764" t="str">
        <f t="shared" si="27"/>
        <v>300290.SZ</v>
      </c>
    </row>
    <row r="1765" spans="1:6" x14ac:dyDescent="0.15">
      <c r="A1765" s="2">
        <v>46089</v>
      </c>
      <c r="B1765" s="1" t="s">
        <v>3338</v>
      </c>
      <c r="C1765" s="1" t="s">
        <v>3339</v>
      </c>
      <c r="D1765" t="b">
        <f ca="1">IF(A1765="","",[1]!s_techanal_rcnthigh(B1765,$B$2,1,3))</f>
        <v>0</v>
      </c>
      <c r="E1765">
        <f ca="1">IF(A1765="","",COUNTIF(D$6:D1765,"True"))</f>
        <v>15</v>
      </c>
      <c r="F1765" t="str">
        <f t="shared" si="27"/>
        <v>300291.SZ</v>
      </c>
    </row>
    <row r="1766" spans="1:6" x14ac:dyDescent="0.15">
      <c r="A1766" s="2">
        <v>46089</v>
      </c>
      <c r="B1766" s="1" t="s">
        <v>3340</v>
      </c>
      <c r="C1766" s="1" t="s">
        <v>3341</v>
      </c>
      <c r="D1766" t="b">
        <f ca="1">IF(A1766="","",[1]!s_techanal_rcnthigh(B1766,$B$2,1,3))</f>
        <v>0</v>
      </c>
      <c r="E1766">
        <f ca="1">IF(A1766="","",COUNTIF(D$6:D1766,"True"))</f>
        <v>15</v>
      </c>
      <c r="F1766" t="str">
        <f t="shared" si="27"/>
        <v>300292.SZ</v>
      </c>
    </row>
    <row r="1767" spans="1:6" x14ac:dyDescent="0.15">
      <c r="A1767" s="2">
        <v>46089</v>
      </c>
      <c r="B1767" s="1" t="s">
        <v>3342</v>
      </c>
      <c r="C1767" s="1" t="s">
        <v>3343</v>
      </c>
      <c r="D1767" t="b">
        <f ca="1">IF(A1767="","",[1]!s_techanal_rcnthigh(B1767,$B$2,1,3))</f>
        <v>0</v>
      </c>
      <c r="E1767">
        <f ca="1">IF(A1767="","",COUNTIF(D$6:D1767,"True"))</f>
        <v>15</v>
      </c>
      <c r="F1767" t="str">
        <f t="shared" si="27"/>
        <v>300293.SZ</v>
      </c>
    </row>
    <row r="1768" spans="1:6" x14ac:dyDescent="0.15">
      <c r="A1768" s="2">
        <v>46089</v>
      </c>
      <c r="B1768" s="1" t="s">
        <v>3344</v>
      </c>
      <c r="C1768" s="1" t="s">
        <v>3345</v>
      </c>
      <c r="D1768" t="b">
        <f ca="1">IF(A1768="","",[1]!s_techanal_rcnthigh(B1768,$B$2,1,3))</f>
        <v>0</v>
      </c>
      <c r="E1768">
        <f ca="1">IF(A1768="","",COUNTIF(D$6:D1768,"True"))</f>
        <v>15</v>
      </c>
      <c r="F1768" t="str">
        <f t="shared" si="27"/>
        <v>300294.SZ</v>
      </c>
    </row>
    <row r="1769" spans="1:6" x14ac:dyDescent="0.15">
      <c r="A1769" s="2">
        <v>46089</v>
      </c>
      <c r="B1769" s="1" t="s">
        <v>3346</v>
      </c>
      <c r="C1769" s="1" t="s">
        <v>3347</v>
      </c>
      <c r="D1769" t="b">
        <f ca="1">IF(A1769="","",[1]!s_techanal_rcnthigh(B1769,$B$2,1,3))</f>
        <v>0</v>
      </c>
      <c r="E1769">
        <f ca="1">IF(A1769="","",COUNTIF(D$6:D1769,"True"))</f>
        <v>15</v>
      </c>
      <c r="F1769" t="str">
        <f t="shared" si="27"/>
        <v>300295.SZ</v>
      </c>
    </row>
    <row r="1770" spans="1:6" x14ac:dyDescent="0.15">
      <c r="A1770" s="2">
        <v>46089</v>
      </c>
      <c r="B1770" s="1" t="s">
        <v>3348</v>
      </c>
      <c r="C1770" s="1" t="s">
        <v>3349</v>
      </c>
      <c r="D1770" t="b">
        <f ca="1">IF(A1770="","",[1]!s_techanal_rcnthigh(B1770,$B$2,1,3))</f>
        <v>0</v>
      </c>
      <c r="E1770">
        <f ca="1">IF(A1770="","",COUNTIF(D$6:D1770,"True"))</f>
        <v>15</v>
      </c>
      <c r="F1770" t="str">
        <f t="shared" si="27"/>
        <v>300296.SZ</v>
      </c>
    </row>
    <row r="1771" spans="1:6" x14ac:dyDescent="0.15">
      <c r="A1771" s="2">
        <v>46089</v>
      </c>
      <c r="B1771" s="1" t="s">
        <v>3350</v>
      </c>
      <c r="C1771" s="1" t="s">
        <v>3351</v>
      </c>
      <c r="D1771" t="b">
        <f ca="1">IF(A1771="","",[1]!s_techanal_rcnthigh(B1771,$B$2,1,3))</f>
        <v>0</v>
      </c>
      <c r="E1771">
        <f ca="1">IF(A1771="","",COUNTIF(D$6:D1771,"True"))</f>
        <v>15</v>
      </c>
      <c r="F1771" t="str">
        <f t="shared" si="27"/>
        <v>300298.SZ</v>
      </c>
    </row>
    <row r="1772" spans="1:6" x14ac:dyDescent="0.15">
      <c r="A1772" s="2">
        <v>46089</v>
      </c>
      <c r="B1772" s="1" t="s">
        <v>3352</v>
      </c>
      <c r="C1772" s="1" t="s">
        <v>3353</v>
      </c>
      <c r="D1772" t="b">
        <f ca="1">IF(A1772="","",[1]!s_techanal_rcnthigh(B1772,$B$2,1,3))</f>
        <v>0</v>
      </c>
      <c r="E1772">
        <f ca="1">IF(A1772="","",COUNTIF(D$6:D1772,"True"))</f>
        <v>15</v>
      </c>
      <c r="F1772" t="str">
        <f t="shared" si="27"/>
        <v>300299.SZ</v>
      </c>
    </row>
    <row r="1773" spans="1:6" x14ac:dyDescent="0.15">
      <c r="A1773" s="2">
        <v>46089</v>
      </c>
      <c r="B1773" s="1" t="s">
        <v>3354</v>
      </c>
      <c r="C1773" s="1" t="s">
        <v>3355</v>
      </c>
      <c r="D1773" t="b">
        <f ca="1">IF(A1773="","",[1]!s_techanal_rcnthigh(B1773,$B$2,1,3))</f>
        <v>0</v>
      </c>
      <c r="E1773">
        <f ca="1">IF(A1773="","",COUNTIF(D$6:D1773,"True"))</f>
        <v>15</v>
      </c>
      <c r="F1773" t="str">
        <f t="shared" si="27"/>
        <v>300300.SZ</v>
      </c>
    </row>
    <row r="1774" spans="1:6" x14ac:dyDescent="0.15">
      <c r="A1774" s="2">
        <v>46089</v>
      </c>
      <c r="B1774" s="1" t="s">
        <v>3356</v>
      </c>
      <c r="C1774" s="1" t="s">
        <v>10204</v>
      </c>
      <c r="D1774" t="b">
        <f ca="1">IF(A1774="","",[1]!s_techanal_rcnthigh(B1774,$B$2,1,3))</f>
        <v>0</v>
      </c>
      <c r="E1774">
        <f ca="1">IF(A1774="","",COUNTIF(D$6:D1774,"True"))</f>
        <v>15</v>
      </c>
      <c r="F1774" t="str">
        <f t="shared" si="27"/>
        <v>300301.SZ</v>
      </c>
    </row>
    <row r="1775" spans="1:6" x14ac:dyDescent="0.15">
      <c r="A1775" s="2">
        <v>46089</v>
      </c>
      <c r="B1775" s="1" t="s">
        <v>3357</v>
      </c>
      <c r="C1775" s="1" t="s">
        <v>3358</v>
      </c>
      <c r="D1775" t="b">
        <f ca="1">IF(A1775="","",[1]!s_techanal_rcnthigh(B1775,$B$2,1,3))</f>
        <v>0</v>
      </c>
      <c r="E1775">
        <f ca="1">IF(A1775="","",COUNTIF(D$6:D1775,"True"))</f>
        <v>15</v>
      </c>
      <c r="F1775" t="str">
        <f t="shared" si="27"/>
        <v>300302.SZ</v>
      </c>
    </row>
    <row r="1776" spans="1:6" x14ac:dyDescent="0.15">
      <c r="A1776" s="2">
        <v>46089</v>
      </c>
      <c r="B1776" s="1" t="s">
        <v>3359</v>
      </c>
      <c r="C1776" s="1" t="s">
        <v>3360</v>
      </c>
      <c r="D1776" t="b">
        <f ca="1">IF(A1776="","",[1]!s_techanal_rcnthigh(B1776,$B$2,1,3))</f>
        <v>1</v>
      </c>
      <c r="E1776">
        <f ca="1">IF(A1776="","",COUNTIF(D$6:D1776,"True"))</f>
        <v>16</v>
      </c>
      <c r="F1776" t="str">
        <f t="shared" si="27"/>
        <v>300303.SZ</v>
      </c>
    </row>
    <row r="1777" spans="1:6" x14ac:dyDescent="0.15">
      <c r="A1777" s="2">
        <v>46089</v>
      </c>
      <c r="B1777" s="1" t="s">
        <v>3361</v>
      </c>
      <c r="C1777" s="1" t="s">
        <v>3362</v>
      </c>
      <c r="D1777" t="b">
        <f ca="1">IF(A1777="","",[1]!s_techanal_rcnthigh(B1777,$B$2,1,3))</f>
        <v>0</v>
      </c>
      <c r="E1777">
        <f ca="1">IF(A1777="","",COUNTIF(D$6:D1777,"True"))</f>
        <v>16</v>
      </c>
      <c r="F1777" t="str">
        <f t="shared" si="27"/>
        <v>300304.SZ</v>
      </c>
    </row>
    <row r="1778" spans="1:6" x14ac:dyDescent="0.15">
      <c r="A1778" s="2">
        <v>46089</v>
      </c>
      <c r="B1778" s="1" t="s">
        <v>3363</v>
      </c>
      <c r="C1778" s="1" t="s">
        <v>3364</v>
      </c>
      <c r="D1778" t="b">
        <f ca="1">IF(A1778="","",[1]!s_techanal_rcnthigh(B1778,$B$2,1,3))</f>
        <v>0</v>
      </c>
      <c r="E1778">
        <f ca="1">IF(A1778="","",COUNTIF(D$6:D1778,"True"))</f>
        <v>16</v>
      </c>
      <c r="F1778" t="str">
        <f t="shared" si="27"/>
        <v>300305.SZ</v>
      </c>
    </row>
    <row r="1779" spans="1:6" x14ac:dyDescent="0.15">
      <c r="A1779" s="2">
        <v>46089</v>
      </c>
      <c r="B1779" s="1" t="s">
        <v>3365</v>
      </c>
      <c r="C1779" s="1" t="s">
        <v>3366</v>
      </c>
      <c r="D1779" t="b">
        <f ca="1">IF(A1779="","",[1]!s_techanal_rcnthigh(B1779,$B$2,1,3))</f>
        <v>0</v>
      </c>
      <c r="E1779">
        <f ca="1">IF(A1779="","",COUNTIF(D$6:D1779,"True"))</f>
        <v>16</v>
      </c>
      <c r="F1779" t="str">
        <f t="shared" si="27"/>
        <v>300306.SZ</v>
      </c>
    </row>
    <row r="1780" spans="1:6" x14ac:dyDescent="0.15">
      <c r="A1780" s="2">
        <v>46089</v>
      </c>
      <c r="B1780" s="1" t="s">
        <v>3367</v>
      </c>
      <c r="C1780" s="1" t="s">
        <v>3368</v>
      </c>
      <c r="D1780" t="b">
        <f ca="1">IF(A1780="","",[1]!s_techanal_rcnthigh(B1780,$B$2,1,3))</f>
        <v>0</v>
      </c>
      <c r="E1780">
        <f ca="1">IF(A1780="","",COUNTIF(D$6:D1780,"True"))</f>
        <v>16</v>
      </c>
      <c r="F1780" t="str">
        <f t="shared" si="27"/>
        <v>300307.SZ</v>
      </c>
    </row>
    <row r="1781" spans="1:6" x14ac:dyDescent="0.15">
      <c r="A1781" s="2">
        <v>46089</v>
      </c>
      <c r="B1781" s="1" t="s">
        <v>3369</v>
      </c>
      <c r="C1781" s="1" t="s">
        <v>3370</v>
      </c>
      <c r="D1781" t="b">
        <f ca="1">IF(A1781="","",[1]!s_techanal_rcnthigh(B1781,$B$2,1,3))</f>
        <v>0</v>
      </c>
      <c r="E1781">
        <f ca="1">IF(A1781="","",COUNTIF(D$6:D1781,"True"))</f>
        <v>16</v>
      </c>
      <c r="F1781" t="str">
        <f t="shared" si="27"/>
        <v>300308.SZ</v>
      </c>
    </row>
    <row r="1782" spans="1:6" x14ac:dyDescent="0.15">
      <c r="A1782" s="2">
        <v>46089</v>
      </c>
      <c r="B1782" s="1" t="s">
        <v>3371</v>
      </c>
      <c r="C1782" s="1" t="s">
        <v>3372</v>
      </c>
      <c r="D1782" t="b">
        <f ca="1">IF(A1782="","",[1]!s_techanal_rcnthigh(B1782,$B$2,1,3))</f>
        <v>0</v>
      </c>
      <c r="E1782">
        <f ca="1">IF(A1782="","",COUNTIF(D$6:D1782,"True"))</f>
        <v>16</v>
      </c>
      <c r="F1782" t="str">
        <f t="shared" si="27"/>
        <v>300310.SZ</v>
      </c>
    </row>
    <row r="1783" spans="1:6" x14ac:dyDescent="0.15">
      <c r="A1783" s="2">
        <v>46089</v>
      </c>
      <c r="B1783" s="1" t="s">
        <v>3373</v>
      </c>
      <c r="C1783" s="1" t="s">
        <v>10205</v>
      </c>
      <c r="D1783" t="b">
        <f ca="1">IF(A1783="","",[1]!s_techanal_rcnthigh(B1783,$B$2,1,3))</f>
        <v>0</v>
      </c>
      <c r="E1783">
        <f ca="1">IF(A1783="","",COUNTIF(D$6:D1783,"True"))</f>
        <v>16</v>
      </c>
      <c r="F1783" t="str">
        <f t="shared" si="27"/>
        <v>300311.SZ</v>
      </c>
    </row>
    <row r="1784" spans="1:6" x14ac:dyDescent="0.15">
      <c r="A1784" s="2">
        <v>46089</v>
      </c>
      <c r="B1784" s="1" t="s">
        <v>3374</v>
      </c>
      <c r="C1784" s="1" t="s">
        <v>3375</v>
      </c>
      <c r="D1784" t="b">
        <f ca="1">IF(A1784="","",[1]!s_techanal_rcnthigh(B1784,$B$2,1,3))</f>
        <v>0</v>
      </c>
      <c r="E1784">
        <f ca="1">IF(A1784="","",COUNTIF(D$6:D1784,"True"))</f>
        <v>16</v>
      </c>
      <c r="F1784" t="str">
        <f t="shared" si="27"/>
        <v>300313.SZ</v>
      </c>
    </row>
    <row r="1785" spans="1:6" x14ac:dyDescent="0.15">
      <c r="A1785" s="2">
        <v>46089</v>
      </c>
      <c r="B1785" s="1" t="s">
        <v>3376</v>
      </c>
      <c r="C1785" s="1" t="s">
        <v>3377</v>
      </c>
      <c r="D1785" t="b">
        <f ca="1">IF(A1785="","",[1]!s_techanal_rcnthigh(B1785,$B$2,1,3))</f>
        <v>0</v>
      </c>
      <c r="E1785">
        <f ca="1">IF(A1785="","",COUNTIF(D$6:D1785,"True"))</f>
        <v>16</v>
      </c>
      <c r="F1785" t="str">
        <f t="shared" si="27"/>
        <v>300314.SZ</v>
      </c>
    </row>
    <row r="1786" spans="1:6" x14ac:dyDescent="0.15">
      <c r="A1786" s="2">
        <v>46089</v>
      </c>
      <c r="B1786" s="1" t="s">
        <v>3378</v>
      </c>
      <c r="C1786" s="1" t="s">
        <v>3379</v>
      </c>
      <c r="D1786" t="b">
        <f ca="1">IF(A1786="","",[1]!s_techanal_rcnthigh(B1786,$B$2,1,3))</f>
        <v>0</v>
      </c>
      <c r="E1786">
        <f ca="1">IF(A1786="","",COUNTIF(D$6:D1786,"True"))</f>
        <v>16</v>
      </c>
      <c r="F1786" t="str">
        <f t="shared" si="27"/>
        <v>300315.SZ</v>
      </c>
    </row>
    <row r="1787" spans="1:6" x14ac:dyDescent="0.15">
      <c r="A1787" s="2">
        <v>46089</v>
      </c>
      <c r="B1787" s="1" t="s">
        <v>3380</v>
      </c>
      <c r="C1787" s="1" t="s">
        <v>3381</v>
      </c>
      <c r="D1787" t="b">
        <f ca="1">IF(A1787="","",[1]!s_techanal_rcnthigh(B1787,$B$2,1,3))</f>
        <v>0</v>
      </c>
      <c r="E1787">
        <f ca="1">IF(A1787="","",COUNTIF(D$6:D1787,"True"))</f>
        <v>16</v>
      </c>
      <c r="F1787" t="str">
        <f t="shared" si="27"/>
        <v>300316.SZ</v>
      </c>
    </row>
    <row r="1788" spans="1:6" x14ac:dyDescent="0.15">
      <c r="A1788" s="2">
        <v>46089</v>
      </c>
      <c r="B1788" s="1" t="s">
        <v>3382</v>
      </c>
      <c r="C1788" s="1" t="s">
        <v>3383</v>
      </c>
      <c r="D1788" t="b">
        <f ca="1">IF(A1788="","",[1]!s_techanal_rcnthigh(B1788,$B$2,1,3))</f>
        <v>0</v>
      </c>
      <c r="E1788">
        <f ca="1">IF(A1788="","",COUNTIF(D$6:D1788,"True"))</f>
        <v>16</v>
      </c>
      <c r="F1788" t="str">
        <f t="shared" si="27"/>
        <v>300317.SZ</v>
      </c>
    </row>
    <row r="1789" spans="1:6" x14ac:dyDescent="0.15">
      <c r="A1789" s="2">
        <v>46089</v>
      </c>
      <c r="B1789" s="1" t="s">
        <v>3384</v>
      </c>
      <c r="C1789" s="1" t="s">
        <v>3385</v>
      </c>
      <c r="D1789" t="b">
        <f ca="1">IF(A1789="","",[1]!s_techanal_rcnthigh(B1789,$B$2,1,3))</f>
        <v>0</v>
      </c>
      <c r="E1789">
        <f ca="1">IF(A1789="","",COUNTIF(D$6:D1789,"True"))</f>
        <v>16</v>
      </c>
      <c r="F1789" t="str">
        <f t="shared" si="27"/>
        <v>300318.SZ</v>
      </c>
    </row>
    <row r="1790" spans="1:6" x14ac:dyDescent="0.15">
      <c r="A1790" s="2">
        <v>46089</v>
      </c>
      <c r="B1790" s="1" t="s">
        <v>3386</v>
      </c>
      <c r="C1790" s="1" t="s">
        <v>3387</v>
      </c>
      <c r="D1790" t="b">
        <f ca="1">IF(A1790="","",[1]!s_techanal_rcnthigh(B1790,$B$2,1,3))</f>
        <v>0</v>
      </c>
      <c r="E1790">
        <f ca="1">IF(A1790="","",COUNTIF(D$6:D1790,"True"))</f>
        <v>16</v>
      </c>
      <c r="F1790" t="str">
        <f t="shared" si="27"/>
        <v>300319.SZ</v>
      </c>
    </row>
    <row r="1791" spans="1:6" x14ac:dyDescent="0.15">
      <c r="A1791" s="2">
        <v>46089</v>
      </c>
      <c r="B1791" s="1" t="s">
        <v>3388</v>
      </c>
      <c r="C1791" s="1" t="s">
        <v>3389</v>
      </c>
      <c r="D1791" t="b">
        <f ca="1">IF(A1791="","",[1]!s_techanal_rcnthigh(B1791,$B$2,1,3))</f>
        <v>0</v>
      </c>
      <c r="E1791">
        <f ca="1">IF(A1791="","",COUNTIF(D$6:D1791,"True"))</f>
        <v>16</v>
      </c>
      <c r="F1791" t="str">
        <f t="shared" si="27"/>
        <v>300320.SZ</v>
      </c>
    </row>
    <row r="1792" spans="1:6" x14ac:dyDescent="0.15">
      <c r="A1792" s="2">
        <v>46089</v>
      </c>
      <c r="B1792" s="1" t="s">
        <v>3390</v>
      </c>
      <c r="C1792" s="1" t="s">
        <v>3391</v>
      </c>
      <c r="D1792" t="b">
        <f ca="1">IF(A1792="","",[1]!s_techanal_rcnthigh(B1792,$B$2,1,3))</f>
        <v>0</v>
      </c>
      <c r="E1792">
        <f ca="1">IF(A1792="","",COUNTIF(D$6:D1792,"True"))</f>
        <v>16</v>
      </c>
      <c r="F1792" t="str">
        <f t="shared" si="27"/>
        <v>300321.SZ</v>
      </c>
    </row>
    <row r="1793" spans="1:6" x14ac:dyDescent="0.15">
      <c r="A1793" s="2">
        <v>46089</v>
      </c>
      <c r="B1793" s="1" t="s">
        <v>3392</v>
      </c>
      <c r="C1793" s="1" t="s">
        <v>3393</v>
      </c>
      <c r="D1793" t="b">
        <f ca="1">IF(A1793="","",[1]!s_techanal_rcnthigh(B1793,$B$2,1,3))</f>
        <v>0</v>
      </c>
      <c r="E1793">
        <f ca="1">IF(A1793="","",COUNTIF(D$6:D1793,"True"))</f>
        <v>16</v>
      </c>
      <c r="F1793" t="str">
        <f t="shared" si="27"/>
        <v>300322.SZ</v>
      </c>
    </row>
    <row r="1794" spans="1:6" x14ac:dyDescent="0.15">
      <c r="A1794" s="2">
        <v>46089</v>
      </c>
      <c r="B1794" s="1" t="s">
        <v>3394</v>
      </c>
      <c r="C1794" s="1" t="s">
        <v>3395</v>
      </c>
      <c r="D1794" t="b">
        <f ca="1">IF(A1794="","",[1]!s_techanal_rcnthigh(B1794,$B$2,1,3))</f>
        <v>0</v>
      </c>
      <c r="E1794">
        <f ca="1">IF(A1794="","",COUNTIF(D$6:D1794,"True"))</f>
        <v>16</v>
      </c>
      <c r="F1794" t="str">
        <f t="shared" si="27"/>
        <v>300323.SZ</v>
      </c>
    </row>
    <row r="1795" spans="1:6" x14ac:dyDescent="0.15">
      <c r="A1795" s="2">
        <v>46089</v>
      </c>
      <c r="B1795" s="1" t="s">
        <v>3396</v>
      </c>
      <c r="C1795" s="1" t="s">
        <v>3397</v>
      </c>
      <c r="D1795" t="b">
        <f ca="1">IF(A1795="","",[1]!s_techanal_rcnthigh(B1795,$B$2,1,3))</f>
        <v>0</v>
      </c>
      <c r="E1795">
        <f ca="1">IF(A1795="","",COUNTIF(D$6:D1795,"True"))</f>
        <v>16</v>
      </c>
      <c r="F1795" t="str">
        <f t="shared" si="27"/>
        <v>300324.SZ</v>
      </c>
    </row>
    <row r="1796" spans="1:6" x14ac:dyDescent="0.15">
      <c r="A1796" s="2">
        <v>46089</v>
      </c>
      <c r="B1796" s="1" t="s">
        <v>3398</v>
      </c>
      <c r="C1796" s="1" t="s">
        <v>10206</v>
      </c>
      <c r="D1796" t="b">
        <f ca="1">IF(A1796="","",[1]!s_techanal_rcnthigh(B1796,$B$2,1,3))</f>
        <v>0</v>
      </c>
      <c r="E1796">
        <f ca="1">IF(A1796="","",COUNTIF(D$6:D1796,"True"))</f>
        <v>16</v>
      </c>
      <c r="F1796" t="str">
        <f t="shared" si="27"/>
        <v>300326.SZ</v>
      </c>
    </row>
    <row r="1797" spans="1:6" x14ac:dyDescent="0.15">
      <c r="A1797" s="2">
        <v>46089</v>
      </c>
      <c r="B1797" s="1" t="s">
        <v>3399</v>
      </c>
      <c r="C1797" s="1" t="s">
        <v>3400</v>
      </c>
      <c r="D1797" t="b">
        <f ca="1">IF(A1797="","",[1]!s_techanal_rcnthigh(B1797,$B$2,1,3))</f>
        <v>0</v>
      </c>
      <c r="E1797">
        <f ca="1">IF(A1797="","",COUNTIF(D$6:D1797,"True"))</f>
        <v>16</v>
      </c>
      <c r="F1797" t="str">
        <f t="shared" si="27"/>
        <v>300327.SZ</v>
      </c>
    </row>
    <row r="1798" spans="1:6" x14ac:dyDescent="0.15">
      <c r="A1798" s="2">
        <v>46089</v>
      </c>
      <c r="B1798" s="1" t="s">
        <v>3401</v>
      </c>
      <c r="C1798" s="1" t="s">
        <v>3402</v>
      </c>
      <c r="D1798" t="b">
        <f ca="1">IF(A1798="","",[1]!s_techanal_rcnthigh(B1798,$B$2,1,3))</f>
        <v>0</v>
      </c>
      <c r="E1798">
        <f ca="1">IF(A1798="","",COUNTIF(D$6:D1798,"True"))</f>
        <v>16</v>
      </c>
      <c r="F1798" t="str">
        <f t="shared" ref="F1798:F1861" si="28">IF(B1798="","",B1798)</f>
        <v>300328.SZ</v>
      </c>
    </row>
    <row r="1799" spans="1:6" x14ac:dyDescent="0.15">
      <c r="A1799" s="2">
        <v>46089</v>
      </c>
      <c r="B1799" s="1" t="s">
        <v>3403</v>
      </c>
      <c r="C1799" s="1" t="s">
        <v>3404</v>
      </c>
      <c r="D1799" t="b">
        <f ca="1">IF(A1799="","",[1]!s_techanal_rcnthigh(B1799,$B$2,1,3))</f>
        <v>0</v>
      </c>
      <c r="E1799">
        <f ca="1">IF(A1799="","",COUNTIF(D$6:D1799,"True"))</f>
        <v>16</v>
      </c>
      <c r="F1799" t="str">
        <f t="shared" si="28"/>
        <v>300329.SZ</v>
      </c>
    </row>
    <row r="1800" spans="1:6" x14ac:dyDescent="0.15">
      <c r="A1800" s="2">
        <v>46089</v>
      </c>
      <c r="B1800" s="1" t="s">
        <v>3405</v>
      </c>
      <c r="C1800" s="1" t="s">
        <v>3406</v>
      </c>
      <c r="D1800" t="b">
        <f ca="1">IF(A1800="","",[1]!s_techanal_rcnthigh(B1800,$B$2,1,3))</f>
        <v>0</v>
      </c>
      <c r="E1800">
        <f ca="1">IF(A1800="","",COUNTIF(D$6:D1800,"True"))</f>
        <v>16</v>
      </c>
      <c r="F1800" t="str">
        <f t="shared" si="28"/>
        <v>300331.SZ</v>
      </c>
    </row>
    <row r="1801" spans="1:6" x14ac:dyDescent="0.15">
      <c r="A1801" s="2">
        <v>46089</v>
      </c>
      <c r="B1801" s="1" t="s">
        <v>3407</v>
      </c>
      <c r="C1801" s="1" t="s">
        <v>3408</v>
      </c>
      <c r="D1801" t="b">
        <f ca="1">IF(A1801="","",[1]!s_techanal_rcnthigh(B1801,$B$2,1,3))</f>
        <v>0</v>
      </c>
      <c r="E1801">
        <f ca="1">IF(A1801="","",COUNTIF(D$6:D1801,"True"))</f>
        <v>16</v>
      </c>
      <c r="F1801" t="str">
        <f t="shared" si="28"/>
        <v>300332.SZ</v>
      </c>
    </row>
    <row r="1802" spans="1:6" x14ac:dyDescent="0.15">
      <c r="A1802" s="2">
        <v>46089</v>
      </c>
      <c r="B1802" s="1" t="s">
        <v>3409</v>
      </c>
      <c r="C1802" s="1" t="s">
        <v>3410</v>
      </c>
      <c r="D1802" t="b">
        <f ca="1">IF(A1802="","",[1]!s_techanal_rcnthigh(B1802,$B$2,1,3))</f>
        <v>0</v>
      </c>
      <c r="E1802">
        <f ca="1">IF(A1802="","",COUNTIF(D$6:D1802,"True"))</f>
        <v>16</v>
      </c>
      <c r="F1802" t="str">
        <f t="shared" si="28"/>
        <v>300333.SZ</v>
      </c>
    </row>
    <row r="1803" spans="1:6" x14ac:dyDescent="0.15">
      <c r="A1803" s="2">
        <v>46089</v>
      </c>
      <c r="B1803" s="1" t="s">
        <v>3411</v>
      </c>
      <c r="C1803" s="1" t="s">
        <v>3412</v>
      </c>
      <c r="D1803" t="b">
        <f ca="1">IF(A1803="","",[1]!s_techanal_rcnthigh(B1803,$B$2,1,3))</f>
        <v>0</v>
      </c>
      <c r="E1803">
        <f ca="1">IF(A1803="","",COUNTIF(D$6:D1803,"True"))</f>
        <v>16</v>
      </c>
      <c r="F1803" t="str">
        <f t="shared" si="28"/>
        <v>300334.SZ</v>
      </c>
    </row>
    <row r="1804" spans="1:6" x14ac:dyDescent="0.15">
      <c r="A1804" s="2">
        <v>46089</v>
      </c>
      <c r="B1804" s="1" t="s">
        <v>3413</v>
      </c>
      <c r="C1804" s="1" t="s">
        <v>3414</v>
      </c>
      <c r="D1804" t="b">
        <f ca="1">IF(A1804="","",[1]!s_techanal_rcnthigh(B1804,$B$2,1,3))</f>
        <v>0</v>
      </c>
      <c r="E1804">
        <f ca="1">IF(A1804="","",COUNTIF(D$6:D1804,"True"))</f>
        <v>16</v>
      </c>
      <c r="F1804" t="str">
        <f t="shared" si="28"/>
        <v>300335.SZ</v>
      </c>
    </row>
    <row r="1805" spans="1:6" x14ac:dyDescent="0.15">
      <c r="A1805" s="2">
        <v>46089</v>
      </c>
      <c r="B1805" s="1" t="s">
        <v>3415</v>
      </c>
      <c r="C1805" s="1" t="s">
        <v>3416</v>
      </c>
      <c r="D1805" t="b">
        <f ca="1">IF(A1805="","",[1]!s_techanal_rcnthigh(B1805,$B$2,1,3))</f>
        <v>0</v>
      </c>
      <c r="E1805">
        <f ca="1">IF(A1805="","",COUNTIF(D$6:D1805,"True"))</f>
        <v>16</v>
      </c>
      <c r="F1805" t="str">
        <f t="shared" si="28"/>
        <v>300337.SZ</v>
      </c>
    </row>
    <row r="1806" spans="1:6" x14ac:dyDescent="0.15">
      <c r="A1806" s="2">
        <v>46089</v>
      </c>
      <c r="B1806" s="1" t="s">
        <v>3417</v>
      </c>
      <c r="C1806" s="1" t="s">
        <v>10207</v>
      </c>
      <c r="D1806" t="b">
        <f ca="1">IF(A1806="","",[1]!s_techanal_rcnthigh(B1806,$B$2,1,3))</f>
        <v>0</v>
      </c>
      <c r="E1806">
        <f ca="1">IF(A1806="","",COUNTIF(D$6:D1806,"True"))</f>
        <v>16</v>
      </c>
      <c r="F1806" t="str">
        <f t="shared" si="28"/>
        <v>300338.SZ</v>
      </c>
    </row>
    <row r="1807" spans="1:6" x14ac:dyDescent="0.15">
      <c r="A1807" s="2">
        <v>46089</v>
      </c>
      <c r="B1807" s="1" t="s">
        <v>3418</v>
      </c>
      <c r="C1807" s="1" t="s">
        <v>3419</v>
      </c>
      <c r="D1807" t="b">
        <f ca="1">IF(A1807="","",[1]!s_techanal_rcnthigh(B1807,$B$2,1,3))</f>
        <v>0</v>
      </c>
      <c r="E1807">
        <f ca="1">IF(A1807="","",COUNTIF(D$6:D1807,"True"))</f>
        <v>16</v>
      </c>
      <c r="F1807" t="str">
        <f t="shared" si="28"/>
        <v>300339.SZ</v>
      </c>
    </row>
    <row r="1808" spans="1:6" x14ac:dyDescent="0.15">
      <c r="A1808" s="2">
        <v>46089</v>
      </c>
      <c r="B1808" s="1" t="s">
        <v>3420</v>
      </c>
      <c r="C1808" s="1" t="s">
        <v>3421</v>
      </c>
      <c r="D1808" t="b">
        <f ca="1">IF(A1808="","",[1]!s_techanal_rcnthigh(B1808,$B$2,1,3))</f>
        <v>0</v>
      </c>
      <c r="E1808">
        <f ca="1">IF(A1808="","",COUNTIF(D$6:D1808,"True"))</f>
        <v>16</v>
      </c>
      <c r="F1808" t="str">
        <f t="shared" si="28"/>
        <v>300340.SZ</v>
      </c>
    </row>
    <row r="1809" spans="1:6" x14ac:dyDescent="0.15">
      <c r="A1809" s="2">
        <v>46089</v>
      </c>
      <c r="B1809" s="1" t="s">
        <v>3422</v>
      </c>
      <c r="C1809" s="1" t="s">
        <v>3423</v>
      </c>
      <c r="D1809" t="b">
        <f ca="1">IF(A1809="","",[1]!s_techanal_rcnthigh(B1809,$B$2,1,3))</f>
        <v>0</v>
      </c>
      <c r="E1809">
        <f ca="1">IF(A1809="","",COUNTIF(D$6:D1809,"True"))</f>
        <v>16</v>
      </c>
      <c r="F1809" t="str">
        <f t="shared" si="28"/>
        <v>300341.SZ</v>
      </c>
    </row>
    <row r="1810" spans="1:6" x14ac:dyDescent="0.15">
      <c r="A1810" s="2">
        <v>46089</v>
      </c>
      <c r="B1810" s="1" t="s">
        <v>3424</v>
      </c>
      <c r="C1810" s="1" t="s">
        <v>3425</v>
      </c>
      <c r="D1810" t="b">
        <f ca="1">IF(A1810="","",[1]!s_techanal_rcnthigh(B1810,$B$2,1,3))</f>
        <v>0</v>
      </c>
      <c r="E1810">
        <f ca="1">IF(A1810="","",COUNTIF(D$6:D1810,"True"))</f>
        <v>16</v>
      </c>
      <c r="F1810" t="str">
        <f t="shared" si="28"/>
        <v>300342.SZ</v>
      </c>
    </row>
    <row r="1811" spans="1:6" x14ac:dyDescent="0.15">
      <c r="A1811" s="2">
        <v>46089</v>
      </c>
      <c r="B1811" s="1" t="s">
        <v>3426</v>
      </c>
      <c r="C1811" s="1" t="s">
        <v>10208</v>
      </c>
      <c r="D1811" t="b">
        <f ca="1">IF(A1811="","",[1]!s_techanal_rcnthigh(B1811,$B$2,1,3))</f>
        <v>0</v>
      </c>
      <c r="E1811">
        <f ca="1">IF(A1811="","",COUNTIF(D$6:D1811,"True"))</f>
        <v>16</v>
      </c>
      <c r="F1811" t="str">
        <f t="shared" si="28"/>
        <v>300343.SZ</v>
      </c>
    </row>
    <row r="1812" spans="1:6" x14ac:dyDescent="0.15">
      <c r="A1812" s="2">
        <v>46089</v>
      </c>
      <c r="B1812" s="1" t="s">
        <v>3427</v>
      </c>
      <c r="C1812" s="1" t="s">
        <v>10209</v>
      </c>
      <c r="D1812" t="b">
        <f ca="1">IF(A1812="","",[1]!s_techanal_rcnthigh(B1812,$B$2,1,3))</f>
        <v>0</v>
      </c>
      <c r="E1812">
        <f ca="1">IF(A1812="","",COUNTIF(D$6:D1812,"True"))</f>
        <v>16</v>
      </c>
      <c r="F1812" t="str">
        <f t="shared" si="28"/>
        <v>300344.SZ</v>
      </c>
    </row>
    <row r="1813" spans="1:6" x14ac:dyDescent="0.15">
      <c r="A1813" s="2">
        <v>46089</v>
      </c>
      <c r="B1813" s="1" t="s">
        <v>3428</v>
      </c>
      <c r="C1813" s="1" t="s">
        <v>3429</v>
      </c>
      <c r="D1813" t="b">
        <f ca="1">IF(A1813="","",[1]!s_techanal_rcnthigh(B1813,$B$2,1,3))</f>
        <v>0</v>
      </c>
      <c r="E1813">
        <f ca="1">IF(A1813="","",COUNTIF(D$6:D1813,"True"))</f>
        <v>16</v>
      </c>
      <c r="F1813" t="str">
        <f t="shared" si="28"/>
        <v>300345.SZ</v>
      </c>
    </row>
    <row r="1814" spans="1:6" x14ac:dyDescent="0.15">
      <c r="A1814" s="2">
        <v>46089</v>
      </c>
      <c r="B1814" s="1" t="s">
        <v>3430</v>
      </c>
      <c r="C1814" s="1" t="s">
        <v>3431</v>
      </c>
      <c r="D1814" t="b">
        <f ca="1">IF(A1814="","",[1]!s_techanal_rcnthigh(B1814,$B$2,1,3))</f>
        <v>0</v>
      </c>
      <c r="E1814">
        <f ca="1">IF(A1814="","",COUNTIF(D$6:D1814,"True"))</f>
        <v>16</v>
      </c>
      <c r="F1814" t="str">
        <f t="shared" si="28"/>
        <v>300346.SZ</v>
      </c>
    </row>
    <row r="1815" spans="1:6" x14ac:dyDescent="0.15">
      <c r="A1815" s="2">
        <v>46089</v>
      </c>
      <c r="B1815" s="1" t="s">
        <v>3432</v>
      </c>
      <c r="C1815" s="1" t="s">
        <v>3433</v>
      </c>
      <c r="D1815" t="b">
        <f ca="1">IF(A1815="","",[1]!s_techanal_rcnthigh(B1815,$B$2,1,3))</f>
        <v>0</v>
      </c>
      <c r="E1815">
        <f ca="1">IF(A1815="","",COUNTIF(D$6:D1815,"True"))</f>
        <v>16</v>
      </c>
      <c r="F1815" t="str">
        <f t="shared" si="28"/>
        <v>300347.SZ</v>
      </c>
    </row>
    <row r="1816" spans="1:6" x14ac:dyDescent="0.15">
      <c r="A1816" s="2">
        <v>46089</v>
      </c>
      <c r="B1816" s="1" t="s">
        <v>3434</v>
      </c>
      <c r="C1816" s="1" t="s">
        <v>3435</v>
      </c>
      <c r="D1816" t="b">
        <f ca="1">IF(A1816="","",[1]!s_techanal_rcnthigh(B1816,$B$2,1,3))</f>
        <v>0</v>
      </c>
      <c r="E1816">
        <f ca="1">IF(A1816="","",COUNTIF(D$6:D1816,"True"))</f>
        <v>16</v>
      </c>
      <c r="F1816" t="str">
        <f t="shared" si="28"/>
        <v>300348.SZ</v>
      </c>
    </row>
    <row r="1817" spans="1:6" x14ac:dyDescent="0.15">
      <c r="A1817" s="2">
        <v>46089</v>
      </c>
      <c r="B1817" s="1" t="s">
        <v>3436</v>
      </c>
      <c r="C1817" s="1" t="s">
        <v>3437</v>
      </c>
      <c r="D1817" t="b">
        <f ca="1">IF(A1817="","",[1]!s_techanal_rcnthigh(B1817,$B$2,1,3))</f>
        <v>0</v>
      </c>
      <c r="E1817">
        <f ca="1">IF(A1817="","",COUNTIF(D$6:D1817,"True"))</f>
        <v>16</v>
      </c>
      <c r="F1817" t="str">
        <f t="shared" si="28"/>
        <v>300349.SZ</v>
      </c>
    </row>
    <row r="1818" spans="1:6" x14ac:dyDescent="0.15">
      <c r="A1818" s="2">
        <v>46089</v>
      </c>
      <c r="B1818" s="1" t="s">
        <v>3438</v>
      </c>
      <c r="C1818" s="1" t="s">
        <v>3439</v>
      </c>
      <c r="D1818" t="b">
        <f ca="1">IF(A1818="","",[1]!s_techanal_rcnthigh(B1818,$B$2,1,3))</f>
        <v>0</v>
      </c>
      <c r="E1818">
        <f ca="1">IF(A1818="","",COUNTIF(D$6:D1818,"True"))</f>
        <v>16</v>
      </c>
      <c r="F1818" t="str">
        <f t="shared" si="28"/>
        <v>300350.SZ</v>
      </c>
    </row>
    <row r="1819" spans="1:6" x14ac:dyDescent="0.15">
      <c r="A1819" s="2">
        <v>46089</v>
      </c>
      <c r="B1819" s="1" t="s">
        <v>3440</v>
      </c>
      <c r="C1819" s="1" t="s">
        <v>3441</v>
      </c>
      <c r="D1819" t="b">
        <f ca="1">IF(A1819="","",[1]!s_techanal_rcnthigh(B1819,$B$2,1,3))</f>
        <v>0</v>
      </c>
      <c r="E1819">
        <f ca="1">IF(A1819="","",COUNTIF(D$6:D1819,"True"))</f>
        <v>16</v>
      </c>
      <c r="F1819" t="str">
        <f t="shared" si="28"/>
        <v>300351.SZ</v>
      </c>
    </row>
    <row r="1820" spans="1:6" x14ac:dyDescent="0.15">
      <c r="A1820" s="2">
        <v>46089</v>
      </c>
      <c r="B1820" s="1" t="s">
        <v>3442</v>
      </c>
      <c r="C1820" s="1" t="s">
        <v>3443</v>
      </c>
      <c r="D1820" t="b">
        <f ca="1">IF(A1820="","",[1]!s_techanal_rcnthigh(B1820,$B$2,1,3))</f>
        <v>0</v>
      </c>
      <c r="E1820">
        <f ca="1">IF(A1820="","",COUNTIF(D$6:D1820,"True"))</f>
        <v>16</v>
      </c>
      <c r="F1820" t="str">
        <f t="shared" si="28"/>
        <v>300352.SZ</v>
      </c>
    </row>
    <row r="1821" spans="1:6" x14ac:dyDescent="0.15">
      <c r="A1821" s="2">
        <v>46089</v>
      </c>
      <c r="B1821" s="1" t="s">
        <v>3444</v>
      </c>
      <c r="C1821" s="1" t="s">
        <v>3445</v>
      </c>
      <c r="D1821" t="b">
        <f ca="1">IF(A1821="","",[1]!s_techanal_rcnthigh(B1821,$B$2,1,3))</f>
        <v>0</v>
      </c>
      <c r="E1821">
        <f ca="1">IF(A1821="","",COUNTIF(D$6:D1821,"True"))</f>
        <v>16</v>
      </c>
      <c r="F1821" t="str">
        <f t="shared" si="28"/>
        <v>300353.SZ</v>
      </c>
    </row>
    <row r="1822" spans="1:6" x14ac:dyDescent="0.15">
      <c r="A1822" s="2">
        <v>46089</v>
      </c>
      <c r="B1822" s="1" t="s">
        <v>3446</v>
      </c>
      <c r="C1822" s="1" t="s">
        <v>3447</v>
      </c>
      <c r="D1822" t="b">
        <f ca="1">IF(A1822="","",[1]!s_techanal_rcnthigh(B1822,$B$2,1,3))</f>
        <v>0</v>
      </c>
      <c r="E1822">
        <f ca="1">IF(A1822="","",COUNTIF(D$6:D1822,"True"))</f>
        <v>16</v>
      </c>
      <c r="F1822" t="str">
        <f t="shared" si="28"/>
        <v>300354.SZ</v>
      </c>
    </row>
    <row r="1823" spans="1:6" x14ac:dyDescent="0.15">
      <c r="A1823" s="2">
        <v>46089</v>
      </c>
      <c r="B1823" s="1" t="s">
        <v>3448</v>
      </c>
      <c r="C1823" s="1" t="s">
        <v>3449</v>
      </c>
      <c r="D1823" t="b">
        <f ca="1">IF(A1823="","",[1]!s_techanal_rcnthigh(B1823,$B$2,1,3))</f>
        <v>0</v>
      </c>
      <c r="E1823">
        <f ca="1">IF(A1823="","",COUNTIF(D$6:D1823,"True"))</f>
        <v>16</v>
      </c>
      <c r="F1823" t="str">
        <f t="shared" si="28"/>
        <v>300355.SZ</v>
      </c>
    </row>
    <row r="1824" spans="1:6" x14ac:dyDescent="0.15">
      <c r="A1824" s="2">
        <v>46089</v>
      </c>
      <c r="B1824" s="1" t="s">
        <v>3450</v>
      </c>
      <c r="C1824" s="1" t="s">
        <v>3451</v>
      </c>
      <c r="D1824" t="b">
        <f ca="1">IF(A1824="","",[1]!s_techanal_rcnthigh(B1824,$B$2,1,3))</f>
        <v>0</v>
      </c>
      <c r="E1824">
        <f ca="1">IF(A1824="","",COUNTIF(D$6:D1824,"True"))</f>
        <v>16</v>
      </c>
      <c r="F1824" t="str">
        <f t="shared" si="28"/>
        <v>300357.SZ</v>
      </c>
    </row>
    <row r="1825" spans="1:6" x14ac:dyDescent="0.15">
      <c r="A1825" s="2">
        <v>46089</v>
      </c>
      <c r="B1825" s="1" t="s">
        <v>3452</v>
      </c>
      <c r="C1825" s="1" t="s">
        <v>3453</v>
      </c>
      <c r="D1825" t="b">
        <f ca="1">IF(A1825="","",[1]!s_techanal_rcnthigh(B1825,$B$2,1,3))</f>
        <v>0</v>
      </c>
      <c r="E1825">
        <f ca="1">IF(A1825="","",COUNTIF(D$6:D1825,"True"))</f>
        <v>16</v>
      </c>
      <c r="F1825" t="str">
        <f t="shared" si="28"/>
        <v>300358.SZ</v>
      </c>
    </row>
    <row r="1826" spans="1:6" x14ac:dyDescent="0.15">
      <c r="A1826" s="2">
        <v>46089</v>
      </c>
      <c r="B1826" s="1" t="s">
        <v>3454</v>
      </c>
      <c r="C1826" s="1" t="s">
        <v>3455</v>
      </c>
      <c r="D1826" t="b">
        <f ca="1">IF(A1826="","",[1]!s_techanal_rcnthigh(B1826,$B$2,1,3))</f>
        <v>0</v>
      </c>
      <c r="E1826">
        <f ca="1">IF(A1826="","",COUNTIF(D$6:D1826,"True"))</f>
        <v>16</v>
      </c>
      <c r="F1826" t="str">
        <f t="shared" si="28"/>
        <v>300359.SZ</v>
      </c>
    </row>
    <row r="1827" spans="1:6" x14ac:dyDescent="0.15">
      <c r="A1827" s="2">
        <v>46089</v>
      </c>
      <c r="B1827" s="1" t="s">
        <v>3456</v>
      </c>
      <c r="C1827" s="1" t="s">
        <v>3457</v>
      </c>
      <c r="D1827" t="b">
        <f ca="1">IF(A1827="","",[1]!s_techanal_rcnthigh(B1827,$B$2,1,3))</f>
        <v>0</v>
      </c>
      <c r="E1827">
        <f ca="1">IF(A1827="","",COUNTIF(D$6:D1827,"True"))</f>
        <v>16</v>
      </c>
      <c r="F1827" t="str">
        <f t="shared" si="28"/>
        <v>300360.SZ</v>
      </c>
    </row>
    <row r="1828" spans="1:6" x14ac:dyDescent="0.15">
      <c r="A1828" s="2">
        <v>46089</v>
      </c>
      <c r="B1828" s="1" t="s">
        <v>3458</v>
      </c>
      <c r="C1828" s="1" t="s">
        <v>3459</v>
      </c>
      <c r="D1828" t="b">
        <f ca="1">IF(A1828="","",[1]!s_techanal_rcnthigh(B1828,$B$2,1,3))</f>
        <v>0</v>
      </c>
      <c r="E1828">
        <f ca="1">IF(A1828="","",COUNTIF(D$6:D1828,"True"))</f>
        <v>16</v>
      </c>
      <c r="F1828" t="str">
        <f t="shared" si="28"/>
        <v>300363.SZ</v>
      </c>
    </row>
    <row r="1829" spans="1:6" x14ac:dyDescent="0.15">
      <c r="A1829" s="2">
        <v>46089</v>
      </c>
      <c r="B1829" s="1" t="s">
        <v>3460</v>
      </c>
      <c r="C1829" s="1" t="s">
        <v>3461</v>
      </c>
      <c r="D1829" t="b">
        <f ca="1">IF(A1829="","",[1]!s_techanal_rcnthigh(B1829,$B$2,1,3))</f>
        <v>0</v>
      </c>
      <c r="E1829">
        <f ca="1">IF(A1829="","",COUNTIF(D$6:D1829,"True"))</f>
        <v>16</v>
      </c>
      <c r="F1829" t="str">
        <f t="shared" si="28"/>
        <v>300364.SZ</v>
      </c>
    </row>
    <row r="1830" spans="1:6" x14ac:dyDescent="0.15">
      <c r="A1830" s="2">
        <v>46089</v>
      </c>
      <c r="B1830" s="1" t="s">
        <v>3462</v>
      </c>
      <c r="C1830" s="1" t="s">
        <v>3463</v>
      </c>
      <c r="D1830" t="b">
        <f ca="1">IF(A1830="","",[1]!s_techanal_rcnthigh(B1830,$B$2,1,3))</f>
        <v>0</v>
      </c>
      <c r="E1830">
        <f ca="1">IF(A1830="","",COUNTIF(D$6:D1830,"True"))</f>
        <v>16</v>
      </c>
      <c r="F1830" t="str">
        <f t="shared" si="28"/>
        <v>300365.SZ</v>
      </c>
    </row>
    <row r="1831" spans="1:6" x14ac:dyDescent="0.15">
      <c r="A1831" s="2">
        <v>46089</v>
      </c>
      <c r="B1831" s="1" t="s">
        <v>3464</v>
      </c>
      <c r="C1831" s="1" t="s">
        <v>10210</v>
      </c>
      <c r="D1831" t="b">
        <f ca="1">IF(A1831="","",[1]!s_techanal_rcnthigh(B1831,$B$2,1,3))</f>
        <v>0</v>
      </c>
      <c r="E1831">
        <f ca="1">IF(A1831="","",COUNTIF(D$6:D1831,"True"))</f>
        <v>16</v>
      </c>
      <c r="F1831" t="str">
        <f t="shared" si="28"/>
        <v>300366.SZ</v>
      </c>
    </row>
    <row r="1832" spans="1:6" x14ac:dyDescent="0.15">
      <c r="A1832" s="2">
        <v>46089</v>
      </c>
      <c r="B1832" s="1" t="s">
        <v>3465</v>
      </c>
      <c r="C1832" s="1" t="s">
        <v>3466</v>
      </c>
      <c r="D1832" t="b">
        <f ca="1">IF(A1832="","",[1]!s_techanal_rcnthigh(B1832,$B$2,1,3))</f>
        <v>0</v>
      </c>
      <c r="E1832">
        <f ca="1">IF(A1832="","",COUNTIF(D$6:D1832,"True"))</f>
        <v>16</v>
      </c>
      <c r="F1832" t="str">
        <f t="shared" si="28"/>
        <v>300368.SZ</v>
      </c>
    </row>
    <row r="1833" spans="1:6" x14ac:dyDescent="0.15">
      <c r="A1833" s="2">
        <v>46089</v>
      </c>
      <c r="B1833" s="1" t="s">
        <v>3467</v>
      </c>
      <c r="C1833" s="1" t="s">
        <v>3468</v>
      </c>
      <c r="D1833" t="b">
        <f ca="1">IF(A1833="","",[1]!s_techanal_rcnthigh(B1833,$B$2,1,3))</f>
        <v>0</v>
      </c>
      <c r="E1833">
        <f ca="1">IF(A1833="","",COUNTIF(D$6:D1833,"True"))</f>
        <v>16</v>
      </c>
      <c r="F1833" t="str">
        <f t="shared" si="28"/>
        <v>300369.SZ</v>
      </c>
    </row>
    <row r="1834" spans="1:6" x14ac:dyDescent="0.15">
      <c r="A1834" s="2">
        <v>46089</v>
      </c>
      <c r="B1834" s="1" t="s">
        <v>3469</v>
      </c>
      <c r="C1834" s="1" t="s">
        <v>3470</v>
      </c>
      <c r="D1834" t="b">
        <f ca="1">IF(A1834="","",[1]!s_techanal_rcnthigh(B1834,$B$2,1,3))</f>
        <v>0</v>
      </c>
      <c r="E1834">
        <f ca="1">IF(A1834="","",COUNTIF(D$6:D1834,"True"))</f>
        <v>16</v>
      </c>
      <c r="F1834" t="str">
        <f t="shared" si="28"/>
        <v>300370.SZ</v>
      </c>
    </row>
    <row r="1835" spans="1:6" x14ac:dyDescent="0.15">
      <c r="A1835" s="2">
        <v>46089</v>
      </c>
      <c r="B1835" s="1" t="s">
        <v>3471</v>
      </c>
      <c r="C1835" s="1" t="s">
        <v>3472</v>
      </c>
      <c r="D1835" t="b">
        <f ca="1">IF(A1835="","",[1]!s_techanal_rcnthigh(B1835,$B$2,1,3))</f>
        <v>0</v>
      </c>
      <c r="E1835">
        <f ca="1">IF(A1835="","",COUNTIF(D$6:D1835,"True"))</f>
        <v>16</v>
      </c>
      <c r="F1835" t="str">
        <f t="shared" si="28"/>
        <v>300371.SZ</v>
      </c>
    </row>
    <row r="1836" spans="1:6" x14ac:dyDescent="0.15">
      <c r="A1836" s="2">
        <v>46089</v>
      </c>
      <c r="B1836" s="1" t="s">
        <v>3473</v>
      </c>
      <c r="C1836" s="1" t="s">
        <v>3474</v>
      </c>
      <c r="D1836" t="b">
        <f ca="1">IF(A1836="","",[1]!s_techanal_rcnthigh(B1836,$B$2,1,3))</f>
        <v>0</v>
      </c>
      <c r="E1836">
        <f ca="1">IF(A1836="","",COUNTIF(D$6:D1836,"True"))</f>
        <v>16</v>
      </c>
      <c r="F1836" t="str">
        <f t="shared" si="28"/>
        <v>300373.SZ</v>
      </c>
    </row>
    <row r="1837" spans="1:6" x14ac:dyDescent="0.15">
      <c r="A1837" s="2">
        <v>46089</v>
      </c>
      <c r="B1837" s="1" t="s">
        <v>3475</v>
      </c>
      <c r="C1837" s="1" t="s">
        <v>3476</v>
      </c>
      <c r="D1837" t="b">
        <f ca="1">IF(A1837="","",[1]!s_techanal_rcnthigh(B1837,$B$2,1,3))</f>
        <v>0</v>
      </c>
      <c r="E1837">
        <f ca="1">IF(A1837="","",COUNTIF(D$6:D1837,"True"))</f>
        <v>16</v>
      </c>
      <c r="F1837" t="str">
        <f t="shared" si="28"/>
        <v>300374.SZ</v>
      </c>
    </row>
    <row r="1838" spans="1:6" x14ac:dyDescent="0.15">
      <c r="A1838" s="2">
        <v>46089</v>
      </c>
      <c r="B1838" s="1" t="s">
        <v>3477</v>
      </c>
      <c r="C1838" s="1" t="s">
        <v>3478</v>
      </c>
      <c r="D1838" t="b">
        <f ca="1">IF(A1838="","",[1]!s_techanal_rcnthigh(B1838,$B$2,1,3))</f>
        <v>0</v>
      </c>
      <c r="E1838">
        <f ca="1">IF(A1838="","",COUNTIF(D$6:D1838,"True"))</f>
        <v>16</v>
      </c>
      <c r="F1838" t="str">
        <f t="shared" si="28"/>
        <v>300375.SZ</v>
      </c>
    </row>
    <row r="1839" spans="1:6" x14ac:dyDescent="0.15">
      <c r="A1839" s="2">
        <v>46089</v>
      </c>
      <c r="B1839" s="1" t="s">
        <v>3479</v>
      </c>
      <c r="C1839" s="1" t="s">
        <v>3480</v>
      </c>
      <c r="D1839" t="b">
        <f ca="1">IF(A1839="","",[1]!s_techanal_rcnthigh(B1839,$B$2,1,3))</f>
        <v>0</v>
      </c>
      <c r="E1839">
        <f ca="1">IF(A1839="","",COUNTIF(D$6:D1839,"True"))</f>
        <v>16</v>
      </c>
      <c r="F1839" t="str">
        <f t="shared" si="28"/>
        <v>300376.SZ</v>
      </c>
    </row>
    <row r="1840" spans="1:6" x14ac:dyDescent="0.15">
      <c r="A1840" s="2">
        <v>46089</v>
      </c>
      <c r="B1840" s="1" t="s">
        <v>3481</v>
      </c>
      <c r="C1840" s="1" t="s">
        <v>3482</v>
      </c>
      <c r="D1840" t="b">
        <f ca="1">IF(A1840="","",[1]!s_techanal_rcnthigh(B1840,$B$2,1,3))</f>
        <v>0</v>
      </c>
      <c r="E1840">
        <f ca="1">IF(A1840="","",COUNTIF(D$6:D1840,"True"))</f>
        <v>16</v>
      </c>
      <c r="F1840" t="str">
        <f t="shared" si="28"/>
        <v>300377.SZ</v>
      </c>
    </row>
    <row r="1841" spans="1:6" x14ac:dyDescent="0.15">
      <c r="A1841" s="2">
        <v>46089</v>
      </c>
      <c r="B1841" s="1" t="s">
        <v>3483</v>
      </c>
      <c r="C1841" s="1" t="s">
        <v>10211</v>
      </c>
      <c r="D1841" t="b">
        <f ca="1">IF(A1841="","",[1]!s_techanal_rcnthigh(B1841,$B$2,1,3))</f>
        <v>0</v>
      </c>
      <c r="E1841">
        <f ca="1">IF(A1841="","",COUNTIF(D$6:D1841,"True"))</f>
        <v>16</v>
      </c>
      <c r="F1841" t="str">
        <f t="shared" si="28"/>
        <v>300378.SZ</v>
      </c>
    </row>
    <row r="1842" spans="1:6" x14ac:dyDescent="0.15">
      <c r="A1842" s="2">
        <v>46089</v>
      </c>
      <c r="B1842" s="1" t="s">
        <v>3484</v>
      </c>
      <c r="C1842" s="1" t="s">
        <v>3485</v>
      </c>
      <c r="D1842" t="b">
        <f ca="1">IF(A1842="","",[1]!s_techanal_rcnthigh(B1842,$B$2,1,3))</f>
        <v>0</v>
      </c>
      <c r="E1842">
        <f ca="1">IF(A1842="","",COUNTIF(D$6:D1842,"True"))</f>
        <v>16</v>
      </c>
      <c r="F1842" t="str">
        <f t="shared" si="28"/>
        <v>300380.SZ</v>
      </c>
    </row>
    <row r="1843" spans="1:6" x14ac:dyDescent="0.15">
      <c r="A1843" s="2">
        <v>46089</v>
      </c>
      <c r="B1843" s="1" t="s">
        <v>3486</v>
      </c>
      <c r="C1843" s="1" t="s">
        <v>3487</v>
      </c>
      <c r="D1843" t="b">
        <f ca="1">IF(A1843="","",[1]!s_techanal_rcnthigh(B1843,$B$2,1,3))</f>
        <v>0</v>
      </c>
      <c r="E1843">
        <f ca="1">IF(A1843="","",COUNTIF(D$6:D1843,"True"))</f>
        <v>16</v>
      </c>
      <c r="F1843" t="str">
        <f t="shared" si="28"/>
        <v>300381.SZ</v>
      </c>
    </row>
    <row r="1844" spans="1:6" x14ac:dyDescent="0.15">
      <c r="A1844" s="2">
        <v>46089</v>
      </c>
      <c r="B1844" s="1" t="s">
        <v>3488</v>
      </c>
      <c r="C1844" s="1" t="s">
        <v>3489</v>
      </c>
      <c r="D1844" t="b">
        <f ca="1">IF(A1844="","",[1]!s_techanal_rcnthigh(B1844,$B$2,1,3))</f>
        <v>0</v>
      </c>
      <c r="E1844">
        <f ca="1">IF(A1844="","",COUNTIF(D$6:D1844,"True"))</f>
        <v>16</v>
      </c>
      <c r="F1844" t="str">
        <f t="shared" si="28"/>
        <v>300382.SZ</v>
      </c>
    </row>
    <row r="1845" spans="1:6" x14ac:dyDescent="0.15">
      <c r="A1845" s="2">
        <v>46089</v>
      </c>
      <c r="B1845" s="1" t="s">
        <v>3490</v>
      </c>
      <c r="C1845" s="1" t="s">
        <v>3491</v>
      </c>
      <c r="D1845" t="b">
        <f ca="1">IF(A1845="","",[1]!s_techanal_rcnthigh(B1845,$B$2,1,3))</f>
        <v>0</v>
      </c>
      <c r="E1845">
        <f ca="1">IF(A1845="","",COUNTIF(D$6:D1845,"True"))</f>
        <v>16</v>
      </c>
      <c r="F1845" t="str">
        <f t="shared" si="28"/>
        <v>300383.SZ</v>
      </c>
    </row>
    <row r="1846" spans="1:6" x14ac:dyDescent="0.15">
      <c r="A1846" s="2">
        <v>46089</v>
      </c>
      <c r="B1846" s="1" t="s">
        <v>3492</v>
      </c>
      <c r="C1846" s="1" t="s">
        <v>3493</v>
      </c>
      <c r="D1846" t="b">
        <f ca="1">IF(A1846="","",[1]!s_techanal_rcnthigh(B1846,$B$2,1,3))</f>
        <v>0</v>
      </c>
      <c r="E1846">
        <f ca="1">IF(A1846="","",COUNTIF(D$6:D1846,"True"))</f>
        <v>16</v>
      </c>
      <c r="F1846" t="str">
        <f t="shared" si="28"/>
        <v>300384.SZ</v>
      </c>
    </row>
    <row r="1847" spans="1:6" x14ac:dyDescent="0.15">
      <c r="A1847" s="2">
        <v>46089</v>
      </c>
      <c r="B1847" s="1" t="s">
        <v>3494</v>
      </c>
      <c r="C1847" s="1" t="s">
        <v>3495</v>
      </c>
      <c r="D1847" t="b">
        <f ca="1">IF(A1847="","",[1]!s_techanal_rcnthigh(B1847,$B$2,1,3))</f>
        <v>0</v>
      </c>
      <c r="E1847">
        <f ca="1">IF(A1847="","",COUNTIF(D$6:D1847,"True"))</f>
        <v>16</v>
      </c>
      <c r="F1847" t="str">
        <f t="shared" si="28"/>
        <v>300385.SZ</v>
      </c>
    </row>
    <row r="1848" spans="1:6" x14ac:dyDescent="0.15">
      <c r="A1848" s="2">
        <v>46089</v>
      </c>
      <c r="B1848" s="1" t="s">
        <v>3496</v>
      </c>
      <c r="C1848" s="1" t="s">
        <v>3497</v>
      </c>
      <c r="D1848" t="b">
        <f ca="1">IF(A1848="","",[1]!s_techanal_rcnthigh(B1848,$B$2,1,3))</f>
        <v>0</v>
      </c>
      <c r="E1848">
        <f ca="1">IF(A1848="","",COUNTIF(D$6:D1848,"True"))</f>
        <v>16</v>
      </c>
      <c r="F1848" t="str">
        <f t="shared" si="28"/>
        <v>300386.SZ</v>
      </c>
    </row>
    <row r="1849" spans="1:6" x14ac:dyDescent="0.15">
      <c r="A1849" s="2">
        <v>46089</v>
      </c>
      <c r="B1849" s="1" t="s">
        <v>3498</v>
      </c>
      <c r="C1849" s="1" t="s">
        <v>10212</v>
      </c>
      <c r="D1849" t="b">
        <f ca="1">IF(A1849="","",[1]!s_techanal_rcnthigh(B1849,$B$2,1,3))</f>
        <v>0</v>
      </c>
      <c r="E1849">
        <f ca="1">IF(A1849="","",COUNTIF(D$6:D1849,"True"))</f>
        <v>16</v>
      </c>
      <c r="F1849" t="str">
        <f t="shared" si="28"/>
        <v>300387.SZ</v>
      </c>
    </row>
    <row r="1850" spans="1:6" x14ac:dyDescent="0.15">
      <c r="A1850" s="2">
        <v>46089</v>
      </c>
      <c r="B1850" s="1" t="s">
        <v>3499</v>
      </c>
      <c r="C1850" s="1" t="s">
        <v>3500</v>
      </c>
      <c r="D1850" t="b">
        <f ca="1">IF(A1850="","",[1]!s_techanal_rcnthigh(B1850,$B$2,1,3))</f>
        <v>0</v>
      </c>
      <c r="E1850">
        <f ca="1">IF(A1850="","",COUNTIF(D$6:D1850,"True"))</f>
        <v>16</v>
      </c>
      <c r="F1850" t="str">
        <f t="shared" si="28"/>
        <v>300388.SZ</v>
      </c>
    </row>
    <row r="1851" spans="1:6" x14ac:dyDescent="0.15">
      <c r="A1851" s="2">
        <v>46089</v>
      </c>
      <c r="B1851" s="1" t="s">
        <v>3501</v>
      </c>
      <c r="C1851" s="1" t="s">
        <v>3502</v>
      </c>
      <c r="D1851" t="b">
        <f ca="1">IF(A1851="","",[1]!s_techanal_rcnthigh(B1851,$B$2,1,3))</f>
        <v>0</v>
      </c>
      <c r="E1851">
        <f ca="1">IF(A1851="","",COUNTIF(D$6:D1851,"True"))</f>
        <v>16</v>
      </c>
      <c r="F1851" t="str">
        <f t="shared" si="28"/>
        <v>300389.SZ</v>
      </c>
    </row>
    <row r="1852" spans="1:6" x14ac:dyDescent="0.15">
      <c r="A1852" s="2">
        <v>46089</v>
      </c>
      <c r="B1852" s="1" t="s">
        <v>3503</v>
      </c>
      <c r="C1852" s="1" t="s">
        <v>3504</v>
      </c>
      <c r="D1852" t="b">
        <f ca="1">IF(A1852="","",[1]!s_techanal_rcnthigh(B1852,$B$2,1,3))</f>
        <v>0</v>
      </c>
      <c r="E1852">
        <f ca="1">IF(A1852="","",COUNTIF(D$6:D1852,"True"))</f>
        <v>16</v>
      </c>
      <c r="F1852" t="str">
        <f t="shared" si="28"/>
        <v>300390.SZ</v>
      </c>
    </row>
    <row r="1853" spans="1:6" x14ac:dyDescent="0.15">
      <c r="A1853" s="2">
        <v>46089</v>
      </c>
      <c r="B1853" s="1" t="s">
        <v>3505</v>
      </c>
      <c r="C1853" s="1" t="s">
        <v>10213</v>
      </c>
      <c r="D1853" t="b">
        <f ca="1">IF(A1853="","",[1]!s_techanal_rcnthigh(B1853,$B$2,1,3))</f>
        <v>0</v>
      </c>
      <c r="E1853">
        <f ca="1">IF(A1853="","",COUNTIF(D$6:D1853,"True"))</f>
        <v>16</v>
      </c>
      <c r="F1853" t="str">
        <f t="shared" si="28"/>
        <v>300391.SZ</v>
      </c>
    </row>
    <row r="1854" spans="1:6" x14ac:dyDescent="0.15">
      <c r="A1854" s="2">
        <v>46089</v>
      </c>
      <c r="B1854" s="1" t="s">
        <v>3506</v>
      </c>
      <c r="C1854" s="1" t="s">
        <v>3507</v>
      </c>
      <c r="D1854" t="b">
        <f ca="1">IF(A1854="","",[1]!s_techanal_rcnthigh(B1854,$B$2,1,3))</f>
        <v>0</v>
      </c>
      <c r="E1854">
        <f ca="1">IF(A1854="","",COUNTIF(D$6:D1854,"True"))</f>
        <v>16</v>
      </c>
      <c r="F1854" t="str">
        <f t="shared" si="28"/>
        <v>300393.SZ</v>
      </c>
    </row>
    <row r="1855" spans="1:6" x14ac:dyDescent="0.15">
      <c r="A1855" s="2">
        <v>46089</v>
      </c>
      <c r="B1855" s="1" t="s">
        <v>3508</v>
      </c>
      <c r="C1855" s="1" t="s">
        <v>3509</v>
      </c>
      <c r="D1855" t="b">
        <f ca="1">IF(A1855="","",[1]!s_techanal_rcnthigh(B1855,$B$2,1,3))</f>
        <v>0</v>
      </c>
      <c r="E1855">
        <f ca="1">IF(A1855="","",COUNTIF(D$6:D1855,"True"))</f>
        <v>16</v>
      </c>
      <c r="F1855" t="str">
        <f t="shared" si="28"/>
        <v>300394.SZ</v>
      </c>
    </row>
    <row r="1856" spans="1:6" x14ac:dyDescent="0.15">
      <c r="A1856" s="2">
        <v>46089</v>
      </c>
      <c r="B1856" s="1" t="s">
        <v>3510</v>
      </c>
      <c r="C1856" s="1" t="s">
        <v>3511</v>
      </c>
      <c r="D1856" t="b">
        <f ca="1">IF(A1856="","",[1]!s_techanal_rcnthigh(B1856,$B$2,1,3))</f>
        <v>0</v>
      </c>
      <c r="E1856">
        <f ca="1">IF(A1856="","",COUNTIF(D$6:D1856,"True"))</f>
        <v>16</v>
      </c>
      <c r="F1856" t="str">
        <f t="shared" si="28"/>
        <v>300395.SZ</v>
      </c>
    </row>
    <row r="1857" spans="1:6" x14ac:dyDescent="0.15">
      <c r="A1857" s="2">
        <v>46089</v>
      </c>
      <c r="B1857" s="1" t="s">
        <v>3512</v>
      </c>
      <c r="C1857" s="1" t="s">
        <v>3513</v>
      </c>
      <c r="D1857" t="b">
        <f ca="1">IF(A1857="","",[1]!s_techanal_rcnthigh(B1857,$B$2,1,3))</f>
        <v>0</v>
      </c>
      <c r="E1857">
        <f ca="1">IF(A1857="","",COUNTIF(D$6:D1857,"True"))</f>
        <v>16</v>
      </c>
      <c r="F1857" t="str">
        <f t="shared" si="28"/>
        <v>300396.SZ</v>
      </c>
    </row>
    <row r="1858" spans="1:6" x14ac:dyDescent="0.15">
      <c r="A1858" s="2">
        <v>46089</v>
      </c>
      <c r="B1858" s="1" t="s">
        <v>3514</v>
      </c>
      <c r="C1858" s="1" t="s">
        <v>3515</v>
      </c>
      <c r="D1858" t="b">
        <f ca="1">IF(A1858="","",[1]!s_techanal_rcnthigh(B1858,$B$2,1,3))</f>
        <v>0</v>
      </c>
      <c r="E1858">
        <f ca="1">IF(A1858="","",COUNTIF(D$6:D1858,"True"))</f>
        <v>16</v>
      </c>
      <c r="F1858" t="str">
        <f t="shared" si="28"/>
        <v>300397.SZ</v>
      </c>
    </row>
    <row r="1859" spans="1:6" x14ac:dyDescent="0.15">
      <c r="A1859" s="2">
        <v>46089</v>
      </c>
      <c r="B1859" s="1" t="s">
        <v>3516</v>
      </c>
      <c r="C1859" s="1" t="s">
        <v>3517</v>
      </c>
      <c r="D1859" t="b">
        <f ca="1">IF(A1859="","",[1]!s_techanal_rcnthigh(B1859,$B$2,1,3))</f>
        <v>0</v>
      </c>
      <c r="E1859">
        <f ca="1">IF(A1859="","",COUNTIF(D$6:D1859,"True"))</f>
        <v>16</v>
      </c>
      <c r="F1859" t="str">
        <f t="shared" si="28"/>
        <v>300398.SZ</v>
      </c>
    </row>
    <row r="1860" spans="1:6" x14ac:dyDescent="0.15">
      <c r="A1860" s="2">
        <v>46089</v>
      </c>
      <c r="B1860" s="1" t="s">
        <v>3518</v>
      </c>
      <c r="C1860" s="1" t="s">
        <v>3519</v>
      </c>
      <c r="D1860" t="b">
        <f ca="1">IF(A1860="","",[1]!s_techanal_rcnthigh(B1860,$B$2,1,3))</f>
        <v>0</v>
      </c>
      <c r="E1860">
        <f ca="1">IF(A1860="","",COUNTIF(D$6:D1860,"True"))</f>
        <v>16</v>
      </c>
      <c r="F1860" t="str">
        <f t="shared" si="28"/>
        <v>300399.SZ</v>
      </c>
    </row>
    <row r="1861" spans="1:6" x14ac:dyDescent="0.15">
      <c r="A1861" s="2">
        <v>46089</v>
      </c>
      <c r="B1861" s="1" t="s">
        <v>3520</v>
      </c>
      <c r="C1861" s="1" t="s">
        <v>3521</v>
      </c>
      <c r="D1861" t="b">
        <f ca="1">IF(A1861="","",[1]!s_techanal_rcnthigh(B1861,$B$2,1,3))</f>
        <v>0</v>
      </c>
      <c r="E1861">
        <f ca="1">IF(A1861="","",COUNTIF(D$6:D1861,"True"))</f>
        <v>16</v>
      </c>
      <c r="F1861" t="str">
        <f t="shared" si="28"/>
        <v>300400.SZ</v>
      </c>
    </row>
    <row r="1862" spans="1:6" x14ac:dyDescent="0.15">
      <c r="A1862" s="2">
        <v>46089</v>
      </c>
      <c r="B1862" s="1" t="s">
        <v>3522</v>
      </c>
      <c r="C1862" s="1" t="s">
        <v>3523</v>
      </c>
      <c r="D1862" t="b">
        <f ca="1">IF(A1862="","",[1]!s_techanal_rcnthigh(B1862,$B$2,1,3))</f>
        <v>0</v>
      </c>
      <c r="E1862">
        <f ca="1">IF(A1862="","",COUNTIF(D$6:D1862,"True"))</f>
        <v>16</v>
      </c>
      <c r="F1862" t="str">
        <f t="shared" ref="F1862:F1925" si="29">IF(B1862="","",B1862)</f>
        <v>300401.SZ</v>
      </c>
    </row>
    <row r="1863" spans="1:6" x14ac:dyDescent="0.15">
      <c r="A1863" s="2">
        <v>46089</v>
      </c>
      <c r="B1863" s="1" t="s">
        <v>3524</v>
      </c>
      <c r="C1863" s="1" t="s">
        <v>3525</v>
      </c>
      <c r="D1863" t="b">
        <f ca="1">IF(A1863="","",[1]!s_techanal_rcnthigh(B1863,$B$2,1,3))</f>
        <v>0</v>
      </c>
      <c r="E1863">
        <f ca="1">IF(A1863="","",COUNTIF(D$6:D1863,"True"))</f>
        <v>16</v>
      </c>
      <c r="F1863" t="str">
        <f t="shared" si="29"/>
        <v>300402.SZ</v>
      </c>
    </row>
    <row r="1864" spans="1:6" x14ac:dyDescent="0.15">
      <c r="A1864" s="2">
        <v>46089</v>
      </c>
      <c r="B1864" s="1" t="s">
        <v>3526</v>
      </c>
      <c r="C1864" s="1" t="s">
        <v>3527</v>
      </c>
      <c r="D1864" t="b">
        <f ca="1">IF(A1864="","",[1]!s_techanal_rcnthigh(B1864,$B$2,1,3))</f>
        <v>0</v>
      </c>
      <c r="E1864">
        <f ca="1">IF(A1864="","",COUNTIF(D$6:D1864,"True"))</f>
        <v>16</v>
      </c>
      <c r="F1864" t="str">
        <f t="shared" si="29"/>
        <v>300403.SZ</v>
      </c>
    </row>
    <row r="1865" spans="1:6" x14ac:dyDescent="0.15">
      <c r="A1865" s="2">
        <v>46089</v>
      </c>
      <c r="B1865" s="1" t="s">
        <v>3528</v>
      </c>
      <c r="C1865" s="1" t="s">
        <v>3529</v>
      </c>
      <c r="D1865" t="b">
        <f ca="1">IF(A1865="","",[1]!s_techanal_rcnthigh(B1865,$B$2,1,3))</f>
        <v>0</v>
      </c>
      <c r="E1865">
        <f ca="1">IF(A1865="","",COUNTIF(D$6:D1865,"True"))</f>
        <v>16</v>
      </c>
      <c r="F1865" t="str">
        <f t="shared" si="29"/>
        <v>300404.SZ</v>
      </c>
    </row>
    <row r="1866" spans="1:6" x14ac:dyDescent="0.15">
      <c r="A1866" s="2">
        <v>46089</v>
      </c>
      <c r="B1866" s="1" t="s">
        <v>3530</v>
      </c>
      <c r="C1866" s="1" t="s">
        <v>3531</v>
      </c>
      <c r="D1866" t="b">
        <f ca="1">IF(A1866="","",[1]!s_techanal_rcnthigh(B1866,$B$2,1,3))</f>
        <v>0</v>
      </c>
      <c r="E1866">
        <f ca="1">IF(A1866="","",COUNTIF(D$6:D1866,"True"))</f>
        <v>16</v>
      </c>
      <c r="F1866" t="str">
        <f t="shared" si="29"/>
        <v>300405.SZ</v>
      </c>
    </row>
    <row r="1867" spans="1:6" x14ac:dyDescent="0.15">
      <c r="A1867" s="2">
        <v>46089</v>
      </c>
      <c r="B1867" s="1" t="s">
        <v>3532</v>
      </c>
      <c r="C1867" s="1" t="s">
        <v>3533</v>
      </c>
      <c r="D1867" t="b">
        <f ca="1">IF(A1867="","",[1]!s_techanal_rcnthigh(B1867,$B$2,1,3))</f>
        <v>0</v>
      </c>
      <c r="E1867">
        <f ca="1">IF(A1867="","",COUNTIF(D$6:D1867,"True"))</f>
        <v>16</v>
      </c>
      <c r="F1867" t="str">
        <f t="shared" si="29"/>
        <v>300406.SZ</v>
      </c>
    </row>
    <row r="1868" spans="1:6" x14ac:dyDescent="0.15">
      <c r="A1868" s="2">
        <v>46089</v>
      </c>
      <c r="B1868" s="1" t="s">
        <v>3534</v>
      </c>
      <c r="C1868" s="1" t="s">
        <v>3535</v>
      </c>
      <c r="D1868" t="b">
        <f ca="1">IF(A1868="","",[1]!s_techanal_rcnthigh(B1868,$B$2,1,3))</f>
        <v>0</v>
      </c>
      <c r="E1868">
        <f ca="1">IF(A1868="","",COUNTIF(D$6:D1868,"True"))</f>
        <v>16</v>
      </c>
      <c r="F1868" t="str">
        <f t="shared" si="29"/>
        <v>300407.SZ</v>
      </c>
    </row>
    <row r="1869" spans="1:6" x14ac:dyDescent="0.15">
      <c r="A1869" s="2">
        <v>46089</v>
      </c>
      <c r="B1869" s="1" t="s">
        <v>3536</v>
      </c>
      <c r="C1869" s="1" t="s">
        <v>3537</v>
      </c>
      <c r="D1869" t="b">
        <f ca="1">IF(A1869="","",[1]!s_techanal_rcnthigh(B1869,$B$2,1,3))</f>
        <v>0</v>
      </c>
      <c r="E1869">
        <f ca="1">IF(A1869="","",COUNTIF(D$6:D1869,"True"))</f>
        <v>16</v>
      </c>
      <c r="F1869" t="str">
        <f t="shared" si="29"/>
        <v>300408.SZ</v>
      </c>
    </row>
    <row r="1870" spans="1:6" x14ac:dyDescent="0.15">
      <c r="A1870" s="2">
        <v>46089</v>
      </c>
      <c r="B1870" s="1" t="s">
        <v>3538</v>
      </c>
      <c r="C1870" s="1" t="s">
        <v>3539</v>
      </c>
      <c r="D1870" t="b">
        <f ca="1">IF(A1870="","",[1]!s_techanal_rcnthigh(B1870,$B$2,1,3))</f>
        <v>0</v>
      </c>
      <c r="E1870">
        <f ca="1">IF(A1870="","",COUNTIF(D$6:D1870,"True"))</f>
        <v>16</v>
      </c>
      <c r="F1870" t="str">
        <f t="shared" si="29"/>
        <v>300409.SZ</v>
      </c>
    </row>
    <row r="1871" spans="1:6" x14ac:dyDescent="0.15">
      <c r="A1871" s="2">
        <v>46089</v>
      </c>
      <c r="B1871" s="1" t="s">
        <v>3540</v>
      </c>
      <c r="C1871" s="1" t="s">
        <v>3541</v>
      </c>
      <c r="D1871" t="b">
        <f ca="1">IF(A1871="","",[1]!s_techanal_rcnthigh(B1871,$B$2,1,3))</f>
        <v>0</v>
      </c>
      <c r="E1871">
        <f ca="1">IF(A1871="","",COUNTIF(D$6:D1871,"True"))</f>
        <v>16</v>
      </c>
      <c r="F1871" t="str">
        <f t="shared" si="29"/>
        <v>300410.SZ</v>
      </c>
    </row>
    <row r="1872" spans="1:6" x14ac:dyDescent="0.15">
      <c r="A1872" s="2">
        <v>46089</v>
      </c>
      <c r="B1872" s="1" t="s">
        <v>3542</v>
      </c>
      <c r="C1872" s="1" t="s">
        <v>3543</v>
      </c>
      <c r="D1872" t="b">
        <f ca="1">IF(A1872="","",[1]!s_techanal_rcnthigh(B1872,$B$2,1,3))</f>
        <v>0</v>
      </c>
      <c r="E1872">
        <f ca="1">IF(A1872="","",COUNTIF(D$6:D1872,"True"))</f>
        <v>16</v>
      </c>
      <c r="F1872" t="str">
        <f t="shared" si="29"/>
        <v>300411.SZ</v>
      </c>
    </row>
    <row r="1873" spans="1:6" x14ac:dyDescent="0.15">
      <c r="A1873" s="2">
        <v>46089</v>
      </c>
      <c r="B1873" s="1" t="s">
        <v>3544</v>
      </c>
      <c r="C1873" s="1" t="s">
        <v>3545</v>
      </c>
      <c r="D1873" t="b">
        <f ca="1">IF(A1873="","",[1]!s_techanal_rcnthigh(B1873,$B$2,1,3))</f>
        <v>0</v>
      </c>
      <c r="E1873">
        <f ca="1">IF(A1873="","",COUNTIF(D$6:D1873,"True"))</f>
        <v>16</v>
      </c>
      <c r="F1873" t="str">
        <f t="shared" si="29"/>
        <v>300412.SZ</v>
      </c>
    </row>
    <row r="1874" spans="1:6" x14ac:dyDescent="0.15">
      <c r="A1874" s="2">
        <v>46089</v>
      </c>
      <c r="B1874" s="1" t="s">
        <v>3546</v>
      </c>
      <c r="C1874" s="1" t="s">
        <v>3547</v>
      </c>
      <c r="D1874" t="b">
        <f ca="1">IF(A1874="","",[1]!s_techanal_rcnthigh(B1874,$B$2,1,3))</f>
        <v>0</v>
      </c>
      <c r="E1874">
        <f ca="1">IF(A1874="","",COUNTIF(D$6:D1874,"True"))</f>
        <v>16</v>
      </c>
      <c r="F1874" t="str">
        <f t="shared" si="29"/>
        <v>300413.SZ</v>
      </c>
    </row>
    <row r="1875" spans="1:6" x14ac:dyDescent="0.15">
      <c r="A1875" s="2">
        <v>46089</v>
      </c>
      <c r="B1875" s="1" t="s">
        <v>3548</v>
      </c>
      <c r="C1875" s="1" t="s">
        <v>3549</v>
      </c>
      <c r="D1875" t="b">
        <f ca="1">IF(A1875="","",[1]!s_techanal_rcnthigh(B1875,$B$2,1,3))</f>
        <v>0</v>
      </c>
      <c r="E1875">
        <f ca="1">IF(A1875="","",COUNTIF(D$6:D1875,"True"))</f>
        <v>16</v>
      </c>
      <c r="F1875" t="str">
        <f t="shared" si="29"/>
        <v>300414.SZ</v>
      </c>
    </row>
    <row r="1876" spans="1:6" x14ac:dyDescent="0.15">
      <c r="A1876" s="2">
        <v>46089</v>
      </c>
      <c r="B1876" s="1" t="s">
        <v>3550</v>
      </c>
      <c r="C1876" s="1" t="s">
        <v>3551</v>
      </c>
      <c r="D1876" t="b">
        <f ca="1">IF(A1876="","",[1]!s_techanal_rcnthigh(B1876,$B$2,1,3))</f>
        <v>0</v>
      </c>
      <c r="E1876">
        <f ca="1">IF(A1876="","",COUNTIF(D$6:D1876,"True"))</f>
        <v>16</v>
      </c>
      <c r="F1876" t="str">
        <f t="shared" si="29"/>
        <v>300415.SZ</v>
      </c>
    </row>
    <row r="1877" spans="1:6" x14ac:dyDescent="0.15">
      <c r="A1877" s="2">
        <v>46089</v>
      </c>
      <c r="B1877" s="1" t="s">
        <v>3552</v>
      </c>
      <c r="C1877" s="1" t="s">
        <v>3553</v>
      </c>
      <c r="D1877" t="b">
        <f ca="1">IF(A1877="","",[1]!s_techanal_rcnthigh(B1877,$B$2,1,3))</f>
        <v>0</v>
      </c>
      <c r="E1877">
        <f ca="1">IF(A1877="","",COUNTIF(D$6:D1877,"True"))</f>
        <v>16</v>
      </c>
      <c r="F1877" t="str">
        <f t="shared" si="29"/>
        <v>300416.SZ</v>
      </c>
    </row>
    <row r="1878" spans="1:6" x14ac:dyDescent="0.15">
      <c r="A1878" s="2">
        <v>46089</v>
      </c>
      <c r="B1878" s="1" t="s">
        <v>3554</v>
      </c>
      <c r="C1878" s="1" t="s">
        <v>3555</v>
      </c>
      <c r="D1878" t="b">
        <f ca="1">IF(A1878="","",[1]!s_techanal_rcnthigh(B1878,$B$2,1,3))</f>
        <v>0</v>
      </c>
      <c r="E1878">
        <f ca="1">IF(A1878="","",COUNTIF(D$6:D1878,"True"))</f>
        <v>16</v>
      </c>
      <c r="F1878" t="str">
        <f t="shared" si="29"/>
        <v>300417.SZ</v>
      </c>
    </row>
    <row r="1879" spans="1:6" x14ac:dyDescent="0.15">
      <c r="A1879" s="2">
        <v>46089</v>
      </c>
      <c r="B1879" s="1" t="s">
        <v>3556</v>
      </c>
      <c r="C1879" s="1" t="s">
        <v>3557</v>
      </c>
      <c r="D1879" t="b">
        <f ca="1">IF(A1879="","",[1]!s_techanal_rcnthigh(B1879,$B$2,1,3))</f>
        <v>0</v>
      </c>
      <c r="E1879">
        <f ca="1">IF(A1879="","",COUNTIF(D$6:D1879,"True"))</f>
        <v>16</v>
      </c>
      <c r="F1879" t="str">
        <f t="shared" si="29"/>
        <v>300418.SZ</v>
      </c>
    </row>
    <row r="1880" spans="1:6" x14ac:dyDescent="0.15">
      <c r="A1880" s="2">
        <v>46089</v>
      </c>
      <c r="B1880" s="1" t="s">
        <v>3558</v>
      </c>
      <c r="C1880" s="1" t="s">
        <v>10214</v>
      </c>
      <c r="D1880" t="b">
        <f ca="1">IF(A1880="","",[1]!s_techanal_rcnthigh(B1880,$B$2,1,3))</f>
        <v>0</v>
      </c>
      <c r="E1880">
        <f ca="1">IF(A1880="","",COUNTIF(D$6:D1880,"True"))</f>
        <v>16</v>
      </c>
      <c r="F1880" t="str">
        <f t="shared" si="29"/>
        <v>300419.SZ</v>
      </c>
    </row>
    <row r="1881" spans="1:6" x14ac:dyDescent="0.15">
      <c r="A1881" s="2">
        <v>46089</v>
      </c>
      <c r="B1881" s="1" t="s">
        <v>3559</v>
      </c>
      <c r="C1881" s="1" t="s">
        <v>10215</v>
      </c>
      <c r="D1881" t="b">
        <f ca="1">IF(A1881="","",[1]!s_techanal_rcnthigh(B1881,$B$2,1,3))</f>
        <v>0</v>
      </c>
      <c r="E1881">
        <f ca="1">IF(A1881="","",COUNTIF(D$6:D1881,"True"))</f>
        <v>16</v>
      </c>
      <c r="F1881" t="str">
        <f t="shared" si="29"/>
        <v>300420.SZ</v>
      </c>
    </row>
    <row r="1882" spans="1:6" x14ac:dyDescent="0.15">
      <c r="A1882" s="2">
        <v>46089</v>
      </c>
      <c r="B1882" s="1" t="s">
        <v>3560</v>
      </c>
      <c r="C1882" s="1" t="s">
        <v>3561</v>
      </c>
      <c r="D1882" t="b">
        <f ca="1">IF(A1882="","",[1]!s_techanal_rcnthigh(B1882,$B$2,1,3))</f>
        <v>0</v>
      </c>
      <c r="E1882">
        <f ca="1">IF(A1882="","",COUNTIF(D$6:D1882,"True"))</f>
        <v>16</v>
      </c>
      <c r="F1882" t="str">
        <f t="shared" si="29"/>
        <v>300421.SZ</v>
      </c>
    </row>
    <row r="1883" spans="1:6" x14ac:dyDescent="0.15">
      <c r="A1883" s="2">
        <v>46089</v>
      </c>
      <c r="B1883" s="1" t="s">
        <v>3562</v>
      </c>
      <c r="C1883" s="1" t="s">
        <v>3563</v>
      </c>
      <c r="D1883" t="b">
        <f ca="1">IF(A1883="","",[1]!s_techanal_rcnthigh(B1883,$B$2,1,3))</f>
        <v>0</v>
      </c>
      <c r="E1883">
        <f ca="1">IF(A1883="","",COUNTIF(D$6:D1883,"True"))</f>
        <v>16</v>
      </c>
      <c r="F1883" t="str">
        <f t="shared" si="29"/>
        <v>300422.SZ</v>
      </c>
    </row>
    <row r="1884" spans="1:6" x14ac:dyDescent="0.15">
      <c r="A1884" s="2">
        <v>46089</v>
      </c>
      <c r="B1884" s="1" t="s">
        <v>3564</v>
      </c>
      <c r="C1884" s="1" t="s">
        <v>3565</v>
      </c>
      <c r="D1884" t="b">
        <f ca="1">IF(A1884="","",[1]!s_techanal_rcnthigh(B1884,$B$2,1,3))</f>
        <v>0</v>
      </c>
      <c r="E1884">
        <f ca="1">IF(A1884="","",COUNTIF(D$6:D1884,"True"))</f>
        <v>16</v>
      </c>
      <c r="F1884" t="str">
        <f t="shared" si="29"/>
        <v>300423.SZ</v>
      </c>
    </row>
    <row r="1885" spans="1:6" x14ac:dyDescent="0.15">
      <c r="A1885" s="2">
        <v>46089</v>
      </c>
      <c r="B1885" s="1" t="s">
        <v>3566</v>
      </c>
      <c r="C1885" s="1" t="s">
        <v>3567</v>
      </c>
      <c r="D1885" t="b">
        <f ca="1">IF(A1885="","",[1]!s_techanal_rcnthigh(B1885,$B$2,1,3))</f>
        <v>0</v>
      </c>
      <c r="E1885">
        <f ca="1">IF(A1885="","",COUNTIF(D$6:D1885,"True"))</f>
        <v>16</v>
      </c>
      <c r="F1885" t="str">
        <f t="shared" si="29"/>
        <v>300424.SZ</v>
      </c>
    </row>
    <row r="1886" spans="1:6" x14ac:dyDescent="0.15">
      <c r="A1886" s="2">
        <v>46089</v>
      </c>
      <c r="B1886" s="1" t="s">
        <v>3568</v>
      </c>
      <c r="C1886" s="1" t="s">
        <v>3569</v>
      </c>
      <c r="D1886" t="b">
        <f ca="1">IF(A1886="","",[1]!s_techanal_rcnthigh(B1886,$B$2,1,3))</f>
        <v>0</v>
      </c>
      <c r="E1886">
        <f ca="1">IF(A1886="","",COUNTIF(D$6:D1886,"True"))</f>
        <v>16</v>
      </c>
      <c r="F1886" t="str">
        <f t="shared" si="29"/>
        <v>300425.SZ</v>
      </c>
    </row>
    <row r="1887" spans="1:6" x14ac:dyDescent="0.15">
      <c r="A1887" s="2">
        <v>46089</v>
      </c>
      <c r="B1887" s="1" t="s">
        <v>3570</v>
      </c>
      <c r="C1887" s="1" t="s">
        <v>10216</v>
      </c>
      <c r="D1887" t="b">
        <f ca="1">IF(A1887="","",[1]!s_techanal_rcnthigh(B1887,$B$2,1,3))</f>
        <v>0</v>
      </c>
      <c r="E1887">
        <f ca="1">IF(A1887="","",COUNTIF(D$6:D1887,"True"))</f>
        <v>16</v>
      </c>
      <c r="F1887" t="str">
        <f t="shared" si="29"/>
        <v>300426.SZ</v>
      </c>
    </row>
    <row r="1888" spans="1:6" x14ac:dyDescent="0.15">
      <c r="A1888" s="2">
        <v>46089</v>
      </c>
      <c r="B1888" s="1" t="s">
        <v>3571</v>
      </c>
      <c r="C1888" s="1" t="s">
        <v>10217</v>
      </c>
      <c r="D1888" t="b">
        <f ca="1">IF(A1888="","",[1]!s_techanal_rcnthigh(B1888,$B$2,1,3))</f>
        <v>0</v>
      </c>
      <c r="E1888">
        <f ca="1">IF(A1888="","",COUNTIF(D$6:D1888,"True"))</f>
        <v>16</v>
      </c>
      <c r="F1888" t="str">
        <f t="shared" si="29"/>
        <v>300427.SZ</v>
      </c>
    </row>
    <row r="1889" spans="1:6" x14ac:dyDescent="0.15">
      <c r="A1889" s="2">
        <v>46089</v>
      </c>
      <c r="B1889" s="1" t="s">
        <v>3572</v>
      </c>
      <c r="C1889" s="1" t="s">
        <v>3573</v>
      </c>
      <c r="D1889" t="b">
        <f ca="1">IF(A1889="","",[1]!s_techanal_rcnthigh(B1889,$B$2,1,3))</f>
        <v>0</v>
      </c>
      <c r="E1889">
        <f ca="1">IF(A1889="","",COUNTIF(D$6:D1889,"True"))</f>
        <v>16</v>
      </c>
      <c r="F1889" t="str">
        <f t="shared" si="29"/>
        <v>300428.SZ</v>
      </c>
    </row>
    <row r="1890" spans="1:6" x14ac:dyDescent="0.15">
      <c r="A1890" s="2">
        <v>46089</v>
      </c>
      <c r="B1890" s="1" t="s">
        <v>3574</v>
      </c>
      <c r="C1890" s="1" t="s">
        <v>3575</v>
      </c>
      <c r="D1890" t="b">
        <f ca="1">IF(A1890="","",[1]!s_techanal_rcnthigh(B1890,$B$2,1,3))</f>
        <v>0</v>
      </c>
      <c r="E1890">
        <f ca="1">IF(A1890="","",COUNTIF(D$6:D1890,"True"))</f>
        <v>16</v>
      </c>
      <c r="F1890" t="str">
        <f t="shared" si="29"/>
        <v>300429.SZ</v>
      </c>
    </row>
    <row r="1891" spans="1:6" x14ac:dyDescent="0.15">
      <c r="A1891" s="2">
        <v>46089</v>
      </c>
      <c r="B1891" s="1" t="s">
        <v>3576</v>
      </c>
      <c r="C1891" s="1" t="s">
        <v>3577</v>
      </c>
      <c r="D1891" t="b">
        <f ca="1">IF(A1891="","",[1]!s_techanal_rcnthigh(B1891,$B$2,1,3))</f>
        <v>0</v>
      </c>
      <c r="E1891">
        <f ca="1">IF(A1891="","",COUNTIF(D$6:D1891,"True"))</f>
        <v>16</v>
      </c>
      <c r="F1891" t="str">
        <f t="shared" si="29"/>
        <v>300430.SZ</v>
      </c>
    </row>
    <row r="1892" spans="1:6" x14ac:dyDescent="0.15">
      <c r="A1892" s="2">
        <v>46089</v>
      </c>
      <c r="B1892" s="1" t="s">
        <v>3578</v>
      </c>
      <c r="C1892" s="1" t="s">
        <v>3579</v>
      </c>
      <c r="D1892" t="b">
        <f ca="1">IF(A1892="","",[1]!s_techanal_rcnthigh(B1892,$B$2,1,3))</f>
        <v>0</v>
      </c>
      <c r="E1892">
        <f ca="1">IF(A1892="","",COUNTIF(D$6:D1892,"True"))</f>
        <v>16</v>
      </c>
      <c r="F1892" t="str">
        <f t="shared" si="29"/>
        <v>300432.SZ</v>
      </c>
    </row>
    <row r="1893" spans="1:6" x14ac:dyDescent="0.15">
      <c r="A1893" s="2">
        <v>46089</v>
      </c>
      <c r="B1893" s="1" t="s">
        <v>3580</v>
      </c>
      <c r="C1893" s="1" t="s">
        <v>3581</v>
      </c>
      <c r="D1893" t="b">
        <f ca="1">IF(A1893="","",[1]!s_techanal_rcnthigh(B1893,$B$2,1,3))</f>
        <v>0</v>
      </c>
      <c r="E1893">
        <f ca="1">IF(A1893="","",COUNTIF(D$6:D1893,"True"))</f>
        <v>16</v>
      </c>
      <c r="F1893" t="str">
        <f t="shared" si="29"/>
        <v>300433.SZ</v>
      </c>
    </row>
    <row r="1894" spans="1:6" x14ac:dyDescent="0.15">
      <c r="A1894" s="2">
        <v>46089</v>
      </c>
      <c r="B1894" s="1" t="s">
        <v>3582</v>
      </c>
      <c r="C1894" s="1" t="s">
        <v>3583</v>
      </c>
      <c r="D1894" t="b">
        <f ca="1">IF(A1894="","",[1]!s_techanal_rcnthigh(B1894,$B$2,1,3))</f>
        <v>0</v>
      </c>
      <c r="E1894">
        <f ca="1">IF(A1894="","",COUNTIF(D$6:D1894,"True"))</f>
        <v>16</v>
      </c>
      <c r="F1894" t="str">
        <f t="shared" si="29"/>
        <v>300434.SZ</v>
      </c>
    </row>
    <row r="1895" spans="1:6" x14ac:dyDescent="0.15">
      <c r="A1895" s="2">
        <v>46089</v>
      </c>
      <c r="B1895" s="1" t="s">
        <v>3584</v>
      </c>
      <c r="C1895" s="1" t="s">
        <v>3585</v>
      </c>
      <c r="D1895" t="b">
        <f ca="1">IF(A1895="","",[1]!s_techanal_rcnthigh(B1895,$B$2,1,3))</f>
        <v>0</v>
      </c>
      <c r="E1895">
        <f ca="1">IF(A1895="","",COUNTIF(D$6:D1895,"True"))</f>
        <v>16</v>
      </c>
      <c r="F1895" t="str">
        <f t="shared" si="29"/>
        <v>300435.SZ</v>
      </c>
    </row>
    <row r="1896" spans="1:6" x14ac:dyDescent="0.15">
      <c r="A1896" s="2">
        <v>46089</v>
      </c>
      <c r="B1896" s="1" t="s">
        <v>3586</v>
      </c>
      <c r="C1896" s="1" t="s">
        <v>3587</v>
      </c>
      <c r="D1896" t="b">
        <f ca="1">IF(A1896="","",[1]!s_techanal_rcnthigh(B1896,$B$2,1,3))</f>
        <v>0</v>
      </c>
      <c r="E1896">
        <f ca="1">IF(A1896="","",COUNTIF(D$6:D1896,"True"))</f>
        <v>16</v>
      </c>
      <c r="F1896" t="str">
        <f t="shared" si="29"/>
        <v>300436.SZ</v>
      </c>
    </row>
    <row r="1897" spans="1:6" x14ac:dyDescent="0.15">
      <c r="A1897" s="2">
        <v>46089</v>
      </c>
      <c r="B1897" s="1" t="s">
        <v>3588</v>
      </c>
      <c r="C1897" s="1" t="s">
        <v>3589</v>
      </c>
      <c r="D1897" t="b">
        <f ca="1">IF(A1897="","",[1]!s_techanal_rcnthigh(B1897,$B$2,1,3))</f>
        <v>0</v>
      </c>
      <c r="E1897">
        <f ca="1">IF(A1897="","",COUNTIF(D$6:D1897,"True"))</f>
        <v>16</v>
      </c>
      <c r="F1897" t="str">
        <f t="shared" si="29"/>
        <v>300437.SZ</v>
      </c>
    </row>
    <row r="1898" spans="1:6" x14ac:dyDescent="0.15">
      <c r="A1898" s="2">
        <v>46089</v>
      </c>
      <c r="B1898" s="1" t="s">
        <v>3590</v>
      </c>
      <c r="C1898" s="1" t="s">
        <v>3591</v>
      </c>
      <c r="D1898" t="b">
        <f ca="1">IF(A1898="","",[1]!s_techanal_rcnthigh(B1898,$B$2,1,3))</f>
        <v>0</v>
      </c>
      <c r="E1898">
        <f ca="1">IF(A1898="","",COUNTIF(D$6:D1898,"True"))</f>
        <v>16</v>
      </c>
      <c r="F1898" t="str">
        <f t="shared" si="29"/>
        <v>300438.SZ</v>
      </c>
    </row>
    <row r="1899" spans="1:6" x14ac:dyDescent="0.15">
      <c r="A1899" s="2">
        <v>46089</v>
      </c>
      <c r="B1899" s="1" t="s">
        <v>3592</v>
      </c>
      <c r="C1899" s="1" t="s">
        <v>3593</v>
      </c>
      <c r="D1899" t="b">
        <f ca="1">IF(A1899="","",[1]!s_techanal_rcnthigh(B1899,$B$2,1,3))</f>
        <v>0</v>
      </c>
      <c r="E1899">
        <f ca="1">IF(A1899="","",COUNTIF(D$6:D1899,"True"))</f>
        <v>16</v>
      </c>
      <c r="F1899" t="str">
        <f t="shared" si="29"/>
        <v>300439.SZ</v>
      </c>
    </row>
    <row r="1900" spans="1:6" x14ac:dyDescent="0.15">
      <c r="A1900" s="2">
        <v>46089</v>
      </c>
      <c r="B1900" s="1" t="s">
        <v>3594</v>
      </c>
      <c r="C1900" s="1" t="s">
        <v>3595</v>
      </c>
      <c r="D1900" t="b">
        <f ca="1">IF(A1900="","",[1]!s_techanal_rcnthigh(B1900,$B$2,1,3))</f>
        <v>0</v>
      </c>
      <c r="E1900">
        <f ca="1">IF(A1900="","",COUNTIF(D$6:D1900,"True"))</f>
        <v>16</v>
      </c>
      <c r="F1900" t="str">
        <f t="shared" si="29"/>
        <v>300440.SZ</v>
      </c>
    </row>
    <row r="1901" spans="1:6" x14ac:dyDescent="0.15">
      <c r="A1901" s="2">
        <v>46089</v>
      </c>
      <c r="B1901" s="1" t="s">
        <v>3596</v>
      </c>
      <c r="C1901" s="1" t="s">
        <v>3597</v>
      </c>
      <c r="D1901" t="b">
        <f ca="1">IF(A1901="","",[1]!s_techanal_rcnthigh(B1901,$B$2,1,3))</f>
        <v>0</v>
      </c>
      <c r="E1901">
        <f ca="1">IF(A1901="","",COUNTIF(D$6:D1901,"True"))</f>
        <v>16</v>
      </c>
      <c r="F1901" t="str">
        <f t="shared" si="29"/>
        <v>300441.SZ</v>
      </c>
    </row>
    <row r="1902" spans="1:6" x14ac:dyDescent="0.15">
      <c r="A1902" s="2">
        <v>46089</v>
      </c>
      <c r="B1902" s="1" t="s">
        <v>3598</v>
      </c>
      <c r="C1902" s="1" t="s">
        <v>3599</v>
      </c>
      <c r="D1902" t="b">
        <f ca="1">IF(A1902="","",[1]!s_techanal_rcnthigh(B1902,$B$2,1,3))</f>
        <v>0</v>
      </c>
      <c r="E1902">
        <f ca="1">IF(A1902="","",COUNTIF(D$6:D1902,"True"))</f>
        <v>16</v>
      </c>
      <c r="F1902" t="str">
        <f t="shared" si="29"/>
        <v>300442.SZ</v>
      </c>
    </row>
    <row r="1903" spans="1:6" x14ac:dyDescent="0.15">
      <c r="A1903" s="2">
        <v>46089</v>
      </c>
      <c r="B1903" s="1" t="s">
        <v>3600</v>
      </c>
      <c r="C1903" s="1" t="s">
        <v>3601</v>
      </c>
      <c r="D1903" t="b">
        <f ca="1">IF(A1903="","",[1]!s_techanal_rcnthigh(B1903,$B$2,1,3))</f>
        <v>0</v>
      </c>
      <c r="E1903">
        <f ca="1">IF(A1903="","",COUNTIF(D$6:D1903,"True"))</f>
        <v>16</v>
      </c>
      <c r="F1903" t="str">
        <f t="shared" si="29"/>
        <v>300443.SZ</v>
      </c>
    </row>
    <row r="1904" spans="1:6" x14ac:dyDescent="0.15">
      <c r="A1904" s="2">
        <v>46089</v>
      </c>
      <c r="B1904" s="1" t="s">
        <v>3602</v>
      </c>
      <c r="C1904" s="1" t="s">
        <v>3603</v>
      </c>
      <c r="D1904" t="b">
        <f ca="1">IF(A1904="","",[1]!s_techanal_rcnthigh(B1904,$B$2,1,3))</f>
        <v>0</v>
      </c>
      <c r="E1904">
        <f ca="1">IF(A1904="","",COUNTIF(D$6:D1904,"True"))</f>
        <v>16</v>
      </c>
      <c r="F1904" t="str">
        <f t="shared" si="29"/>
        <v>300444.SZ</v>
      </c>
    </row>
    <row r="1905" spans="1:6" x14ac:dyDescent="0.15">
      <c r="A1905" s="2">
        <v>46089</v>
      </c>
      <c r="B1905" s="1" t="s">
        <v>3604</v>
      </c>
      <c r="C1905" s="1" t="s">
        <v>3605</v>
      </c>
      <c r="D1905" t="b">
        <f ca="1">IF(A1905="","",[1]!s_techanal_rcnthigh(B1905,$B$2,1,3))</f>
        <v>0</v>
      </c>
      <c r="E1905">
        <f ca="1">IF(A1905="","",COUNTIF(D$6:D1905,"True"))</f>
        <v>16</v>
      </c>
      <c r="F1905" t="str">
        <f t="shared" si="29"/>
        <v>300445.SZ</v>
      </c>
    </row>
    <row r="1906" spans="1:6" x14ac:dyDescent="0.15">
      <c r="A1906" s="2">
        <v>46089</v>
      </c>
      <c r="B1906" s="1" t="s">
        <v>3606</v>
      </c>
      <c r="C1906" s="1" t="s">
        <v>3607</v>
      </c>
      <c r="D1906" t="b">
        <f ca="1">IF(A1906="","",[1]!s_techanal_rcnthigh(B1906,$B$2,1,3))</f>
        <v>0</v>
      </c>
      <c r="E1906">
        <f ca="1">IF(A1906="","",COUNTIF(D$6:D1906,"True"))</f>
        <v>16</v>
      </c>
      <c r="F1906" t="str">
        <f t="shared" si="29"/>
        <v>300446.SZ</v>
      </c>
    </row>
    <row r="1907" spans="1:6" x14ac:dyDescent="0.15">
      <c r="A1907" s="2">
        <v>46089</v>
      </c>
      <c r="B1907" s="1" t="s">
        <v>3608</v>
      </c>
      <c r="C1907" s="1" t="s">
        <v>3609</v>
      </c>
      <c r="D1907" t="b">
        <f ca="1">IF(A1907="","",[1]!s_techanal_rcnthigh(B1907,$B$2,1,3))</f>
        <v>0</v>
      </c>
      <c r="E1907">
        <f ca="1">IF(A1907="","",COUNTIF(D$6:D1907,"True"))</f>
        <v>16</v>
      </c>
      <c r="F1907" t="str">
        <f t="shared" si="29"/>
        <v>300447.SZ</v>
      </c>
    </row>
    <row r="1908" spans="1:6" x14ac:dyDescent="0.15">
      <c r="A1908" s="2">
        <v>46089</v>
      </c>
      <c r="B1908" s="1" t="s">
        <v>3610</v>
      </c>
      <c r="C1908" s="1" t="s">
        <v>3611</v>
      </c>
      <c r="D1908" t="b">
        <f ca="1">IF(A1908="","",[1]!s_techanal_rcnthigh(B1908,$B$2,1,3))</f>
        <v>0</v>
      </c>
      <c r="E1908">
        <f ca="1">IF(A1908="","",COUNTIF(D$6:D1908,"True"))</f>
        <v>16</v>
      </c>
      <c r="F1908" t="str">
        <f t="shared" si="29"/>
        <v>300448.SZ</v>
      </c>
    </row>
    <row r="1909" spans="1:6" x14ac:dyDescent="0.15">
      <c r="A1909" s="2">
        <v>46089</v>
      </c>
      <c r="B1909" s="1" t="s">
        <v>3612</v>
      </c>
      <c r="C1909" s="1" t="s">
        <v>3613</v>
      </c>
      <c r="D1909" t="b">
        <f ca="1">IF(A1909="","",[1]!s_techanal_rcnthigh(B1909,$B$2,1,3))</f>
        <v>0</v>
      </c>
      <c r="E1909">
        <f ca="1">IF(A1909="","",COUNTIF(D$6:D1909,"True"))</f>
        <v>16</v>
      </c>
      <c r="F1909" t="str">
        <f t="shared" si="29"/>
        <v>300449.SZ</v>
      </c>
    </row>
    <row r="1910" spans="1:6" x14ac:dyDescent="0.15">
      <c r="A1910" s="2">
        <v>46089</v>
      </c>
      <c r="B1910" s="1" t="s">
        <v>3614</v>
      </c>
      <c r="C1910" s="1" t="s">
        <v>3615</v>
      </c>
      <c r="D1910" t="b">
        <f ca="1">IF(A1910="","",[1]!s_techanal_rcnthigh(B1910,$B$2,1,3))</f>
        <v>0</v>
      </c>
      <c r="E1910">
        <f ca="1">IF(A1910="","",COUNTIF(D$6:D1910,"True"))</f>
        <v>16</v>
      </c>
      <c r="F1910" t="str">
        <f t="shared" si="29"/>
        <v>300450.SZ</v>
      </c>
    </row>
    <row r="1911" spans="1:6" x14ac:dyDescent="0.15">
      <c r="A1911" s="2">
        <v>46089</v>
      </c>
      <c r="B1911" s="1" t="s">
        <v>3616</v>
      </c>
      <c r="C1911" s="1" t="s">
        <v>3617</v>
      </c>
      <c r="D1911" t="b">
        <f ca="1">IF(A1911="","",[1]!s_techanal_rcnthigh(B1911,$B$2,1,3))</f>
        <v>0</v>
      </c>
      <c r="E1911">
        <f ca="1">IF(A1911="","",COUNTIF(D$6:D1911,"True"))</f>
        <v>16</v>
      </c>
      <c r="F1911" t="str">
        <f t="shared" si="29"/>
        <v>300451.SZ</v>
      </c>
    </row>
    <row r="1912" spans="1:6" x14ac:dyDescent="0.15">
      <c r="A1912" s="2">
        <v>46089</v>
      </c>
      <c r="B1912" s="1" t="s">
        <v>3618</v>
      </c>
      <c r="C1912" s="1" t="s">
        <v>3619</v>
      </c>
      <c r="D1912" t="b">
        <f ca="1">IF(A1912="","",[1]!s_techanal_rcnthigh(B1912,$B$2,1,3))</f>
        <v>0</v>
      </c>
      <c r="E1912">
        <f ca="1">IF(A1912="","",COUNTIF(D$6:D1912,"True"))</f>
        <v>16</v>
      </c>
      <c r="F1912" t="str">
        <f t="shared" si="29"/>
        <v>300452.SZ</v>
      </c>
    </row>
    <row r="1913" spans="1:6" x14ac:dyDescent="0.15">
      <c r="A1913" s="2">
        <v>46089</v>
      </c>
      <c r="B1913" s="1" t="s">
        <v>3620</v>
      </c>
      <c r="C1913" s="1" t="s">
        <v>3621</v>
      </c>
      <c r="D1913" t="b">
        <f ca="1">IF(A1913="","",[1]!s_techanal_rcnthigh(B1913,$B$2,1,3))</f>
        <v>0</v>
      </c>
      <c r="E1913">
        <f ca="1">IF(A1913="","",COUNTIF(D$6:D1913,"True"))</f>
        <v>16</v>
      </c>
      <c r="F1913" t="str">
        <f t="shared" si="29"/>
        <v>300453.SZ</v>
      </c>
    </row>
    <row r="1914" spans="1:6" x14ac:dyDescent="0.15">
      <c r="A1914" s="2">
        <v>46089</v>
      </c>
      <c r="B1914" s="1" t="s">
        <v>3622</v>
      </c>
      <c r="C1914" s="1" t="s">
        <v>3623</v>
      </c>
      <c r="D1914" t="b">
        <f ca="1">IF(A1914="","",[1]!s_techanal_rcnthigh(B1914,$B$2,1,3))</f>
        <v>0</v>
      </c>
      <c r="E1914">
        <f ca="1">IF(A1914="","",COUNTIF(D$6:D1914,"True"))</f>
        <v>16</v>
      </c>
      <c r="F1914" t="str">
        <f t="shared" si="29"/>
        <v>300454.SZ</v>
      </c>
    </row>
    <row r="1915" spans="1:6" x14ac:dyDescent="0.15">
      <c r="A1915" s="2">
        <v>46089</v>
      </c>
      <c r="B1915" s="1" t="s">
        <v>3624</v>
      </c>
      <c r="C1915" s="1" t="s">
        <v>3625</v>
      </c>
      <c r="D1915" t="b">
        <f ca="1">IF(A1915="","",[1]!s_techanal_rcnthigh(B1915,$B$2,1,3))</f>
        <v>0</v>
      </c>
      <c r="E1915">
        <f ca="1">IF(A1915="","",COUNTIF(D$6:D1915,"True"))</f>
        <v>16</v>
      </c>
      <c r="F1915" t="str">
        <f t="shared" si="29"/>
        <v>300455.SZ</v>
      </c>
    </row>
    <row r="1916" spans="1:6" x14ac:dyDescent="0.15">
      <c r="A1916" s="2">
        <v>46089</v>
      </c>
      <c r="B1916" s="1" t="s">
        <v>3626</v>
      </c>
      <c r="C1916" s="1" t="s">
        <v>3627</v>
      </c>
      <c r="D1916" t="b">
        <f ca="1">IF(A1916="","",[1]!s_techanal_rcnthigh(B1916,$B$2,1,3))</f>
        <v>0</v>
      </c>
      <c r="E1916">
        <f ca="1">IF(A1916="","",COUNTIF(D$6:D1916,"True"))</f>
        <v>16</v>
      </c>
      <c r="F1916" t="str">
        <f t="shared" si="29"/>
        <v>300456.SZ</v>
      </c>
    </row>
    <row r="1917" spans="1:6" x14ac:dyDescent="0.15">
      <c r="A1917" s="2">
        <v>46089</v>
      </c>
      <c r="B1917" s="1" t="s">
        <v>3628</v>
      </c>
      <c r="C1917" s="1" t="s">
        <v>3629</v>
      </c>
      <c r="D1917" t="b">
        <f ca="1">IF(A1917="","",[1]!s_techanal_rcnthigh(B1917,$B$2,1,3))</f>
        <v>0</v>
      </c>
      <c r="E1917">
        <f ca="1">IF(A1917="","",COUNTIF(D$6:D1917,"True"))</f>
        <v>16</v>
      </c>
      <c r="F1917" t="str">
        <f t="shared" si="29"/>
        <v>300457.SZ</v>
      </c>
    </row>
    <row r="1918" spans="1:6" x14ac:dyDescent="0.15">
      <c r="A1918" s="2">
        <v>46089</v>
      </c>
      <c r="B1918" s="1" t="s">
        <v>3630</v>
      </c>
      <c r="C1918" s="1" t="s">
        <v>3631</v>
      </c>
      <c r="D1918" t="b">
        <f ca="1">IF(A1918="","",[1]!s_techanal_rcnthigh(B1918,$B$2,1,3))</f>
        <v>0</v>
      </c>
      <c r="E1918">
        <f ca="1">IF(A1918="","",COUNTIF(D$6:D1918,"True"))</f>
        <v>16</v>
      </c>
      <c r="F1918" t="str">
        <f t="shared" si="29"/>
        <v>300458.SZ</v>
      </c>
    </row>
    <row r="1919" spans="1:6" x14ac:dyDescent="0.15">
      <c r="A1919" s="2">
        <v>46089</v>
      </c>
      <c r="B1919" s="1" t="s">
        <v>3632</v>
      </c>
      <c r="C1919" s="1" t="s">
        <v>3633</v>
      </c>
      <c r="D1919" t="b">
        <f ca="1">IF(A1919="","",[1]!s_techanal_rcnthigh(B1919,$B$2,1,3))</f>
        <v>0</v>
      </c>
      <c r="E1919">
        <f ca="1">IF(A1919="","",COUNTIF(D$6:D1919,"True"))</f>
        <v>16</v>
      </c>
      <c r="F1919" t="str">
        <f t="shared" si="29"/>
        <v>300459.SZ</v>
      </c>
    </row>
    <row r="1920" spans="1:6" x14ac:dyDescent="0.15">
      <c r="A1920" s="2">
        <v>46089</v>
      </c>
      <c r="B1920" s="1" t="s">
        <v>3634</v>
      </c>
      <c r="C1920" s="1" t="s">
        <v>10218</v>
      </c>
      <c r="D1920" t="b">
        <f ca="1">IF(A1920="","",[1]!s_techanal_rcnthigh(B1920,$B$2,1,3))</f>
        <v>0</v>
      </c>
      <c r="E1920">
        <f ca="1">IF(A1920="","",COUNTIF(D$6:D1920,"True"))</f>
        <v>16</v>
      </c>
      <c r="F1920" t="str">
        <f t="shared" si="29"/>
        <v>300460.SZ</v>
      </c>
    </row>
    <row r="1921" spans="1:6" x14ac:dyDescent="0.15">
      <c r="A1921" s="2">
        <v>46089</v>
      </c>
      <c r="B1921" s="1" t="s">
        <v>3635</v>
      </c>
      <c r="C1921" s="1" t="s">
        <v>3636</v>
      </c>
      <c r="D1921" t="b">
        <f ca="1">IF(A1921="","",[1]!s_techanal_rcnthigh(B1921,$B$2,1,3))</f>
        <v>0</v>
      </c>
      <c r="E1921">
        <f ca="1">IF(A1921="","",COUNTIF(D$6:D1921,"True"))</f>
        <v>16</v>
      </c>
      <c r="F1921" t="str">
        <f t="shared" si="29"/>
        <v>300461.SZ</v>
      </c>
    </row>
    <row r="1922" spans="1:6" x14ac:dyDescent="0.15">
      <c r="A1922" s="2">
        <v>46089</v>
      </c>
      <c r="B1922" s="1" t="s">
        <v>3637</v>
      </c>
      <c r="C1922" s="1" t="s">
        <v>10219</v>
      </c>
      <c r="D1922" t="b">
        <f ca="1">IF(A1922="","",[1]!s_techanal_rcnthigh(B1922,$B$2,1,3))</f>
        <v>0</v>
      </c>
      <c r="E1922">
        <f ca="1">IF(A1922="","",COUNTIF(D$6:D1922,"True"))</f>
        <v>16</v>
      </c>
      <c r="F1922" t="str">
        <f t="shared" si="29"/>
        <v>300462.SZ</v>
      </c>
    </row>
    <row r="1923" spans="1:6" x14ac:dyDescent="0.15">
      <c r="A1923" s="2">
        <v>46089</v>
      </c>
      <c r="B1923" s="1" t="s">
        <v>3638</v>
      </c>
      <c r="C1923" s="1" t="s">
        <v>3639</v>
      </c>
      <c r="D1923" t="b">
        <f ca="1">IF(A1923="","",[1]!s_techanal_rcnthigh(B1923,$B$2,1,3))</f>
        <v>0</v>
      </c>
      <c r="E1923">
        <f ca="1">IF(A1923="","",COUNTIF(D$6:D1923,"True"))</f>
        <v>16</v>
      </c>
      <c r="F1923" t="str">
        <f t="shared" si="29"/>
        <v>300463.SZ</v>
      </c>
    </row>
    <row r="1924" spans="1:6" x14ac:dyDescent="0.15">
      <c r="A1924" s="2">
        <v>46089</v>
      </c>
      <c r="B1924" s="1" t="s">
        <v>3640</v>
      </c>
      <c r="C1924" s="1" t="s">
        <v>3641</v>
      </c>
      <c r="D1924" t="b">
        <f ca="1">IF(A1924="","",[1]!s_techanal_rcnthigh(B1924,$B$2,1,3))</f>
        <v>0</v>
      </c>
      <c r="E1924">
        <f ca="1">IF(A1924="","",COUNTIF(D$6:D1924,"True"))</f>
        <v>16</v>
      </c>
      <c r="F1924" t="str">
        <f t="shared" si="29"/>
        <v>300464.SZ</v>
      </c>
    </row>
    <row r="1925" spans="1:6" x14ac:dyDescent="0.15">
      <c r="A1925" s="2">
        <v>46089</v>
      </c>
      <c r="B1925" s="1" t="s">
        <v>3642</v>
      </c>
      <c r="C1925" s="1" t="s">
        <v>3643</v>
      </c>
      <c r="D1925" t="b">
        <f ca="1">IF(A1925="","",[1]!s_techanal_rcnthigh(B1925,$B$2,1,3))</f>
        <v>0</v>
      </c>
      <c r="E1925">
        <f ca="1">IF(A1925="","",COUNTIF(D$6:D1925,"True"))</f>
        <v>16</v>
      </c>
      <c r="F1925" t="str">
        <f t="shared" si="29"/>
        <v>300465.SZ</v>
      </c>
    </row>
    <row r="1926" spans="1:6" x14ac:dyDescent="0.15">
      <c r="A1926" s="2">
        <v>46089</v>
      </c>
      <c r="B1926" s="1" t="s">
        <v>3644</v>
      </c>
      <c r="C1926" s="1" t="s">
        <v>3645</v>
      </c>
      <c r="D1926" t="b">
        <f ca="1">IF(A1926="","",[1]!s_techanal_rcnthigh(B1926,$B$2,1,3))</f>
        <v>0</v>
      </c>
      <c r="E1926">
        <f ca="1">IF(A1926="","",COUNTIF(D$6:D1926,"True"))</f>
        <v>16</v>
      </c>
      <c r="F1926" t="str">
        <f t="shared" ref="F1926:F1989" si="30">IF(B1926="","",B1926)</f>
        <v>300466.SZ</v>
      </c>
    </row>
    <row r="1927" spans="1:6" x14ac:dyDescent="0.15">
      <c r="A1927" s="2">
        <v>46089</v>
      </c>
      <c r="B1927" s="1" t="s">
        <v>3646</v>
      </c>
      <c r="C1927" s="1" t="s">
        <v>3647</v>
      </c>
      <c r="D1927" t="b">
        <f ca="1">IF(A1927="","",[1]!s_techanal_rcnthigh(B1927,$B$2,1,3))</f>
        <v>0</v>
      </c>
      <c r="E1927">
        <f ca="1">IF(A1927="","",COUNTIF(D$6:D1927,"True"))</f>
        <v>16</v>
      </c>
      <c r="F1927" t="str">
        <f t="shared" si="30"/>
        <v>300467.SZ</v>
      </c>
    </row>
    <row r="1928" spans="1:6" x14ac:dyDescent="0.15">
      <c r="A1928" s="2">
        <v>46089</v>
      </c>
      <c r="B1928" s="1" t="s">
        <v>3648</v>
      </c>
      <c r="C1928" s="1" t="s">
        <v>3649</v>
      </c>
      <c r="D1928" t="b">
        <f ca="1">IF(A1928="","",[1]!s_techanal_rcnthigh(B1928,$B$2,1,3))</f>
        <v>0</v>
      </c>
      <c r="E1928">
        <f ca="1">IF(A1928="","",COUNTIF(D$6:D1928,"True"))</f>
        <v>16</v>
      </c>
      <c r="F1928" t="str">
        <f t="shared" si="30"/>
        <v>300468.SZ</v>
      </c>
    </row>
    <row r="1929" spans="1:6" x14ac:dyDescent="0.15">
      <c r="A1929" s="2">
        <v>46089</v>
      </c>
      <c r="B1929" s="1" t="s">
        <v>3650</v>
      </c>
      <c r="C1929" s="1" t="s">
        <v>3651</v>
      </c>
      <c r="D1929" t="b">
        <f ca="1">IF(A1929="","",[1]!s_techanal_rcnthigh(B1929,$B$2,1,3))</f>
        <v>0</v>
      </c>
      <c r="E1929">
        <f ca="1">IF(A1929="","",COUNTIF(D$6:D1929,"True"))</f>
        <v>16</v>
      </c>
      <c r="F1929" t="str">
        <f t="shared" si="30"/>
        <v>300469.SZ</v>
      </c>
    </row>
    <row r="1930" spans="1:6" x14ac:dyDescent="0.15">
      <c r="A1930" s="2">
        <v>46089</v>
      </c>
      <c r="B1930" s="1" t="s">
        <v>3652</v>
      </c>
      <c r="C1930" s="1" t="s">
        <v>3653</v>
      </c>
      <c r="D1930" t="b">
        <f ca="1">IF(A1930="","",[1]!s_techanal_rcnthigh(B1930,$B$2,1,3))</f>
        <v>0</v>
      </c>
      <c r="E1930">
        <f ca="1">IF(A1930="","",COUNTIF(D$6:D1930,"True"))</f>
        <v>16</v>
      </c>
      <c r="F1930" t="str">
        <f t="shared" si="30"/>
        <v>300470.SZ</v>
      </c>
    </row>
    <row r="1931" spans="1:6" x14ac:dyDescent="0.15">
      <c r="A1931" s="2">
        <v>46089</v>
      </c>
      <c r="B1931" s="1" t="s">
        <v>3654</v>
      </c>
      <c r="C1931" s="1" t="s">
        <v>3655</v>
      </c>
      <c r="D1931" t="b">
        <f ca="1">IF(A1931="","",[1]!s_techanal_rcnthigh(B1931,$B$2,1,3))</f>
        <v>0</v>
      </c>
      <c r="E1931">
        <f ca="1">IF(A1931="","",COUNTIF(D$6:D1931,"True"))</f>
        <v>16</v>
      </c>
      <c r="F1931" t="str">
        <f t="shared" si="30"/>
        <v>300471.SZ</v>
      </c>
    </row>
    <row r="1932" spans="1:6" x14ac:dyDescent="0.15">
      <c r="A1932" s="2">
        <v>46089</v>
      </c>
      <c r="B1932" s="1" t="s">
        <v>3656</v>
      </c>
      <c r="C1932" s="1" t="s">
        <v>10220</v>
      </c>
      <c r="D1932" t="b">
        <f ca="1">IF(A1932="","",[1]!s_techanal_rcnthigh(B1932,$B$2,1,3))</f>
        <v>0</v>
      </c>
      <c r="E1932">
        <f ca="1">IF(A1932="","",COUNTIF(D$6:D1932,"True"))</f>
        <v>16</v>
      </c>
      <c r="F1932" t="str">
        <f t="shared" si="30"/>
        <v>300472.SZ</v>
      </c>
    </row>
    <row r="1933" spans="1:6" x14ac:dyDescent="0.15">
      <c r="A1933" s="2">
        <v>46089</v>
      </c>
      <c r="B1933" s="1" t="s">
        <v>3657</v>
      </c>
      <c r="C1933" s="1" t="s">
        <v>3658</v>
      </c>
      <c r="D1933" t="b">
        <f ca="1">IF(A1933="","",[1]!s_techanal_rcnthigh(B1933,$B$2,1,3))</f>
        <v>0</v>
      </c>
      <c r="E1933">
        <f ca="1">IF(A1933="","",COUNTIF(D$6:D1933,"True"))</f>
        <v>16</v>
      </c>
      <c r="F1933" t="str">
        <f t="shared" si="30"/>
        <v>300473.SZ</v>
      </c>
    </row>
    <row r="1934" spans="1:6" x14ac:dyDescent="0.15">
      <c r="A1934" s="2">
        <v>46089</v>
      </c>
      <c r="B1934" s="1" t="s">
        <v>3659</v>
      </c>
      <c r="C1934" s="1" t="s">
        <v>3660</v>
      </c>
      <c r="D1934" t="b">
        <f ca="1">IF(A1934="","",[1]!s_techanal_rcnthigh(B1934,$B$2,1,3))</f>
        <v>0</v>
      </c>
      <c r="E1934">
        <f ca="1">IF(A1934="","",COUNTIF(D$6:D1934,"True"))</f>
        <v>16</v>
      </c>
      <c r="F1934" t="str">
        <f t="shared" si="30"/>
        <v>300474.SZ</v>
      </c>
    </row>
    <row r="1935" spans="1:6" x14ac:dyDescent="0.15">
      <c r="A1935" s="2">
        <v>46089</v>
      </c>
      <c r="B1935" s="1" t="s">
        <v>3661</v>
      </c>
      <c r="C1935" s="1" t="s">
        <v>3662</v>
      </c>
      <c r="D1935" t="b">
        <f ca="1">IF(A1935="","",[1]!s_techanal_rcnthigh(B1935,$B$2,1,3))</f>
        <v>0</v>
      </c>
      <c r="E1935">
        <f ca="1">IF(A1935="","",COUNTIF(D$6:D1935,"True"))</f>
        <v>16</v>
      </c>
      <c r="F1935" t="str">
        <f t="shared" si="30"/>
        <v>300475.SZ</v>
      </c>
    </row>
    <row r="1936" spans="1:6" x14ac:dyDescent="0.15">
      <c r="A1936" s="2">
        <v>46089</v>
      </c>
      <c r="B1936" s="1" t="s">
        <v>3663</v>
      </c>
      <c r="C1936" s="1" t="s">
        <v>3664</v>
      </c>
      <c r="D1936" t="b">
        <f ca="1">IF(A1936="","",[1]!s_techanal_rcnthigh(B1936,$B$2,1,3))</f>
        <v>0</v>
      </c>
      <c r="E1936">
        <f ca="1">IF(A1936="","",COUNTIF(D$6:D1936,"True"))</f>
        <v>16</v>
      </c>
      <c r="F1936" t="str">
        <f t="shared" si="30"/>
        <v>300476.SZ</v>
      </c>
    </row>
    <row r="1937" spans="1:6" x14ac:dyDescent="0.15">
      <c r="A1937" s="2">
        <v>46089</v>
      </c>
      <c r="B1937" s="1" t="s">
        <v>3665</v>
      </c>
      <c r="C1937" s="1" t="s">
        <v>10221</v>
      </c>
      <c r="D1937" t="b">
        <f ca="1">IF(A1937="","",[1]!s_techanal_rcnthigh(B1937,$B$2,1,3))</f>
        <v>0</v>
      </c>
      <c r="E1937">
        <f ca="1">IF(A1937="","",COUNTIF(D$6:D1937,"True"))</f>
        <v>16</v>
      </c>
      <c r="F1937" t="str">
        <f t="shared" si="30"/>
        <v>300477.SZ</v>
      </c>
    </row>
    <row r="1938" spans="1:6" x14ac:dyDescent="0.15">
      <c r="A1938" s="2">
        <v>46089</v>
      </c>
      <c r="B1938" s="1" t="s">
        <v>3666</v>
      </c>
      <c r="C1938" s="1" t="s">
        <v>3667</v>
      </c>
      <c r="D1938" t="b">
        <f ca="1">IF(A1938="","",[1]!s_techanal_rcnthigh(B1938,$B$2,1,3))</f>
        <v>0</v>
      </c>
      <c r="E1938">
        <f ca="1">IF(A1938="","",COUNTIF(D$6:D1938,"True"))</f>
        <v>16</v>
      </c>
      <c r="F1938" t="str">
        <f t="shared" si="30"/>
        <v>300478.SZ</v>
      </c>
    </row>
    <row r="1939" spans="1:6" x14ac:dyDescent="0.15">
      <c r="A1939" s="2">
        <v>46089</v>
      </c>
      <c r="B1939" s="1" t="s">
        <v>3668</v>
      </c>
      <c r="C1939" s="1" t="s">
        <v>3669</v>
      </c>
      <c r="D1939" t="b">
        <f ca="1">IF(A1939="","",[1]!s_techanal_rcnthigh(B1939,$B$2,1,3))</f>
        <v>0</v>
      </c>
      <c r="E1939">
        <f ca="1">IF(A1939="","",COUNTIF(D$6:D1939,"True"))</f>
        <v>16</v>
      </c>
      <c r="F1939" t="str">
        <f t="shared" si="30"/>
        <v>300479.SZ</v>
      </c>
    </row>
    <row r="1940" spans="1:6" x14ac:dyDescent="0.15">
      <c r="A1940" s="2">
        <v>46089</v>
      </c>
      <c r="B1940" s="1" t="s">
        <v>3670</v>
      </c>
      <c r="C1940" s="1" t="s">
        <v>3671</v>
      </c>
      <c r="D1940" t="b">
        <f ca="1">IF(A1940="","",[1]!s_techanal_rcnthigh(B1940,$B$2,1,3))</f>
        <v>0</v>
      </c>
      <c r="E1940">
        <f ca="1">IF(A1940="","",COUNTIF(D$6:D1940,"True"))</f>
        <v>16</v>
      </c>
      <c r="F1940" t="str">
        <f t="shared" si="30"/>
        <v>300480.SZ</v>
      </c>
    </row>
    <row r="1941" spans="1:6" x14ac:dyDescent="0.15">
      <c r="A1941" s="2">
        <v>46089</v>
      </c>
      <c r="B1941" s="1" t="s">
        <v>3672</v>
      </c>
      <c r="C1941" s="1" t="s">
        <v>3673</v>
      </c>
      <c r="D1941" t="b">
        <f ca="1">IF(A1941="","",[1]!s_techanal_rcnthigh(B1941,$B$2,1,3))</f>
        <v>0</v>
      </c>
      <c r="E1941">
        <f ca="1">IF(A1941="","",COUNTIF(D$6:D1941,"True"))</f>
        <v>16</v>
      </c>
      <c r="F1941" t="str">
        <f t="shared" si="30"/>
        <v>300481.SZ</v>
      </c>
    </row>
    <row r="1942" spans="1:6" x14ac:dyDescent="0.15">
      <c r="A1942" s="2">
        <v>46089</v>
      </c>
      <c r="B1942" s="1" t="s">
        <v>3674</v>
      </c>
      <c r="C1942" s="1" t="s">
        <v>3675</v>
      </c>
      <c r="D1942" t="b">
        <f ca="1">IF(A1942="","",[1]!s_techanal_rcnthigh(B1942,$B$2,1,3))</f>
        <v>0</v>
      </c>
      <c r="E1942">
        <f ca="1">IF(A1942="","",COUNTIF(D$6:D1942,"True"))</f>
        <v>16</v>
      </c>
      <c r="F1942" t="str">
        <f t="shared" si="30"/>
        <v>300482.SZ</v>
      </c>
    </row>
    <row r="1943" spans="1:6" x14ac:dyDescent="0.15">
      <c r="A1943" s="2">
        <v>46089</v>
      </c>
      <c r="B1943" s="1" t="s">
        <v>3676</v>
      </c>
      <c r="C1943" s="1" t="s">
        <v>3677</v>
      </c>
      <c r="D1943" t="b">
        <f ca="1">IF(A1943="","",[1]!s_techanal_rcnthigh(B1943,$B$2,1,3))</f>
        <v>0</v>
      </c>
      <c r="E1943">
        <f ca="1">IF(A1943="","",COUNTIF(D$6:D1943,"True"))</f>
        <v>16</v>
      </c>
      <c r="F1943" t="str">
        <f t="shared" si="30"/>
        <v>300483.SZ</v>
      </c>
    </row>
    <row r="1944" spans="1:6" x14ac:dyDescent="0.15">
      <c r="A1944" s="2">
        <v>46089</v>
      </c>
      <c r="B1944" s="1" t="s">
        <v>3678</v>
      </c>
      <c r="C1944" s="1" t="s">
        <v>3679</v>
      </c>
      <c r="D1944" t="b">
        <f ca="1">IF(A1944="","",[1]!s_techanal_rcnthigh(B1944,$B$2,1,3))</f>
        <v>0</v>
      </c>
      <c r="E1944">
        <f ca="1">IF(A1944="","",COUNTIF(D$6:D1944,"True"))</f>
        <v>16</v>
      </c>
      <c r="F1944" t="str">
        <f t="shared" si="30"/>
        <v>300484.SZ</v>
      </c>
    </row>
    <row r="1945" spans="1:6" x14ac:dyDescent="0.15">
      <c r="A1945" s="2">
        <v>46089</v>
      </c>
      <c r="B1945" s="1" t="s">
        <v>3680</v>
      </c>
      <c r="C1945" s="1" t="s">
        <v>3681</v>
      </c>
      <c r="D1945" t="b">
        <f ca="1">IF(A1945="","",[1]!s_techanal_rcnthigh(B1945,$B$2,1,3))</f>
        <v>0</v>
      </c>
      <c r="E1945">
        <f ca="1">IF(A1945="","",COUNTIF(D$6:D1945,"True"))</f>
        <v>16</v>
      </c>
      <c r="F1945" t="str">
        <f t="shared" si="30"/>
        <v>300485.SZ</v>
      </c>
    </row>
    <row r="1946" spans="1:6" x14ac:dyDescent="0.15">
      <c r="A1946" s="2">
        <v>46089</v>
      </c>
      <c r="B1946" s="1" t="s">
        <v>3682</v>
      </c>
      <c r="C1946" s="1" t="s">
        <v>3683</v>
      </c>
      <c r="D1946" t="b">
        <f ca="1">IF(A1946="","",[1]!s_techanal_rcnthigh(B1946,$B$2,1,3))</f>
        <v>0</v>
      </c>
      <c r="E1946">
        <f ca="1">IF(A1946="","",COUNTIF(D$6:D1946,"True"))</f>
        <v>16</v>
      </c>
      <c r="F1946" t="str">
        <f t="shared" si="30"/>
        <v>300486.SZ</v>
      </c>
    </row>
    <row r="1947" spans="1:6" x14ac:dyDescent="0.15">
      <c r="A1947" s="2">
        <v>46089</v>
      </c>
      <c r="B1947" s="1" t="s">
        <v>3684</v>
      </c>
      <c r="C1947" s="1" t="s">
        <v>3685</v>
      </c>
      <c r="D1947" t="b">
        <f ca="1">IF(A1947="","",[1]!s_techanal_rcnthigh(B1947,$B$2,1,3))</f>
        <v>0</v>
      </c>
      <c r="E1947">
        <f ca="1">IF(A1947="","",COUNTIF(D$6:D1947,"True"))</f>
        <v>16</v>
      </c>
      <c r="F1947" t="str">
        <f t="shared" si="30"/>
        <v>300487.SZ</v>
      </c>
    </row>
    <row r="1948" spans="1:6" x14ac:dyDescent="0.15">
      <c r="A1948" s="2">
        <v>46089</v>
      </c>
      <c r="B1948" s="1" t="s">
        <v>3686</v>
      </c>
      <c r="C1948" s="1" t="s">
        <v>3687</v>
      </c>
      <c r="D1948" t="b">
        <f ca="1">IF(A1948="","",[1]!s_techanal_rcnthigh(B1948,$B$2,1,3))</f>
        <v>0</v>
      </c>
      <c r="E1948">
        <f ca="1">IF(A1948="","",COUNTIF(D$6:D1948,"True"))</f>
        <v>16</v>
      </c>
      <c r="F1948" t="str">
        <f t="shared" si="30"/>
        <v>300488.SZ</v>
      </c>
    </row>
    <row r="1949" spans="1:6" x14ac:dyDescent="0.15">
      <c r="A1949" s="2">
        <v>46089</v>
      </c>
      <c r="B1949" s="1" t="s">
        <v>3688</v>
      </c>
      <c r="C1949" s="1" t="s">
        <v>3689</v>
      </c>
      <c r="D1949" t="b">
        <f ca="1">IF(A1949="","",[1]!s_techanal_rcnthigh(B1949,$B$2,1,3))</f>
        <v>0</v>
      </c>
      <c r="E1949">
        <f ca="1">IF(A1949="","",COUNTIF(D$6:D1949,"True"))</f>
        <v>16</v>
      </c>
      <c r="F1949" t="str">
        <f t="shared" si="30"/>
        <v>300489.SZ</v>
      </c>
    </row>
    <row r="1950" spans="1:6" x14ac:dyDescent="0.15">
      <c r="A1950" s="2">
        <v>46089</v>
      </c>
      <c r="B1950" s="1" t="s">
        <v>3690</v>
      </c>
      <c r="C1950" s="1" t="s">
        <v>3691</v>
      </c>
      <c r="D1950" t="b">
        <f ca="1">IF(A1950="","",[1]!s_techanal_rcnthigh(B1950,$B$2,1,3))</f>
        <v>0</v>
      </c>
      <c r="E1950">
        <f ca="1">IF(A1950="","",COUNTIF(D$6:D1950,"True"))</f>
        <v>16</v>
      </c>
      <c r="F1950" t="str">
        <f t="shared" si="30"/>
        <v>300490.SZ</v>
      </c>
    </row>
    <row r="1951" spans="1:6" x14ac:dyDescent="0.15">
      <c r="A1951" s="2">
        <v>46089</v>
      </c>
      <c r="B1951" s="1" t="s">
        <v>3692</v>
      </c>
      <c r="C1951" s="1" t="s">
        <v>3693</v>
      </c>
      <c r="D1951" t="b">
        <f ca="1">IF(A1951="","",[1]!s_techanal_rcnthigh(B1951,$B$2,1,3))</f>
        <v>0</v>
      </c>
      <c r="E1951">
        <f ca="1">IF(A1951="","",COUNTIF(D$6:D1951,"True"))</f>
        <v>16</v>
      </c>
      <c r="F1951" t="str">
        <f t="shared" si="30"/>
        <v>300491.SZ</v>
      </c>
    </row>
    <row r="1952" spans="1:6" x14ac:dyDescent="0.15">
      <c r="A1952" s="2">
        <v>46089</v>
      </c>
      <c r="B1952" s="1" t="s">
        <v>3694</v>
      </c>
      <c r="C1952" s="1" t="s">
        <v>3695</v>
      </c>
      <c r="D1952" t="b">
        <f ca="1">IF(A1952="","",[1]!s_techanal_rcnthigh(B1952,$B$2,1,3))</f>
        <v>0</v>
      </c>
      <c r="E1952">
        <f ca="1">IF(A1952="","",COUNTIF(D$6:D1952,"True"))</f>
        <v>16</v>
      </c>
      <c r="F1952" t="str">
        <f t="shared" si="30"/>
        <v>300492.SZ</v>
      </c>
    </row>
    <row r="1953" spans="1:6" x14ac:dyDescent="0.15">
      <c r="A1953" s="2">
        <v>46089</v>
      </c>
      <c r="B1953" s="1" t="s">
        <v>3696</v>
      </c>
      <c r="C1953" s="1" t="s">
        <v>3697</v>
      </c>
      <c r="D1953" t="b">
        <f ca="1">IF(A1953="","",[1]!s_techanal_rcnthigh(B1953,$B$2,1,3))</f>
        <v>0</v>
      </c>
      <c r="E1953">
        <f ca="1">IF(A1953="","",COUNTIF(D$6:D1953,"True"))</f>
        <v>16</v>
      </c>
      <c r="F1953" t="str">
        <f t="shared" si="30"/>
        <v>300493.SZ</v>
      </c>
    </row>
    <row r="1954" spans="1:6" x14ac:dyDescent="0.15">
      <c r="A1954" s="2">
        <v>46089</v>
      </c>
      <c r="B1954" s="1" t="s">
        <v>3698</v>
      </c>
      <c r="C1954" s="1" t="s">
        <v>3699</v>
      </c>
      <c r="D1954" t="b">
        <f ca="1">IF(A1954="","",[1]!s_techanal_rcnthigh(B1954,$B$2,1,3))</f>
        <v>0</v>
      </c>
      <c r="E1954">
        <f ca="1">IF(A1954="","",COUNTIF(D$6:D1954,"True"))</f>
        <v>16</v>
      </c>
      <c r="F1954" t="str">
        <f t="shared" si="30"/>
        <v>300494.SZ</v>
      </c>
    </row>
    <row r="1955" spans="1:6" x14ac:dyDescent="0.15">
      <c r="A1955" s="2">
        <v>46089</v>
      </c>
      <c r="B1955" s="1" t="s">
        <v>3700</v>
      </c>
      <c r="C1955" s="1" t="s">
        <v>3701</v>
      </c>
      <c r="D1955" t="b">
        <f ca="1">IF(A1955="","",[1]!s_techanal_rcnthigh(B1955,$B$2,1,3))</f>
        <v>0</v>
      </c>
      <c r="E1955">
        <f ca="1">IF(A1955="","",COUNTIF(D$6:D1955,"True"))</f>
        <v>16</v>
      </c>
      <c r="F1955" t="str">
        <f t="shared" si="30"/>
        <v>300496.SZ</v>
      </c>
    </row>
    <row r="1956" spans="1:6" x14ac:dyDescent="0.15">
      <c r="A1956" s="2">
        <v>46089</v>
      </c>
      <c r="B1956" s="1" t="s">
        <v>3702</v>
      </c>
      <c r="C1956" s="1" t="s">
        <v>3703</v>
      </c>
      <c r="D1956" t="b">
        <f ca="1">IF(A1956="","",[1]!s_techanal_rcnthigh(B1956,$B$2,1,3))</f>
        <v>0</v>
      </c>
      <c r="E1956">
        <f ca="1">IF(A1956="","",COUNTIF(D$6:D1956,"True"))</f>
        <v>16</v>
      </c>
      <c r="F1956" t="str">
        <f t="shared" si="30"/>
        <v>300497.SZ</v>
      </c>
    </row>
    <row r="1957" spans="1:6" x14ac:dyDescent="0.15">
      <c r="A1957" s="2">
        <v>46089</v>
      </c>
      <c r="B1957" s="1" t="s">
        <v>3704</v>
      </c>
      <c r="C1957" s="1" t="s">
        <v>3705</v>
      </c>
      <c r="D1957" t="b">
        <f ca="1">IF(A1957="","",[1]!s_techanal_rcnthigh(B1957,$B$2,1,3))</f>
        <v>0</v>
      </c>
      <c r="E1957">
        <f ca="1">IF(A1957="","",COUNTIF(D$6:D1957,"True"))</f>
        <v>16</v>
      </c>
      <c r="F1957" t="str">
        <f t="shared" si="30"/>
        <v>300498.SZ</v>
      </c>
    </row>
    <row r="1958" spans="1:6" x14ac:dyDescent="0.15">
      <c r="A1958" s="2">
        <v>46089</v>
      </c>
      <c r="B1958" s="1" t="s">
        <v>3706</v>
      </c>
      <c r="C1958" s="1" t="s">
        <v>3707</v>
      </c>
      <c r="D1958" t="b">
        <f ca="1">IF(A1958="","",[1]!s_techanal_rcnthigh(B1958,$B$2,1,3))</f>
        <v>0</v>
      </c>
      <c r="E1958">
        <f ca="1">IF(A1958="","",COUNTIF(D$6:D1958,"True"))</f>
        <v>16</v>
      </c>
      <c r="F1958" t="str">
        <f t="shared" si="30"/>
        <v>300499.SZ</v>
      </c>
    </row>
    <row r="1959" spans="1:6" x14ac:dyDescent="0.15">
      <c r="A1959" s="2">
        <v>46089</v>
      </c>
      <c r="B1959" s="1" t="s">
        <v>3708</v>
      </c>
      <c r="C1959" s="1" t="s">
        <v>3709</v>
      </c>
      <c r="D1959" t="b">
        <f ca="1">IF(A1959="","",[1]!s_techanal_rcnthigh(B1959,$B$2,1,3))</f>
        <v>0</v>
      </c>
      <c r="E1959">
        <f ca="1">IF(A1959="","",COUNTIF(D$6:D1959,"True"))</f>
        <v>16</v>
      </c>
      <c r="F1959" t="str">
        <f t="shared" si="30"/>
        <v>300500.SZ</v>
      </c>
    </row>
    <row r="1960" spans="1:6" x14ac:dyDescent="0.15">
      <c r="A1960" s="2">
        <v>46089</v>
      </c>
      <c r="B1960" s="1" t="s">
        <v>3710</v>
      </c>
      <c r="C1960" s="1" t="s">
        <v>3711</v>
      </c>
      <c r="D1960" t="b">
        <f ca="1">IF(A1960="","",[1]!s_techanal_rcnthigh(B1960,$B$2,1,3))</f>
        <v>0</v>
      </c>
      <c r="E1960">
        <f ca="1">IF(A1960="","",COUNTIF(D$6:D1960,"True"))</f>
        <v>16</v>
      </c>
      <c r="F1960" t="str">
        <f t="shared" si="30"/>
        <v>300501.SZ</v>
      </c>
    </row>
    <row r="1961" spans="1:6" x14ac:dyDescent="0.15">
      <c r="A1961" s="2">
        <v>46089</v>
      </c>
      <c r="B1961" s="1" t="s">
        <v>3712</v>
      </c>
      <c r="C1961" s="1" t="s">
        <v>3713</v>
      </c>
      <c r="D1961" t="b">
        <f ca="1">IF(A1961="","",[1]!s_techanal_rcnthigh(B1961,$B$2,1,3))</f>
        <v>0</v>
      </c>
      <c r="E1961">
        <f ca="1">IF(A1961="","",COUNTIF(D$6:D1961,"True"))</f>
        <v>16</v>
      </c>
      <c r="F1961" t="str">
        <f t="shared" si="30"/>
        <v>300502.SZ</v>
      </c>
    </row>
    <row r="1962" spans="1:6" x14ac:dyDescent="0.15">
      <c r="A1962" s="2">
        <v>46089</v>
      </c>
      <c r="B1962" s="1" t="s">
        <v>3714</v>
      </c>
      <c r="C1962" s="1" t="s">
        <v>3715</v>
      </c>
      <c r="D1962" t="b">
        <f ca="1">IF(A1962="","",[1]!s_techanal_rcnthigh(B1962,$B$2,1,3))</f>
        <v>0</v>
      </c>
      <c r="E1962">
        <f ca="1">IF(A1962="","",COUNTIF(D$6:D1962,"True"))</f>
        <v>16</v>
      </c>
      <c r="F1962" t="str">
        <f t="shared" si="30"/>
        <v>300503.SZ</v>
      </c>
    </row>
    <row r="1963" spans="1:6" x14ac:dyDescent="0.15">
      <c r="A1963" s="2">
        <v>46089</v>
      </c>
      <c r="B1963" s="1" t="s">
        <v>3716</v>
      </c>
      <c r="C1963" s="1" t="s">
        <v>3717</v>
      </c>
      <c r="D1963" t="b">
        <f ca="1">IF(A1963="","",[1]!s_techanal_rcnthigh(B1963,$B$2,1,3))</f>
        <v>0</v>
      </c>
      <c r="E1963">
        <f ca="1">IF(A1963="","",COUNTIF(D$6:D1963,"True"))</f>
        <v>16</v>
      </c>
      <c r="F1963" t="str">
        <f t="shared" si="30"/>
        <v>300504.SZ</v>
      </c>
    </row>
    <row r="1964" spans="1:6" x14ac:dyDescent="0.15">
      <c r="A1964" s="2">
        <v>46089</v>
      </c>
      <c r="B1964" s="1" t="s">
        <v>3718</v>
      </c>
      <c r="C1964" s="1" t="s">
        <v>3719</v>
      </c>
      <c r="D1964" t="b">
        <f ca="1">IF(A1964="","",[1]!s_techanal_rcnthigh(B1964,$B$2,1,3))</f>
        <v>0</v>
      </c>
      <c r="E1964">
        <f ca="1">IF(A1964="","",COUNTIF(D$6:D1964,"True"))</f>
        <v>16</v>
      </c>
      <c r="F1964" t="str">
        <f t="shared" si="30"/>
        <v>300505.SZ</v>
      </c>
    </row>
    <row r="1965" spans="1:6" x14ac:dyDescent="0.15">
      <c r="A1965" s="2">
        <v>46089</v>
      </c>
      <c r="B1965" s="1" t="s">
        <v>3720</v>
      </c>
      <c r="C1965" s="1" t="s">
        <v>10222</v>
      </c>
      <c r="D1965" t="b">
        <f ca="1">IF(A1965="","",[1]!s_techanal_rcnthigh(B1965,$B$2,1,3))</f>
        <v>0</v>
      </c>
      <c r="E1965">
        <f ca="1">IF(A1965="","",COUNTIF(D$6:D1965,"True"))</f>
        <v>16</v>
      </c>
      <c r="F1965" t="str">
        <f t="shared" si="30"/>
        <v>300506.SZ</v>
      </c>
    </row>
    <row r="1966" spans="1:6" x14ac:dyDescent="0.15">
      <c r="A1966" s="2">
        <v>46089</v>
      </c>
      <c r="B1966" s="1" t="s">
        <v>3721</v>
      </c>
      <c r="C1966" s="1" t="s">
        <v>3722</v>
      </c>
      <c r="D1966" t="b">
        <f ca="1">IF(A1966="","",[1]!s_techanal_rcnthigh(B1966,$B$2,1,3))</f>
        <v>0</v>
      </c>
      <c r="E1966">
        <f ca="1">IF(A1966="","",COUNTIF(D$6:D1966,"True"))</f>
        <v>16</v>
      </c>
      <c r="F1966" t="str">
        <f t="shared" si="30"/>
        <v>300507.SZ</v>
      </c>
    </row>
    <row r="1967" spans="1:6" x14ac:dyDescent="0.15">
      <c r="A1967" s="2">
        <v>46089</v>
      </c>
      <c r="B1967" s="1" t="s">
        <v>3723</v>
      </c>
      <c r="C1967" s="1" t="s">
        <v>3724</v>
      </c>
      <c r="D1967" t="b">
        <f ca="1">IF(A1967="","",[1]!s_techanal_rcnthigh(B1967,$B$2,1,3))</f>
        <v>0</v>
      </c>
      <c r="E1967">
        <f ca="1">IF(A1967="","",COUNTIF(D$6:D1967,"True"))</f>
        <v>16</v>
      </c>
      <c r="F1967" t="str">
        <f t="shared" si="30"/>
        <v>300508.SZ</v>
      </c>
    </row>
    <row r="1968" spans="1:6" x14ac:dyDescent="0.15">
      <c r="A1968" s="2">
        <v>46089</v>
      </c>
      <c r="B1968" s="1" t="s">
        <v>3725</v>
      </c>
      <c r="C1968" s="1" t="s">
        <v>3726</v>
      </c>
      <c r="D1968" t="b">
        <f ca="1">IF(A1968="","",[1]!s_techanal_rcnthigh(B1968,$B$2,1,3))</f>
        <v>0</v>
      </c>
      <c r="E1968">
        <f ca="1">IF(A1968="","",COUNTIF(D$6:D1968,"True"))</f>
        <v>16</v>
      </c>
      <c r="F1968" t="str">
        <f t="shared" si="30"/>
        <v>300509.SZ</v>
      </c>
    </row>
    <row r="1969" spans="1:6" x14ac:dyDescent="0.15">
      <c r="A1969" s="2">
        <v>46089</v>
      </c>
      <c r="B1969" s="1" t="s">
        <v>3727</v>
      </c>
      <c r="C1969" s="1" t="s">
        <v>3728</v>
      </c>
      <c r="D1969" t="b">
        <f ca="1">IF(A1969="","",[1]!s_techanal_rcnthigh(B1969,$B$2,1,3))</f>
        <v>0</v>
      </c>
      <c r="E1969">
        <f ca="1">IF(A1969="","",COUNTIF(D$6:D1969,"True"))</f>
        <v>16</v>
      </c>
      <c r="F1969" t="str">
        <f t="shared" si="30"/>
        <v>300510.SZ</v>
      </c>
    </row>
    <row r="1970" spans="1:6" x14ac:dyDescent="0.15">
      <c r="A1970" s="2">
        <v>46089</v>
      </c>
      <c r="B1970" s="1" t="s">
        <v>3729</v>
      </c>
      <c r="C1970" s="1" t="s">
        <v>3730</v>
      </c>
      <c r="D1970" t="b">
        <f ca="1">IF(A1970="","",[1]!s_techanal_rcnthigh(B1970,$B$2,1,3))</f>
        <v>0</v>
      </c>
      <c r="E1970">
        <f ca="1">IF(A1970="","",COUNTIF(D$6:D1970,"True"))</f>
        <v>16</v>
      </c>
      <c r="F1970" t="str">
        <f t="shared" si="30"/>
        <v>300511.SZ</v>
      </c>
    </row>
    <row r="1971" spans="1:6" x14ac:dyDescent="0.15">
      <c r="A1971" s="2">
        <v>46089</v>
      </c>
      <c r="B1971" s="1" t="s">
        <v>3731</v>
      </c>
      <c r="C1971" s="1" t="s">
        <v>3732</v>
      </c>
      <c r="D1971" t="b">
        <f ca="1">IF(A1971="","",[1]!s_techanal_rcnthigh(B1971,$B$2,1,3))</f>
        <v>0</v>
      </c>
      <c r="E1971">
        <f ca="1">IF(A1971="","",COUNTIF(D$6:D1971,"True"))</f>
        <v>16</v>
      </c>
      <c r="F1971" t="str">
        <f t="shared" si="30"/>
        <v>300512.SZ</v>
      </c>
    </row>
    <row r="1972" spans="1:6" x14ac:dyDescent="0.15">
      <c r="A1972" s="2">
        <v>46089</v>
      </c>
      <c r="B1972" s="1" t="s">
        <v>3733</v>
      </c>
      <c r="C1972" s="1" t="s">
        <v>3734</v>
      </c>
      <c r="D1972" t="b">
        <f ca="1">IF(A1972="","",[1]!s_techanal_rcnthigh(B1972,$B$2,1,3))</f>
        <v>0</v>
      </c>
      <c r="E1972">
        <f ca="1">IF(A1972="","",COUNTIF(D$6:D1972,"True"))</f>
        <v>16</v>
      </c>
      <c r="F1972" t="str">
        <f t="shared" si="30"/>
        <v>300513.SZ</v>
      </c>
    </row>
    <row r="1973" spans="1:6" x14ac:dyDescent="0.15">
      <c r="A1973" s="2">
        <v>46089</v>
      </c>
      <c r="B1973" s="1" t="s">
        <v>3735</v>
      </c>
      <c r="C1973" s="1" t="s">
        <v>3736</v>
      </c>
      <c r="D1973" t="b">
        <f ca="1">IF(A1973="","",[1]!s_techanal_rcnthigh(B1973,$B$2,1,3))</f>
        <v>0</v>
      </c>
      <c r="E1973">
        <f ca="1">IF(A1973="","",COUNTIF(D$6:D1973,"True"))</f>
        <v>16</v>
      </c>
      <c r="F1973" t="str">
        <f t="shared" si="30"/>
        <v>300514.SZ</v>
      </c>
    </row>
    <row r="1974" spans="1:6" x14ac:dyDescent="0.15">
      <c r="A1974" s="2">
        <v>46089</v>
      </c>
      <c r="B1974" s="1" t="s">
        <v>3737</v>
      </c>
      <c r="C1974" s="1" t="s">
        <v>3738</v>
      </c>
      <c r="D1974" t="b">
        <f ca="1">IF(A1974="","",[1]!s_techanal_rcnthigh(B1974,$B$2,1,3))</f>
        <v>0</v>
      </c>
      <c r="E1974">
        <f ca="1">IF(A1974="","",COUNTIF(D$6:D1974,"True"))</f>
        <v>16</v>
      </c>
      <c r="F1974" t="str">
        <f t="shared" si="30"/>
        <v>300515.SZ</v>
      </c>
    </row>
    <row r="1975" spans="1:6" x14ac:dyDescent="0.15">
      <c r="A1975" s="2">
        <v>46089</v>
      </c>
      <c r="B1975" s="1" t="s">
        <v>3739</v>
      </c>
      <c r="C1975" s="1" t="s">
        <v>3740</v>
      </c>
      <c r="D1975" t="b">
        <f ca="1">IF(A1975="","",[1]!s_techanal_rcnthigh(B1975,$B$2,1,3))</f>
        <v>0</v>
      </c>
      <c r="E1975">
        <f ca="1">IF(A1975="","",COUNTIF(D$6:D1975,"True"))</f>
        <v>16</v>
      </c>
      <c r="F1975" t="str">
        <f t="shared" si="30"/>
        <v>300516.SZ</v>
      </c>
    </row>
    <row r="1976" spans="1:6" x14ac:dyDescent="0.15">
      <c r="A1976" s="2">
        <v>46089</v>
      </c>
      <c r="B1976" s="1" t="s">
        <v>3741</v>
      </c>
      <c r="C1976" s="1" t="s">
        <v>3742</v>
      </c>
      <c r="D1976" t="b">
        <f ca="1">IF(A1976="","",[1]!s_techanal_rcnthigh(B1976,$B$2,1,3))</f>
        <v>0</v>
      </c>
      <c r="E1976">
        <f ca="1">IF(A1976="","",COUNTIF(D$6:D1976,"True"))</f>
        <v>16</v>
      </c>
      <c r="F1976" t="str">
        <f t="shared" si="30"/>
        <v>300517.SZ</v>
      </c>
    </row>
    <row r="1977" spans="1:6" x14ac:dyDescent="0.15">
      <c r="A1977" s="2">
        <v>46089</v>
      </c>
      <c r="B1977" s="1" t="s">
        <v>3743</v>
      </c>
      <c r="C1977" s="1" t="s">
        <v>3744</v>
      </c>
      <c r="D1977" t="b">
        <f ca="1">IF(A1977="","",[1]!s_techanal_rcnthigh(B1977,$B$2,1,3))</f>
        <v>0</v>
      </c>
      <c r="E1977">
        <f ca="1">IF(A1977="","",COUNTIF(D$6:D1977,"True"))</f>
        <v>16</v>
      </c>
      <c r="F1977" t="str">
        <f t="shared" si="30"/>
        <v>300518.SZ</v>
      </c>
    </row>
    <row r="1978" spans="1:6" x14ac:dyDescent="0.15">
      <c r="A1978" s="2">
        <v>46089</v>
      </c>
      <c r="B1978" s="1" t="s">
        <v>3745</v>
      </c>
      <c r="C1978" s="1" t="s">
        <v>3746</v>
      </c>
      <c r="D1978" t="b">
        <f ca="1">IF(A1978="","",[1]!s_techanal_rcnthigh(B1978,$B$2,1,3))</f>
        <v>0</v>
      </c>
      <c r="E1978">
        <f ca="1">IF(A1978="","",COUNTIF(D$6:D1978,"True"))</f>
        <v>16</v>
      </c>
      <c r="F1978" t="str">
        <f t="shared" si="30"/>
        <v>300519.SZ</v>
      </c>
    </row>
    <row r="1979" spans="1:6" x14ac:dyDescent="0.15">
      <c r="A1979" s="2">
        <v>46089</v>
      </c>
      <c r="B1979" s="1" t="s">
        <v>3747</v>
      </c>
      <c r="C1979" s="1" t="s">
        <v>3748</v>
      </c>
      <c r="D1979" t="b">
        <f ca="1">IF(A1979="","",[1]!s_techanal_rcnthigh(B1979,$B$2,1,3))</f>
        <v>0</v>
      </c>
      <c r="E1979">
        <f ca="1">IF(A1979="","",COUNTIF(D$6:D1979,"True"))</f>
        <v>16</v>
      </c>
      <c r="F1979" t="str">
        <f t="shared" si="30"/>
        <v>300520.SZ</v>
      </c>
    </row>
    <row r="1980" spans="1:6" x14ac:dyDescent="0.15">
      <c r="A1980" s="2">
        <v>46089</v>
      </c>
      <c r="B1980" s="1" t="s">
        <v>3749</v>
      </c>
      <c r="C1980" s="1" t="s">
        <v>3750</v>
      </c>
      <c r="D1980" t="b">
        <f ca="1">IF(A1980="","",[1]!s_techanal_rcnthigh(B1980,$B$2,1,3))</f>
        <v>0</v>
      </c>
      <c r="E1980">
        <f ca="1">IF(A1980="","",COUNTIF(D$6:D1980,"True"))</f>
        <v>16</v>
      </c>
      <c r="F1980" t="str">
        <f t="shared" si="30"/>
        <v>300521.SZ</v>
      </c>
    </row>
    <row r="1981" spans="1:6" x14ac:dyDescent="0.15">
      <c r="A1981" s="2">
        <v>46089</v>
      </c>
      <c r="B1981" s="1" t="s">
        <v>3751</v>
      </c>
      <c r="C1981" s="1" t="s">
        <v>3752</v>
      </c>
      <c r="D1981" t="b">
        <f ca="1">IF(A1981="","",[1]!s_techanal_rcnthigh(B1981,$B$2,1,3))</f>
        <v>0</v>
      </c>
      <c r="E1981">
        <f ca="1">IF(A1981="","",COUNTIF(D$6:D1981,"True"))</f>
        <v>16</v>
      </c>
      <c r="F1981" t="str">
        <f t="shared" si="30"/>
        <v>300522.SZ</v>
      </c>
    </row>
    <row r="1982" spans="1:6" x14ac:dyDescent="0.15">
      <c r="A1982" s="2">
        <v>46089</v>
      </c>
      <c r="B1982" s="1" t="s">
        <v>3753</v>
      </c>
      <c r="C1982" s="1" t="s">
        <v>3754</v>
      </c>
      <c r="D1982" t="b">
        <f ca="1">IF(A1982="","",[1]!s_techanal_rcnthigh(B1982,$B$2,1,3))</f>
        <v>0</v>
      </c>
      <c r="E1982">
        <f ca="1">IF(A1982="","",COUNTIF(D$6:D1982,"True"))</f>
        <v>16</v>
      </c>
      <c r="F1982" t="str">
        <f t="shared" si="30"/>
        <v>300523.SZ</v>
      </c>
    </row>
    <row r="1983" spans="1:6" x14ac:dyDescent="0.15">
      <c r="A1983" s="2">
        <v>46089</v>
      </c>
      <c r="B1983" s="1" t="s">
        <v>3755</v>
      </c>
      <c r="C1983" s="1" t="s">
        <v>3756</v>
      </c>
      <c r="D1983" t="b">
        <f ca="1">IF(A1983="","",[1]!s_techanal_rcnthigh(B1983,$B$2,1,3))</f>
        <v>0</v>
      </c>
      <c r="E1983">
        <f ca="1">IF(A1983="","",COUNTIF(D$6:D1983,"True"))</f>
        <v>16</v>
      </c>
      <c r="F1983" t="str">
        <f t="shared" si="30"/>
        <v>300525.SZ</v>
      </c>
    </row>
    <row r="1984" spans="1:6" x14ac:dyDescent="0.15">
      <c r="A1984" s="2">
        <v>46089</v>
      </c>
      <c r="B1984" s="1" t="s">
        <v>3757</v>
      </c>
      <c r="C1984" s="1" t="s">
        <v>10223</v>
      </c>
      <c r="D1984" t="b">
        <f ca="1">IF(A1984="","",[1]!s_techanal_rcnthigh(B1984,$B$2,1,3))</f>
        <v>0</v>
      </c>
      <c r="E1984">
        <f ca="1">IF(A1984="","",COUNTIF(D$6:D1984,"True"))</f>
        <v>16</v>
      </c>
      <c r="F1984" t="str">
        <f t="shared" si="30"/>
        <v>300527.SZ</v>
      </c>
    </row>
    <row r="1985" spans="1:6" x14ac:dyDescent="0.15">
      <c r="A1985" s="2">
        <v>46089</v>
      </c>
      <c r="B1985" s="1" t="s">
        <v>3758</v>
      </c>
      <c r="C1985" s="1" t="s">
        <v>3759</v>
      </c>
      <c r="D1985" t="b">
        <f ca="1">IF(A1985="","",[1]!s_techanal_rcnthigh(B1985,$B$2,1,3))</f>
        <v>0</v>
      </c>
      <c r="E1985">
        <f ca="1">IF(A1985="","",COUNTIF(D$6:D1985,"True"))</f>
        <v>16</v>
      </c>
      <c r="F1985" t="str">
        <f t="shared" si="30"/>
        <v>300528.SZ</v>
      </c>
    </row>
    <row r="1986" spans="1:6" x14ac:dyDescent="0.15">
      <c r="A1986" s="2">
        <v>46089</v>
      </c>
      <c r="B1986" s="1" t="s">
        <v>3760</v>
      </c>
      <c r="C1986" s="1" t="s">
        <v>3761</v>
      </c>
      <c r="D1986" t="b">
        <f ca="1">IF(A1986="","",[1]!s_techanal_rcnthigh(B1986,$B$2,1,3))</f>
        <v>0</v>
      </c>
      <c r="E1986">
        <f ca="1">IF(A1986="","",COUNTIF(D$6:D1986,"True"))</f>
        <v>16</v>
      </c>
      <c r="F1986" t="str">
        <f t="shared" si="30"/>
        <v>300529.SZ</v>
      </c>
    </row>
    <row r="1987" spans="1:6" x14ac:dyDescent="0.15">
      <c r="A1987" s="2">
        <v>46089</v>
      </c>
      <c r="B1987" s="1" t="s">
        <v>3762</v>
      </c>
      <c r="C1987" s="1" t="s">
        <v>3763</v>
      </c>
      <c r="D1987" t="b">
        <f ca="1">IF(A1987="","",[1]!s_techanal_rcnthigh(B1987,$B$2,1,3))</f>
        <v>0</v>
      </c>
      <c r="E1987">
        <f ca="1">IF(A1987="","",COUNTIF(D$6:D1987,"True"))</f>
        <v>16</v>
      </c>
      <c r="F1987" t="str">
        <f t="shared" si="30"/>
        <v>300530.SZ</v>
      </c>
    </row>
    <row r="1988" spans="1:6" x14ac:dyDescent="0.15">
      <c r="A1988" s="2">
        <v>46089</v>
      </c>
      <c r="B1988" s="1" t="s">
        <v>3764</v>
      </c>
      <c r="C1988" s="1" t="s">
        <v>3765</v>
      </c>
      <c r="D1988" t="b">
        <f ca="1">IF(A1988="","",[1]!s_techanal_rcnthigh(B1988,$B$2,1,3))</f>
        <v>0</v>
      </c>
      <c r="E1988">
        <f ca="1">IF(A1988="","",COUNTIF(D$6:D1988,"True"))</f>
        <v>16</v>
      </c>
      <c r="F1988" t="str">
        <f t="shared" si="30"/>
        <v>300531.SZ</v>
      </c>
    </row>
    <row r="1989" spans="1:6" x14ac:dyDescent="0.15">
      <c r="A1989" s="2">
        <v>46089</v>
      </c>
      <c r="B1989" s="1" t="s">
        <v>3766</v>
      </c>
      <c r="C1989" s="1" t="s">
        <v>3767</v>
      </c>
      <c r="D1989" t="b">
        <f ca="1">IF(A1989="","",[1]!s_techanal_rcnthigh(B1989,$B$2,1,3))</f>
        <v>0</v>
      </c>
      <c r="E1989">
        <f ca="1">IF(A1989="","",COUNTIF(D$6:D1989,"True"))</f>
        <v>16</v>
      </c>
      <c r="F1989" t="str">
        <f t="shared" si="30"/>
        <v>300532.SZ</v>
      </c>
    </row>
    <row r="1990" spans="1:6" x14ac:dyDescent="0.15">
      <c r="A1990" s="2">
        <v>46089</v>
      </c>
      <c r="B1990" s="1" t="s">
        <v>3768</v>
      </c>
      <c r="C1990" s="1" t="s">
        <v>3769</v>
      </c>
      <c r="D1990" t="b">
        <f ca="1">IF(A1990="","",[1]!s_techanal_rcnthigh(B1990,$B$2,1,3))</f>
        <v>0</v>
      </c>
      <c r="E1990">
        <f ca="1">IF(A1990="","",COUNTIF(D$6:D1990,"True"))</f>
        <v>16</v>
      </c>
      <c r="F1990" t="str">
        <f t="shared" ref="F1990:F2053" si="31">IF(B1990="","",B1990)</f>
        <v>300533.SZ</v>
      </c>
    </row>
    <row r="1991" spans="1:6" x14ac:dyDescent="0.15">
      <c r="A1991" s="2">
        <v>46089</v>
      </c>
      <c r="B1991" s="1" t="s">
        <v>3770</v>
      </c>
      <c r="C1991" s="1" t="s">
        <v>3771</v>
      </c>
      <c r="D1991" t="b">
        <f ca="1">IF(A1991="","",[1]!s_techanal_rcnthigh(B1991,$B$2,1,3))</f>
        <v>0</v>
      </c>
      <c r="E1991">
        <f ca="1">IF(A1991="","",COUNTIF(D$6:D1991,"True"))</f>
        <v>16</v>
      </c>
      <c r="F1991" t="str">
        <f t="shared" si="31"/>
        <v>300534.SZ</v>
      </c>
    </row>
    <row r="1992" spans="1:6" x14ac:dyDescent="0.15">
      <c r="A1992" s="2">
        <v>46089</v>
      </c>
      <c r="B1992" s="1" t="s">
        <v>3772</v>
      </c>
      <c r="C1992" s="1" t="s">
        <v>3773</v>
      </c>
      <c r="D1992" t="b">
        <f ca="1">IF(A1992="","",[1]!s_techanal_rcnthigh(B1992,$B$2,1,3))</f>
        <v>0</v>
      </c>
      <c r="E1992">
        <f ca="1">IF(A1992="","",COUNTIF(D$6:D1992,"True"))</f>
        <v>16</v>
      </c>
      <c r="F1992" t="str">
        <f t="shared" si="31"/>
        <v>300535.SZ</v>
      </c>
    </row>
    <row r="1993" spans="1:6" x14ac:dyDescent="0.15">
      <c r="A1993" s="2">
        <v>46089</v>
      </c>
      <c r="B1993" s="1" t="s">
        <v>3774</v>
      </c>
      <c r="C1993" s="1" t="s">
        <v>3775</v>
      </c>
      <c r="D1993" t="b">
        <f ca="1">IF(A1993="","",[1]!s_techanal_rcnthigh(B1993,$B$2,1,3))</f>
        <v>0</v>
      </c>
      <c r="E1993">
        <f ca="1">IF(A1993="","",COUNTIF(D$6:D1993,"True"))</f>
        <v>16</v>
      </c>
      <c r="F1993" t="str">
        <f t="shared" si="31"/>
        <v>300536.SZ</v>
      </c>
    </row>
    <row r="1994" spans="1:6" x14ac:dyDescent="0.15">
      <c r="A1994" s="2">
        <v>46089</v>
      </c>
      <c r="B1994" s="1" t="s">
        <v>3776</v>
      </c>
      <c r="C1994" s="1" t="s">
        <v>3777</v>
      </c>
      <c r="D1994" t="b">
        <f ca="1">IF(A1994="","",[1]!s_techanal_rcnthigh(B1994,$B$2,1,3))</f>
        <v>0</v>
      </c>
      <c r="E1994">
        <f ca="1">IF(A1994="","",COUNTIF(D$6:D1994,"True"))</f>
        <v>16</v>
      </c>
      <c r="F1994" t="str">
        <f t="shared" si="31"/>
        <v>300537.SZ</v>
      </c>
    </row>
    <row r="1995" spans="1:6" x14ac:dyDescent="0.15">
      <c r="A1995" s="2">
        <v>46089</v>
      </c>
      <c r="B1995" s="1" t="s">
        <v>3778</v>
      </c>
      <c r="C1995" s="1" t="s">
        <v>3779</v>
      </c>
      <c r="D1995" t="b">
        <f ca="1">IF(A1995="","",[1]!s_techanal_rcnthigh(B1995,$B$2,1,3))</f>
        <v>0</v>
      </c>
      <c r="E1995">
        <f ca="1">IF(A1995="","",COUNTIF(D$6:D1995,"True"))</f>
        <v>16</v>
      </c>
      <c r="F1995" t="str">
        <f t="shared" si="31"/>
        <v>300538.SZ</v>
      </c>
    </row>
    <row r="1996" spans="1:6" x14ac:dyDescent="0.15">
      <c r="A1996" s="2">
        <v>46089</v>
      </c>
      <c r="B1996" s="1" t="s">
        <v>3780</v>
      </c>
      <c r="C1996" s="1" t="s">
        <v>3781</v>
      </c>
      <c r="D1996" t="b">
        <f ca="1">IF(A1996="","",[1]!s_techanal_rcnthigh(B1996,$B$2,1,3))</f>
        <v>0</v>
      </c>
      <c r="E1996">
        <f ca="1">IF(A1996="","",COUNTIF(D$6:D1996,"True"))</f>
        <v>16</v>
      </c>
      <c r="F1996" t="str">
        <f t="shared" si="31"/>
        <v>300539.SZ</v>
      </c>
    </row>
    <row r="1997" spans="1:6" x14ac:dyDescent="0.15">
      <c r="A1997" s="2">
        <v>46089</v>
      </c>
      <c r="B1997" s="1" t="s">
        <v>3782</v>
      </c>
      <c r="C1997" s="1" t="s">
        <v>3783</v>
      </c>
      <c r="D1997" t="b">
        <f ca="1">IF(A1997="","",[1]!s_techanal_rcnthigh(B1997,$B$2,1,3))</f>
        <v>0</v>
      </c>
      <c r="E1997">
        <f ca="1">IF(A1997="","",COUNTIF(D$6:D1997,"True"))</f>
        <v>16</v>
      </c>
      <c r="F1997" t="str">
        <f t="shared" si="31"/>
        <v>300540.SZ</v>
      </c>
    </row>
    <row r="1998" spans="1:6" x14ac:dyDescent="0.15">
      <c r="A1998" s="2">
        <v>46089</v>
      </c>
      <c r="B1998" s="1" t="s">
        <v>3784</v>
      </c>
      <c r="C1998" s="1" t="s">
        <v>3785</v>
      </c>
      <c r="D1998" t="b">
        <f ca="1">IF(A1998="","",[1]!s_techanal_rcnthigh(B1998,$B$2,1,3))</f>
        <v>0</v>
      </c>
      <c r="E1998">
        <f ca="1">IF(A1998="","",COUNTIF(D$6:D1998,"True"))</f>
        <v>16</v>
      </c>
      <c r="F1998" t="str">
        <f t="shared" si="31"/>
        <v>300541.SZ</v>
      </c>
    </row>
    <row r="1999" spans="1:6" x14ac:dyDescent="0.15">
      <c r="A1999" s="2">
        <v>46089</v>
      </c>
      <c r="B1999" s="1" t="s">
        <v>3786</v>
      </c>
      <c r="C1999" s="1" t="s">
        <v>3787</v>
      </c>
      <c r="D1999" t="b">
        <f ca="1">IF(A1999="","",[1]!s_techanal_rcnthigh(B1999,$B$2,1,3))</f>
        <v>0</v>
      </c>
      <c r="E1999">
        <f ca="1">IF(A1999="","",COUNTIF(D$6:D1999,"True"))</f>
        <v>16</v>
      </c>
      <c r="F1999" t="str">
        <f t="shared" si="31"/>
        <v>300542.SZ</v>
      </c>
    </row>
    <row r="2000" spans="1:6" x14ac:dyDescent="0.15">
      <c r="A2000" s="2">
        <v>46089</v>
      </c>
      <c r="B2000" s="1" t="s">
        <v>3788</v>
      </c>
      <c r="C2000" s="1" t="s">
        <v>3789</v>
      </c>
      <c r="D2000" t="b">
        <f ca="1">IF(A2000="","",[1]!s_techanal_rcnthigh(B2000,$B$2,1,3))</f>
        <v>0</v>
      </c>
      <c r="E2000">
        <f ca="1">IF(A2000="","",COUNTIF(D$6:D2000,"True"))</f>
        <v>16</v>
      </c>
      <c r="F2000" t="str">
        <f t="shared" si="31"/>
        <v>300543.SZ</v>
      </c>
    </row>
    <row r="2001" spans="1:6" x14ac:dyDescent="0.15">
      <c r="A2001" s="2">
        <v>46089</v>
      </c>
      <c r="B2001" s="1" t="s">
        <v>3790</v>
      </c>
      <c r="C2001" s="1" t="s">
        <v>3791</v>
      </c>
      <c r="D2001" t="b">
        <f ca="1">IF(A2001="","",[1]!s_techanal_rcnthigh(B2001,$B$2,1,3))</f>
        <v>0</v>
      </c>
      <c r="E2001">
        <f ca="1">IF(A2001="","",COUNTIF(D$6:D2001,"True"))</f>
        <v>16</v>
      </c>
      <c r="F2001" t="str">
        <f t="shared" si="31"/>
        <v>300545.SZ</v>
      </c>
    </row>
    <row r="2002" spans="1:6" x14ac:dyDescent="0.15">
      <c r="A2002" s="2">
        <v>46089</v>
      </c>
      <c r="B2002" s="1" t="s">
        <v>3792</v>
      </c>
      <c r="C2002" s="1" t="s">
        <v>3793</v>
      </c>
      <c r="D2002" t="b">
        <f ca="1">IF(A2002="","",[1]!s_techanal_rcnthigh(B2002,$B$2,1,3))</f>
        <v>0</v>
      </c>
      <c r="E2002">
        <f ca="1">IF(A2002="","",COUNTIF(D$6:D2002,"True"))</f>
        <v>16</v>
      </c>
      <c r="F2002" t="str">
        <f t="shared" si="31"/>
        <v>300546.SZ</v>
      </c>
    </row>
    <row r="2003" spans="1:6" x14ac:dyDescent="0.15">
      <c r="A2003" s="2">
        <v>46089</v>
      </c>
      <c r="B2003" s="1" t="s">
        <v>3794</v>
      </c>
      <c r="C2003" s="1" t="s">
        <v>3795</v>
      </c>
      <c r="D2003" t="b">
        <f ca="1">IF(A2003="","",[1]!s_techanal_rcnthigh(B2003,$B$2,1,3))</f>
        <v>0</v>
      </c>
      <c r="E2003">
        <f ca="1">IF(A2003="","",COUNTIF(D$6:D2003,"True"))</f>
        <v>16</v>
      </c>
      <c r="F2003" t="str">
        <f t="shared" si="31"/>
        <v>300547.SZ</v>
      </c>
    </row>
    <row r="2004" spans="1:6" x14ac:dyDescent="0.15">
      <c r="A2004" s="2">
        <v>46089</v>
      </c>
      <c r="B2004" s="1" t="s">
        <v>3796</v>
      </c>
      <c r="C2004" s="1" t="s">
        <v>10224</v>
      </c>
      <c r="D2004" t="b">
        <f ca="1">IF(A2004="","",[1]!s_techanal_rcnthigh(B2004,$B$2,1,3))</f>
        <v>0</v>
      </c>
      <c r="E2004">
        <f ca="1">IF(A2004="","",COUNTIF(D$6:D2004,"True"))</f>
        <v>16</v>
      </c>
      <c r="F2004" t="str">
        <f t="shared" si="31"/>
        <v>300548.SZ</v>
      </c>
    </row>
    <row r="2005" spans="1:6" x14ac:dyDescent="0.15">
      <c r="A2005" s="2">
        <v>46089</v>
      </c>
      <c r="B2005" s="1" t="s">
        <v>3797</v>
      </c>
      <c r="C2005" s="1" t="s">
        <v>3798</v>
      </c>
      <c r="D2005" t="b">
        <f ca="1">IF(A2005="","",[1]!s_techanal_rcnthigh(B2005,$B$2,1,3))</f>
        <v>0</v>
      </c>
      <c r="E2005">
        <f ca="1">IF(A2005="","",COUNTIF(D$6:D2005,"True"))</f>
        <v>16</v>
      </c>
      <c r="F2005" t="str">
        <f t="shared" si="31"/>
        <v>300549.SZ</v>
      </c>
    </row>
    <row r="2006" spans="1:6" x14ac:dyDescent="0.15">
      <c r="A2006" s="2">
        <v>46089</v>
      </c>
      <c r="B2006" s="1" t="s">
        <v>3799</v>
      </c>
      <c r="C2006" s="1" t="s">
        <v>3800</v>
      </c>
      <c r="D2006" t="b">
        <f ca="1">IF(A2006="","",[1]!s_techanal_rcnthigh(B2006,$B$2,1,3))</f>
        <v>0</v>
      </c>
      <c r="E2006">
        <f ca="1">IF(A2006="","",COUNTIF(D$6:D2006,"True"))</f>
        <v>16</v>
      </c>
      <c r="F2006" t="str">
        <f t="shared" si="31"/>
        <v>300550.SZ</v>
      </c>
    </row>
    <row r="2007" spans="1:6" x14ac:dyDescent="0.15">
      <c r="A2007" s="2">
        <v>46089</v>
      </c>
      <c r="B2007" s="1" t="s">
        <v>3801</v>
      </c>
      <c r="C2007" s="1" t="s">
        <v>3802</v>
      </c>
      <c r="D2007" t="b">
        <f ca="1">IF(A2007="","",[1]!s_techanal_rcnthigh(B2007,$B$2,1,3))</f>
        <v>0</v>
      </c>
      <c r="E2007">
        <f ca="1">IF(A2007="","",COUNTIF(D$6:D2007,"True"))</f>
        <v>16</v>
      </c>
      <c r="F2007" t="str">
        <f t="shared" si="31"/>
        <v>300551.SZ</v>
      </c>
    </row>
    <row r="2008" spans="1:6" x14ac:dyDescent="0.15">
      <c r="A2008" s="2">
        <v>46089</v>
      </c>
      <c r="B2008" s="1" t="s">
        <v>3803</v>
      </c>
      <c r="C2008" s="1" t="s">
        <v>3804</v>
      </c>
      <c r="D2008" t="b">
        <f ca="1">IF(A2008="","",[1]!s_techanal_rcnthigh(B2008,$B$2,1,3))</f>
        <v>0</v>
      </c>
      <c r="E2008">
        <f ca="1">IF(A2008="","",COUNTIF(D$6:D2008,"True"))</f>
        <v>16</v>
      </c>
      <c r="F2008" t="str">
        <f t="shared" si="31"/>
        <v>300552.SZ</v>
      </c>
    </row>
    <row r="2009" spans="1:6" x14ac:dyDescent="0.15">
      <c r="A2009" s="2">
        <v>46089</v>
      </c>
      <c r="B2009" s="1" t="s">
        <v>3805</v>
      </c>
      <c r="C2009" s="1" t="s">
        <v>3806</v>
      </c>
      <c r="D2009" t="b">
        <f ca="1">IF(A2009="","",[1]!s_techanal_rcnthigh(B2009,$B$2,1,3))</f>
        <v>0</v>
      </c>
      <c r="E2009">
        <f ca="1">IF(A2009="","",COUNTIF(D$6:D2009,"True"))</f>
        <v>16</v>
      </c>
      <c r="F2009" t="str">
        <f t="shared" si="31"/>
        <v>300553.SZ</v>
      </c>
    </row>
    <row r="2010" spans="1:6" x14ac:dyDescent="0.15">
      <c r="A2010" s="2">
        <v>46089</v>
      </c>
      <c r="B2010" s="1" t="s">
        <v>3807</v>
      </c>
      <c r="C2010" s="1" t="s">
        <v>3808</v>
      </c>
      <c r="D2010" t="b">
        <f ca="1">IF(A2010="","",[1]!s_techanal_rcnthigh(B2010,$B$2,1,3))</f>
        <v>0</v>
      </c>
      <c r="E2010">
        <f ca="1">IF(A2010="","",COUNTIF(D$6:D2010,"True"))</f>
        <v>16</v>
      </c>
      <c r="F2010" t="str">
        <f t="shared" si="31"/>
        <v>300554.SZ</v>
      </c>
    </row>
    <row r="2011" spans="1:6" x14ac:dyDescent="0.15">
      <c r="A2011" s="2">
        <v>46089</v>
      </c>
      <c r="B2011" s="1" t="s">
        <v>3809</v>
      </c>
      <c r="C2011" s="1" t="s">
        <v>3810</v>
      </c>
      <c r="D2011" t="b">
        <f ca="1">IF(A2011="","",[1]!s_techanal_rcnthigh(B2011,$B$2,1,3))</f>
        <v>0</v>
      </c>
      <c r="E2011">
        <f ca="1">IF(A2011="","",COUNTIF(D$6:D2011,"True"))</f>
        <v>16</v>
      </c>
      <c r="F2011" t="str">
        <f t="shared" si="31"/>
        <v>300555.SZ</v>
      </c>
    </row>
    <row r="2012" spans="1:6" x14ac:dyDescent="0.15">
      <c r="A2012" s="2">
        <v>46089</v>
      </c>
      <c r="B2012" s="1" t="s">
        <v>3811</v>
      </c>
      <c r="C2012" s="1" t="s">
        <v>3812</v>
      </c>
      <c r="D2012" t="b">
        <f ca="1">IF(A2012="","",[1]!s_techanal_rcnthigh(B2012,$B$2,1,3))</f>
        <v>0</v>
      </c>
      <c r="E2012">
        <f ca="1">IF(A2012="","",COUNTIF(D$6:D2012,"True"))</f>
        <v>16</v>
      </c>
      <c r="F2012" t="str">
        <f t="shared" si="31"/>
        <v>300556.SZ</v>
      </c>
    </row>
    <row r="2013" spans="1:6" x14ac:dyDescent="0.15">
      <c r="A2013" s="2">
        <v>46089</v>
      </c>
      <c r="B2013" s="1" t="s">
        <v>3813</v>
      </c>
      <c r="C2013" s="1" t="s">
        <v>3814</v>
      </c>
      <c r="D2013" t="b">
        <f ca="1">IF(A2013="","",[1]!s_techanal_rcnthigh(B2013,$B$2,1,3))</f>
        <v>0</v>
      </c>
      <c r="E2013">
        <f ca="1">IF(A2013="","",COUNTIF(D$6:D2013,"True"))</f>
        <v>16</v>
      </c>
      <c r="F2013" t="str">
        <f t="shared" si="31"/>
        <v>300557.SZ</v>
      </c>
    </row>
    <row r="2014" spans="1:6" x14ac:dyDescent="0.15">
      <c r="A2014" s="2">
        <v>46089</v>
      </c>
      <c r="B2014" s="1" t="s">
        <v>3815</v>
      </c>
      <c r="C2014" s="1" t="s">
        <v>3816</v>
      </c>
      <c r="D2014" t="b">
        <f ca="1">IF(A2014="","",[1]!s_techanal_rcnthigh(B2014,$B$2,1,3))</f>
        <v>0</v>
      </c>
      <c r="E2014">
        <f ca="1">IF(A2014="","",COUNTIF(D$6:D2014,"True"))</f>
        <v>16</v>
      </c>
      <c r="F2014" t="str">
        <f t="shared" si="31"/>
        <v>300558.SZ</v>
      </c>
    </row>
    <row r="2015" spans="1:6" x14ac:dyDescent="0.15">
      <c r="A2015" s="2">
        <v>46089</v>
      </c>
      <c r="B2015" s="1" t="s">
        <v>3817</v>
      </c>
      <c r="C2015" s="1" t="s">
        <v>3818</v>
      </c>
      <c r="D2015" t="b">
        <f ca="1">IF(A2015="","",[1]!s_techanal_rcnthigh(B2015,$B$2,1,3))</f>
        <v>0</v>
      </c>
      <c r="E2015">
        <f ca="1">IF(A2015="","",COUNTIF(D$6:D2015,"True"))</f>
        <v>16</v>
      </c>
      <c r="F2015" t="str">
        <f t="shared" si="31"/>
        <v>300559.SZ</v>
      </c>
    </row>
    <row r="2016" spans="1:6" x14ac:dyDescent="0.15">
      <c r="A2016" s="2">
        <v>46089</v>
      </c>
      <c r="B2016" s="1" t="s">
        <v>3819</v>
      </c>
      <c r="C2016" s="1" t="s">
        <v>3820</v>
      </c>
      <c r="D2016" t="b">
        <f ca="1">IF(A2016="","",[1]!s_techanal_rcnthigh(B2016,$B$2,1,3))</f>
        <v>0</v>
      </c>
      <c r="E2016">
        <f ca="1">IF(A2016="","",COUNTIF(D$6:D2016,"True"))</f>
        <v>16</v>
      </c>
      <c r="F2016" t="str">
        <f t="shared" si="31"/>
        <v>300560.SZ</v>
      </c>
    </row>
    <row r="2017" spans="1:6" x14ac:dyDescent="0.15">
      <c r="A2017" s="2">
        <v>46089</v>
      </c>
      <c r="B2017" s="1" t="s">
        <v>3821</v>
      </c>
      <c r="C2017" s="1" t="s">
        <v>10225</v>
      </c>
      <c r="D2017" t="b">
        <f ca="1">IF(A2017="","",[1]!s_techanal_rcnthigh(B2017,$B$2,1,3))</f>
        <v>0</v>
      </c>
      <c r="E2017">
        <f ca="1">IF(A2017="","",COUNTIF(D$6:D2017,"True"))</f>
        <v>16</v>
      </c>
      <c r="F2017" t="str">
        <f t="shared" si="31"/>
        <v>300561.SZ</v>
      </c>
    </row>
    <row r="2018" spans="1:6" x14ac:dyDescent="0.15">
      <c r="A2018" s="2">
        <v>46089</v>
      </c>
      <c r="B2018" s="1" t="s">
        <v>3822</v>
      </c>
      <c r="C2018" s="1" t="s">
        <v>3823</v>
      </c>
      <c r="D2018" t="b">
        <f ca="1">IF(A2018="","",[1]!s_techanal_rcnthigh(B2018,$B$2,1,3))</f>
        <v>0</v>
      </c>
      <c r="E2018">
        <f ca="1">IF(A2018="","",COUNTIF(D$6:D2018,"True"))</f>
        <v>16</v>
      </c>
      <c r="F2018" t="str">
        <f t="shared" si="31"/>
        <v>300562.SZ</v>
      </c>
    </row>
    <row r="2019" spans="1:6" x14ac:dyDescent="0.15">
      <c r="A2019" s="2">
        <v>46089</v>
      </c>
      <c r="B2019" s="1" t="s">
        <v>3824</v>
      </c>
      <c r="C2019" s="1" t="s">
        <v>3825</v>
      </c>
      <c r="D2019" t="b">
        <f ca="1">IF(A2019="","",[1]!s_techanal_rcnthigh(B2019,$B$2,1,3))</f>
        <v>0</v>
      </c>
      <c r="E2019">
        <f ca="1">IF(A2019="","",COUNTIF(D$6:D2019,"True"))</f>
        <v>16</v>
      </c>
      <c r="F2019" t="str">
        <f t="shared" si="31"/>
        <v>300563.SZ</v>
      </c>
    </row>
    <row r="2020" spans="1:6" x14ac:dyDescent="0.15">
      <c r="A2020" s="2">
        <v>46089</v>
      </c>
      <c r="B2020" s="1" t="s">
        <v>3826</v>
      </c>
      <c r="C2020" s="1" t="s">
        <v>3827</v>
      </c>
      <c r="D2020" t="b">
        <f ca="1">IF(A2020="","",[1]!s_techanal_rcnthigh(B2020,$B$2,1,3))</f>
        <v>0</v>
      </c>
      <c r="E2020">
        <f ca="1">IF(A2020="","",COUNTIF(D$6:D2020,"True"))</f>
        <v>16</v>
      </c>
      <c r="F2020" t="str">
        <f t="shared" si="31"/>
        <v>300564.SZ</v>
      </c>
    </row>
    <row r="2021" spans="1:6" x14ac:dyDescent="0.15">
      <c r="A2021" s="2">
        <v>46089</v>
      </c>
      <c r="B2021" s="1" t="s">
        <v>3828</v>
      </c>
      <c r="C2021" s="1" t="s">
        <v>3829</v>
      </c>
      <c r="D2021" t="b">
        <f ca="1">IF(A2021="","",[1]!s_techanal_rcnthigh(B2021,$B$2,1,3))</f>
        <v>0</v>
      </c>
      <c r="E2021">
        <f ca="1">IF(A2021="","",COUNTIF(D$6:D2021,"True"))</f>
        <v>16</v>
      </c>
      <c r="F2021" t="str">
        <f t="shared" si="31"/>
        <v>300565.SZ</v>
      </c>
    </row>
    <row r="2022" spans="1:6" x14ac:dyDescent="0.15">
      <c r="A2022" s="2">
        <v>46089</v>
      </c>
      <c r="B2022" s="1" t="s">
        <v>3830</v>
      </c>
      <c r="C2022" s="1" t="s">
        <v>3831</v>
      </c>
      <c r="D2022" t="b">
        <f ca="1">IF(A2022="","",[1]!s_techanal_rcnthigh(B2022,$B$2,1,3))</f>
        <v>0</v>
      </c>
      <c r="E2022">
        <f ca="1">IF(A2022="","",COUNTIF(D$6:D2022,"True"))</f>
        <v>16</v>
      </c>
      <c r="F2022" t="str">
        <f t="shared" si="31"/>
        <v>300566.SZ</v>
      </c>
    </row>
    <row r="2023" spans="1:6" x14ac:dyDescent="0.15">
      <c r="A2023" s="2">
        <v>46089</v>
      </c>
      <c r="B2023" s="1" t="s">
        <v>3832</v>
      </c>
      <c r="C2023" s="1" t="s">
        <v>3833</v>
      </c>
      <c r="D2023" t="b">
        <f ca="1">IF(A2023="","",[1]!s_techanal_rcnthigh(B2023,$B$2,1,3))</f>
        <v>0</v>
      </c>
      <c r="E2023">
        <f ca="1">IF(A2023="","",COUNTIF(D$6:D2023,"True"))</f>
        <v>16</v>
      </c>
      <c r="F2023" t="str">
        <f t="shared" si="31"/>
        <v>300567.SZ</v>
      </c>
    </row>
    <row r="2024" spans="1:6" x14ac:dyDescent="0.15">
      <c r="A2024" s="2">
        <v>46089</v>
      </c>
      <c r="B2024" s="1" t="s">
        <v>3834</v>
      </c>
      <c r="C2024" s="1" t="s">
        <v>3835</v>
      </c>
      <c r="D2024" t="b">
        <f ca="1">IF(A2024="","",[1]!s_techanal_rcnthigh(B2024,$B$2,1,3))</f>
        <v>0</v>
      </c>
      <c r="E2024">
        <f ca="1">IF(A2024="","",COUNTIF(D$6:D2024,"True"))</f>
        <v>16</v>
      </c>
      <c r="F2024" t="str">
        <f t="shared" si="31"/>
        <v>300568.SZ</v>
      </c>
    </row>
    <row r="2025" spans="1:6" x14ac:dyDescent="0.15">
      <c r="A2025" s="2">
        <v>46089</v>
      </c>
      <c r="B2025" s="1" t="s">
        <v>3836</v>
      </c>
      <c r="C2025" s="1" t="s">
        <v>3837</v>
      </c>
      <c r="D2025" t="b">
        <f ca="1">IF(A2025="","",[1]!s_techanal_rcnthigh(B2025,$B$2,1,3))</f>
        <v>0</v>
      </c>
      <c r="E2025">
        <f ca="1">IF(A2025="","",COUNTIF(D$6:D2025,"True"))</f>
        <v>16</v>
      </c>
      <c r="F2025" t="str">
        <f t="shared" si="31"/>
        <v>300569.SZ</v>
      </c>
    </row>
    <row r="2026" spans="1:6" x14ac:dyDescent="0.15">
      <c r="A2026" s="2">
        <v>46089</v>
      </c>
      <c r="B2026" s="1" t="s">
        <v>3838</v>
      </c>
      <c r="C2026" s="1" t="s">
        <v>3839</v>
      </c>
      <c r="D2026" t="b">
        <f ca="1">IF(A2026="","",[1]!s_techanal_rcnthigh(B2026,$B$2,1,3))</f>
        <v>0</v>
      </c>
      <c r="E2026">
        <f ca="1">IF(A2026="","",COUNTIF(D$6:D2026,"True"))</f>
        <v>16</v>
      </c>
      <c r="F2026" t="str">
        <f t="shared" si="31"/>
        <v>300570.SZ</v>
      </c>
    </row>
    <row r="2027" spans="1:6" x14ac:dyDescent="0.15">
      <c r="A2027" s="2">
        <v>46089</v>
      </c>
      <c r="B2027" s="1" t="s">
        <v>3840</v>
      </c>
      <c r="C2027" s="1" t="s">
        <v>3841</v>
      </c>
      <c r="D2027" t="b">
        <f ca="1">IF(A2027="","",[1]!s_techanal_rcnthigh(B2027,$B$2,1,3))</f>
        <v>0</v>
      </c>
      <c r="E2027">
        <f ca="1">IF(A2027="","",COUNTIF(D$6:D2027,"True"))</f>
        <v>16</v>
      </c>
      <c r="F2027" t="str">
        <f t="shared" si="31"/>
        <v>300571.SZ</v>
      </c>
    </row>
    <row r="2028" spans="1:6" x14ac:dyDescent="0.15">
      <c r="A2028" s="2">
        <v>46089</v>
      </c>
      <c r="B2028" s="1" t="s">
        <v>3842</v>
      </c>
      <c r="C2028" s="1" t="s">
        <v>3843</v>
      </c>
      <c r="D2028" t="b">
        <f ca="1">IF(A2028="","",[1]!s_techanal_rcnthigh(B2028,$B$2,1,3))</f>
        <v>0</v>
      </c>
      <c r="E2028">
        <f ca="1">IF(A2028="","",COUNTIF(D$6:D2028,"True"))</f>
        <v>16</v>
      </c>
      <c r="F2028" t="str">
        <f t="shared" si="31"/>
        <v>300572.SZ</v>
      </c>
    </row>
    <row r="2029" spans="1:6" x14ac:dyDescent="0.15">
      <c r="A2029" s="2">
        <v>46089</v>
      </c>
      <c r="B2029" s="1" t="s">
        <v>3844</v>
      </c>
      <c r="C2029" s="1" t="s">
        <v>3845</v>
      </c>
      <c r="D2029" t="b">
        <f ca="1">IF(A2029="","",[1]!s_techanal_rcnthigh(B2029,$B$2,1,3))</f>
        <v>0</v>
      </c>
      <c r="E2029">
        <f ca="1">IF(A2029="","",COUNTIF(D$6:D2029,"True"))</f>
        <v>16</v>
      </c>
      <c r="F2029" t="str">
        <f t="shared" si="31"/>
        <v>300573.SZ</v>
      </c>
    </row>
    <row r="2030" spans="1:6" x14ac:dyDescent="0.15">
      <c r="A2030" s="2">
        <v>46089</v>
      </c>
      <c r="B2030" s="1" t="s">
        <v>3846</v>
      </c>
      <c r="C2030" s="1" t="s">
        <v>3847</v>
      </c>
      <c r="D2030" t="b">
        <f ca="1">IF(A2030="","",[1]!s_techanal_rcnthigh(B2030,$B$2,1,3))</f>
        <v>0</v>
      </c>
      <c r="E2030">
        <f ca="1">IF(A2030="","",COUNTIF(D$6:D2030,"True"))</f>
        <v>16</v>
      </c>
      <c r="F2030" t="str">
        <f t="shared" si="31"/>
        <v>300575.SZ</v>
      </c>
    </row>
    <row r="2031" spans="1:6" x14ac:dyDescent="0.15">
      <c r="A2031" s="2">
        <v>46089</v>
      </c>
      <c r="B2031" s="1" t="s">
        <v>3848</v>
      </c>
      <c r="C2031" s="1" t="s">
        <v>3849</v>
      </c>
      <c r="D2031" t="b">
        <f ca="1">IF(A2031="","",[1]!s_techanal_rcnthigh(B2031,$B$2,1,3))</f>
        <v>0</v>
      </c>
      <c r="E2031">
        <f ca="1">IF(A2031="","",COUNTIF(D$6:D2031,"True"))</f>
        <v>16</v>
      </c>
      <c r="F2031" t="str">
        <f t="shared" si="31"/>
        <v>300576.SZ</v>
      </c>
    </row>
    <row r="2032" spans="1:6" x14ac:dyDescent="0.15">
      <c r="A2032" s="2">
        <v>46089</v>
      </c>
      <c r="B2032" s="1" t="s">
        <v>3850</v>
      </c>
      <c r="C2032" s="1" t="s">
        <v>3851</v>
      </c>
      <c r="D2032" t="b">
        <f ca="1">IF(A2032="","",[1]!s_techanal_rcnthigh(B2032,$B$2,1,3))</f>
        <v>0</v>
      </c>
      <c r="E2032">
        <f ca="1">IF(A2032="","",COUNTIF(D$6:D2032,"True"))</f>
        <v>16</v>
      </c>
      <c r="F2032" t="str">
        <f t="shared" si="31"/>
        <v>300577.SZ</v>
      </c>
    </row>
    <row r="2033" spans="1:6" x14ac:dyDescent="0.15">
      <c r="A2033" s="2">
        <v>46089</v>
      </c>
      <c r="B2033" s="1" t="s">
        <v>3852</v>
      </c>
      <c r="C2033" s="1" t="s">
        <v>10226</v>
      </c>
      <c r="D2033" t="b">
        <f ca="1">IF(A2033="","",[1]!s_techanal_rcnthigh(B2033,$B$2,1,3))</f>
        <v>0</v>
      </c>
      <c r="E2033">
        <f ca="1">IF(A2033="","",COUNTIF(D$6:D2033,"True"))</f>
        <v>16</v>
      </c>
      <c r="F2033" t="str">
        <f t="shared" si="31"/>
        <v>300578.SZ</v>
      </c>
    </row>
    <row r="2034" spans="1:6" x14ac:dyDescent="0.15">
      <c r="A2034" s="2">
        <v>46089</v>
      </c>
      <c r="B2034" s="1" t="s">
        <v>3853</v>
      </c>
      <c r="C2034" s="1" t="s">
        <v>3854</v>
      </c>
      <c r="D2034" t="b">
        <f ca="1">IF(A2034="","",[1]!s_techanal_rcnthigh(B2034,$B$2,1,3))</f>
        <v>0</v>
      </c>
      <c r="E2034">
        <f ca="1">IF(A2034="","",COUNTIF(D$6:D2034,"True"))</f>
        <v>16</v>
      </c>
      <c r="F2034" t="str">
        <f t="shared" si="31"/>
        <v>300579.SZ</v>
      </c>
    </row>
    <row r="2035" spans="1:6" x14ac:dyDescent="0.15">
      <c r="A2035" s="2">
        <v>46089</v>
      </c>
      <c r="B2035" s="1" t="s">
        <v>3855</v>
      </c>
      <c r="C2035" s="1" t="s">
        <v>3856</v>
      </c>
      <c r="D2035" t="b">
        <f ca="1">IF(A2035="","",[1]!s_techanal_rcnthigh(B2035,$B$2,1,3))</f>
        <v>0</v>
      </c>
      <c r="E2035">
        <f ca="1">IF(A2035="","",COUNTIF(D$6:D2035,"True"))</f>
        <v>16</v>
      </c>
      <c r="F2035" t="str">
        <f t="shared" si="31"/>
        <v>300580.SZ</v>
      </c>
    </row>
    <row r="2036" spans="1:6" x14ac:dyDescent="0.15">
      <c r="A2036" s="2">
        <v>46089</v>
      </c>
      <c r="B2036" s="1" t="s">
        <v>3857</v>
      </c>
      <c r="C2036" s="1" t="s">
        <v>3858</v>
      </c>
      <c r="D2036" t="b">
        <f ca="1">IF(A2036="","",[1]!s_techanal_rcnthigh(B2036,$B$2,1,3))</f>
        <v>0</v>
      </c>
      <c r="E2036">
        <f ca="1">IF(A2036="","",COUNTIF(D$6:D2036,"True"))</f>
        <v>16</v>
      </c>
      <c r="F2036" t="str">
        <f t="shared" si="31"/>
        <v>300581.SZ</v>
      </c>
    </row>
    <row r="2037" spans="1:6" x14ac:dyDescent="0.15">
      <c r="A2037" s="2">
        <v>46089</v>
      </c>
      <c r="B2037" s="1" t="s">
        <v>3859</v>
      </c>
      <c r="C2037" s="1" t="s">
        <v>3860</v>
      </c>
      <c r="D2037" t="b">
        <f ca="1">IF(A2037="","",[1]!s_techanal_rcnthigh(B2037,$B$2,1,3))</f>
        <v>0</v>
      </c>
      <c r="E2037">
        <f ca="1">IF(A2037="","",COUNTIF(D$6:D2037,"True"))</f>
        <v>16</v>
      </c>
      <c r="F2037" t="str">
        <f t="shared" si="31"/>
        <v>300582.SZ</v>
      </c>
    </row>
    <row r="2038" spans="1:6" x14ac:dyDescent="0.15">
      <c r="A2038" s="2">
        <v>46089</v>
      </c>
      <c r="B2038" s="1" t="s">
        <v>3861</v>
      </c>
      <c r="C2038" s="1" t="s">
        <v>3862</v>
      </c>
      <c r="D2038" t="b">
        <f ca="1">IF(A2038="","",[1]!s_techanal_rcnthigh(B2038,$B$2,1,3))</f>
        <v>0</v>
      </c>
      <c r="E2038">
        <f ca="1">IF(A2038="","",COUNTIF(D$6:D2038,"True"))</f>
        <v>16</v>
      </c>
      <c r="F2038" t="str">
        <f t="shared" si="31"/>
        <v>300583.SZ</v>
      </c>
    </row>
    <row r="2039" spans="1:6" x14ac:dyDescent="0.15">
      <c r="A2039" s="2">
        <v>46089</v>
      </c>
      <c r="B2039" s="1" t="s">
        <v>3863</v>
      </c>
      <c r="C2039" s="1" t="s">
        <v>3864</v>
      </c>
      <c r="D2039" t="b">
        <f ca="1">IF(A2039="","",[1]!s_techanal_rcnthigh(B2039,$B$2,1,3))</f>
        <v>0</v>
      </c>
      <c r="E2039">
        <f ca="1">IF(A2039="","",COUNTIF(D$6:D2039,"True"))</f>
        <v>16</v>
      </c>
      <c r="F2039" t="str">
        <f t="shared" si="31"/>
        <v>300584.SZ</v>
      </c>
    </row>
    <row r="2040" spans="1:6" x14ac:dyDescent="0.15">
      <c r="A2040" s="2">
        <v>46089</v>
      </c>
      <c r="B2040" s="1" t="s">
        <v>3865</v>
      </c>
      <c r="C2040" s="1" t="s">
        <v>3866</v>
      </c>
      <c r="D2040" t="b">
        <f ca="1">IF(A2040="","",[1]!s_techanal_rcnthigh(B2040,$B$2,1,3))</f>
        <v>0</v>
      </c>
      <c r="E2040">
        <f ca="1">IF(A2040="","",COUNTIF(D$6:D2040,"True"))</f>
        <v>16</v>
      </c>
      <c r="F2040" t="str">
        <f t="shared" si="31"/>
        <v>300585.SZ</v>
      </c>
    </row>
    <row r="2041" spans="1:6" x14ac:dyDescent="0.15">
      <c r="A2041" s="2">
        <v>46089</v>
      </c>
      <c r="B2041" s="1" t="s">
        <v>3867</v>
      </c>
      <c r="C2041" s="1" t="s">
        <v>3868</v>
      </c>
      <c r="D2041" t="b">
        <f ca="1">IF(A2041="","",[1]!s_techanal_rcnthigh(B2041,$B$2,1,3))</f>
        <v>0</v>
      </c>
      <c r="E2041">
        <f ca="1">IF(A2041="","",COUNTIF(D$6:D2041,"True"))</f>
        <v>16</v>
      </c>
      <c r="F2041" t="str">
        <f t="shared" si="31"/>
        <v>300586.SZ</v>
      </c>
    </row>
    <row r="2042" spans="1:6" x14ac:dyDescent="0.15">
      <c r="A2042" s="2">
        <v>46089</v>
      </c>
      <c r="B2042" s="1" t="s">
        <v>3869</v>
      </c>
      <c r="C2042" s="1" t="s">
        <v>10227</v>
      </c>
      <c r="D2042" t="b">
        <f ca="1">IF(A2042="","",[1]!s_techanal_rcnthigh(B2042,$B$2,1,3))</f>
        <v>0</v>
      </c>
      <c r="E2042">
        <f ca="1">IF(A2042="","",COUNTIF(D$6:D2042,"True"))</f>
        <v>16</v>
      </c>
      <c r="F2042" t="str">
        <f t="shared" si="31"/>
        <v>300587.SZ</v>
      </c>
    </row>
    <row r="2043" spans="1:6" x14ac:dyDescent="0.15">
      <c r="A2043" s="2">
        <v>46089</v>
      </c>
      <c r="B2043" s="1" t="s">
        <v>3870</v>
      </c>
      <c r="C2043" s="1" t="s">
        <v>3871</v>
      </c>
      <c r="D2043" t="b">
        <f ca="1">IF(A2043="","",[1]!s_techanal_rcnthigh(B2043,$B$2,1,3))</f>
        <v>0</v>
      </c>
      <c r="E2043">
        <f ca="1">IF(A2043="","",COUNTIF(D$6:D2043,"True"))</f>
        <v>16</v>
      </c>
      <c r="F2043" t="str">
        <f t="shared" si="31"/>
        <v>300588.SZ</v>
      </c>
    </row>
    <row r="2044" spans="1:6" x14ac:dyDescent="0.15">
      <c r="A2044" s="2">
        <v>46089</v>
      </c>
      <c r="B2044" s="1" t="s">
        <v>3872</v>
      </c>
      <c r="C2044" s="1" t="s">
        <v>3873</v>
      </c>
      <c r="D2044" t="b">
        <f ca="1">IF(A2044="","",[1]!s_techanal_rcnthigh(B2044,$B$2,1,3))</f>
        <v>0</v>
      </c>
      <c r="E2044">
        <f ca="1">IF(A2044="","",COUNTIF(D$6:D2044,"True"))</f>
        <v>16</v>
      </c>
      <c r="F2044" t="str">
        <f t="shared" si="31"/>
        <v>300589.SZ</v>
      </c>
    </row>
    <row r="2045" spans="1:6" x14ac:dyDescent="0.15">
      <c r="A2045" s="2">
        <v>46089</v>
      </c>
      <c r="B2045" s="1" t="s">
        <v>3874</v>
      </c>
      <c r="C2045" s="1" t="s">
        <v>3875</v>
      </c>
      <c r="D2045" t="b">
        <f ca="1">IF(A2045="","",[1]!s_techanal_rcnthigh(B2045,$B$2,1,3))</f>
        <v>0</v>
      </c>
      <c r="E2045">
        <f ca="1">IF(A2045="","",COUNTIF(D$6:D2045,"True"))</f>
        <v>16</v>
      </c>
      <c r="F2045" t="str">
        <f t="shared" si="31"/>
        <v>300590.SZ</v>
      </c>
    </row>
    <row r="2046" spans="1:6" x14ac:dyDescent="0.15">
      <c r="A2046" s="2">
        <v>46089</v>
      </c>
      <c r="B2046" s="1" t="s">
        <v>3876</v>
      </c>
      <c r="C2046" s="1" t="s">
        <v>3877</v>
      </c>
      <c r="D2046" t="b">
        <f ca="1">IF(A2046="","",[1]!s_techanal_rcnthigh(B2046,$B$2,1,3))</f>
        <v>0</v>
      </c>
      <c r="E2046">
        <f ca="1">IF(A2046="","",COUNTIF(D$6:D2046,"True"))</f>
        <v>16</v>
      </c>
      <c r="F2046" t="str">
        <f t="shared" si="31"/>
        <v>300591.SZ</v>
      </c>
    </row>
    <row r="2047" spans="1:6" x14ac:dyDescent="0.15">
      <c r="A2047" s="2">
        <v>46089</v>
      </c>
      <c r="B2047" s="1" t="s">
        <v>3878</v>
      </c>
      <c r="C2047" s="1" t="s">
        <v>3879</v>
      </c>
      <c r="D2047" t="b">
        <f ca="1">IF(A2047="","",[1]!s_techanal_rcnthigh(B2047,$B$2,1,3))</f>
        <v>0</v>
      </c>
      <c r="E2047">
        <f ca="1">IF(A2047="","",COUNTIF(D$6:D2047,"True"))</f>
        <v>16</v>
      </c>
      <c r="F2047" t="str">
        <f t="shared" si="31"/>
        <v>300592.SZ</v>
      </c>
    </row>
    <row r="2048" spans="1:6" x14ac:dyDescent="0.15">
      <c r="A2048" s="2">
        <v>46089</v>
      </c>
      <c r="B2048" s="1" t="s">
        <v>3880</v>
      </c>
      <c r="C2048" s="1" t="s">
        <v>3881</v>
      </c>
      <c r="D2048" t="b">
        <f ca="1">IF(A2048="","",[1]!s_techanal_rcnthigh(B2048,$B$2,1,3))</f>
        <v>0</v>
      </c>
      <c r="E2048">
        <f ca="1">IF(A2048="","",COUNTIF(D$6:D2048,"True"))</f>
        <v>16</v>
      </c>
      <c r="F2048" t="str">
        <f t="shared" si="31"/>
        <v>300593.SZ</v>
      </c>
    </row>
    <row r="2049" spans="1:6" x14ac:dyDescent="0.15">
      <c r="A2049" s="2">
        <v>46089</v>
      </c>
      <c r="B2049" s="1" t="s">
        <v>3882</v>
      </c>
      <c r="C2049" s="1" t="s">
        <v>3883</v>
      </c>
      <c r="D2049" t="b">
        <f ca="1">IF(A2049="","",[1]!s_techanal_rcnthigh(B2049,$B$2,1,3))</f>
        <v>0</v>
      </c>
      <c r="E2049">
        <f ca="1">IF(A2049="","",COUNTIF(D$6:D2049,"True"))</f>
        <v>16</v>
      </c>
      <c r="F2049" t="str">
        <f t="shared" si="31"/>
        <v>300594.SZ</v>
      </c>
    </row>
    <row r="2050" spans="1:6" x14ac:dyDescent="0.15">
      <c r="A2050" s="2">
        <v>46089</v>
      </c>
      <c r="B2050" s="1" t="s">
        <v>3884</v>
      </c>
      <c r="C2050" s="1" t="s">
        <v>3885</v>
      </c>
      <c r="D2050" t="b">
        <f ca="1">IF(A2050="","",[1]!s_techanal_rcnthigh(B2050,$B$2,1,3))</f>
        <v>0</v>
      </c>
      <c r="E2050">
        <f ca="1">IF(A2050="","",COUNTIF(D$6:D2050,"True"))</f>
        <v>16</v>
      </c>
      <c r="F2050" t="str">
        <f t="shared" si="31"/>
        <v>300595.SZ</v>
      </c>
    </row>
    <row r="2051" spans="1:6" x14ac:dyDescent="0.15">
      <c r="A2051" s="2">
        <v>46089</v>
      </c>
      <c r="B2051" s="1" t="s">
        <v>3886</v>
      </c>
      <c r="C2051" s="1" t="s">
        <v>3887</v>
      </c>
      <c r="D2051" t="b">
        <f ca="1">IF(A2051="","",[1]!s_techanal_rcnthigh(B2051,$B$2,1,3))</f>
        <v>0</v>
      </c>
      <c r="E2051">
        <f ca="1">IF(A2051="","",COUNTIF(D$6:D2051,"True"))</f>
        <v>16</v>
      </c>
      <c r="F2051" t="str">
        <f t="shared" si="31"/>
        <v>300596.SZ</v>
      </c>
    </row>
    <row r="2052" spans="1:6" x14ac:dyDescent="0.15">
      <c r="A2052" s="2">
        <v>46089</v>
      </c>
      <c r="B2052" s="1" t="s">
        <v>3888</v>
      </c>
      <c r="C2052" s="1" t="s">
        <v>3889</v>
      </c>
      <c r="D2052" t="b">
        <f ca="1">IF(A2052="","",[1]!s_techanal_rcnthigh(B2052,$B$2,1,3))</f>
        <v>0</v>
      </c>
      <c r="E2052">
        <f ca="1">IF(A2052="","",COUNTIF(D$6:D2052,"True"))</f>
        <v>16</v>
      </c>
      <c r="F2052" t="str">
        <f t="shared" si="31"/>
        <v>300597.SZ</v>
      </c>
    </row>
    <row r="2053" spans="1:6" x14ac:dyDescent="0.15">
      <c r="A2053" s="2">
        <v>46089</v>
      </c>
      <c r="B2053" s="1" t="s">
        <v>3890</v>
      </c>
      <c r="C2053" s="1" t="s">
        <v>3891</v>
      </c>
      <c r="D2053" t="b">
        <f ca="1">IF(A2053="","",[1]!s_techanal_rcnthigh(B2053,$B$2,1,3))</f>
        <v>0</v>
      </c>
      <c r="E2053">
        <f ca="1">IF(A2053="","",COUNTIF(D$6:D2053,"True"))</f>
        <v>16</v>
      </c>
      <c r="F2053" t="str">
        <f t="shared" si="31"/>
        <v>300598.SZ</v>
      </c>
    </row>
    <row r="2054" spans="1:6" x14ac:dyDescent="0.15">
      <c r="A2054" s="2">
        <v>46089</v>
      </c>
      <c r="B2054" s="1" t="s">
        <v>3892</v>
      </c>
      <c r="C2054" s="1" t="s">
        <v>3893</v>
      </c>
      <c r="D2054" t="b">
        <f ca="1">IF(A2054="","",[1]!s_techanal_rcnthigh(B2054,$B$2,1,3))</f>
        <v>0</v>
      </c>
      <c r="E2054">
        <f ca="1">IF(A2054="","",COUNTIF(D$6:D2054,"True"))</f>
        <v>16</v>
      </c>
      <c r="F2054" t="str">
        <f t="shared" ref="F2054:F2117" si="32">IF(B2054="","",B2054)</f>
        <v>300599.SZ</v>
      </c>
    </row>
    <row r="2055" spans="1:6" x14ac:dyDescent="0.15">
      <c r="A2055" s="2">
        <v>46089</v>
      </c>
      <c r="B2055" s="1" t="s">
        <v>3894</v>
      </c>
      <c r="C2055" s="1" t="s">
        <v>3895</v>
      </c>
      <c r="D2055" t="b">
        <f ca="1">IF(A2055="","",[1]!s_techanal_rcnthigh(B2055,$B$2,1,3))</f>
        <v>0</v>
      </c>
      <c r="E2055">
        <f ca="1">IF(A2055="","",COUNTIF(D$6:D2055,"True"))</f>
        <v>16</v>
      </c>
      <c r="F2055" t="str">
        <f t="shared" si="32"/>
        <v>300600.SZ</v>
      </c>
    </row>
    <row r="2056" spans="1:6" x14ac:dyDescent="0.15">
      <c r="A2056" s="2">
        <v>46089</v>
      </c>
      <c r="B2056" s="1" t="s">
        <v>3896</v>
      </c>
      <c r="C2056" s="1" t="s">
        <v>3897</v>
      </c>
      <c r="D2056" t="b">
        <f ca="1">IF(A2056="","",[1]!s_techanal_rcnthigh(B2056,$B$2,1,3))</f>
        <v>0</v>
      </c>
      <c r="E2056">
        <f ca="1">IF(A2056="","",COUNTIF(D$6:D2056,"True"))</f>
        <v>16</v>
      </c>
      <c r="F2056" t="str">
        <f t="shared" si="32"/>
        <v>300601.SZ</v>
      </c>
    </row>
    <row r="2057" spans="1:6" x14ac:dyDescent="0.15">
      <c r="A2057" s="2">
        <v>46089</v>
      </c>
      <c r="B2057" s="1" t="s">
        <v>3898</v>
      </c>
      <c r="C2057" s="1" t="s">
        <v>3899</v>
      </c>
      <c r="D2057" t="b">
        <f ca="1">IF(A2057="","",[1]!s_techanal_rcnthigh(B2057,$B$2,1,3))</f>
        <v>0</v>
      </c>
      <c r="E2057">
        <f ca="1">IF(A2057="","",COUNTIF(D$6:D2057,"True"))</f>
        <v>16</v>
      </c>
      <c r="F2057" t="str">
        <f t="shared" si="32"/>
        <v>300602.SZ</v>
      </c>
    </row>
    <row r="2058" spans="1:6" x14ac:dyDescent="0.15">
      <c r="A2058" s="2">
        <v>46089</v>
      </c>
      <c r="B2058" s="1" t="s">
        <v>3900</v>
      </c>
      <c r="C2058" s="1" t="s">
        <v>3901</v>
      </c>
      <c r="D2058" t="b">
        <f ca="1">IF(A2058="","",[1]!s_techanal_rcnthigh(B2058,$B$2,1,3))</f>
        <v>0</v>
      </c>
      <c r="E2058">
        <f ca="1">IF(A2058="","",COUNTIF(D$6:D2058,"True"))</f>
        <v>16</v>
      </c>
      <c r="F2058" t="str">
        <f t="shared" si="32"/>
        <v>300603.SZ</v>
      </c>
    </row>
    <row r="2059" spans="1:6" x14ac:dyDescent="0.15">
      <c r="A2059" s="2">
        <v>46089</v>
      </c>
      <c r="B2059" s="1" t="s">
        <v>3902</v>
      </c>
      <c r="C2059" s="1" t="s">
        <v>3903</v>
      </c>
      <c r="D2059" t="b">
        <f ca="1">IF(A2059="","",[1]!s_techanal_rcnthigh(B2059,$B$2,1,3))</f>
        <v>0</v>
      </c>
      <c r="E2059">
        <f ca="1">IF(A2059="","",COUNTIF(D$6:D2059,"True"))</f>
        <v>16</v>
      </c>
      <c r="F2059" t="str">
        <f t="shared" si="32"/>
        <v>300604.SZ</v>
      </c>
    </row>
    <row r="2060" spans="1:6" x14ac:dyDescent="0.15">
      <c r="A2060" s="2">
        <v>46089</v>
      </c>
      <c r="B2060" s="1" t="s">
        <v>3904</v>
      </c>
      <c r="C2060" s="1" t="s">
        <v>3905</v>
      </c>
      <c r="D2060" t="b">
        <f ca="1">IF(A2060="","",[1]!s_techanal_rcnthigh(B2060,$B$2,1,3))</f>
        <v>0</v>
      </c>
      <c r="E2060">
        <f ca="1">IF(A2060="","",COUNTIF(D$6:D2060,"True"))</f>
        <v>16</v>
      </c>
      <c r="F2060" t="str">
        <f t="shared" si="32"/>
        <v>300605.SZ</v>
      </c>
    </row>
    <row r="2061" spans="1:6" x14ac:dyDescent="0.15">
      <c r="A2061" s="2">
        <v>46089</v>
      </c>
      <c r="B2061" s="1" t="s">
        <v>3906</v>
      </c>
      <c r="C2061" s="1" t="s">
        <v>3907</v>
      </c>
      <c r="D2061" t="b">
        <f ca="1">IF(A2061="","",[1]!s_techanal_rcnthigh(B2061,$B$2,1,3))</f>
        <v>0</v>
      </c>
      <c r="E2061">
        <f ca="1">IF(A2061="","",COUNTIF(D$6:D2061,"True"))</f>
        <v>16</v>
      </c>
      <c r="F2061" t="str">
        <f t="shared" si="32"/>
        <v>300606.SZ</v>
      </c>
    </row>
    <row r="2062" spans="1:6" x14ac:dyDescent="0.15">
      <c r="A2062" s="2">
        <v>46089</v>
      </c>
      <c r="B2062" s="1" t="s">
        <v>3908</v>
      </c>
      <c r="C2062" s="1" t="s">
        <v>3909</v>
      </c>
      <c r="D2062" t="b">
        <f ca="1">IF(A2062="","",[1]!s_techanal_rcnthigh(B2062,$B$2,1,3))</f>
        <v>0</v>
      </c>
      <c r="E2062">
        <f ca="1">IF(A2062="","",COUNTIF(D$6:D2062,"True"))</f>
        <v>16</v>
      </c>
      <c r="F2062" t="str">
        <f t="shared" si="32"/>
        <v>300607.SZ</v>
      </c>
    </row>
    <row r="2063" spans="1:6" x14ac:dyDescent="0.15">
      <c r="A2063" s="2">
        <v>46089</v>
      </c>
      <c r="B2063" s="1" t="s">
        <v>3910</v>
      </c>
      <c r="C2063" s="1" t="s">
        <v>3911</v>
      </c>
      <c r="D2063" t="b">
        <f ca="1">IF(A2063="","",[1]!s_techanal_rcnthigh(B2063,$B$2,1,3))</f>
        <v>0</v>
      </c>
      <c r="E2063">
        <f ca="1">IF(A2063="","",COUNTIF(D$6:D2063,"True"))</f>
        <v>16</v>
      </c>
      <c r="F2063" t="str">
        <f t="shared" si="32"/>
        <v>300608.SZ</v>
      </c>
    </row>
    <row r="2064" spans="1:6" x14ac:dyDescent="0.15">
      <c r="A2064" s="2">
        <v>46089</v>
      </c>
      <c r="B2064" s="1" t="s">
        <v>3912</v>
      </c>
      <c r="C2064" s="1" t="s">
        <v>3913</v>
      </c>
      <c r="D2064" t="b">
        <f ca="1">IF(A2064="","",[1]!s_techanal_rcnthigh(B2064,$B$2,1,3))</f>
        <v>0</v>
      </c>
      <c r="E2064">
        <f ca="1">IF(A2064="","",COUNTIF(D$6:D2064,"True"))</f>
        <v>16</v>
      </c>
      <c r="F2064" t="str">
        <f t="shared" si="32"/>
        <v>300609.SZ</v>
      </c>
    </row>
    <row r="2065" spans="1:6" x14ac:dyDescent="0.15">
      <c r="A2065" s="2">
        <v>46089</v>
      </c>
      <c r="B2065" s="1" t="s">
        <v>3914</v>
      </c>
      <c r="C2065" s="1" t="s">
        <v>3915</v>
      </c>
      <c r="D2065" t="b">
        <f ca="1">IF(A2065="","",[1]!s_techanal_rcnthigh(B2065,$B$2,1,3))</f>
        <v>0</v>
      </c>
      <c r="E2065">
        <f ca="1">IF(A2065="","",COUNTIF(D$6:D2065,"True"))</f>
        <v>16</v>
      </c>
      <c r="F2065" t="str">
        <f t="shared" si="32"/>
        <v>300610.SZ</v>
      </c>
    </row>
    <row r="2066" spans="1:6" x14ac:dyDescent="0.15">
      <c r="A2066" s="2">
        <v>46089</v>
      </c>
      <c r="B2066" s="1" t="s">
        <v>3916</v>
      </c>
      <c r="C2066" s="1" t="s">
        <v>3917</v>
      </c>
      <c r="D2066" t="b">
        <f ca="1">IF(A2066="","",[1]!s_techanal_rcnthigh(B2066,$B$2,1,3))</f>
        <v>0</v>
      </c>
      <c r="E2066">
        <f ca="1">IF(A2066="","",COUNTIF(D$6:D2066,"True"))</f>
        <v>16</v>
      </c>
      <c r="F2066" t="str">
        <f t="shared" si="32"/>
        <v>300611.SZ</v>
      </c>
    </row>
    <row r="2067" spans="1:6" x14ac:dyDescent="0.15">
      <c r="A2067" s="2">
        <v>46089</v>
      </c>
      <c r="B2067" s="1" t="s">
        <v>3918</v>
      </c>
      <c r="C2067" s="1" t="s">
        <v>3919</v>
      </c>
      <c r="D2067" t="b">
        <f ca="1">IF(A2067="","",[1]!s_techanal_rcnthigh(B2067,$B$2,1,3))</f>
        <v>0</v>
      </c>
      <c r="E2067">
        <f ca="1">IF(A2067="","",COUNTIF(D$6:D2067,"True"))</f>
        <v>16</v>
      </c>
      <c r="F2067" t="str">
        <f t="shared" si="32"/>
        <v>300612.SZ</v>
      </c>
    </row>
    <row r="2068" spans="1:6" x14ac:dyDescent="0.15">
      <c r="A2068" s="2">
        <v>46089</v>
      </c>
      <c r="B2068" s="1" t="s">
        <v>3920</v>
      </c>
      <c r="C2068" s="1" t="s">
        <v>3921</v>
      </c>
      <c r="D2068" t="b">
        <f ca="1">IF(A2068="","",[1]!s_techanal_rcnthigh(B2068,$B$2,1,3))</f>
        <v>0</v>
      </c>
      <c r="E2068">
        <f ca="1">IF(A2068="","",COUNTIF(D$6:D2068,"True"))</f>
        <v>16</v>
      </c>
      <c r="F2068" t="str">
        <f t="shared" si="32"/>
        <v>300613.SZ</v>
      </c>
    </row>
    <row r="2069" spans="1:6" x14ac:dyDescent="0.15">
      <c r="A2069" s="2">
        <v>46089</v>
      </c>
      <c r="B2069" s="1" t="s">
        <v>3922</v>
      </c>
      <c r="C2069" s="1" t="s">
        <v>3923</v>
      </c>
      <c r="D2069" t="b">
        <f ca="1">IF(A2069="","",[1]!s_techanal_rcnthigh(B2069,$B$2,1,3))</f>
        <v>0</v>
      </c>
      <c r="E2069">
        <f ca="1">IF(A2069="","",COUNTIF(D$6:D2069,"True"))</f>
        <v>16</v>
      </c>
      <c r="F2069" t="str">
        <f t="shared" si="32"/>
        <v>300614.SZ</v>
      </c>
    </row>
    <row r="2070" spans="1:6" x14ac:dyDescent="0.15">
      <c r="A2070" s="2">
        <v>46089</v>
      </c>
      <c r="B2070" s="1" t="s">
        <v>3924</v>
      </c>
      <c r="C2070" s="1" t="s">
        <v>3925</v>
      </c>
      <c r="D2070" t="b">
        <f ca="1">IF(A2070="","",[1]!s_techanal_rcnthigh(B2070,$B$2,1,3))</f>
        <v>0</v>
      </c>
      <c r="E2070">
        <f ca="1">IF(A2070="","",COUNTIF(D$6:D2070,"True"))</f>
        <v>16</v>
      </c>
      <c r="F2070" t="str">
        <f t="shared" si="32"/>
        <v>300615.SZ</v>
      </c>
    </row>
    <row r="2071" spans="1:6" x14ac:dyDescent="0.15">
      <c r="A2071" s="2">
        <v>46089</v>
      </c>
      <c r="B2071" s="1" t="s">
        <v>3926</v>
      </c>
      <c r="C2071" s="1" t="s">
        <v>3927</v>
      </c>
      <c r="D2071" t="b">
        <f ca="1">IF(A2071="","",[1]!s_techanal_rcnthigh(B2071,$B$2,1,3))</f>
        <v>0</v>
      </c>
      <c r="E2071">
        <f ca="1">IF(A2071="","",COUNTIF(D$6:D2071,"True"))</f>
        <v>16</v>
      </c>
      <c r="F2071" t="str">
        <f t="shared" si="32"/>
        <v>300616.SZ</v>
      </c>
    </row>
    <row r="2072" spans="1:6" x14ac:dyDescent="0.15">
      <c r="A2072" s="2">
        <v>46089</v>
      </c>
      <c r="B2072" s="1" t="s">
        <v>3928</v>
      </c>
      <c r="C2072" s="1" t="s">
        <v>3929</v>
      </c>
      <c r="D2072" t="b">
        <f ca="1">IF(A2072="","",[1]!s_techanal_rcnthigh(B2072,$B$2,1,3))</f>
        <v>0</v>
      </c>
      <c r="E2072">
        <f ca="1">IF(A2072="","",COUNTIF(D$6:D2072,"True"))</f>
        <v>16</v>
      </c>
      <c r="F2072" t="str">
        <f t="shared" si="32"/>
        <v>300617.SZ</v>
      </c>
    </row>
    <row r="2073" spans="1:6" x14ac:dyDescent="0.15">
      <c r="A2073" s="2">
        <v>46089</v>
      </c>
      <c r="B2073" s="1" t="s">
        <v>3930</v>
      </c>
      <c r="C2073" s="1" t="s">
        <v>3931</v>
      </c>
      <c r="D2073" t="b">
        <f ca="1">IF(A2073="","",[1]!s_techanal_rcnthigh(B2073,$B$2,1,3))</f>
        <v>0</v>
      </c>
      <c r="E2073">
        <f ca="1">IF(A2073="","",COUNTIF(D$6:D2073,"True"))</f>
        <v>16</v>
      </c>
      <c r="F2073" t="str">
        <f t="shared" si="32"/>
        <v>300618.SZ</v>
      </c>
    </row>
    <row r="2074" spans="1:6" x14ac:dyDescent="0.15">
      <c r="A2074" s="2">
        <v>46089</v>
      </c>
      <c r="B2074" s="1" t="s">
        <v>3932</v>
      </c>
      <c r="C2074" s="1" t="s">
        <v>3933</v>
      </c>
      <c r="D2074" t="b">
        <f ca="1">IF(A2074="","",[1]!s_techanal_rcnthigh(B2074,$B$2,1,3))</f>
        <v>0</v>
      </c>
      <c r="E2074">
        <f ca="1">IF(A2074="","",COUNTIF(D$6:D2074,"True"))</f>
        <v>16</v>
      </c>
      <c r="F2074" t="str">
        <f t="shared" si="32"/>
        <v>300619.SZ</v>
      </c>
    </row>
    <row r="2075" spans="1:6" x14ac:dyDescent="0.15">
      <c r="A2075" s="2">
        <v>46089</v>
      </c>
      <c r="B2075" s="1" t="s">
        <v>3934</v>
      </c>
      <c r="C2075" s="1" t="s">
        <v>3935</v>
      </c>
      <c r="D2075" t="b">
        <f ca="1">IF(A2075="","",[1]!s_techanal_rcnthigh(B2075,$B$2,1,3))</f>
        <v>0</v>
      </c>
      <c r="E2075">
        <f ca="1">IF(A2075="","",COUNTIF(D$6:D2075,"True"))</f>
        <v>16</v>
      </c>
      <c r="F2075" t="str">
        <f t="shared" si="32"/>
        <v>300620.SZ</v>
      </c>
    </row>
    <row r="2076" spans="1:6" x14ac:dyDescent="0.15">
      <c r="A2076" s="2">
        <v>46089</v>
      </c>
      <c r="B2076" s="1" t="s">
        <v>3936</v>
      </c>
      <c r="C2076" s="1" t="s">
        <v>3937</v>
      </c>
      <c r="D2076" t="b">
        <f ca="1">IF(A2076="","",[1]!s_techanal_rcnthigh(B2076,$B$2,1,3))</f>
        <v>0</v>
      </c>
      <c r="E2076">
        <f ca="1">IF(A2076="","",COUNTIF(D$6:D2076,"True"))</f>
        <v>16</v>
      </c>
      <c r="F2076" t="str">
        <f t="shared" si="32"/>
        <v>300621.SZ</v>
      </c>
    </row>
    <row r="2077" spans="1:6" x14ac:dyDescent="0.15">
      <c r="A2077" s="2">
        <v>46089</v>
      </c>
      <c r="B2077" s="1" t="s">
        <v>3938</v>
      </c>
      <c r="C2077" s="1" t="s">
        <v>3939</v>
      </c>
      <c r="D2077" t="b">
        <f ca="1">IF(A2077="","",[1]!s_techanal_rcnthigh(B2077,$B$2,1,3))</f>
        <v>0</v>
      </c>
      <c r="E2077">
        <f ca="1">IF(A2077="","",COUNTIF(D$6:D2077,"True"))</f>
        <v>16</v>
      </c>
      <c r="F2077" t="str">
        <f t="shared" si="32"/>
        <v>300622.SZ</v>
      </c>
    </row>
    <row r="2078" spans="1:6" x14ac:dyDescent="0.15">
      <c r="A2078" s="2">
        <v>46089</v>
      </c>
      <c r="B2078" s="1" t="s">
        <v>3940</v>
      </c>
      <c r="C2078" s="1" t="s">
        <v>3941</v>
      </c>
      <c r="D2078" t="b">
        <f ca="1">IF(A2078="","",[1]!s_techanal_rcnthigh(B2078,$B$2,1,3))</f>
        <v>0</v>
      </c>
      <c r="E2078">
        <f ca="1">IF(A2078="","",COUNTIF(D$6:D2078,"True"))</f>
        <v>16</v>
      </c>
      <c r="F2078" t="str">
        <f t="shared" si="32"/>
        <v>300623.SZ</v>
      </c>
    </row>
    <row r="2079" spans="1:6" x14ac:dyDescent="0.15">
      <c r="A2079" s="2">
        <v>46089</v>
      </c>
      <c r="B2079" s="1" t="s">
        <v>3942</v>
      </c>
      <c r="C2079" s="1" t="s">
        <v>3943</v>
      </c>
      <c r="D2079" t="b">
        <f ca="1">IF(A2079="","",[1]!s_techanal_rcnthigh(B2079,$B$2,1,3))</f>
        <v>0</v>
      </c>
      <c r="E2079">
        <f ca="1">IF(A2079="","",COUNTIF(D$6:D2079,"True"))</f>
        <v>16</v>
      </c>
      <c r="F2079" t="str">
        <f t="shared" si="32"/>
        <v>300624.SZ</v>
      </c>
    </row>
    <row r="2080" spans="1:6" x14ac:dyDescent="0.15">
      <c r="A2080" s="2">
        <v>46089</v>
      </c>
      <c r="B2080" s="1" t="s">
        <v>3944</v>
      </c>
      <c r="C2080" s="1" t="s">
        <v>3945</v>
      </c>
      <c r="D2080" t="b">
        <f ca="1">IF(A2080="","",[1]!s_techanal_rcnthigh(B2080,$B$2,1,3))</f>
        <v>0</v>
      </c>
      <c r="E2080">
        <f ca="1">IF(A2080="","",COUNTIF(D$6:D2080,"True"))</f>
        <v>16</v>
      </c>
      <c r="F2080" t="str">
        <f t="shared" si="32"/>
        <v>300625.SZ</v>
      </c>
    </row>
    <row r="2081" spans="1:6" x14ac:dyDescent="0.15">
      <c r="A2081" s="2">
        <v>46089</v>
      </c>
      <c r="B2081" s="1" t="s">
        <v>3946</v>
      </c>
      <c r="C2081" s="1" t="s">
        <v>3947</v>
      </c>
      <c r="D2081" t="b">
        <f ca="1">IF(A2081="","",[1]!s_techanal_rcnthigh(B2081,$B$2,1,3))</f>
        <v>0</v>
      </c>
      <c r="E2081">
        <f ca="1">IF(A2081="","",COUNTIF(D$6:D2081,"True"))</f>
        <v>16</v>
      </c>
      <c r="F2081" t="str">
        <f t="shared" si="32"/>
        <v>300626.SZ</v>
      </c>
    </row>
    <row r="2082" spans="1:6" x14ac:dyDescent="0.15">
      <c r="A2082" s="2">
        <v>46089</v>
      </c>
      <c r="B2082" s="1" t="s">
        <v>3948</v>
      </c>
      <c r="C2082" s="1" t="s">
        <v>3949</v>
      </c>
      <c r="D2082" t="b">
        <f ca="1">IF(A2082="","",[1]!s_techanal_rcnthigh(B2082,$B$2,1,3))</f>
        <v>0</v>
      </c>
      <c r="E2082">
        <f ca="1">IF(A2082="","",COUNTIF(D$6:D2082,"True"))</f>
        <v>16</v>
      </c>
      <c r="F2082" t="str">
        <f t="shared" si="32"/>
        <v>300627.SZ</v>
      </c>
    </row>
    <row r="2083" spans="1:6" x14ac:dyDescent="0.15">
      <c r="A2083" s="2">
        <v>46089</v>
      </c>
      <c r="B2083" s="1" t="s">
        <v>3950</v>
      </c>
      <c r="C2083" s="1" t="s">
        <v>3951</v>
      </c>
      <c r="D2083" t="b">
        <f ca="1">IF(A2083="","",[1]!s_techanal_rcnthigh(B2083,$B$2,1,3))</f>
        <v>0</v>
      </c>
      <c r="E2083">
        <f ca="1">IF(A2083="","",COUNTIF(D$6:D2083,"True"))</f>
        <v>16</v>
      </c>
      <c r="F2083" t="str">
        <f t="shared" si="32"/>
        <v>300628.SZ</v>
      </c>
    </row>
    <row r="2084" spans="1:6" x14ac:dyDescent="0.15">
      <c r="A2084" s="2">
        <v>46089</v>
      </c>
      <c r="B2084" s="1" t="s">
        <v>3952</v>
      </c>
      <c r="C2084" s="1" t="s">
        <v>3953</v>
      </c>
      <c r="D2084" t="b">
        <f ca="1">IF(A2084="","",[1]!s_techanal_rcnthigh(B2084,$B$2,1,3))</f>
        <v>0</v>
      </c>
      <c r="E2084">
        <f ca="1">IF(A2084="","",COUNTIF(D$6:D2084,"True"))</f>
        <v>16</v>
      </c>
      <c r="F2084" t="str">
        <f t="shared" si="32"/>
        <v>300629.SZ</v>
      </c>
    </row>
    <row r="2085" spans="1:6" x14ac:dyDescent="0.15">
      <c r="A2085" s="2">
        <v>46089</v>
      </c>
      <c r="B2085" s="1" t="s">
        <v>3954</v>
      </c>
      <c r="C2085" s="1" t="s">
        <v>3955</v>
      </c>
      <c r="D2085" t="b">
        <f ca="1">IF(A2085="","",[1]!s_techanal_rcnthigh(B2085,$B$2,1,3))</f>
        <v>0</v>
      </c>
      <c r="E2085">
        <f ca="1">IF(A2085="","",COUNTIF(D$6:D2085,"True"))</f>
        <v>16</v>
      </c>
      <c r="F2085" t="str">
        <f t="shared" si="32"/>
        <v>300631.SZ</v>
      </c>
    </row>
    <row r="2086" spans="1:6" x14ac:dyDescent="0.15">
      <c r="A2086" s="2">
        <v>46089</v>
      </c>
      <c r="B2086" s="1" t="s">
        <v>3956</v>
      </c>
      <c r="C2086" s="1" t="s">
        <v>3957</v>
      </c>
      <c r="D2086" t="b">
        <f ca="1">IF(A2086="","",[1]!s_techanal_rcnthigh(B2086,$B$2,1,3))</f>
        <v>0</v>
      </c>
      <c r="E2086">
        <f ca="1">IF(A2086="","",COUNTIF(D$6:D2086,"True"))</f>
        <v>16</v>
      </c>
      <c r="F2086" t="str">
        <f t="shared" si="32"/>
        <v>300632.SZ</v>
      </c>
    </row>
    <row r="2087" spans="1:6" x14ac:dyDescent="0.15">
      <c r="A2087" s="2">
        <v>46089</v>
      </c>
      <c r="B2087" s="1" t="s">
        <v>3958</v>
      </c>
      <c r="C2087" s="1" t="s">
        <v>3959</v>
      </c>
      <c r="D2087" t="b">
        <f ca="1">IF(A2087="","",[1]!s_techanal_rcnthigh(B2087,$B$2,1,3))</f>
        <v>0</v>
      </c>
      <c r="E2087">
        <f ca="1">IF(A2087="","",COUNTIF(D$6:D2087,"True"))</f>
        <v>16</v>
      </c>
      <c r="F2087" t="str">
        <f t="shared" si="32"/>
        <v>300633.SZ</v>
      </c>
    </row>
    <row r="2088" spans="1:6" x14ac:dyDescent="0.15">
      <c r="A2088" s="2">
        <v>46089</v>
      </c>
      <c r="B2088" s="1" t="s">
        <v>3960</v>
      </c>
      <c r="C2088" s="1" t="s">
        <v>3961</v>
      </c>
      <c r="D2088" t="b">
        <f ca="1">IF(A2088="","",[1]!s_techanal_rcnthigh(B2088,$B$2,1,3))</f>
        <v>0</v>
      </c>
      <c r="E2088">
        <f ca="1">IF(A2088="","",COUNTIF(D$6:D2088,"True"))</f>
        <v>16</v>
      </c>
      <c r="F2088" t="str">
        <f t="shared" si="32"/>
        <v>300634.SZ</v>
      </c>
    </row>
    <row r="2089" spans="1:6" x14ac:dyDescent="0.15">
      <c r="A2089" s="2">
        <v>46089</v>
      </c>
      <c r="B2089" s="1" t="s">
        <v>3962</v>
      </c>
      <c r="C2089" s="1" t="s">
        <v>3963</v>
      </c>
      <c r="D2089" t="b">
        <f ca="1">IF(A2089="","",[1]!s_techanal_rcnthigh(B2089,$B$2,1,3))</f>
        <v>0</v>
      </c>
      <c r="E2089">
        <f ca="1">IF(A2089="","",COUNTIF(D$6:D2089,"True"))</f>
        <v>16</v>
      </c>
      <c r="F2089" t="str">
        <f t="shared" si="32"/>
        <v>300635.SZ</v>
      </c>
    </row>
    <row r="2090" spans="1:6" x14ac:dyDescent="0.15">
      <c r="A2090" s="2">
        <v>46089</v>
      </c>
      <c r="B2090" s="1" t="s">
        <v>3964</v>
      </c>
      <c r="C2090" s="1" t="s">
        <v>3965</v>
      </c>
      <c r="D2090" t="b">
        <f ca="1">IF(A2090="","",[1]!s_techanal_rcnthigh(B2090,$B$2,1,3))</f>
        <v>0</v>
      </c>
      <c r="E2090">
        <f ca="1">IF(A2090="","",COUNTIF(D$6:D2090,"True"))</f>
        <v>16</v>
      </c>
      <c r="F2090" t="str">
        <f t="shared" si="32"/>
        <v>300636.SZ</v>
      </c>
    </row>
    <row r="2091" spans="1:6" x14ac:dyDescent="0.15">
      <c r="A2091" s="2">
        <v>46089</v>
      </c>
      <c r="B2091" s="1" t="s">
        <v>3966</v>
      </c>
      <c r="C2091" s="1" t="s">
        <v>3967</v>
      </c>
      <c r="D2091" t="b">
        <f ca="1">IF(A2091="","",[1]!s_techanal_rcnthigh(B2091,$B$2,1,3))</f>
        <v>0</v>
      </c>
      <c r="E2091">
        <f ca="1">IF(A2091="","",COUNTIF(D$6:D2091,"True"))</f>
        <v>16</v>
      </c>
      <c r="F2091" t="str">
        <f t="shared" si="32"/>
        <v>300637.SZ</v>
      </c>
    </row>
    <row r="2092" spans="1:6" x14ac:dyDescent="0.15">
      <c r="A2092" s="2">
        <v>46089</v>
      </c>
      <c r="B2092" s="1" t="s">
        <v>3968</v>
      </c>
      <c r="C2092" s="1" t="s">
        <v>3969</v>
      </c>
      <c r="D2092" t="b">
        <f ca="1">IF(A2092="","",[1]!s_techanal_rcnthigh(B2092,$B$2,1,3))</f>
        <v>0</v>
      </c>
      <c r="E2092">
        <f ca="1">IF(A2092="","",COUNTIF(D$6:D2092,"True"))</f>
        <v>16</v>
      </c>
      <c r="F2092" t="str">
        <f t="shared" si="32"/>
        <v>300638.SZ</v>
      </c>
    </row>
    <row r="2093" spans="1:6" x14ac:dyDescent="0.15">
      <c r="A2093" s="2">
        <v>46089</v>
      </c>
      <c r="B2093" s="1" t="s">
        <v>3970</v>
      </c>
      <c r="C2093" s="1" t="s">
        <v>3971</v>
      </c>
      <c r="D2093" t="b">
        <f ca="1">IF(A2093="","",[1]!s_techanal_rcnthigh(B2093,$B$2,1,3))</f>
        <v>0</v>
      </c>
      <c r="E2093">
        <f ca="1">IF(A2093="","",COUNTIF(D$6:D2093,"True"))</f>
        <v>16</v>
      </c>
      <c r="F2093" t="str">
        <f t="shared" si="32"/>
        <v>300639.SZ</v>
      </c>
    </row>
    <row r="2094" spans="1:6" x14ac:dyDescent="0.15">
      <c r="A2094" s="2">
        <v>46089</v>
      </c>
      <c r="B2094" s="1" t="s">
        <v>3972</v>
      </c>
      <c r="C2094" s="1" t="s">
        <v>3973</v>
      </c>
      <c r="D2094" t="b">
        <f ca="1">IF(A2094="","",[1]!s_techanal_rcnthigh(B2094,$B$2,1,3))</f>
        <v>0</v>
      </c>
      <c r="E2094">
        <f ca="1">IF(A2094="","",COUNTIF(D$6:D2094,"True"))</f>
        <v>16</v>
      </c>
      <c r="F2094" t="str">
        <f t="shared" si="32"/>
        <v>300640.SZ</v>
      </c>
    </row>
    <row r="2095" spans="1:6" x14ac:dyDescent="0.15">
      <c r="A2095" s="2">
        <v>46089</v>
      </c>
      <c r="B2095" s="1" t="s">
        <v>3974</v>
      </c>
      <c r="C2095" s="1" t="s">
        <v>3975</v>
      </c>
      <c r="D2095" t="b">
        <f ca="1">IF(A2095="","",[1]!s_techanal_rcnthigh(B2095,$B$2,1,3))</f>
        <v>0</v>
      </c>
      <c r="E2095">
        <f ca="1">IF(A2095="","",COUNTIF(D$6:D2095,"True"))</f>
        <v>16</v>
      </c>
      <c r="F2095" t="str">
        <f t="shared" si="32"/>
        <v>300641.SZ</v>
      </c>
    </row>
    <row r="2096" spans="1:6" x14ac:dyDescent="0.15">
      <c r="A2096" s="2">
        <v>46089</v>
      </c>
      <c r="B2096" s="1" t="s">
        <v>3976</v>
      </c>
      <c r="C2096" s="1" t="s">
        <v>3977</v>
      </c>
      <c r="D2096" t="b">
        <f ca="1">IF(A2096="","",[1]!s_techanal_rcnthigh(B2096,$B$2,1,3))</f>
        <v>0</v>
      </c>
      <c r="E2096">
        <f ca="1">IF(A2096="","",COUNTIF(D$6:D2096,"True"))</f>
        <v>16</v>
      </c>
      <c r="F2096" t="str">
        <f t="shared" si="32"/>
        <v>300642.SZ</v>
      </c>
    </row>
    <row r="2097" spans="1:6" x14ac:dyDescent="0.15">
      <c r="A2097" s="2">
        <v>46089</v>
      </c>
      <c r="B2097" s="1" t="s">
        <v>3978</v>
      </c>
      <c r="C2097" s="1" t="s">
        <v>3979</v>
      </c>
      <c r="D2097" t="b">
        <f ca="1">IF(A2097="","",[1]!s_techanal_rcnthigh(B2097,$B$2,1,3))</f>
        <v>0</v>
      </c>
      <c r="E2097">
        <f ca="1">IF(A2097="","",COUNTIF(D$6:D2097,"True"))</f>
        <v>16</v>
      </c>
      <c r="F2097" t="str">
        <f t="shared" si="32"/>
        <v>300643.SZ</v>
      </c>
    </row>
    <row r="2098" spans="1:6" x14ac:dyDescent="0.15">
      <c r="A2098" s="2">
        <v>46089</v>
      </c>
      <c r="B2098" s="1" t="s">
        <v>3980</v>
      </c>
      <c r="C2098" s="1" t="s">
        <v>3981</v>
      </c>
      <c r="D2098" t="b">
        <f ca="1">IF(A2098="","",[1]!s_techanal_rcnthigh(B2098,$B$2,1,3))</f>
        <v>0</v>
      </c>
      <c r="E2098">
        <f ca="1">IF(A2098="","",COUNTIF(D$6:D2098,"True"))</f>
        <v>16</v>
      </c>
      <c r="F2098" t="str">
        <f t="shared" si="32"/>
        <v>300644.SZ</v>
      </c>
    </row>
    <row r="2099" spans="1:6" x14ac:dyDescent="0.15">
      <c r="A2099" s="2">
        <v>46089</v>
      </c>
      <c r="B2099" s="1" t="s">
        <v>3982</v>
      </c>
      <c r="C2099" s="1" t="s">
        <v>3983</v>
      </c>
      <c r="D2099" t="b">
        <f ca="1">IF(A2099="","",[1]!s_techanal_rcnthigh(B2099,$B$2,1,3))</f>
        <v>0</v>
      </c>
      <c r="E2099">
        <f ca="1">IF(A2099="","",COUNTIF(D$6:D2099,"True"))</f>
        <v>16</v>
      </c>
      <c r="F2099" t="str">
        <f t="shared" si="32"/>
        <v>300645.SZ</v>
      </c>
    </row>
    <row r="2100" spans="1:6" x14ac:dyDescent="0.15">
      <c r="A2100" s="2">
        <v>46089</v>
      </c>
      <c r="B2100" s="1" t="s">
        <v>3984</v>
      </c>
      <c r="C2100" s="1" t="s">
        <v>3985</v>
      </c>
      <c r="D2100" t="b">
        <f ca="1">IF(A2100="","",[1]!s_techanal_rcnthigh(B2100,$B$2,1,3))</f>
        <v>0</v>
      </c>
      <c r="E2100">
        <f ca="1">IF(A2100="","",COUNTIF(D$6:D2100,"True"))</f>
        <v>16</v>
      </c>
      <c r="F2100" t="str">
        <f t="shared" si="32"/>
        <v>300647.SZ</v>
      </c>
    </row>
    <row r="2101" spans="1:6" x14ac:dyDescent="0.15">
      <c r="A2101" s="2">
        <v>46089</v>
      </c>
      <c r="B2101" s="1" t="s">
        <v>3986</v>
      </c>
      <c r="C2101" s="1" t="s">
        <v>3987</v>
      </c>
      <c r="D2101" t="b">
        <f ca="1">IF(A2101="","",[1]!s_techanal_rcnthigh(B2101,$B$2,1,3))</f>
        <v>0</v>
      </c>
      <c r="E2101">
        <f ca="1">IF(A2101="","",COUNTIF(D$6:D2101,"True"))</f>
        <v>16</v>
      </c>
      <c r="F2101" t="str">
        <f t="shared" si="32"/>
        <v>300648.SZ</v>
      </c>
    </row>
    <row r="2102" spans="1:6" x14ac:dyDescent="0.15">
      <c r="A2102" s="2">
        <v>46089</v>
      </c>
      <c r="B2102" s="1" t="s">
        <v>3988</v>
      </c>
      <c r="C2102" s="1" t="s">
        <v>3989</v>
      </c>
      <c r="D2102" t="b">
        <f ca="1">IF(A2102="","",[1]!s_techanal_rcnthigh(B2102,$B$2,1,3))</f>
        <v>0</v>
      </c>
      <c r="E2102">
        <f ca="1">IF(A2102="","",COUNTIF(D$6:D2102,"True"))</f>
        <v>16</v>
      </c>
      <c r="F2102" t="str">
        <f t="shared" si="32"/>
        <v>300649.SZ</v>
      </c>
    </row>
    <row r="2103" spans="1:6" x14ac:dyDescent="0.15">
      <c r="A2103" s="2">
        <v>46089</v>
      </c>
      <c r="B2103" s="1" t="s">
        <v>3990</v>
      </c>
      <c r="C2103" s="1" t="s">
        <v>3991</v>
      </c>
      <c r="D2103" t="b">
        <f ca="1">IF(A2103="","",[1]!s_techanal_rcnthigh(B2103,$B$2,1,3))</f>
        <v>0</v>
      </c>
      <c r="E2103">
        <f ca="1">IF(A2103="","",COUNTIF(D$6:D2103,"True"))</f>
        <v>16</v>
      </c>
      <c r="F2103" t="str">
        <f t="shared" si="32"/>
        <v>300650.SZ</v>
      </c>
    </row>
    <row r="2104" spans="1:6" x14ac:dyDescent="0.15">
      <c r="A2104" s="2">
        <v>46089</v>
      </c>
      <c r="B2104" s="1" t="s">
        <v>3992</v>
      </c>
      <c r="C2104" s="1" t="s">
        <v>3993</v>
      </c>
      <c r="D2104" t="b">
        <f ca="1">IF(A2104="","",[1]!s_techanal_rcnthigh(B2104,$B$2,1,3))</f>
        <v>0</v>
      </c>
      <c r="E2104">
        <f ca="1">IF(A2104="","",COUNTIF(D$6:D2104,"True"))</f>
        <v>16</v>
      </c>
      <c r="F2104" t="str">
        <f t="shared" si="32"/>
        <v>300651.SZ</v>
      </c>
    </row>
    <row r="2105" spans="1:6" x14ac:dyDescent="0.15">
      <c r="A2105" s="2">
        <v>46089</v>
      </c>
      <c r="B2105" s="1" t="s">
        <v>3994</v>
      </c>
      <c r="C2105" s="1" t="s">
        <v>3995</v>
      </c>
      <c r="D2105" t="b">
        <f ca="1">IF(A2105="","",[1]!s_techanal_rcnthigh(B2105,$B$2,1,3))</f>
        <v>0</v>
      </c>
      <c r="E2105">
        <f ca="1">IF(A2105="","",COUNTIF(D$6:D2105,"True"))</f>
        <v>16</v>
      </c>
      <c r="F2105" t="str">
        <f t="shared" si="32"/>
        <v>300652.SZ</v>
      </c>
    </row>
    <row r="2106" spans="1:6" x14ac:dyDescent="0.15">
      <c r="A2106" s="2">
        <v>46089</v>
      </c>
      <c r="B2106" s="1" t="s">
        <v>3996</v>
      </c>
      <c r="C2106" s="1" t="s">
        <v>3997</v>
      </c>
      <c r="D2106" t="b">
        <f ca="1">IF(A2106="","",[1]!s_techanal_rcnthigh(B2106,$B$2,1,3))</f>
        <v>0</v>
      </c>
      <c r="E2106">
        <f ca="1">IF(A2106="","",COUNTIF(D$6:D2106,"True"))</f>
        <v>16</v>
      </c>
      <c r="F2106" t="str">
        <f t="shared" si="32"/>
        <v>300653.SZ</v>
      </c>
    </row>
    <row r="2107" spans="1:6" x14ac:dyDescent="0.15">
      <c r="A2107" s="2">
        <v>46089</v>
      </c>
      <c r="B2107" s="1" t="s">
        <v>3998</v>
      </c>
      <c r="C2107" s="1" t="s">
        <v>3999</v>
      </c>
      <c r="D2107" t="b">
        <f ca="1">IF(A2107="","",[1]!s_techanal_rcnthigh(B2107,$B$2,1,3))</f>
        <v>0</v>
      </c>
      <c r="E2107">
        <f ca="1">IF(A2107="","",COUNTIF(D$6:D2107,"True"))</f>
        <v>16</v>
      </c>
      <c r="F2107" t="str">
        <f t="shared" si="32"/>
        <v>300654.SZ</v>
      </c>
    </row>
    <row r="2108" spans="1:6" x14ac:dyDescent="0.15">
      <c r="A2108" s="2">
        <v>46089</v>
      </c>
      <c r="B2108" s="1" t="s">
        <v>4000</v>
      </c>
      <c r="C2108" s="1" t="s">
        <v>4001</v>
      </c>
      <c r="D2108" t="b">
        <f ca="1">IF(A2108="","",[1]!s_techanal_rcnthigh(B2108,$B$2,1,3))</f>
        <v>0</v>
      </c>
      <c r="E2108">
        <f ca="1">IF(A2108="","",COUNTIF(D$6:D2108,"True"))</f>
        <v>16</v>
      </c>
      <c r="F2108" t="str">
        <f t="shared" si="32"/>
        <v>300655.SZ</v>
      </c>
    </row>
    <row r="2109" spans="1:6" x14ac:dyDescent="0.15">
      <c r="A2109" s="2">
        <v>46089</v>
      </c>
      <c r="B2109" s="1" t="s">
        <v>4002</v>
      </c>
      <c r="C2109" s="1" t="s">
        <v>4003</v>
      </c>
      <c r="D2109" t="b">
        <f ca="1">IF(A2109="","",[1]!s_techanal_rcnthigh(B2109,$B$2,1,3))</f>
        <v>0</v>
      </c>
      <c r="E2109">
        <f ca="1">IF(A2109="","",COUNTIF(D$6:D2109,"True"))</f>
        <v>16</v>
      </c>
      <c r="F2109" t="str">
        <f t="shared" si="32"/>
        <v>300656.SZ</v>
      </c>
    </row>
    <row r="2110" spans="1:6" x14ac:dyDescent="0.15">
      <c r="A2110" s="2">
        <v>46089</v>
      </c>
      <c r="B2110" s="1" t="s">
        <v>4004</v>
      </c>
      <c r="C2110" s="1" t="s">
        <v>4005</v>
      </c>
      <c r="D2110" t="b">
        <f ca="1">IF(A2110="","",[1]!s_techanal_rcnthigh(B2110,$B$2,1,3))</f>
        <v>0</v>
      </c>
      <c r="E2110">
        <f ca="1">IF(A2110="","",COUNTIF(D$6:D2110,"True"))</f>
        <v>16</v>
      </c>
      <c r="F2110" t="str">
        <f t="shared" si="32"/>
        <v>300657.SZ</v>
      </c>
    </row>
    <row r="2111" spans="1:6" x14ac:dyDescent="0.15">
      <c r="A2111" s="2">
        <v>46089</v>
      </c>
      <c r="B2111" s="1" t="s">
        <v>4006</v>
      </c>
      <c r="C2111" s="1" t="s">
        <v>4007</v>
      </c>
      <c r="D2111" t="b">
        <f ca="1">IF(A2111="","",[1]!s_techanal_rcnthigh(B2111,$B$2,1,3))</f>
        <v>1</v>
      </c>
      <c r="E2111">
        <f ca="1">IF(A2111="","",COUNTIF(D$6:D2111,"True"))</f>
        <v>17</v>
      </c>
      <c r="F2111" t="str">
        <f t="shared" si="32"/>
        <v>300658.SZ</v>
      </c>
    </row>
    <row r="2112" spans="1:6" x14ac:dyDescent="0.15">
      <c r="A2112" s="2">
        <v>46089</v>
      </c>
      <c r="B2112" s="1" t="s">
        <v>4008</v>
      </c>
      <c r="C2112" s="1" t="s">
        <v>4009</v>
      </c>
      <c r="D2112" t="b">
        <f ca="1">IF(A2112="","",[1]!s_techanal_rcnthigh(B2112,$B$2,1,3))</f>
        <v>0</v>
      </c>
      <c r="E2112">
        <f ca="1">IF(A2112="","",COUNTIF(D$6:D2112,"True"))</f>
        <v>17</v>
      </c>
      <c r="F2112" t="str">
        <f t="shared" si="32"/>
        <v>300659.SZ</v>
      </c>
    </row>
    <row r="2113" spans="1:6" x14ac:dyDescent="0.15">
      <c r="A2113" s="2">
        <v>46089</v>
      </c>
      <c r="B2113" s="1" t="s">
        <v>4010</v>
      </c>
      <c r="C2113" s="1" t="s">
        <v>4011</v>
      </c>
      <c r="D2113" t="b">
        <f ca="1">IF(A2113="","",[1]!s_techanal_rcnthigh(B2113,$B$2,1,3))</f>
        <v>0</v>
      </c>
      <c r="E2113">
        <f ca="1">IF(A2113="","",COUNTIF(D$6:D2113,"True"))</f>
        <v>17</v>
      </c>
      <c r="F2113" t="str">
        <f t="shared" si="32"/>
        <v>300660.SZ</v>
      </c>
    </row>
    <row r="2114" spans="1:6" x14ac:dyDescent="0.15">
      <c r="A2114" s="2">
        <v>46089</v>
      </c>
      <c r="B2114" s="1" t="s">
        <v>4012</v>
      </c>
      <c r="C2114" s="1" t="s">
        <v>4013</v>
      </c>
      <c r="D2114" t="b">
        <f ca="1">IF(A2114="","",[1]!s_techanal_rcnthigh(B2114,$B$2,1,3))</f>
        <v>0</v>
      </c>
      <c r="E2114">
        <f ca="1">IF(A2114="","",COUNTIF(D$6:D2114,"True"))</f>
        <v>17</v>
      </c>
      <c r="F2114" t="str">
        <f t="shared" si="32"/>
        <v>300661.SZ</v>
      </c>
    </row>
    <row r="2115" spans="1:6" x14ac:dyDescent="0.15">
      <c r="A2115" s="2">
        <v>46089</v>
      </c>
      <c r="B2115" s="1" t="s">
        <v>4014</v>
      </c>
      <c r="C2115" s="1" t="s">
        <v>4015</v>
      </c>
      <c r="D2115" t="b">
        <f ca="1">IF(A2115="","",[1]!s_techanal_rcnthigh(B2115,$B$2,1,3))</f>
        <v>0</v>
      </c>
      <c r="E2115">
        <f ca="1">IF(A2115="","",COUNTIF(D$6:D2115,"True"))</f>
        <v>17</v>
      </c>
      <c r="F2115" t="str">
        <f t="shared" si="32"/>
        <v>300662.SZ</v>
      </c>
    </row>
    <row r="2116" spans="1:6" x14ac:dyDescent="0.15">
      <c r="A2116" s="2">
        <v>46089</v>
      </c>
      <c r="B2116" s="1" t="s">
        <v>4016</v>
      </c>
      <c r="C2116" s="1" t="s">
        <v>4017</v>
      </c>
      <c r="D2116" t="b">
        <f ca="1">IF(A2116="","",[1]!s_techanal_rcnthigh(B2116,$B$2,1,3))</f>
        <v>0</v>
      </c>
      <c r="E2116">
        <f ca="1">IF(A2116="","",COUNTIF(D$6:D2116,"True"))</f>
        <v>17</v>
      </c>
      <c r="F2116" t="str">
        <f t="shared" si="32"/>
        <v>300663.SZ</v>
      </c>
    </row>
    <row r="2117" spans="1:6" x14ac:dyDescent="0.15">
      <c r="A2117" s="2">
        <v>46089</v>
      </c>
      <c r="B2117" s="1" t="s">
        <v>4018</v>
      </c>
      <c r="C2117" s="1" t="s">
        <v>4019</v>
      </c>
      <c r="D2117" t="b">
        <f ca="1">IF(A2117="","",[1]!s_techanal_rcnthigh(B2117,$B$2,1,3))</f>
        <v>0</v>
      </c>
      <c r="E2117">
        <f ca="1">IF(A2117="","",COUNTIF(D$6:D2117,"True"))</f>
        <v>17</v>
      </c>
      <c r="F2117" t="str">
        <f t="shared" si="32"/>
        <v>300664.SZ</v>
      </c>
    </row>
    <row r="2118" spans="1:6" x14ac:dyDescent="0.15">
      <c r="A2118" s="2">
        <v>46089</v>
      </c>
      <c r="B2118" s="1" t="s">
        <v>4020</v>
      </c>
      <c r="C2118" s="1" t="s">
        <v>4021</v>
      </c>
      <c r="D2118" t="b">
        <f ca="1">IF(A2118="","",[1]!s_techanal_rcnthigh(B2118,$B$2,1,3))</f>
        <v>0</v>
      </c>
      <c r="E2118">
        <f ca="1">IF(A2118="","",COUNTIF(D$6:D2118,"True"))</f>
        <v>17</v>
      </c>
      <c r="F2118" t="str">
        <f t="shared" ref="F2118:F2181" si="33">IF(B2118="","",B2118)</f>
        <v>300665.SZ</v>
      </c>
    </row>
    <row r="2119" spans="1:6" x14ac:dyDescent="0.15">
      <c r="A2119" s="2">
        <v>46089</v>
      </c>
      <c r="B2119" s="1" t="s">
        <v>4022</v>
      </c>
      <c r="C2119" s="1" t="s">
        <v>4023</v>
      </c>
      <c r="D2119" t="b">
        <f ca="1">IF(A2119="","",[1]!s_techanal_rcnthigh(B2119,$B$2,1,3))</f>
        <v>0</v>
      </c>
      <c r="E2119">
        <f ca="1">IF(A2119="","",COUNTIF(D$6:D2119,"True"))</f>
        <v>17</v>
      </c>
      <c r="F2119" t="str">
        <f t="shared" si="33"/>
        <v>300666.SZ</v>
      </c>
    </row>
    <row r="2120" spans="1:6" x14ac:dyDescent="0.15">
      <c r="A2120" s="2">
        <v>46089</v>
      </c>
      <c r="B2120" s="1" t="s">
        <v>4024</v>
      </c>
      <c r="C2120" s="1" t="s">
        <v>4025</v>
      </c>
      <c r="D2120" t="b">
        <f ca="1">IF(A2120="","",[1]!s_techanal_rcnthigh(B2120,$B$2,1,3))</f>
        <v>0</v>
      </c>
      <c r="E2120">
        <f ca="1">IF(A2120="","",COUNTIF(D$6:D2120,"True"))</f>
        <v>17</v>
      </c>
      <c r="F2120" t="str">
        <f t="shared" si="33"/>
        <v>300667.SZ</v>
      </c>
    </row>
    <row r="2121" spans="1:6" x14ac:dyDescent="0.15">
      <c r="A2121" s="2">
        <v>46089</v>
      </c>
      <c r="B2121" s="1" t="s">
        <v>4026</v>
      </c>
      <c r="C2121" s="1" t="s">
        <v>4027</v>
      </c>
      <c r="D2121" t="b">
        <f ca="1">IF(A2121="","",[1]!s_techanal_rcnthigh(B2121,$B$2,1,3))</f>
        <v>0</v>
      </c>
      <c r="E2121">
        <f ca="1">IF(A2121="","",COUNTIF(D$6:D2121,"True"))</f>
        <v>17</v>
      </c>
      <c r="F2121" t="str">
        <f t="shared" si="33"/>
        <v>300668.SZ</v>
      </c>
    </row>
    <row r="2122" spans="1:6" x14ac:dyDescent="0.15">
      <c r="A2122" s="2">
        <v>46089</v>
      </c>
      <c r="B2122" s="1" t="s">
        <v>4028</v>
      </c>
      <c r="C2122" s="1" t="s">
        <v>4029</v>
      </c>
      <c r="D2122" t="b">
        <f ca="1">IF(A2122="","",[1]!s_techanal_rcnthigh(B2122,$B$2,1,3))</f>
        <v>0</v>
      </c>
      <c r="E2122">
        <f ca="1">IF(A2122="","",COUNTIF(D$6:D2122,"True"))</f>
        <v>17</v>
      </c>
      <c r="F2122" t="str">
        <f t="shared" si="33"/>
        <v>300669.SZ</v>
      </c>
    </row>
    <row r="2123" spans="1:6" x14ac:dyDescent="0.15">
      <c r="A2123" s="2">
        <v>46089</v>
      </c>
      <c r="B2123" s="1" t="s">
        <v>4030</v>
      </c>
      <c r="C2123" s="1" t="s">
        <v>4031</v>
      </c>
      <c r="D2123" t="b">
        <f ca="1">IF(A2123="","",[1]!s_techanal_rcnthigh(B2123,$B$2,1,3))</f>
        <v>0</v>
      </c>
      <c r="E2123">
        <f ca="1">IF(A2123="","",COUNTIF(D$6:D2123,"True"))</f>
        <v>17</v>
      </c>
      <c r="F2123" t="str">
        <f t="shared" si="33"/>
        <v>300670.SZ</v>
      </c>
    </row>
    <row r="2124" spans="1:6" x14ac:dyDescent="0.15">
      <c r="A2124" s="2">
        <v>46089</v>
      </c>
      <c r="B2124" s="1" t="s">
        <v>4032</v>
      </c>
      <c r="C2124" s="1" t="s">
        <v>4033</v>
      </c>
      <c r="D2124" t="b">
        <f ca="1">IF(A2124="","",[1]!s_techanal_rcnthigh(B2124,$B$2,1,3))</f>
        <v>0</v>
      </c>
      <c r="E2124">
        <f ca="1">IF(A2124="","",COUNTIF(D$6:D2124,"True"))</f>
        <v>17</v>
      </c>
      <c r="F2124" t="str">
        <f t="shared" si="33"/>
        <v>300671.SZ</v>
      </c>
    </row>
    <row r="2125" spans="1:6" x14ac:dyDescent="0.15">
      <c r="A2125" s="2">
        <v>46089</v>
      </c>
      <c r="B2125" s="1" t="s">
        <v>4034</v>
      </c>
      <c r="C2125" s="1" t="s">
        <v>4035</v>
      </c>
      <c r="D2125" t="b">
        <f ca="1">IF(A2125="","",[1]!s_techanal_rcnthigh(B2125,$B$2,1,3))</f>
        <v>0</v>
      </c>
      <c r="E2125">
        <f ca="1">IF(A2125="","",COUNTIF(D$6:D2125,"True"))</f>
        <v>17</v>
      </c>
      <c r="F2125" t="str">
        <f t="shared" si="33"/>
        <v>300672.SZ</v>
      </c>
    </row>
    <row r="2126" spans="1:6" x14ac:dyDescent="0.15">
      <c r="A2126" s="2">
        <v>46089</v>
      </c>
      <c r="B2126" s="1" t="s">
        <v>4036</v>
      </c>
      <c r="C2126" s="1" t="s">
        <v>4037</v>
      </c>
      <c r="D2126" t="b">
        <f ca="1">IF(A2126="","",[1]!s_techanal_rcnthigh(B2126,$B$2,1,3))</f>
        <v>0</v>
      </c>
      <c r="E2126">
        <f ca="1">IF(A2126="","",COUNTIF(D$6:D2126,"True"))</f>
        <v>17</v>
      </c>
      <c r="F2126" t="str">
        <f t="shared" si="33"/>
        <v>300673.SZ</v>
      </c>
    </row>
    <row r="2127" spans="1:6" x14ac:dyDescent="0.15">
      <c r="A2127" s="2">
        <v>46089</v>
      </c>
      <c r="B2127" s="1" t="s">
        <v>4038</v>
      </c>
      <c r="C2127" s="1" t="s">
        <v>4039</v>
      </c>
      <c r="D2127" t="b">
        <f ca="1">IF(A2127="","",[1]!s_techanal_rcnthigh(B2127,$B$2,1,3))</f>
        <v>0</v>
      </c>
      <c r="E2127">
        <f ca="1">IF(A2127="","",COUNTIF(D$6:D2127,"True"))</f>
        <v>17</v>
      </c>
      <c r="F2127" t="str">
        <f t="shared" si="33"/>
        <v>300674.SZ</v>
      </c>
    </row>
    <row r="2128" spans="1:6" x14ac:dyDescent="0.15">
      <c r="A2128" s="2">
        <v>46089</v>
      </c>
      <c r="B2128" s="1" t="s">
        <v>4040</v>
      </c>
      <c r="C2128" s="1" t="s">
        <v>4041</v>
      </c>
      <c r="D2128" t="b">
        <f ca="1">IF(A2128="","",[1]!s_techanal_rcnthigh(B2128,$B$2,1,3))</f>
        <v>0</v>
      </c>
      <c r="E2128">
        <f ca="1">IF(A2128="","",COUNTIF(D$6:D2128,"True"))</f>
        <v>17</v>
      </c>
      <c r="F2128" t="str">
        <f t="shared" si="33"/>
        <v>300675.SZ</v>
      </c>
    </row>
    <row r="2129" spans="1:6" x14ac:dyDescent="0.15">
      <c r="A2129" s="2">
        <v>46089</v>
      </c>
      <c r="B2129" s="1" t="s">
        <v>4042</v>
      </c>
      <c r="C2129" s="1" t="s">
        <v>4043</v>
      </c>
      <c r="D2129" t="b">
        <f ca="1">IF(A2129="","",[1]!s_techanal_rcnthigh(B2129,$B$2,1,3))</f>
        <v>0</v>
      </c>
      <c r="E2129">
        <f ca="1">IF(A2129="","",COUNTIF(D$6:D2129,"True"))</f>
        <v>17</v>
      </c>
      <c r="F2129" t="str">
        <f t="shared" si="33"/>
        <v>300676.SZ</v>
      </c>
    </row>
    <row r="2130" spans="1:6" x14ac:dyDescent="0.15">
      <c r="A2130" s="2">
        <v>46089</v>
      </c>
      <c r="B2130" s="1" t="s">
        <v>4044</v>
      </c>
      <c r="C2130" s="1" t="s">
        <v>4045</v>
      </c>
      <c r="D2130" t="b">
        <f ca="1">IF(A2130="","",[1]!s_techanal_rcnthigh(B2130,$B$2,1,3))</f>
        <v>0</v>
      </c>
      <c r="E2130">
        <f ca="1">IF(A2130="","",COUNTIF(D$6:D2130,"True"))</f>
        <v>17</v>
      </c>
      <c r="F2130" t="str">
        <f t="shared" si="33"/>
        <v>300677.SZ</v>
      </c>
    </row>
    <row r="2131" spans="1:6" x14ac:dyDescent="0.15">
      <c r="A2131" s="2">
        <v>46089</v>
      </c>
      <c r="B2131" s="1" t="s">
        <v>4046</v>
      </c>
      <c r="C2131" s="1" t="s">
        <v>4047</v>
      </c>
      <c r="D2131" t="b">
        <f ca="1">IF(A2131="","",[1]!s_techanal_rcnthigh(B2131,$B$2,1,3))</f>
        <v>0</v>
      </c>
      <c r="E2131">
        <f ca="1">IF(A2131="","",COUNTIF(D$6:D2131,"True"))</f>
        <v>17</v>
      </c>
      <c r="F2131" t="str">
        <f t="shared" si="33"/>
        <v>300678.SZ</v>
      </c>
    </row>
    <row r="2132" spans="1:6" x14ac:dyDescent="0.15">
      <c r="A2132" s="2">
        <v>46089</v>
      </c>
      <c r="B2132" s="1" t="s">
        <v>4048</v>
      </c>
      <c r="C2132" s="1" t="s">
        <v>4049</v>
      </c>
      <c r="D2132" t="b">
        <f ca="1">IF(A2132="","",[1]!s_techanal_rcnthigh(B2132,$B$2,1,3))</f>
        <v>0</v>
      </c>
      <c r="E2132">
        <f ca="1">IF(A2132="","",COUNTIF(D$6:D2132,"True"))</f>
        <v>17</v>
      </c>
      <c r="F2132" t="str">
        <f t="shared" si="33"/>
        <v>300679.SZ</v>
      </c>
    </row>
    <row r="2133" spans="1:6" x14ac:dyDescent="0.15">
      <c r="A2133" s="2">
        <v>46089</v>
      </c>
      <c r="B2133" s="1" t="s">
        <v>4050</v>
      </c>
      <c r="C2133" s="1" t="s">
        <v>4051</v>
      </c>
      <c r="D2133" t="b">
        <f ca="1">IF(A2133="","",[1]!s_techanal_rcnthigh(B2133,$B$2,1,3))</f>
        <v>0</v>
      </c>
      <c r="E2133">
        <f ca="1">IF(A2133="","",COUNTIF(D$6:D2133,"True"))</f>
        <v>17</v>
      </c>
      <c r="F2133" t="str">
        <f t="shared" si="33"/>
        <v>300680.SZ</v>
      </c>
    </row>
    <row r="2134" spans="1:6" x14ac:dyDescent="0.15">
      <c r="A2134" s="2">
        <v>46089</v>
      </c>
      <c r="B2134" s="1" t="s">
        <v>4052</v>
      </c>
      <c r="C2134" s="1" t="s">
        <v>4053</v>
      </c>
      <c r="D2134" t="b">
        <f ca="1">IF(A2134="","",[1]!s_techanal_rcnthigh(B2134,$B$2,1,3))</f>
        <v>0</v>
      </c>
      <c r="E2134">
        <f ca="1">IF(A2134="","",COUNTIF(D$6:D2134,"True"))</f>
        <v>17</v>
      </c>
      <c r="F2134" t="str">
        <f t="shared" si="33"/>
        <v>300681.SZ</v>
      </c>
    </row>
    <row r="2135" spans="1:6" x14ac:dyDescent="0.15">
      <c r="A2135" s="2">
        <v>46089</v>
      </c>
      <c r="B2135" s="1" t="s">
        <v>4054</v>
      </c>
      <c r="C2135" s="1" t="s">
        <v>10228</v>
      </c>
      <c r="D2135" t="b">
        <f ca="1">IF(A2135="","",[1]!s_techanal_rcnthigh(B2135,$B$2,1,3))</f>
        <v>0</v>
      </c>
      <c r="E2135">
        <f ca="1">IF(A2135="","",COUNTIF(D$6:D2135,"True"))</f>
        <v>17</v>
      </c>
      <c r="F2135" t="str">
        <f t="shared" si="33"/>
        <v>300682.SZ</v>
      </c>
    </row>
    <row r="2136" spans="1:6" x14ac:dyDescent="0.15">
      <c r="A2136" s="2">
        <v>46089</v>
      </c>
      <c r="B2136" s="1" t="s">
        <v>4055</v>
      </c>
      <c r="C2136" s="1" t="s">
        <v>4056</v>
      </c>
      <c r="D2136" t="b">
        <f ca="1">IF(A2136="","",[1]!s_techanal_rcnthigh(B2136,$B$2,1,3))</f>
        <v>0</v>
      </c>
      <c r="E2136">
        <f ca="1">IF(A2136="","",COUNTIF(D$6:D2136,"True"))</f>
        <v>17</v>
      </c>
      <c r="F2136" t="str">
        <f t="shared" si="33"/>
        <v>300683.SZ</v>
      </c>
    </row>
    <row r="2137" spans="1:6" x14ac:dyDescent="0.15">
      <c r="A2137" s="2">
        <v>46089</v>
      </c>
      <c r="B2137" s="1" t="s">
        <v>4057</v>
      </c>
      <c r="C2137" s="1" t="s">
        <v>4058</v>
      </c>
      <c r="D2137" t="b">
        <f ca="1">IF(A2137="","",[1]!s_techanal_rcnthigh(B2137,$B$2,1,3))</f>
        <v>0</v>
      </c>
      <c r="E2137">
        <f ca="1">IF(A2137="","",COUNTIF(D$6:D2137,"True"))</f>
        <v>17</v>
      </c>
      <c r="F2137" t="str">
        <f t="shared" si="33"/>
        <v>300684.SZ</v>
      </c>
    </row>
    <row r="2138" spans="1:6" x14ac:dyDescent="0.15">
      <c r="A2138" s="2">
        <v>46089</v>
      </c>
      <c r="B2138" s="1" t="s">
        <v>4059</v>
      </c>
      <c r="C2138" s="1" t="s">
        <v>4060</v>
      </c>
      <c r="D2138" t="b">
        <f ca="1">IF(A2138="","",[1]!s_techanal_rcnthigh(B2138,$B$2,1,3))</f>
        <v>0</v>
      </c>
      <c r="E2138">
        <f ca="1">IF(A2138="","",COUNTIF(D$6:D2138,"True"))</f>
        <v>17</v>
      </c>
      <c r="F2138" t="str">
        <f t="shared" si="33"/>
        <v>300685.SZ</v>
      </c>
    </row>
    <row r="2139" spans="1:6" x14ac:dyDescent="0.15">
      <c r="A2139" s="2">
        <v>46089</v>
      </c>
      <c r="B2139" s="1" t="s">
        <v>4061</v>
      </c>
      <c r="C2139" s="1" t="s">
        <v>4062</v>
      </c>
      <c r="D2139" t="b">
        <f ca="1">IF(A2139="","",[1]!s_techanal_rcnthigh(B2139,$B$2,1,3))</f>
        <v>0</v>
      </c>
      <c r="E2139">
        <f ca="1">IF(A2139="","",COUNTIF(D$6:D2139,"True"))</f>
        <v>17</v>
      </c>
      <c r="F2139" t="str">
        <f t="shared" si="33"/>
        <v>300686.SZ</v>
      </c>
    </row>
    <row r="2140" spans="1:6" x14ac:dyDescent="0.15">
      <c r="A2140" s="2">
        <v>46089</v>
      </c>
      <c r="B2140" s="1" t="s">
        <v>4063</v>
      </c>
      <c r="C2140" s="1" t="s">
        <v>4064</v>
      </c>
      <c r="D2140" t="b">
        <f ca="1">IF(A2140="","",[1]!s_techanal_rcnthigh(B2140,$B$2,1,3))</f>
        <v>0</v>
      </c>
      <c r="E2140">
        <f ca="1">IF(A2140="","",COUNTIF(D$6:D2140,"True"))</f>
        <v>17</v>
      </c>
      <c r="F2140" t="str">
        <f t="shared" si="33"/>
        <v>300687.SZ</v>
      </c>
    </row>
    <row r="2141" spans="1:6" x14ac:dyDescent="0.15">
      <c r="A2141" s="2">
        <v>46089</v>
      </c>
      <c r="B2141" s="1" t="s">
        <v>4065</v>
      </c>
      <c r="C2141" s="1" t="s">
        <v>4066</v>
      </c>
      <c r="D2141" t="b">
        <f ca="1">IF(A2141="","",[1]!s_techanal_rcnthigh(B2141,$B$2,1,3))</f>
        <v>0</v>
      </c>
      <c r="E2141">
        <f ca="1">IF(A2141="","",COUNTIF(D$6:D2141,"True"))</f>
        <v>17</v>
      </c>
      <c r="F2141" t="str">
        <f t="shared" si="33"/>
        <v>300688.SZ</v>
      </c>
    </row>
    <row r="2142" spans="1:6" x14ac:dyDescent="0.15">
      <c r="A2142" s="2">
        <v>46089</v>
      </c>
      <c r="B2142" s="1" t="s">
        <v>4067</v>
      </c>
      <c r="C2142" s="1" t="s">
        <v>4068</v>
      </c>
      <c r="D2142" t="b">
        <f ca="1">IF(A2142="","",[1]!s_techanal_rcnthigh(B2142,$B$2,1,3))</f>
        <v>0</v>
      </c>
      <c r="E2142">
        <f ca="1">IF(A2142="","",COUNTIF(D$6:D2142,"True"))</f>
        <v>17</v>
      </c>
      <c r="F2142" t="str">
        <f t="shared" si="33"/>
        <v>300689.SZ</v>
      </c>
    </row>
    <row r="2143" spans="1:6" x14ac:dyDescent="0.15">
      <c r="A2143" s="2">
        <v>46089</v>
      </c>
      <c r="B2143" s="1" t="s">
        <v>4069</v>
      </c>
      <c r="C2143" s="1" t="s">
        <v>4070</v>
      </c>
      <c r="D2143" t="b">
        <f ca="1">IF(A2143="","",[1]!s_techanal_rcnthigh(B2143,$B$2,1,3))</f>
        <v>0</v>
      </c>
      <c r="E2143">
        <f ca="1">IF(A2143="","",COUNTIF(D$6:D2143,"True"))</f>
        <v>17</v>
      </c>
      <c r="F2143" t="str">
        <f t="shared" si="33"/>
        <v>300690.SZ</v>
      </c>
    </row>
    <row r="2144" spans="1:6" x14ac:dyDescent="0.15">
      <c r="A2144" s="2">
        <v>46089</v>
      </c>
      <c r="B2144" s="1" t="s">
        <v>4071</v>
      </c>
      <c r="C2144" s="1" t="s">
        <v>4072</v>
      </c>
      <c r="D2144" t="b">
        <f ca="1">IF(A2144="","",[1]!s_techanal_rcnthigh(B2144,$B$2,1,3))</f>
        <v>0</v>
      </c>
      <c r="E2144">
        <f ca="1">IF(A2144="","",COUNTIF(D$6:D2144,"True"))</f>
        <v>17</v>
      </c>
      <c r="F2144" t="str">
        <f t="shared" si="33"/>
        <v>300691.SZ</v>
      </c>
    </row>
    <row r="2145" spans="1:6" x14ac:dyDescent="0.15">
      <c r="A2145" s="2">
        <v>46089</v>
      </c>
      <c r="B2145" s="1" t="s">
        <v>4073</v>
      </c>
      <c r="C2145" s="1" t="s">
        <v>10229</v>
      </c>
      <c r="D2145" t="b">
        <f ca="1">IF(A2145="","",[1]!s_techanal_rcnthigh(B2145,$B$2,1,3))</f>
        <v>0</v>
      </c>
      <c r="E2145">
        <f ca="1">IF(A2145="","",COUNTIF(D$6:D2145,"True"))</f>
        <v>17</v>
      </c>
      <c r="F2145" t="str">
        <f t="shared" si="33"/>
        <v>300692.SZ</v>
      </c>
    </row>
    <row r="2146" spans="1:6" x14ac:dyDescent="0.15">
      <c r="A2146" s="2">
        <v>46089</v>
      </c>
      <c r="B2146" s="1" t="s">
        <v>4074</v>
      </c>
      <c r="C2146" s="1" t="s">
        <v>4075</v>
      </c>
      <c r="D2146" t="b">
        <f ca="1">IF(A2146="","",[1]!s_techanal_rcnthigh(B2146,$B$2,1,3))</f>
        <v>0</v>
      </c>
      <c r="E2146">
        <f ca="1">IF(A2146="","",COUNTIF(D$6:D2146,"True"))</f>
        <v>17</v>
      </c>
      <c r="F2146" t="str">
        <f t="shared" si="33"/>
        <v>300693.SZ</v>
      </c>
    </row>
    <row r="2147" spans="1:6" x14ac:dyDescent="0.15">
      <c r="A2147" s="2">
        <v>46089</v>
      </c>
      <c r="B2147" s="1" t="s">
        <v>4076</v>
      </c>
      <c r="C2147" s="1" t="s">
        <v>4077</v>
      </c>
      <c r="D2147" t="b">
        <f ca="1">IF(A2147="","",[1]!s_techanal_rcnthigh(B2147,$B$2,1,3))</f>
        <v>0</v>
      </c>
      <c r="E2147">
        <f ca="1">IF(A2147="","",COUNTIF(D$6:D2147,"True"))</f>
        <v>17</v>
      </c>
      <c r="F2147" t="str">
        <f t="shared" si="33"/>
        <v>300694.SZ</v>
      </c>
    </row>
    <row r="2148" spans="1:6" x14ac:dyDescent="0.15">
      <c r="A2148" s="2">
        <v>46089</v>
      </c>
      <c r="B2148" s="1" t="s">
        <v>4078</v>
      </c>
      <c r="C2148" s="1" t="s">
        <v>4079</v>
      </c>
      <c r="D2148" t="b">
        <f ca="1">IF(A2148="","",[1]!s_techanal_rcnthigh(B2148,$B$2,1,3))</f>
        <v>0</v>
      </c>
      <c r="E2148">
        <f ca="1">IF(A2148="","",COUNTIF(D$6:D2148,"True"))</f>
        <v>17</v>
      </c>
      <c r="F2148" t="str">
        <f t="shared" si="33"/>
        <v>300695.SZ</v>
      </c>
    </row>
    <row r="2149" spans="1:6" x14ac:dyDescent="0.15">
      <c r="A2149" s="2">
        <v>46089</v>
      </c>
      <c r="B2149" s="1" t="s">
        <v>4080</v>
      </c>
      <c r="C2149" s="1" t="s">
        <v>4081</v>
      </c>
      <c r="D2149" t="b">
        <f ca="1">IF(A2149="","",[1]!s_techanal_rcnthigh(B2149,$B$2,1,3))</f>
        <v>0</v>
      </c>
      <c r="E2149">
        <f ca="1">IF(A2149="","",COUNTIF(D$6:D2149,"True"))</f>
        <v>17</v>
      </c>
      <c r="F2149" t="str">
        <f t="shared" si="33"/>
        <v>300696.SZ</v>
      </c>
    </row>
    <row r="2150" spans="1:6" x14ac:dyDescent="0.15">
      <c r="A2150" s="2">
        <v>46089</v>
      </c>
      <c r="B2150" s="1" t="s">
        <v>4082</v>
      </c>
      <c r="C2150" s="1" t="s">
        <v>4083</v>
      </c>
      <c r="D2150" t="b">
        <f ca="1">IF(A2150="","",[1]!s_techanal_rcnthigh(B2150,$B$2,1,3))</f>
        <v>0</v>
      </c>
      <c r="E2150">
        <f ca="1">IF(A2150="","",COUNTIF(D$6:D2150,"True"))</f>
        <v>17</v>
      </c>
      <c r="F2150" t="str">
        <f t="shared" si="33"/>
        <v>300697.SZ</v>
      </c>
    </row>
    <row r="2151" spans="1:6" x14ac:dyDescent="0.15">
      <c r="A2151" s="2">
        <v>46089</v>
      </c>
      <c r="B2151" s="1" t="s">
        <v>4084</v>
      </c>
      <c r="C2151" s="1" t="s">
        <v>4085</v>
      </c>
      <c r="D2151" t="b">
        <f ca="1">IF(A2151="","",[1]!s_techanal_rcnthigh(B2151,$B$2,1,3))</f>
        <v>0</v>
      </c>
      <c r="E2151">
        <f ca="1">IF(A2151="","",COUNTIF(D$6:D2151,"True"))</f>
        <v>17</v>
      </c>
      <c r="F2151" t="str">
        <f t="shared" si="33"/>
        <v>300698.SZ</v>
      </c>
    </row>
    <row r="2152" spans="1:6" x14ac:dyDescent="0.15">
      <c r="A2152" s="2">
        <v>46089</v>
      </c>
      <c r="B2152" s="1" t="s">
        <v>4086</v>
      </c>
      <c r="C2152" s="1" t="s">
        <v>4087</v>
      </c>
      <c r="D2152" t="b">
        <f ca="1">IF(A2152="","",[1]!s_techanal_rcnthigh(B2152,$B$2,1,3))</f>
        <v>0</v>
      </c>
      <c r="E2152">
        <f ca="1">IF(A2152="","",COUNTIF(D$6:D2152,"True"))</f>
        <v>17</v>
      </c>
      <c r="F2152" t="str">
        <f t="shared" si="33"/>
        <v>300699.SZ</v>
      </c>
    </row>
    <row r="2153" spans="1:6" x14ac:dyDescent="0.15">
      <c r="A2153" s="2">
        <v>46089</v>
      </c>
      <c r="B2153" s="1" t="s">
        <v>4088</v>
      </c>
      <c r="C2153" s="1" t="s">
        <v>4089</v>
      </c>
      <c r="D2153" t="b">
        <f ca="1">IF(A2153="","",[1]!s_techanal_rcnthigh(B2153,$B$2,1,3))</f>
        <v>0</v>
      </c>
      <c r="E2153">
        <f ca="1">IF(A2153="","",COUNTIF(D$6:D2153,"True"))</f>
        <v>17</v>
      </c>
      <c r="F2153" t="str">
        <f t="shared" si="33"/>
        <v>300700.SZ</v>
      </c>
    </row>
    <row r="2154" spans="1:6" x14ac:dyDescent="0.15">
      <c r="A2154" s="2">
        <v>46089</v>
      </c>
      <c r="B2154" s="1" t="s">
        <v>4090</v>
      </c>
      <c r="C2154" s="1" t="s">
        <v>4091</v>
      </c>
      <c r="D2154" t="b">
        <f ca="1">IF(A2154="","",[1]!s_techanal_rcnthigh(B2154,$B$2,1,3))</f>
        <v>0</v>
      </c>
      <c r="E2154">
        <f ca="1">IF(A2154="","",COUNTIF(D$6:D2154,"True"))</f>
        <v>17</v>
      </c>
      <c r="F2154" t="str">
        <f t="shared" si="33"/>
        <v>300701.SZ</v>
      </c>
    </row>
    <row r="2155" spans="1:6" x14ac:dyDescent="0.15">
      <c r="A2155" s="2">
        <v>46089</v>
      </c>
      <c r="B2155" s="1" t="s">
        <v>4092</v>
      </c>
      <c r="C2155" s="1" t="s">
        <v>4093</v>
      </c>
      <c r="D2155" t="b">
        <f ca="1">IF(A2155="","",[1]!s_techanal_rcnthigh(B2155,$B$2,1,3))</f>
        <v>0</v>
      </c>
      <c r="E2155">
        <f ca="1">IF(A2155="","",COUNTIF(D$6:D2155,"True"))</f>
        <v>17</v>
      </c>
      <c r="F2155" t="str">
        <f t="shared" si="33"/>
        <v>300702.SZ</v>
      </c>
    </row>
    <row r="2156" spans="1:6" x14ac:dyDescent="0.15">
      <c r="A2156" s="2">
        <v>46089</v>
      </c>
      <c r="B2156" s="1" t="s">
        <v>4094</v>
      </c>
      <c r="C2156" s="1" t="s">
        <v>4095</v>
      </c>
      <c r="D2156" t="b">
        <f ca="1">IF(A2156="","",[1]!s_techanal_rcnthigh(B2156,$B$2,1,3))</f>
        <v>0</v>
      </c>
      <c r="E2156">
        <f ca="1">IF(A2156="","",COUNTIF(D$6:D2156,"True"))</f>
        <v>17</v>
      </c>
      <c r="F2156" t="str">
        <f t="shared" si="33"/>
        <v>300703.SZ</v>
      </c>
    </row>
    <row r="2157" spans="1:6" x14ac:dyDescent="0.15">
      <c r="A2157" s="2">
        <v>46089</v>
      </c>
      <c r="B2157" s="1" t="s">
        <v>4096</v>
      </c>
      <c r="C2157" s="1" t="s">
        <v>4097</v>
      </c>
      <c r="D2157" t="b">
        <f ca="1">IF(A2157="","",[1]!s_techanal_rcnthigh(B2157,$B$2,1,3))</f>
        <v>0</v>
      </c>
      <c r="E2157">
        <f ca="1">IF(A2157="","",COUNTIF(D$6:D2157,"True"))</f>
        <v>17</v>
      </c>
      <c r="F2157" t="str">
        <f t="shared" si="33"/>
        <v>300705.SZ</v>
      </c>
    </row>
    <row r="2158" spans="1:6" x14ac:dyDescent="0.15">
      <c r="A2158" s="2">
        <v>46089</v>
      </c>
      <c r="B2158" s="1" t="s">
        <v>4098</v>
      </c>
      <c r="C2158" s="1" t="s">
        <v>4099</v>
      </c>
      <c r="D2158" t="b">
        <f ca="1">IF(A2158="","",[1]!s_techanal_rcnthigh(B2158,$B$2,1,3))</f>
        <v>0</v>
      </c>
      <c r="E2158">
        <f ca="1">IF(A2158="","",COUNTIF(D$6:D2158,"True"))</f>
        <v>17</v>
      </c>
      <c r="F2158" t="str">
        <f t="shared" si="33"/>
        <v>300706.SZ</v>
      </c>
    </row>
    <row r="2159" spans="1:6" x14ac:dyDescent="0.15">
      <c r="A2159" s="2">
        <v>46089</v>
      </c>
      <c r="B2159" s="1" t="s">
        <v>4100</v>
      </c>
      <c r="C2159" s="1" t="s">
        <v>4101</v>
      </c>
      <c r="D2159" t="b">
        <f ca="1">IF(A2159="","",[1]!s_techanal_rcnthigh(B2159,$B$2,1,3))</f>
        <v>0</v>
      </c>
      <c r="E2159">
        <f ca="1">IF(A2159="","",COUNTIF(D$6:D2159,"True"))</f>
        <v>17</v>
      </c>
      <c r="F2159" t="str">
        <f t="shared" si="33"/>
        <v>300707.SZ</v>
      </c>
    </row>
    <row r="2160" spans="1:6" x14ac:dyDescent="0.15">
      <c r="A2160" s="2">
        <v>46089</v>
      </c>
      <c r="B2160" s="1" t="s">
        <v>4102</v>
      </c>
      <c r="C2160" s="1" t="s">
        <v>4103</v>
      </c>
      <c r="D2160" t="b">
        <f ca="1">IF(A2160="","",[1]!s_techanal_rcnthigh(B2160,$B$2,1,3))</f>
        <v>0</v>
      </c>
      <c r="E2160">
        <f ca="1">IF(A2160="","",COUNTIF(D$6:D2160,"True"))</f>
        <v>17</v>
      </c>
      <c r="F2160" t="str">
        <f t="shared" si="33"/>
        <v>300708.SZ</v>
      </c>
    </row>
    <row r="2161" spans="1:6" x14ac:dyDescent="0.15">
      <c r="A2161" s="2">
        <v>46089</v>
      </c>
      <c r="B2161" s="1" t="s">
        <v>4104</v>
      </c>
      <c r="C2161" s="1" t="s">
        <v>4105</v>
      </c>
      <c r="D2161" t="b">
        <f ca="1">IF(A2161="","",[1]!s_techanal_rcnthigh(B2161,$B$2,1,3))</f>
        <v>0</v>
      </c>
      <c r="E2161">
        <f ca="1">IF(A2161="","",COUNTIF(D$6:D2161,"True"))</f>
        <v>17</v>
      </c>
      <c r="F2161" t="str">
        <f t="shared" si="33"/>
        <v>300709.SZ</v>
      </c>
    </row>
    <row r="2162" spans="1:6" x14ac:dyDescent="0.15">
      <c r="A2162" s="2">
        <v>46089</v>
      </c>
      <c r="B2162" s="1" t="s">
        <v>4106</v>
      </c>
      <c r="C2162" s="1" t="s">
        <v>4107</v>
      </c>
      <c r="D2162" t="b">
        <f ca="1">IF(A2162="","",[1]!s_techanal_rcnthigh(B2162,$B$2,1,3))</f>
        <v>0</v>
      </c>
      <c r="E2162">
        <f ca="1">IF(A2162="","",COUNTIF(D$6:D2162,"True"))</f>
        <v>17</v>
      </c>
      <c r="F2162" t="str">
        <f t="shared" si="33"/>
        <v>300710.SZ</v>
      </c>
    </row>
    <row r="2163" spans="1:6" x14ac:dyDescent="0.15">
      <c r="A2163" s="2">
        <v>46089</v>
      </c>
      <c r="B2163" s="1" t="s">
        <v>4108</v>
      </c>
      <c r="C2163" s="1" t="s">
        <v>4109</v>
      </c>
      <c r="D2163" t="b">
        <f ca="1">IF(A2163="","",[1]!s_techanal_rcnthigh(B2163,$B$2,1,3))</f>
        <v>0</v>
      </c>
      <c r="E2163">
        <f ca="1">IF(A2163="","",COUNTIF(D$6:D2163,"True"))</f>
        <v>17</v>
      </c>
      <c r="F2163" t="str">
        <f t="shared" si="33"/>
        <v>300711.SZ</v>
      </c>
    </row>
    <row r="2164" spans="1:6" x14ac:dyDescent="0.15">
      <c r="A2164" s="2">
        <v>46089</v>
      </c>
      <c r="B2164" s="1" t="s">
        <v>4110</v>
      </c>
      <c r="C2164" s="1" t="s">
        <v>4111</v>
      </c>
      <c r="D2164" t="b">
        <f ca="1">IF(A2164="","",[1]!s_techanal_rcnthigh(B2164,$B$2,1,3))</f>
        <v>0</v>
      </c>
      <c r="E2164">
        <f ca="1">IF(A2164="","",COUNTIF(D$6:D2164,"True"))</f>
        <v>17</v>
      </c>
      <c r="F2164" t="str">
        <f t="shared" si="33"/>
        <v>300712.SZ</v>
      </c>
    </row>
    <row r="2165" spans="1:6" x14ac:dyDescent="0.15">
      <c r="A2165" s="2">
        <v>46089</v>
      </c>
      <c r="B2165" s="1" t="s">
        <v>4112</v>
      </c>
      <c r="C2165" s="1" t="s">
        <v>4113</v>
      </c>
      <c r="D2165" t="b">
        <f ca="1">IF(A2165="","",[1]!s_techanal_rcnthigh(B2165,$B$2,1,3))</f>
        <v>0</v>
      </c>
      <c r="E2165">
        <f ca="1">IF(A2165="","",COUNTIF(D$6:D2165,"True"))</f>
        <v>17</v>
      </c>
      <c r="F2165" t="str">
        <f t="shared" si="33"/>
        <v>300713.SZ</v>
      </c>
    </row>
    <row r="2166" spans="1:6" x14ac:dyDescent="0.15">
      <c r="A2166" s="2">
        <v>46089</v>
      </c>
      <c r="B2166" s="1" t="s">
        <v>4114</v>
      </c>
      <c r="C2166" s="1" t="s">
        <v>4115</v>
      </c>
      <c r="D2166" t="b">
        <f ca="1">IF(A2166="","",[1]!s_techanal_rcnthigh(B2166,$B$2,1,3))</f>
        <v>0</v>
      </c>
      <c r="E2166">
        <f ca="1">IF(A2166="","",COUNTIF(D$6:D2166,"True"))</f>
        <v>17</v>
      </c>
      <c r="F2166" t="str">
        <f t="shared" si="33"/>
        <v>300715.SZ</v>
      </c>
    </row>
    <row r="2167" spans="1:6" x14ac:dyDescent="0.15">
      <c r="A2167" s="2">
        <v>46089</v>
      </c>
      <c r="B2167" s="1" t="s">
        <v>4116</v>
      </c>
      <c r="C2167" s="1" t="s">
        <v>10230</v>
      </c>
      <c r="D2167" t="b">
        <f ca="1">IF(A2167="","",[1]!s_techanal_rcnthigh(B2167,$B$2,1,3))</f>
        <v>0</v>
      </c>
      <c r="E2167">
        <f ca="1">IF(A2167="","",COUNTIF(D$6:D2167,"True"))</f>
        <v>17</v>
      </c>
      <c r="F2167" t="str">
        <f t="shared" si="33"/>
        <v>300716.SZ</v>
      </c>
    </row>
    <row r="2168" spans="1:6" x14ac:dyDescent="0.15">
      <c r="A2168" s="2">
        <v>46089</v>
      </c>
      <c r="B2168" s="1" t="s">
        <v>4117</v>
      </c>
      <c r="C2168" s="1" t="s">
        <v>4118</v>
      </c>
      <c r="D2168" t="b">
        <f ca="1">IF(A2168="","",[1]!s_techanal_rcnthigh(B2168,$B$2,1,3))</f>
        <v>0</v>
      </c>
      <c r="E2168">
        <f ca="1">IF(A2168="","",COUNTIF(D$6:D2168,"True"))</f>
        <v>17</v>
      </c>
      <c r="F2168" t="str">
        <f t="shared" si="33"/>
        <v>300717.SZ</v>
      </c>
    </row>
    <row r="2169" spans="1:6" x14ac:dyDescent="0.15">
      <c r="A2169" s="2">
        <v>46089</v>
      </c>
      <c r="B2169" s="1" t="s">
        <v>4119</v>
      </c>
      <c r="C2169" s="1" t="s">
        <v>4120</v>
      </c>
      <c r="D2169" t="b">
        <f ca="1">IF(A2169="","",[1]!s_techanal_rcnthigh(B2169,$B$2,1,3))</f>
        <v>0</v>
      </c>
      <c r="E2169">
        <f ca="1">IF(A2169="","",COUNTIF(D$6:D2169,"True"))</f>
        <v>17</v>
      </c>
      <c r="F2169" t="str">
        <f t="shared" si="33"/>
        <v>300718.SZ</v>
      </c>
    </row>
    <row r="2170" spans="1:6" x14ac:dyDescent="0.15">
      <c r="A2170" s="2">
        <v>46089</v>
      </c>
      <c r="B2170" s="1" t="s">
        <v>4121</v>
      </c>
      <c r="C2170" s="1" t="s">
        <v>4122</v>
      </c>
      <c r="D2170" t="b">
        <f ca="1">IF(A2170="","",[1]!s_techanal_rcnthigh(B2170,$B$2,1,3))</f>
        <v>0</v>
      </c>
      <c r="E2170">
        <f ca="1">IF(A2170="","",COUNTIF(D$6:D2170,"True"))</f>
        <v>17</v>
      </c>
      <c r="F2170" t="str">
        <f t="shared" si="33"/>
        <v>300719.SZ</v>
      </c>
    </row>
    <row r="2171" spans="1:6" x14ac:dyDescent="0.15">
      <c r="A2171" s="2">
        <v>46089</v>
      </c>
      <c r="B2171" s="1" t="s">
        <v>4123</v>
      </c>
      <c r="C2171" s="1" t="s">
        <v>4124</v>
      </c>
      <c r="D2171" t="b">
        <f ca="1">IF(A2171="","",[1]!s_techanal_rcnthigh(B2171,$B$2,1,3))</f>
        <v>0</v>
      </c>
      <c r="E2171">
        <f ca="1">IF(A2171="","",COUNTIF(D$6:D2171,"True"))</f>
        <v>17</v>
      </c>
      <c r="F2171" t="str">
        <f t="shared" si="33"/>
        <v>300720.SZ</v>
      </c>
    </row>
    <row r="2172" spans="1:6" x14ac:dyDescent="0.15">
      <c r="A2172" s="2">
        <v>46089</v>
      </c>
      <c r="B2172" s="1" t="s">
        <v>4125</v>
      </c>
      <c r="C2172" s="1" t="s">
        <v>4126</v>
      </c>
      <c r="D2172" t="b">
        <f ca="1">IF(A2172="","",[1]!s_techanal_rcnthigh(B2172,$B$2,1,3))</f>
        <v>0</v>
      </c>
      <c r="E2172">
        <f ca="1">IF(A2172="","",COUNTIF(D$6:D2172,"True"))</f>
        <v>17</v>
      </c>
      <c r="F2172" t="str">
        <f t="shared" si="33"/>
        <v>300721.SZ</v>
      </c>
    </row>
    <row r="2173" spans="1:6" x14ac:dyDescent="0.15">
      <c r="A2173" s="2">
        <v>46089</v>
      </c>
      <c r="B2173" s="1" t="s">
        <v>4127</v>
      </c>
      <c r="C2173" s="1" t="s">
        <v>4128</v>
      </c>
      <c r="D2173" t="b">
        <f ca="1">IF(A2173="","",[1]!s_techanal_rcnthigh(B2173,$B$2,1,3))</f>
        <v>0</v>
      </c>
      <c r="E2173">
        <f ca="1">IF(A2173="","",COUNTIF(D$6:D2173,"True"))</f>
        <v>17</v>
      </c>
      <c r="F2173" t="str">
        <f t="shared" si="33"/>
        <v>300722.SZ</v>
      </c>
    </row>
    <row r="2174" spans="1:6" x14ac:dyDescent="0.15">
      <c r="A2174" s="2">
        <v>46089</v>
      </c>
      <c r="B2174" s="1" t="s">
        <v>4129</v>
      </c>
      <c r="C2174" s="1" t="s">
        <v>4130</v>
      </c>
      <c r="D2174" t="b">
        <f ca="1">IF(A2174="","",[1]!s_techanal_rcnthigh(B2174,$B$2,1,3))</f>
        <v>0</v>
      </c>
      <c r="E2174">
        <f ca="1">IF(A2174="","",COUNTIF(D$6:D2174,"True"))</f>
        <v>17</v>
      </c>
      <c r="F2174" t="str">
        <f t="shared" si="33"/>
        <v>300723.SZ</v>
      </c>
    </row>
    <row r="2175" spans="1:6" x14ac:dyDescent="0.15">
      <c r="A2175" s="2">
        <v>46089</v>
      </c>
      <c r="B2175" s="1" t="s">
        <v>4131</v>
      </c>
      <c r="C2175" s="1" t="s">
        <v>4132</v>
      </c>
      <c r="D2175" t="b">
        <f ca="1">IF(A2175="","",[1]!s_techanal_rcnthigh(B2175,$B$2,1,3))</f>
        <v>0</v>
      </c>
      <c r="E2175">
        <f ca="1">IF(A2175="","",COUNTIF(D$6:D2175,"True"))</f>
        <v>17</v>
      </c>
      <c r="F2175" t="str">
        <f t="shared" si="33"/>
        <v>300724.SZ</v>
      </c>
    </row>
    <row r="2176" spans="1:6" x14ac:dyDescent="0.15">
      <c r="A2176" s="2">
        <v>46089</v>
      </c>
      <c r="B2176" s="1" t="s">
        <v>4133</v>
      </c>
      <c r="C2176" s="1" t="s">
        <v>4134</v>
      </c>
      <c r="D2176" t="b">
        <f ca="1">IF(A2176="","",[1]!s_techanal_rcnthigh(B2176,$B$2,1,3))</f>
        <v>0</v>
      </c>
      <c r="E2176">
        <f ca="1">IF(A2176="","",COUNTIF(D$6:D2176,"True"))</f>
        <v>17</v>
      </c>
      <c r="F2176" t="str">
        <f t="shared" si="33"/>
        <v>300725.SZ</v>
      </c>
    </row>
    <row r="2177" spans="1:6" x14ac:dyDescent="0.15">
      <c r="A2177" s="2">
        <v>46089</v>
      </c>
      <c r="B2177" s="1" t="s">
        <v>4135</v>
      </c>
      <c r="C2177" s="1" t="s">
        <v>4136</v>
      </c>
      <c r="D2177" t="b">
        <f ca="1">IF(A2177="","",[1]!s_techanal_rcnthigh(B2177,$B$2,1,3))</f>
        <v>0</v>
      </c>
      <c r="E2177">
        <f ca="1">IF(A2177="","",COUNTIF(D$6:D2177,"True"))</f>
        <v>17</v>
      </c>
      <c r="F2177" t="str">
        <f t="shared" si="33"/>
        <v>300726.SZ</v>
      </c>
    </row>
    <row r="2178" spans="1:6" x14ac:dyDescent="0.15">
      <c r="A2178" s="2">
        <v>46089</v>
      </c>
      <c r="B2178" s="1" t="s">
        <v>4137</v>
      </c>
      <c r="C2178" s="1" t="s">
        <v>4138</v>
      </c>
      <c r="D2178" t="b">
        <f ca="1">IF(A2178="","",[1]!s_techanal_rcnthigh(B2178,$B$2,1,3))</f>
        <v>0</v>
      </c>
      <c r="E2178">
        <f ca="1">IF(A2178="","",COUNTIF(D$6:D2178,"True"))</f>
        <v>17</v>
      </c>
      <c r="F2178" t="str">
        <f t="shared" si="33"/>
        <v>300727.SZ</v>
      </c>
    </row>
    <row r="2179" spans="1:6" x14ac:dyDescent="0.15">
      <c r="A2179" s="2">
        <v>46089</v>
      </c>
      <c r="B2179" s="1" t="s">
        <v>4139</v>
      </c>
      <c r="C2179" s="1" t="s">
        <v>4140</v>
      </c>
      <c r="D2179" t="b">
        <f ca="1">IF(A2179="","",[1]!s_techanal_rcnthigh(B2179,$B$2,1,3))</f>
        <v>0</v>
      </c>
      <c r="E2179">
        <f ca="1">IF(A2179="","",COUNTIF(D$6:D2179,"True"))</f>
        <v>17</v>
      </c>
      <c r="F2179" t="str">
        <f t="shared" si="33"/>
        <v>300729.SZ</v>
      </c>
    </row>
    <row r="2180" spans="1:6" x14ac:dyDescent="0.15">
      <c r="A2180" s="2">
        <v>46089</v>
      </c>
      <c r="B2180" s="1" t="s">
        <v>4141</v>
      </c>
      <c r="C2180" s="1" t="s">
        <v>4142</v>
      </c>
      <c r="D2180" t="b">
        <f ca="1">IF(A2180="","",[1]!s_techanal_rcnthigh(B2180,$B$2,1,3))</f>
        <v>0</v>
      </c>
      <c r="E2180">
        <f ca="1">IF(A2180="","",COUNTIF(D$6:D2180,"True"))</f>
        <v>17</v>
      </c>
      <c r="F2180" t="str">
        <f t="shared" si="33"/>
        <v>300730.SZ</v>
      </c>
    </row>
    <row r="2181" spans="1:6" x14ac:dyDescent="0.15">
      <c r="A2181" s="2">
        <v>46089</v>
      </c>
      <c r="B2181" s="1" t="s">
        <v>4143</v>
      </c>
      <c r="C2181" s="1" t="s">
        <v>4144</v>
      </c>
      <c r="D2181" t="b">
        <f ca="1">IF(A2181="","",[1]!s_techanal_rcnthigh(B2181,$B$2,1,3))</f>
        <v>0</v>
      </c>
      <c r="E2181">
        <f ca="1">IF(A2181="","",COUNTIF(D$6:D2181,"True"))</f>
        <v>17</v>
      </c>
      <c r="F2181" t="str">
        <f t="shared" si="33"/>
        <v>300731.SZ</v>
      </c>
    </row>
    <row r="2182" spans="1:6" x14ac:dyDescent="0.15">
      <c r="A2182" s="2">
        <v>46089</v>
      </c>
      <c r="B2182" s="1" t="s">
        <v>4145</v>
      </c>
      <c r="C2182" s="1" t="s">
        <v>4146</v>
      </c>
      <c r="D2182" t="b">
        <f ca="1">IF(A2182="","",[1]!s_techanal_rcnthigh(B2182,$B$2,1,3))</f>
        <v>0</v>
      </c>
      <c r="E2182">
        <f ca="1">IF(A2182="","",COUNTIF(D$6:D2182,"True"))</f>
        <v>17</v>
      </c>
      <c r="F2182" t="str">
        <f t="shared" ref="F2182:F2245" si="34">IF(B2182="","",B2182)</f>
        <v>300732.SZ</v>
      </c>
    </row>
    <row r="2183" spans="1:6" x14ac:dyDescent="0.15">
      <c r="A2183" s="2">
        <v>46089</v>
      </c>
      <c r="B2183" s="1" t="s">
        <v>4147</v>
      </c>
      <c r="C2183" s="1" t="s">
        <v>4148</v>
      </c>
      <c r="D2183" t="b">
        <f ca="1">IF(A2183="","",[1]!s_techanal_rcnthigh(B2183,$B$2,1,3))</f>
        <v>0</v>
      </c>
      <c r="E2183">
        <f ca="1">IF(A2183="","",COUNTIF(D$6:D2183,"True"))</f>
        <v>17</v>
      </c>
      <c r="F2183" t="str">
        <f t="shared" si="34"/>
        <v>300733.SZ</v>
      </c>
    </row>
    <row r="2184" spans="1:6" x14ac:dyDescent="0.15">
      <c r="A2184" s="2">
        <v>46089</v>
      </c>
      <c r="B2184" s="1" t="s">
        <v>4149</v>
      </c>
      <c r="C2184" s="1" t="s">
        <v>4150</v>
      </c>
      <c r="D2184" t="b">
        <f ca="1">IF(A2184="","",[1]!s_techanal_rcnthigh(B2184,$B$2,1,3))</f>
        <v>0</v>
      </c>
      <c r="E2184">
        <f ca="1">IF(A2184="","",COUNTIF(D$6:D2184,"True"))</f>
        <v>17</v>
      </c>
      <c r="F2184" t="str">
        <f t="shared" si="34"/>
        <v>300735.SZ</v>
      </c>
    </row>
    <row r="2185" spans="1:6" x14ac:dyDescent="0.15">
      <c r="A2185" s="2">
        <v>46089</v>
      </c>
      <c r="B2185" s="1" t="s">
        <v>4151</v>
      </c>
      <c r="C2185" s="1" t="s">
        <v>4152</v>
      </c>
      <c r="D2185" t="b">
        <f ca="1">IF(A2185="","",[1]!s_techanal_rcnthigh(B2185,$B$2,1,3))</f>
        <v>0</v>
      </c>
      <c r="E2185">
        <f ca="1">IF(A2185="","",COUNTIF(D$6:D2185,"True"))</f>
        <v>17</v>
      </c>
      <c r="F2185" t="str">
        <f t="shared" si="34"/>
        <v>300736.SZ</v>
      </c>
    </row>
    <row r="2186" spans="1:6" x14ac:dyDescent="0.15">
      <c r="A2186" s="2">
        <v>46089</v>
      </c>
      <c r="B2186" s="1" t="s">
        <v>4153</v>
      </c>
      <c r="C2186" s="1" t="s">
        <v>4154</v>
      </c>
      <c r="D2186" t="b">
        <f ca="1">IF(A2186="","",[1]!s_techanal_rcnthigh(B2186,$B$2,1,3))</f>
        <v>0</v>
      </c>
      <c r="E2186">
        <f ca="1">IF(A2186="","",COUNTIF(D$6:D2186,"True"))</f>
        <v>17</v>
      </c>
      <c r="F2186" t="str">
        <f t="shared" si="34"/>
        <v>300737.SZ</v>
      </c>
    </row>
    <row r="2187" spans="1:6" x14ac:dyDescent="0.15">
      <c r="A2187" s="2">
        <v>46089</v>
      </c>
      <c r="B2187" s="1" t="s">
        <v>4155</v>
      </c>
      <c r="C2187" s="1" t="s">
        <v>4156</v>
      </c>
      <c r="D2187" t="b">
        <f ca="1">IF(A2187="","",[1]!s_techanal_rcnthigh(B2187,$B$2,1,3))</f>
        <v>0</v>
      </c>
      <c r="E2187">
        <f ca="1">IF(A2187="","",COUNTIF(D$6:D2187,"True"))</f>
        <v>17</v>
      </c>
      <c r="F2187" t="str">
        <f t="shared" si="34"/>
        <v>300738.SZ</v>
      </c>
    </row>
    <row r="2188" spans="1:6" x14ac:dyDescent="0.15">
      <c r="A2188" s="2">
        <v>46089</v>
      </c>
      <c r="B2188" s="1" t="s">
        <v>4157</v>
      </c>
      <c r="C2188" s="1" t="s">
        <v>4158</v>
      </c>
      <c r="D2188" t="b">
        <f ca="1">IF(A2188="","",[1]!s_techanal_rcnthigh(B2188,$B$2,1,3))</f>
        <v>0</v>
      </c>
      <c r="E2188">
        <f ca="1">IF(A2188="","",COUNTIF(D$6:D2188,"True"))</f>
        <v>17</v>
      </c>
      <c r="F2188" t="str">
        <f t="shared" si="34"/>
        <v>300739.SZ</v>
      </c>
    </row>
    <row r="2189" spans="1:6" x14ac:dyDescent="0.15">
      <c r="A2189" s="2">
        <v>46089</v>
      </c>
      <c r="B2189" s="1" t="s">
        <v>4159</v>
      </c>
      <c r="C2189" s="1" t="s">
        <v>4160</v>
      </c>
      <c r="D2189" t="b">
        <f ca="1">IF(A2189="","",[1]!s_techanal_rcnthigh(B2189,$B$2,1,3))</f>
        <v>0</v>
      </c>
      <c r="E2189">
        <f ca="1">IF(A2189="","",COUNTIF(D$6:D2189,"True"))</f>
        <v>17</v>
      </c>
      <c r="F2189" t="str">
        <f t="shared" si="34"/>
        <v>300740.SZ</v>
      </c>
    </row>
    <row r="2190" spans="1:6" x14ac:dyDescent="0.15">
      <c r="A2190" s="2">
        <v>46089</v>
      </c>
      <c r="B2190" s="1" t="s">
        <v>4161</v>
      </c>
      <c r="C2190" s="1" t="s">
        <v>4162</v>
      </c>
      <c r="D2190" t="b">
        <f ca="1">IF(A2190="","",[1]!s_techanal_rcnthigh(B2190,$B$2,1,3))</f>
        <v>0</v>
      </c>
      <c r="E2190">
        <f ca="1">IF(A2190="","",COUNTIF(D$6:D2190,"True"))</f>
        <v>17</v>
      </c>
      <c r="F2190" t="str">
        <f t="shared" si="34"/>
        <v>300741.SZ</v>
      </c>
    </row>
    <row r="2191" spans="1:6" x14ac:dyDescent="0.15">
      <c r="A2191" s="2">
        <v>46089</v>
      </c>
      <c r="B2191" s="1" t="s">
        <v>4163</v>
      </c>
      <c r="C2191" s="1" t="s">
        <v>4164</v>
      </c>
      <c r="D2191" t="b">
        <f ca="1">IF(A2191="","",[1]!s_techanal_rcnthigh(B2191,$B$2,1,3))</f>
        <v>0</v>
      </c>
      <c r="E2191">
        <f ca="1">IF(A2191="","",COUNTIF(D$6:D2191,"True"))</f>
        <v>17</v>
      </c>
      <c r="F2191" t="str">
        <f t="shared" si="34"/>
        <v>300743.SZ</v>
      </c>
    </row>
    <row r="2192" spans="1:6" x14ac:dyDescent="0.15">
      <c r="A2192" s="2">
        <v>46089</v>
      </c>
      <c r="B2192" s="1" t="s">
        <v>4165</v>
      </c>
      <c r="C2192" s="1" t="s">
        <v>4166</v>
      </c>
      <c r="D2192" t="b">
        <f ca="1">IF(A2192="","",[1]!s_techanal_rcnthigh(B2192,$B$2,1,3))</f>
        <v>0</v>
      </c>
      <c r="E2192">
        <f ca="1">IF(A2192="","",COUNTIF(D$6:D2192,"True"))</f>
        <v>17</v>
      </c>
      <c r="F2192" t="str">
        <f t="shared" si="34"/>
        <v>300745.SZ</v>
      </c>
    </row>
    <row r="2193" spans="1:6" x14ac:dyDescent="0.15">
      <c r="A2193" s="2">
        <v>46089</v>
      </c>
      <c r="B2193" s="1" t="s">
        <v>4167</v>
      </c>
      <c r="C2193" s="1" t="s">
        <v>10231</v>
      </c>
      <c r="D2193" t="b">
        <f ca="1">IF(A2193="","",[1]!s_techanal_rcnthigh(B2193,$B$2,1,3))</f>
        <v>0</v>
      </c>
      <c r="E2193">
        <f ca="1">IF(A2193="","",COUNTIF(D$6:D2193,"True"))</f>
        <v>17</v>
      </c>
      <c r="F2193" t="str">
        <f t="shared" si="34"/>
        <v>300746.SZ</v>
      </c>
    </row>
    <row r="2194" spans="1:6" x14ac:dyDescent="0.15">
      <c r="A2194" s="2">
        <v>46089</v>
      </c>
      <c r="B2194" s="1" t="s">
        <v>4168</v>
      </c>
      <c r="C2194" s="1" t="s">
        <v>4169</v>
      </c>
      <c r="D2194" t="b">
        <f ca="1">IF(A2194="","",[1]!s_techanal_rcnthigh(B2194,$B$2,1,3))</f>
        <v>0</v>
      </c>
      <c r="E2194">
        <f ca="1">IF(A2194="","",COUNTIF(D$6:D2194,"True"))</f>
        <v>17</v>
      </c>
      <c r="F2194" t="str">
        <f t="shared" si="34"/>
        <v>300747.SZ</v>
      </c>
    </row>
    <row r="2195" spans="1:6" x14ac:dyDescent="0.15">
      <c r="A2195" s="2">
        <v>46089</v>
      </c>
      <c r="B2195" s="1" t="s">
        <v>4170</v>
      </c>
      <c r="C2195" s="1" t="s">
        <v>4171</v>
      </c>
      <c r="D2195" t="b">
        <f ca="1">IF(A2195="","",[1]!s_techanal_rcnthigh(B2195,$B$2,1,3))</f>
        <v>0</v>
      </c>
      <c r="E2195">
        <f ca="1">IF(A2195="","",COUNTIF(D$6:D2195,"True"))</f>
        <v>17</v>
      </c>
      <c r="F2195" t="str">
        <f t="shared" si="34"/>
        <v>300748.SZ</v>
      </c>
    </row>
    <row r="2196" spans="1:6" x14ac:dyDescent="0.15">
      <c r="A2196" s="2">
        <v>46089</v>
      </c>
      <c r="B2196" s="1" t="s">
        <v>4172</v>
      </c>
      <c r="C2196" s="1" t="s">
        <v>4173</v>
      </c>
      <c r="D2196" t="b">
        <f ca="1">IF(A2196="","",[1]!s_techanal_rcnthigh(B2196,$B$2,1,3))</f>
        <v>0</v>
      </c>
      <c r="E2196">
        <f ca="1">IF(A2196="","",COUNTIF(D$6:D2196,"True"))</f>
        <v>17</v>
      </c>
      <c r="F2196" t="str">
        <f t="shared" si="34"/>
        <v>300749.SZ</v>
      </c>
    </row>
    <row r="2197" spans="1:6" x14ac:dyDescent="0.15">
      <c r="A2197" s="2">
        <v>46089</v>
      </c>
      <c r="B2197" s="1" t="s">
        <v>4174</v>
      </c>
      <c r="C2197" s="1" t="s">
        <v>4175</v>
      </c>
      <c r="D2197" t="b">
        <f ca="1">IF(A2197="","",[1]!s_techanal_rcnthigh(B2197,$B$2,1,3))</f>
        <v>0</v>
      </c>
      <c r="E2197">
        <f ca="1">IF(A2197="","",COUNTIF(D$6:D2197,"True"))</f>
        <v>17</v>
      </c>
      <c r="F2197" t="str">
        <f t="shared" si="34"/>
        <v>300750.SZ</v>
      </c>
    </row>
    <row r="2198" spans="1:6" x14ac:dyDescent="0.15">
      <c r="A2198" s="2">
        <v>46089</v>
      </c>
      <c r="B2198" s="1" t="s">
        <v>4176</v>
      </c>
      <c r="C2198" s="1" t="s">
        <v>4177</v>
      </c>
      <c r="D2198" t="b">
        <f ca="1">IF(A2198="","",[1]!s_techanal_rcnthigh(B2198,$B$2,1,3))</f>
        <v>0</v>
      </c>
      <c r="E2198">
        <f ca="1">IF(A2198="","",COUNTIF(D$6:D2198,"True"))</f>
        <v>17</v>
      </c>
      <c r="F2198" t="str">
        <f t="shared" si="34"/>
        <v>300751.SZ</v>
      </c>
    </row>
    <row r="2199" spans="1:6" x14ac:dyDescent="0.15">
      <c r="A2199" s="2">
        <v>46089</v>
      </c>
      <c r="B2199" s="1" t="s">
        <v>4178</v>
      </c>
      <c r="C2199" s="1" t="s">
        <v>4179</v>
      </c>
      <c r="D2199" t="b">
        <f ca="1">IF(A2199="","",[1]!s_techanal_rcnthigh(B2199,$B$2,1,3))</f>
        <v>0</v>
      </c>
      <c r="E2199">
        <f ca="1">IF(A2199="","",COUNTIF(D$6:D2199,"True"))</f>
        <v>17</v>
      </c>
      <c r="F2199" t="str">
        <f t="shared" si="34"/>
        <v>300752.SZ</v>
      </c>
    </row>
    <row r="2200" spans="1:6" x14ac:dyDescent="0.15">
      <c r="A2200" s="2">
        <v>46089</v>
      </c>
      <c r="B2200" s="1" t="s">
        <v>4180</v>
      </c>
      <c r="C2200" s="1" t="s">
        <v>4181</v>
      </c>
      <c r="D2200" t="b">
        <f ca="1">IF(A2200="","",[1]!s_techanal_rcnthigh(B2200,$B$2,1,3))</f>
        <v>0</v>
      </c>
      <c r="E2200">
        <f ca="1">IF(A2200="","",COUNTIF(D$6:D2200,"True"))</f>
        <v>17</v>
      </c>
      <c r="F2200" t="str">
        <f t="shared" si="34"/>
        <v>300753.SZ</v>
      </c>
    </row>
    <row r="2201" spans="1:6" x14ac:dyDescent="0.15">
      <c r="A2201" s="2">
        <v>46089</v>
      </c>
      <c r="B2201" s="1" t="s">
        <v>4182</v>
      </c>
      <c r="C2201" s="1" t="s">
        <v>4183</v>
      </c>
      <c r="D2201" t="b">
        <f ca="1">IF(A2201="","",[1]!s_techanal_rcnthigh(B2201,$B$2,1,3))</f>
        <v>0</v>
      </c>
      <c r="E2201">
        <f ca="1">IF(A2201="","",COUNTIF(D$6:D2201,"True"))</f>
        <v>17</v>
      </c>
      <c r="F2201" t="str">
        <f t="shared" si="34"/>
        <v>300755.SZ</v>
      </c>
    </row>
    <row r="2202" spans="1:6" x14ac:dyDescent="0.15">
      <c r="A2202" s="2">
        <v>46089</v>
      </c>
      <c r="B2202" s="1" t="s">
        <v>4184</v>
      </c>
      <c r="C2202" s="1" t="s">
        <v>4185</v>
      </c>
      <c r="D2202" t="b">
        <f ca="1">IF(A2202="","",[1]!s_techanal_rcnthigh(B2202,$B$2,1,3))</f>
        <v>0</v>
      </c>
      <c r="E2202">
        <f ca="1">IF(A2202="","",COUNTIF(D$6:D2202,"True"))</f>
        <v>17</v>
      </c>
      <c r="F2202" t="str">
        <f t="shared" si="34"/>
        <v>300756.SZ</v>
      </c>
    </row>
    <row r="2203" spans="1:6" x14ac:dyDescent="0.15">
      <c r="A2203" s="2">
        <v>46089</v>
      </c>
      <c r="B2203" s="1" t="s">
        <v>4186</v>
      </c>
      <c r="C2203" s="1" t="s">
        <v>4187</v>
      </c>
      <c r="D2203" t="b">
        <f ca="1">IF(A2203="","",[1]!s_techanal_rcnthigh(B2203,$B$2,1,3))</f>
        <v>0</v>
      </c>
      <c r="E2203">
        <f ca="1">IF(A2203="","",COUNTIF(D$6:D2203,"True"))</f>
        <v>17</v>
      </c>
      <c r="F2203" t="str">
        <f t="shared" si="34"/>
        <v>300757.SZ</v>
      </c>
    </row>
    <row r="2204" spans="1:6" x14ac:dyDescent="0.15">
      <c r="A2204" s="2">
        <v>46089</v>
      </c>
      <c r="B2204" s="1" t="s">
        <v>4188</v>
      </c>
      <c r="C2204" s="1" t="s">
        <v>4189</v>
      </c>
      <c r="D2204" t="b">
        <f ca="1">IF(A2204="","",[1]!s_techanal_rcnthigh(B2204,$B$2,1,3))</f>
        <v>0</v>
      </c>
      <c r="E2204">
        <f ca="1">IF(A2204="","",COUNTIF(D$6:D2204,"True"))</f>
        <v>17</v>
      </c>
      <c r="F2204" t="str">
        <f t="shared" si="34"/>
        <v>300758.SZ</v>
      </c>
    </row>
    <row r="2205" spans="1:6" x14ac:dyDescent="0.15">
      <c r="A2205" s="2">
        <v>46089</v>
      </c>
      <c r="B2205" s="1" t="s">
        <v>4190</v>
      </c>
      <c r="C2205" s="1" t="s">
        <v>4191</v>
      </c>
      <c r="D2205" t="b">
        <f ca="1">IF(A2205="","",[1]!s_techanal_rcnthigh(B2205,$B$2,1,3))</f>
        <v>0</v>
      </c>
      <c r="E2205">
        <f ca="1">IF(A2205="","",COUNTIF(D$6:D2205,"True"))</f>
        <v>17</v>
      </c>
      <c r="F2205" t="str">
        <f t="shared" si="34"/>
        <v>300759.SZ</v>
      </c>
    </row>
    <row r="2206" spans="1:6" x14ac:dyDescent="0.15">
      <c r="A2206" s="2">
        <v>46089</v>
      </c>
      <c r="B2206" s="1" t="s">
        <v>4192</v>
      </c>
      <c r="C2206" s="1" t="s">
        <v>4193</v>
      </c>
      <c r="D2206" t="b">
        <f ca="1">IF(A2206="","",[1]!s_techanal_rcnthigh(B2206,$B$2,1,3))</f>
        <v>0</v>
      </c>
      <c r="E2206">
        <f ca="1">IF(A2206="","",COUNTIF(D$6:D2206,"True"))</f>
        <v>17</v>
      </c>
      <c r="F2206" t="str">
        <f t="shared" si="34"/>
        <v>300760.SZ</v>
      </c>
    </row>
    <row r="2207" spans="1:6" x14ac:dyDescent="0.15">
      <c r="A2207" s="2">
        <v>46089</v>
      </c>
      <c r="B2207" s="1" t="s">
        <v>4194</v>
      </c>
      <c r="C2207" s="1" t="s">
        <v>4195</v>
      </c>
      <c r="D2207" t="b">
        <f ca="1">IF(A2207="","",[1]!s_techanal_rcnthigh(B2207,$B$2,1,3))</f>
        <v>0</v>
      </c>
      <c r="E2207">
        <f ca="1">IF(A2207="","",COUNTIF(D$6:D2207,"True"))</f>
        <v>17</v>
      </c>
      <c r="F2207" t="str">
        <f t="shared" si="34"/>
        <v>300761.SZ</v>
      </c>
    </row>
    <row r="2208" spans="1:6" x14ac:dyDescent="0.15">
      <c r="A2208" s="2">
        <v>46089</v>
      </c>
      <c r="B2208" s="1" t="s">
        <v>4196</v>
      </c>
      <c r="C2208" s="1" t="s">
        <v>4197</v>
      </c>
      <c r="D2208" t="b">
        <f ca="1">IF(A2208="","",[1]!s_techanal_rcnthigh(B2208,$B$2,1,3))</f>
        <v>0</v>
      </c>
      <c r="E2208">
        <f ca="1">IF(A2208="","",COUNTIF(D$6:D2208,"True"))</f>
        <v>17</v>
      </c>
      <c r="F2208" t="str">
        <f t="shared" si="34"/>
        <v>300762.SZ</v>
      </c>
    </row>
    <row r="2209" spans="1:6" x14ac:dyDescent="0.15">
      <c r="A2209" s="2">
        <v>46089</v>
      </c>
      <c r="B2209" s="1" t="s">
        <v>4198</v>
      </c>
      <c r="C2209" s="1" t="s">
        <v>4199</v>
      </c>
      <c r="D2209" t="b">
        <f ca="1">IF(A2209="","",[1]!s_techanal_rcnthigh(B2209,$B$2,1,3))</f>
        <v>0</v>
      </c>
      <c r="E2209">
        <f ca="1">IF(A2209="","",COUNTIF(D$6:D2209,"True"))</f>
        <v>17</v>
      </c>
      <c r="F2209" t="str">
        <f t="shared" si="34"/>
        <v>300763.SZ</v>
      </c>
    </row>
    <row r="2210" spans="1:6" x14ac:dyDescent="0.15">
      <c r="A2210" s="2">
        <v>46089</v>
      </c>
      <c r="B2210" s="1" t="s">
        <v>4200</v>
      </c>
      <c r="C2210" s="1" t="s">
        <v>4201</v>
      </c>
      <c r="D2210" t="b">
        <f ca="1">IF(A2210="","",[1]!s_techanal_rcnthigh(B2210,$B$2,1,3))</f>
        <v>0</v>
      </c>
      <c r="E2210">
        <f ca="1">IF(A2210="","",COUNTIF(D$6:D2210,"True"))</f>
        <v>17</v>
      </c>
      <c r="F2210" t="str">
        <f t="shared" si="34"/>
        <v>300765.SZ</v>
      </c>
    </row>
    <row r="2211" spans="1:6" x14ac:dyDescent="0.15">
      <c r="A2211" s="2">
        <v>46089</v>
      </c>
      <c r="B2211" s="1" t="s">
        <v>4202</v>
      </c>
      <c r="C2211" s="1" t="s">
        <v>4203</v>
      </c>
      <c r="D2211" t="b">
        <f ca="1">IF(A2211="","",[1]!s_techanal_rcnthigh(B2211,$B$2,1,3))</f>
        <v>0</v>
      </c>
      <c r="E2211">
        <f ca="1">IF(A2211="","",COUNTIF(D$6:D2211,"True"))</f>
        <v>17</v>
      </c>
      <c r="F2211" t="str">
        <f t="shared" si="34"/>
        <v>300766.SZ</v>
      </c>
    </row>
    <row r="2212" spans="1:6" x14ac:dyDescent="0.15">
      <c r="A2212" s="2">
        <v>46089</v>
      </c>
      <c r="B2212" s="1" t="s">
        <v>4204</v>
      </c>
      <c r="C2212" s="1" t="s">
        <v>4205</v>
      </c>
      <c r="D2212" t="b">
        <f ca="1">IF(A2212="","",[1]!s_techanal_rcnthigh(B2212,$B$2,1,3))</f>
        <v>0</v>
      </c>
      <c r="E2212">
        <f ca="1">IF(A2212="","",COUNTIF(D$6:D2212,"True"))</f>
        <v>17</v>
      </c>
      <c r="F2212" t="str">
        <f t="shared" si="34"/>
        <v>300767.SZ</v>
      </c>
    </row>
    <row r="2213" spans="1:6" x14ac:dyDescent="0.15">
      <c r="A2213" s="2">
        <v>46089</v>
      </c>
      <c r="B2213" s="1" t="s">
        <v>4206</v>
      </c>
      <c r="C2213" s="1" t="s">
        <v>4207</v>
      </c>
      <c r="D2213" t="b">
        <f ca="1">IF(A2213="","",[1]!s_techanal_rcnthigh(B2213,$B$2,1,3))</f>
        <v>0</v>
      </c>
      <c r="E2213">
        <f ca="1">IF(A2213="","",COUNTIF(D$6:D2213,"True"))</f>
        <v>17</v>
      </c>
      <c r="F2213" t="str">
        <f t="shared" si="34"/>
        <v>300768.SZ</v>
      </c>
    </row>
    <row r="2214" spans="1:6" x14ac:dyDescent="0.15">
      <c r="A2214" s="2">
        <v>46089</v>
      </c>
      <c r="B2214" s="1" t="s">
        <v>4208</v>
      </c>
      <c r="C2214" s="1" t="s">
        <v>4209</v>
      </c>
      <c r="D2214" t="b">
        <f ca="1">IF(A2214="","",[1]!s_techanal_rcnthigh(B2214,$B$2,1,3))</f>
        <v>0</v>
      </c>
      <c r="E2214">
        <f ca="1">IF(A2214="","",COUNTIF(D$6:D2214,"True"))</f>
        <v>17</v>
      </c>
      <c r="F2214" t="str">
        <f t="shared" si="34"/>
        <v>300769.SZ</v>
      </c>
    </row>
    <row r="2215" spans="1:6" x14ac:dyDescent="0.15">
      <c r="A2215" s="2">
        <v>46089</v>
      </c>
      <c r="B2215" s="1" t="s">
        <v>4210</v>
      </c>
      <c r="C2215" s="1" t="s">
        <v>4211</v>
      </c>
      <c r="D2215" t="b">
        <f ca="1">IF(A2215="","",[1]!s_techanal_rcnthigh(B2215,$B$2,1,3))</f>
        <v>0</v>
      </c>
      <c r="E2215">
        <f ca="1">IF(A2215="","",COUNTIF(D$6:D2215,"True"))</f>
        <v>17</v>
      </c>
      <c r="F2215" t="str">
        <f t="shared" si="34"/>
        <v>300770.SZ</v>
      </c>
    </row>
    <row r="2216" spans="1:6" x14ac:dyDescent="0.15">
      <c r="A2216" s="2">
        <v>46089</v>
      </c>
      <c r="B2216" s="1" t="s">
        <v>4212</v>
      </c>
      <c r="C2216" s="1" t="s">
        <v>4213</v>
      </c>
      <c r="D2216" t="b">
        <f ca="1">IF(A2216="","",[1]!s_techanal_rcnthigh(B2216,$B$2,1,3))</f>
        <v>0</v>
      </c>
      <c r="E2216">
        <f ca="1">IF(A2216="","",COUNTIF(D$6:D2216,"True"))</f>
        <v>17</v>
      </c>
      <c r="F2216" t="str">
        <f t="shared" si="34"/>
        <v>300771.SZ</v>
      </c>
    </row>
    <row r="2217" spans="1:6" x14ac:dyDescent="0.15">
      <c r="A2217" s="2">
        <v>46089</v>
      </c>
      <c r="B2217" s="1" t="s">
        <v>4214</v>
      </c>
      <c r="C2217" s="1" t="s">
        <v>4215</v>
      </c>
      <c r="D2217" t="b">
        <f ca="1">IF(A2217="","",[1]!s_techanal_rcnthigh(B2217,$B$2,1,3))</f>
        <v>0</v>
      </c>
      <c r="E2217">
        <f ca="1">IF(A2217="","",COUNTIF(D$6:D2217,"True"))</f>
        <v>17</v>
      </c>
      <c r="F2217" t="str">
        <f t="shared" si="34"/>
        <v>300772.SZ</v>
      </c>
    </row>
    <row r="2218" spans="1:6" x14ac:dyDescent="0.15">
      <c r="A2218" s="2">
        <v>46089</v>
      </c>
      <c r="B2218" s="1" t="s">
        <v>4216</v>
      </c>
      <c r="C2218" s="1" t="s">
        <v>4217</v>
      </c>
      <c r="D2218" t="b">
        <f ca="1">IF(A2218="","",[1]!s_techanal_rcnthigh(B2218,$B$2,1,3))</f>
        <v>0</v>
      </c>
      <c r="E2218">
        <f ca="1">IF(A2218="","",COUNTIF(D$6:D2218,"True"))</f>
        <v>17</v>
      </c>
      <c r="F2218" t="str">
        <f t="shared" si="34"/>
        <v>300773.SZ</v>
      </c>
    </row>
    <row r="2219" spans="1:6" x14ac:dyDescent="0.15">
      <c r="A2219" s="2">
        <v>46089</v>
      </c>
      <c r="B2219" s="1" t="s">
        <v>4218</v>
      </c>
      <c r="C2219" s="1" t="s">
        <v>4219</v>
      </c>
      <c r="D2219" t="b">
        <f ca="1">IF(A2219="","",[1]!s_techanal_rcnthigh(B2219,$B$2,1,3))</f>
        <v>0</v>
      </c>
      <c r="E2219">
        <f ca="1">IF(A2219="","",COUNTIF(D$6:D2219,"True"))</f>
        <v>17</v>
      </c>
      <c r="F2219" t="str">
        <f t="shared" si="34"/>
        <v>300774.SZ</v>
      </c>
    </row>
    <row r="2220" spans="1:6" x14ac:dyDescent="0.15">
      <c r="A2220" s="2">
        <v>46089</v>
      </c>
      <c r="B2220" s="1" t="s">
        <v>4220</v>
      </c>
      <c r="C2220" s="1" t="s">
        <v>4221</v>
      </c>
      <c r="D2220" t="b">
        <f ca="1">IF(A2220="","",[1]!s_techanal_rcnthigh(B2220,$B$2,1,3))</f>
        <v>0</v>
      </c>
      <c r="E2220">
        <f ca="1">IF(A2220="","",COUNTIF(D$6:D2220,"True"))</f>
        <v>17</v>
      </c>
      <c r="F2220" t="str">
        <f t="shared" si="34"/>
        <v>300775.SZ</v>
      </c>
    </row>
    <row r="2221" spans="1:6" x14ac:dyDescent="0.15">
      <c r="A2221" s="2">
        <v>46089</v>
      </c>
      <c r="B2221" s="1" t="s">
        <v>4222</v>
      </c>
      <c r="C2221" s="1" t="s">
        <v>4223</v>
      </c>
      <c r="D2221" t="b">
        <f ca="1">IF(A2221="","",[1]!s_techanal_rcnthigh(B2221,$B$2,1,3))</f>
        <v>0</v>
      </c>
      <c r="E2221">
        <f ca="1">IF(A2221="","",COUNTIF(D$6:D2221,"True"))</f>
        <v>17</v>
      </c>
      <c r="F2221" t="str">
        <f t="shared" si="34"/>
        <v>300776.SZ</v>
      </c>
    </row>
    <row r="2222" spans="1:6" x14ac:dyDescent="0.15">
      <c r="A2222" s="2">
        <v>46089</v>
      </c>
      <c r="B2222" s="1" t="s">
        <v>4224</v>
      </c>
      <c r="C2222" s="1" t="s">
        <v>4225</v>
      </c>
      <c r="D2222" t="b">
        <f ca="1">IF(A2222="","",[1]!s_techanal_rcnthigh(B2222,$B$2,1,3))</f>
        <v>0</v>
      </c>
      <c r="E2222">
        <f ca="1">IF(A2222="","",COUNTIF(D$6:D2222,"True"))</f>
        <v>17</v>
      </c>
      <c r="F2222" t="str">
        <f t="shared" si="34"/>
        <v>300777.SZ</v>
      </c>
    </row>
    <row r="2223" spans="1:6" x14ac:dyDescent="0.15">
      <c r="A2223" s="2">
        <v>46089</v>
      </c>
      <c r="B2223" s="1" t="s">
        <v>4226</v>
      </c>
      <c r="C2223" s="1" t="s">
        <v>4227</v>
      </c>
      <c r="D2223" t="b">
        <f ca="1">IF(A2223="","",[1]!s_techanal_rcnthigh(B2223,$B$2,1,3))</f>
        <v>0</v>
      </c>
      <c r="E2223">
        <f ca="1">IF(A2223="","",COUNTIF(D$6:D2223,"True"))</f>
        <v>17</v>
      </c>
      <c r="F2223" t="str">
        <f t="shared" si="34"/>
        <v>300778.SZ</v>
      </c>
    </row>
    <row r="2224" spans="1:6" x14ac:dyDescent="0.15">
      <c r="A2224" s="2">
        <v>46089</v>
      </c>
      <c r="B2224" s="1" t="s">
        <v>4228</v>
      </c>
      <c r="C2224" s="1" t="s">
        <v>4229</v>
      </c>
      <c r="D2224" t="b">
        <f ca="1">IF(A2224="","",[1]!s_techanal_rcnthigh(B2224,$B$2,1,3))</f>
        <v>0</v>
      </c>
      <c r="E2224">
        <f ca="1">IF(A2224="","",COUNTIF(D$6:D2224,"True"))</f>
        <v>17</v>
      </c>
      <c r="F2224" t="str">
        <f t="shared" si="34"/>
        <v>300779.SZ</v>
      </c>
    </row>
    <row r="2225" spans="1:6" x14ac:dyDescent="0.15">
      <c r="A2225" s="2">
        <v>46089</v>
      </c>
      <c r="B2225" s="1" t="s">
        <v>4230</v>
      </c>
      <c r="C2225" s="1" t="s">
        <v>4231</v>
      </c>
      <c r="D2225" t="b">
        <f ca="1">IF(A2225="","",[1]!s_techanal_rcnthigh(B2225,$B$2,1,3))</f>
        <v>0</v>
      </c>
      <c r="E2225">
        <f ca="1">IF(A2225="","",COUNTIF(D$6:D2225,"True"))</f>
        <v>17</v>
      </c>
      <c r="F2225" t="str">
        <f t="shared" si="34"/>
        <v>300780.SZ</v>
      </c>
    </row>
    <row r="2226" spans="1:6" x14ac:dyDescent="0.15">
      <c r="A2226" s="2">
        <v>46089</v>
      </c>
      <c r="B2226" s="1" t="s">
        <v>4232</v>
      </c>
      <c r="C2226" s="1" t="s">
        <v>4233</v>
      </c>
      <c r="D2226" t="b">
        <f ca="1">IF(A2226="","",[1]!s_techanal_rcnthigh(B2226,$B$2,1,3))</f>
        <v>0</v>
      </c>
      <c r="E2226">
        <f ca="1">IF(A2226="","",COUNTIF(D$6:D2226,"True"))</f>
        <v>17</v>
      </c>
      <c r="F2226" t="str">
        <f t="shared" si="34"/>
        <v>300781.SZ</v>
      </c>
    </row>
    <row r="2227" spans="1:6" x14ac:dyDescent="0.15">
      <c r="A2227" s="2">
        <v>46089</v>
      </c>
      <c r="B2227" s="1" t="s">
        <v>4234</v>
      </c>
      <c r="C2227" s="1" t="s">
        <v>4235</v>
      </c>
      <c r="D2227" t="b">
        <f ca="1">IF(A2227="","",[1]!s_techanal_rcnthigh(B2227,$B$2,1,3))</f>
        <v>0</v>
      </c>
      <c r="E2227">
        <f ca="1">IF(A2227="","",COUNTIF(D$6:D2227,"True"))</f>
        <v>17</v>
      </c>
      <c r="F2227" t="str">
        <f t="shared" si="34"/>
        <v>300782.SZ</v>
      </c>
    </row>
    <row r="2228" spans="1:6" x14ac:dyDescent="0.15">
      <c r="A2228" s="2">
        <v>46089</v>
      </c>
      <c r="B2228" s="1" t="s">
        <v>4236</v>
      </c>
      <c r="C2228" s="1" t="s">
        <v>4237</v>
      </c>
      <c r="D2228" t="b">
        <f ca="1">IF(A2228="","",[1]!s_techanal_rcnthigh(B2228,$B$2,1,3))</f>
        <v>0</v>
      </c>
      <c r="E2228">
        <f ca="1">IF(A2228="","",COUNTIF(D$6:D2228,"True"))</f>
        <v>17</v>
      </c>
      <c r="F2228" t="str">
        <f t="shared" si="34"/>
        <v>300783.SZ</v>
      </c>
    </row>
    <row r="2229" spans="1:6" x14ac:dyDescent="0.15">
      <c r="A2229" s="2">
        <v>46089</v>
      </c>
      <c r="B2229" s="1" t="s">
        <v>10232</v>
      </c>
      <c r="C2229" s="1" t="s">
        <v>10233</v>
      </c>
      <c r="D2229" t="b">
        <f ca="1">IF(A2229="","",[1]!s_techanal_rcnthigh(B2229,$B$2,1,3))</f>
        <v>0</v>
      </c>
      <c r="E2229">
        <f ca="1">IF(A2229="","",COUNTIF(D$6:D2229,"True"))</f>
        <v>17</v>
      </c>
      <c r="F2229" t="str">
        <f t="shared" si="34"/>
        <v>300784.SZ</v>
      </c>
    </row>
    <row r="2230" spans="1:6" x14ac:dyDescent="0.15">
      <c r="A2230" s="2">
        <v>46089</v>
      </c>
      <c r="B2230" s="1" t="s">
        <v>4238</v>
      </c>
      <c r="C2230" s="1" t="s">
        <v>4239</v>
      </c>
      <c r="D2230" t="b">
        <f ca="1">IF(A2230="","",[1]!s_techanal_rcnthigh(B2230,$B$2,1,3))</f>
        <v>0</v>
      </c>
      <c r="E2230">
        <f ca="1">IF(A2230="","",COUNTIF(D$6:D2230,"True"))</f>
        <v>17</v>
      </c>
      <c r="F2230" t="str">
        <f t="shared" si="34"/>
        <v>300785.SZ</v>
      </c>
    </row>
    <row r="2231" spans="1:6" x14ac:dyDescent="0.15">
      <c r="A2231" s="2">
        <v>46089</v>
      </c>
      <c r="B2231" s="1" t="s">
        <v>4240</v>
      </c>
      <c r="C2231" s="1" t="s">
        <v>4241</v>
      </c>
      <c r="D2231" t="b">
        <f ca="1">IF(A2231="","",[1]!s_techanal_rcnthigh(B2231,$B$2,1,3))</f>
        <v>0</v>
      </c>
      <c r="E2231">
        <f ca="1">IF(A2231="","",COUNTIF(D$6:D2231,"True"))</f>
        <v>17</v>
      </c>
      <c r="F2231" t="str">
        <f t="shared" si="34"/>
        <v>300786.SZ</v>
      </c>
    </row>
    <row r="2232" spans="1:6" x14ac:dyDescent="0.15">
      <c r="A2232" s="2">
        <v>46089</v>
      </c>
      <c r="B2232" s="1" t="s">
        <v>4242</v>
      </c>
      <c r="C2232" s="1" t="s">
        <v>4243</v>
      </c>
      <c r="D2232" t="b">
        <f ca="1">IF(A2232="","",[1]!s_techanal_rcnthigh(B2232,$B$2,1,3))</f>
        <v>0</v>
      </c>
      <c r="E2232">
        <f ca="1">IF(A2232="","",COUNTIF(D$6:D2232,"True"))</f>
        <v>17</v>
      </c>
      <c r="F2232" t="str">
        <f t="shared" si="34"/>
        <v>300787.SZ</v>
      </c>
    </row>
    <row r="2233" spans="1:6" x14ac:dyDescent="0.15">
      <c r="A2233" s="2">
        <v>46089</v>
      </c>
      <c r="B2233" s="1" t="s">
        <v>4244</v>
      </c>
      <c r="C2233" s="1" t="s">
        <v>4245</v>
      </c>
      <c r="D2233" t="b">
        <f ca="1">IF(A2233="","",[1]!s_techanal_rcnthigh(B2233,$B$2,1,3))</f>
        <v>0</v>
      </c>
      <c r="E2233">
        <f ca="1">IF(A2233="","",COUNTIF(D$6:D2233,"True"))</f>
        <v>17</v>
      </c>
      <c r="F2233" t="str">
        <f t="shared" si="34"/>
        <v>300788.SZ</v>
      </c>
    </row>
    <row r="2234" spans="1:6" x14ac:dyDescent="0.15">
      <c r="A2234" s="2">
        <v>46089</v>
      </c>
      <c r="B2234" s="1" t="s">
        <v>4246</v>
      </c>
      <c r="C2234" s="1" t="s">
        <v>4247</v>
      </c>
      <c r="D2234" t="b">
        <f ca="1">IF(A2234="","",[1]!s_techanal_rcnthigh(B2234,$B$2,1,3))</f>
        <v>0</v>
      </c>
      <c r="E2234">
        <f ca="1">IF(A2234="","",COUNTIF(D$6:D2234,"True"))</f>
        <v>17</v>
      </c>
      <c r="F2234" t="str">
        <f t="shared" si="34"/>
        <v>300789.SZ</v>
      </c>
    </row>
    <row r="2235" spans="1:6" x14ac:dyDescent="0.15">
      <c r="A2235" s="2">
        <v>46089</v>
      </c>
      <c r="B2235" s="1" t="s">
        <v>4248</v>
      </c>
      <c r="C2235" s="1" t="s">
        <v>4249</v>
      </c>
      <c r="D2235" t="b">
        <f ca="1">IF(A2235="","",[1]!s_techanal_rcnthigh(B2235,$B$2,1,3))</f>
        <v>0</v>
      </c>
      <c r="E2235">
        <f ca="1">IF(A2235="","",COUNTIF(D$6:D2235,"True"))</f>
        <v>17</v>
      </c>
      <c r="F2235" t="str">
        <f t="shared" si="34"/>
        <v>300790.SZ</v>
      </c>
    </row>
    <row r="2236" spans="1:6" x14ac:dyDescent="0.15">
      <c r="A2236" s="2">
        <v>46089</v>
      </c>
      <c r="B2236" s="1" t="s">
        <v>4250</v>
      </c>
      <c r="C2236" s="1" t="s">
        <v>4251</v>
      </c>
      <c r="D2236" t="b">
        <f ca="1">IF(A2236="","",[1]!s_techanal_rcnthigh(B2236,$B$2,1,3))</f>
        <v>0</v>
      </c>
      <c r="E2236">
        <f ca="1">IF(A2236="","",COUNTIF(D$6:D2236,"True"))</f>
        <v>17</v>
      </c>
      <c r="F2236" t="str">
        <f t="shared" si="34"/>
        <v>300791.SZ</v>
      </c>
    </row>
    <row r="2237" spans="1:6" x14ac:dyDescent="0.15">
      <c r="A2237" s="2">
        <v>46089</v>
      </c>
      <c r="B2237" s="1" t="s">
        <v>4252</v>
      </c>
      <c r="C2237" s="1" t="s">
        <v>4253</v>
      </c>
      <c r="D2237" t="b">
        <f ca="1">IF(A2237="","",[1]!s_techanal_rcnthigh(B2237,$B$2,1,3))</f>
        <v>0</v>
      </c>
      <c r="E2237">
        <f ca="1">IF(A2237="","",COUNTIF(D$6:D2237,"True"))</f>
        <v>17</v>
      </c>
      <c r="F2237" t="str">
        <f t="shared" si="34"/>
        <v>300792.SZ</v>
      </c>
    </row>
    <row r="2238" spans="1:6" x14ac:dyDescent="0.15">
      <c r="A2238" s="2">
        <v>46089</v>
      </c>
      <c r="B2238" s="1" t="s">
        <v>4254</v>
      </c>
      <c r="C2238" s="1" t="s">
        <v>4255</v>
      </c>
      <c r="D2238" t="b">
        <f ca="1">IF(A2238="","",[1]!s_techanal_rcnthigh(B2238,$B$2,1,3))</f>
        <v>0</v>
      </c>
      <c r="E2238">
        <f ca="1">IF(A2238="","",COUNTIF(D$6:D2238,"True"))</f>
        <v>17</v>
      </c>
      <c r="F2238" t="str">
        <f t="shared" si="34"/>
        <v>300793.SZ</v>
      </c>
    </row>
    <row r="2239" spans="1:6" x14ac:dyDescent="0.15">
      <c r="A2239" s="2">
        <v>46089</v>
      </c>
      <c r="B2239" s="1" t="s">
        <v>4256</v>
      </c>
      <c r="C2239" s="1" t="s">
        <v>4257</v>
      </c>
      <c r="D2239" t="b">
        <f ca="1">IF(A2239="","",[1]!s_techanal_rcnthigh(B2239,$B$2,1,3))</f>
        <v>0</v>
      </c>
      <c r="E2239">
        <f ca="1">IF(A2239="","",COUNTIF(D$6:D2239,"True"))</f>
        <v>17</v>
      </c>
      <c r="F2239" t="str">
        <f t="shared" si="34"/>
        <v>300795.SZ</v>
      </c>
    </row>
    <row r="2240" spans="1:6" x14ac:dyDescent="0.15">
      <c r="A2240" s="2">
        <v>46089</v>
      </c>
      <c r="B2240" s="1" t="s">
        <v>4258</v>
      </c>
      <c r="C2240" s="1" t="s">
        <v>4259</v>
      </c>
      <c r="D2240" t="b">
        <f ca="1">IF(A2240="","",[1]!s_techanal_rcnthigh(B2240,$B$2,1,3))</f>
        <v>0</v>
      </c>
      <c r="E2240">
        <f ca="1">IF(A2240="","",COUNTIF(D$6:D2240,"True"))</f>
        <v>17</v>
      </c>
      <c r="F2240" t="str">
        <f t="shared" si="34"/>
        <v>300796.SZ</v>
      </c>
    </row>
    <row r="2241" spans="1:6" x14ac:dyDescent="0.15">
      <c r="A2241" s="2">
        <v>46089</v>
      </c>
      <c r="B2241" s="1" t="s">
        <v>4260</v>
      </c>
      <c r="C2241" s="1" t="s">
        <v>4261</v>
      </c>
      <c r="D2241" t="b">
        <f ca="1">IF(A2241="","",[1]!s_techanal_rcnthigh(B2241,$B$2,1,3))</f>
        <v>0</v>
      </c>
      <c r="E2241">
        <f ca="1">IF(A2241="","",COUNTIF(D$6:D2241,"True"))</f>
        <v>17</v>
      </c>
      <c r="F2241" t="str">
        <f t="shared" si="34"/>
        <v>300797.SZ</v>
      </c>
    </row>
    <row r="2242" spans="1:6" x14ac:dyDescent="0.15">
      <c r="A2242" s="2">
        <v>46089</v>
      </c>
      <c r="B2242" s="1" t="s">
        <v>4262</v>
      </c>
      <c r="C2242" s="1" t="s">
        <v>4263</v>
      </c>
      <c r="D2242" t="b">
        <f ca="1">IF(A2242="","",[1]!s_techanal_rcnthigh(B2242,$B$2,1,3))</f>
        <v>0</v>
      </c>
      <c r="E2242">
        <f ca="1">IF(A2242="","",COUNTIF(D$6:D2242,"True"))</f>
        <v>17</v>
      </c>
      <c r="F2242" t="str">
        <f t="shared" si="34"/>
        <v>300798.SZ</v>
      </c>
    </row>
    <row r="2243" spans="1:6" x14ac:dyDescent="0.15">
      <c r="A2243" s="2">
        <v>46089</v>
      </c>
      <c r="B2243" s="1" t="s">
        <v>4264</v>
      </c>
      <c r="C2243" s="1" t="s">
        <v>4265</v>
      </c>
      <c r="D2243" t="b">
        <f ca="1">IF(A2243="","",[1]!s_techanal_rcnthigh(B2243,$B$2,1,3))</f>
        <v>0</v>
      </c>
      <c r="E2243">
        <f ca="1">IF(A2243="","",COUNTIF(D$6:D2243,"True"))</f>
        <v>17</v>
      </c>
      <c r="F2243" t="str">
        <f t="shared" si="34"/>
        <v>300800.SZ</v>
      </c>
    </row>
    <row r="2244" spans="1:6" x14ac:dyDescent="0.15">
      <c r="A2244" s="2">
        <v>46089</v>
      </c>
      <c r="B2244" s="1" t="s">
        <v>4266</v>
      </c>
      <c r="C2244" s="1" t="s">
        <v>4267</v>
      </c>
      <c r="D2244" t="b">
        <f ca="1">IF(A2244="","",[1]!s_techanal_rcnthigh(B2244,$B$2,1,3))</f>
        <v>0</v>
      </c>
      <c r="E2244">
        <f ca="1">IF(A2244="","",COUNTIF(D$6:D2244,"True"))</f>
        <v>17</v>
      </c>
      <c r="F2244" t="str">
        <f t="shared" si="34"/>
        <v>300801.SZ</v>
      </c>
    </row>
    <row r="2245" spans="1:6" x14ac:dyDescent="0.15">
      <c r="A2245" s="2">
        <v>46089</v>
      </c>
      <c r="B2245" s="1" t="s">
        <v>4268</v>
      </c>
      <c r="C2245" s="1" t="s">
        <v>4269</v>
      </c>
      <c r="D2245" t="b">
        <f ca="1">IF(A2245="","",[1]!s_techanal_rcnthigh(B2245,$B$2,1,3))</f>
        <v>0</v>
      </c>
      <c r="E2245">
        <f ca="1">IF(A2245="","",COUNTIF(D$6:D2245,"True"))</f>
        <v>17</v>
      </c>
      <c r="F2245" t="str">
        <f t="shared" si="34"/>
        <v>300802.SZ</v>
      </c>
    </row>
    <row r="2246" spans="1:6" x14ac:dyDescent="0.15">
      <c r="A2246" s="2">
        <v>46089</v>
      </c>
      <c r="B2246" s="1" t="s">
        <v>4270</v>
      </c>
      <c r="C2246" s="1" t="s">
        <v>4271</v>
      </c>
      <c r="D2246" t="b">
        <f ca="1">IF(A2246="","",[1]!s_techanal_rcnthigh(B2246,$B$2,1,3))</f>
        <v>0</v>
      </c>
      <c r="E2246">
        <f ca="1">IF(A2246="","",COUNTIF(D$6:D2246,"True"))</f>
        <v>17</v>
      </c>
      <c r="F2246" t="str">
        <f t="shared" ref="F2246:F2309" si="35">IF(B2246="","",B2246)</f>
        <v>300803.SZ</v>
      </c>
    </row>
    <row r="2247" spans="1:6" x14ac:dyDescent="0.15">
      <c r="A2247" s="2">
        <v>46089</v>
      </c>
      <c r="B2247" s="1" t="s">
        <v>4272</v>
      </c>
      <c r="C2247" s="1" t="s">
        <v>4273</v>
      </c>
      <c r="D2247" t="b">
        <f ca="1">IF(A2247="","",[1]!s_techanal_rcnthigh(B2247,$B$2,1,3))</f>
        <v>0</v>
      </c>
      <c r="E2247">
        <f ca="1">IF(A2247="","",COUNTIF(D$6:D2247,"True"))</f>
        <v>17</v>
      </c>
      <c r="F2247" t="str">
        <f t="shared" si="35"/>
        <v>300804.SZ</v>
      </c>
    </row>
    <row r="2248" spans="1:6" x14ac:dyDescent="0.15">
      <c r="A2248" s="2">
        <v>46089</v>
      </c>
      <c r="B2248" s="1" t="s">
        <v>4274</v>
      </c>
      <c r="C2248" s="1" t="s">
        <v>4275</v>
      </c>
      <c r="D2248" t="b">
        <f ca="1">IF(A2248="","",[1]!s_techanal_rcnthigh(B2248,$B$2,1,3))</f>
        <v>0</v>
      </c>
      <c r="E2248">
        <f ca="1">IF(A2248="","",COUNTIF(D$6:D2248,"True"))</f>
        <v>17</v>
      </c>
      <c r="F2248" t="str">
        <f t="shared" si="35"/>
        <v>300805.SZ</v>
      </c>
    </row>
    <row r="2249" spans="1:6" x14ac:dyDescent="0.15">
      <c r="A2249" s="2">
        <v>46089</v>
      </c>
      <c r="B2249" s="1" t="s">
        <v>4276</v>
      </c>
      <c r="C2249" s="1" t="s">
        <v>4277</v>
      </c>
      <c r="D2249" t="b">
        <f ca="1">IF(A2249="","",[1]!s_techanal_rcnthigh(B2249,$B$2,1,3))</f>
        <v>0</v>
      </c>
      <c r="E2249">
        <f ca="1">IF(A2249="","",COUNTIF(D$6:D2249,"True"))</f>
        <v>17</v>
      </c>
      <c r="F2249" t="str">
        <f t="shared" si="35"/>
        <v>300806.SZ</v>
      </c>
    </row>
    <row r="2250" spans="1:6" x14ac:dyDescent="0.15">
      <c r="A2250" s="2">
        <v>46089</v>
      </c>
      <c r="B2250" s="1" t="s">
        <v>4278</v>
      </c>
      <c r="C2250" s="1" t="s">
        <v>4279</v>
      </c>
      <c r="D2250" t="b">
        <f ca="1">IF(A2250="","",[1]!s_techanal_rcnthigh(B2250,$B$2,1,3))</f>
        <v>0</v>
      </c>
      <c r="E2250">
        <f ca="1">IF(A2250="","",COUNTIF(D$6:D2250,"True"))</f>
        <v>17</v>
      </c>
      <c r="F2250" t="str">
        <f t="shared" si="35"/>
        <v>300807.SZ</v>
      </c>
    </row>
    <row r="2251" spans="1:6" x14ac:dyDescent="0.15">
      <c r="A2251" s="2">
        <v>46089</v>
      </c>
      <c r="B2251" s="1" t="s">
        <v>4280</v>
      </c>
      <c r="C2251" s="1" t="s">
        <v>4281</v>
      </c>
      <c r="D2251" t="b">
        <f ca="1">IF(A2251="","",[1]!s_techanal_rcnthigh(B2251,$B$2,1,3))</f>
        <v>0</v>
      </c>
      <c r="E2251">
        <f ca="1">IF(A2251="","",COUNTIF(D$6:D2251,"True"))</f>
        <v>17</v>
      </c>
      <c r="F2251" t="str">
        <f t="shared" si="35"/>
        <v>300808.SZ</v>
      </c>
    </row>
    <row r="2252" spans="1:6" x14ac:dyDescent="0.15">
      <c r="A2252" s="2">
        <v>46089</v>
      </c>
      <c r="B2252" s="1" t="s">
        <v>4282</v>
      </c>
      <c r="C2252" s="1" t="s">
        <v>4283</v>
      </c>
      <c r="D2252" t="b">
        <f ca="1">IF(A2252="","",[1]!s_techanal_rcnthigh(B2252,$B$2,1,3))</f>
        <v>0</v>
      </c>
      <c r="E2252">
        <f ca="1">IF(A2252="","",COUNTIF(D$6:D2252,"True"))</f>
        <v>17</v>
      </c>
      <c r="F2252" t="str">
        <f t="shared" si="35"/>
        <v>300809.SZ</v>
      </c>
    </row>
    <row r="2253" spans="1:6" x14ac:dyDescent="0.15">
      <c r="A2253" s="2">
        <v>46089</v>
      </c>
      <c r="B2253" s="1" t="s">
        <v>4284</v>
      </c>
      <c r="C2253" s="1" t="s">
        <v>4285</v>
      </c>
      <c r="D2253" t="b">
        <f ca="1">IF(A2253="","",[1]!s_techanal_rcnthigh(B2253,$B$2,1,3))</f>
        <v>0</v>
      </c>
      <c r="E2253">
        <f ca="1">IF(A2253="","",COUNTIF(D$6:D2253,"True"))</f>
        <v>17</v>
      </c>
      <c r="F2253" t="str">
        <f t="shared" si="35"/>
        <v>300810.SZ</v>
      </c>
    </row>
    <row r="2254" spans="1:6" x14ac:dyDescent="0.15">
      <c r="A2254" s="2">
        <v>46089</v>
      </c>
      <c r="B2254" s="1" t="s">
        <v>4286</v>
      </c>
      <c r="C2254" s="1" t="s">
        <v>4287</v>
      </c>
      <c r="D2254" t="b">
        <f ca="1">IF(A2254="","",[1]!s_techanal_rcnthigh(B2254,$B$2,1,3))</f>
        <v>0</v>
      </c>
      <c r="E2254">
        <f ca="1">IF(A2254="","",COUNTIF(D$6:D2254,"True"))</f>
        <v>17</v>
      </c>
      <c r="F2254" t="str">
        <f t="shared" si="35"/>
        <v>300811.SZ</v>
      </c>
    </row>
    <row r="2255" spans="1:6" x14ac:dyDescent="0.15">
      <c r="A2255" s="2">
        <v>46089</v>
      </c>
      <c r="B2255" s="1" t="s">
        <v>4288</v>
      </c>
      <c r="C2255" s="1" t="s">
        <v>4289</v>
      </c>
      <c r="D2255" t="b">
        <f ca="1">IF(A2255="","",[1]!s_techanal_rcnthigh(B2255,$B$2,1,3))</f>
        <v>1</v>
      </c>
      <c r="E2255">
        <f ca="1">IF(A2255="","",COUNTIF(D$6:D2255,"True"))</f>
        <v>18</v>
      </c>
      <c r="F2255" t="str">
        <f t="shared" si="35"/>
        <v>300812.SZ</v>
      </c>
    </row>
    <row r="2256" spans="1:6" x14ac:dyDescent="0.15">
      <c r="A2256" s="2">
        <v>46089</v>
      </c>
      <c r="B2256" s="1" t="s">
        <v>4290</v>
      </c>
      <c r="C2256" s="1" t="s">
        <v>4291</v>
      </c>
      <c r="D2256" t="b">
        <f ca="1">IF(A2256="","",[1]!s_techanal_rcnthigh(B2256,$B$2,1,3))</f>
        <v>0</v>
      </c>
      <c r="E2256">
        <f ca="1">IF(A2256="","",COUNTIF(D$6:D2256,"True"))</f>
        <v>18</v>
      </c>
      <c r="F2256" t="str">
        <f t="shared" si="35"/>
        <v>300813.SZ</v>
      </c>
    </row>
    <row r="2257" spans="1:6" x14ac:dyDescent="0.15">
      <c r="A2257" s="2">
        <v>46089</v>
      </c>
      <c r="B2257" s="1" t="s">
        <v>4292</v>
      </c>
      <c r="C2257" s="1" t="s">
        <v>4293</v>
      </c>
      <c r="D2257" t="b">
        <f ca="1">IF(A2257="","",[1]!s_techanal_rcnthigh(B2257,$B$2,1,3))</f>
        <v>0</v>
      </c>
      <c r="E2257">
        <f ca="1">IF(A2257="","",COUNTIF(D$6:D2257,"True"))</f>
        <v>18</v>
      </c>
      <c r="F2257" t="str">
        <f t="shared" si="35"/>
        <v>300814.SZ</v>
      </c>
    </row>
    <row r="2258" spans="1:6" x14ac:dyDescent="0.15">
      <c r="A2258" s="2">
        <v>46089</v>
      </c>
      <c r="B2258" s="1" t="s">
        <v>4294</v>
      </c>
      <c r="C2258" s="1" t="s">
        <v>4295</v>
      </c>
      <c r="D2258" t="b">
        <f ca="1">IF(A2258="","",[1]!s_techanal_rcnthigh(B2258,$B$2,1,3))</f>
        <v>0</v>
      </c>
      <c r="E2258">
        <f ca="1">IF(A2258="","",COUNTIF(D$6:D2258,"True"))</f>
        <v>18</v>
      </c>
      <c r="F2258" t="str">
        <f t="shared" si="35"/>
        <v>300815.SZ</v>
      </c>
    </row>
    <row r="2259" spans="1:6" x14ac:dyDescent="0.15">
      <c r="A2259" s="2">
        <v>46089</v>
      </c>
      <c r="B2259" s="1" t="s">
        <v>4296</v>
      </c>
      <c r="C2259" s="1" t="s">
        <v>4297</v>
      </c>
      <c r="D2259" t="b">
        <f ca="1">IF(A2259="","",[1]!s_techanal_rcnthigh(B2259,$B$2,1,3))</f>
        <v>0</v>
      </c>
      <c r="E2259">
        <f ca="1">IF(A2259="","",COUNTIF(D$6:D2259,"True"))</f>
        <v>18</v>
      </c>
      <c r="F2259" t="str">
        <f t="shared" si="35"/>
        <v>300816.SZ</v>
      </c>
    </row>
    <row r="2260" spans="1:6" x14ac:dyDescent="0.15">
      <c r="A2260" s="2">
        <v>46089</v>
      </c>
      <c r="B2260" s="1" t="s">
        <v>4298</v>
      </c>
      <c r="C2260" s="1" t="s">
        <v>4299</v>
      </c>
      <c r="D2260" t="b">
        <f ca="1">IF(A2260="","",[1]!s_techanal_rcnthigh(B2260,$B$2,1,3))</f>
        <v>0</v>
      </c>
      <c r="E2260">
        <f ca="1">IF(A2260="","",COUNTIF(D$6:D2260,"True"))</f>
        <v>18</v>
      </c>
      <c r="F2260" t="str">
        <f t="shared" si="35"/>
        <v>300817.SZ</v>
      </c>
    </row>
    <row r="2261" spans="1:6" x14ac:dyDescent="0.15">
      <c r="A2261" s="2">
        <v>46089</v>
      </c>
      <c r="B2261" s="1" t="s">
        <v>4300</v>
      </c>
      <c r="C2261" s="1" t="s">
        <v>4301</v>
      </c>
      <c r="D2261" t="b">
        <f ca="1">IF(A2261="","",[1]!s_techanal_rcnthigh(B2261,$B$2,1,3))</f>
        <v>0</v>
      </c>
      <c r="E2261">
        <f ca="1">IF(A2261="","",COUNTIF(D$6:D2261,"True"))</f>
        <v>18</v>
      </c>
      <c r="F2261" t="str">
        <f t="shared" si="35"/>
        <v>300818.SZ</v>
      </c>
    </row>
    <row r="2262" spans="1:6" x14ac:dyDescent="0.15">
      <c r="A2262" s="2">
        <v>46089</v>
      </c>
      <c r="B2262" s="1" t="s">
        <v>4302</v>
      </c>
      <c r="C2262" s="1" t="s">
        <v>4303</v>
      </c>
      <c r="D2262" t="b">
        <f ca="1">IF(A2262="","",[1]!s_techanal_rcnthigh(B2262,$B$2,1,3))</f>
        <v>0</v>
      </c>
      <c r="E2262">
        <f ca="1">IF(A2262="","",COUNTIF(D$6:D2262,"True"))</f>
        <v>18</v>
      </c>
      <c r="F2262" t="str">
        <f t="shared" si="35"/>
        <v>300819.SZ</v>
      </c>
    </row>
    <row r="2263" spans="1:6" x14ac:dyDescent="0.15">
      <c r="A2263" s="2">
        <v>46089</v>
      </c>
      <c r="B2263" s="1" t="s">
        <v>4304</v>
      </c>
      <c r="C2263" s="1" t="s">
        <v>4305</v>
      </c>
      <c r="D2263" t="b">
        <f ca="1">IF(A2263="","",[1]!s_techanal_rcnthigh(B2263,$B$2,1,3))</f>
        <v>0</v>
      </c>
      <c r="E2263">
        <f ca="1">IF(A2263="","",COUNTIF(D$6:D2263,"True"))</f>
        <v>18</v>
      </c>
      <c r="F2263" t="str">
        <f t="shared" si="35"/>
        <v>300820.SZ</v>
      </c>
    </row>
    <row r="2264" spans="1:6" x14ac:dyDescent="0.15">
      <c r="A2264" s="2">
        <v>46089</v>
      </c>
      <c r="B2264" s="1" t="s">
        <v>4306</v>
      </c>
      <c r="C2264" s="1" t="s">
        <v>4307</v>
      </c>
      <c r="D2264" t="b">
        <f ca="1">IF(A2264="","",[1]!s_techanal_rcnthigh(B2264,$B$2,1,3))</f>
        <v>0</v>
      </c>
      <c r="E2264">
        <f ca="1">IF(A2264="","",COUNTIF(D$6:D2264,"True"))</f>
        <v>18</v>
      </c>
      <c r="F2264" t="str">
        <f t="shared" si="35"/>
        <v>300821.SZ</v>
      </c>
    </row>
    <row r="2265" spans="1:6" x14ac:dyDescent="0.15">
      <c r="A2265" s="2">
        <v>46089</v>
      </c>
      <c r="B2265" s="1" t="s">
        <v>4308</v>
      </c>
      <c r="C2265" s="1" t="s">
        <v>4309</v>
      </c>
      <c r="D2265" t="b">
        <f ca="1">IF(A2265="","",[1]!s_techanal_rcnthigh(B2265,$B$2,1,3))</f>
        <v>0</v>
      </c>
      <c r="E2265">
        <f ca="1">IF(A2265="","",COUNTIF(D$6:D2265,"True"))</f>
        <v>18</v>
      </c>
      <c r="F2265" t="str">
        <f t="shared" si="35"/>
        <v>300822.SZ</v>
      </c>
    </row>
    <row r="2266" spans="1:6" x14ac:dyDescent="0.15">
      <c r="A2266" s="2">
        <v>46089</v>
      </c>
      <c r="B2266" s="1" t="s">
        <v>4310</v>
      </c>
      <c r="C2266" s="1" t="s">
        <v>10234</v>
      </c>
      <c r="D2266" t="b">
        <f ca="1">IF(A2266="","",[1]!s_techanal_rcnthigh(B2266,$B$2,1,3))</f>
        <v>0</v>
      </c>
      <c r="E2266">
        <f ca="1">IF(A2266="","",COUNTIF(D$6:D2266,"True"))</f>
        <v>18</v>
      </c>
      <c r="F2266" t="str">
        <f t="shared" si="35"/>
        <v>300823.SZ</v>
      </c>
    </row>
    <row r="2267" spans="1:6" x14ac:dyDescent="0.15">
      <c r="A2267" s="2">
        <v>46089</v>
      </c>
      <c r="B2267" s="1" t="s">
        <v>4311</v>
      </c>
      <c r="C2267" s="1" t="s">
        <v>4312</v>
      </c>
      <c r="D2267" t="b">
        <f ca="1">IF(A2267="","",[1]!s_techanal_rcnthigh(B2267,$B$2,1,3))</f>
        <v>0</v>
      </c>
      <c r="E2267">
        <f ca="1">IF(A2267="","",COUNTIF(D$6:D2267,"True"))</f>
        <v>18</v>
      </c>
      <c r="F2267" t="str">
        <f t="shared" si="35"/>
        <v>300824.SZ</v>
      </c>
    </row>
    <row r="2268" spans="1:6" x14ac:dyDescent="0.15">
      <c r="A2268" s="2">
        <v>46089</v>
      </c>
      <c r="B2268" s="1" t="s">
        <v>4313</v>
      </c>
      <c r="C2268" s="1" t="s">
        <v>4314</v>
      </c>
      <c r="D2268" t="b">
        <f ca="1">IF(A2268="","",[1]!s_techanal_rcnthigh(B2268,$B$2,1,3))</f>
        <v>0</v>
      </c>
      <c r="E2268">
        <f ca="1">IF(A2268="","",COUNTIF(D$6:D2268,"True"))</f>
        <v>18</v>
      </c>
      <c r="F2268" t="str">
        <f t="shared" si="35"/>
        <v>300825.SZ</v>
      </c>
    </row>
    <row r="2269" spans="1:6" x14ac:dyDescent="0.15">
      <c r="A2269" s="2">
        <v>46089</v>
      </c>
      <c r="B2269" s="1" t="s">
        <v>4315</v>
      </c>
      <c r="C2269" s="1" t="s">
        <v>4316</v>
      </c>
      <c r="D2269" t="b">
        <f ca="1">IF(A2269="","",[1]!s_techanal_rcnthigh(B2269,$B$2,1,3))</f>
        <v>0</v>
      </c>
      <c r="E2269">
        <f ca="1">IF(A2269="","",COUNTIF(D$6:D2269,"True"))</f>
        <v>18</v>
      </c>
      <c r="F2269" t="str">
        <f t="shared" si="35"/>
        <v>300826.SZ</v>
      </c>
    </row>
    <row r="2270" spans="1:6" x14ac:dyDescent="0.15">
      <c r="A2270" s="2">
        <v>46089</v>
      </c>
      <c r="B2270" s="1" t="s">
        <v>4317</v>
      </c>
      <c r="C2270" s="1" t="s">
        <v>4318</v>
      </c>
      <c r="D2270" t="b">
        <f ca="1">IF(A2270="","",[1]!s_techanal_rcnthigh(B2270,$B$2,1,3))</f>
        <v>0</v>
      </c>
      <c r="E2270">
        <f ca="1">IF(A2270="","",COUNTIF(D$6:D2270,"True"))</f>
        <v>18</v>
      </c>
      <c r="F2270" t="str">
        <f t="shared" si="35"/>
        <v>300827.SZ</v>
      </c>
    </row>
    <row r="2271" spans="1:6" x14ac:dyDescent="0.15">
      <c r="A2271" s="2">
        <v>46089</v>
      </c>
      <c r="B2271" s="1" t="s">
        <v>4319</v>
      </c>
      <c r="C2271" s="1" t="s">
        <v>4320</v>
      </c>
      <c r="D2271" t="b">
        <f ca="1">IF(A2271="","",[1]!s_techanal_rcnthigh(B2271,$B$2,1,3))</f>
        <v>0</v>
      </c>
      <c r="E2271">
        <f ca="1">IF(A2271="","",COUNTIF(D$6:D2271,"True"))</f>
        <v>18</v>
      </c>
      <c r="F2271" t="str">
        <f t="shared" si="35"/>
        <v>300828.SZ</v>
      </c>
    </row>
    <row r="2272" spans="1:6" x14ac:dyDescent="0.15">
      <c r="A2272" s="2">
        <v>46089</v>
      </c>
      <c r="B2272" s="1" t="s">
        <v>4321</v>
      </c>
      <c r="C2272" s="1" t="s">
        <v>4322</v>
      </c>
      <c r="D2272" t="b">
        <f ca="1">IF(A2272="","",[1]!s_techanal_rcnthigh(B2272,$B$2,1,3))</f>
        <v>0</v>
      </c>
      <c r="E2272">
        <f ca="1">IF(A2272="","",COUNTIF(D$6:D2272,"True"))</f>
        <v>18</v>
      </c>
      <c r="F2272" t="str">
        <f t="shared" si="35"/>
        <v>300829.SZ</v>
      </c>
    </row>
    <row r="2273" spans="1:6" x14ac:dyDescent="0.15">
      <c r="A2273" s="2">
        <v>46089</v>
      </c>
      <c r="B2273" s="1" t="s">
        <v>4323</v>
      </c>
      <c r="C2273" s="1" t="s">
        <v>4324</v>
      </c>
      <c r="D2273" t="b">
        <f ca="1">IF(A2273="","",[1]!s_techanal_rcnthigh(B2273,$B$2,1,3))</f>
        <v>0</v>
      </c>
      <c r="E2273">
        <f ca="1">IF(A2273="","",COUNTIF(D$6:D2273,"True"))</f>
        <v>18</v>
      </c>
      <c r="F2273" t="str">
        <f t="shared" si="35"/>
        <v>300830.SZ</v>
      </c>
    </row>
    <row r="2274" spans="1:6" x14ac:dyDescent="0.15">
      <c r="A2274" s="2">
        <v>46089</v>
      </c>
      <c r="B2274" s="1" t="s">
        <v>4325</v>
      </c>
      <c r="C2274" s="1" t="s">
        <v>4326</v>
      </c>
      <c r="D2274" t="b">
        <f ca="1">IF(A2274="","",[1]!s_techanal_rcnthigh(B2274,$B$2,1,3))</f>
        <v>0</v>
      </c>
      <c r="E2274">
        <f ca="1">IF(A2274="","",COUNTIF(D$6:D2274,"True"))</f>
        <v>18</v>
      </c>
      <c r="F2274" t="str">
        <f t="shared" si="35"/>
        <v>300831.SZ</v>
      </c>
    </row>
    <row r="2275" spans="1:6" x14ac:dyDescent="0.15">
      <c r="A2275" s="2">
        <v>46089</v>
      </c>
      <c r="B2275" s="1" t="s">
        <v>4327</v>
      </c>
      <c r="C2275" s="1" t="s">
        <v>4328</v>
      </c>
      <c r="D2275" t="b">
        <f ca="1">IF(A2275="","",[1]!s_techanal_rcnthigh(B2275,$B$2,1,3))</f>
        <v>0</v>
      </c>
      <c r="E2275">
        <f ca="1">IF(A2275="","",COUNTIF(D$6:D2275,"True"))</f>
        <v>18</v>
      </c>
      <c r="F2275" t="str">
        <f t="shared" si="35"/>
        <v>300832.SZ</v>
      </c>
    </row>
    <row r="2276" spans="1:6" x14ac:dyDescent="0.15">
      <c r="A2276" s="2">
        <v>46089</v>
      </c>
      <c r="B2276" s="1" t="s">
        <v>4329</v>
      </c>
      <c r="C2276" s="1" t="s">
        <v>4330</v>
      </c>
      <c r="D2276" t="b">
        <f ca="1">IF(A2276="","",[1]!s_techanal_rcnthigh(B2276,$B$2,1,3))</f>
        <v>0</v>
      </c>
      <c r="E2276">
        <f ca="1">IF(A2276="","",COUNTIF(D$6:D2276,"True"))</f>
        <v>18</v>
      </c>
      <c r="F2276" t="str">
        <f t="shared" si="35"/>
        <v>300833.SZ</v>
      </c>
    </row>
    <row r="2277" spans="1:6" x14ac:dyDescent="0.15">
      <c r="A2277" s="2">
        <v>46089</v>
      </c>
      <c r="B2277" s="1" t="s">
        <v>4331</v>
      </c>
      <c r="C2277" s="1" t="s">
        <v>4332</v>
      </c>
      <c r="D2277" t="b">
        <f ca="1">IF(A2277="","",[1]!s_techanal_rcnthigh(B2277,$B$2,1,3))</f>
        <v>0</v>
      </c>
      <c r="E2277">
        <f ca="1">IF(A2277="","",COUNTIF(D$6:D2277,"True"))</f>
        <v>18</v>
      </c>
      <c r="F2277" t="str">
        <f t="shared" si="35"/>
        <v>300834.SZ</v>
      </c>
    </row>
    <row r="2278" spans="1:6" x14ac:dyDescent="0.15">
      <c r="A2278" s="2">
        <v>46089</v>
      </c>
      <c r="B2278" s="1" t="s">
        <v>4333</v>
      </c>
      <c r="C2278" s="1" t="s">
        <v>4334</v>
      </c>
      <c r="D2278" t="b">
        <f ca="1">IF(A2278="","",[1]!s_techanal_rcnthigh(B2278,$B$2,1,3))</f>
        <v>0</v>
      </c>
      <c r="E2278">
        <f ca="1">IF(A2278="","",COUNTIF(D$6:D2278,"True"))</f>
        <v>18</v>
      </c>
      <c r="F2278" t="str">
        <f t="shared" si="35"/>
        <v>300835.SZ</v>
      </c>
    </row>
    <row r="2279" spans="1:6" x14ac:dyDescent="0.15">
      <c r="A2279" s="2">
        <v>46089</v>
      </c>
      <c r="B2279" s="1" t="s">
        <v>4335</v>
      </c>
      <c r="C2279" s="1" t="s">
        <v>4336</v>
      </c>
      <c r="D2279" t="b">
        <f ca="1">IF(A2279="","",[1]!s_techanal_rcnthigh(B2279,$B$2,1,3))</f>
        <v>0</v>
      </c>
      <c r="E2279">
        <f ca="1">IF(A2279="","",COUNTIF(D$6:D2279,"True"))</f>
        <v>18</v>
      </c>
      <c r="F2279" t="str">
        <f t="shared" si="35"/>
        <v>300836.SZ</v>
      </c>
    </row>
    <row r="2280" spans="1:6" x14ac:dyDescent="0.15">
      <c r="A2280" s="2">
        <v>46089</v>
      </c>
      <c r="B2280" s="1" t="s">
        <v>4337</v>
      </c>
      <c r="C2280" s="1" t="s">
        <v>4338</v>
      </c>
      <c r="D2280" t="b">
        <f ca="1">IF(A2280="","",[1]!s_techanal_rcnthigh(B2280,$B$2,1,3))</f>
        <v>0</v>
      </c>
      <c r="E2280">
        <f ca="1">IF(A2280="","",COUNTIF(D$6:D2280,"True"))</f>
        <v>18</v>
      </c>
      <c r="F2280" t="str">
        <f t="shared" si="35"/>
        <v>300837.SZ</v>
      </c>
    </row>
    <row r="2281" spans="1:6" x14ac:dyDescent="0.15">
      <c r="A2281" s="2">
        <v>46089</v>
      </c>
      <c r="B2281" s="1" t="s">
        <v>4339</v>
      </c>
      <c r="C2281" s="1" t="s">
        <v>4340</v>
      </c>
      <c r="D2281" t="b">
        <f ca="1">IF(A2281="","",[1]!s_techanal_rcnthigh(B2281,$B$2,1,3))</f>
        <v>0</v>
      </c>
      <c r="E2281">
        <f ca="1">IF(A2281="","",COUNTIF(D$6:D2281,"True"))</f>
        <v>18</v>
      </c>
      <c r="F2281" t="str">
        <f t="shared" si="35"/>
        <v>300838.SZ</v>
      </c>
    </row>
    <row r="2282" spans="1:6" x14ac:dyDescent="0.15">
      <c r="A2282" s="2">
        <v>46089</v>
      </c>
      <c r="B2282" s="1" t="s">
        <v>4341</v>
      </c>
      <c r="C2282" s="1" t="s">
        <v>4342</v>
      </c>
      <c r="D2282" t="b">
        <f ca="1">IF(A2282="","",[1]!s_techanal_rcnthigh(B2282,$B$2,1,3))</f>
        <v>0</v>
      </c>
      <c r="E2282">
        <f ca="1">IF(A2282="","",COUNTIF(D$6:D2282,"True"))</f>
        <v>18</v>
      </c>
      <c r="F2282" t="str">
        <f t="shared" si="35"/>
        <v>300839.SZ</v>
      </c>
    </row>
    <row r="2283" spans="1:6" x14ac:dyDescent="0.15">
      <c r="A2283" s="2">
        <v>46089</v>
      </c>
      <c r="B2283" s="1" t="s">
        <v>4343</v>
      </c>
      <c r="C2283" s="1" t="s">
        <v>4344</v>
      </c>
      <c r="D2283" t="b">
        <f ca="1">IF(A2283="","",[1]!s_techanal_rcnthigh(B2283,$B$2,1,3))</f>
        <v>0</v>
      </c>
      <c r="E2283">
        <f ca="1">IF(A2283="","",COUNTIF(D$6:D2283,"True"))</f>
        <v>18</v>
      </c>
      <c r="F2283" t="str">
        <f t="shared" si="35"/>
        <v>300840.SZ</v>
      </c>
    </row>
    <row r="2284" spans="1:6" x14ac:dyDescent="0.15">
      <c r="A2284" s="2">
        <v>46089</v>
      </c>
      <c r="B2284" s="1" t="s">
        <v>4345</v>
      </c>
      <c r="C2284" s="1" t="s">
        <v>4346</v>
      </c>
      <c r="D2284" t="b">
        <f ca="1">IF(A2284="","",[1]!s_techanal_rcnthigh(B2284,$B$2,1,3))</f>
        <v>0</v>
      </c>
      <c r="E2284">
        <f ca="1">IF(A2284="","",COUNTIF(D$6:D2284,"True"))</f>
        <v>18</v>
      </c>
      <c r="F2284" t="str">
        <f t="shared" si="35"/>
        <v>300841.SZ</v>
      </c>
    </row>
    <row r="2285" spans="1:6" x14ac:dyDescent="0.15">
      <c r="A2285" s="2">
        <v>46089</v>
      </c>
      <c r="B2285" s="1" t="s">
        <v>4347</v>
      </c>
      <c r="C2285" s="1" t="s">
        <v>4348</v>
      </c>
      <c r="D2285" t="b">
        <f ca="1">IF(A2285="","",[1]!s_techanal_rcnthigh(B2285,$B$2,1,3))</f>
        <v>0</v>
      </c>
      <c r="E2285">
        <f ca="1">IF(A2285="","",COUNTIF(D$6:D2285,"True"))</f>
        <v>18</v>
      </c>
      <c r="F2285" t="str">
        <f t="shared" si="35"/>
        <v>300842.SZ</v>
      </c>
    </row>
    <row r="2286" spans="1:6" x14ac:dyDescent="0.15">
      <c r="A2286" s="2">
        <v>46089</v>
      </c>
      <c r="B2286" s="1" t="s">
        <v>4349</v>
      </c>
      <c r="C2286" s="1" t="s">
        <v>4350</v>
      </c>
      <c r="D2286" t="b">
        <f ca="1">IF(A2286="","",[1]!s_techanal_rcnthigh(B2286,$B$2,1,3))</f>
        <v>0</v>
      </c>
      <c r="E2286">
        <f ca="1">IF(A2286="","",COUNTIF(D$6:D2286,"True"))</f>
        <v>18</v>
      </c>
      <c r="F2286" t="str">
        <f t="shared" si="35"/>
        <v>300843.SZ</v>
      </c>
    </row>
    <row r="2287" spans="1:6" x14ac:dyDescent="0.15">
      <c r="A2287" s="2">
        <v>46089</v>
      </c>
      <c r="B2287" s="1" t="s">
        <v>4351</v>
      </c>
      <c r="C2287" s="1" t="s">
        <v>4352</v>
      </c>
      <c r="D2287" t="b">
        <f ca="1">IF(A2287="","",[1]!s_techanal_rcnthigh(B2287,$B$2,1,3))</f>
        <v>0</v>
      </c>
      <c r="E2287">
        <f ca="1">IF(A2287="","",COUNTIF(D$6:D2287,"True"))</f>
        <v>18</v>
      </c>
      <c r="F2287" t="str">
        <f t="shared" si="35"/>
        <v>300844.SZ</v>
      </c>
    </row>
    <row r="2288" spans="1:6" x14ac:dyDescent="0.15">
      <c r="A2288" s="2">
        <v>46089</v>
      </c>
      <c r="B2288" s="1" t="s">
        <v>4353</v>
      </c>
      <c r="C2288" s="1" t="s">
        <v>4354</v>
      </c>
      <c r="D2288" t="b">
        <f ca="1">IF(A2288="","",[1]!s_techanal_rcnthigh(B2288,$B$2,1,3))</f>
        <v>0</v>
      </c>
      <c r="E2288">
        <f ca="1">IF(A2288="","",COUNTIF(D$6:D2288,"True"))</f>
        <v>18</v>
      </c>
      <c r="F2288" t="str">
        <f t="shared" si="35"/>
        <v>300845.SZ</v>
      </c>
    </row>
    <row r="2289" spans="1:6" x14ac:dyDescent="0.15">
      <c r="A2289" s="2">
        <v>46089</v>
      </c>
      <c r="B2289" s="1" t="s">
        <v>4355</v>
      </c>
      <c r="C2289" s="1" t="s">
        <v>4356</v>
      </c>
      <c r="D2289" t="b">
        <f ca="1">IF(A2289="","",[1]!s_techanal_rcnthigh(B2289,$B$2,1,3))</f>
        <v>0</v>
      </c>
      <c r="E2289">
        <f ca="1">IF(A2289="","",COUNTIF(D$6:D2289,"True"))</f>
        <v>18</v>
      </c>
      <c r="F2289" t="str">
        <f t="shared" si="35"/>
        <v>300846.SZ</v>
      </c>
    </row>
    <row r="2290" spans="1:6" x14ac:dyDescent="0.15">
      <c r="A2290" s="2">
        <v>46089</v>
      </c>
      <c r="B2290" s="1" t="s">
        <v>4357</v>
      </c>
      <c r="C2290" s="1" t="s">
        <v>4358</v>
      </c>
      <c r="D2290" t="b">
        <f ca="1">IF(A2290="","",[1]!s_techanal_rcnthigh(B2290,$B$2,1,3))</f>
        <v>0</v>
      </c>
      <c r="E2290">
        <f ca="1">IF(A2290="","",COUNTIF(D$6:D2290,"True"))</f>
        <v>18</v>
      </c>
      <c r="F2290" t="str">
        <f t="shared" si="35"/>
        <v>300847.SZ</v>
      </c>
    </row>
    <row r="2291" spans="1:6" x14ac:dyDescent="0.15">
      <c r="A2291" s="2">
        <v>46089</v>
      </c>
      <c r="B2291" s="1" t="s">
        <v>4359</v>
      </c>
      <c r="C2291" s="1" t="s">
        <v>4360</v>
      </c>
      <c r="D2291" t="b">
        <f ca="1">IF(A2291="","",[1]!s_techanal_rcnthigh(B2291,$B$2,1,3))</f>
        <v>0</v>
      </c>
      <c r="E2291">
        <f ca="1">IF(A2291="","",COUNTIF(D$6:D2291,"True"))</f>
        <v>18</v>
      </c>
      <c r="F2291" t="str">
        <f t="shared" si="35"/>
        <v>300848.SZ</v>
      </c>
    </row>
    <row r="2292" spans="1:6" x14ac:dyDescent="0.15">
      <c r="A2292" s="2">
        <v>46089</v>
      </c>
      <c r="B2292" s="1" t="s">
        <v>4361</v>
      </c>
      <c r="C2292" s="1" t="s">
        <v>4362</v>
      </c>
      <c r="D2292" t="b">
        <f ca="1">IF(A2292="","",[1]!s_techanal_rcnthigh(B2292,$B$2,1,3))</f>
        <v>0</v>
      </c>
      <c r="E2292">
        <f ca="1">IF(A2292="","",COUNTIF(D$6:D2292,"True"))</f>
        <v>18</v>
      </c>
      <c r="F2292" t="str">
        <f t="shared" si="35"/>
        <v>300849.SZ</v>
      </c>
    </row>
    <row r="2293" spans="1:6" x14ac:dyDescent="0.15">
      <c r="A2293" s="2">
        <v>46089</v>
      </c>
      <c r="B2293" s="1" t="s">
        <v>4363</v>
      </c>
      <c r="C2293" s="1" t="s">
        <v>4364</v>
      </c>
      <c r="D2293" t="b">
        <f ca="1">IF(A2293="","",[1]!s_techanal_rcnthigh(B2293,$B$2,1,3))</f>
        <v>0</v>
      </c>
      <c r="E2293">
        <f ca="1">IF(A2293="","",COUNTIF(D$6:D2293,"True"))</f>
        <v>18</v>
      </c>
      <c r="F2293" t="str">
        <f t="shared" si="35"/>
        <v>300850.SZ</v>
      </c>
    </row>
    <row r="2294" spans="1:6" x14ac:dyDescent="0.15">
      <c r="A2294" s="2">
        <v>46089</v>
      </c>
      <c r="B2294" s="1" t="s">
        <v>4365</v>
      </c>
      <c r="C2294" s="1" t="s">
        <v>4366</v>
      </c>
      <c r="D2294" t="b">
        <f ca="1">IF(A2294="","",[1]!s_techanal_rcnthigh(B2294,$B$2,1,3))</f>
        <v>0</v>
      </c>
      <c r="E2294">
        <f ca="1">IF(A2294="","",COUNTIF(D$6:D2294,"True"))</f>
        <v>18</v>
      </c>
      <c r="F2294" t="str">
        <f t="shared" si="35"/>
        <v>300851.SZ</v>
      </c>
    </row>
    <row r="2295" spans="1:6" x14ac:dyDescent="0.15">
      <c r="A2295" s="2">
        <v>46089</v>
      </c>
      <c r="B2295" s="1" t="s">
        <v>4367</v>
      </c>
      <c r="C2295" s="1" t="s">
        <v>4368</v>
      </c>
      <c r="D2295" t="b">
        <f ca="1">IF(A2295="","",[1]!s_techanal_rcnthigh(B2295,$B$2,1,3))</f>
        <v>0</v>
      </c>
      <c r="E2295">
        <f ca="1">IF(A2295="","",COUNTIF(D$6:D2295,"True"))</f>
        <v>18</v>
      </c>
      <c r="F2295" t="str">
        <f t="shared" si="35"/>
        <v>300852.SZ</v>
      </c>
    </row>
    <row r="2296" spans="1:6" x14ac:dyDescent="0.15">
      <c r="A2296" s="2">
        <v>46089</v>
      </c>
      <c r="B2296" s="1" t="s">
        <v>4369</v>
      </c>
      <c r="C2296" s="1" t="s">
        <v>4370</v>
      </c>
      <c r="D2296" t="b">
        <f ca="1">IF(A2296="","",[1]!s_techanal_rcnthigh(B2296,$B$2,1,3))</f>
        <v>0</v>
      </c>
      <c r="E2296">
        <f ca="1">IF(A2296="","",COUNTIF(D$6:D2296,"True"))</f>
        <v>18</v>
      </c>
      <c r="F2296" t="str">
        <f t="shared" si="35"/>
        <v>300853.SZ</v>
      </c>
    </row>
    <row r="2297" spans="1:6" x14ac:dyDescent="0.15">
      <c r="A2297" s="2">
        <v>46089</v>
      </c>
      <c r="B2297" s="1" t="s">
        <v>4371</v>
      </c>
      <c r="C2297" s="1" t="s">
        <v>4372</v>
      </c>
      <c r="D2297" t="b">
        <f ca="1">IF(A2297="","",[1]!s_techanal_rcnthigh(B2297,$B$2,1,3))</f>
        <v>0</v>
      </c>
      <c r="E2297">
        <f ca="1">IF(A2297="","",COUNTIF(D$6:D2297,"True"))</f>
        <v>18</v>
      </c>
      <c r="F2297" t="str">
        <f t="shared" si="35"/>
        <v>300854.SZ</v>
      </c>
    </row>
    <row r="2298" spans="1:6" x14ac:dyDescent="0.15">
      <c r="A2298" s="2">
        <v>46089</v>
      </c>
      <c r="B2298" s="1" t="s">
        <v>4373</v>
      </c>
      <c r="C2298" s="1" t="s">
        <v>4374</v>
      </c>
      <c r="D2298" t="b">
        <f ca="1">IF(A2298="","",[1]!s_techanal_rcnthigh(B2298,$B$2,1,3))</f>
        <v>0</v>
      </c>
      <c r="E2298">
        <f ca="1">IF(A2298="","",COUNTIF(D$6:D2298,"True"))</f>
        <v>18</v>
      </c>
      <c r="F2298" t="str">
        <f t="shared" si="35"/>
        <v>300855.SZ</v>
      </c>
    </row>
    <row r="2299" spans="1:6" x14ac:dyDescent="0.15">
      <c r="A2299" s="2">
        <v>46089</v>
      </c>
      <c r="B2299" s="1" t="s">
        <v>4375</v>
      </c>
      <c r="C2299" s="1" t="s">
        <v>4376</v>
      </c>
      <c r="D2299" t="b">
        <f ca="1">IF(A2299="","",[1]!s_techanal_rcnthigh(B2299,$B$2,1,3))</f>
        <v>0</v>
      </c>
      <c r="E2299">
        <f ca="1">IF(A2299="","",COUNTIF(D$6:D2299,"True"))</f>
        <v>18</v>
      </c>
      <c r="F2299" t="str">
        <f t="shared" si="35"/>
        <v>300856.SZ</v>
      </c>
    </row>
    <row r="2300" spans="1:6" x14ac:dyDescent="0.15">
      <c r="A2300" s="2">
        <v>46089</v>
      </c>
      <c r="B2300" s="1" t="s">
        <v>4377</v>
      </c>
      <c r="C2300" s="1" t="s">
        <v>4378</v>
      </c>
      <c r="D2300" t="b">
        <f ca="1">IF(A2300="","",[1]!s_techanal_rcnthigh(B2300,$B$2,1,3))</f>
        <v>0</v>
      </c>
      <c r="E2300">
        <f ca="1">IF(A2300="","",COUNTIF(D$6:D2300,"True"))</f>
        <v>18</v>
      </c>
      <c r="F2300" t="str">
        <f t="shared" si="35"/>
        <v>300857.SZ</v>
      </c>
    </row>
    <row r="2301" spans="1:6" x14ac:dyDescent="0.15">
      <c r="A2301" s="2">
        <v>46089</v>
      </c>
      <c r="B2301" s="1" t="s">
        <v>4379</v>
      </c>
      <c r="C2301" s="1" t="s">
        <v>4380</v>
      </c>
      <c r="D2301" t="b">
        <f ca="1">IF(A2301="","",[1]!s_techanal_rcnthigh(B2301,$B$2,1,3))</f>
        <v>0</v>
      </c>
      <c r="E2301">
        <f ca="1">IF(A2301="","",COUNTIF(D$6:D2301,"True"))</f>
        <v>18</v>
      </c>
      <c r="F2301" t="str">
        <f t="shared" si="35"/>
        <v>300858.SZ</v>
      </c>
    </row>
    <row r="2302" spans="1:6" x14ac:dyDescent="0.15">
      <c r="A2302" s="2">
        <v>46089</v>
      </c>
      <c r="B2302" s="1" t="s">
        <v>4381</v>
      </c>
      <c r="C2302" s="1" t="s">
        <v>10235</v>
      </c>
      <c r="D2302" t="b">
        <f ca="1">IF(A2302="","",[1]!s_techanal_rcnthigh(B2302,$B$2,1,3))</f>
        <v>0</v>
      </c>
      <c r="E2302">
        <f ca="1">IF(A2302="","",COUNTIF(D$6:D2302,"True"))</f>
        <v>18</v>
      </c>
      <c r="F2302" t="str">
        <f t="shared" si="35"/>
        <v>300859.SZ</v>
      </c>
    </row>
    <row r="2303" spans="1:6" x14ac:dyDescent="0.15">
      <c r="A2303" s="2">
        <v>46089</v>
      </c>
      <c r="B2303" s="1" t="s">
        <v>4382</v>
      </c>
      <c r="C2303" s="1" t="s">
        <v>4383</v>
      </c>
      <c r="D2303" t="b">
        <f ca="1">IF(A2303="","",[1]!s_techanal_rcnthigh(B2303,$B$2,1,3))</f>
        <v>0</v>
      </c>
      <c r="E2303">
        <f ca="1">IF(A2303="","",COUNTIF(D$6:D2303,"True"))</f>
        <v>18</v>
      </c>
      <c r="F2303" t="str">
        <f t="shared" si="35"/>
        <v>300860.SZ</v>
      </c>
    </row>
    <row r="2304" spans="1:6" x14ac:dyDescent="0.15">
      <c r="A2304" s="2">
        <v>46089</v>
      </c>
      <c r="B2304" s="1" t="s">
        <v>4384</v>
      </c>
      <c r="C2304" s="1" t="s">
        <v>4385</v>
      </c>
      <c r="D2304" t="b">
        <f ca="1">IF(A2304="","",[1]!s_techanal_rcnthigh(B2304,$B$2,1,3))</f>
        <v>0</v>
      </c>
      <c r="E2304">
        <f ca="1">IF(A2304="","",COUNTIF(D$6:D2304,"True"))</f>
        <v>18</v>
      </c>
      <c r="F2304" t="str">
        <f t="shared" si="35"/>
        <v>300861.SZ</v>
      </c>
    </row>
    <row r="2305" spans="1:6" x14ac:dyDescent="0.15">
      <c r="A2305" s="2">
        <v>46089</v>
      </c>
      <c r="B2305" s="1" t="s">
        <v>4386</v>
      </c>
      <c r="C2305" s="1" t="s">
        <v>4387</v>
      </c>
      <c r="D2305" t="b">
        <f ca="1">IF(A2305="","",[1]!s_techanal_rcnthigh(B2305,$B$2,1,3))</f>
        <v>0</v>
      </c>
      <c r="E2305">
        <f ca="1">IF(A2305="","",COUNTIF(D$6:D2305,"True"))</f>
        <v>18</v>
      </c>
      <c r="F2305" t="str">
        <f t="shared" si="35"/>
        <v>300862.SZ</v>
      </c>
    </row>
    <row r="2306" spans="1:6" x14ac:dyDescent="0.15">
      <c r="A2306" s="2">
        <v>46089</v>
      </c>
      <c r="B2306" s="1" t="s">
        <v>4388</v>
      </c>
      <c r="C2306" s="1" t="s">
        <v>4389</v>
      </c>
      <c r="D2306" t="b">
        <f ca="1">IF(A2306="","",[1]!s_techanal_rcnthigh(B2306,$B$2,1,3))</f>
        <v>0</v>
      </c>
      <c r="E2306">
        <f ca="1">IF(A2306="","",COUNTIF(D$6:D2306,"True"))</f>
        <v>18</v>
      </c>
      <c r="F2306" t="str">
        <f t="shared" si="35"/>
        <v>300863.SZ</v>
      </c>
    </row>
    <row r="2307" spans="1:6" x14ac:dyDescent="0.15">
      <c r="A2307" s="2">
        <v>46089</v>
      </c>
      <c r="B2307" s="1" t="s">
        <v>4390</v>
      </c>
      <c r="C2307" s="1" t="s">
        <v>4391</v>
      </c>
      <c r="D2307" t="b">
        <f ca="1">IF(A2307="","",[1]!s_techanal_rcnthigh(B2307,$B$2,1,3))</f>
        <v>0</v>
      </c>
      <c r="E2307">
        <f ca="1">IF(A2307="","",COUNTIF(D$6:D2307,"True"))</f>
        <v>18</v>
      </c>
      <c r="F2307" t="str">
        <f t="shared" si="35"/>
        <v>300864.SZ</v>
      </c>
    </row>
    <row r="2308" spans="1:6" x14ac:dyDescent="0.15">
      <c r="A2308" s="2">
        <v>46089</v>
      </c>
      <c r="B2308" s="1" t="s">
        <v>4392</v>
      </c>
      <c r="C2308" s="1" t="s">
        <v>4393</v>
      </c>
      <c r="D2308" t="b">
        <f ca="1">IF(A2308="","",[1]!s_techanal_rcnthigh(B2308,$B$2,1,3))</f>
        <v>0</v>
      </c>
      <c r="E2308">
        <f ca="1">IF(A2308="","",COUNTIF(D$6:D2308,"True"))</f>
        <v>18</v>
      </c>
      <c r="F2308" t="str">
        <f t="shared" si="35"/>
        <v>300865.SZ</v>
      </c>
    </row>
    <row r="2309" spans="1:6" x14ac:dyDescent="0.15">
      <c r="A2309" s="2">
        <v>46089</v>
      </c>
      <c r="B2309" s="1" t="s">
        <v>4394</v>
      </c>
      <c r="C2309" s="1" t="s">
        <v>4395</v>
      </c>
      <c r="D2309" t="b">
        <f ca="1">IF(A2309="","",[1]!s_techanal_rcnthigh(B2309,$B$2,1,3))</f>
        <v>0</v>
      </c>
      <c r="E2309">
        <f ca="1">IF(A2309="","",COUNTIF(D$6:D2309,"True"))</f>
        <v>18</v>
      </c>
      <c r="F2309" t="str">
        <f t="shared" si="35"/>
        <v>300866.SZ</v>
      </c>
    </row>
    <row r="2310" spans="1:6" x14ac:dyDescent="0.15">
      <c r="A2310" s="2">
        <v>46089</v>
      </c>
      <c r="B2310" s="1" t="s">
        <v>4396</v>
      </c>
      <c r="C2310" s="1" t="s">
        <v>4397</v>
      </c>
      <c r="D2310" t="b">
        <f ca="1">IF(A2310="","",[1]!s_techanal_rcnthigh(B2310,$B$2,1,3))</f>
        <v>0</v>
      </c>
      <c r="E2310">
        <f ca="1">IF(A2310="","",COUNTIF(D$6:D2310,"True"))</f>
        <v>18</v>
      </c>
      <c r="F2310" t="str">
        <f t="shared" ref="F2310:F2373" si="36">IF(B2310="","",B2310)</f>
        <v>300867.SZ</v>
      </c>
    </row>
    <row r="2311" spans="1:6" x14ac:dyDescent="0.15">
      <c r="A2311" s="2">
        <v>46089</v>
      </c>
      <c r="B2311" s="1" t="s">
        <v>4398</v>
      </c>
      <c r="C2311" s="1" t="s">
        <v>4399</v>
      </c>
      <c r="D2311" t="b">
        <f ca="1">IF(A2311="","",[1]!s_techanal_rcnthigh(B2311,$B$2,1,3))</f>
        <v>0</v>
      </c>
      <c r="E2311">
        <f ca="1">IF(A2311="","",COUNTIF(D$6:D2311,"True"))</f>
        <v>18</v>
      </c>
      <c r="F2311" t="str">
        <f t="shared" si="36"/>
        <v>300868.SZ</v>
      </c>
    </row>
    <row r="2312" spans="1:6" x14ac:dyDescent="0.15">
      <c r="A2312" s="2">
        <v>46089</v>
      </c>
      <c r="B2312" s="1" t="s">
        <v>4400</v>
      </c>
      <c r="C2312" s="1" t="s">
        <v>4401</v>
      </c>
      <c r="D2312" t="b">
        <f ca="1">IF(A2312="","",[1]!s_techanal_rcnthigh(B2312,$B$2,1,3))</f>
        <v>0</v>
      </c>
      <c r="E2312">
        <f ca="1">IF(A2312="","",COUNTIF(D$6:D2312,"True"))</f>
        <v>18</v>
      </c>
      <c r="F2312" t="str">
        <f t="shared" si="36"/>
        <v>300869.SZ</v>
      </c>
    </row>
    <row r="2313" spans="1:6" x14ac:dyDescent="0.15">
      <c r="A2313" s="2">
        <v>46089</v>
      </c>
      <c r="B2313" s="1" t="s">
        <v>4402</v>
      </c>
      <c r="C2313" s="1" t="s">
        <v>4403</v>
      </c>
      <c r="D2313" t="b">
        <f ca="1">IF(A2313="","",[1]!s_techanal_rcnthigh(B2313,$B$2,1,3))</f>
        <v>1</v>
      </c>
      <c r="E2313">
        <f ca="1">IF(A2313="","",COUNTIF(D$6:D2313,"True"))</f>
        <v>19</v>
      </c>
      <c r="F2313" t="str">
        <f t="shared" si="36"/>
        <v>300870.SZ</v>
      </c>
    </row>
    <row r="2314" spans="1:6" x14ac:dyDescent="0.15">
      <c r="A2314" s="2">
        <v>46089</v>
      </c>
      <c r="B2314" s="1" t="s">
        <v>4404</v>
      </c>
      <c r="C2314" s="1" t="s">
        <v>4405</v>
      </c>
      <c r="D2314" t="b">
        <f ca="1">IF(A2314="","",[1]!s_techanal_rcnthigh(B2314,$B$2,1,3))</f>
        <v>0</v>
      </c>
      <c r="E2314">
        <f ca="1">IF(A2314="","",COUNTIF(D$6:D2314,"True"))</f>
        <v>19</v>
      </c>
      <c r="F2314" t="str">
        <f t="shared" si="36"/>
        <v>300871.SZ</v>
      </c>
    </row>
    <row r="2315" spans="1:6" x14ac:dyDescent="0.15">
      <c r="A2315" s="2">
        <v>46089</v>
      </c>
      <c r="B2315" s="1" t="s">
        <v>4406</v>
      </c>
      <c r="C2315" s="1" t="s">
        <v>4407</v>
      </c>
      <c r="D2315" t="b">
        <f ca="1">IF(A2315="","",[1]!s_techanal_rcnthigh(B2315,$B$2,1,3))</f>
        <v>0</v>
      </c>
      <c r="E2315">
        <f ca="1">IF(A2315="","",COUNTIF(D$6:D2315,"True"))</f>
        <v>19</v>
      </c>
      <c r="F2315" t="str">
        <f t="shared" si="36"/>
        <v>300872.SZ</v>
      </c>
    </row>
    <row r="2316" spans="1:6" x14ac:dyDescent="0.15">
      <c r="A2316" s="2">
        <v>46089</v>
      </c>
      <c r="B2316" s="1" t="s">
        <v>4408</v>
      </c>
      <c r="C2316" s="1" t="s">
        <v>4409</v>
      </c>
      <c r="D2316" t="b">
        <f ca="1">IF(A2316="","",[1]!s_techanal_rcnthigh(B2316,$B$2,1,3))</f>
        <v>0</v>
      </c>
      <c r="E2316">
        <f ca="1">IF(A2316="","",COUNTIF(D$6:D2316,"True"))</f>
        <v>19</v>
      </c>
      <c r="F2316" t="str">
        <f t="shared" si="36"/>
        <v>300873.SZ</v>
      </c>
    </row>
    <row r="2317" spans="1:6" x14ac:dyDescent="0.15">
      <c r="A2317" s="2">
        <v>46089</v>
      </c>
      <c r="B2317" s="1" t="s">
        <v>4410</v>
      </c>
      <c r="C2317" s="1" t="s">
        <v>4411</v>
      </c>
      <c r="D2317" t="b">
        <f ca="1">IF(A2317="","",[1]!s_techanal_rcnthigh(B2317,$B$2,1,3))</f>
        <v>0</v>
      </c>
      <c r="E2317">
        <f ca="1">IF(A2317="","",COUNTIF(D$6:D2317,"True"))</f>
        <v>19</v>
      </c>
      <c r="F2317" t="str">
        <f t="shared" si="36"/>
        <v>300875.SZ</v>
      </c>
    </row>
    <row r="2318" spans="1:6" x14ac:dyDescent="0.15">
      <c r="A2318" s="2">
        <v>46089</v>
      </c>
      <c r="B2318" s="1" t="s">
        <v>4412</v>
      </c>
      <c r="C2318" s="1" t="s">
        <v>4413</v>
      </c>
      <c r="D2318" t="b">
        <f ca="1">IF(A2318="","",[1]!s_techanal_rcnthigh(B2318,$B$2,1,3))</f>
        <v>0</v>
      </c>
      <c r="E2318">
        <f ca="1">IF(A2318="","",COUNTIF(D$6:D2318,"True"))</f>
        <v>19</v>
      </c>
      <c r="F2318" t="str">
        <f t="shared" si="36"/>
        <v>300876.SZ</v>
      </c>
    </row>
    <row r="2319" spans="1:6" x14ac:dyDescent="0.15">
      <c r="A2319" s="2">
        <v>46089</v>
      </c>
      <c r="B2319" s="1" t="s">
        <v>4414</v>
      </c>
      <c r="C2319" s="1" t="s">
        <v>4415</v>
      </c>
      <c r="D2319" t="b">
        <f ca="1">IF(A2319="","",[1]!s_techanal_rcnthigh(B2319,$B$2,1,3))</f>
        <v>0</v>
      </c>
      <c r="E2319">
        <f ca="1">IF(A2319="","",COUNTIF(D$6:D2319,"True"))</f>
        <v>19</v>
      </c>
      <c r="F2319" t="str">
        <f t="shared" si="36"/>
        <v>300877.SZ</v>
      </c>
    </row>
    <row r="2320" spans="1:6" x14ac:dyDescent="0.15">
      <c r="A2320" s="2">
        <v>46089</v>
      </c>
      <c r="B2320" s="1" t="s">
        <v>4416</v>
      </c>
      <c r="C2320" s="1" t="s">
        <v>4417</v>
      </c>
      <c r="D2320" t="b">
        <f ca="1">IF(A2320="","",[1]!s_techanal_rcnthigh(B2320,$B$2,1,3))</f>
        <v>0</v>
      </c>
      <c r="E2320">
        <f ca="1">IF(A2320="","",COUNTIF(D$6:D2320,"True"))</f>
        <v>19</v>
      </c>
      <c r="F2320" t="str">
        <f t="shared" si="36"/>
        <v>300878.SZ</v>
      </c>
    </row>
    <row r="2321" spans="1:6" x14ac:dyDescent="0.15">
      <c r="A2321" s="2">
        <v>46089</v>
      </c>
      <c r="B2321" s="1" t="s">
        <v>4418</v>
      </c>
      <c r="C2321" s="1" t="s">
        <v>4419</v>
      </c>
      <c r="D2321" t="b">
        <f ca="1">IF(A2321="","",[1]!s_techanal_rcnthigh(B2321,$B$2,1,3))</f>
        <v>0</v>
      </c>
      <c r="E2321">
        <f ca="1">IF(A2321="","",COUNTIF(D$6:D2321,"True"))</f>
        <v>19</v>
      </c>
      <c r="F2321" t="str">
        <f t="shared" si="36"/>
        <v>300879.SZ</v>
      </c>
    </row>
    <row r="2322" spans="1:6" x14ac:dyDescent="0.15">
      <c r="A2322" s="2">
        <v>46089</v>
      </c>
      <c r="B2322" s="1" t="s">
        <v>4420</v>
      </c>
      <c r="C2322" s="1" t="s">
        <v>4421</v>
      </c>
      <c r="D2322" t="b">
        <f ca="1">IF(A2322="","",[1]!s_techanal_rcnthigh(B2322,$B$2,1,3))</f>
        <v>0</v>
      </c>
      <c r="E2322">
        <f ca="1">IF(A2322="","",COUNTIF(D$6:D2322,"True"))</f>
        <v>19</v>
      </c>
      <c r="F2322" t="str">
        <f t="shared" si="36"/>
        <v>300880.SZ</v>
      </c>
    </row>
    <row r="2323" spans="1:6" x14ac:dyDescent="0.15">
      <c r="A2323" s="2">
        <v>46089</v>
      </c>
      <c r="B2323" s="1" t="s">
        <v>4422</v>
      </c>
      <c r="C2323" s="1" t="s">
        <v>4423</v>
      </c>
      <c r="D2323" t="b">
        <f ca="1">IF(A2323="","",[1]!s_techanal_rcnthigh(B2323,$B$2,1,3))</f>
        <v>0</v>
      </c>
      <c r="E2323">
        <f ca="1">IF(A2323="","",COUNTIF(D$6:D2323,"True"))</f>
        <v>19</v>
      </c>
      <c r="F2323" t="str">
        <f t="shared" si="36"/>
        <v>300881.SZ</v>
      </c>
    </row>
    <row r="2324" spans="1:6" x14ac:dyDescent="0.15">
      <c r="A2324" s="2">
        <v>46089</v>
      </c>
      <c r="B2324" s="1" t="s">
        <v>4424</v>
      </c>
      <c r="C2324" s="1" t="s">
        <v>4425</v>
      </c>
      <c r="D2324" t="b">
        <f ca="1">IF(A2324="","",[1]!s_techanal_rcnthigh(B2324,$B$2,1,3))</f>
        <v>0</v>
      </c>
      <c r="E2324">
        <f ca="1">IF(A2324="","",COUNTIF(D$6:D2324,"True"))</f>
        <v>19</v>
      </c>
      <c r="F2324" t="str">
        <f t="shared" si="36"/>
        <v>300882.SZ</v>
      </c>
    </row>
    <row r="2325" spans="1:6" x14ac:dyDescent="0.15">
      <c r="A2325" s="2">
        <v>46089</v>
      </c>
      <c r="B2325" s="1" t="s">
        <v>4426</v>
      </c>
      <c r="C2325" s="1" t="s">
        <v>4427</v>
      </c>
      <c r="D2325" t="b">
        <f ca="1">IF(A2325="","",[1]!s_techanal_rcnthigh(B2325,$B$2,1,3))</f>
        <v>0</v>
      </c>
      <c r="E2325">
        <f ca="1">IF(A2325="","",COUNTIF(D$6:D2325,"True"))</f>
        <v>19</v>
      </c>
      <c r="F2325" t="str">
        <f t="shared" si="36"/>
        <v>300883.SZ</v>
      </c>
    </row>
    <row r="2326" spans="1:6" x14ac:dyDescent="0.15">
      <c r="A2326" s="2">
        <v>46089</v>
      </c>
      <c r="B2326" s="1" t="s">
        <v>4428</v>
      </c>
      <c r="C2326" s="1" t="s">
        <v>4429</v>
      </c>
      <c r="D2326" t="b">
        <f ca="1">IF(A2326="","",[1]!s_techanal_rcnthigh(B2326,$B$2,1,3))</f>
        <v>0</v>
      </c>
      <c r="E2326">
        <f ca="1">IF(A2326="","",COUNTIF(D$6:D2326,"True"))</f>
        <v>19</v>
      </c>
      <c r="F2326" t="str">
        <f t="shared" si="36"/>
        <v>300884.SZ</v>
      </c>
    </row>
    <row r="2327" spans="1:6" x14ac:dyDescent="0.15">
      <c r="A2327" s="2">
        <v>46089</v>
      </c>
      <c r="B2327" s="1" t="s">
        <v>4430</v>
      </c>
      <c r="C2327" s="1" t="s">
        <v>4431</v>
      </c>
      <c r="D2327" t="b">
        <f ca="1">IF(A2327="","",[1]!s_techanal_rcnthigh(B2327,$B$2,1,3))</f>
        <v>0</v>
      </c>
      <c r="E2327">
        <f ca="1">IF(A2327="","",COUNTIF(D$6:D2327,"True"))</f>
        <v>19</v>
      </c>
      <c r="F2327" t="str">
        <f t="shared" si="36"/>
        <v>300885.SZ</v>
      </c>
    </row>
    <row r="2328" spans="1:6" x14ac:dyDescent="0.15">
      <c r="A2328" s="2">
        <v>46089</v>
      </c>
      <c r="B2328" s="1" t="s">
        <v>4432</v>
      </c>
      <c r="C2328" s="1" t="s">
        <v>4433</v>
      </c>
      <c r="D2328" t="b">
        <f ca="1">IF(A2328="","",[1]!s_techanal_rcnthigh(B2328,$B$2,1,3))</f>
        <v>0</v>
      </c>
      <c r="E2328">
        <f ca="1">IF(A2328="","",COUNTIF(D$6:D2328,"True"))</f>
        <v>19</v>
      </c>
      <c r="F2328" t="str">
        <f t="shared" si="36"/>
        <v>300886.SZ</v>
      </c>
    </row>
    <row r="2329" spans="1:6" x14ac:dyDescent="0.15">
      <c r="A2329" s="2">
        <v>46089</v>
      </c>
      <c r="B2329" s="1" t="s">
        <v>4434</v>
      </c>
      <c r="C2329" s="1" t="s">
        <v>4435</v>
      </c>
      <c r="D2329" t="b">
        <f ca="1">IF(A2329="","",[1]!s_techanal_rcnthigh(B2329,$B$2,1,3))</f>
        <v>0</v>
      </c>
      <c r="E2329">
        <f ca="1">IF(A2329="","",COUNTIF(D$6:D2329,"True"))</f>
        <v>19</v>
      </c>
      <c r="F2329" t="str">
        <f t="shared" si="36"/>
        <v>300887.SZ</v>
      </c>
    </row>
    <row r="2330" spans="1:6" x14ac:dyDescent="0.15">
      <c r="A2330" s="2">
        <v>46089</v>
      </c>
      <c r="B2330" s="1" t="s">
        <v>4436</v>
      </c>
      <c r="C2330" s="1" t="s">
        <v>4437</v>
      </c>
      <c r="D2330" t="b">
        <f ca="1">IF(A2330="","",[1]!s_techanal_rcnthigh(B2330,$B$2,1,3))</f>
        <v>0</v>
      </c>
      <c r="E2330">
        <f ca="1">IF(A2330="","",COUNTIF(D$6:D2330,"True"))</f>
        <v>19</v>
      </c>
      <c r="F2330" t="str">
        <f t="shared" si="36"/>
        <v>300888.SZ</v>
      </c>
    </row>
    <row r="2331" spans="1:6" x14ac:dyDescent="0.15">
      <c r="A2331" s="2">
        <v>46089</v>
      </c>
      <c r="B2331" s="1" t="s">
        <v>4438</v>
      </c>
      <c r="C2331" s="1" t="s">
        <v>4439</v>
      </c>
      <c r="D2331" t="b">
        <f ca="1">IF(A2331="","",[1]!s_techanal_rcnthigh(B2331,$B$2,1,3))</f>
        <v>0</v>
      </c>
      <c r="E2331">
        <f ca="1">IF(A2331="","",COUNTIF(D$6:D2331,"True"))</f>
        <v>19</v>
      </c>
      <c r="F2331" t="str">
        <f t="shared" si="36"/>
        <v>300889.SZ</v>
      </c>
    </row>
    <row r="2332" spans="1:6" x14ac:dyDescent="0.15">
      <c r="A2332" s="2">
        <v>46089</v>
      </c>
      <c r="B2332" s="1" t="s">
        <v>4440</v>
      </c>
      <c r="C2332" s="1" t="s">
        <v>4441</v>
      </c>
      <c r="D2332" t="b">
        <f ca="1">IF(A2332="","",[1]!s_techanal_rcnthigh(B2332,$B$2,1,3))</f>
        <v>0</v>
      </c>
      <c r="E2332">
        <f ca="1">IF(A2332="","",COUNTIF(D$6:D2332,"True"))</f>
        <v>19</v>
      </c>
      <c r="F2332" t="str">
        <f t="shared" si="36"/>
        <v>300890.SZ</v>
      </c>
    </row>
    <row r="2333" spans="1:6" x14ac:dyDescent="0.15">
      <c r="A2333" s="2">
        <v>46089</v>
      </c>
      <c r="B2333" s="1" t="s">
        <v>4442</v>
      </c>
      <c r="C2333" s="1" t="s">
        <v>4443</v>
      </c>
      <c r="D2333" t="b">
        <f ca="1">IF(A2333="","",[1]!s_techanal_rcnthigh(B2333,$B$2,1,3))</f>
        <v>0</v>
      </c>
      <c r="E2333">
        <f ca="1">IF(A2333="","",COUNTIF(D$6:D2333,"True"))</f>
        <v>19</v>
      </c>
      <c r="F2333" t="str">
        <f t="shared" si="36"/>
        <v>300891.SZ</v>
      </c>
    </row>
    <row r="2334" spans="1:6" x14ac:dyDescent="0.15">
      <c r="A2334" s="2">
        <v>46089</v>
      </c>
      <c r="B2334" s="1" t="s">
        <v>4444</v>
      </c>
      <c r="C2334" s="1" t="s">
        <v>4445</v>
      </c>
      <c r="D2334" t="b">
        <f ca="1">IF(A2334="","",[1]!s_techanal_rcnthigh(B2334,$B$2,1,3))</f>
        <v>0</v>
      </c>
      <c r="E2334">
        <f ca="1">IF(A2334="","",COUNTIF(D$6:D2334,"True"))</f>
        <v>19</v>
      </c>
      <c r="F2334" t="str">
        <f t="shared" si="36"/>
        <v>300892.SZ</v>
      </c>
    </row>
    <row r="2335" spans="1:6" x14ac:dyDescent="0.15">
      <c r="A2335" s="2">
        <v>46089</v>
      </c>
      <c r="B2335" s="1" t="s">
        <v>4446</v>
      </c>
      <c r="C2335" s="1" t="s">
        <v>10236</v>
      </c>
      <c r="D2335" t="b">
        <f ca="1">IF(A2335="","",[1]!s_techanal_rcnthigh(B2335,$B$2,1,3))</f>
        <v>0</v>
      </c>
      <c r="E2335">
        <f ca="1">IF(A2335="","",COUNTIF(D$6:D2335,"True"))</f>
        <v>19</v>
      </c>
      <c r="F2335" t="str">
        <f t="shared" si="36"/>
        <v>300893.SZ</v>
      </c>
    </row>
    <row r="2336" spans="1:6" x14ac:dyDescent="0.15">
      <c r="A2336" s="2">
        <v>46089</v>
      </c>
      <c r="B2336" s="1" t="s">
        <v>4447</v>
      </c>
      <c r="C2336" s="1" t="s">
        <v>4448</v>
      </c>
      <c r="D2336" t="b">
        <f ca="1">IF(A2336="","",[1]!s_techanal_rcnthigh(B2336,$B$2,1,3))</f>
        <v>0</v>
      </c>
      <c r="E2336">
        <f ca="1">IF(A2336="","",COUNTIF(D$6:D2336,"True"))</f>
        <v>19</v>
      </c>
      <c r="F2336" t="str">
        <f t="shared" si="36"/>
        <v>300894.SZ</v>
      </c>
    </row>
    <row r="2337" spans="1:6" x14ac:dyDescent="0.15">
      <c r="A2337" s="2">
        <v>46089</v>
      </c>
      <c r="B2337" s="1" t="s">
        <v>4449</v>
      </c>
      <c r="C2337" s="1" t="s">
        <v>4450</v>
      </c>
      <c r="D2337" t="b">
        <f ca="1">IF(A2337="","",[1]!s_techanal_rcnthigh(B2337,$B$2,1,3))</f>
        <v>0</v>
      </c>
      <c r="E2337">
        <f ca="1">IF(A2337="","",COUNTIF(D$6:D2337,"True"))</f>
        <v>19</v>
      </c>
      <c r="F2337" t="str">
        <f t="shared" si="36"/>
        <v>300895.SZ</v>
      </c>
    </row>
    <row r="2338" spans="1:6" x14ac:dyDescent="0.15">
      <c r="A2338" s="2">
        <v>46089</v>
      </c>
      <c r="B2338" s="1" t="s">
        <v>4451</v>
      </c>
      <c r="C2338" s="1" t="s">
        <v>4452</v>
      </c>
      <c r="D2338" t="b">
        <f ca="1">IF(A2338="","",[1]!s_techanal_rcnthigh(B2338,$B$2,1,3))</f>
        <v>0</v>
      </c>
      <c r="E2338">
        <f ca="1">IF(A2338="","",COUNTIF(D$6:D2338,"True"))</f>
        <v>19</v>
      </c>
      <c r="F2338" t="str">
        <f t="shared" si="36"/>
        <v>300896.SZ</v>
      </c>
    </row>
    <row r="2339" spans="1:6" x14ac:dyDescent="0.15">
      <c r="A2339" s="2">
        <v>46089</v>
      </c>
      <c r="B2339" s="1" t="s">
        <v>4453</v>
      </c>
      <c r="C2339" s="1" t="s">
        <v>4454</v>
      </c>
      <c r="D2339" t="b">
        <f ca="1">IF(A2339="","",[1]!s_techanal_rcnthigh(B2339,$B$2,1,3))</f>
        <v>0</v>
      </c>
      <c r="E2339">
        <f ca="1">IF(A2339="","",COUNTIF(D$6:D2339,"True"))</f>
        <v>19</v>
      </c>
      <c r="F2339" t="str">
        <f t="shared" si="36"/>
        <v>300897.SZ</v>
      </c>
    </row>
    <row r="2340" spans="1:6" x14ac:dyDescent="0.15">
      <c r="A2340" s="2">
        <v>46089</v>
      </c>
      <c r="B2340" s="1" t="s">
        <v>4455</v>
      </c>
      <c r="C2340" s="1" t="s">
        <v>4456</v>
      </c>
      <c r="D2340" t="b">
        <f ca="1">IF(A2340="","",[1]!s_techanal_rcnthigh(B2340,$B$2,1,3))</f>
        <v>0</v>
      </c>
      <c r="E2340">
        <f ca="1">IF(A2340="","",COUNTIF(D$6:D2340,"True"))</f>
        <v>19</v>
      </c>
      <c r="F2340" t="str">
        <f t="shared" si="36"/>
        <v>300898.SZ</v>
      </c>
    </row>
    <row r="2341" spans="1:6" x14ac:dyDescent="0.15">
      <c r="A2341" s="2">
        <v>46089</v>
      </c>
      <c r="B2341" s="1" t="s">
        <v>4457</v>
      </c>
      <c r="C2341" s="1" t="s">
        <v>10237</v>
      </c>
      <c r="D2341" t="b">
        <f ca="1">IF(A2341="","",[1]!s_techanal_rcnthigh(B2341,$B$2,1,3))</f>
        <v>0</v>
      </c>
      <c r="E2341">
        <f ca="1">IF(A2341="","",COUNTIF(D$6:D2341,"True"))</f>
        <v>19</v>
      </c>
      <c r="F2341" t="str">
        <f t="shared" si="36"/>
        <v>300899.SZ</v>
      </c>
    </row>
    <row r="2342" spans="1:6" x14ac:dyDescent="0.15">
      <c r="A2342" s="2">
        <v>46089</v>
      </c>
      <c r="B2342" s="1" t="s">
        <v>4458</v>
      </c>
      <c r="C2342" s="1" t="s">
        <v>4459</v>
      </c>
      <c r="D2342" t="b">
        <f ca="1">IF(A2342="","",[1]!s_techanal_rcnthigh(B2342,$B$2,1,3))</f>
        <v>0</v>
      </c>
      <c r="E2342">
        <f ca="1">IF(A2342="","",COUNTIF(D$6:D2342,"True"))</f>
        <v>19</v>
      </c>
      <c r="F2342" t="str">
        <f t="shared" si="36"/>
        <v>300900.SZ</v>
      </c>
    </row>
    <row r="2343" spans="1:6" x14ac:dyDescent="0.15">
      <c r="A2343" s="2">
        <v>46089</v>
      </c>
      <c r="B2343" s="1" t="s">
        <v>4460</v>
      </c>
      <c r="C2343" s="1" t="s">
        <v>4461</v>
      </c>
      <c r="D2343" t="b">
        <f ca="1">IF(A2343="","",[1]!s_techanal_rcnthigh(B2343,$B$2,1,3))</f>
        <v>0</v>
      </c>
      <c r="E2343">
        <f ca="1">IF(A2343="","",COUNTIF(D$6:D2343,"True"))</f>
        <v>19</v>
      </c>
      <c r="F2343" t="str">
        <f t="shared" si="36"/>
        <v>300901.SZ</v>
      </c>
    </row>
    <row r="2344" spans="1:6" x14ac:dyDescent="0.15">
      <c r="A2344" s="2">
        <v>46089</v>
      </c>
      <c r="B2344" s="1" t="s">
        <v>4462</v>
      </c>
      <c r="C2344" s="1" t="s">
        <v>4463</v>
      </c>
      <c r="D2344" t="b">
        <f ca="1">IF(A2344="","",[1]!s_techanal_rcnthigh(B2344,$B$2,1,3))</f>
        <v>0</v>
      </c>
      <c r="E2344">
        <f ca="1">IF(A2344="","",COUNTIF(D$6:D2344,"True"))</f>
        <v>19</v>
      </c>
      <c r="F2344" t="str">
        <f t="shared" si="36"/>
        <v>300902.SZ</v>
      </c>
    </row>
    <row r="2345" spans="1:6" x14ac:dyDescent="0.15">
      <c r="A2345" s="2">
        <v>46089</v>
      </c>
      <c r="B2345" s="1" t="s">
        <v>4464</v>
      </c>
      <c r="C2345" s="1" t="s">
        <v>4465</v>
      </c>
      <c r="D2345" t="b">
        <f ca="1">IF(A2345="","",[1]!s_techanal_rcnthigh(B2345,$B$2,1,3))</f>
        <v>0</v>
      </c>
      <c r="E2345">
        <f ca="1">IF(A2345="","",COUNTIF(D$6:D2345,"True"))</f>
        <v>19</v>
      </c>
      <c r="F2345" t="str">
        <f t="shared" si="36"/>
        <v>300903.SZ</v>
      </c>
    </row>
    <row r="2346" spans="1:6" x14ac:dyDescent="0.15">
      <c r="A2346" s="2">
        <v>46089</v>
      </c>
      <c r="B2346" s="1" t="s">
        <v>4466</v>
      </c>
      <c r="C2346" s="1" t="s">
        <v>4467</v>
      </c>
      <c r="D2346" t="b">
        <f ca="1">IF(A2346="","",[1]!s_techanal_rcnthigh(B2346,$B$2,1,3))</f>
        <v>0</v>
      </c>
      <c r="E2346">
        <f ca="1">IF(A2346="","",COUNTIF(D$6:D2346,"True"))</f>
        <v>19</v>
      </c>
      <c r="F2346" t="str">
        <f t="shared" si="36"/>
        <v>300904.SZ</v>
      </c>
    </row>
    <row r="2347" spans="1:6" x14ac:dyDescent="0.15">
      <c r="A2347" s="2">
        <v>46089</v>
      </c>
      <c r="B2347" s="1" t="s">
        <v>4468</v>
      </c>
      <c r="C2347" s="1" t="s">
        <v>4469</v>
      </c>
      <c r="D2347" t="b">
        <f ca="1">IF(A2347="","",[1]!s_techanal_rcnthigh(B2347,$B$2,1,3))</f>
        <v>0</v>
      </c>
      <c r="E2347">
        <f ca="1">IF(A2347="","",COUNTIF(D$6:D2347,"True"))</f>
        <v>19</v>
      </c>
      <c r="F2347" t="str">
        <f t="shared" si="36"/>
        <v>300905.SZ</v>
      </c>
    </row>
    <row r="2348" spans="1:6" x14ac:dyDescent="0.15">
      <c r="A2348" s="2">
        <v>46089</v>
      </c>
      <c r="B2348" s="1" t="s">
        <v>4470</v>
      </c>
      <c r="C2348" s="1" t="s">
        <v>4471</v>
      </c>
      <c r="D2348" t="b">
        <f ca="1">IF(A2348="","",[1]!s_techanal_rcnthigh(B2348,$B$2,1,3))</f>
        <v>0</v>
      </c>
      <c r="E2348">
        <f ca="1">IF(A2348="","",COUNTIF(D$6:D2348,"True"))</f>
        <v>19</v>
      </c>
      <c r="F2348" t="str">
        <f t="shared" si="36"/>
        <v>300906.SZ</v>
      </c>
    </row>
    <row r="2349" spans="1:6" x14ac:dyDescent="0.15">
      <c r="A2349" s="2">
        <v>46089</v>
      </c>
      <c r="B2349" s="1" t="s">
        <v>4472</v>
      </c>
      <c r="C2349" s="1" t="s">
        <v>4473</v>
      </c>
      <c r="D2349" t="b">
        <f ca="1">IF(A2349="","",[1]!s_techanal_rcnthigh(B2349,$B$2,1,3))</f>
        <v>0</v>
      </c>
      <c r="E2349">
        <f ca="1">IF(A2349="","",COUNTIF(D$6:D2349,"True"))</f>
        <v>19</v>
      </c>
      <c r="F2349" t="str">
        <f t="shared" si="36"/>
        <v>300907.SZ</v>
      </c>
    </row>
    <row r="2350" spans="1:6" x14ac:dyDescent="0.15">
      <c r="A2350" s="2">
        <v>46089</v>
      </c>
      <c r="B2350" s="1" t="s">
        <v>4474</v>
      </c>
      <c r="C2350" s="1" t="s">
        <v>4475</v>
      </c>
      <c r="D2350" t="b">
        <f ca="1">IF(A2350="","",[1]!s_techanal_rcnthigh(B2350,$B$2,1,3))</f>
        <v>0</v>
      </c>
      <c r="E2350">
        <f ca="1">IF(A2350="","",COUNTIF(D$6:D2350,"True"))</f>
        <v>19</v>
      </c>
      <c r="F2350" t="str">
        <f t="shared" si="36"/>
        <v>300908.SZ</v>
      </c>
    </row>
    <row r="2351" spans="1:6" x14ac:dyDescent="0.15">
      <c r="A2351" s="2">
        <v>46089</v>
      </c>
      <c r="B2351" s="1" t="s">
        <v>4476</v>
      </c>
      <c r="C2351" s="1" t="s">
        <v>4477</v>
      </c>
      <c r="D2351" t="b">
        <f ca="1">IF(A2351="","",[1]!s_techanal_rcnthigh(B2351,$B$2,1,3))</f>
        <v>0</v>
      </c>
      <c r="E2351">
        <f ca="1">IF(A2351="","",COUNTIF(D$6:D2351,"True"))</f>
        <v>19</v>
      </c>
      <c r="F2351" t="str">
        <f t="shared" si="36"/>
        <v>300909.SZ</v>
      </c>
    </row>
    <row r="2352" spans="1:6" x14ac:dyDescent="0.15">
      <c r="A2352" s="2">
        <v>46089</v>
      </c>
      <c r="B2352" s="1" t="s">
        <v>4478</v>
      </c>
      <c r="C2352" s="1" t="s">
        <v>4479</v>
      </c>
      <c r="D2352" t="b">
        <f ca="1">IF(A2352="","",[1]!s_techanal_rcnthigh(B2352,$B$2,1,3))</f>
        <v>0</v>
      </c>
      <c r="E2352">
        <f ca="1">IF(A2352="","",COUNTIF(D$6:D2352,"True"))</f>
        <v>19</v>
      </c>
      <c r="F2352" t="str">
        <f t="shared" si="36"/>
        <v>300910.SZ</v>
      </c>
    </row>
    <row r="2353" spans="1:6" x14ac:dyDescent="0.15">
      <c r="A2353" s="2">
        <v>46089</v>
      </c>
      <c r="B2353" s="1" t="s">
        <v>4480</v>
      </c>
      <c r="C2353" s="1" t="s">
        <v>4481</v>
      </c>
      <c r="D2353" t="b">
        <f ca="1">IF(A2353="","",[1]!s_techanal_rcnthigh(B2353,$B$2,1,3))</f>
        <v>0</v>
      </c>
      <c r="E2353">
        <f ca="1">IF(A2353="","",COUNTIF(D$6:D2353,"True"))</f>
        <v>19</v>
      </c>
      <c r="F2353" t="str">
        <f t="shared" si="36"/>
        <v>300911.SZ</v>
      </c>
    </row>
    <row r="2354" spans="1:6" x14ac:dyDescent="0.15">
      <c r="A2354" s="2">
        <v>46089</v>
      </c>
      <c r="B2354" s="1" t="s">
        <v>4482</v>
      </c>
      <c r="C2354" s="1" t="s">
        <v>4483</v>
      </c>
      <c r="D2354" t="b">
        <f ca="1">IF(A2354="","",[1]!s_techanal_rcnthigh(B2354,$B$2,1,3))</f>
        <v>0</v>
      </c>
      <c r="E2354">
        <f ca="1">IF(A2354="","",COUNTIF(D$6:D2354,"True"))</f>
        <v>19</v>
      </c>
      <c r="F2354" t="str">
        <f t="shared" si="36"/>
        <v>300912.SZ</v>
      </c>
    </row>
    <row r="2355" spans="1:6" x14ac:dyDescent="0.15">
      <c r="A2355" s="2">
        <v>46089</v>
      </c>
      <c r="B2355" s="1" t="s">
        <v>4484</v>
      </c>
      <c r="C2355" s="1" t="s">
        <v>4485</v>
      </c>
      <c r="D2355" t="b">
        <f ca="1">IF(A2355="","",[1]!s_techanal_rcnthigh(B2355,$B$2,1,3))</f>
        <v>0</v>
      </c>
      <c r="E2355">
        <f ca="1">IF(A2355="","",COUNTIF(D$6:D2355,"True"))</f>
        <v>19</v>
      </c>
      <c r="F2355" t="str">
        <f t="shared" si="36"/>
        <v>300913.SZ</v>
      </c>
    </row>
    <row r="2356" spans="1:6" x14ac:dyDescent="0.15">
      <c r="A2356" s="2">
        <v>46089</v>
      </c>
      <c r="B2356" s="1" t="s">
        <v>4486</v>
      </c>
      <c r="C2356" s="1" t="s">
        <v>4487</v>
      </c>
      <c r="D2356" t="b">
        <f ca="1">IF(A2356="","",[1]!s_techanal_rcnthigh(B2356,$B$2,1,3))</f>
        <v>0</v>
      </c>
      <c r="E2356">
        <f ca="1">IF(A2356="","",COUNTIF(D$6:D2356,"True"))</f>
        <v>19</v>
      </c>
      <c r="F2356" t="str">
        <f t="shared" si="36"/>
        <v>300915.SZ</v>
      </c>
    </row>
    <row r="2357" spans="1:6" x14ac:dyDescent="0.15">
      <c r="A2357" s="2">
        <v>46089</v>
      </c>
      <c r="B2357" s="1" t="s">
        <v>4488</v>
      </c>
      <c r="C2357" s="1" t="s">
        <v>4489</v>
      </c>
      <c r="D2357" t="b">
        <f ca="1">IF(A2357="","",[1]!s_techanal_rcnthigh(B2357,$B$2,1,3))</f>
        <v>0</v>
      </c>
      <c r="E2357">
        <f ca="1">IF(A2357="","",COUNTIF(D$6:D2357,"True"))</f>
        <v>19</v>
      </c>
      <c r="F2357" t="str">
        <f t="shared" si="36"/>
        <v>300916.SZ</v>
      </c>
    </row>
    <row r="2358" spans="1:6" x14ac:dyDescent="0.15">
      <c r="A2358" s="2">
        <v>46089</v>
      </c>
      <c r="B2358" s="1" t="s">
        <v>4490</v>
      </c>
      <c r="C2358" s="1" t="s">
        <v>4491</v>
      </c>
      <c r="D2358" t="b">
        <f ca="1">IF(A2358="","",[1]!s_techanal_rcnthigh(B2358,$B$2,1,3))</f>
        <v>0</v>
      </c>
      <c r="E2358">
        <f ca="1">IF(A2358="","",COUNTIF(D$6:D2358,"True"))</f>
        <v>19</v>
      </c>
      <c r="F2358" t="str">
        <f t="shared" si="36"/>
        <v>300917.SZ</v>
      </c>
    </row>
    <row r="2359" spans="1:6" x14ac:dyDescent="0.15">
      <c r="A2359" s="2">
        <v>46089</v>
      </c>
      <c r="B2359" s="1" t="s">
        <v>4492</v>
      </c>
      <c r="C2359" s="1" t="s">
        <v>4493</v>
      </c>
      <c r="D2359" t="b">
        <f ca="1">IF(A2359="","",[1]!s_techanal_rcnthigh(B2359,$B$2,1,3))</f>
        <v>0</v>
      </c>
      <c r="E2359">
        <f ca="1">IF(A2359="","",COUNTIF(D$6:D2359,"True"))</f>
        <v>19</v>
      </c>
      <c r="F2359" t="str">
        <f t="shared" si="36"/>
        <v>300918.SZ</v>
      </c>
    </row>
    <row r="2360" spans="1:6" x14ac:dyDescent="0.15">
      <c r="A2360" s="2">
        <v>46089</v>
      </c>
      <c r="B2360" s="1" t="s">
        <v>4494</v>
      </c>
      <c r="C2360" s="1" t="s">
        <v>10238</v>
      </c>
      <c r="D2360" t="b">
        <f ca="1">IF(A2360="","",[1]!s_techanal_rcnthigh(B2360,$B$2,1,3))</f>
        <v>0</v>
      </c>
      <c r="E2360">
        <f ca="1">IF(A2360="","",COUNTIF(D$6:D2360,"True"))</f>
        <v>19</v>
      </c>
      <c r="F2360" t="str">
        <f t="shared" si="36"/>
        <v>300919.SZ</v>
      </c>
    </row>
    <row r="2361" spans="1:6" x14ac:dyDescent="0.15">
      <c r="A2361" s="2">
        <v>46089</v>
      </c>
      <c r="B2361" s="1" t="s">
        <v>4495</v>
      </c>
      <c r="C2361" s="1" t="s">
        <v>4496</v>
      </c>
      <c r="D2361" t="b">
        <f ca="1">IF(A2361="","",[1]!s_techanal_rcnthigh(B2361,$B$2,1,3))</f>
        <v>0</v>
      </c>
      <c r="E2361">
        <f ca="1">IF(A2361="","",COUNTIF(D$6:D2361,"True"))</f>
        <v>19</v>
      </c>
      <c r="F2361" t="str">
        <f t="shared" si="36"/>
        <v>300920.SZ</v>
      </c>
    </row>
    <row r="2362" spans="1:6" x14ac:dyDescent="0.15">
      <c r="A2362" s="2">
        <v>46089</v>
      </c>
      <c r="B2362" s="1" t="s">
        <v>4497</v>
      </c>
      <c r="C2362" s="1" t="s">
        <v>4498</v>
      </c>
      <c r="D2362" t="b">
        <f ca="1">IF(A2362="","",[1]!s_techanal_rcnthigh(B2362,$B$2,1,3))</f>
        <v>0</v>
      </c>
      <c r="E2362">
        <f ca="1">IF(A2362="","",COUNTIF(D$6:D2362,"True"))</f>
        <v>19</v>
      </c>
      <c r="F2362" t="str">
        <f t="shared" si="36"/>
        <v>300921.SZ</v>
      </c>
    </row>
    <row r="2363" spans="1:6" x14ac:dyDescent="0.15">
      <c r="A2363" s="2">
        <v>46089</v>
      </c>
      <c r="B2363" s="1" t="s">
        <v>4499</v>
      </c>
      <c r="C2363" s="1" t="s">
        <v>4500</v>
      </c>
      <c r="D2363" t="b">
        <f ca="1">IF(A2363="","",[1]!s_techanal_rcnthigh(B2363,$B$2,1,3))</f>
        <v>0</v>
      </c>
      <c r="E2363">
        <f ca="1">IF(A2363="","",COUNTIF(D$6:D2363,"True"))</f>
        <v>19</v>
      </c>
      <c r="F2363" t="str">
        <f t="shared" si="36"/>
        <v>300922.SZ</v>
      </c>
    </row>
    <row r="2364" spans="1:6" x14ac:dyDescent="0.15">
      <c r="A2364" s="2">
        <v>46089</v>
      </c>
      <c r="B2364" s="1" t="s">
        <v>4501</v>
      </c>
      <c r="C2364" s="1" t="s">
        <v>4502</v>
      </c>
      <c r="D2364" t="b">
        <f ca="1">IF(A2364="","",[1]!s_techanal_rcnthigh(B2364,$B$2,1,3))</f>
        <v>0</v>
      </c>
      <c r="E2364">
        <f ca="1">IF(A2364="","",COUNTIF(D$6:D2364,"True"))</f>
        <v>19</v>
      </c>
      <c r="F2364" t="str">
        <f t="shared" si="36"/>
        <v>300923.SZ</v>
      </c>
    </row>
    <row r="2365" spans="1:6" x14ac:dyDescent="0.15">
      <c r="A2365" s="2">
        <v>46089</v>
      </c>
      <c r="B2365" s="1" t="s">
        <v>4503</v>
      </c>
      <c r="C2365" s="1" t="s">
        <v>4504</v>
      </c>
      <c r="D2365" t="b">
        <f ca="1">IF(A2365="","",[1]!s_techanal_rcnthigh(B2365,$B$2,1,3))</f>
        <v>0</v>
      </c>
      <c r="E2365">
        <f ca="1">IF(A2365="","",COUNTIF(D$6:D2365,"True"))</f>
        <v>19</v>
      </c>
      <c r="F2365" t="str">
        <f t="shared" si="36"/>
        <v>300925.SZ</v>
      </c>
    </row>
    <row r="2366" spans="1:6" x14ac:dyDescent="0.15">
      <c r="A2366" s="2">
        <v>46089</v>
      </c>
      <c r="B2366" s="1" t="s">
        <v>4505</v>
      </c>
      <c r="C2366" s="1" t="s">
        <v>4506</v>
      </c>
      <c r="D2366" t="b">
        <f ca="1">IF(A2366="","",[1]!s_techanal_rcnthigh(B2366,$B$2,1,3))</f>
        <v>0</v>
      </c>
      <c r="E2366">
        <f ca="1">IF(A2366="","",COUNTIF(D$6:D2366,"True"))</f>
        <v>19</v>
      </c>
      <c r="F2366" t="str">
        <f t="shared" si="36"/>
        <v>300926.SZ</v>
      </c>
    </row>
    <row r="2367" spans="1:6" x14ac:dyDescent="0.15">
      <c r="A2367" s="2">
        <v>46089</v>
      </c>
      <c r="B2367" s="1" t="s">
        <v>4507</v>
      </c>
      <c r="C2367" s="1" t="s">
        <v>4508</v>
      </c>
      <c r="D2367" t="b">
        <f ca="1">IF(A2367="","",[1]!s_techanal_rcnthigh(B2367,$B$2,1,3))</f>
        <v>0</v>
      </c>
      <c r="E2367">
        <f ca="1">IF(A2367="","",COUNTIF(D$6:D2367,"True"))</f>
        <v>19</v>
      </c>
      <c r="F2367" t="str">
        <f t="shared" si="36"/>
        <v>300927.SZ</v>
      </c>
    </row>
    <row r="2368" spans="1:6" x14ac:dyDescent="0.15">
      <c r="A2368" s="2">
        <v>46089</v>
      </c>
      <c r="B2368" s="1" t="s">
        <v>4509</v>
      </c>
      <c r="C2368" s="1" t="s">
        <v>4510</v>
      </c>
      <c r="D2368" t="b">
        <f ca="1">IF(A2368="","",[1]!s_techanal_rcnthigh(B2368,$B$2,1,3))</f>
        <v>0</v>
      </c>
      <c r="E2368">
        <f ca="1">IF(A2368="","",COUNTIF(D$6:D2368,"True"))</f>
        <v>19</v>
      </c>
      <c r="F2368" t="str">
        <f t="shared" si="36"/>
        <v>300928.SZ</v>
      </c>
    </row>
    <row r="2369" spans="1:6" x14ac:dyDescent="0.15">
      <c r="A2369" s="2">
        <v>46089</v>
      </c>
      <c r="B2369" s="1" t="s">
        <v>4511</v>
      </c>
      <c r="C2369" s="1" t="s">
        <v>4512</v>
      </c>
      <c r="D2369" t="b">
        <f ca="1">IF(A2369="","",[1]!s_techanal_rcnthigh(B2369,$B$2,1,3))</f>
        <v>0</v>
      </c>
      <c r="E2369">
        <f ca="1">IF(A2369="","",COUNTIF(D$6:D2369,"True"))</f>
        <v>19</v>
      </c>
      <c r="F2369" t="str">
        <f t="shared" si="36"/>
        <v>300929.SZ</v>
      </c>
    </row>
    <row r="2370" spans="1:6" x14ac:dyDescent="0.15">
      <c r="A2370" s="2">
        <v>46089</v>
      </c>
      <c r="B2370" s="1" t="s">
        <v>4513</v>
      </c>
      <c r="C2370" s="1" t="s">
        <v>4514</v>
      </c>
      <c r="D2370" t="b">
        <f ca="1">IF(A2370="","",[1]!s_techanal_rcnthigh(B2370,$B$2,1,3))</f>
        <v>0</v>
      </c>
      <c r="E2370">
        <f ca="1">IF(A2370="","",COUNTIF(D$6:D2370,"True"))</f>
        <v>19</v>
      </c>
      <c r="F2370" t="str">
        <f t="shared" si="36"/>
        <v>300930.SZ</v>
      </c>
    </row>
    <row r="2371" spans="1:6" x14ac:dyDescent="0.15">
      <c r="A2371" s="2">
        <v>46089</v>
      </c>
      <c r="B2371" s="1" t="s">
        <v>4515</v>
      </c>
      <c r="C2371" s="1" t="s">
        <v>4516</v>
      </c>
      <c r="D2371" t="b">
        <f ca="1">IF(A2371="","",[1]!s_techanal_rcnthigh(B2371,$B$2,1,3))</f>
        <v>0</v>
      </c>
      <c r="E2371">
        <f ca="1">IF(A2371="","",COUNTIF(D$6:D2371,"True"))</f>
        <v>19</v>
      </c>
      <c r="F2371" t="str">
        <f t="shared" si="36"/>
        <v>300931.SZ</v>
      </c>
    </row>
    <row r="2372" spans="1:6" x14ac:dyDescent="0.15">
      <c r="A2372" s="2">
        <v>46089</v>
      </c>
      <c r="B2372" s="1" t="s">
        <v>4517</v>
      </c>
      <c r="C2372" s="1" t="s">
        <v>4518</v>
      </c>
      <c r="D2372" t="b">
        <f ca="1">IF(A2372="","",[1]!s_techanal_rcnthigh(B2372,$B$2,1,3))</f>
        <v>0</v>
      </c>
      <c r="E2372">
        <f ca="1">IF(A2372="","",COUNTIF(D$6:D2372,"True"))</f>
        <v>19</v>
      </c>
      <c r="F2372" t="str">
        <f t="shared" si="36"/>
        <v>300932.SZ</v>
      </c>
    </row>
    <row r="2373" spans="1:6" x14ac:dyDescent="0.15">
      <c r="A2373" s="2">
        <v>46089</v>
      </c>
      <c r="B2373" s="1" t="s">
        <v>4519</v>
      </c>
      <c r="C2373" s="1" t="s">
        <v>4520</v>
      </c>
      <c r="D2373" t="b">
        <f ca="1">IF(A2373="","",[1]!s_techanal_rcnthigh(B2373,$B$2,1,3))</f>
        <v>0</v>
      </c>
      <c r="E2373">
        <f ca="1">IF(A2373="","",COUNTIF(D$6:D2373,"True"))</f>
        <v>19</v>
      </c>
      <c r="F2373" t="str">
        <f t="shared" si="36"/>
        <v>300933.SZ</v>
      </c>
    </row>
    <row r="2374" spans="1:6" x14ac:dyDescent="0.15">
      <c r="A2374" s="2">
        <v>46089</v>
      </c>
      <c r="B2374" s="1" t="s">
        <v>4521</v>
      </c>
      <c r="C2374" s="1" t="s">
        <v>4522</v>
      </c>
      <c r="D2374" t="b">
        <f ca="1">IF(A2374="","",[1]!s_techanal_rcnthigh(B2374,$B$2,1,3))</f>
        <v>0</v>
      </c>
      <c r="E2374">
        <f ca="1">IF(A2374="","",COUNTIF(D$6:D2374,"True"))</f>
        <v>19</v>
      </c>
      <c r="F2374" t="str">
        <f t="shared" ref="F2374:F2437" si="37">IF(B2374="","",B2374)</f>
        <v>300935.SZ</v>
      </c>
    </row>
    <row r="2375" spans="1:6" x14ac:dyDescent="0.15">
      <c r="A2375" s="2">
        <v>46089</v>
      </c>
      <c r="B2375" s="1" t="s">
        <v>4523</v>
      </c>
      <c r="C2375" s="1" t="s">
        <v>4524</v>
      </c>
      <c r="D2375" t="b">
        <f ca="1">IF(A2375="","",[1]!s_techanal_rcnthigh(B2375,$B$2,1,3))</f>
        <v>0</v>
      </c>
      <c r="E2375">
        <f ca="1">IF(A2375="","",COUNTIF(D$6:D2375,"True"))</f>
        <v>19</v>
      </c>
      <c r="F2375" t="str">
        <f t="shared" si="37"/>
        <v>300936.SZ</v>
      </c>
    </row>
    <row r="2376" spans="1:6" x14ac:dyDescent="0.15">
      <c r="A2376" s="2">
        <v>46089</v>
      </c>
      <c r="B2376" s="1" t="s">
        <v>4525</v>
      </c>
      <c r="C2376" s="1" t="s">
        <v>4526</v>
      </c>
      <c r="D2376" t="b">
        <f ca="1">IF(A2376="","",[1]!s_techanal_rcnthigh(B2376,$B$2,1,3))</f>
        <v>0</v>
      </c>
      <c r="E2376">
        <f ca="1">IF(A2376="","",COUNTIF(D$6:D2376,"True"))</f>
        <v>19</v>
      </c>
      <c r="F2376" t="str">
        <f t="shared" si="37"/>
        <v>300937.SZ</v>
      </c>
    </row>
    <row r="2377" spans="1:6" x14ac:dyDescent="0.15">
      <c r="A2377" s="2">
        <v>46089</v>
      </c>
      <c r="B2377" s="1" t="s">
        <v>4527</v>
      </c>
      <c r="C2377" s="1" t="s">
        <v>4528</v>
      </c>
      <c r="D2377" t="b">
        <f ca="1">IF(A2377="","",[1]!s_techanal_rcnthigh(B2377,$B$2,1,3))</f>
        <v>1</v>
      </c>
      <c r="E2377">
        <f ca="1">IF(A2377="","",COUNTIF(D$6:D2377,"True"))</f>
        <v>20</v>
      </c>
      <c r="F2377" t="str">
        <f t="shared" si="37"/>
        <v>300938.SZ</v>
      </c>
    </row>
    <row r="2378" spans="1:6" x14ac:dyDescent="0.15">
      <c r="A2378" s="2">
        <v>46089</v>
      </c>
      <c r="B2378" s="1" t="s">
        <v>4529</v>
      </c>
      <c r="C2378" s="1" t="s">
        <v>4530</v>
      </c>
      <c r="D2378" t="b">
        <f ca="1">IF(A2378="","",[1]!s_techanal_rcnthigh(B2378,$B$2,1,3))</f>
        <v>0</v>
      </c>
      <c r="E2378">
        <f ca="1">IF(A2378="","",COUNTIF(D$6:D2378,"True"))</f>
        <v>20</v>
      </c>
      <c r="F2378" t="str">
        <f t="shared" si="37"/>
        <v>300939.SZ</v>
      </c>
    </row>
    <row r="2379" spans="1:6" x14ac:dyDescent="0.15">
      <c r="A2379" s="2">
        <v>46089</v>
      </c>
      <c r="B2379" s="1" t="s">
        <v>4531</v>
      </c>
      <c r="C2379" s="1" t="s">
        <v>4532</v>
      </c>
      <c r="D2379" t="b">
        <f ca="1">IF(A2379="","",[1]!s_techanal_rcnthigh(B2379,$B$2,1,3))</f>
        <v>0</v>
      </c>
      <c r="E2379">
        <f ca="1">IF(A2379="","",COUNTIF(D$6:D2379,"True"))</f>
        <v>20</v>
      </c>
      <c r="F2379" t="str">
        <f t="shared" si="37"/>
        <v>300940.SZ</v>
      </c>
    </row>
    <row r="2380" spans="1:6" x14ac:dyDescent="0.15">
      <c r="A2380" s="2">
        <v>46089</v>
      </c>
      <c r="B2380" s="1" t="s">
        <v>4533</v>
      </c>
      <c r="C2380" s="1" t="s">
        <v>4534</v>
      </c>
      <c r="D2380" t="b">
        <f ca="1">IF(A2380="","",[1]!s_techanal_rcnthigh(B2380,$B$2,1,3))</f>
        <v>0</v>
      </c>
      <c r="E2380">
        <f ca="1">IF(A2380="","",COUNTIF(D$6:D2380,"True"))</f>
        <v>20</v>
      </c>
      <c r="F2380" t="str">
        <f t="shared" si="37"/>
        <v>300941.SZ</v>
      </c>
    </row>
    <row r="2381" spans="1:6" x14ac:dyDescent="0.15">
      <c r="A2381" s="2">
        <v>46089</v>
      </c>
      <c r="B2381" s="1" t="s">
        <v>4535</v>
      </c>
      <c r="C2381" s="1" t="s">
        <v>4536</v>
      </c>
      <c r="D2381" t="b">
        <f ca="1">IF(A2381="","",[1]!s_techanal_rcnthigh(B2381,$B$2,1,3))</f>
        <v>0</v>
      </c>
      <c r="E2381">
        <f ca="1">IF(A2381="","",COUNTIF(D$6:D2381,"True"))</f>
        <v>20</v>
      </c>
      <c r="F2381" t="str">
        <f t="shared" si="37"/>
        <v>300942.SZ</v>
      </c>
    </row>
    <row r="2382" spans="1:6" x14ac:dyDescent="0.15">
      <c r="A2382" s="2">
        <v>46089</v>
      </c>
      <c r="B2382" s="1" t="s">
        <v>4537</v>
      </c>
      <c r="C2382" s="1" t="s">
        <v>4538</v>
      </c>
      <c r="D2382" t="b">
        <f ca="1">IF(A2382="","",[1]!s_techanal_rcnthigh(B2382,$B$2,1,3))</f>
        <v>0</v>
      </c>
      <c r="E2382">
        <f ca="1">IF(A2382="","",COUNTIF(D$6:D2382,"True"))</f>
        <v>20</v>
      </c>
      <c r="F2382" t="str">
        <f t="shared" si="37"/>
        <v>300943.SZ</v>
      </c>
    </row>
    <row r="2383" spans="1:6" x14ac:dyDescent="0.15">
      <c r="A2383" s="2">
        <v>46089</v>
      </c>
      <c r="B2383" s="1" t="s">
        <v>4539</v>
      </c>
      <c r="C2383" s="1" t="s">
        <v>4540</v>
      </c>
      <c r="D2383" t="b">
        <f ca="1">IF(A2383="","",[1]!s_techanal_rcnthigh(B2383,$B$2,1,3))</f>
        <v>0</v>
      </c>
      <c r="E2383">
        <f ca="1">IF(A2383="","",COUNTIF(D$6:D2383,"True"))</f>
        <v>20</v>
      </c>
      <c r="F2383" t="str">
        <f t="shared" si="37"/>
        <v>300945.SZ</v>
      </c>
    </row>
    <row r="2384" spans="1:6" x14ac:dyDescent="0.15">
      <c r="A2384" s="2">
        <v>46089</v>
      </c>
      <c r="B2384" s="1" t="s">
        <v>4541</v>
      </c>
      <c r="C2384" s="1" t="s">
        <v>4542</v>
      </c>
      <c r="D2384" t="b">
        <f ca="1">IF(A2384="","",[1]!s_techanal_rcnthigh(B2384,$B$2,1,3))</f>
        <v>0</v>
      </c>
      <c r="E2384">
        <f ca="1">IF(A2384="","",COUNTIF(D$6:D2384,"True"))</f>
        <v>20</v>
      </c>
      <c r="F2384" t="str">
        <f t="shared" si="37"/>
        <v>300946.SZ</v>
      </c>
    </row>
    <row r="2385" spans="1:6" x14ac:dyDescent="0.15">
      <c r="A2385" s="2">
        <v>46089</v>
      </c>
      <c r="B2385" s="1" t="s">
        <v>4543</v>
      </c>
      <c r="C2385" s="1" t="s">
        <v>4544</v>
      </c>
      <c r="D2385" t="b">
        <f ca="1">IF(A2385="","",[1]!s_techanal_rcnthigh(B2385,$B$2,1,3))</f>
        <v>0</v>
      </c>
      <c r="E2385">
        <f ca="1">IF(A2385="","",COUNTIF(D$6:D2385,"True"))</f>
        <v>20</v>
      </c>
      <c r="F2385" t="str">
        <f t="shared" si="37"/>
        <v>300947.SZ</v>
      </c>
    </row>
    <row r="2386" spans="1:6" x14ac:dyDescent="0.15">
      <c r="A2386" s="2">
        <v>46089</v>
      </c>
      <c r="B2386" s="1" t="s">
        <v>4545</v>
      </c>
      <c r="C2386" s="1" t="s">
        <v>4546</v>
      </c>
      <c r="D2386" t="b">
        <f ca="1">IF(A2386="","",[1]!s_techanal_rcnthigh(B2386,$B$2,1,3))</f>
        <v>0</v>
      </c>
      <c r="E2386">
        <f ca="1">IF(A2386="","",COUNTIF(D$6:D2386,"True"))</f>
        <v>20</v>
      </c>
      <c r="F2386" t="str">
        <f t="shared" si="37"/>
        <v>300948.SZ</v>
      </c>
    </row>
    <row r="2387" spans="1:6" x14ac:dyDescent="0.15">
      <c r="A2387" s="2">
        <v>46089</v>
      </c>
      <c r="B2387" s="1" t="s">
        <v>4547</v>
      </c>
      <c r="C2387" s="1" t="s">
        <v>4548</v>
      </c>
      <c r="D2387" t="b">
        <f ca="1">IF(A2387="","",[1]!s_techanal_rcnthigh(B2387,$B$2,1,3))</f>
        <v>0</v>
      </c>
      <c r="E2387">
        <f ca="1">IF(A2387="","",COUNTIF(D$6:D2387,"True"))</f>
        <v>20</v>
      </c>
      <c r="F2387" t="str">
        <f t="shared" si="37"/>
        <v>300949.SZ</v>
      </c>
    </row>
    <row r="2388" spans="1:6" x14ac:dyDescent="0.15">
      <c r="A2388" s="2">
        <v>46089</v>
      </c>
      <c r="B2388" s="1" t="s">
        <v>4549</v>
      </c>
      <c r="C2388" s="1" t="s">
        <v>4550</v>
      </c>
      <c r="D2388" t="b">
        <f ca="1">IF(A2388="","",[1]!s_techanal_rcnthigh(B2388,$B$2,1,3))</f>
        <v>0</v>
      </c>
      <c r="E2388">
        <f ca="1">IF(A2388="","",COUNTIF(D$6:D2388,"True"))</f>
        <v>20</v>
      </c>
      <c r="F2388" t="str">
        <f t="shared" si="37"/>
        <v>300950.SZ</v>
      </c>
    </row>
    <row r="2389" spans="1:6" x14ac:dyDescent="0.15">
      <c r="A2389" s="2">
        <v>46089</v>
      </c>
      <c r="B2389" s="1" t="s">
        <v>4551</v>
      </c>
      <c r="C2389" s="1" t="s">
        <v>4552</v>
      </c>
      <c r="D2389" t="b">
        <f ca="1">IF(A2389="","",[1]!s_techanal_rcnthigh(B2389,$B$2,1,3))</f>
        <v>0</v>
      </c>
      <c r="E2389">
        <f ca="1">IF(A2389="","",COUNTIF(D$6:D2389,"True"))</f>
        <v>20</v>
      </c>
      <c r="F2389" t="str">
        <f t="shared" si="37"/>
        <v>300951.SZ</v>
      </c>
    </row>
    <row r="2390" spans="1:6" x14ac:dyDescent="0.15">
      <c r="A2390" s="2">
        <v>46089</v>
      </c>
      <c r="B2390" s="1" t="s">
        <v>4553</v>
      </c>
      <c r="C2390" s="1" t="s">
        <v>4554</v>
      </c>
      <c r="D2390" t="b">
        <f ca="1">IF(A2390="","",[1]!s_techanal_rcnthigh(B2390,$B$2,1,3))</f>
        <v>0</v>
      </c>
      <c r="E2390">
        <f ca="1">IF(A2390="","",COUNTIF(D$6:D2390,"True"))</f>
        <v>20</v>
      </c>
      <c r="F2390" t="str">
        <f t="shared" si="37"/>
        <v>300952.SZ</v>
      </c>
    </row>
    <row r="2391" spans="1:6" x14ac:dyDescent="0.15">
      <c r="A2391" s="2">
        <v>46089</v>
      </c>
      <c r="B2391" s="1" t="s">
        <v>4555</v>
      </c>
      <c r="C2391" s="1" t="s">
        <v>4556</v>
      </c>
      <c r="D2391" t="b">
        <f ca="1">IF(A2391="","",[1]!s_techanal_rcnthigh(B2391,$B$2,1,3))</f>
        <v>0</v>
      </c>
      <c r="E2391">
        <f ca="1">IF(A2391="","",COUNTIF(D$6:D2391,"True"))</f>
        <v>20</v>
      </c>
      <c r="F2391" t="str">
        <f t="shared" si="37"/>
        <v>300953.SZ</v>
      </c>
    </row>
    <row r="2392" spans="1:6" x14ac:dyDescent="0.15">
      <c r="A2392" s="2">
        <v>46089</v>
      </c>
      <c r="B2392" s="1" t="s">
        <v>4557</v>
      </c>
      <c r="C2392" s="1" t="s">
        <v>4558</v>
      </c>
      <c r="D2392" t="b">
        <f ca="1">IF(A2392="","",[1]!s_techanal_rcnthigh(B2392,$B$2,1,3))</f>
        <v>0</v>
      </c>
      <c r="E2392">
        <f ca="1">IF(A2392="","",COUNTIF(D$6:D2392,"True"))</f>
        <v>20</v>
      </c>
      <c r="F2392" t="str">
        <f t="shared" si="37"/>
        <v>300955.SZ</v>
      </c>
    </row>
    <row r="2393" spans="1:6" x14ac:dyDescent="0.15">
      <c r="A2393" s="2">
        <v>46089</v>
      </c>
      <c r="B2393" s="1" t="s">
        <v>4559</v>
      </c>
      <c r="C2393" s="1" t="s">
        <v>4560</v>
      </c>
      <c r="D2393" t="b">
        <f ca="1">IF(A2393="","",[1]!s_techanal_rcnthigh(B2393,$B$2,1,3))</f>
        <v>0</v>
      </c>
      <c r="E2393">
        <f ca="1">IF(A2393="","",COUNTIF(D$6:D2393,"True"))</f>
        <v>20</v>
      </c>
      <c r="F2393" t="str">
        <f t="shared" si="37"/>
        <v>300956.SZ</v>
      </c>
    </row>
    <row r="2394" spans="1:6" x14ac:dyDescent="0.15">
      <c r="A2394" s="2">
        <v>46089</v>
      </c>
      <c r="B2394" s="1" t="s">
        <v>4561</v>
      </c>
      <c r="C2394" s="1" t="s">
        <v>4562</v>
      </c>
      <c r="D2394" t="b">
        <f ca="1">IF(A2394="","",[1]!s_techanal_rcnthigh(B2394,$B$2,1,3))</f>
        <v>0</v>
      </c>
      <c r="E2394">
        <f ca="1">IF(A2394="","",COUNTIF(D$6:D2394,"True"))</f>
        <v>20</v>
      </c>
      <c r="F2394" t="str">
        <f t="shared" si="37"/>
        <v>300957.SZ</v>
      </c>
    </row>
    <row r="2395" spans="1:6" x14ac:dyDescent="0.15">
      <c r="A2395" s="2">
        <v>46089</v>
      </c>
      <c r="B2395" s="1" t="s">
        <v>4563</v>
      </c>
      <c r="C2395" s="1" t="s">
        <v>4564</v>
      </c>
      <c r="D2395" t="b">
        <f ca="1">IF(A2395="","",[1]!s_techanal_rcnthigh(B2395,$B$2,1,3))</f>
        <v>0</v>
      </c>
      <c r="E2395">
        <f ca="1">IF(A2395="","",COUNTIF(D$6:D2395,"True"))</f>
        <v>20</v>
      </c>
      <c r="F2395" t="str">
        <f t="shared" si="37"/>
        <v>300958.SZ</v>
      </c>
    </row>
    <row r="2396" spans="1:6" x14ac:dyDescent="0.15">
      <c r="A2396" s="2">
        <v>46089</v>
      </c>
      <c r="B2396" s="1" t="s">
        <v>4565</v>
      </c>
      <c r="C2396" s="1" t="s">
        <v>4566</v>
      </c>
      <c r="D2396" t="b">
        <f ca="1">IF(A2396="","",[1]!s_techanal_rcnthigh(B2396,$B$2,1,3))</f>
        <v>0</v>
      </c>
      <c r="E2396">
        <f ca="1">IF(A2396="","",COUNTIF(D$6:D2396,"True"))</f>
        <v>20</v>
      </c>
      <c r="F2396" t="str">
        <f t="shared" si="37"/>
        <v>300959.SZ</v>
      </c>
    </row>
    <row r="2397" spans="1:6" x14ac:dyDescent="0.15">
      <c r="A2397" s="2">
        <v>46089</v>
      </c>
      <c r="B2397" s="1" t="s">
        <v>4567</v>
      </c>
      <c r="C2397" s="1" t="s">
        <v>4568</v>
      </c>
      <c r="D2397" t="b">
        <f ca="1">IF(A2397="","",[1]!s_techanal_rcnthigh(B2397,$B$2,1,3))</f>
        <v>0</v>
      </c>
      <c r="E2397">
        <f ca="1">IF(A2397="","",COUNTIF(D$6:D2397,"True"))</f>
        <v>20</v>
      </c>
      <c r="F2397" t="str">
        <f t="shared" si="37"/>
        <v>300960.SZ</v>
      </c>
    </row>
    <row r="2398" spans="1:6" x14ac:dyDescent="0.15">
      <c r="A2398" s="2">
        <v>46089</v>
      </c>
      <c r="B2398" s="1" t="s">
        <v>4569</v>
      </c>
      <c r="C2398" s="1" t="s">
        <v>4570</v>
      </c>
      <c r="D2398" t="b">
        <f ca="1">IF(A2398="","",[1]!s_techanal_rcnthigh(B2398,$B$2,1,3))</f>
        <v>0</v>
      </c>
      <c r="E2398">
        <f ca="1">IF(A2398="","",COUNTIF(D$6:D2398,"True"))</f>
        <v>20</v>
      </c>
      <c r="F2398" t="str">
        <f t="shared" si="37"/>
        <v>300961.SZ</v>
      </c>
    </row>
    <row r="2399" spans="1:6" x14ac:dyDescent="0.15">
      <c r="A2399" s="2">
        <v>46089</v>
      </c>
      <c r="B2399" s="1" t="s">
        <v>4571</v>
      </c>
      <c r="C2399" s="1" t="s">
        <v>4572</v>
      </c>
      <c r="D2399" t="b">
        <f ca="1">IF(A2399="","",[1]!s_techanal_rcnthigh(B2399,$B$2,1,3))</f>
        <v>0</v>
      </c>
      <c r="E2399">
        <f ca="1">IF(A2399="","",COUNTIF(D$6:D2399,"True"))</f>
        <v>20</v>
      </c>
      <c r="F2399" t="str">
        <f t="shared" si="37"/>
        <v>300962.SZ</v>
      </c>
    </row>
    <row r="2400" spans="1:6" x14ac:dyDescent="0.15">
      <c r="A2400" s="2">
        <v>46089</v>
      </c>
      <c r="B2400" s="1" t="s">
        <v>4573</v>
      </c>
      <c r="C2400" s="1" t="s">
        <v>4574</v>
      </c>
      <c r="D2400" t="b">
        <f ca="1">IF(A2400="","",[1]!s_techanal_rcnthigh(B2400,$B$2,1,3))</f>
        <v>0</v>
      </c>
      <c r="E2400">
        <f ca="1">IF(A2400="","",COUNTIF(D$6:D2400,"True"))</f>
        <v>20</v>
      </c>
      <c r="F2400" t="str">
        <f t="shared" si="37"/>
        <v>300963.SZ</v>
      </c>
    </row>
    <row r="2401" spans="1:6" x14ac:dyDescent="0.15">
      <c r="A2401" s="2">
        <v>46089</v>
      </c>
      <c r="B2401" s="1" t="s">
        <v>4575</v>
      </c>
      <c r="C2401" s="1" t="s">
        <v>4576</v>
      </c>
      <c r="D2401" t="b">
        <f ca="1">IF(A2401="","",[1]!s_techanal_rcnthigh(B2401,$B$2,1,3))</f>
        <v>0</v>
      </c>
      <c r="E2401">
        <f ca="1">IF(A2401="","",COUNTIF(D$6:D2401,"True"))</f>
        <v>20</v>
      </c>
      <c r="F2401" t="str">
        <f t="shared" si="37"/>
        <v>300964.SZ</v>
      </c>
    </row>
    <row r="2402" spans="1:6" x14ac:dyDescent="0.15">
      <c r="A2402" s="2">
        <v>46089</v>
      </c>
      <c r="B2402" s="1" t="s">
        <v>4577</v>
      </c>
      <c r="C2402" s="1" t="s">
        <v>4578</v>
      </c>
      <c r="D2402" t="b">
        <f ca="1">IF(A2402="","",[1]!s_techanal_rcnthigh(B2402,$B$2,1,3))</f>
        <v>0</v>
      </c>
      <c r="E2402">
        <f ca="1">IF(A2402="","",COUNTIF(D$6:D2402,"True"))</f>
        <v>20</v>
      </c>
      <c r="F2402" t="str">
        <f t="shared" si="37"/>
        <v>300965.SZ</v>
      </c>
    </row>
    <row r="2403" spans="1:6" x14ac:dyDescent="0.15">
      <c r="A2403" s="2">
        <v>46089</v>
      </c>
      <c r="B2403" s="1" t="s">
        <v>4579</v>
      </c>
      <c r="C2403" s="1" t="s">
        <v>4580</v>
      </c>
      <c r="D2403" t="b">
        <f ca="1">IF(A2403="","",[1]!s_techanal_rcnthigh(B2403,$B$2,1,3))</f>
        <v>0</v>
      </c>
      <c r="E2403">
        <f ca="1">IF(A2403="","",COUNTIF(D$6:D2403,"True"))</f>
        <v>20</v>
      </c>
      <c r="F2403" t="str">
        <f t="shared" si="37"/>
        <v>300966.SZ</v>
      </c>
    </row>
    <row r="2404" spans="1:6" x14ac:dyDescent="0.15">
      <c r="A2404" s="2">
        <v>46089</v>
      </c>
      <c r="B2404" s="1" t="s">
        <v>4581</v>
      </c>
      <c r="C2404" s="1" t="s">
        <v>4582</v>
      </c>
      <c r="D2404" t="b">
        <f ca="1">IF(A2404="","",[1]!s_techanal_rcnthigh(B2404,$B$2,1,3))</f>
        <v>0</v>
      </c>
      <c r="E2404">
        <f ca="1">IF(A2404="","",COUNTIF(D$6:D2404,"True"))</f>
        <v>20</v>
      </c>
      <c r="F2404" t="str">
        <f t="shared" si="37"/>
        <v>300967.SZ</v>
      </c>
    </row>
    <row r="2405" spans="1:6" x14ac:dyDescent="0.15">
      <c r="A2405" s="2">
        <v>46089</v>
      </c>
      <c r="B2405" s="1" t="s">
        <v>4583</v>
      </c>
      <c r="C2405" s="1" t="s">
        <v>4584</v>
      </c>
      <c r="D2405" t="b">
        <f ca="1">IF(A2405="","",[1]!s_techanal_rcnthigh(B2405,$B$2,1,3))</f>
        <v>0</v>
      </c>
      <c r="E2405">
        <f ca="1">IF(A2405="","",COUNTIF(D$6:D2405,"True"))</f>
        <v>20</v>
      </c>
      <c r="F2405" t="str">
        <f t="shared" si="37"/>
        <v>300968.SZ</v>
      </c>
    </row>
    <row r="2406" spans="1:6" x14ac:dyDescent="0.15">
      <c r="A2406" s="2">
        <v>46089</v>
      </c>
      <c r="B2406" s="1" t="s">
        <v>4585</v>
      </c>
      <c r="C2406" s="1" t="s">
        <v>4586</v>
      </c>
      <c r="D2406" t="b">
        <f ca="1">IF(A2406="","",[1]!s_techanal_rcnthigh(B2406,$B$2,1,3))</f>
        <v>0</v>
      </c>
      <c r="E2406">
        <f ca="1">IF(A2406="","",COUNTIF(D$6:D2406,"True"))</f>
        <v>20</v>
      </c>
      <c r="F2406" t="str">
        <f t="shared" si="37"/>
        <v>300969.SZ</v>
      </c>
    </row>
    <row r="2407" spans="1:6" x14ac:dyDescent="0.15">
      <c r="A2407" s="2">
        <v>46089</v>
      </c>
      <c r="B2407" s="1" t="s">
        <v>4587</v>
      </c>
      <c r="C2407" s="1" t="s">
        <v>4588</v>
      </c>
      <c r="D2407" t="b">
        <f ca="1">IF(A2407="","",[1]!s_techanal_rcnthigh(B2407,$B$2,1,3))</f>
        <v>0</v>
      </c>
      <c r="E2407">
        <f ca="1">IF(A2407="","",COUNTIF(D$6:D2407,"True"))</f>
        <v>20</v>
      </c>
      <c r="F2407" t="str">
        <f t="shared" si="37"/>
        <v>300970.SZ</v>
      </c>
    </row>
    <row r="2408" spans="1:6" x14ac:dyDescent="0.15">
      <c r="A2408" s="2">
        <v>46089</v>
      </c>
      <c r="B2408" s="1" t="s">
        <v>4589</v>
      </c>
      <c r="C2408" s="1" t="s">
        <v>4590</v>
      </c>
      <c r="D2408" t="b">
        <f ca="1">IF(A2408="","",[1]!s_techanal_rcnthigh(B2408,$B$2,1,3))</f>
        <v>0</v>
      </c>
      <c r="E2408">
        <f ca="1">IF(A2408="","",COUNTIF(D$6:D2408,"True"))</f>
        <v>20</v>
      </c>
      <c r="F2408" t="str">
        <f t="shared" si="37"/>
        <v>300971.SZ</v>
      </c>
    </row>
    <row r="2409" spans="1:6" x14ac:dyDescent="0.15">
      <c r="A2409" s="2">
        <v>46089</v>
      </c>
      <c r="B2409" s="1" t="s">
        <v>4591</v>
      </c>
      <c r="C2409" s="1" t="s">
        <v>4592</v>
      </c>
      <c r="D2409" t="b">
        <f ca="1">IF(A2409="","",[1]!s_techanal_rcnthigh(B2409,$B$2,1,3))</f>
        <v>0</v>
      </c>
      <c r="E2409">
        <f ca="1">IF(A2409="","",COUNTIF(D$6:D2409,"True"))</f>
        <v>20</v>
      </c>
      <c r="F2409" t="str">
        <f t="shared" si="37"/>
        <v>300972.SZ</v>
      </c>
    </row>
    <row r="2410" spans="1:6" x14ac:dyDescent="0.15">
      <c r="A2410" s="2">
        <v>46089</v>
      </c>
      <c r="B2410" s="1" t="s">
        <v>4593</v>
      </c>
      <c r="C2410" s="1" t="s">
        <v>4594</v>
      </c>
      <c r="D2410" t="b">
        <f ca="1">IF(A2410="","",[1]!s_techanal_rcnthigh(B2410,$B$2,1,3))</f>
        <v>0</v>
      </c>
      <c r="E2410">
        <f ca="1">IF(A2410="","",COUNTIF(D$6:D2410,"True"))</f>
        <v>20</v>
      </c>
      <c r="F2410" t="str">
        <f t="shared" si="37"/>
        <v>300973.SZ</v>
      </c>
    </row>
    <row r="2411" spans="1:6" x14ac:dyDescent="0.15">
      <c r="A2411" s="2">
        <v>46089</v>
      </c>
      <c r="B2411" s="1" t="s">
        <v>4595</v>
      </c>
      <c r="C2411" s="1" t="s">
        <v>4596</v>
      </c>
      <c r="D2411" t="b">
        <f ca="1">IF(A2411="","",[1]!s_techanal_rcnthigh(B2411,$B$2,1,3))</f>
        <v>0</v>
      </c>
      <c r="E2411">
        <f ca="1">IF(A2411="","",COUNTIF(D$6:D2411,"True"))</f>
        <v>20</v>
      </c>
      <c r="F2411" t="str">
        <f t="shared" si="37"/>
        <v>300975.SZ</v>
      </c>
    </row>
    <row r="2412" spans="1:6" x14ac:dyDescent="0.15">
      <c r="A2412" s="2">
        <v>46089</v>
      </c>
      <c r="B2412" s="1" t="s">
        <v>4597</v>
      </c>
      <c r="C2412" s="1" t="s">
        <v>4598</v>
      </c>
      <c r="D2412" t="b">
        <f ca="1">IF(A2412="","",[1]!s_techanal_rcnthigh(B2412,$B$2,1,3))</f>
        <v>0</v>
      </c>
      <c r="E2412">
        <f ca="1">IF(A2412="","",COUNTIF(D$6:D2412,"True"))</f>
        <v>20</v>
      </c>
      <c r="F2412" t="str">
        <f t="shared" si="37"/>
        <v>300976.SZ</v>
      </c>
    </row>
    <row r="2413" spans="1:6" x14ac:dyDescent="0.15">
      <c r="A2413" s="2">
        <v>46089</v>
      </c>
      <c r="B2413" s="1" t="s">
        <v>4599</v>
      </c>
      <c r="C2413" s="1" t="s">
        <v>4600</v>
      </c>
      <c r="D2413" t="b">
        <f ca="1">IF(A2413="","",[1]!s_techanal_rcnthigh(B2413,$B$2,1,3))</f>
        <v>0</v>
      </c>
      <c r="E2413">
        <f ca="1">IF(A2413="","",COUNTIF(D$6:D2413,"True"))</f>
        <v>20</v>
      </c>
      <c r="F2413" t="str">
        <f t="shared" si="37"/>
        <v>300977.SZ</v>
      </c>
    </row>
    <row r="2414" spans="1:6" x14ac:dyDescent="0.15">
      <c r="A2414" s="2">
        <v>46089</v>
      </c>
      <c r="B2414" s="1" t="s">
        <v>4601</v>
      </c>
      <c r="C2414" s="1" t="s">
        <v>4602</v>
      </c>
      <c r="D2414" t="b">
        <f ca="1">IF(A2414="","",[1]!s_techanal_rcnthigh(B2414,$B$2,1,3))</f>
        <v>0</v>
      </c>
      <c r="E2414">
        <f ca="1">IF(A2414="","",COUNTIF(D$6:D2414,"True"))</f>
        <v>20</v>
      </c>
      <c r="F2414" t="str">
        <f t="shared" si="37"/>
        <v>300978.SZ</v>
      </c>
    </row>
    <row r="2415" spans="1:6" x14ac:dyDescent="0.15">
      <c r="A2415" s="2">
        <v>46089</v>
      </c>
      <c r="B2415" s="1" t="s">
        <v>4603</v>
      </c>
      <c r="C2415" s="1" t="s">
        <v>4604</v>
      </c>
      <c r="D2415" t="b">
        <f ca="1">IF(A2415="","",[1]!s_techanal_rcnthigh(B2415,$B$2,1,3))</f>
        <v>0</v>
      </c>
      <c r="E2415">
        <f ca="1">IF(A2415="","",COUNTIF(D$6:D2415,"True"))</f>
        <v>20</v>
      </c>
      <c r="F2415" t="str">
        <f t="shared" si="37"/>
        <v>300979.SZ</v>
      </c>
    </row>
    <row r="2416" spans="1:6" x14ac:dyDescent="0.15">
      <c r="A2416" s="2">
        <v>46089</v>
      </c>
      <c r="B2416" s="1" t="s">
        <v>4605</v>
      </c>
      <c r="C2416" s="1" t="s">
        <v>4606</v>
      </c>
      <c r="D2416" t="b">
        <f ca="1">IF(A2416="","",[1]!s_techanal_rcnthigh(B2416,$B$2,1,3))</f>
        <v>0</v>
      </c>
      <c r="E2416">
        <f ca="1">IF(A2416="","",COUNTIF(D$6:D2416,"True"))</f>
        <v>20</v>
      </c>
      <c r="F2416" t="str">
        <f t="shared" si="37"/>
        <v>300980.SZ</v>
      </c>
    </row>
    <row r="2417" spans="1:6" x14ac:dyDescent="0.15">
      <c r="A2417" s="2">
        <v>46089</v>
      </c>
      <c r="B2417" s="1" t="s">
        <v>4607</v>
      </c>
      <c r="C2417" s="1" t="s">
        <v>4608</v>
      </c>
      <c r="D2417" t="b">
        <f ca="1">IF(A2417="","",[1]!s_techanal_rcnthigh(B2417,$B$2,1,3))</f>
        <v>0</v>
      </c>
      <c r="E2417">
        <f ca="1">IF(A2417="","",COUNTIF(D$6:D2417,"True"))</f>
        <v>20</v>
      </c>
      <c r="F2417" t="str">
        <f t="shared" si="37"/>
        <v>300981.SZ</v>
      </c>
    </row>
    <row r="2418" spans="1:6" x14ac:dyDescent="0.15">
      <c r="A2418" s="2">
        <v>46089</v>
      </c>
      <c r="B2418" s="1" t="s">
        <v>4609</v>
      </c>
      <c r="C2418" s="1" t="s">
        <v>4610</v>
      </c>
      <c r="D2418" t="b">
        <f ca="1">IF(A2418="","",[1]!s_techanal_rcnthigh(B2418,$B$2,1,3))</f>
        <v>0</v>
      </c>
      <c r="E2418">
        <f ca="1">IF(A2418="","",COUNTIF(D$6:D2418,"True"))</f>
        <v>20</v>
      </c>
      <c r="F2418" t="str">
        <f t="shared" si="37"/>
        <v>300982.SZ</v>
      </c>
    </row>
    <row r="2419" spans="1:6" x14ac:dyDescent="0.15">
      <c r="A2419" s="2">
        <v>46089</v>
      </c>
      <c r="B2419" s="1" t="s">
        <v>4611</v>
      </c>
      <c r="C2419" s="1" t="s">
        <v>4612</v>
      </c>
      <c r="D2419" t="b">
        <f ca="1">IF(A2419="","",[1]!s_techanal_rcnthigh(B2419,$B$2,1,3))</f>
        <v>0</v>
      </c>
      <c r="E2419">
        <f ca="1">IF(A2419="","",COUNTIF(D$6:D2419,"True"))</f>
        <v>20</v>
      </c>
      <c r="F2419" t="str">
        <f t="shared" si="37"/>
        <v>300983.SZ</v>
      </c>
    </row>
    <row r="2420" spans="1:6" x14ac:dyDescent="0.15">
      <c r="A2420" s="2">
        <v>46089</v>
      </c>
      <c r="B2420" s="1" t="s">
        <v>4613</v>
      </c>
      <c r="C2420" s="1" t="s">
        <v>4614</v>
      </c>
      <c r="D2420" t="b">
        <f ca="1">IF(A2420="","",[1]!s_techanal_rcnthigh(B2420,$B$2,1,3))</f>
        <v>0</v>
      </c>
      <c r="E2420">
        <f ca="1">IF(A2420="","",COUNTIF(D$6:D2420,"True"))</f>
        <v>20</v>
      </c>
      <c r="F2420" t="str">
        <f t="shared" si="37"/>
        <v>300984.SZ</v>
      </c>
    </row>
    <row r="2421" spans="1:6" x14ac:dyDescent="0.15">
      <c r="A2421" s="2">
        <v>46089</v>
      </c>
      <c r="B2421" s="1" t="s">
        <v>4615</v>
      </c>
      <c r="C2421" s="1" t="s">
        <v>4616</v>
      </c>
      <c r="D2421" t="b">
        <f ca="1">IF(A2421="","",[1]!s_techanal_rcnthigh(B2421,$B$2,1,3))</f>
        <v>0</v>
      </c>
      <c r="E2421">
        <f ca="1">IF(A2421="","",COUNTIF(D$6:D2421,"True"))</f>
        <v>20</v>
      </c>
      <c r="F2421" t="str">
        <f t="shared" si="37"/>
        <v>300985.SZ</v>
      </c>
    </row>
    <row r="2422" spans="1:6" x14ac:dyDescent="0.15">
      <c r="A2422" s="2">
        <v>46089</v>
      </c>
      <c r="B2422" s="1" t="s">
        <v>4617</v>
      </c>
      <c r="C2422" s="1" t="s">
        <v>4618</v>
      </c>
      <c r="D2422" t="b">
        <f ca="1">IF(A2422="","",[1]!s_techanal_rcnthigh(B2422,$B$2,1,3))</f>
        <v>0</v>
      </c>
      <c r="E2422">
        <f ca="1">IF(A2422="","",COUNTIF(D$6:D2422,"True"))</f>
        <v>20</v>
      </c>
      <c r="F2422" t="str">
        <f t="shared" si="37"/>
        <v>300986.SZ</v>
      </c>
    </row>
    <row r="2423" spans="1:6" x14ac:dyDescent="0.15">
      <c r="A2423" s="2">
        <v>46089</v>
      </c>
      <c r="B2423" s="1" t="s">
        <v>4619</v>
      </c>
      <c r="C2423" s="1" t="s">
        <v>4620</v>
      </c>
      <c r="D2423" t="b">
        <f ca="1">IF(A2423="","",[1]!s_techanal_rcnthigh(B2423,$B$2,1,3))</f>
        <v>0</v>
      </c>
      <c r="E2423">
        <f ca="1">IF(A2423="","",COUNTIF(D$6:D2423,"True"))</f>
        <v>20</v>
      </c>
      <c r="F2423" t="str">
        <f t="shared" si="37"/>
        <v>300987.SZ</v>
      </c>
    </row>
    <row r="2424" spans="1:6" x14ac:dyDescent="0.15">
      <c r="A2424" s="2">
        <v>46089</v>
      </c>
      <c r="B2424" s="1" t="s">
        <v>4621</v>
      </c>
      <c r="C2424" s="1" t="s">
        <v>4622</v>
      </c>
      <c r="D2424" t="b">
        <f ca="1">IF(A2424="","",[1]!s_techanal_rcnthigh(B2424,$B$2,1,3))</f>
        <v>0</v>
      </c>
      <c r="E2424">
        <f ca="1">IF(A2424="","",COUNTIF(D$6:D2424,"True"))</f>
        <v>20</v>
      </c>
      <c r="F2424" t="str">
        <f t="shared" si="37"/>
        <v>300988.SZ</v>
      </c>
    </row>
    <row r="2425" spans="1:6" x14ac:dyDescent="0.15">
      <c r="A2425" s="2">
        <v>46089</v>
      </c>
      <c r="B2425" s="1" t="s">
        <v>4623</v>
      </c>
      <c r="C2425" s="1" t="s">
        <v>4624</v>
      </c>
      <c r="D2425" t="b">
        <f ca="1">IF(A2425="","",[1]!s_techanal_rcnthigh(B2425,$B$2,1,3))</f>
        <v>0</v>
      </c>
      <c r="E2425">
        <f ca="1">IF(A2425="","",COUNTIF(D$6:D2425,"True"))</f>
        <v>20</v>
      </c>
      <c r="F2425" t="str">
        <f t="shared" si="37"/>
        <v>300989.SZ</v>
      </c>
    </row>
    <row r="2426" spans="1:6" x14ac:dyDescent="0.15">
      <c r="A2426" s="2">
        <v>46089</v>
      </c>
      <c r="B2426" s="1" t="s">
        <v>4625</v>
      </c>
      <c r="C2426" s="1" t="s">
        <v>4626</v>
      </c>
      <c r="D2426" t="b">
        <f ca="1">IF(A2426="","",[1]!s_techanal_rcnthigh(B2426,$B$2,1,3))</f>
        <v>0</v>
      </c>
      <c r="E2426">
        <f ca="1">IF(A2426="","",COUNTIF(D$6:D2426,"True"))</f>
        <v>20</v>
      </c>
      <c r="F2426" t="str">
        <f t="shared" si="37"/>
        <v>300990.SZ</v>
      </c>
    </row>
    <row r="2427" spans="1:6" x14ac:dyDescent="0.15">
      <c r="A2427" s="2">
        <v>46089</v>
      </c>
      <c r="B2427" s="1" t="s">
        <v>4627</v>
      </c>
      <c r="C2427" s="1" t="s">
        <v>4628</v>
      </c>
      <c r="D2427" t="b">
        <f ca="1">IF(A2427="","",[1]!s_techanal_rcnthigh(B2427,$B$2,1,3))</f>
        <v>0</v>
      </c>
      <c r="E2427">
        <f ca="1">IF(A2427="","",COUNTIF(D$6:D2427,"True"))</f>
        <v>20</v>
      </c>
      <c r="F2427" t="str">
        <f t="shared" si="37"/>
        <v>300991.SZ</v>
      </c>
    </row>
    <row r="2428" spans="1:6" x14ac:dyDescent="0.15">
      <c r="A2428" s="2">
        <v>46089</v>
      </c>
      <c r="B2428" s="1" t="s">
        <v>4629</v>
      </c>
      <c r="C2428" s="1" t="s">
        <v>4630</v>
      </c>
      <c r="D2428" t="b">
        <f ca="1">IF(A2428="","",[1]!s_techanal_rcnthigh(B2428,$B$2,1,3))</f>
        <v>0</v>
      </c>
      <c r="E2428">
        <f ca="1">IF(A2428="","",COUNTIF(D$6:D2428,"True"))</f>
        <v>20</v>
      </c>
      <c r="F2428" t="str">
        <f t="shared" si="37"/>
        <v>300992.SZ</v>
      </c>
    </row>
    <row r="2429" spans="1:6" x14ac:dyDescent="0.15">
      <c r="A2429" s="2">
        <v>46089</v>
      </c>
      <c r="B2429" s="1" t="s">
        <v>4631</v>
      </c>
      <c r="C2429" s="1" t="s">
        <v>10239</v>
      </c>
      <c r="D2429" t="b">
        <f ca="1">IF(A2429="","",[1]!s_techanal_rcnthigh(B2429,$B$2,1,3))</f>
        <v>0</v>
      </c>
      <c r="E2429">
        <f ca="1">IF(A2429="","",COUNTIF(D$6:D2429,"True"))</f>
        <v>20</v>
      </c>
      <c r="F2429" t="str">
        <f t="shared" si="37"/>
        <v>300993.SZ</v>
      </c>
    </row>
    <row r="2430" spans="1:6" x14ac:dyDescent="0.15">
      <c r="A2430" s="2">
        <v>46089</v>
      </c>
      <c r="B2430" s="1" t="s">
        <v>4632</v>
      </c>
      <c r="C2430" s="1" t="s">
        <v>4633</v>
      </c>
      <c r="D2430" t="b">
        <f ca="1">IF(A2430="","",[1]!s_techanal_rcnthigh(B2430,$B$2,1,3))</f>
        <v>0</v>
      </c>
      <c r="E2430">
        <f ca="1">IF(A2430="","",COUNTIF(D$6:D2430,"True"))</f>
        <v>20</v>
      </c>
      <c r="F2430" t="str">
        <f t="shared" si="37"/>
        <v>300994.SZ</v>
      </c>
    </row>
    <row r="2431" spans="1:6" x14ac:dyDescent="0.15">
      <c r="A2431" s="2">
        <v>46089</v>
      </c>
      <c r="B2431" s="1" t="s">
        <v>4634</v>
      </c>
      <c r="C2431" s="1" t="s">
        <v>4635</v>
      </c>
      <c r="D2431" t="b">
        <f ca="1">IF(A2431="","",[1]!s_techanal_rcnthigh(B2431,$B$2,1,3))</f>
        <v>0</v>
      </c>
      <c r="E2431">
        <f ca="1">IF(A2431="","",COUNTIF(D$6:D2431,"True"))</f>
        <v>20</v>
      </c>
      <c r="F2431" t="str">
        <f t="shared" si="37"/>
        <v>300995.SZ</v>
      </c>
    </row>
    <row r="2432" spans="1:6" x14ac:dyDescent="0.15">
      <c r="A2432" s="2">
        <v>46089</v>
      </c>
      <c r="B2432" s="1" t="s">
        <v>4636</v>
      </c>
      <c r="C2432" s="1" t="s">
        <v>4637</v>
      </c>
      <c r="D2432" t="b">
        <f ca="1">IF(A2432="","",[1]!s_techanal_rcnthigh(B2432,$B$2,1,3))</f>
        <v>0</v>
      </c>
      <c r="E2432">
        <f ca="1">IF(A2432="","",COUNTIF(D$6:D2432,"True"))</f>
        <v>20</v>
      </c>
      <c r="F2432" t="str">
        <f t="shared" si="37"/>
        <v>300996.SZ</v>
      </c>
    </row>
    <row r="2433" spans="1:6" x14ac:dyDescent="0.15">
      <c r="A2433" s="2">
        <v>46089</v>
      </c>
      <c r="B2433" s="1" t="s">
        <v>4638</v>
      </c>
      <c r="C2433" s="1" t="s">
        <v>4639</v>
      </c>
      <c r="D2433" t="b">
        <f ca="1">IF(A2433="","",[1]!s_techanal_rcnthigh(B2433,$B$2,1,3))</f>
        <v>0</v>
      </c>
      <c r="E2433">
        <f ca="1">IF(A2433="","",COUNTIF(D$6:D2433,"True"))</f>
        <v>20</v>
      </c>
      <c r="F2433" t="str">
        <f t="shared" si="37"/>
        <v>300997.SZ</v>
      </c>
    </row>
    <row r="2434" spans="1:6" x14ac:dyDescent="0.15">
      <c r="A2434" s="2">
        <v>46089</v>
      </c>
      <c r="B2434" s="1" t="s">
        <v>4640</v>
      </c>
      <c r="C2434" s="1" t="s">
        <v>4641</v>
      </c>
      <c r="D2434" t="b">
        <f ca="1">IF(A2434="","",[1]!s_techanal_rcnthigh(B2434,$B$2,1,3))</f>
        <v>0</v>
      </c>
      <c r="E2434">
        <f ca="1">IF(A2434="","",COUNTIF(D$6:D2434,"True"))</f>
        <v>20</v>
      </c>
      <c r="F2434" t="str">
        <f t="shared" si="37"/>
        <v>300998.SZ</v>
      </c>
    </row>
    <row r="2435" spans="1:6" x14ac:dyDescent="0.15">
      <c r="A2435" s="2">
        <v>46089</v>
      </c>
      <c r="B2435" s="1" t="s">
        <v>4642</v>
      </c>
      <c r="C2435" s="1" t="s">
        <v>4643</v>
      </c>
      <c r="D2435" t="b">
        <f ca="1">IF(A2435="","",[1]!s_techanal_rcnthigh(B2435,$B$2,1,3))</f>
        <v>0</v>
      </c>
      <c r="E2435">
        <f ca="1">IF(A2435="","",COUNTIF(D$6:D2435,"True"))</f>
        <v>20</v>
      </c>
      <c r="F2435" t="str">
        <f t="shared" si="37"/>
        <v>300999.SZ</v>
      </c>
    </row>
    <row r="2436" spans="1:6" x14ac:dyDescent="0.15">
      <c r="A2436" s="2">
        <v>46089</v>
      </c>
      <c r="B2436" s="1" t="s">
        <v>4644</v>
      </c>
      <c r="C2436" s="1" t="s">
        <v>4645</v>
      </c>
      <c r="D2436" t="b">
        <f ca="1">IF(A2436="","",[1]!s_techanal_rcnthigh(B2436,$B$2,1,3))</f>
        <v>0</v>
      </c>
      <c r="E2436">
        <f ca="1">IF(A2436="","",COUNTIF(D$6:D2436,"True"))</f>
        <v>20</v>
      </c>
      <c r="F2436" t="str">
        <f t="shared" si="37"/>
        <v>301000.SZ</v>
      </c>
    </row>
    <row r="2437" spans="1:6" x14ac:dyDescent="0.15">
      <c r="A2437" s="2">
        <v>46089</v>
      </c>
      <c r="B2437" s="1" t="s">
        <v>4646</v>
      </c>
      <c r="C2437" s="1" t="s">
        <v>4647</v>
      </c>
      <c r="D2437" t="b">
        <f ca="1">IF(A2437="","",[1]!s_techanal_rcnthigh(B2437,$B$2,1,3))</f>
        <v>0</v>
      </c>
      <c r="E2437">
        <f ca="1">IF(A2437="","",COUNTIF(D$6:D2437,"True"))</f>
        <v>20</v>
      </c>
      <c r="F2437" t="str">
        <f t="shared" si="37"/>
        <v>301001.SZ</v>
      </c>
    </row>
    <row r="2438" spans="1:6" x14ac:dyDescent="0.15">
      <c r="A2438" s="2">
        <v>46089</v>
      </c>
      <c r="B2438" s="1" t="s">
        <v>4648</v>
      </c>
      <c r="C2438" s="1" t="s">
        <v>4649</v>
      </c>
      <c r="D2438" t="b">
        <f ca="1">IF(A2438="","",[1]!s_techanal_rcnthigh(B2438,$B$2,1,3))</f>
        <v>0</v>
      </c>
      <c r="E2438">
        <f ca="1">IF(A2438="","",COUNTIF(D$6:D2438,"True"))</f>
        <v>20</v>
      </c>
      <c r="F2438" t="str">
        <f t="shared" ref="F2438:F2501" si="38">IF(B2438="","",B2438)</f>
        <v>301002.SZ</v>
      </c>
    </row>
    <row r="2439" spans="1:6" x14ac:dyDescent="0.15">
      <c r="A2439" s="2">
        <v>46089</v>
      </c>
      <c r="B2439" s="1" t="s">
        <v>4650</v>
      </c>
      <c r="C2439" s="1" t="s">
        <v>4651</v>
      </c>
      <c r="D2439" t="b">
        <f ca="1">IF(A2439="","",[1]!s_techanal_rcnthigh(B2439,$B$2,1,3))</f>
        <v>0</v>
      </c>
      <c r="E2439">
        <f ca="1">IF(A2439="","",COUNTIF(D$6:D2439,"True"))</f>
        <v>20</v>
      </c>
      <c r="F2439" t="str">
        <f t="shared" si="38"/>
        <v>301003.SZ</v>
      </c>
    </row>
    <row r="2440" spans="1:6" x14ac:dyDescent="0.15">
      <c r="A2440" s="2">
        <v>46089</v>
      </c>
      <c r="B2440" s="1" t="s">
        <v>4652</v>
      </c>
      <c r="C2440" s="1" t="s">
        <v>4653</v>
      </c>
      <c r="D2440" t="b">
        <f ca="1">IF(A2440="","",[1]!s_techanal_rcnthigh(B2440,$B$2,1,3))</f>
        <v>0</v>
      </c>
      <c r="E2440">
        <f ca="1">IF(A2440="","",COUNTIF(D$6:D2440,"True"))</f>
        <v>20</v>
      </c>
      <c r="F2440" t="str">
        <f t="shared" si="38"/>
        <v>301004.SZ</v>
      </c>
    </row>
    <row r="2441" spans="1:6" x14ac:dyDescent="0.15">
      <c r="A2441" s="2">
        <v>46089</v>
      </c>
      <c r="B2441" s="1" t="s">
        <v>4654</v>
      </c>
      <c r="C2441" s="1" t="s">
        <v>4655</v>
      </c>
      <c r="D2441" t="b">
        <f ca="1">IF(A2441="","",[1]!s_techanal_rcnthigh(B2441,$B$2,1,3))</f>
        <v>0</v>
      </c>
      <c r="E2441">
        <f ca="1">IF(A2441="","",COUNTIF(D$6:D2441,"True"))</f>
        <v>20</v>
      </c>
      <c r="F2441" t="str">
        <f t="shared" si="38"/>
        <v>301005.SZ</v>
      </c>
    </row>
    <row r="2442" spans="1:6" x14ac:dyDescent="0.15">
      <c r="A2442" s="2">
        <v>46089</v>
      </c>
      <c r="B2442" s="1" t="s">
        <v>4656</v>
      </c>
      <c r="C2442" s="1" t="s">
        <v>4657</v>
      </c>
      <c r="D2442" t="b">
        <f ca="1">IF(A2442="","",[1]!s_techanal_rcnthigh(B2442,$B$2,1,3))</f>
        <v>0</v>
      </c>
      <c r="E2442">
        <f ca="1">IF(A2442="","",COUNTIF(D$6:D2442,"True"))</f>
        <v>20</v>
      </c>
      <c r="F2442" t="str">
        <f t="shared" si="38"/>
        <v>301006.SZ</v>
      </c>
    </row>
    <row r="2443" spans="1:6" x14ac:dyDescent="0.15">
      <c r="A2443" s="2">
        <v>46089</v>
      </c>
      <c r="B2443" s="1" t="s">
        <v>4658</v>
      </c>
      <c r="C2443" s="1" t="s">
        <v>4659</v>
      </c>
      <c r="D2443" t="b">
        <f ca="1">IF(A2443="","",[1]!s_techanal_rcnthigh(B2443,$B$2,1,3))</f>
        <v>0</v>
      </c>
      <c r="E2443">
        <f ca="1">IF(A2443="","",COUNTIF(D$6:D2443,"True"))</f>
        <v>20</v>
      </c>
      <c r="F2443" t="str">
        <f t="shared" si="38"/>
        <v>301007.SZ</v>
      </c>
    </row>
    <row r="2444" spans="1:6" x14ac:dyDescent="0.15">
      <c r="A2444" s="2">
        <v>46089</v>
      </c>
      <c r="B2444" s="1" t="s">
        <v>4660</v>
      </c>
      <c r="C2444" s="1" t="s">
        <v>4661</v>
      </c>
      <c r="D2444" t="b">
        <f ca="1">IF(A2444="","",[1]!s_techanal_rcnthigh(B2444,$B$2,1,3))</f>
        <v>0</v>
      </c>
      <c r="E2444">
        <f ca="1">IF(A2444="","",COUNTIF(D$6:D2444,"True"))</f>
        <v>20</v>
      </c>
      <c r="F2444" t="str">
        <f t="shared" si="38"/>
        <v>301008.SZ</v>
      </c>
    </row>
    <row r="2445" spans="1:6" x14ac:dyDescent="0.15">
      <c r="A2445" s="2">
        <v>46089</v>
      </c>
      <c r="B2445" s="1" t="s">
        <v>4662</v>
      </c>
      <c r="C2445" s="1" t="s">
        <v>4663</v>
      </c>
      <c r="D2445" t="b">
        <f ca="1">IF(A2445="","",[1]!s_techanal_rcnthigh(B2445,$B$2,1,3))</f>
        <v>0</v>
      </c>
      <c r="E2445">
        <f ca="1">IF(A2445="","",COUNTIF(D$6:D2445,"True"))</f>
        <v>20</v>
      </c>
      <c r="F2445" t="str">
        <f t="shared" si="38"/>
        <v>301009.SZ</v>
      </c>
    </row>
    <row r="2446" spans="1:6" x14ac:dyDescent="0.15">
      <c r="A2446" s="2">
        <v>46089</v>
      </c>
      <c r="B2446" s="1" t="s">
        <v>4664</v>
      </c>
      <c r="C2446" s="1" t="s">
        <v>4665</v>
      </c>
      <c r="D2446" t="b">
        <f ca="1">IF(A2446="","",[1]!s_techanal_rcnthigh(B2446,$B$2,1,3))</f>
        <v>0</v>
      </c>
      <c r="E2446">
        <f ca="1">IF(A2446="","",COUNTIF(D$6:D2446,"True"))</f>
        <v>20</v>
      </c>
      <c r="F2446" t="str">
        <f t="shared" si="38"/>
        <v>301010.SZ</v>
      </c>
    </row>
    <row r="2447" spans="1:6" x14ac:dyDescent="0.15">
      <c r="A2447" s="2">
        <v>46089</v>
      </c>
      <c r="B2447" s="1" t="s">
        <v>4666</v>
      </c>
      <c r="C2447" s="1" t="s">
        <v>4667</v>
      </c>
      <c r="D2447" t="b">
        <f ca="1">IF(A2447="","",[1]!s_techanal_rcnthigh(B2447,$B$2,1,3))</f>
        <v>0</v>
      </c>
      <c r="E2447">
        <f ca="1">IF(A2447="","",COUNTIF(D$6:D2447,"True"))</f>
        <v>20</v>
      </c>
      <c r="F2447" t="str">
        <f t="shared" si="38"/>
        <v>301011.SZ</v>
      </c>
    </row>
    <row r="2448" spans="1:6" x14ac:dyDescent="0.15">
      <c r="A2448" s="2">
        <v>46089</v>
      </c>
      <c r="B2448" s="1" t="s">
        <v>4668</v>
      </c>
      <c r="C2448" s="1" t="s">
        <v>4669</v>
      </c>
      <c r="D2448" t="b">
        <f ca="1">IF(A2448="","",[1]!s_techanal_rcnthigh(B2448,$B$2,1,3))</f>
        <v>0</v>
      </c>
      <c r="E2448">
        <f ca="1">IF(A2448="","",COUNTIF(D$6:D2448,"True"))</f>
        <v>20</v>
      </c>
      <c r="F2448" t="str">
        <f t="shared" si="38"/>
        <v>301012.SZ</v>
      </c>
    </row>
    <row r="2449" spans="1:6" x14ac:dyDescent="0.15">
      <c r="A2449" s="2">
        <v>46089</v>
      </c>
      <c r="B2449" s="1" t="s">
        <v>4670</v>
      </c>
      <c r="C2449" s="1" t="s">
        <v>4671</v>
      </c>
      <c r="D2449" t="b">
        <f ca="1">IF(A2449="","",[1]!s_techanal_rcnthigh(B2449,$B$2,1,3))</f>
        <v>0</v>
      </c>
      <c r="E2449">
        <f ca="1">IF(A2449="","",COUNTIF(D$6:D2449,"True"))</f>
        <v>20</v>
      </c>
      <c r="F2449" t="str">
        <f t="shared" si="38"/>
        <v>301013.SZ</v>
      </c>
    </row>
    <row r="2450" spans="1:6" x14ac:dyDescent="0.15">
      <c r="A2450" s="2">
        <v>46089</v>
      </c>
      <c r="B2450" s="1" t="s">
        <v>4672</v>
      </c>
      <c r="C2450" s="1" t="s">
        <v>4673</v>
      </c>
      <c r="D2450" t="b">
        <f ca="1">IF(A2450="","",[1]!s_techanal_rcnthigh(B2450,$B$2,1,3))</f>
        <v>0</v>
      </c>
      <c r="E2450">
        <f ca="1">IF(A2450="","",COUNTIF(D$6:D2450,"True"))</f>
        <v>20</v>
      </c>
      <c r="F2450" t="str">
        <f t="shared" si="38"/>
        <v>301015.SZ</v>
      </c>
    </row>
    <row r="2451" spans="1:6" x14ac:dyDescent="0.15">
      <c r="A2451" s="2">
        <v>46089</v>
      </c>
      <c r="B2451" s="1" t="s">
        <v>4674</v>
      </c>
      <c r="C2451" s="1" t="s">
        <v>4675</v>
      </c>
      <c r="D2451" t="b">
        <f ca="1">IF(A2451="","",[1]!s_techanal_rcnthigh(B2451,$B$2,1,3))</f>
        <v>0</v>
      </c>
      <c r="E2451">
        <f ca="1">IF(A2451="","",COUNTIF(D$6:D2451,"True"))</f>
        <v>20</v>
      </c>
      <c r="F2451" t="str">
        <f t="shared" si="38"/>
        <v>301016.SZ</v>
      </c>
    </row>
    <row r="2452" spans="1:6" x14ac:dyDescent="0.15">
      <c r="A2452" s="2">
        <v>46089</v>
      </c>
      <c r="B2452" s="1" t="s">
        <v>4676</v>
      </c>
      <c r="C2452" s="1" t="s">
        <v>4677</v>
      </c>
      <c r="D2452" t="b">
        <f ca="1">IF(A2452="","",[1]!s_techanal_rcnthigh(B2452,$B$2,1,3))</f>
        <v>0</v>
      </c>
      <c r="E2452">
        <f ca="1">IF(A2452="","",COUNTIF(D$6:D2452,"True"))</f>
        <v>20</v>
      </c>
      <c r="F2452" t="str">
        <f t="shared" si="38"/>
        <v>301017.SZ</v>
      </c>
    </row>
    <row r="2453" spans="1:6" x14ac:dyDescent="0.15">
      <c r="A2453" s="2">
        <v>46089</v>
      </c>
      <c r="B2453" s="1" t="s">
        <v>4678</v>
      </c>
      <c r="C2453" s="1" t="s">
        <v>4679</v>
      </c>
      <c r="D2453" t="b">
        <f ca="1">IF(A2453="","",[1]!s_techanal_rcnthigh(B2453,$B$2,1,3))</f>
        <v>0</v>
      </c>
      <c r="E2453">
        <f ca="1">IF(A2453="","",COUNTIF(D$6:D2453,"True"))</f>
        <v>20</v>
      </c>
      <c r="F2453" t="str">
        <f t="shared" si="38"/>
        <v>301018.SZ</v>
      </c>
    </row>
    <row r="2454" spans="1:6" x14ac:dyDescent="0.15">
      <c r="A2454" s="2">
        <v>46089</v>
      </c>
      <c r="B2454" s="1" t="s">
        <v>4680</v>
      </c>
      <c r="C2454" s="1" t="s">
        <v>4681</v>
      </c>
      <c r="D2454" t="b">
        <f ca="1">IF(A2454="","",[1]!s_techanal_rcnthigh(B2454,$B$2,1,3))</f>
        <v>0</v>
      </c>
      <c r="E2454">
        <f ca="1">IF(A2454="","",COUNTIF(D$6:D2454,"True"))</f>
        <v>20</v>
      </c>
      <c r="F2454" t="str">
        <f t="shared" si="38"/>
        <v>301019.SZ</v>
      </c>
    </row>
    <row r="2455" spans="1:6" x14ac:dyDescent="0.15">
      <c r="A2455" s="2">
        <v>46089</v>
      </c>
      <c r="B2455" s="1" t="s">
        <v>4682</v>
      </c>
      <c r="C2455" s="1" t="s">
        <v>4683</v>
      </c>
      <c r="D2455" t="b">
        <f ca="1">IF(A2455="","",[1]!s_techanal_rcnthigh(B2455,$B$2,1,3))</f>
        <v>0</v>
      </c>
      <c r="E2455">
        <f ca="1">IF(A2455="","",COUNTIF(D$6:D2455,"True"))</f>
        <v>20</v>
      </c>
      <c r="F2455" t="str">
        <f t="shared" si="38"/>
        <v>301020.SZ</v>
      </c>
    </row>
    <row r="2456" spans="1:6" x14ac:dyDescent="0.15">
      <c r="A2456" s="2">
        <v>46089</v>
      </c>
      <c r="B2456" s="1" t="s">
        <v>4684</v>
      </c>
      <c r="C2456" s="1" t="s">
        <v>4685</v>
      </c>
      <c r="D2456" t="b">
        <f ca="1">IF(A2456="","",[1]!s_techanal_rcnthigh(B2456,$B$2,1,3))</f>
        <v>1</v>
      </c>
      <c r="E2456">
        <f ca="1">IF(A2456="","",COUNTIF(D$6:D2456,"True"))</f>
        <v>21</v>
      </c>
      <c r="F2456" t="str">
        <f t="shared" si="38"/>
        <v>301021.SZ</v>
      </c>
    </row>
    <row r="2457" spans="1:6" x14ac:dyDescent="0.15">
      <c r="A2457" s="2">
        <v>46089</v>
      </c>
      <c r="B2457" s="1" t="s">
        <v>4686</v>
      </c>
      <c r="C2457" s="1" t="s">
        <v>4687</v>
      </c>
      <c r="D2457" t="b">
        <f ca="1">IF(A2457="","",[1]!s_techanal_rcnthigh(B2457,$B$2,1,3))</f>
        <v>0</v>
      </c>
      <c r="E2457">
        <f ca="1">IF(A2457="","",COUNTIF(D$6:D2457,"True"))</f>
        <v>21</v>
      </c>
      <c r="F2457" t="str">
        <f t="shared" si="38"/>
        <v>301022.SZ</v>
      </c>
    </row>
    <row r="2458" spans="1:6" x14ac:dyDescent="0.15">
      <c r="A2458" s="2">
        <v>46089</v>
      </c>
      <c r="B2458" s="1" t="s">
        <v>4688</v>
      </c>
      <c r="C2458" s="1" t="s">
        <v>10240</v>
      </c>
      <c r="D2458" t="b">
        <f ca="1">IF(A2458="","",[1]!s_techanal_rcnthigh(B2458,$B$2,1,3))</f>
        <v>0</v>
      </c>
      <c r="E2458">
        <f ca="1">IF(A2458="","",COUNTIF(D$6:D2458,"True"))</f>
        <v>21</v>
      </c>
      <c r="F2458" t="str">
        <f t="shared" si="38"/>
        <v>301023.SZ</v>
      </c>
    </row>
    <row r="2459" spans="1:6" x14ac:dyDescent="0.15">
      <c r="A2459" s="2">
        <v>46089</v>
      </c>
      <c r="B2459" s="1" t="s">
        <v>4689</v>
      </c>
      <c r="C2459" s="1" t="s">
        <v>4690</v>
      </c>
      <c r="D2459" t="b">
        <f ca="1">IF(A2459="","",[1]!s_techanal_rcnthigh(B2459,$B$2,1,3))</f>
        <v>0</v>
      </c>
      <c r="E2459">
        <f ca="1">IF(A2459="","",COUNTIF(D$6:D2459,"True"))</f>
        <v>21</v>
      </c>
      <c r="F2459" t="str">
        <f t="shared" si="38"/>
        <v>301024.SZ</v>
      </c>
    </row>
    <row r="2460" spans="1:6" x14ac:dyDescent="0.15">
      <c r="A2460" s="2">
        <v>46089</v>
      </c>
      <c r="B2460" s="1" t="s">
        <v>4691</v>
      </c>
      <c r="C2460" s="1" t="s">
        <v>4692</v>
      </c>
      <c r="D2460" t="b">
        <f ca="1">IF(A2460="","",[1]!s_techanal_rcnthigh(B2460,$B$2,1,3))</f>
        <v>0</v>
      </c>
      <c r="E2460">
        <f ca="1">IF(A2460="","",COUNTIF(D$6:D2460,"True"))</f>
        <v>21</v>
      </c>
      <c r="F2460" t="str">
        <f t="shared" si="38"/>
        <v>301025.SZ</v>
      </c>
    </row>
    <row r="2461" spans="1:6" x14ac:dyDescent="0.15">
      <c r="A2461" s="2">
        <v>46089</v>
      </c>
      <c r="B2461" s="1" t="s">
        <v>4693</v>
      </c>
      <c r="C2461" s="1" t="s">
        <v>4694</v>
      </c>
      <c r="D2461" t="b">
        <f ca="1">IF(A2461="","",[1]!s_techanal_rcnthigh(B2461,$B$2,1,3))</f>
        <v>0</v>
      </c>
      <c r="E2461">
        <f ca="1">IF(A2461="","",COUNTIF(D$6:D2461,"True"))</f>
        <v>21</v>
      </c>
      <c r="F2461" t="str">
        <f t="shared" si="38"/>
        <v>301026.SZ</v>
      </c>
    </row>
    <row r="2462" spans="1:6" x14ac:dyDescent="0.15">
      <c r="A2462" s="2">
        <v>46089</v>
      </c>
      <c r="B2462" s="1" t="s">
        <v>4695</v>
      </c>
      <c r="C2462" s="1" t="s">
        <v>4696</v>
      </c>
      <c r="D2462" t="b">
        <f ca="1">IF(A2462="","",[1]!s_techanal_rcnthigh(B2462,$B$2,1,3))</f>
        <v>0</v>
      </c>
      <c r="E2462">
        <f ca="1">IF(A2462="","",COUNTIF(D$6:D2462,"True"))</f>
        <v>21</v>
      </c>
      <c r="F2462" t="str">
        <f t="shared" si="38"/>
        <v>301027.SZ</v>
      </c>
    </row>
    <row r="2463" spans="1:6" x14ac:dyDescent="0.15">
      <c r="A2463" s="2">
        <v>46089</v>
      </c>
      <c r="B2463" s="1" t="s">
        <v>4697</v>
      </c>
      <c r="C2463" s="1" t="s">
        <v>10241</v>
      </c>
      <c r="D2463" t="b">
        <f ca="1">IF(A2463="","",[1]!s_techanal_rcnthigh(B2463,$B$2,1,3))</f>
        <v>0</v>
      </c>
      <c r="E2463">
        <f ca="1">IF(A2463="","",COUNTIF(D$6:D2463,"True"))</f>
        <v>21</v>
      </c>
      <c r="F2463" t="str">
        <f t="shared" si="38"/>
        <v>301028.SZ</v>
      </c>
    </row>
    <row r="2464" spans="1:6" x14ac:dyDescent="0.15">
      <c r="A2464" s="2">
        <v>46089</v>
      </c>
      <c r="B2464" s="1" t="s">
        <v>4698</v>
      </c>
      <c r="C2464" s="1" t="s">
        <v>4699</v>
      </c>
      <c r="D2464" t="b">
        <f ca="1">IF(A2464="","",[1]!s_techanal_rcnthigh(B2464,$B$2,1,3))</f>
        <v>0</v>
      </c>
      <c r="E2464">
        <f ca="1">IF(A2464="","",COUNTIF(D$6:D2464,"True"))</f>
        <v>21</v>
      </c>
      <c r="F2464" t="str">
        <f t="shared" si="38"/>
        <v>301029.SZ</v>
      </c>
    </row>
    <row r="2465" spans="1:6" x14ac:dyDescent="0.15">
      <c r="A2465" s="2">
        <v>46089</v>
      </c>
      <c r="B2465" s="1" t="s">
        <v>4700</v>
      </c>
      <c r="C2465" s="1" t="s">
        <v>4701</v>
      </c>
      <c r="D2465" t="b">
        <f ca="1">IF(A2465="","",[1]!s_techanal_rcnthigh(B2465,$B$2,1,3))</f>
        <v>0</v>
      </c>
      <c r="E2465">
        <f ca="1">IF(A2465="","",COUNTIF(D$6:D2465,"True"))</f>
        <v>21</v>
      </c>
      <c r="F2465" t="str">
        <f t="shared" si="38"/>
        <v>301030.SZ</v>
      </c>
    </row>
    <row r="2466" spans="1:6" x14ac:dyDescent="0.15">
      <c r="A2466" s="2">
        <v>46089</v>
      </c>
      <c r="B2466" s="1" t="s">
        <v>4702</v>
      </c>
      <c r="C2466" s="1" t="s">
        <v>4703</v>
      </c>
      <c r="D2466" t="b">
        <f ca="1">IF(A2466="","",[1]!s_techanal_rcnthigh(B2466,$B$2,1,3))</f>
        <v>0</v>
      </c>
      <c r="E2466">
        <f ca="1">IF(A2466="","",COUNTIF(D$6:D2466,"True"))</f>
        <v>21</v>
      </c>
      <c r="F2466" t="str">
        <f t="shared" si="38"/>
        <v>301031.SZ</v>
      </c>
    </row>
    <row r="2467" spans="1:6" x14ac:dyDescent="0.15">
      <c r="A2467" s="2">
        <v>46089</v>
      </c>
      <c r="B2467" s="1" t="s">
        <v>4704</v>
      </c>
      <c r="C2467" s="1" t="s">
        <v>4705</v>
      </c>
      <c r="D2467" t="b">
        <f ca="1">IF(A2467="","",[1]!s_techanal_rcnthigh(B2467,$B$2,1,3))</f>
        <v>0</v>
      </c>
      <c r="E2467">
        <f ca="1">IF(A2467="","",COUNTIF(D$6:D2467,"True"))</f>
        <v>21</v>
      </c>
      <c r="F2467" t="str">
        <f t="shared" si="38"/>
        <v>301032.SZ</v>
      </c>
    </row>
    <row r="2468" spans="1:6" x14ac:dyDescent="0.15">
      <c r="A2468" s="2">
        <v>46089</v>
      </c>
      <c r="B2468" s="1" t="s">
        <v>4706</v>
      </c>
      <c r="C2468" s="1" t="s">
        <v>4707</v>
      </c>
      <c r="D2468" t="b">
        <f ca="1">IF(A2468="","",[1]!s_techanal_rcnthigh(B2468,$B$2,1,3))</f>
        <v>0</v>
      </c>
      <c r="E2468">
        <f ca="1">IF(A2468="","",COUNTIF(D$6:D2468,"True"))</f>
        <v>21</v>
      </c>
      <c r="F2468" t="str">
        <f t="shared" si="38"/>
        <v>301033.SZ</v>
      </c>
    </row>
    <row r="2469" spans="1:6" x14ac:dyDescent="0.15">
      <c r="A2469" s="2">
        <v>46089</v>
      </c>
      <c r="B2469" s="1" t="s">
        <v>4708</v>
      </c>
      <c r="C2469" s="1" t="s">
        <v>4709</v>
      </c>
      <c r="D2469" t="b">
        <f ca="1">IF(A2469="","",[1]!s_techanal_rcnthigh(B2469,$B$2,1,3))</f>
        <v>0</v>
      </c>
      <c r="E2469">
        <f ca="1">IF(A2469="","",COUNTIF(D$6:D2469,"True"))</f>
        <v>21</v>
      </c>
      <c r="F2469" t="str">
        <f t="shared" si="38"/>
        <v>301035.SZ</v>
      </c>
    </row>
    <row r="2470" spans="1:6" x14ac:dyDescent="0.15">
      <c r="A2470" s="2">
        <v>46089</v>
      </c>
      <c r="B2470" s="1" t="s">
        <v>4710</v>
      </c>
      <c r="C2470" s="1" t="s">
        <v>4711</v>
      </c>
      <c r="D2470" t="b">
        <f ca="1">IF(A2470="","",[1]!s_techanal_rcnthigh(B2470,$B$2,1,3))</f>
        <v>0</v>
      </c>
      <c r="E2470">
        <f ca="1">IF(A2470="","",COUNTIF(D$6:D2470,"True"))</f>
        <v>21</v>
      </c>
      <c r="F2470" t="str">
        <f t="shared" si="38"/>
        <v>301036.SZ</v>
      </c>
    </row>
    <row r="2471" spans="1:6" x14ac:dyDescent="0.15">
      <c r="A2471" s="2">
        <v>46089</v>
      </c>
      <c r="B2471" s="1" t="s">
        <v>4712</v>
      </c>
      <c r="C2471" s="1" t="s">
        <v>4713</v>
      </c>
      <c r="D2471" t="b">
        <f ca="1">IF(A2471="","",[1]!s_techanal_rcnthigh(B2471,$B$2,1,3))</f>
        <v>0</v>
      </c>
      <c r="E2471">
        <f ca="1">IF(A2471="","",COUNTIF(D$6:D2471,"True"))</f>
        <v>21</v>
      </c>
      <c r="F2471" t="str">
        <f t="shared" si="38"/>
        <v>301037.SZ</v>
      </c>
    </row>
    <row r="2472" spans="1:6" x14ac:dyDescent="0.15">
      <c r="A2472" s="2">
        <v>46089</v>
      </c>
      <c r="B2472" s="1" t="s">
        <v>4714</v>
      </c>
      <c r="C2472" s="1" t="s">
        <v>4715</v>
      </c>
      <c r="D2472" t="b">
        <f ca="1">IF(A2472="","",[1]!s_techanal_rcnthigh(B2472,$B$2,1,3))</f>
        <v>0</v>
      </c>
      <c r="E2472">
        <f ca="1">IF(A2472="","",COUNTIF(D$6:D2472,"True"))</f>
        <v>21</v>
      </c>
      <c r="F2472" t="str">
        <f t="shared" si="38"/>
        <v>301038.SZ</v>
      </c>
    </row>
    <row r="2473" spans="1:6" x14ac:dyDescent="0.15">
      <c r="A2473" s="2">
        <v>46089</v>
      </c>
      <c r="B2473" s="1" t="s">
        <v>4716</v>
      </c>
      <c r="C2473" s="1" t="s">
        <v>4717</v>
      </c>
      <c r="D2473" t="b">
        <f ca="1">IF(A2473="","",[1]!s_techanal_rcnthigh(B2473,$B$2,1,3))</f>
        <v>0</v>
      </c>
      <c r="E2473">
        <f ca="1">IF(A2473="","",COUNTIF(D$6:D2473,"True"))</f>
        <v>21</v>
      </c>
      <c r="F2473" t="str">
        <f t="shared" si="38"/>
        <v>301039.SZ</v>
      </c>
    </row>
    <row r="2474" spans="1:6" x14ac:dyDescent="0.15">
      <c r="A2474" s="2">
        <v>46089</v>
      </c>
      <c r="B2474" s="1" t="s">
        <v>4718</v>
      </c>
      <c r="C2474" s="1" t="s">
        <v>4719</v>
      </c>
      <c r="D2474" t="b">
        <f ca="1">IF(A2474="","",[1]!s_techanal_rcnthigh(B2474,$B$2,1,3))</f>
        <v>0</v>
      </c>
      <c r="E2474">
        <f ca="1">IF(A2474="","",COUNTIF(D$6:D2474,"True"))</f>
        <v>21</v>
      </c>
      <c r="F2474" t="str">
        <f t="shared" si="38"/>
        <v>301040.SZ</v>
      </c>
    </row>
    <row r="2475" spans="1:6" x14ac:dyDescent="0.15">
      <c r="A2475" s="2">
        <v>46089</v>
      </c>
      <c r="B2475" s="1" t="s">
        <v>4720</v>
      </c>
      <c r="C2475" s="1" t="s">
        <v>4721</v>
      </c>
      <c r="D2475" t="b">
        <f ca="1">IF(A2475="","",[1]!s_techanal_rcnthigh(B2475,$B$2,1,3))</f>
        <v>0</v>
      </c>
      <c r="E2475">
        <f ca="1">IF(A2475="","",COUNTIF(D$6:D2475,"True"))</f>
        <v>21</v>
      </c>
      <c r="F2475" t="str">
        <f t="shared" si="38"/>
        <v>301041.SZ</v>
      </c>
    </row>
    <row r="2476" spans="1:6" x14ac:dyDescent="0.15">
      <c r="A2476" s="2">
        <v>46089</v>
      </c>
      <c r="B2476" s="1" t="s">
        <v>4722</v>
      </c>
      <c r="C2476" s="1" t="s">
        <v>4723</v>
      </c>
      <c r="D2476" t="b">
        <f ca="1">IF(A2476="","",[1]!s_techanal_rcnthigh(B2476,$B$2,1,3))</f>
        <v>0</v>
      </c>
      <c r="E2476">
        <f ca="1">IF(A2476="","",COUNTIF(D$6:D2476,"True"))</f>
        <v>21</v>
      </c>
      <c r="F2476" t="str">
        <f t="shared" si="38"/>
        <v>301042.SZ</v>
      </c>
    </row>
    <row r="2477" spans="1:6" x14ac:dyDescent="0.15">
      <c r="A2477" s="2">
        <v>46089</v>
      </c>
      <c r="B2477" s="1" t="s">
        <v>4724</v>
      </c>
      <c r="C2477" s="1" t="s">
        <v>4725</v>
      </c>
      <c r="D2477" t="b">
        <f ca="1">IF(A2477="","",[1]!s_techanal_rcnthigh(B2477,$B$2,1,3))</f>
        <v>0</v>
      </c>
      <c r="E2477">
        <f ca="1">IF(A2477="","",COUNTIF(D$6:D2477,"True"))</f>
        <v>21</v>
      </c>
      <c r="F2477" t="str">
        <f t="shared" si="38"/>
        <v>301043.SZ</v>
      </c>
    </row>
    <row r="2478" spans="1:6" x14ac:dyDescent="0.15">
      <c r="A2478" s="2">
        <v>46089</v>
      </c>
      <c r="B2478" s="1" t="s">
        <v>4726</v>
      </c>
      <c r="C2478" s="1" t="s">
        <v>4727</v>
      </c>
      <c r="D2478" t="b">
        <f ca="1">IF(A2478="","",[1]!s_techanal_rcnthigh(B2478,$B$2,1,3))</f>
        <v>0</v>
      </c>
      <c r="E2478">
        <f ca="1">IF(A2478="","",COUNTIF(D$6:D2478,"True"))</f>
        <v>21</v>
      </c>
      <c r="F2478" t="str">
        <f t="shared" si="38"/>
        <v>301045.SZ</v>
      </c>
    </row>
    <row r="2479" spans="1:6" x14ac:dyDescent="0.15">
      <c r="A2479" s="2">
        <v>46089</v>
      </c>
      <c r="B2479" s="1" t="s">
        <v>4728</v>
      </c>
      <c r="C2479" s="1" t="s">
        <v>4729</v>
      </c>
      <c r="D2479" t="b">
        <f ca="1">IF(A2479="","",[1]!s_techanal_rcnthigh(B2479,$B$2,1,3))</f>
        <v>0</v>
      </c>
      <c r="E2479">
        <f ca="1">IF(A2479="","",COUNTIF(D$6:D2479,"True"))</f>
        <v>21</v>
      </c>
      <c r="F2479" t="str">
        <f t="shared" si="38"/>
        <v>301046.SZ</v>
      </c>
    </row>
    <row r="2480" spans="1:6" x14ac:dyDescent="0.15">
      <c r="A2480" s="2">
        <v>46089</v>
      </c>
      <c r="B2480" s="1" t="s">
        <v>4730</v>
      </c>
      <c r="C2480" s="1" t="s">
        <v>4731</v>
      </c>
      <c r="D2480" t="b">
        <f ca="1">IF(A2480="","",[1]!s_techanal_rcnthigh(B2480,$B$2,1,3))</f>
        <v>0</v>
      </c>
      <c r="E2480">
        <f ca="1">IF(A2480="","",COUNTIF(D$6:D2480,"True"))</f>
        <v>21</v>
      </c>
      <c r="F2480" t="str">
        <f t="shared" si="38"/>
        <v>301047.SZ</v>
      </c>
    </row>
    <row r="2481" spans="1:6" x14ac:dyDescent="0.15">
      <c r="A2481" s="2">
        <v>46089</v>
      </c>
      <c r="B2481" s="1" t="s">
        <v>4732</v>
      </c>
      <c r="C2481" s="1" t="s">
        <v>4733</v>
      </c>
      <c r="D2481" t="b">
        <f ca="1">IF(A2481="","",[1]!s_techanal_rcnthigh(B2481,$B$2,1,3))</f>
        <v>0</v>
      </c>
      <c r="E2481">
        <f ca="1">IF(A2481="","",COUNTIF(D$6:D2481,"True"))</f>
        <v>21</v>
      </c>
      <c r="F2481" t="str">
        <f t="shared" si="38"/>
        <v>301048.SZ</v>
      </c>
    </row>
    <row r="2482" spans="1:6" x14ac:dyDescent="0.15">
      <c r="A2482" s="2">
        <v>46089</v>
      </c>
      <c r="B2482" s="1" t="s">
        <v>4734</v>
      </c>
      <c r="C2482" s="1" t="s">
        <v>4735</v>
      </c>
      <c r="D2482" t="b">
        <f ca="1">IF(A2482="","",[1]!s_techanal_rcnthigh(B2482,$B$2,1,3))</f>
        <v>0</v>
      </c>
      <c r="E2482">
        <f ca="1">IF(A2482="","",COUNTIF(D$6:D2482,"True"))</f>
        <v>21</v>
      </c>
      <c r="F2482" t="str">
        <f t="shared" si="38"/>
        <v>301049.SZ</v>
      </c>
    </row>
    <row r="2483" spans="1:6" x14ac:dyDescent="0.15">
      <c r="A2483" s="2">
        <v>46089</v>
      </c>
      <c r="B2483" s="1" t="s">
        <v>4736</v>
      </c>
      <c r="C2483" s="1" t="s">
        <v>4737</v>
      </c>
      <c r="D2483" t="b">
        <f ca="1">IF(A2483="","",[1]!s_techanal_rcnthigh(B2483,$B$2,1,3))</f>
        <v>0</v>
      </c>
      <c r="E2483">
        <f ca="1">IF(A2483="","",COUNTIF(D$6:D2483,"True"))</f>
        <v>21</v>
      </c>
      <c r="F2483" t="str">
        <f t="shared" si="38"/>
        <v>301050.SZ</v>
      </c>
    </row>
    <row r="2484" spans="1:6" x14ac:dyDescent="0.15">
      <c r="A2484" s="2">
        <v>46089</v>
      </c>
      <c r="B2484" s="1" t="s">
        <v>4738</v>
      </c>
      <c r="C2484" s="1" t="s">
        <v>4739</v>
      </c>
      <c r="D2484" t="b">
        <f ca="1">IF(A2484="","",[1]!s_techanal_rcnthigh(B2484,$B$2,1,3))</f>
        <v>0</v>
      </c>
      <c r="E2484">
        <f ca="1">IF(A2484="","",COUNTIF(D$6:D2484,"True"))</f>
        <v>21</v>
      </c>
      <c r="F2484" t="str">
        <f t="shared" si="38"/>
        <v>301051.SZ</v>
      </c>
    </row>
    <row r="2485" spans="1:6" x14ac:dyDescent="0.15">
      <c r="A2485" s="2">
        <v>46089</v>
      </c>
      <c r="B2485" s="1" t="s">
        <v>4740</v>
      </c>
      <c r="C2485" s="1" t="s">
        <v>4741</v>
      </c>
      <c r="D2485" t="b">
        <f ca="1">IF(A2485="","",[1]!s_techanal_rcnthigh(B2485,$B$2,1,3))</f>
        <v>0</v>
      </c>
      <c r="E2485">
        <f ca="1">IF(A2485="","",COUNTIF(D$6:D2485,"True"))</f>
        <v>21</v>
      </c>
      <c r="F2485" t="str">
        <f t="shared" si="38"/>
        <v>301052.SZ</v>
      </c>
    </row>
    <row r="2486" spans="1:6" x14ac:dyDescent="0.15">
      <c r="A2486" s="2">
        <v>46089</v>
      </c>
      <c r="B2486" s="1" t="s">
        <v>4742</v>
      </c>
      <c r="C2486" s="1" t="s">
        <v>4743</v>
      </c>
      <c r="D2486" t="b">
        <f ca="1">IF(A2486="","",[1]!s_techanal_rcnthigh(B2486,$B$2,1,3))</f>
        <v>0</v>
      </c>
      <c r="E2486">
        <f ca="1">IF(A2486="","",COUNTIF(D$6:D2486,"True"))</f>
        <v>21</v>
      </c>
      <c r="F2486" t="str">
        <f t="shared" si="38"/>
        <v>301053.SZ</v>
      </c>
    </row>
    <row r="2487" spans="1:6" x14ac:dyDescent="0.15">
      <c r="A2487" s="2">
        <v>46089</v>
      </c>
      <c r="B2487" s="1" t="s">
        <v>4744</v>
      </c>
      <c r="C2487" s="1" t="s">
        <v>4745</v>
      </c>
      <c r="D2487" t="b">
        <f ca="1">IF(A2487="","",[1]!s_techanal_rcnthigh(B2487,$B$2,1,3))</f>
        <v>0</v>
      </c>
      <c r="E2487">
        <f ca="1">IF(A2487="","",COUNTIF(D$6:D2487,"True"))</f>
        <v>21</v>
      </c>
      <c r="F2487" t="str">
        <f t="shared" si="38"/>
        <v>301055.SZ</v>
      </c>
    </row>
    <row r="2488" spans="1:6" x14ac:dyDescent="0.15">
      <c r="A2488" s="2">
        <v>46089</v>
      </c>
      <c r="B2488" s="1" t="s">
        <v>4746</v>
      </c>
      <c r="C2488" s="1" t="s">
        <v>4747</v>
      </c>
      <c r="D2488" t="b">
        <f ca="1">IF(A2488="","",[1]!s_techanal_rcnthigh(B2488,$B$2,1,3))</f>
        <v>0</v>
      </c>
      <c r="E2488">
        <f ca="1">IF(A2488="","",COUNTIF(D$6:D2488,"True"))</f>
        <v>21</v>
      </c>
      <c r="F2488" t="str">
        <f t="shared" si="38"/>
        <v>301056.SZ</v>
      </c>
    </row>
    <row r="2489" spans="1:6" x14ac:dyDescent="0.15">
      <c r="A2489" s="2">
        <v>46089</v>
      </c>
      <c r="B2489" s="1" t="s">
        <v>4748</v>
      </c>
      <c r="C2489" s="1" t="s">
        <v>4749</v>
      </c>
      <c r="D2489" t="b">
        <f ca="1">IF(A2489="","",[1]!s_techanal_rcnthigh(B2489,$B$2,1,3))</f>
        <v>0</v>
      </c>
      <c r="E2489">
        <f ca="1">IF(A2489="","",COUNTIF(D$6:D2489,"True"))</f>
        <v>21</v>
      </c>
      <c r="F2489" t="str">
        <f t="shared" si="38"/>
        <v>301057.SZ</v>
      </c>
    </row>
    <row r="2490" spans="1:6" x14ac:dyDescent="0.15">
      <c r="A2490" s="2">
        <v>46089</v>
      </c>
      <c r="B2490" s="1" t="s">
        <v>4750</v>
      </c>
      <c r="C2490" s="1" t="s">
        <v>4751</v>
      </c>
      <c r="D2490" t="b">
        <f ca="1">IF(A2490="","",[1]!s_techanal_rcnthigh(B2490,$B$2,1,3))</f>
        <v>0</v>
      </c>
      <c r="E2490">
        <f ca="1">IF(A2490="","",COUNTIF(D$6:D2490,"True"))</f>
        <v>21</v>
      </c>
      <c r="F2490" t="str">
        <f t="shared" si="38"/>
        <v>301058.SZ</v>
      </c>
    </row>
    <row r="2491" spans="1:6" x14ac:dyDescent="0.15">
      <c r="A2491" s="2">
        <v>46089</v>
      </c>
      <c r="B2491" s="1" t="s">
        <v>4752</v>
      </c>
      <c r="C2491" s="1" t="s">
        <v>4753</v>
      </c>
      <c r="D2491" t="b">
        <f ca="1">IF(A2491="","",[1]!s_techanal_rcnthigh(B2491,$B$2,1,3))</f>
        <v>0</v>
      </c>
      <c r="E2491">
        <f ca="1">IF(A2491="","",COUNTIF(D$6:D2491,"True"))</f>
        <v>21</v>
      </c>
      <c r="F2491" t="str">
        <f t="shared" si="38"/>
        <v>301059.SZ</v>
      </c>
    </row>
    <row r="2492" spans="1:6" x14ac:dyDescent="0.15">
      <c r="A2492" s="2">
        <v>46089</v>
      </c>
      <c r="B2492" s="1" t="s">
        <v>4754</v>
      </c>
      <c r="C2492" s="1" t="s">
        <v>4755</v>
      </c>
      <c r="D2492" t="b">
        <f ca="1">IF(A2492="","",[1]!s_techanal_rcnthigh(B2492,$B$2,1,3))</f>
        <v>0</v>
      </c>
      <c r="E2492">
        <f ca="1">IF(A2492="","",COUNTIF(D$6:D2492,"True"))</f>
        <v>21</v>
      </c>
      <c r="F2492" t="str">
        <f t="shared" si="38"/>
        <v>301060.SZ</v>
      </c>
    </row>
    <row r="2493" spans="1:6" x14ac:dyDescent="0.15">
      <c r="A2493" s="2">
        <v>46089</v>
      </c>
      <c r="B2493" s="1" t="s">
        <v>4756</v>
      </c>
      <c r="C2493" s="1" t="s">
        <v>4757</v>
      </c>
      <c r="D2493" t="b">
        <f ca="1">IF(A2493="","",[1]!s_techanal_rcnthigh(B2493,$B$2,1,3))</f>
        <v>0</v>
      </c>
      <c r="E2493">
        <f ca="1">IF(A2493="","",COUNTIF(D$6:D2493,"True"))</f>
        <v>21</v>
      </c>
      <c r="F2493" t="str">
        <f t="shared" si="38"/>
        <v>301061.SZ</v>
      </c>
    </row>
    <row r="2494" spans="1:6" x14ac:dyDescent="0.15">
      <c r="A2494" s="2">
        <v>46089</v>
      </c>
      <c r="B2494" s="1" t="s">
        <v>4758</v>
      </c>
      <c r="C2494" s="1" t="s">
        <v>4759</v>
      </c>
      <c r="D2494" t="b">
        <f ca="1">IF(A2494="","",[1]!s_techanal_rcnthigh(B2494,$B$2,1,3))</f>
        <v>0</v>
      </c>
      <c r="E2494">
        <f ca="1">IF(A2494="","",COUNTIF(D$6:D2494,"True"))</f>
        <v>21</v>
      </c>
      <c r="F2494" t="str">
        <f t="shared" si="38"/>
        <v>301062.SZ</v>
      </c>
    </row>
    <row r="2495" spans="1:6" x14ac:dyDescent="0.15">
      <c r="A2495" s="2">
        <v>46089</v>
      </c>
      <c r="B2495" s="1" t="s">
        <v>4760</v>
      </c>
      <c r="C2495" s="1" t="s">
        <v>4761</v>
      </c>
      <c r="D2495" t="b">
        <f ca="1">IF(A2495="","",[1]!s_techanal_rcnthigh(B2495,$B$2,1,3))</f>
        <v>0</v>
      </c>
      <c r="E2495">
        <f ca="1">IF(A2495="","",COUNTIF(D$6:D2495,"True"))</f>
        <v>21</v>
      </c>
      <c r="F2495" t="str">
        <f t="shared" si="38"/>
        <v>301063.SZ</v>
      </c>
    </row>
    <row r="2496" spans="1:6" x14ac:dyDescent="0.15">
      <c r="A2496" s="2">
        <v>46089</v>
      </c>
      <c r="B2496" s="1" t="s">
        <v>4762</v>
      </c>
      <c r="C2496" s="1" t="s">
        <v>4763</v>
      </c>
      <c r="D2496" t="b">
        <f ca="1">IF(A2496="","",[1]!s_techanal_rcnthigh(B2496,$B$2,1,3))</f>
        <v>0</v>
      </c>
      <c r="E2496">
        <f ca="1">IF(A2496="","",COUNTIF(D$6:D2496,"True"))</f>
        <v>21</v>
      </c>
      <c r="F2496" t="str">
        <f t="shared" si="38"/>
        <v>301065.SZ</v>
      </c>
    </row>
    <row r="2497" spans="1:6" x14ac:dyDescent="0.15">
      <c r="A2497" s="2">
        <v>46089</v>
      </c>
      <c r="B2497" s="1" t="s">
        <v>4764</v>
      </c>
      <c r="C2497" s="1" t="s">
        <v>4765</v>
      </c>
      <c r="D2497" t="b">
        <f ca="1">IF(A2497="","",[1]!s_techanal_rcnthigh(B2497,$B$2,1,3))</f>
        <v>0</v>
      </c>
      <c r="E2497">
        <f ca="1">IF(A2497="","",COUNTIF(D$6:D2497,"True"))</f>
        <v>21</v>
      </c>
      <c r="F2497" t="str">
        <f t="shared" si="38"/>
        <v>301066.SZ</v>
      </c>
    </row>
    <row r="2498" spans="1:6" x14ac:dyDescent="0.15">
      <c r="A2498" s="2">
        <v>46089</v>
      </c>
      <c r="B2498" s="1" t="s">
        <v>4766</v>
      </c>
      <c r="C2498" s="1" t="s">
        <v>4767</v>
      </c>
      <c r="D2498" t="b">
        <f ca="1">IF(A2498="","",[1]!s_techanal_rcnthigh(B2498,$B$2,1,3))</f>
        <v>0</v>
      </c>
      <c r="E2498">
        <f ca="1">IF(A2498="","",COUNTIF(D$6:D2498,"True"))</f>
        <v>21</v>
      </c>
      <c r="F2498" t="str">
        <f t="shared" si="38"/>
        <v>301067.SZ</v>
      </c>
    </row>
    <row r="2499" spans="1:6" x14ac:dyDescent="0.15">
      <c r="A2499" s="2">
        <v>46089</v>
      </c>
      <c r="B2499" s="1" t="s">
        <v>4768</v>
      </c>
      <c r="C2499" s="1" t="s">
        <v>4769</v>
      </c>
      <c r="D2499" t="b">
        <f ca="1">IF(A2499="","",[1]!s_techanal_rcnthigh(B2499,$B$2,1,3))</f>
        <v>0</v>
      </c>
      <c r="E2499">
        <f ca="1">IF(A2499="","",COUNTIF(D$6:D2499,"True"))</f>
        <v>21</v>
      </c>
      <c r="F2499" t="str">
        <f t="shared" si="38"/>
        <v>301068.SZ</v>
      </c>
    </row>
    <row r="2500" spans="1:6" x14ac:dyDescent="0.15">
      <c r="A2500" s="2">
        <v>46089</v>
      </c>
      <c r="B2500" s="1" t="s">
        <v>4770</v>
      </c>
      <c r="C2500" s="1" t="s">
        <v>4771</v>
      </c>
      <c r="D2500" t="b">
        <f ca="1">IF(A2500="","",[1]!s_techanal_rcnthigh(B2500,$B$2,1,3))</f>
        <v>0</v>
      </c>
      <c r="E2500">
        <f ca="1">IF(A2500="","",COUNTIF(D$6:D2500,"True"))</f>
        <v>21</v>
      </c>
      <c r="F2500" t="str">
        <f t="shared" si="38"/>
        <v>301069.SZ</v>
      </c>
    </row>
    <row r="2501" spans="1:6" x14ac:dyDescent="0.15">
      <c r="A2501" s="2">
        <v>46089</v>
      </c>
      <c r="B2501" s="1" t="s">
        <v>4772</v>
      </c>
      <c r="C2501" s="1" t="s">
        <v>4773</v>
      </c>
      <c r="D2501" t="b">
        <f ca="1">IF(A2501="","",[1]!s_techanal_rcnthigh(B2501,$B$2,1,3))</f>
        <v>0</v>
      </c>
      <c r="E2501">
        <f ca="1">IF(A2501="","",COUNTIF(D$6:D2501,"True"))</f>
        <v>21</v>
      </c>
      <c r="F2501" t="str">
        <f t="shared" si="38"/>
        <v>301070.SZ</v>
      </c>
    </row>
    <row r="2502" spans="1:6" x14ac:dyDescent="0.15">
      <c r="A2502" s="2">
        <v>46089</v>
      </c>
      <c r="B2502" s="1" t="s">
        <v>4774</v>
      </c>
      <c r="C2502" s="1" t="s">
        <v>4775</v>
      </c>
      <c r="D2502" t="b">
        <f ca="1">IF(A2502="","",[1]!s_techanal_rcnthigh(B2502,$B$2,1,3))</f>
        <v>0</v>
      </c>
      <c r="E2502">
        <f ca="1">IF(A2502="","",COUNTIF(D$6:D2502,"True"))</f>
        <v>21</v>
      </c>
      <c r="F2502" t="str">
        <f t="shared" ref="F2502:F2565" si="39">IF(B2502="","",B2502)</f>
        <v>301071.SZ</v>
      </c>
    </row>
    <row r="2503" spans="1:6" x14ac:dyDescent="0.15">
      <c r="A2503" s="2">
        <v>46089</v>
      </c>
      <c r="B2503" s="1" t="s">
        <v>4776</v>
      </c>
      <c r="C2503" s="1" t="s">
        <v>4777</v>
      </c>
      <c r="D2503" t="b">
        <f ca="1">IF(A2503="","",[1]!s_techanal_rcnthigh(B2503,$B$2,1,3))</f>
        <v>0</v>
      </c>
      <c r="E2503">
        <f ca="1">IF(A2503="","",COUNTIF(D$6:D2503,"True"))</f>
        <v>21</v>
      </c>
      <c r="F2503" t="str">
        <f t="shared" si="39"/>
        <v>301072.SZ</v>
      </c>
    </row>
    <row r="2504" spans="1:6" x14ac:dyDescent="0.15">
      <c r="A2504" s="2">
        <v>46089</v>
      </c>
      <c r="B2504" s="1" t="s">
        <v>4778</v>
      </c>
      <c r="C2504" s="1" t="s">
        <v>4779</v>
      </c>
      <c r="D2504" t="b">
        <f ca="1">IF(A2504="","",[1]!s_techanal_rcnthigh(B2504,$B$2,1,3))</f>
        <v>0</v>
      </c>
      <c r="E2504">
        <f ca="1">IF(A2504="","",COUNTIF(D$6:D2504,"True"))</f>
        <v>21</v>
      </c>
      <c r="F2504" t="str">
        <f t="shared" si="39"/>
        <v>301073.SZ</v>
      </c>
    </row>
    <row r="2505" spans="1:6" x14ac:dyDescent="0.15">
      <c r="A2505" s="2">
        <v>46089</v>
      </c>
      <c r="B2505" s="1" t="s">
        <v>4780</v>
      </c>
      <c r="C2505" s="1" t="s">
        <v>4781</v>
      </c>
      <c r="D2505" t="b">
        <f ca="1">IF(A2505="","",[1]!s_techanal_rcnthigh(B2505,$B$2,1,3))</f>
        <v>0</v>
      </c>
      <c r="E2505">
        <f ca="1">IF(A2505="","",COUNTIF(D$6:D2505,"True"))</f>
        <v>21</v>
      </c>
      <c r="F2505" t="str">
        <f t="shared" si="39"/>
        <v>301075.SZ</v>
      </c>
    </row>
    <row r="2506" spans="1:6" x14ac:dyDescent="0.15">
      <c r="A2506" s="2">
        <v>46089</v>
      </c>
      <c r="B2506" s="1" t="s">
        <v>4782</v>
      </c>
      <c r="C2506" s="1" t="s">
        <v>4783</v>
      </c>
      <c r="D2506" t="b">
        <f ca="1">IF(A2506="","",[1]!s_techanal_rcnthigh(B2506,$B$2,1,3))</f>
        <v>0</v>
      </c>
      <c r="E2506">
        <f ca="1">IF(A2506="","",COUNTIF(D$6:D2506,"True"))</f>
        <v>21</v>
      </c>
      <c r="F2506" t="str">
        <f t="shared" si="39"/>
        <v>301076.SZ</v>
      </c>
    </row>
    <row r="2507" spans="1:6" x14ac:dyDescent="0.15">
      <c r="A2507" s="2">
        <v>46089</v>
      </c>
      <c r="B2507" s="1" t="s">
        <v>4784</v>
      </c>
      <c r="C2507" s="1" t="s">
        <v>4785</v>
      </c>
      <c r="D2507" t="b">
        <f ca="1">IF(A2507="","",[1]!s_techanal_rcnthigh(B2507,$B$2,1,3))</f>
        <v>0</v>
      </c>
      <c r="E2507">
        <f ca="1">IF(A2507="","",COUNTIF(D$6:D2507,"True"))</f>
        <v>21</v>
      </c>
      <c r="F2507" t="str">
        <f t="shared" si="39"/>
        <v>301077.SZ</v>
      </c>
    </row>
    <row r="2508" spans="1:6" x14ac:dyDescent="0.15">
      <c r="A2508" s="2">
        <v>46089</v>
      </c>
      <c r="B2508" s="1" t="s">
        <v>4786</v>
      </c>
      <c r="C2508" s="1" t="s">
        <v>4787</v>
      </c>
      <c r="D2508" t="b">
        <f ca="1">IF(A2508="","",[1]!s_techanal_rcnthigh(B2508,$B$2,1,3))</f>
        <v>0</v>
      </c>
      <c r="E2508">
        <f ca="1">IF(A2508="","",COUNTIF(D$6:D2508,"True"))</f>
        <v>21</v>
      </c>
      <c r="F2508" t="str">
        <f t="shared" si="39"/>
        <v>301078.SZ</v>
      </c>
    </row>
    <row r="2509" spans="1:6" x14ac:dyDescent="0.15">
      <c r="A2509" s="2">
        <v>46089</v>
      </c>
      <c r="B2509" s="1" t="s">
        <v>4788</v>
      </c>
      <c r="C2509" s="1" t="s">
        <v>4789</v>
      </c>
      <c r="D2509" t="b">
        <f ca="1">IF(A2509="","",[1]!s_techanal_rcnthigh(B2509,$B$2,1,3))</f>
        <v>0</v>
      </c>
      <c r="E2509">
        <f ca="1">IF(A2509="","",COUNTIF(D$6:D2509,"True"))</f>
        <v>21</v>
      </c>
      <c r="F2509" t="str">
        <f t="shared" si="39"/>
        <v>301079.SZ</v>
      </c>
    </row>
    <row r="2510" spans="1:6" x14ac:dyDescent="0.15">
      <c r="A2510" s="2">
        <v>46089</v>
      </c>
      <c r="B2510" s="1" t="s">
        <v>4790</v>
      </c>
      <c r="C2510" s="1" t="s">
        <v>4791</v>
      </c>
      <c r="D2510" t="b">
        <f ca="1">IF(A2510="","",[1]!s_techanal_rcnthigh(B2510,$B$2,1,3))</f>
        <v>0</v>
      </c>
      <c r="E2510">
        <f ca="1">IF(A2510="","",COUNTIF(D$6:D2510,"True"))</f>
        <v>21</v>
      </c>
      <c r="F2510" t="str">
        <f t="shared" si="39"/>
        <v>301080.SZ</v>
      </c>
    </row>
    <row r="2511" spans="1:6" x14ac:dyDescent="0.15">
      <c r="A2511" s="2">
        <v>46089</v>
      </c>
      <c r="B2511" s="1" t="s">
        <v>4792</v>
      </c>
      <c r="C2511" s="1" t="s">
        <v>4793</v>
      </c>
      <c r="D2511" t="b">
        <f ca="1">IF(A2511="","",[1]!s_techanal_rcnthigh(B2511,$B$2,1,3))</f>
        <v>0</v>
      </c>
      <c r="E2511">
        <f ca="1">IF(A2511="","",COUNTIF(D$6:D2511,"True"))</f>
        <v>21</v>
      </c>
      <c r="F2511" t="str">
        <f t="shared" si="39"/>
        <v>301081.SZ</v>
      </c>
    </row>
    <row r="2512" spans="1:6" x14ac:dyDescent="0.15">
      <c r="A2512" s="2">
        <v>46089</v>
      </c>
      <c r="B2512" s="1" t="s">
        <v>4794</v>
      </c>
      <c r="C2512" s="1" t="s">
        <v>4795</v>
      </c>
      <c r="D2512" t="b">
        <f ca="1">IF(A2512="","",[1]!s_techanal_rcnthigh(B2512,$B$2,1,3))</f>
        <v>0</v>
      </c>
      <c r="E2512">
        <f ca="1">IF(A2512="","",COUNTIF(D$6:D2512,"True"))</f>
        <v>21</v>
      </c>
      <c r="F2512" t="str">
        <f t="shared" si="39"/>
        <v>301082.SZ</v>
      </c>
    </row>
    <row r="2513" spans="1:6" x14ac:dyDescent="0.15">
      <c r="A2513" s="2">
        <v>46089</v>
      </c>
      <c r="B2513" s="1" t="s">
        <v>4796</v>
      </c>
      <c r="C2513" s="1" t="s">
        <v>4797</v>
      </c>
      <c r="D2513" t="b">
        <f ca="1">IF(A2513="","",[1]!s_techanal_rcnthigh(B2513,$B$2,1,3))</f>
        <v>0</v>
      </c>
      <c r="E2513">
        <f ca="1">IF(A2513="","",COUNTIF(D$6:D2513,"True"))</f>
        <v>21</v>
      </c>
      <c r="F2513" t="str">
        <f t="shared" si="39"/>
        <v>301083.SZ</v>
      </c>
    </row>
    <row r="2514" spans="1:6" x14ac:dyDescent="0.15">
      <c r="A2514" s="2">
        <v>46089</v>
      </c>
      <c r="B2514" s="1" t="s">
        <v>4798</v>
      </c>
      <c r="C2514" s="1" t="s">
        <v>4799</v>
      </c>
      <c r="D2514" t="b">
        <f ca="1">IF(A2514="","",[1]!s_techanal_rcnthigh(B2514,$B$2,1,3))</f>
        <v>0</v>
      </c>
      <c r="E2514">
        <f ca="1">IF(A2514="","",COUNTIF(D$6:D2514,"True"))</f>
        <v>21</v>
      </c>
      <c r="F2514" t="str">
        <f t="shared" si="39"/>
        <v>301085.SZ</v>
      </c>
    </row>
    <row r="2515" spans="1:6" x14ac:dyDescent="0.15">
      <c r="A2515" s="2">
        <v>46089</v>
      </c>
      <c r="B2515" s="1" t="s">
        <v>4800</v>
      </c>
      <c r="C2515" s="1" t="s">
        <v>4801</v>
      </c>
      <c r="D2515" t="b">
        <f ca="1">IF(A2515="","",[1]!s_techanal_rcnthigh(B2515,$B$2,1,3))</f>
        <v>0</v>
      </c>
      <c r="E2515">
        <f ca="1">IF(A2515="","",COUNTIF(D$6:D2515,"True"))</f>
        <v>21</v>
      </c>
      <c r="F2515" t="str">
        <f t="shared" si="39"/>
        <v>301086.SZ</v>
      </c>
    </row>
    <row r="2516" spans="1:6" x14ac:dyDescent="0.15">
      <c r="A2516" s="2">
        <v>46089</v>
      </c>
      <c r="B2516" s="1" t="s">
        <v>4802</v>
      </c>
      <c r="C2516" s="1" t="s">
        <v>4803</v>
      </c>
      <c r="D2516" t="b">
        <f ca="1">IF(A2516="","",[1]!s_techanal_rcnthigh(B2516,$B$2,1,3))</f>
        <v>0</v>
      </c>
      <c r="E2516">
        <f ca="1">IF(A2516="","",COUNTIF(D$6:D2516,"True"))</f>
        <v>21</v>
      </c>
      <c r="F2516" t="str">
        <f t="shared" si="39"/>
        <v>301087.SZ</v>
      </c>
    </row>
    <row r="2517" spans="1:6" x14ac:dyDescent="0.15">
      <c r="A2517" s="2">
        <v>46089</v>
      </c>
      <c r="B2517" s="1" t="s">
        <v>4804</v>
      </c>
      <c r="C2517" s="1" t="s">
        <v>4805</v>
      </c>
      <c r="D2517" t="b">
        <f ca="1">IF(A2517="","",[1]!s_techanal_rcnthigh(B2517,$B$2,1,3))</f>
        <v>0</v>
      </c>
      <c r="E2517">
        <f ca="1">IF(A2517="","",COUNTIF(D$6:D2517,"True"))</f>
        <v>21</v>
      </c>
      <c r="F2517" t="str">
        <f t="shared" si="39"/>
        <v>301088.SZ</v>
      </c>
    </row>
    <row r="2518" spans="1:6" x14ac:dyDescent="0.15">
      <c r="A2518" s="2">
        <v>46089</v>
      </c>
      <c r="B2518" s="1" t="s">
        <v>4806</v>
      </c>
      <c r="C2518" s="1" t="s">
        <v>4807</v>
      </c>
      <c r="D2518" t="b">
        <f ca="1">IF(A2518="","",[1]!s_techanal_rcnthigh(B2518,$B$2,1,3))</f>
        <v>0</v>
      </c>
      <c r="E2518">
        <f ca="1">IF(A2518="","",COUNTIF(D$6:D2518,"True"))</f>
        <v>21</v>
      </c>
      <c r="F2518" t="str">
        <f t="shared" si="39"/>
        <v>301089.SZ</v>
      </c>
    </row>
    <row r="2519" spans="1:6" x14ac:dyDescent="0.15">
      <c r="A2519" s="2">
        <v>46089</v>
      </c>
      <c r="B2519" s="1" t="s">
        <v>4808</v>
      </c>
      <c r="C2519" s="1" t="s">
        <v>4809</v>
      </c>
      <c r="D2519" t="b">
        <f ca="1">IF(A2519="","",[1]!s_techanal_rcnthigh(B2519,$B$2,1,3))</f>
        <v>0</v>
      </c>
      <c r="E2519">
        <f ca="1">IF(A2519="","",COUNTIF(D$6:D2519,"True"))</f>
        <v>21</v>
      </c>
      <c r="F2519" t="str">
        <f t="shared" si="39"/>
        <v>301090.SZ</v>
      </c>
    </row>
    <row r="2520" spans="1:6" x14ac:dyDescent="0.15">
      <c r="A2520" s="2">
        <v>46089</v>
      </c>
      <c r="B2520" s="1" t="s">
        <v>4810</v>
      </c>
      <c r="C2520" s="1" t="s">
        <v>4811</v>
      </c>
      <c r="D2520" t="b">
        <f ca="1">IF(A2520="","",[1]!s_techanal_rcnthigh(B2520,$B$2,1,3))</f>
        <v>0</v>
      </c>
      <c r="E2520">
        <f ca="1">IF(A2520="","",COUNTIF(D$6:D2520,"True"))</f>
        <v>21</v>
      </c>
      <c r="F2520" t="str">
        <f t="shared" si="39"/>
        <v>301091.SZ</v>
      </c>
    </row>
    <row r="2521" spans="1:6" x14ac:dyDescent="0.15">
      <c r="A2521" s="2">
        <v>46089</v>
      </c>
      <c r="B2521" s="1" t="s">
        <v>4812</v>
      </c>
      <c r="C2521" s="1" t="s">
        <v>4813</v>
      </c>
      <c r="D2521" t="b">
        <f ca="1">IF(A2521="","",[1]!s_techanal_rcnthigh(B2521,$B$2,1,3))</f>
        <v>0</v>
      </c>
      <c r="E2521">
        <f ca="1">IF(A2521="","",COUNTIF(D$6:D2521,"True"))</f>
        <v>21</v>
      </c>
      <c r="F2521" t="str">
        <f t="shared" si="39"/>
        <v>301092.SZ</v>
      </c>
    </row>
    <row r="2522" spans="1:6" x14ac:dyDescent="0.15">
      <c r="A2522" s="2">
        <v>46089</v>
      </c>
      <c r="B2522" s="1" t="s">
        <v>4814</v>
      </c>
      <c r="C2522" s="1" t="s">
        <v>4815</v>
      </c>
      <c r="D2522" t="b">
        <f ca="1">IF(A2522="","",[1]!s_techanal_rcnthigh(B2522,$B$2,1,3))</f>
        <v>0</v>
      </c>
      <c r="E2522">
        <f ca="1">IF(A2522="","",COUNTIF(D$6:D2522,"True"))</f>
        <v>21</v>
      </c>
      <c r="F2522" t="str">
        <f t="shared" si="39"/>
        <v>301093.SZ</v>
      </c>
    </row>
    <row r="2523" spans="1:6" x14ac:dyDescent="0.15">
      <c r="A2523" s="2">
        <v>46089</v>
      </c>
      <c r="B2523" s="1" t="s">
        <v>4816</v>
      </c>
      <c r="C2523" s="1" t="s">
        <v>4817</v>
      </c>
      <c r="D2523" t="b">
        <f ca="1">IF(A2523="","",[1]!s_techanal_rcnthigh(B2523,$B$2,1,3))</f>
        <v>0</v>
      </c>
      <c r="E2523">
        <f ca="1">IF(A2523="","",COUNTIF(D$6:D2523,"True"))</f>
        <v>21</v>
      </c>
      <c r="F2523" t="str">
        <f t="shared" si="39"/>
        <v>301095.SZ</v>
      </c>
    </row>
    <row r="2524" spans="1:6" x14ac:dyDescent="0.15">
      <c r="A2524" s="2">
        <v>46089</v>
      </c>
      <c r="B2524" s="1" t="s">
        <v>4818</v>
      </c>
      <c r="C2524" s="1" t="s">
        <v>4819</v>
      </c>
      <c r="D2524" t="b">
        <f ca="1">IF(A2524="","",[1]!s_techanal_rcnthigh(B2524,$B$2,1,3))</f>
        <v>0</v>
      </c>
      <c r="E2524">
        <f ca="1">IF(A2524="","",COUNTIF(D$6:D2524,"True"))</f>
        <v>21</v>
      </c>
      <c r="F2524" t="str">
        <f t="shared" si="39"/>
        <v>301096.SZ</v>
      </c>
    </row>
    <row r="2525" spans="1:6" x14ac:dyDescent="0.15">
      <c r="A2525" s="2">
        <v>46089</v>
      </c>
      <c r="B2525" s="1" t="s">
        <v>4820</v>
      </c>
      <c r="C2525" s="1" t="s">
        <v>4821</v>
      </c>
      <c r="D2525" t="b">
        <f ca="1">IF(A2525="","",[1]!s_techanal_rcnthigh(B2525,$B$2,1,3))</f>
        <v>0</v>
      </c>
      <c r="E2525">
        <f ca="1">IF(A2525="","",COUNTIF(D$6:D2525,"True"))</f>
        <v>21</v>
      </c>
      <c r="F2525" t="str">
        <f t="shared" si="39"/>
        <v>301097.SZ</v>
      </c>
    </row>
    <row r="2526" spans="1:6" x14ac:dyDescent="0.15">
      <c r="A2526" s="2">
        <v>46089</v>
      </c>
      <c r="B2526" s="1" t="s">
        <v>4822</v>
      </c>
      <c r="C2526" s="1" t="s">
        <v>4823</v>
      </c>
      <c r="D2526" t="b">
        <f ca="1">IF(A2526="","",[1]!s_techanal_rcnthigh(B2526,$B$2,1,3))</f>
        <v>0</v>
      </c>
      <c r="E2526">
        <f ca="1">IF(A2526="","",COUNTIF(D$6:D2526,"True"))</f>
        <v>21</v>
      </c>
      <c r="F2526" t="str">
        <f t="shared" si="39"/>
        <v>301098.SZ</v>
      </c>
    </row>
    <row r="2527" spans="1:6" x14ac:dyDescent="0.15">
      <c r="A2527" s="2">
        <v>46089</v>
      </c>
      <c r="B2527" s="1" t="s">
        <v>4824</v>
      </c>
      <c r="C2527" s="1" t="s">
        <v>4825</v>
      </c>
      <c r="D2527" t="b">
        <f ca="1">IF(A2527="","",[1]!s_techanal_rcnthigh(B2527,$B$2,1,3))</f>
        <v>0</v>
      </c>
      <c r="E2527">
        <f ca="1">IF(A2527="","",COUNTIF(D$6:D2527,"True"))</f>
        <v>21</v>
      </c>
      <c r="F2527" t="str">
        <f t="shared" si="39"/>
        <v>301099.SZ</v>
      </c>
    </row>
    <row r="2528" spans="1:6" x14ac:dyDescent="0.15">
      <c r="A2528" s="2">
        <v>46089</v>
      </c>
      <c r="B2528" s="1" t="s">
        <v>4826</v>
      </c>
      <c r="C2528" s="1" t="s">
        <v>4827</v>
      </c>
      <c r="D2528" t="b">
        <f ca="1">IF(A2528="","",[1]!s_techanal_rcnthigh(B2528,$B$2,1,3))</f>
        <v>0</v>
      </c>
      <c r="E2528">
        <f ca="1">IF(A2528="","",COUNTIF(D$6:D2528,"True"))</f>
        <v>21</v>
      </c>
      <c r="F2528" t="str">
        <f t="shared" si="39"/>
        <v>301100.SZ</v>
      </c>
    </row>
    <row r="2529" spans="1:6" x14ac:dyDescent="0.15">
      <c r="A2529" s="2">
        <v>46089</v>
      </c>
      <c r="B2529" s="1" t="s">
        <v>4828</v>
      </c>
      <c r="C2529" s="1" t="s">
        <v>4829</v>
      </c>
      <c r="D2529" t="b">
        <f ca="1">IF(A2529="","",[1]!s_techanal_rcnthigh(B2529,$B$2,1,3))</f>
        <v>0</v>
      </c>
      <c r="E2529">
        <f ca="1">IF(A2529="","",COUNTIF(D$6:D2529,"True"))</f>
        <v>21</v>
      </c>
      <c r="F2529" t="str">
        <f t="shared" si="39"/>
        <v>301101.SZ</v>
      </c>
    </row>
    <row r="2530" spans="1:6" x14ac:dyDescent="0.15">
      <c r="A2530" s="2">
        <v>46089</v>
      </c>
      <c r="B2530" s="1" t="s">
        <v>4830</v>
      </c>
      <c r="C2530" s="1" t="s">
        <v>4831</v>
      </c>
      <c r="D2530" t="b">
        <f ca="1">IF(A2530="","",[1]!s_techanal_rcnthigh(B2530,$B$2,1,3))</f>
        <v>0</v>
      </c>
      <c r="E2530">
        <f ca="1">IF(A2530="","",COUNTIF(D$6:D2530,"True"))</f>
        <v>21</v>
      </c>
      <c r="F2530" t="str">
        <f t="shared" si="39"/>
        <v>301102.SZ</v>
      </c>
    </row>
    <row r="2531" spans="1:6" x14ac:dyDescent="0.15">
      <c r="A2531" s="2">
        <v>46089</v>
      </c>
      <c r="B2531" s="1" t="s">
        <v>4832</v>
      </c>
      <c r="C2531" s="1" t="s">
        <v>4833</v>
      </c>
      <c r="D2531" t="b">
        <f ca="1">IF(A2531="","",[1]!s_techanal_rcnthigh(B2531,$B$2,1,3))</f>
        <v>0</v>
      </c>
      <c r="E2531">
        <f ca="1">IF(A2531="","",COUNTIF(D$6:D2531,"True"))</f>
        <v>21</v>
      </c>
      <c r="F2531" t="str">
        <f t="shared" si="39"/>
        <v>301103.SZ</v>
      </c>
    </row>
    <row r="2532" spans="1:6" x14ac:dyDescent="0.15">
      <c r="A2532" s="2">
        <v>46089</v>
      </c>
      <c r="B2532" s="1" t="s">
        <v>4834</v>
      </c>
      <c r="C2532" s="1" t="s">
        <v>4835</v>
      </c>
      <c r="D2532" t="b">
        <f ca="1">IF(A2532="","",[1]!s_techanal_rcnthigh(B2532,$B$2,1,3))</f>
        <v>0</v>
      </c>
      <c r="E2532">
        <f ca="1">IF(A2532="","",COUNTIF(D$6:D2532,"True"))</f>
        <v>21</v>
      </c>
      <c r="F2532" t="str">
        <f t="shared" si="39"/>
        <v>301105.SZ</v>
      </c>
    </row>
    <row r="2533" spans="1:6" x14ac:dyDescent="0.15">
      <c r="A2533" s="2">
        <v>46089</v>
      </c>
      <c r="B2533" s="1" t="s">
        <v>4836</v>
      </c>
      <c r="C2533" s="1" t="s">
        <v>4837</v>
      </c>
      <c r="D2533" t="b">
        <f ca="1">IF(A2533="","",[1]!s_techanal_rcnthigh(B2533,$B$2,1,3))</f>
        <v>0</v>
      </c>
      <c r="E2533">
        <f ca="1">IF(A2533="","",COUNTIF(D$6:D2533,"True"))</f>
        <v>21</v>
      </c>
      <c r="F2533" t="str">
        <f t="shared" si="39"/>
        <v>301106.SZ</v>
      </c>
    </row>
    <row r="2534" spans="1:6" x14ac:dyDescent="0.15">
      <c r="A2534" s="2">
        <v>46089</v>
      </c>
      <c r="B2534" s="1" t="s">
        <v>4838</v>
      </c>
      <c r="C2534" s="1" t="s">
        <v>4839</v>
      </c>
      <c r="D2534" t="b">
        <f ca="1">IF(A2534="","",[1]!s_techanal_rcnthigh(B2534,$B$2,1,3))</f>
        <v>0</v>
      </c>
      <c r="E2534">
        <f ca="1">IF(A2534="","",COUNTIF(D$6:D2534,"True"))</f>
        <v>21</v>
      </c>
      <c r="F2534" t="str">
        <f t="shared" si="39"/>
        <v>301107.SZ</v>
      </c>
    </row>
    <row r="2535" spans="1:6" x14ac:dyDescent="0.15">
      <c r="A2535" s="2">
        <v>46089</v>
      </c>
      <c r="B2535" s="1" t="s">
        <v>4840</v>
      </c>
      <c r="C2535" s="1" t="s">
        <v>4841</v>
      </c>
      <c r="D2535" t="b">
        <f ca="1">IF(A2535="","",[1]!s_techanal_rcnthigh(B2535,$B$2,1,3))</f>
        <v>0</v>
      </c>
      <c r="E2535">
        <f ca="1">IF(A2535="","",COUNTIF(D$6:D2535,"True"))</f>
        <v>21</v>
      </c>
      <c r="F2535" t="str">
        <f t="shared" si="39"/>
        <v>301108.SZ</v>
      </c>
    </row>
    <row r="2536" spans="1:6" x14ac:dyDescent="0.15">
      <c r="A2536" s="2">
        <v>46089</v>
      </c>
      <c r="B2536" s="1" t="s">
        <v>4842</v>
      </c>
      <c r="C2536" s="1" t="s">
        <v>4843</v>
      </c>
      <c r="D2536" t="b">
        <f ca="1">IF(A2536="","",[1]!s_techanal_rcnthigh(B2536,$B$2,1,3))</f>
        <v>0</v>
      </c>
      <c r="E2536">
        <f ca="1">IF(A2536="","",COUNTIF(D$6:D2536,"True"))</f>
        <v>21</v>
      </c>
      <c r="F2536" t="str">
        <f t="shared" si="39"/>
        <v>301109.SZ</v>
      </c>
    </row>
    <row r="2537" spans="1:6" x14ac:dyDescent="0.15">
      <c r="A2537" s="2">
        <v>46089</v>
      </c>
      <c r="B2537" s="1" t="s">
        <v>4844</v>
      </c>
      <c r="C2537" s="1" t="s">
        <v>10242</v>
      </c>
      <c r="D2537" t="b">
        <f ca="1">IF(A2537="","",[1]!s_techanal_rcnthigh(B2537,$B$2,1,3))</f>
        <v>0</v>
      </c>
      <c r="E2537">
        <f ca="1">IF(A2537="","",COUNTIF(D$6:D2537,"True"))</f>
        <v>21</v>
      </c>
      <c r="F2537" t="str">
        <f t="shared" si="39"/>
        <v>301110.SZ</v>
      </c>
    </row>
    <row r="2538" spans="1:6" x14ac:dyDescent="0.15">
      <c r="A2538" s="2">
        <v>46089</v>
      </c>
      <c r="B2538" s="1" t="s">
        <v>4845</v>
      </c>
      <c r="C2538" s="1" t="s">
        <v>4846</v>
      </c>
      <c r="D2538" t="b">
        <f ca="1">IF(A2538="","",[1]!s_techanal_rcnthigh(B2538,$B$2,1,3))</f>
        <v>0</v>
      </c>
      <c r="E2538">
        <f ca="1">IF(A2538="","",COUNTIF(D$6:D2538,"True"))</f>
        <v>21</v>
      </c>
      <c r="F2538" t="str">
        <f t="shared" si="39"/>
        <v>301111.SZ</v>
      </c>
    </row>
    <row r="2539" spans="1:6" x14ac:dyDescent="0.15">
      <c r="A2539" s="2">
        <v>46089</v>
      </c>
      <c r="B2539" s="1" t="s">
        <v>4847</v>
      </c>
      <c r="C2539" s="1" t="s">
        <v>4848</v>
      </c>
      <c r="D2539" t="b">
        <f ca="1">IF(A2539="","",[1]!s_techanal_rcnthigh(B2539,$B$2,1,3))</f>
        <v>0</v>
      </c>
      <c r="E2539">
        <f ca="1">IF(A2539="","",COUNTIF(D$6:D2539,"True"))</f>
        <v>21</v>
      </c>
      <c r="F2539" t="str">
        <f t="shared" si="39"/>
        <v>301112.SZ</v>
      </c>
    </row>
    <row r="2540" spans="1:6" x14ac:dyDescent="0.15">
      <c r="A2540" s="2">
        <v>46089</v>
      </c>
      <c r="B2540" s="1" t="s">
        <v>4849</v>
      </c>
      <c r="C2540" s="1" t="s">
        <v>4850</v>
      </c>
      <c r="D2540" t="b">
        <f ca="1">IF(A2540="","",[1]!s_techanal_rcnthigh(B2540,$B$2,1,3))</f>
        <v>0</v>
      </c>
      <c r="E2540">
        <f ca="1">IF(A2540="","",COUNTIF(D$6:D2540,"True"))</f>
        <v>21</v>
      </c>
      <c r="F2540" t="str">
        <f t="shared" si="39"/>
        <v>301113.SZ</v>
      </c>
    </row>
    <row r="2541" spans="1:6" x14ac:dyDescent="0.15">
      <c r="A2541" s="2">
        <v>46089</v>
      </c>
      <c r="B2541" s="1" t="s">
        <v>4851</v>
      </c>
      <c r="C2541" s="1" t="s">
        <v>10243</v>
      </c>
      <c r="D2541" t="b">
        <f ca="1">IF(A2541="","",[1]!s_techanal_rcnthigh(B2541,$B$2,1,3))</f>
        <v>0</v>
      </c>
      <c r="E2541">
        <f ca="1">IF(A2541="","",COUNTIF(D$6:D2541,"True"))</f>
        <v>21</v>
      </c>
      <c r="F2541" t="str">
        <f t="shared" si="39"/>
        <v>301115.SZ</v>
      </c>
    </row>
    <row r="2542" spans="1:6" x14ac:dyDescent="0.15">
      <c r="A2542" s="2">
        <v>46089</v>
      </c>
      <c r="B2542" s="1" t="s">
        <v>4852</v>
      </c>
      <c r="C2542" s="1" t="s">
        <v>4853</v>
      </c>
      <c r="D2542" t="b">
        <f ca="1">IF(A2542="","",[1]!s_techanal_rcnthigh(B2542,$B$2,1,3))</f>
        <v>0</v>
      </c>
      <c r="E2542">
        <f ca="1">IF(A2542="","",COUNTIF(D$6:D2542,"True"))</f>
        <v>21</v>
      </c>
      <c r="F2542" t="str">
        <f t="shared" si="39"/>
        <v>301116.SZ</v>
      </c>
    </row>
    <row r="2543" spans="1:6" x14ac:dyDescent="0.15">
      <c r="A2543" s="2">
        <v>46089</v>
      </c>
      <c r="B2543" s="1" t="s">
        <v>4854</v>
      </c>
      <c r="C2543" s="1" t="s">
        <v>4855</v>
      </c>
      <c r="D2543" t="b">
        <f ca="1">IF(A2543="","",[1]!s_techanal_rcnthigh(B2543,$B$2,1,3))</f>
        <v>0</v>
      </c>
      <c r="E2543">
        <f ca="1">IF(A2543="","",COUNTIF(D$6:D2543,"True"))</f>
        <v>21</v>
      </c>
      <c r="F2543" t="str">
        <f t="shared" si="39"/>
        <v>301117.SZ</v>
      </c>
    </row>
    <row r="2544" spans="1:6" x14ac:dyDescent="0.15">
      <c r="A2544" s="2">
        <v>46089</v>
      </c>
      <c r="B2544" s="1" t="s">
        <v>4856</v>
      </c>
      <c r="C2544" s="1" t="s">
        <v>4857</v>
      </c>
      <c r="D2544" t="b">
        <f ca="1">IF(A2544="","",[1]!s_techanal_rcnthigh(B2544,$B$2,1,3))</f>
        <v>0</v>
      </c>
      <c r="E2544">
        <f ca="1">IF(A2544="","",COUNTIF(D$6:D2544,"True"))</f>
        <v>21</v>
      </c>
      <c r="F2544" t="str">
        <f t="shared" si="39"/>
        <v>301118.SZ</v>
      </c>
    </row>
    <row r="2545" spans="1:6" x14ac:dyDescent="0.15">
      <c r="A2545" s="2">
        <v>46089</v>
      </c>
      <c r="B2545" s="1" t="s">
        <v>4858</v>
      </c>
      <c r="C2545" s="1" t="s">
        <v>4859</v>
      </c>
      <c r="D2545" t="b">
        <f ca="1">IF(A2545="","",[1]!s_techanal_rcnthigh(B2545,$B$2,1,3))</f>
        <v>0</v>
      </c>
      <c r="E2545">
        <f ca="1">IF(A2545="","",COUNTIF(D$6:D2545,"True"))</f>
        <v>21</v>
      </c>
      <c r="F2545" t="str">
        <f t="shared" si="39"/>
        <v>301119.SZ</v>
      </c>
    </row>
    <row r="2546" spans="1:6" x14ac:dyDescent="0.15">
      <c r="A2546" s="2">
        <v>46089</v>
      </c>
      <c r="B2546" s="1" t="s">
        <v>4860</v>
      </c>
      <c r="C2546" s="1" t="s">
        <v>4861</v>
      </c>
      <c r="D2546" t="b">
        <f ca="1">IF(A2546="","",[1]!s_techanal_rcnthigh(B2546,$B$2,1,3))</f>
        <v>1</v>
      </c>
      <c r="E2546">
        <f ca="1">IF(A2546="","",COUNTIF(D$6:D2546,"True"))</f>
        <v>22</v>
      </c>
      <c r="F2546" t="str">
        <f t="shared" si="39"/>
        <v>301120.SZ</v>
      </c>
    </row>
    <row r="2547" spans="1:6" x14ac:dyDescent="0.15">
      <c r="A2547" s="2">
        <v>46089</v>
      </c>
      <c r="B2547" s="1" t="s">
        <v>4862</v>
      </c>
      <c r="C2547" s="1" t="s">
        <v>4863</v>
      </c>
      <c r="D2547" t="b">
        <f ca="1">IF(A2547="","",[1]!s_techanal_rcnthigh(B2547,$B$2,1,3))</f>
        <v>0</v>
      </c>
      <c r="E2547">
        <f ca="1">IF(A2547="","",COUNTIF(D$6:D2547,"True"))</f>
        <v>22</v>
      </c>
      <c r="F2547" t="str">
        <f t="shared" si="39"/>
        <v>301121.SZ</v>
      </c>
    </row>
    <row r="2548" spans="1:6" x14ac:dyDescent="0.15">
      <c r="A2548" s="2">
        <v>46089</v>
      </c>
      <c r="B2548" s="1" t="s">
        <v>4864</v>
      </c>
      <c r="C2548" s="1" t="s">
        <v>4865</v>
      </c>
      <c r="D2548" t="b">
        <f ca="1">IF(A2548="","",[1]!s_techanal_rcnthigh(B2548,$B$2,1,3))</f>
        <v>0</v>
      </c>
      <c r="E2548">
        <f ca="1">IF(A2548="","",COUNTIF(D$6:D2548,"True"))</f>
        <v>22</v>
      </c>
      <c r="F2548" t="str">
        <f t="shared" si="39"/>
        <v>301122.SZ</v>
      </c>
    </row>
    <row r="2549" spans="1:6" x14ac:dyDescent="0.15">
      <c r="A2549" s="2">
        <v>46089</v>
      </c>
      <c r="B2549" s="1" t="s">
        <v>4866</v>
      </c>
      <c r="C2549" s="1" t="s">
        <v>4867</v>
      </c>
      <c r="D2549" t="b">
        <f ca="1">IF(A2549="","",[1]!s_techanal_rcnthigh(B2549,$B$2,1,3))</f>
        <v>0</v>
      </c>
      <c r="E2549">
        <f ca="1">IF(A2549="","",COUNTIF(D$6:D2549,"True"))</f>
        <v>22</v>
      </c>
      <c r="F2549" t="str">
        <f t="shared" si="39"/>
        <v>301123.SZ</v>
      </c>
    </row>
    <row r="2550" spans="1:6" x14ac:dyDescent="0.15">
      <c r="A2550" s="2">
        <v>46089</v>
      </c>
      <c r="B2550" s="1" t="s">
        <v>4868</v>
      </c>
      <c r="C2550" s="1" t="s">
        <v>4869</v>
      </c>
      <c r="D2550" t="b">
        <f ca="1">IF(A2550="","",[1]!s_techanal_rcnthigh(B2550,$B$2,1,3))</f>
        <v>0</v>
      </c>
      <c r="E2550">
        <f ca="1">IF(A2550="","",COUNTIF(D$6:D2550,"True"))</f>
        <v>22</v>
      </c>
      <c r="F2550" t="str">
        <f t="shared" si="39"/>
        <v>301125.SZ</v>
      </c>
    </row>
    <row r="2551" spans="1:6" x14ac:dyDescent="0.15">
      <c r="A2551" s="2">
        <v>46089</v>
      </c>
      <c r="B2551" s="1" t="s">
        <v>4870</v>
      </c>
      <c r="C2551" s="1" t="s">
        <v>4871</v>
      </c>
      <c r="D2551" t="b">
        <f ca="1">IF(A2551="","",[1]!s_techanal_rcnthigh(B2551,$B$2,1,3))</f>
        <v>0</v>
      </c>
      <c r="E2551">
        <f ca="1">IF(A2551="","",COUNTIF(D$6:D2551,"True"))</f>
        <v>22</v>
      </c>
      <c r="F2551" t="str">
        <f t="shared" si="39"/>
        <v>301126.SZ</v>
      </c>
    </row>
    <row r="2552" spans="1:6" x14ac:dyDescent="0.15">
      <c r="A2552" s="2">
        <v>46089</v>
      </c>
      <c r="B2552" s="1" t="s">
        <v>4872</v>
      </c>
      <c r="C2552" s="1" t="s">
        <v>10244</v>
      </c>
      <c r="D2552" t="b">
        <f ca="1">IF(A2552="","",[1]!s_techanal_rcnthigh(B2552,$B$2,1,3))</f>
        <v>0</v>
      </c>
      <c r="E2552">
        <f ca="1">IF(A2552="","",COUNTIF(D$6:D2552,"True"))</f>
        <v>22</v>
      </c>
      <c r="F2552" t="str">
        <f t="shared" si="39"/>
        <v>301127.SZ</v>
      </c>
    </row>
    <row r="2553" spans="1:6" x14ac:dyDescent="0.15">
      <c r="A2553" s="2">
        <v>46089</v>
      </c>
      <c r="B2553" s="1" t="s">
        <v>4873</v>
      </c>
      <c r="C2553" s="1" t="s">
        <v>4874</v>
      </c>
      <c r="D2553" t="b">
        <f ca="1">IF(A2553="","",[1]!s_techanal_rcnthigh(B2553,$B$2,1,3))</f>
        <v>0</v>
      </c>
      <c r="E2553">
        <f ca="1">IF(A2553="","",COUNTIF(D$6:D2553,"True"))</f>
        <v>22</v>
      </c>
      <c r="F2553" t="str">
        <f t="shared" si="39"/>
        <v>301128.SZ</v>
      </c>
    </row>
    <row r="2554" spans="1:6" x14ac:dyDescent="0.15">
      <c r="A2554" s="2">
        <v>46089</v>
      </c>
      <c r="B2554" s="1" t="s">
        <v>4875</v>
      </c>
      <c r="C2554" s="1" t="s">
        <v>4876</v>
      </c>
      <c r="D2554" t="b">
        <f ca="1">IF(A2554="","",[1]!s_techanal_rcnthigh(B2554,$B$2,1,3))</f>
        <v>0</v>
      </c>
      <c r="E2554">
        <f ca="1">IF(A2554="","",COUNTIF(D$6:D2554,"True"))</f>
        <v>22</v>
      </c>
      <c r="F2554" t="str">
        <f t="shared" si="39"/>
        <v>301129.SZ</v>
      </c>
    </row>
    <row r="2555" spans="1:6" x14ac:dyDescent="0.15">
      <c r="A2555" s="2">
        <v>46089</v>
      </c>
      <c r="B2555" s="1" t="s">
        <v>4877</v>
      </c>
      <c r="C2555" s="1" t="s">
        <v>4878</v>
      </c>
      <c r="D2555" t="b">
        <f ca="1">IF(A2555="","",[1]!s_techanal_rcnthigh(B2555,$B$2,1,3))</f>
        <v>0</v>
      </c>
      <c r="E2555">
        <f ca="1">IF(A2555="","",COUNTIF(D$6:D2555,"True"))</f>
        <v>22</v>
      </c>
      <c r="F2555" t="str">
        <f t="shared" si="39"/>
        <v>301130.SZ</v>
      </c>
    </row>
    <row r="2556" spans="1:6" x14ac:dyDescent="0.15">
      <c r="A2556" s="2">
        <v>46089</v>
      </c>
      <c r="B2556" s="1" t="s">
        <v>4879</v>
      </c>
      <c r="C2556" s="1" t="s">
        <v>4880</v>
      </c>
      <c r="D2556" t="b">
        <f ca="1">IF(A2556="","",[1]!s_techanal_rcnthigh(B2556,$B$2,1,3))</f>
        <v>0</v>
      </c>
      <c r="E2556">
        <f ca="1">IF(A2556="","",COUNTIF(D$6:D2556,"True"))</f>
        <v>22</v>
      </c>
      <c r="F2556" t="str">
        <f t="shared" si="39"/>
        <v>301131.SZ</v>
      </c>
    </row>
    <row r="2557" spans="1:6" x14ac:dyDescent="0.15">
      <c r="A2557" s="2">
        <v>46089</v>
      </c>
      <c r="B2557" s="1" t="s">
        <v>4881</v>
      </c>
      <c r="C2557" s="1" t="s">
        <v>4882</v>
      </c>
      <c r="D2557" t="b">
        <f ca="1">IF(A2557="","",[1]!s_techanal_rcnthigh(B2557,$B$2,1,3))</f>
        <v>0</v>
      </c>
      <c r="E2557">
        <f ca="1">IF(A2557="","",COUNTIF(D$6:D2557,"True"))</f>
        <v>22</v>
      </c>
      <c r="F2557" t="str">
        <f t="shared" si="39"/>
        <v>301132.SZ</v>
      </c>
    </row>
    <row r="2558" spans="1:6" x14ac:dyDescent="0.15">
      <c r="A2558" s="2">
        <v>46089</v>
      </c>
      <c r="B2558" s="1" t="s">
        <v>4883</v>
      </c>
      <c r="C2558" s="1" t="s">
        <v>4884</v>
      </c>
      <c r="D2558" t="b">
        <f ca="1">IF(A2558="","",[1]!s_techanal_rcnthigh(B2558,$B$2,1,3))</f>
        <v>0</v>
      </c>
      <c r="E2558">
        <f ca="1">IF(A2558="","",COUNTIF(D$6:D2558,"True"))</f>
        <v>22</v>
      </c>
      <c r="F2558" t="str">
        <f t="shared" si="39"/>
        <v>301133.SZ</v>
      </c>
    </row>
    <row r="2559" spans="1:6" x14ac:dyDescent="0.15">
      <c r="A2559" s="2">
        <v>46089</v>
      </c>
      <c r="B2559" s="1" t="s">
        <v>4885</v>
      </c>
      <c r="C2559" s="1" t="s">
        <v>4886</v>
      </c>
      <c r="D2559" t="b">
        <f ca="1">IF(A2559="","",[1]!s_techanal_rcnthigh(B2559,$B$2,1,3))</f>
        <v>0</v>
      </c>
      <c r="E2559">
        <f ca="1">IF(A2559="","",COUNTIF(D$6:D2559,"True"))</f>
        <v>22</v>
      </c>
      <c r="F2559" t="str">
        <f t="shared" si="39"/>
        <v>301135.SZ</v>
      </c>
    </row>
    <row r="2560" spans="1:6" x14ac:dyDescent="0.15">
      <c r="A2560" s="2">
        <v>46089</v>
      </c>
      <c r="B2560" s="1" t="s">
        <v>4887</v>
      </c>
      <c r="C2560" s="1" t="s">
        <v>4888</v>
      </c>
      <c r="D2560" t="b">
        <f ca="1">IF(A2560="","",[1]!s_techanal_rcnthigh(B2560,$B$2,1,3))</f>
        <v>0</v>
      </c>
      <c r="E2560">
        <f ca="1">IF(A2560="","",COUNTIF(D$6:D2560,"True"))</f>
        <v>22</v>
      </c>
      <c r="F2560" t="str">
        <f t="shared" si="39"/>
        <v>301136.SZ</v>
      </c>
    </row>
    <row r="2561" spans="1:6" x14ac:dyDescent="0.15">
      <c r="A2561" s="2">
        <v>46089</v>
      </c>
      <c r="B2561" s="1" t="s">
        <v>4889</v>
      </c>
      <c r="C2561" s="1" t="s">
        <v>4890</v>
      </c>
      <c r="D2561" t="b">
        <f ca="1">IF(A2561="","",[1]!s_techanal_rcnthigh(B2561,$B$2,1,3))</f>
        <v>0</v>
      </c>
      <c r="E2561">
        <f ca="1">IF(A2561="","",COUNTIF(D$6:D2561,"True"))</f>
        <v>22</v>
      </c>
      <c r="F2561" t="str">
        <f t="shared" si="39"/>
        <v>301137.SZ</v>
      </c>
    </row>
    <row r="2562" spans="1:6" x14ac:dyDescent="0.15">
      <c r="A2562" s="2">
        <v>46089</v>
      </c>
      <c r="B2562" s="1" t="s">
        <v>4891</v>
      </c>
      <c r="C2562" s="1" t="s">
        <v>4892</v>
      </c>
      <c r="D2562" t="b">
        <f ca="1">IF(A2562="","",[1]!s_techanal_rcnthigh(B2562,$B$2,1,3))</f>
        <v>0</v>
      </c>
      <c r="E2562">
        <f ca="1">IF(A2562="","",COUNTIF(D$6:D2562,"True"))</f>
        <v>22</v>
      </c>
      <c r="F2562" t="str">
        <f t="shared" si="39"/>
        <v>301138.SZ</v>
      </c>
    </row>
    <row r="2563" spans="1:6" x14ac:dyDescent="0.15">
      <c r="A2563" s="2">
        <v>46089</v>
      </c>
      <c r="B2563" s="1" t="s">
        <v>4893</v>
      </c>
      <c r="C2563" s="1" t="s">
        <v>4894</v>
      </c>
      <c r="D2563" t="b">
        <f ca="1">IF(A2563="","",[1]!s_techanal_rcnthigh(B2563,$B$2,1,3))</f>
        <v>0</v>
      </c>
      <c r="E2563">
        <f ca="1">IF(A2563="","",COUNTIF(D$6:D2563,"True"))</f>
        <v>22</v>
      </c>
      <c r="F2563" t="str">
        <f t="shared" si="39"/>
        <v>301139.SZ</v>
      </c>
    </row>
    <row r="2564" spans="1:6" x14ac:dyDescent="0.15">
      <c r="A2564" s="2">
        <v>46089</v>
      </c>
      <c r="B2564" s="1" t="s">
        <v>4895</v>
      </c>
      <c r="C2564" s="1" t="s">
        <v>4896</v>
      </c>
      <c r="D2564" t="b">
        <f ca="1">IF(A2564="","",[1]!s_techanal_rcnthigh(B2564,$B$2,1,3))</f>
        <v>0</v>
      </c>
      <c r="E2564">
        <f ca="1">IF(A2564="","",COUNTIF(D$6:D2564,"True"))</f>
        <v>22</v>
      </c>
      <c r="F2564" t="str">
        <f t="shared" si="39"/>
        <v>301141.SZ</v>
      </c>
    </row>
    <row r="2565" spans="1:6" x14ac:dyDescent="0.15">
      <c r="A2565" s="2">
        <v>46089</v>
      </c>
      <c r="B2565" s="1" t="s">
        <v>4897</v>
      </c>
      <c r="C2565" s="1" t="s">
        <v>4898</v>
      </c>
      <c r="D2565" t="b">
        <f ca="1">IF(A2565="","",[1]!s_techanal_rcnthigh(B2565,$B$2,1,3))</f>
        <v>0</v>
      </c>
      <c r="E2565">
        <f ca="1">IF(A2565="","",COUNTIF(D$6:D2565,"True"))</f>
        <v>22</v>
      </c>
      <c r="F2565" t="str">
        <f t="shared" si="39"/>
        <v>301148.SZ</v>
      </c>
    </row>
    <row r="2566" spans="1:6" x14ac:dyDescent="0.15">
      <c r="A2566" s="2">
        <v>46089</v>
      </c>
      <c r="B2566" s="1" t="s">
        <v>4899</v>
      </c>
      <c r="C2566" s="1" t="s">
        <v>4900</v>
      </c>
      <c r="D2566" t="b">
        <f ca="1">IF(A2566="","",[1]!s_techanal_rcnthigh(B2566,$B$2,1,3))</f>
        <v>0</v>
      </c>
      <c r="E2566">
        <f ca="1">IF(A2566="","",COUNTIF(D$6:D2566,"True"))</f>
        <v>22</v>
      </c>
      <c r="F2566" t="str">
        <f t="shared" ref="F2566:F2629" si="40">IF(B2566="","",B2566)</f>
        <v>301149.SZ</v>
      </c>
    </row>
    <row r="2567" spans="1:6" x14ac:dyDescent="0.15">
      <c r="A2567" s="2">
        <v>46089</v>
      </c>
      <c r="B2567" s="1" t="s">
        <v>4901</v>
      </c>
      <c r="C2567" s="1" t="s">
        <v>4902</v>
      </c>
      <c r="D2567" t="b">
        <f ca="1">IF(A2567="","",[1]!s_techanal_rcnthigh(B2567,$B$2,1,3))</f>
        <v>0</v>
      </c>
      <c r="E2567">
        <f ca="1">IF(A2567="","",COUNTIF(D$6:D2567,"True"))</f>
        <v>22</v>
      </c>
      <c r="F2567" t="str">
        <f t="shared" si="40"/>
        <v>301150.SZ</v>
      </c>
    </row>
    <row r="2568" spans="1:6" x14ac:dyDescent="0.15">
      <c r="A2568" s="2">
        <v>46089</v>
      </c>
      <c r="B2568" s="1" t="s">
        <v>4903</v>
      </c>
      <c r="C2568" s="1" t="s">
        <v>4904</v>
      </c>
      <c r="D2568" t="b">
        <f ca="1">IF(A2568="","",[1]!s_techanal_rcnthigh(B2568,$B$2,1,3))</f>
        <v>0</v>
      </c>
      <c r="E2568">
        <f ca="1">IF(A2568="","",COUNTIF(D$6:D2568,"True"))</f>
        <v>22</v>
      </c>
      <c r="F2568" t="str">
        <f t="shared" si="40"/>
        <v>301151.SZ</v>
      </c>
    </row>
    <row r="2569" spans="1:6" x14ac:dyDescent="0.15">
      <c r="A2569" s="2">
        <v>46089</v>
      </c>
      <c r="B2569" s="1" t="s">
        <v>4905</v>
      </c>
      <c r="C2569" s="1" t="s">
        <v>4906</v>
      </c>
      <c r="D2569" t="b">
        <f ca="1">IF(A2569="","",[1]!s_techanal_rcnthigh(B2569,$B$2,1,3))</f>
        <v>0</v>
      </c>
      <c r="E2569">
        <f ca="1">IF(A2569="","",COUNTIF(D$6:D2569,"True"))</f>
        <v>22</v>
      </c>
      <c r="F2569" t="str">
        <f t="shared" si="40"/>
        <v>301152.SZ</v>
      </c>
    </row>
    <row r="2570" spans="1:6" x14ac:dyDescent="0.15">
      <c r="A2570" s="2">
        <v>46089</v>
      </c>
      <c r="B2570" s="1" t="s">
        <v>4907</v>
      </c>
      <c r="C2570" s="1" t="s">
        <v>4908</v>
      </c>
      <c r="D2570" t="b">
        <f ca="1">IF(A2570="","",[1]!s_techanal_rcnthigh(B2570,$B$2,1,3))</f>
        <v>0</v>
      </c>
      <c r="E2570">
        <f ca="1">IF(A2570="","",COUNTIF(D$6:D2570,"True"))</f>
        <v>22</v>
      </c>
      <c r="F2570" t="str">
        <f t="shared" si="40"/>
        <v>301153.SZ</v>
      </c>
    </row>
    <row r="2571" spans="1:6" x14ac:dyDescent="0.15">
      <c r="A2571" s="2">
        <v>46089</v>
      </c>
      <c r="B2571" s="1" t="s">
        <v>4909</v>
      </c>
      <c r="C2571" s="1" t="s">
        <v>4910</v>
      </c>
      <c r="D2571" t="b">
        <f ca="1">IF(A2571="","",[1]!s_techanal_rcnthigh(B2571,$B$2,1,3))</f>
        <v>0</v>
      </c>
      <c r="E2571">
        <f ca="1">IF(A2571="","",COUNTIF(D$6:D2571,"True"))</f>
        <v>22</v>
      </c>
      <c r="F2571" t="str">
        <f t="shared" si="40"/>
        <v>301155.SZ</v>
      </c>
    </row>
    <row r="2572" spans="1:6" x14ac:dyDescent="0.15">
      <c r="A2572" s="2">
        <v>46089</v>
      </c>
      <c r="B2572" s="1" t="s">
        <v>4911</v>
      </c>
      <c r="C2572" s="1" t="s">
        <v>4912</v>
      </c>
      <c r="D2572" t="b">
        <f ca="1">IF(A2572="","",[1]!s_techanal_rcnthigh(B2572,$B$2,1,3))</f>
        <v>0</v>
      </c>
      <c r="E2572">
        <f ca="1">IF(A2572="","",COUNTIF(D$6:D2572,"True"))</f>
        <v>22</v>
      </c>
      <c r="F2572" t="str">
        <f t="shared" si="40"/>
        <v>301156.SZ</v>
      </c>
    </row>
    <row r="2573" spans="1:6" x14ac:dyDescent="0.15">
      <c r="A2573" s="2">
        <v>46089</v>
      </c>
      <c r="B2573" s="1" t="s">
        <v>4913</v>
      </c>
      <c r="C2573" s="1" t="s">
        <v>4914</v>
      </c>
      <c r="D2573" t="b">
        <f ca="1">IF(A2573="","",[1]!s_techanal_rcnthigh(B2573,$B$2,1,3))</f>
        <v>0</v>
      </c>
      <c r="E2573">
        <f ca="1">IF(A2573="","",COUNTIF(D$6:D2573,"True"))</f>
        <v>22</v>
      </c>
      <c r="F2573" t="str">
        <f t="shared" si="40"/>
        <v>301157.SZ</v>
      </c>
    </row>
    <row r="2574" spans="1:6" x14ac:dyDescent="0.15">
      <c r="A2574" s="2">
        <v>46089</v>
      </c>
      <c r="B2574" s="1" t="s">
        <v>4915</v>
      </c>
      <c r="C2574" s="1" t="s">
        <v>4916</v>
      </c>
      <c r="D2574" t="b">
        <f ca="1">IF(A2574="","",[1]!s_techanal_rcnthigh(B2574,$B$2,1,3))</f>
        <v>0</v>
      </c>
      <c r="E2574">
        <f ca="1">IF(A2574="","",COUNTIF(D$6:D2574,"True"))</f>
        <v>22</v>
      </c>
      <c r="F2574" t="str">
        <f t="shared" si="40"/>
        <v>301158.SZ</v>
      </c>
    </row>
    <row r="2575" spans="1:6" x14ac:dyDescent="0.15">
      <c r="A2575" s="2">
        <v>46089</v>
      </c>
      <c r="B2575" s="1" t="s">
        <v>4917</v>
      </c>
      <c r="C2575" s="1" t="s">
        <v>4918</v>
      </c>
      <c r="D2575" t="b">
        <f ca="1">IF(A2575="","",[1]!s_techanal_rcnthigh(B2575,$B$2,1,3))</f>
        <v>0</v>
      </c>
      <c r="E2575">
        <f ca="1">IF(A2575="","",COUNTIF(D$6:D2575,"True"))</f>
        <v>22</v>
      </c>
      <c r="F2575" t="str">
        <f t="shared" si="40"/>
        <v>301159.SZ</v>
      </c>
    </row>
    <row r="2576" spans="1:6" x14ac:dyDescent="0.15">
      <c r="A2576" s="2">
        <v>46089</v>
      </c>
      <c r="B2576" s="1" t="s">
        <v>4919</v>
      </c>
      <c r="C2576" s="1" t="s">
        <v>4920</v>
      </c>
      <c r="D2576" t="b">
        <f ca="1">IF(A2576="","",[1]!s_techanal_rcnthigh(B2576,$B$2,1,3))</f>
        <v>0</v>
      </c>
      <c r="E2576">
        <f ca="1">IF(A2576="","",COUNTIF(D$6:D2576,"True"))</f>
        <v>22</v>
      </c>
      <c r="F2576" t="str">
        <f t="shared" si="40"/>
        <v>301160.SZ</v>
      </c>
    </row>
    <row r="2577" spans="1:6" x14ac:dyDescent="0.15">
      <c r="A2577" s="2">
        <v>46089</v>
      </c>
      <c r="B2577" s="1" t="s">
        <v>4921</v>
      </c>
      <c r="C2577" s="1" t="s">
        <v>4922</v>
      </c>
      <c r="D2577" t="b">
        <f ca="1">IF(A2577="","",[1]!s_techanal_rcnthigh(B2577,$B$2,1,3))</f>
        <v>0</v>
      </c>
      <c r="E2577">
        <f ca="1">IF(A2577="","",COUNTIF(D$6:D2577,"True"))</f>
        <v>22</v>
      </c>
      <c r="F2577" t="str">
        <f t="shared" si="40"/>
        <v>301161.SZ</v>
      </c>
    </row>
    <row r="2578" spans="1:6" x14ac:dyDescent="0.15">
      <c r="A2578" s="2">
        <v>46089</v>
      </c>
      <c r="B2578" s="1" t="s">
        <v>4923</v>
      </c>
      <c r="C2578" s="1" t="s">
        <v>4924</v>
      </c>
      <c r="D2578" t="b">
        <f ca="1">IF(A2578="","",[1]!s_techanal_rcnthigh(B2578,$B$2,1,3))</f>
        <v>0</v>
      </c>
      <c r="E2578">
        <f ca="1">IF(A2578="","",COUNTIF(D$6:D2578,"True"))</f>
        <v>22</v>
      </c>
      <c r="F2578" t="str">
        <f t="shared" si="40"/>
        <v>301162.SZ</v>
      </c>
    </row>
    <row r="2579" spans="1:6" x14ac:dyDescent="0.15">
      <c r="A2579" s="2">
        <v>46089</v>
      </c>
      <c r="B2579" s="1" t="s">
        <v>4925</v>
      </c>
      <c r="C2579" s="1" t="s">
        <v>4926</v>
      </c>
      <c r="D2579" t="b">
        <f ca="1">IF(A2579="","",[1]!s_techanal_rcnthigh(B2579,$B$2,1,3))</f>
        <v>0</v>
      </c>
      <c r="E2579">
        <f ca="1">IF(A2579="","",COUNTIF(D$6:D2579,"True"))</f>
        <v>22</v>
      </c>
      <c r="F2579" t="str">
        <f t="shared" si="40"/>
        <v>301163.SZ</v>
      </c>
    </row>
    <row r="2580" spans="1:6" x14ac:dyDescent="0.15">
      <c r="A2580" s="2">
        <v>46089</v>
      </c>
      <c r="B2580" s="1" t="s">
        <v>4927</v>
      </c>
      <c r="C2580" s="1" t="s">
        <v>4928</v>
      </c>
      <c r="D2580" t="b">
        <f ca="1">IF(A2580="","",[1]!s_techanal_rcnthigh(B2580,$B$2,1,3))</f>
        <v>0</v>
      </c>
      <c r="E2580">
        <f ca="1">IF(A2580="","",COUNTIF(D$6:D2580,"True"))</f>
        <v>22</v>
      </c>
      <c r="F2580" t="str">
        <f t="shared" si="40"/>
        <v>301165.SZ</v>
      </c>
    </row>
    <row r="2581" spans="1:6" x14ac:dyDescent="0.15">
      <c r="A2581" s="2">
        <v>46089</v>
      </c>
      <c r="B2581" s="1" t="s">
        <v>4929</v>
      </c>
      <c r="C2581" s="1" t="s">
        <v>4930</v>
      </c>
      <c r="D2581" t="b">
        <f ca="1">IF(A2581="","",[1]!s_techanal_rcnthigh(B2581,$B$2,1,3))</f>
        <v>0</v>
      </c>
      <c r="E2581">
        <f ca="1">IF(A2581="","",COUNTIF(D$6:D2581,"True"))</f>
        <v>22</v>
      </c>
      <c r="F2581" t="str">
        <f t="shared" si="40"/>
        <v>301166.SZ</v>
      </c>
    </row>
    <row r="2582" spans="1:6" x14ac:dyDescent="0.15">
      <c r="A2582" s="2">
        <v>46089</v>
      </c>
      <c r="B2582" s="1" t="s">
        <v>4931</v>
      </c>
      <c r="C2582" s="1" t="s">
        <v>4932</v>
      </c>
      <c r="D2582" t="b">
        <f ca="1">IF(A2582="","",[1]!s_techanal_rcnthigh(B2582,$B$2,1,3))</f>
        <v>0</v>
      </c>
      <c r="E2582">
        <f ca="1">IF(A2582="","",COUNTIF(D$6:D2582,"True"))</f>
        <v>22</v>
      </c>
      <c r="F2582" t="str">
        <f t="shared" si="40"/>
        <v>301167.SZ</v>
      </c>
    </row>
    <row r="2583" spans="1:6" x14ac:dyDescent="0.15">
      <c r="A2583" s="2">
        <v>46089</v>
      </c>
      <c r="B2583" s="1" t="s">
        <v>4933</v>
      </c>
      <c r="C2583" s="1" t="s">
        <v>4934</v>
      </c>
      <c r="D2583" t="b">
        <f ca="1">IF(A2583="","",[1]!s_techanal_rcnthigh(B2583,$B$2,1,3))</f>
        <v>0</v>
      </c>
      <c r="E2583">
        <f ca="1">IF(A2583="","",COUNTIF(D$6:D2583,"True"))</f>
        <v>22</v>
      </c>
      <c r="F2583" t="str">
        <f t="shared" si="40"/>
        <v>301168.SZ</v>
      </c>
    </row>
    <row r="2584" spans="1:6" x14ac:dyDescent="0.15">
      <c r="A2584" s="2">
        <v>46089</v>
      </c>
      <c r="B2584" s="1" t="s">
        <v>4935</v>
      </c>
      <c r="C2584" s="1" t="s">
        <v>4936</v>
      </c>
      <c r="D2584" t="b">
        <f ca="1">IF(A2584="","",[1]!s_techanal_rcnthigh(B2584,$B$2,1,3))</f>
        <v>0</v>
      </c>
      <c r="E2584">
        <f ca="1">IF(A2584="","",COUNTIF(D$6:D2584,"True"))</f>
        <v>22</v>
      </c>
      <c r="F2584" t="str">
        <f t="shared" si="40"/>
        <v>301169.SZ</v>
      </c>
    </row>
    <row r="2585" spans="1:6" x14ac:dyDescent="0.15">
      <c r="A2585" s="2">
        <v>46089</v>
      </c>
      <c r="B2585" s="1" t="s">
        <v>4937</v>
      </c>
      <c r="C2585" s="1" t="s">
        <v>4938</v>
      </c>
      <c r="D2585" t="b">
        <f ca="1">IF(A2585="","",[1]!s_techanal_rcnthigh(B2585,$B$2,1,3))</f>
        <v>0</v>
      </c>
      <c r="E2585">
        <f ca="1">IF(A2585="","",COUNTIF(D$6:D2585,"True"))</f>
        <v>22</v>
      </c>
      <c r="F2585" t="str">
        <f t="shared" si="40"/>
        <v>301170.SZ</v>
      </c>
    </row>
    <row r="2586" spans="1:6" x14ac:dyDescent="0.15">
      <c r="A2586" s="2">
        <v>46089</v>
      </c>
      <c r="B2586" s="1" t="s">
        <v>4939</v>
      </c>
      <c r="C2586" s="1" t="s">
        <v>4940</v>
      </c>
      <c r="D2586" t="b">
        <f ca="1">IF(A2586="","",[1]!s_techanal_rcnthigh(B2586,$B$2,1,3))</f>
        <v>0</v>
      </c>
      <c r="E2586">
        <f ca="1">IF(A2586="","",COUNTIF(D$6:D2586,"True"))</f>
        <v>22</v>
      </c>
      <c r="F2586" t="str">
        <f t="shared" si="40"/>
        <v>301171.SZ</v>
      </c>
    </row>
    <row r="2587" spans="1:6" x14ac:dyDescent="0.15">
      <c r="A2587" s="2">
        <v>46089</v>
      </c>
      <c r="B2587" s="1" t="s">
        <v>4941</v>
      </c>
      <c r="C2587" s="1" t="s">
        <v>4942</v>
      </c>
      <c r="D2587" t="b">
        <f ca="1">IF(A2587="","",[1]!s_techanal_rcnthigh(B2587,$B$2,1,3))</f>
        <v>0</v>
      </c>
      <c r="E2587">
        <f ca="1">IF(A2587="","",COUNTIF(D$6:D2587,"True"))</f>
        <v>22</v>
      </c>
      <c r="F2587" t="str">
        <f t="shared" si="40"/>
        <v>301172.SZ</v>
      </c>
    </row>
    <row r="2588" spans="1:6" x14ac:dyDescent="0.15">
      <c r="A2588" s="2">
        <v>46089</v>
      </c>
      <c r="B2588" s="1" t="s">
        <v>10245</v>
      </c>
      <c r="C2588" s="1" t="s">
        <v>10246</v>
      </c>
      <c r="D2588" t="b">
        <f ca="1">IF(A2588="","",[1]!s_techanal_rcnthigh(B2588,$B$2,1,3))</f>
        <v>0</v>
      </c>
      <c r="E2588">
        <f ca="1">IF(A2588="","",COUNTIF(D$6:D2588,"True"))</f>
        <v>22</v>
      </c>
      <c r="F2588" t="str">
        <f t="shared" si="40"/>
        <v>301173.SZ</v>
      </c>
    </row>
    <row r="2589" spans="1:6" x14ac:dyDescent="0.15">
      <c r="A2589" s="2">
        <v>46089</v>
      </c>
      <c r="B2589" s="1" t="s">
        <v>4943</v>
      </c>
      <c r="C2589" s="1" t="s">
        <v>4944</v>
      </c>
      <c r="D2589" t="b">
        <f ca="1">IF(A2589="","",[1]!s_techanal_rcnthigh(B2589,$B$2,1,3))</f>
        <v>0</v>
      </c>
      <c r="E2589">
        <f ca="1">IF(A2589="","",COUNTIF(D$6:D2589,"True"))</f>
        <v>22</v>
      </c>
      <c r="F2589" t="str">
        <f t="shared" si="40"/>
        <v>301175.SZ</v>
      </c>
    </row>
    <row r="2590" spans="1:6" x14ac:dyDescent="0.15">
      <c r="A2590" s="2">
        <v>46089</v>
      </c>
      <c r="B2590" s="1" t="s">
        <v>4945</v>
      </c>
      <c r="C2590" s="1" t="s">
        <v>4946</v>
      </c>
      <c r="D2590" t="b">
        <f ca="1">IF(A2590="","",[1]!s_techanal_rcnthigh(B2590,$B$2,1,3))</f>
        <v>0</v>
      </c>
      <c r="E2590">
        <f ca="1">IF(A2590="","",COUNTIF(D$6:D2590,"True"))</f>
        <v>22</v>
      </c>
      <c r="F2590" t="str">
        <f t="shared" si="40"/>
        <v>301176.SZ</v>
      </c>
    </row>
    <row r="2591" spans="1:6" x14ac:dyDescent="0.15">
      <c r="A2591" s="2">
        <v>46089</v>
      </c>
      <c r="B2591" s="1" t="s">
        <v>4947</v>
      </c>
      <c r="C2591" s="1" t="s">
        <v>4948</v>
      </c>
      <c r="D2591" t="b">
        <f ca="1">IF(A2591="","",[1]!s_techanal_rcnthigh(B2591,$B$2,1,3))</f>
        <v>0</v>
      </c>
      <c r="E2591">
        <f ca="1">IF(A2591="","",COUNTIF(D$6:D2591,"True"))</f>
        <v>22</v>
      </c>
      <c r="F2591" t="str">
        <f t="shared" si="40"/>
        <v>301177.SZ</v>
      </c>
    </row>
    <row r="2592" spans="1:6" x14ac:dyDescent="0.15">
      <c r="A2592" s="2">
        <v>46089</v>
      </c>
      <c r="B2592" s="1" t="s">
        <v>4949</v>
      </c>
      <c r="C2592" s="1" t="s">
        <v>4950</v>
      </c>
      <c r="D2592" t="b">
        <f ca="1">IF(A2592="","",[1]!s_techanal_rcnthigh(B2592,$B$2,1,3))</f>
        <v>0</v>
      </c>
      <c r="E2592">
        <f ca="1">IF(A2592="","",COUNTIF(D$6:D2592,"True"))</f>
        <v>22</v>
      </c>
      <c r="F2592" t="str">
        <f t="shared" si="40"/>
        <v>301178.SZ</v>
      </c>
    </row>
    <row r="2593" spans="1:6" x14ac:dyDescent="0.15">
      <c r="A2593" s="2">
        <v>46089</v>
      </c>
      <c r="B2593" s="1" t="s">
        <v>4951</v>
      </c>
      <c r="C2593" s="1" t="s">
        <v>4952</v>
      </c>
      <c r="D2593" t="b">
        <f ca="1">IF(A2593="","",[1]!s_techanal_rcnthigh(B2593,$B$2,1,3))</f>
        <v>0</v>
      </c>
      <c r="E2593">
        <f ca="1">IF(A2593="","",COUNTIF(D$6:D2593,"True"))</f>
        <v>22</v>
      </c>
      <c r="F2593" t="str">
        <f t="shared" si="40"/>
        <v>301179.SZ</v>
      </c>
    </row>
    <row r="2594" spans="1:6" x14ac:dyDescent="0.15">
      <c r="A2594" s="2">
        <v>46089</v>
      </c>
      <c r="B2594" s="1" t="s">
        <v>4953</v>
      </c>
      <c r="C2594" s="1" t="s">
        <v>4954</v>
      </c>
      <c r="D2594" t="b">
        <f ca="1">IF(A2594="","",[1]!s_techanal_rcnthigh(B2594,$B$2,1,3))</f>
        <v>0</v>
      </c>
      <c r="E2594">
        <f ca="1">IF(A2594="","",COUNTIF(D$6:D2594,"True"))</f>
        <v>22</v>
      </c>
      <c r="F2594" t="str">
        <f t="shared" si="40"/>
        <v>301180.SZ</v>
      </c>
    </row>
    <row r="2595" spans="1:6" x14ac:dyDescent="0.15">
      <c r="A2595" s="2">
        <v>46089</v>
      </c>
      <c r="B2595" s="1" t="s">
        <v>4955</v>
      </c>
      <c r="C2595" s="1" t="s">
        <v>4956</v>
      </c>
      <c r="D2595" t="b">
        <f ca="1">IF(A2595="","",[1]!s_techanal_rcnthigh(B2595,$B$2,1,3))</f>
        <v>0</v>
      </c>
      <c r="E2595">
        <f ca="1">IF(A2595="","",COUNTIF(D$6:D2595,"True"))</f>
        <v>22</v>
      </c>
      <c r="F2595" t="str">
        <f t="shared" si="40"/>
        <v>301181.SZ</v>
      </c>
    </row>
    <row r="2596" spans="1:6" x14ac:dyDescent="0.15">
      <c r="A2596" s="2">
        <v>46089</v>
      </c>
      <c r="B2596" s="1" t="s">
        <v>4957</v>
      </c>
      <c r="C2596" s="1" t="s">
        <v>4958</v>
      </c>
      <c r="D2596" t="b">
        <f ca="1">IF(A2596="","",[1]!s_techanal_rcnthigh(B2596,$B$2,1,3))</f>
        <v>0</v>
      </c>
      <c r="E2596">
        <f ca="1">IF(A2596="","",COUNTIF(D$6:D2596,"True"))</f>
        <v>22</v>
      </c>
      <c r="F2596" t="str">
        <f t="shared" si="40"/>
        <v>301182.SZ</v>
      </c>
    </row>
    <row r="2597" spans="1:6" x14ac:dyDescent="0.15">
      <c r="A2597" s="2">
        <v>46089</v>
      </c>
      <c r="B2597" s="1" t="s">
        <v>4959</v>
      </c>
      <c r="C2597" s="1" t="s">
        <v>4960</v>
      </c>
      <c r="D2597" t="b">
        <f ca="1">IF(A2597="","",[1]!s_techanal_rcnthigh(B2597,$B$2,1,3))</f>
        <v>0</v>
      </c>
      <c r="E2597">
        <f ca="1">IF(A2597="","",COUNTIF(D$6:D2597,"True"))</f>
        <v>22</v>
      </c>
      <c r="F2597" t="str">
        <f t="shared" si="40"/>
        <v>301183.SZ</v>
      </c>
    </row>
    <row r="2598" spans="1:6" x14ac:dyDescent="0.15">
      <c r="A2598" s="2">
        <v>46089</v>
      </c>
      <c r="B2598" s="1" t="s">
        <v>4961</v>
      </c>
      <c r="C2598" s="1" t="s">
        <v>4962</v>
      </c>
      <c r="D2598" t="b">
        <f ca="1">IF(A2598="","",[1]!s_techanal_rcnthigh(B2598,$B$2,1,3))</f>
        <v>0</v>
      </c>
      <c r="E2598">
        <f ca="1">IF(A2598="","",COUNTIF(D$6:D2598,"True"))</f>
        <v>22</v>
      </c>
      <c r="F2598" t="str">
        <f t="shared" si="40"/>
        <v>301185.SZ</v>
      </c>
    </row>
    <row r="2599" spans="1:6" x14ac:dyDescent="0.15">
      <c r="A2599" s="2">
        <v>46089</v>
      </c>
      <c r="B2599" s="1" t="s">
        <v>4963</v>
      </c>
      <c r="C2599" s="1" t="s">
        <v>4964</v>
      </c>
      <c r="D2599" t="b">
        <f ca="1">IF(A2599="","",[1]!s_techanal_rcnthigh(B2599,$B$2,1,3))</f>
        <v>0</v>
      </c>
      <c r="E2599">
        <f ca="1">IF(A2599="","",COUNTIF(D$6:D2599,"True"))</f>
        <v>22</v>
      </c>
      <c r="F2599" t="str">
        <f t="shared" si="40"/>
        <v>301186.SZ</v>
      </c>
    </row>
    <row r="2600" spans="1:6" x14ac:dyDescent="0.15">
      <c r="A2600" s="2">
        <v>46089</v>
      </c>
      <c r="B2600" s="1" t="s">
        <v>4965</v>
      </c>
      <c r="C2600" s="1" t="s">
        <v>4966</v>
      </c>
      <c r="D2600" t="b">
        <f ca="1">IF(A2600="","",[1]!s_techanal_rcnthigh(B2600,$B$2,1,3))</f>
        <v>0</v>
      </c>
      <c r="E2600">
        <f ca="1">IF(A2600="","",COUNTIF(D$6:D2600,"True"))</f>
        <v>22</v>
      </c>
      <c r="F2600" t="str">
        <f t="shared" si="40"/>
        <v>301187.SZ</v>
      </c>
    </row>
    <row r="2601" spans="1:6" x14ac:dyDescent="0.15">
      <c r="A2601" s="2">
        <v>46089</v>
      </c>
      <c r="B2601" s="1" t="s">
        <v>4967</v>
      </c>
      <c r="C2601" s="1" t="s">
        <v>10247</v>
      </c>
      <c r="D2601" t="b">
        <f ca="1">IF(A2601="","",[1]!s_techanal_rcnthigh(B2601,$B$2,1,3))</f>
        <v>0</v>
      </c>
      <c r="E2601">
        <f ca="1">IF(A2601="","",COUNTIF(D$6:D2601,"True"))</f>
        <v>22</v>
      </c>
      <c r="F2601" t="str">
        <f t="shared" si="40"/>
        <v>301188.SZ</v>
      </c>
    </row>
    <row r="2602" spans="1:6" x14ac:dyDescent="0.15">
      <c r="A2602" s="2">
        <v>46089</v>
      </c>
      <c r="B2602" s="1" t="s">
        <v>4968</v>
      </c>
      <c r="C2602" s="1" t="s">
        <v>4969</v>
      </c>
      <c r="D2602" t="b">
        <f ca="1">IF(A2602="","",[1]!s_techanal_rcnthigh(B2602,$B$2,1,3))</f>
        <v>0</v>
      </c>
      <c r="E2602">
        <f ca="1">IF(A2602="","",COUNTIF(D$6:D2602,"True"))</f>
        <v>22</v>
      </c>
      <c r="F2602" t="str">
        <f t="shared" si="40"/>
        <v>301189.SZ</v>
      </c>
    </row>
    <row r="2603" spans="1:6" x14ac:dyDescent="0.15">
      <c r="A2603" s="2">
        <v>46089</v>
      </c>
      <c r="B2603" s="1" t="s">
        <v>4970</v>
      </c>
      <c r="C2603" s="1" t="s">
        <v>4971</v>
      </c>
      <c r="D2603" t="b">
        <f ca="1">IF(A2603="","",[1]!s_techanal_rcnthigh(B2603,$B$2,1,3))</f>
        <v>0</v>
      </c>
      <c r="E2603">
        <f ca="1">IF(A2603="","",COUNTIF(D$6:D2603,"True"))</f>
        <v>22</v>
      </c>
      <c r="F2603" t="str">
        <f t="shared" si="40"/>
        <v>301190.SZ</v>
      </c>
    </row>
    <row r="2604" spans="1:6" x14ac:dyDescent="0.15">
      <c r="A2604" s="2">
        <v>46089</v>
      </c>
      <c r="B2604" s="1" t="s">
        <v>4972</v>
      </c>
      <c r="C2604" s="1" t="s">
        <v>4973</v>
      </c>
      <c r="D2604" t="b">
        <f ca="1">IF(A2604="","",[1]!s_techanal_rcnthigh(B2604,$B$2,1,3))</f>
        <v>0</v>
      </c>
      <c r="E2604">
        <f ca="1">IF(A2604="","",COUNTIF(D$6:D2604,"True"))</f>
        <v>22</v>
      </c>
      <c r="F2604" t="str">
        <f t="shared" si="40"/>
        <v>301191.SZ</v>
      </c>
    </row>
    <row r="2605" spans="1:6" x14ac:dyDescent="0.15">
      <c r="A2605" s="2">
        <v>46089</v>
      </c>
      <c r="B2605" s="1" t="s">
        <v>4974</v>
      </c>
      <c r="C2605" s="1" t="s">
        <v>4975</v>
      </c>
      <c r="D2605" t="b">
        <f ca="1">IF(A2605="","",[1]!s_techanal_rcnthigh(B2605,$B$2,1,3))</f>
        <v>0</v>
      </c>
      <c r="E2605">
        <f ca="1">IF(A2605="","",COUNTIF(D$6:D2605,"True"))</f>
        <v>22</v>
      </c>
      <c r="F2605" t="str">
        <f t="shared" si="40"/>
        <v>301192.SZ</v>
      </c>
    </row>
    <row r="2606" spans="1:6" x14ac:dyDescent="0.15">
      <c r="A2606" s="2">
        <v>46089</v>
      </c>
      <c r="B2606" s="1" t="s">
        <v>4976</v>
      </c>
      <c r="C2606" s="1" t="s">
        <v>4977</v>
      </c>
      <c r="D2606" t="b">
        <f ca="1">IF(A2606="","",[1]!s_techanal_rcnthigh(B2606,$B$2,1,3))</f>
        <v>1</v>
      </c>
      <c r="E2606">
        <f ca="1">IF(A2606="","",COUNTIF(D$6:D2606,"True"))</f>
        <v>23</v>
      </c>
      <c r="F2606" t="str">
        <f t="shared" si="40"/>
        <v>301193.SZ</v>
      </c>
    </row>
    <row r="2607" spans="1:6" x14ac:dyDescent="0.15">
      <c r="A2607" s="2">
        <v>46089</v>
      </c>
      <c r="B2607" s="1" t="s">
        <v>4978</v>
      </c>
      <c r="C2607" s="1" t="s">
        <v>4979</v>
      </c>
      <c r="D2607" t="b">
        <f ca="1">IF(A2607="","",[1]!s_techanal_rcnthigh(B2607,$B$2,1,3))</f>
        <v>0</v>
      </c>
      <c r="E2607">
        <f ca="1">IF(A2607="","",COUNTIF(D$6:D2607,"True"))</f>
        <v>23</v>
      </c>
      <c r="F2607" t="str">
        <f t="shared" si="40"/>
        <v>301195.SZ</v>
      </c>
    </row>
    <row r="2608" spans="1:6" x14ac:dyDescent="0.15">
      <c r="A2608" s="2">
        <v>46089</v>
      </c>
      <c r="B2608" s="1" t="s">
        <v>4980</v>
      </c>
      <c r="C2608" s="1" t="s">
        <v>4981</v>
      </c>
      <c r="D2608" t="b">
        <f ca="1">IF(A2608="","",[1]!s_techanal_rcnthigh(B2608,$B$2,1,3))</f>
        <v>0</v>
      </c>
      <c r="E2608">
        <f ca="1">IF(A2608="","",COUNTIF(D$6:D2608,"True"))</f>
        <v>23</v>
      </c>
      <c r="F2608" t="str">
        <f t="shared" si="40"/>
        <v>301196.SZ</v>
      </c>
    </row>
    <row r="2609" spans="1:6" x14ac:dyDescent="0.15">
      <c r="A2609" s="2">
        <v>46089</v>
      </c>
      <c r="B2609" s="1" t="s">
        <v>4982</v>
      </c>
      <c r="C2609" s="1" t="s">
        <v>4983</v>
      </c>
      <c r="D2609" t="b">
        <f ca="1">IF(A2609="","",[1]!s_techanal_rcnthigh(B2609,$B$2,1,3))</f>
        <v>0</v>
      </c>
      <c r="E2609">
        <f ca="1">IF(A2609="","",COUNTIF(D$6:D2609,"True"))</f>
        <v>23</v>
      </c>
      <c r="F2609" t="str">
        <f t="shared" si="40"/>
        <v>301197.SZ</v>
      </c>
    </row>
    <row r="2610" spans="1:6" x14ac:dyDescent="0.15">
      <c r="A2610" s="2">
        <v>46089</v>
      </c>
      <c r="B2610" s="1" t="s">
        <v>4984</v>
      </c>
      <c r="C2610" s="1" t="s">
        <v>4985</v>
      </c>
      <c r="D2610" t="b">
        <f ca="1">IF(A2610="","",[1]!s_techanal_rcnthigh(B2610,$B$2,1,3))</f>
        <v>0</v>
      </c>
      <c r="E2610">
        <f ca="1">IF(A2610="","",COUNTIF(D$6:D2610,"True"))</f>
        <v>23</v>
      </c>
      <c r="F2610" t="str">
        <f t="shared" si="40"/>
        <v>301198.SZ</v>
      </c>
    </row>
    <row r="2611" spans="1:6" x14ac:dyDescent="0.15">
      <c r="A2611" s="2">
        <v>46089</v>
      </c>
      <c r="B2611" s="1" t="s">
        <v>4986</v>
      </c>
      <c r="C2611" s="1" t="s">
        <v>4987</v>
      </c>
      <c r="D2611" t="b">
        <f ca="1">IF(A2611="","",[1]!s_techanal_rcnthigh(B2611,$B$2,1,3))</f>
        <v>0</v>
      </c>
      <c r="E2611">
        <f ca="1">IF(A2611="","",COUNTIF(D$6:D2611,"True"))</f>
        <v>23</v>
      </c>
      <c r="F2611" t="str">
        <f t="shared" si="40"/>
        <v>301199.SZ</v>
      </c>
    </row>
    <row r="2612" spans="1:6" x14ac:dyDescent="0.15">
      <c r="A2612" s="2">
        <v>46089</v>
      </c>
      <c r="B2612" s="1" t="s">
        <v>4988</v>
      </c>
      <c r="C2612" s="1" t="s">
        <v>4989</v>
      </c>
      <c r="D2612" t="b">
        <f ca="1">IF(A2612="","",[1]!s_techanal_rcnthigh(B2612,$B$2,1,3))</f>
        <v>0</v>
      </c>
      <c r="E2612">
        <f ca="1">IF(A2612="","",COUNTIF(D$6:D2612,"True"))</f>
        <v>23</v>
      </c>
      <c r="F2612" t="str">
        <f t="shared" si="40"/>
        <v>301200.SZ</v>
      </c>
    </row>
    <row r="2613" spans="1:6" x14ac:dyDescent="0.15">
      <c r="A2613" s="2">
        <v>46089</v>
      </c>
      <c r="B2613" s="1" t="s">
        <v>4990</v>
      </c>
      <c r="C2613" s="1" t="s">
        <v>4991</v>
      </c>
      <c r="D2613" t="b">
        <f ca="1">IF(A2613="","",[1]!s_techanal_rcnthigh(B2613,$B$2,1,3))</f>
        <v>0</v>
      </c>
      <c r="E2613">
        <f ca="1">IF(A2613="","",COUNTIF(D$6:D2613,"True"))</f>
        <v>23</v>
      </c>
      <c r="F2613" t="str">
        <f t="shared" si="40"/>
        <v>301201.SZ</v>
      </c>
    </row>
    <row r="2614" spans="1:6" x14ac:dyDescent="0.15">
      <c r="A2614" s="2">
        <v>46089</v>
      </c>
      <c r="B2614" s="1" t="s">
        <v>4992</v>
      </c>
      <c r="C2614" s="1" t="s">
        <v>4993</v>
      </c>
      <c r="D2614" t="b">
        <f ca="1">IF(A2614="","",[1]!s_techanal_rcnthigh(B2614,$B$2,1,3))</f>
        <v>0</v>
      </c>
      <c r="E2614">
        <f ca="1">IF(A2614="","",COUNTIF(D$6:D2614,"True"))</f>
        <v>23</v>
      </c>
      <c r="F2614" t="str">
        <f t="shared" si="40"/>
        <v>301202.SZ</v>
      </c>
    </row>
    <row r="2615" spans="1:6" x14ac:dyDescent="0.15">
      <c r="A2615" s="2">
        <v>46089</v>
      </c>
      <c r="B2615" s="1" t="s">
        <v>4994</v>
      </c>
      <c r="C2615" s="1" t="s">
        <v>4995</v>
      </c>
      <c r="D2615" t="b">
        <f ca="1">IF(A2615="","",[1]!s_techanal_rcnthigh(B2615,$B$2,1,3))</f>
        <v>0</v>
      </c>
      <c r="E2615">
        <f ca="1">IF(A2615="","",COUNTIF(D$6:D2615,"True"))</f>
        <v>23</v>
      </c>
      <c r="F2615" t="str">
        <f t="shared" si="40"/>
        <v>301203.SZ</v>
      </c>
    </row>
    <row r="2616" spans="1:6" x14ac:dyDescent="0.15">
      <c r="A2616" s="2">
        <v>46089</v>
      </c>
      <c r="B2616" s="1" t="s">
        <v>4996</v>
      </c>
      <c r="C2616" s="1" t="s">
        <v>4997</v>
      </c>
      <c r="D2616" t="b">
        <f ca="1">IF(A2616="","",[1]!s_techanal_rcnthigh(B2616,$B$2,1,3))</f>
        <v>0</v>
      </c>
      <c r="E2616">
        <f ca="1">IF(A2616="","",COUNTIF(D$6:D2616,"True"))</f>
        <v>23</v>
      </c>
      <c r="F2616" t="str">
        <f t="shared" si="40"/>
        <v>301205.SZ</v>
      </c>
    </row>
    <row r="2617" spans="1:6" x14ac:dyDescent="0.15">
      <c r="A2617" s="2">
        <v>46089</v>
      </c>
      <c r="B2617" s="1" t="s">
        <v>4998</v>
      </c>
      <c r="C2617" s="1" t="s">
        <v>4999</v>
      </c>
      <c r="D2617" t="b">
        <f ca="1">IF(A2617="","",[1]!s_techanal_rcnthigh(B2617,$B$2,1,3))</f>
        <v>0</v>
      </c>
      <c r="E2617">
        <f ca="1">IF(A2617="","",COUNTIF(D$6:D2617,"True"))</f>
        <v>23</v>
      </c>
      <c r="F2617" t="str">
        <f t="shared" si="40"/>
        <v>301206.SZ</v>
      </c>
    </row>
    <row r="2618" spans="1:6" x14ac:dyDescent="0.15">
      <c r="A2618" s="2">
        <v>46089</v>
      </c>
      <c r="B2618" s="1" t="s">
        <v>5000</v>
      </c>
      <c r="C2618" s="1" t="s">
        <v>5001</v>
      </c>
      <c r="D2618" t="b">
        <f ca="1">IF(A2618="","",[1]!s_techanal_rcnthigh(B2618,$B$2,1,3))</f>
        <v>0</v>
      </c>
      <c r="E2618">
        <f ca="1">IF(A2618="","",COUNTIF(D$6:D2618,"True"))</f>
        <v>23</v>
      </c>
      <c r="F2618" t="str">
        <f t="shared" si="40"/>
        <v>301207.SZ</v>
      </c>
    </row>
    <row r="2619" spans="1:6" x14ac:dyDescent="0.15">
      <c r="A2619" s="2">
        <v>46089</v>
      </c>
      <c r="B2619" s="1" t="s">
        <v>5002</v>
      </c>
      <c r="C2619" s="1" t="s">
        <v>5003</v>
      </c>
      <c r="D2619" t="b">
        <f ca="1">IF(A2619="","",[1]!s_techanal_rcnthigh(B2619,$B$2,1,3))</f>
        <v>0</v>
      </c>
      <c r="E2619">
        <f ca="1">IF(A2619="","",COUNTIF(D$6:D2619,"True"))</f>
        <v>23</v>
      </c>
      <c r="F2619" t="str">
        <f t="shared" si="40"/>
        <v>301208.SZ</v>
      </c>
    </row>
    <row r="2620" spans="1:6" x14ac:dyDescent="0.15">
      <c r="A2620" s="2">
        <v>46089</v>
      </c>
      <c r="B2620" s="1" t="s">
        <v>5004</v>
      </c>
      <c r="C2620" s="1" t="s">
        <v>5005</v>
      </c>
      <c r="D2620" t="b">
        <f ca="1">IF(A2620="","",[1]!s_techanal_rcnthigh(B2620,$B$2,1,3))</f>
        <v>0</v>
      </c>
      <c r="E2620">
        <f ca="1">IF(A2620="","",COUNTIF(D$6:D2620,"True"))</f>
        <v>23</v>
      </c>
      <c r="F2620" t="str">
        <f t="shared" si="40"/>
        <v>301209.SZ</v>
      </c>
    </row>
    <row r="2621" spans="1:6" x14ac:dyDescent="0.15">
      <c r="A2621" s="2">
        <v>46089</v>
      </c>
      <c r="B2621" s="1" t="s">
        <v>5006</v>
      </c>
      <c r="C2621" s="1" t="s">
        <v>10248</v>
      </c>
      <c r="D2621" t="b">
        <f ca="1">IF(A2621="","",[1]!s_techanal_rcnthigh(B2621,$B$2,1,3))</f>
        <v>0</v>
      </c>
      <c r="E2621">
        <f ca="1">IF(A2621="","",COUNTIF(D$6:D2621,"True"))</f>
        <v>23</v>
      </c>
      <c r="F2621" t="str">
        <f t="shared" si="40"/>
        <v>301210.SZ</v>
      </c>
    </row>
    <row r="2622" spans="1:6" x14ac:dyDescent="0.15">
      <c r="A2622" s="2">
        <v>46089</v>
      </c>
      <c r="B2622" s="1" t="s">
        <v>5007</v>
      </c>
      <c r="C2622" s="1" t="s">
        <v>5008</v>
      </c>
      <c r="D2622" t="b">
        <f ca="1">IF(A2622="","",[1]!s_techanal_rcnthigh(B2622,$B$2,1,3))</f>
        <v>0</v>
      </c>
      <c r="E2622">
        <f ca="1">IF(A2622="","",COUNTIF(D$6:D2622,"True"))</f>
        <v>23</v>
      </c>
      <c r="F2622" t="str">
        <f t="shared" si="40"/>
        <v>301211.SZ</v>
      </c>
    </row>
    <row r="2623" spans="1:6" x14ac:dyDescent="0.15">
      <c r="A2623" s="2">
        <v>46089</v>
      </c>
      <c r="B2623" s="1" t="s">
        <v>5009</v>
      </c>
      <c r="C2623" s="1" t="s">
        <v>5010</v>
      </c>
      <c r="D2623" t="b">
        <f ca="1">IF(A2623="","",[1]!s_techanal_rcnthigh(B2623,$B$2,1,3))</f>
        <v>0</v>
      </c>
      <c r="E2623">
        <f ca="1">IF(A2623="","",COUNTIF(D$6:D2623,"True"))</f>
        <v>23</v>
      </c>
      <c r="F2623" t="str">
        <f t="shared" si="40"/>
        <v>301212.SZ</v>
      </c>
    </row>
    <row r="2624" spans="1:6" x14ac:dyDescent="0.15">
      <c r="A2624" s="2">
        <v>46089</v>
      </c>
      <c r="B2624" s="1" t="s">
        <v>5011</v>
      </c>
      <c r="C2624" s="1" t="s">
        <v>5012</v>
      </c>
      <c r="D2624" t="b">
        <f ca="1">IF(A2624="","",[1]!s_techanal_rcnthigh(B2624,$B$2,1,3))</f>
        <v>0</v>
      </c>
      <c r="E2624">
        <f ca="1">IF(A2624="","",COUNTIF(D$6:D2624,"True"))</f>
        <v>23</v>
      </c>
      <c r="F2624" t="str">
        <f t="shared" si="40"/>
        <v>301213.SZ</v>
      </c>
    </row>
    <row r="2625" spans="1:6" x14ac:dyDescent="0.15">
      <c r="A2625" s="2">
        <v>46089</v>
      </c>
      <c r="B2625" s="1" t="s">
        <v>5013</v>
      </c>
      <c r="C2625" s="1" t="s">
        <v>5014</v>
      </c>
      <c r="D2625" t="b">
        <f ca="1">IF(A2625="","",[1]!s_techanal_rcnthigh(B2625,$B$2,1,3))</f>
        <v>0</v>
      </c>
      <c r="E2625">
        <f ca="1">IF(A2625="","",COUNTIF(D$6:D2625,"True"))</f>
        <v>23</v>
      </c>
      <c r="F2625" t="str">
        <f t="shared" si="40"/>
        <v>301215.SZ</v>
      </c>
    </row>
    <row r="2626" spans="1:6" x14ac:dyDescent="0.15">
      <c r="A2626" s="2">
        <v>46089</v>
      </c>
      <c r="B2626" s="1" t="s">
        <v>5015</v>
      </c>
      <c r="C2626" s="1" t="s">
        <v>5016</v>
      </c>
      <c r="D2626" t="b">
        <f ca="1">IF(A2626="","",[1]!s_techanal_rcnthigh(B2626,$B$2,1,3))</f>
        <v>0</v>
      </c>
      <c r="E2626">
        <f ca="1">IF(A2626="","",COUNTIF(D$6:D2626,"True"))</f>
        <v>23</v>
      </c>
      <c r="F2626" t="str">
        <f t="shared" si="40"/>
        <v>301216.SZ</v>
      </c>
    </row>
    <row r="2627" spans="1:6" x14ac:dyDescent="0.15">
      <c r="A2627" s="2">
        <v>46089</v>
      </c>
      <c r="B2627" s="1" t="s">
        <v>5017</v>
      </c>
      <c r="C2627" s="1" t="s">
        <v>5018</v>
      </c>
      <c r="D2627" t="b">
        <f ca="1">IF(A2627="","",[1]!s_techanal_rcnthigh(B2627,$B$2,1,3))</f>
        <v>0</v>
      </c>
      <c r="E2627">
        <f ca="1">IF(A2627="","",COUNTIF(D$6:D2627,"True"))</f>
        <v>23</v>
      </c>
      <c r="F2627" t="str">
        <f t="shared" si="40"/>
        <v>301217.SZ</v>
      </c>
    </row>
    <row r="2628" spans="1:6" x14ac:dyDescent="0.15">
      <c r="A2628" s="2">
        <v>46089</v>
      </c>
      <c r="B2628" s="1" t="s">
        <v>5019</v>
      </c>
      <c r="C2628" s="1" t="s">
        <v>5020</v>
      </c>
      <c r="D2628" t="b">
        <f ca="1">IF(A2628="","",[1]!s_techanal_rcnthigh(B2628,$B$2,1,3))</f>
        <v>0</v>
      </c>
      <c r="E2628">
        <f ca="1">IF(A2628="","",COUNTIF(D$6:D2628,"True"))</f>
        <v>23</v>
      </c>
      <c r="F2628" t="str">
        <f t="shared" si="40"/>
        <v>301218.SZ</v>
      </c>
    </row>
    <row r="2629" spans="1:6" x14ac:dyDescent="0.15">
      <c r="A2629" s="2">
        <v>46089</v>
      </c>
      <c r="B2629" s="1" t="s">
        <v>5021</v>
      </c>
      <c r="C2629" s="1" t="s">
        <v>5022</v>
      </c>
      <c r="D2629" t="b">
        <f ca="1">IF(A2629="","",[1]!s_techanal_rcnthigh(B2629,$B$2,1,3))</f>
        <v>0</v>
      </c>
      <c r="E2629">
        <f ca="1">IF(A2629="","",COUNTIF(D$6:D2629,"True"))</f>
        <v>23</v>
      </c>
      <c r="F2629" t="str">
        <f t="shared" si="40"/>
        <v>301219.SZ</v>
      </c>
    </row>
    <row r="2630" spans="1:6" x14ac:dyDescent="0.15">
      <c r="A2630" s="2">
        <v>46089</v>
      </c>
      <c r="B2630" s="1" t="s">
        <v>5023</v>
      </c>
      <c r="C2630" s="1" t="s">
        <v>5024</v>
      </c>
      <c r="D2630" t="b">
        <f ca="1">IF(A2630="","",[1]!s_techanal_rcnthigh(B2630,$B$2,1,3))</f>
        <v>0</v>
      </c>
      <c r="E2630">
        <f ca="1">IF(A2630="","",COUNTIF(D$6:D2630,"True"))</f>
        <v>23</v>
      </c>
      <c r="F2630" t="str">
        <f t="shared" ref="F2630:F2693" si="41">IF(B2630="","",B2630)</f>
        <v>301220.SZ</v>
      </c>
    </row>
    <row r="2631" spans="1:6" x14ac:dyDescent="0.15">
      <c r="A2631" s="2">
        <v>46089</v>
      </c>
      <c r="B2631" s="1" t="s">
        <v>5025</v>
      </c>
      <c r="C2631" s="1" t="s">
        <v>5026</v>
      </c>
      <c r="D2631" t="b">
        <f ca="1">IF(A2631="","",[1]!s_techanal_rcnthigh(B2631,$B$2,1,3))</f>
        <v>0</v>
      </c>
      <c r="E2631">
        <f ca="1">IF(A2631="","",COUNTIF(D$6:D2631,"True"))</f>
        <v>23</v>
      </c>
      <c r="F2631" t="str">
        <f t="shared" si="41"/>
        <v>301221.SZ</v>
      </c>
    </row>
    <row r="2632" spans="1:6" x14ac:dyDescent="0.15">
      <c r="A2632" s="2">
        <v>46089</v>
      </c>
      <c r="B2632" s="1" t="s">
        <v>5027</v>
      </c>
      <c r="C2632" s="1" t="s">
        <v>5028</v>
      </c>
      <c r="D2632" t="b">
        <f ca="1">IF(A2632="","",[1]!s_techanal_rcnthigh(B2632,$B$2,1,3))</f>
        <v>0</v>
      </c>
      <c r="E2632">
        <f ca="1">IF(A2632="","",COUNTIF(D$6:D2632,"True"))</f>
        <v>23</v>
      </c>
      <c r="F2632" t="str">
        <f t="shared" si="41"/>
        <v>301222.SZ</v>
      </c>
    </row>
    <row r="2633" spans="1:6" x14ac:dyDescent="0.15">
      <c r="A2633" s="2">
        <v>46089</v>
      </c>
      <c r="B2633" s="1" t="s">
        <v>5029</v>
      </c>
      <c r="C2633" s="1" t="s">
        <v>5030</v>
      </c>
      <c r="D2633" t="b">
        <f ca="1">IF(A2633="","",[1]!s_techanal_rcnthigh(B2633,$B$2,1,3))</f>
        <v>0</v>
      </c>
      <c r="E2633">
        <f ca="1">IF(A2633="","",COUNTIF(D$6:D2633,"True"))</f>
        <v>23</v>
      </c>
      <c r="F2633" t="str">
        <f t="shared" si="41"/>
        <v>301223.SZ</v>
      </c>
    </row>
    <row r="2634" spans="1:6" x14ac:dyDescent="0.15">
      <c r="A2634" s="2">
        <v>46089</v>
      </c>
      <c r="B2634" s="1" t="s">
        <v>5031</v>
      </c>
      <c r="C2634" s="1" t="s">
        <v>5032</v>
      </c>
      <c r="D2634" t="b">
        <f ca="1">IF(A2634="","",[1]!s_techanal_rcnthigh(B2634,$B$2,1,3))</f>
        <v>0</v>
      </c>
      <c r="E2634">
        <f ca="1">IF(A2634="","",COUNTIF(D$6:D2634,"True"))</f>
        <v>23</v>
      </c>
      <c r="F2634" t="str">
        <f t="shared" si="41"/>
        <v>301225.SZ</v>
      </c>
    </row>
    <row r="2635" spans="1:6" x14ac:dyDescent="0.15">
      <c r="A2635" s="2">
        <v>46089</v>
      </c>
      <c r="B2635" s="1" t="s">
        <v>5033</v>
      </c>
      <c r="C2635" s="1" t="s">
        <v>5034</v>
      </c>
      <c r="D2635" t="b">
        <f ca="1">IF(A2635="","",[1]!s_techanal_rcnthigh(B2635,$B$2,1,3))</f>
        <v>0</v>
      </c>
      <c r="E2635">
        <f ca="1">IF(A2635="","",COUNTIF(D$6:D2635,"True"))</f>
        <v>23</v>
      </c>
      <c r="F2635" t="str">
        <f t="shared" si="41"/>
        <v>301226.SZ</v>
      </c>
    </row>
    <row r="2636" spans="1:6" x14ac:dyDescent="0.15">
      <c r="A2636" s="2">
        <v>46089</v>
      </c>
      <c r="B2636" s="1" t="s">
        <v>5035</v>
      </c>
      <c r="C2636" s="1" t="s">
        <v>5036</v>
      </c>
      <c r="D2636" t="b">
        <f ca="1">IF(A2636="","",[1]!s_techanal_rcnthigh(B2636,$B$2,1,3))</f>
        <v>0</v>
      </c>
      <c r="E2636">
        <f ca="1">IF(A2636="","",COUNTIF(D$6:D2636,"True"))</f>
        <v>23</v>
      </c>
      <c r="F2636" t="str">
        <f t="shared" si="41"/>
        <v>301227.SZ</v>
      </c>
    </row>
    <row r="2637" spans="1:6" x14ac:dyDescent="0.15">
      <c r="A2637" s="2">
        <v>46089</v>
      </c>
      <c r="B2637" s="1" t="s">
        <v>5037</v>
      </c>
      <c r="C2637" s="1" t="s">
        <v>5038</v>
      </c>
      <c r="D2637" t="b">
        <f ca="1">IF(A2637="","",[1]!s_techanal_rcnthigh(B2637,$B$2,1,3))</f>
        <v>0</v>
      </c>
      <c r="E2637">
        <f ca="1">IF(A2637="","",COUNTIF(D$6:D2637,"True"))</f>
        <v>23</v>
      </c>
      <c r="F2637" t="str">
        <f t="shared" si="41"/>
        <v>301228.SZ</v>
      </c>
    </row>
    <row r="2638" spans="1:6" x14ac:dyDescent="0.15">
      <c r="A2638" s="2">
        <v>46089</v>
      </c>
      <c r="B2638" s="1" t="s">
        <v>5039</v>
      </c>
      <c r="C2638" s="1" t="s">
        <v>5040</v>
      </c>
      <c r="D2638" t="b">
        <f ca="1">IF(A2638="","",[1]!s_techanal_rcnthigh(B2638,$B$2,1,3))</f>
        <v>0</v>
      </c>
      <c r="E2638">
        <f ca="1">IF(A2638="","",COUNTIF(D$6:D2638,"True"))</f>
        <v>23</v>
      </c>
      <c r="F2638" t="str">
        <f t="shared" si="41"/>
        <v>301229.SZ</v>
      </c>
    </row>
    <row r="2639" spans="1:6" x14ac:dyDescent="0.15">
      <c r="A2639" s="2">
        <v>46089</v>
      </c>
      <c r="B2639" s="1" t="s">
        <v>5041</v>
      </c>
      <c r="C2639" s="1" t="s">
        <v>5042</v>
      </c>
      <c r="D2639" t="b">
        <f ca="1">IF(A2639="","",[1]!s_techanal_rcnthigh(B2639,$B$2,1,3))</f>
        <v>0</v>
      </c>
      <c r="E2639">
        <f ca="1">IF(A2639="","",COUNTIF(D$6:D2639,"True"))</f>
        <v>23</v>
      </c>
      <c r="F2639" t="str">
        <f t="shared" si="41"/>
        <v>301230.SZ</v>
      </c>
    </row>
    <row r="2640" spans="1:6" x14ac:dyDescent="0.15">
      <c r="A2640" s="2">
        <v>46089</v>
      </c>
      <c r="B2640" s="1" t="s">
        <v>5043</v>
      </c>
      <c r="C2640" s="1" t="s">
        <v>5044</v>
      </c>
      <c r="D2640" t="b">
        <f ca="1">IF(A2640="","",[1]!s_techanal_rcnthigh(B2640,$B$2,1,3))</f>
        <v>0</v>
      </c>
      <c r="E2640">
        <f ca="1">IF(A2640="","",COUNTIF(D$6:D2640,"True"))</f>
        <v>23</v>
      </c>
      <c r="F2640" t="str">
        <f t="shared" si="41"/>
        <v>301231.SZ</v>
      </c>
    </row>
    <row r="2641" spans="1:6" x14ac:dyDescent="0.15">
      <c r="A2641" s="2">
        <v>46089</v>
      </c>
      <c r="B2641" s="1" t="s">
        <v>5045</v>
      </c>
      <c r="C2641" s="1" t="s">
        <v>5046</v>
      </c>
      <c r="D2641" t="b">
        <f ca="1">IF(A2641="","",[1]!s_techanal_rcnthigh(B2641,$B$2,1,3))</f>
        <v>0</v>
      </c>
      <c r="E2641">
        <f ca="1">IF(A2641="","",COUNTIF(D$6:D2641,"True"))</f>
        <v>23</v>
      </c>
      <c r="F2641" t="str">
        <f t="shared" si="41"/>
        <v>301232.SZ</v>
      </c>
    </row>
    <row r="2642" spans="1:6" x14ac:dyDescent="0.15">
      <c r="A2642" s="2">
        <v>46089</v>
      </c>
      <c r="B2642" s="1" t="s">
        <v>5047</v>
      </c>
      <c r="C2642" s="1" t="s">
        <v>5048</v>
      </c>
      <c r="D2642" t="b">
        <f ca="1">IF(A2642="","",[1]!s_techanal_rcnthigh(B2642,$B$2,1,3))</f>
        <v>0</v>
      </c>
      <c r="E2642">
        <f ca="1">IF(A2642="","",COUNTIF(D$6:D2642,"True"))</f>
        <v>23</v>
      </c>
      <c r="F2642" t="str">
        <f t="shared" si="41"/>
        <v>301233.SZ</v>
      </c>
    </row>
    <row r="2643" spans="1:6" x14ac:dyDescent="0.15">
      <c r="A2643" s="2">
        <v>46089</v>
      </c>
      <c r="B2643" s="1" t="s">
        <v>5049</v>
      </c>
      <c r="C2643" s="1" t="s">
        <v>5050</v>
      </c>
      <c r="D2643" t="b">
        <f ca="1">IF(A2643="","",[1]!s_techanal_rcnthigh(B2643,$B$2,1,3))</f>
        <v>0</v>
      </c>
      <c r="E2643">
        <f ca="1">IF(A2643="","",COUNTIF(D$6:D2643,"True"))</f>
        <v>23</v>
      </c>
      <c r="F2643" t="str">
        <f t="shared" si="41"/>
        <v>301234.SZ</v>
      </c>
    </row>
    <row r="2644" spans="1:6" x14ac:dyDescent="0.15">
      <c r="A2644" s="2">
        <v>46089</v>
      </c>
      <c r="B2644" s="1" t="s">
        <v>5051</v>
      </c>
      <c r="C2644" s="1" t="s">
        <v>10249</v>
      </c>
      <c r="D2644" t="b">
        <f ca="1">IF(A2644="","",[1]!s_techanal_rcnthigh(B2644,$B$2,1,3))</f>
        <v>0</v>
      </c>
      <c r="E2644">
        <f ca="1">IF(A2644="","",COUNTIF(D$6:D2644,"True"))</f>
        <v>23</v>
      </c>
      <c r="F2644" t="str">
        <f t="shared" si="41"/>
        <v>301235.SZ</v>
      </c>
    </row>
    <row r="2645" spans="1:6" x14ac:dyDescent="0.15">
      <c r="A2645" s="2">
        <v>46089</v>
      </c>
      <c r="B2645" s="1" t="s">
        <v>5052</v>
      </c>
      <c r="C2645" s="1" t="s">
        <v>5053</v>
      </c>
      <c r="D2645" t="b">
        <f ca="1">IF(A2645="","",[1]!s_techanal_rcnthigh(B2645,$B$2,1,3))</f>
        <v>0</v>
      </c>
      <c r="E2645">
        <f ca="1">IF(A2645="","",COUNTIF(D$6:D2645,"True"))</f>
        <v>23</v>
      </c>
      <c r="F2645" t="str">
        <f t="shared" si="41"/>
        <v>301236.SZ</v>
      </c>
    </row>
    <row r="2646" spans="1:6" x14ac:dyDescent="0.15">
      <c r="A2646" s="2">
        <v>46089</v>
      </c>
      <c r="B2646" s="1" t="s">
        <v>5054</v>
      </c>
      <c r="C2646" s="1" t="s">
        <v>5055</v>
      </c>
      <c r="D2646" t="b">
        <f ca="1">IF(A2646="","",[1]!s_techanal_rcnthigh(B2646,$B$2,1,3))</f>
        <v>0</v>
      </c>
      <c r="E2646">
        <f ca="1">IF(A2646="","",COUNTIF(D$6:D2646,"True"))</f>
        <v>23</v>
      </c>
      <c r="F2646" t="str">
        <f t="shared" si="41"/>
        <v>301237.SZ</v>
      </c>
    </row>
    <row r="2647" spans="1:6" x14ac:dyDescent="0.15">
      <c r="A2647" s="2">
        <v>46089</v>
      </c>
      <c r="B2647" s="1" t="s">
        <v>5056</v>
      </c>
      <c r="C2647" s="1" t="s">
        <v>5057</v>
      </c>
      <c r="D2647" t="b">
        <f ca="1">IF(A2647="","",[1]!s_techanal_rcnthigh(B2647,$B$2,1,3))</f>
        <v>0</v>
      </c>
      <c r="E2647">
        <f ca="1">IF(A2647="","",COUNTIF(D$6:D2647,"True"))</f>
        <v>23</v>
      </c>
      <c r="F2647" t="str">
        <f t="shared" si="41"/>
        <v>301238.SZ</v>
      </c>
    </row>
    <row r="2648" spans="1:6" x14ac:dyDescent="0.15">
      <c r="A2648" s="2">
        <v>46089</v>
      </c>
      <c r="B2648" s="1" t="s">
        <v>5058</v>
      </c>
      <c r="C2648" s="1" t="s">
        <v>5059</v>
      </c>
      <c r="D2648" t="b">
        <f ca="1">IF(A2648="","",[1]!s_techanal_rcnthigh(B2648,$B$2,1,3))</f>
        <v>0</v>
      </c>
      <c r="E2648">
        <f ca="1">IF(A2648="","",COUNTIF(D$6:D2648,"True"))</f>
        <v>23</v>
      </c>
      <c r="F2648" t="str">
        <f t="shared" si="41"/>
        <v>301239.SZ</v>
      </c>
    </row>
    <row r="2649" spans="1:6" x14ac:dyDescent="0.15">
      <c r="A2649" s="2">
        <v>46089</v>
      </c>
      <c r="B2649" s="1" t="s">
        <v>5060</v>
      </c>
      <c r="C2649" s="1" t="s">
        <v>5061</v>
      </c>
      <c r="D2649" t="b">
        <f ca="1">IF(A2649="","",[1]!s_techanal_rcnthigh(B2649,$B$2,1,3))</f>
        <v>0</v>
      </c>
      <c r="E2649">
        <f ca="1">IF(A2649="","",COUNTIF(D$6:D2649,"True"))</f>
        <v>23</v>
      </c>
      <c r="F2649" t="str">
        <f t="shared" si="41"/>
        <v>301246.SZ</v>
      </c>
    </row>
    <row r="2650" spans="1:6" x14ac:dyDescent="0.15">
      <c r="A2650" s="2">
        <v>46089</v>
      </c>
      <c r="B2650" s="1" t="s">
        <v>5062</v>
      </c>
      <c r="C2650" s="1" t="s">
        <v>5063</v>
      </c>
      <c r="D2650" t="b">
        <f ca="1">IF(A2650="","",[1]!s_techanal_rcnthigh(B2650,$B$2,1,3))</f>
        <v>0</v>
      </c>
      <c r="E2650">
        <f ca="1">IF(A2650="","",COUNTIF(D$6:D2650,"True"))</f>
        <v>23</v>
      </c>
      <c r="F2650" t="str">
        <f t="shared" si="41"/>
        <v>301248.SZ</v>
      </c>
    </row>
    <row r="2651" spans="1:6" x14ac:dyDescent="0.15">
      <c r="A2651" s="2">
        <v>46089</v>
      </c>
      <c r="B2651" s="1" t="s">
        <v>5064</v>
      </c>
      <c r="C2651" s="1" t="s">
        <v>5065</v>
      </c>
      <c r="D2651" t="b">
        <f ca="1">IF(A2651="","",[1]!s_techanal_rcnthigh(B2651,$B$2,1,3))</f>
        <v>0</v>
      </c>
      <c r="E2651">
        <f ca="1">IF(A2651="","",COUNTIF(D$6:D2651,"True"))</f>
        <v>23</v>
      </c>
      <c r="F2651" t="str">
        <f t="shared" si="41"/>
        <v>301251.SZ</v>
      </c>
    </row>
    <row r="2652" spans="1:6" x14ac:dyDescent="0.15">
      <c r="A2652" s="2">
        <v>46089</v>
      </c>
      <c r="B2652" s="1" t="s">
        <v>5066</v>
      </c>
      <c r="C2652" s="1" t="s">
        <v>5067</v>
      </c>
      <c r="D2652" t="b">
        <f ca="1">IF(A2652="","",[1]!s_techanal_rcnthigh(B2652,$B$2,1,3))</f>
        <v>0</v>
      </c>
      <c r="E2652">
        <f ca="1">IF(A2652="","",COUNTIF(D$6:D2652,"True"))</f>
        <v>23</v>
      </c>
      <c r="F2652" t="str">
        <f t="shared" si="41"/>
        <v>301252.SZ</v>
      </c>
    </row>
    <row r="2653" spans="1:6" x14ac:dyDescent="0.15">
      <c r="A2653" s="2">
        <v>46089</v>
      </c>
      <c r="B2653" s="1" t="s">
        <v>5068</v>
      </c>
      <c r="C2653" s="1" t="s">
        <v>5069</v>
      </c>
      <c r="D2653" t="b">
        <f ca="1">IF(A2653="","",[1]!s_techanal_rcnthigh(B2653,$B$2,1,3))</f>
        <v>0</v>
      </c>
      <c r="E2653">
        <f ca="1">IF(A2653="","",COUNTIF(D$6:D2653,"True"))</f>
        <v>23</v>
      </c>
      <c r="F2653" t="str">
        <f t="shared" si="41"/>
        <v>301255.SZ</v>
      </c>
    </row>
    <row r="2654" spans="1:6" x14ac:dyDescent="0.15">
      <c r="A2654" s="2">
        <v>46089</v>
      </c>
      <c r="B2654" s="1" t="s">
        <v>5070</v>
      </c>
      <c r="C2654" s="1" t="s">
        <v>5071</v>
      </c>
      <c r="D2654" t="b">
        <f ca="1">IF(A2654="","",[1]!s_techanal_rcnthigh(B2654,$B$2,1,3))</f>
        <v>0</v>
      </c>
      <c r="E2654">
        <f ca="1">IF(A2654="","",COUNTIF(D$6:D2654,"True"))</f>
        <v>23</v>
      </c>
      <c r="F2654" t="str">
        <f t="shared" si="41"/>
        <v>301256.SZ</v>
      </c>
    </row>
    <row r="2655" spans="1:6" x14ac:dyDescent="0.15">
      <c r="A2655" s="2">
        <v>46089</v>
      </c>
      <c r="B2655" s="1" t="s">
        <v>5072</v>
      </c>
      <c r="C2655" s="1" t="s">
        <v>5073</v>
      </c>
      <c r="D2655" t="b">
        <f ca="1">IF(A2655="","",[1]!s_techanal_rcnthigh(B2655,$B$2,1,3))</f>
        <v>0</v>
      </c>
      <c r="E2655">
        <f ca="1">IF(A2655="","",COUNTIF(D$6:D2655,"True"))</f>
        <v>23</v>
      </c>
      <c r="F2655" t="str">
        <f t="shared" si="41"/>
        <v>301257.SZ</v>
      </c>
    </row>
    <row r="2656" spans="1:6" x14ac:dyDescent="0.15">
      <c r="A2656" s="2">
        <v>46089</v>
      </c>
      <c r="B2656" s="1" t="s">
        <v>5074</v>
      </c>
      <c r="C2656" s="1" t="s">
        <v>5075</v>
      </c>
      <c r="D2656" t="b">
        <f ca="1">IF(A2656="","",[1]!s_techanal_rcnthigh(B2656,$B$2,1,3))</f>
        <v>0</v>
      </c>
      <c r="E2656">
        <f ca="1">IF(A2656="","",COUNTIF(D$6:D2656,"True"))</f>
        <v>23</v>
      </c>
      <c r="F2656" t="str">
        <f t="shared" si="41"/>
        <v>301258.SZ</v>
      </c>
    </row>
    <row r="2657" spans="1:6" x14ac:dyDescent="0.15">
      <c r="A2657" s="2">
        <v>46089</v>
      </c>
      <c r="B2657" s="1" t="s">
        <v>5076</v>
      </c>
      <c r="C2657" s="1" t="s">
        <v>5077</v>
      </c>
      <c r="D2657" t="b">
        <f ca="1">IF(A2657="","",[1]!s_techanal_rcnthigh(B2657,$B$2,1,3))</f>
        <v>0</v>
      </c>
      <c r="E2657">
        <f ca="1">IF(A2657="","",COUNTIF(D$6:D2657,"True"))</f>
        <v>23</v>
      </c>
      <c r="F2657" t="str">
        <f t="shared" si="41"/>
        <v>301259.SZ</v>
      </c>
    </row>
    <row r="2658" spans="1:6" x14ac:dyDescent="0.15">
      <c r="A2658" s="2">
        <v>46089</v>
      </c>
      <c r="B2658" s="1" t="s">
        <v>5078</v>
      </c>
      <c r="C2658" s="1" t="s">
        <v>5079</v>
      </c>
      <c r="D2658" t="b">
        <f ca="1">IF(A2658="","",[1]!s_techanal_rcnthigh(B2658,$B$2,1,3))</f>
        <v>0</v>
      </c>
      <c r="E2658">
        <f ca="1">IF(A2658="","",COUNTIF(D$6:D2658,"True"))</f>
        <v>23</v>
      </c>
      <c r="F2658" t="str">
        <f t="shared" si="41"/>
        <v>301260.SZ</v>
      </c>
    </row>
    <row r="2659" spans="1:6" x14ac:dyDescent="0.15">
      <c r="A2659" s="2">
        <v>46089</v>
      </c>
      <c r="B2659" s="1" t="s">
        <v>5080</v>
      </c>
      <c r="C2659" s="1" t="s">
        <v>5081</v>
      </c>
      <c r="D2659" t="b">
        <f ca="1">IF(A2659="","",[1]!s_techanal_rcnthigh(B2659,$B$2,1,3))</f>
        <v>0</v>
      </c>
      <c r="E2659">
        <f ca="1">IF(A2659="","",COUNTIF(D$6:D2659,"True"))</f>
        <v>23</v>
      </c>
      <c r="F2659" t="str">
        <f t="shared" si="41"/>
        <v>301261.SZ</v>
      </c>
    </row>
    <row r="2660" spans="1:6" x14ac:dyDescent="0.15">
      <c r="A2660" s="2">
        <v>46089</v>
      </c>
      <c r="B2660" s="1" t="s">
        <v>5082</v>
      </c>
      <c r="C2660" s="1" t="s">
        <v>5083</v>
      </c>
      <c r="D2660" t="b">
        <f ca="1">IF(A2660="","",[1]!s_techanal_rcnthigh(B2660,$B$2,1,3))</f>
        <v>0</v>
      </c>
      <c r="E2660">
        <f ca="1">IF(A2660="","",COUNTIF(D$6:D2660,"True"))</f>
        <v>23</v>
      </c>
      <c r="F2660" t="str">
        <f t="shared" si="41"/>
        <v>301262.SZ</v>
      </c>
    </row>
    <row r="2661" spans="1:6" x14ac:dyDescent="0.15">
      <c r="A2661" s="2">
        <v>46089</v>
      </c>
      <c r="B2661" s="1" t="s">
        <v>5084</v>
      </c>
      <c r="C2661" s="1" t="s">
        <v>5085</v>
      </c>
      <c r="D2661" t="b">
        <f ca="1">IF(A2661="","",[1]!s_techanal_rcnthigh(B2661,$B$2,1,3))</f>
        <v>0</v>
      </c>
      <c r="E2661">
        <f ca="1">IF(A2661="","",COUNTIF(D$6:D2661,"True"))</f>
        <v>23</v>
      </c>
      <c r="F2661" t="str">
        <f t="shared" si="41"/>
        <v>301263.SZ</v>
      </c>
    </row>
    <row r="2662" spans="1:6" x14ac:dyDescent="0.15">
      <c r="A2662" s="2">
        <v>46089</v>
      </c>
      <c r="B2662" s="1" t="s">
        <v>5086</v>
      </c>
      <c r="C2662" s="1" t="s">
        <v>5087</v>
      </c>
      <c r="D2662" t="b">
        <f ca="1">IF(A2662="","",[1]!s_techanal_rcnthigh(B2662,$B$2,1,3))</f>
        <v>0</v>
      </c>
      <c r="E2662">
        <f ca="1">IF(A2662="","",COUNTIF(D$6:D2662,"True"))</f>
        <v>23</v>
      </c>
      <c r="F2662" t="str">
        <f t="shared" si="41"/>
        <v>301265.SZ</v>
      </c>
    </row>
    <row r="2663" spans="1:6" x14ac:dyDescent="0.15">
      <c r="A2663" s="2">
        <v>46089</v>
      </c>
      <c r="B2663" s="1" t="s">
        <v>5088</v>
      </c>
      <c r="C2663" s="1" t="s">
        <v>5089</v>
      </c>
      <c r="D2663" t="b">
        <f ca="1">IF(A2663="","",[1]!s_techanal_rcnthigh(B2663,$B$2,1,3))</f>
        <v>0</v>
      </c>
      <c r="E2663">
        <f ca="1">IF(A2663="","",COUNTIF(D$6:D2663,"True"))</f>
        <v>23</v>
      </c>
      <c r="F2663" t="str">
        <f t="shared" si="41"/>
        <v>301266.SZ</v>
      </c>
    </row>
    <row r="2664" spans="1:6" x14ac:dyDescent="0.15">
      <c r="A2664" s="2">
        <v>46089</v>
      </c>
      <c r="B2664" s="1" t="s">
        <v>5090</v>
      </c>
      <c r="C2664" s="1" t="s">
        <v>5091</v>
      </c>
      <c r="D2664" t="b">
        <f ca="1">IF(A2664="","",[1]!s_techanal_rcnthigh(B2664,$B$2,1,3))</f>
        <v>0</v>
      </c>
      <c r="E2664">
        <f ca="1">IF(A2664="","",COUNTIF(D$6:D2664,"True"))</f>
        <v>23</v>
      </c>
      <c r="F2664" t="str">
        <f t="shared" si="41"/>
        <v>301267.SZ</v>
      </c>
    </row>
    <row r="2665" spans="1:6" x14ac:dyDescent="0.15">
      <c r="A2665" s="2">
        <v>46089</v>
      </c>
      <c r="B2665" s="1" t="s">
        <v>5092</v>
      </c>
      <c r="C2665" s="1" t="s">
        <v>5093</v>
      </c>
      <c r="D2665" t="b">
        <f ca="1">IF(A2665="","",[1]!s_techanal_rcnthigh(B2665,$B$2,1,3))</f>
        <v>0</v>
      </c>
      <c r="E2665">
        <f ca="1">IF(A2665="","",COUNTIF(D$6:D2665,"True"))</f>
        <v>23</v>
      </c>
      <c r="F2665" t="str">
        <f t="shared" si="41"/>
        <v>301268.SZ</v>
      </c>
    </row>
    <row r="2666" spans="1:6" x14ac:dyDescent="0.15">
      <c r="A2666" s="2">
        <v>46089</v>
      </c>
      <c r="B2666" s="1" t="s">
        <v>5094</v>
      </c>
      <c r="C2666" s="1" t="s">
        <v>5095</v>
      </c>
      <c r="D2666" t="b">
        <f ca="1">IF(A2666="","",[1]!s_techanal_rcnthigh(B2666,$B$2,1,3))</f>
        <v>0</v>
      </c>
      <c r="E2666">
        <f ca="1">IF(A2666="","",COUNTIF(D$6:D2666,"True"))</f>
        <v>23</v>
      </c>
      <c r="F2666" t="str">
        <f t="shared" si="41"/>
        <v>301269.SZ</v>
      </c>
    </row>
    <row r="2667" spans="1:6" x14ac:dyDescent="0.15">
      <c r="A2667" s="2">
        <v>46089</v>
      </c>
      <c r="B2667" s="1" t="s">
        <v>5096</v>
      </c>
      <c r="C2667" s="1" t="s">
        <v>5097</v>
      </c>
      <c r="D2667" t="b">
        <f ca="1">IF(A2667="","",[1]!s_techanal_rcnthigh(B2667,$B$2,1,3))</f>
        <v>0</v>
      </c>
      <c r="E2667">
        <f ca="1">IF(A2667="","",COUNTIF(D$6:D2667,"True"))</f>
        <v>23</v>
      </c>
      <c r="F2667" t="str">
        <f t="shared" si="41"/>
        <v>301270.SZ</v>
      </c>
    </row>
    <row r="2668" spans="1:6" x14ac:dyDescent="0.15">
      <c r="A2668" s="2">
        <v>46089</v>
      </c>
      <c r="B2668" s="1" t="s">
        <v>5098</v>
      </c>
      <c r="C2668" s="1" t="s">
        <v>5099</v>
      </c>
      <c r="D2668" t="b">
        <f ca="1">IF(A2668="","",[1]!s_techanal_rcnthigh(B2668,$B$2,1,3))</f>
        <v>0</v>
      </c>
      <c r="E2668">
        <f ca="1">IF(A2668="","",COUNTIF(D$6:D2668,"True"))</f>
        <v>23</v>
      </c>
      <c r="F2668" t="str">
        <f t="shared" si="41"/>
        <v>301272.SZ</v>
      </c>
    </row>
    <row r="2669" spans="1:6" x14ac:dyDescent="0.15">
      <c r="A2669" s="2">
        <v>46089</v>
      </c>
      <c r="B2669" s="1" t="s">
        <v>5100</v>
      </c>
      <c r="C2669" s="1" t="s">
        <v>5101</v>
      </c>
      <c r="D2669" t="b">
        <f ca="1">IF(A2669="","",[1]!s_techanal_rcnthigh(B2669,$B$2,1,3))</f>
        <v>0</v>
      </c>
      <c r="E2669">
        <f ca="1">IF(A2669="","",COUNTIF(D$6:D2669,"True"))</f>
        <v>23</v>
      </c>
      <c r="F2669" t="str">
        <f t="shared" si="41"/>
        <v>301273.SZ</v>
      </c>
    </row>
    <row r="2670" spans="1:6" x14ac:dyDescent="0.15">
      <c r="A2670" s="2">
        <v>46089</v>
      </c>
      <c r="B2670" s="1" t="s">
        <v>10250</v>
      </c>
      <c r="C2670" s="1" t="s">
        <v>10251</v>
      </c>
      <c r="D2670" t="b">
        <f ca="1">IF(A2670="","",[1]!s_techanal_rcnthigh(B2670,$B$2,1,3))</f>
        <v>0</v>
      </c>
      <c r="E2670">
        <f ca="1">IF(A2670="","",COUNTIF(D$6:D2670,"True"))</f>
        <v>23</v>
      </c>
      <c r="F2670" t="str">
        <f t="shared" si="41"/>
        <v>301275.SZ</v>
      </c>
    </row>
    <row r="2671" spans="1:6" x14ac:dyDescent="0.15">
      <c r="A2671" s="2">
        <v>46089</v>
      </c>
      <c r="B2671" s="1" t="s">
        <v>5102</v>
      </c>
      <c r="C2671" s="1" t="s">
        <v>5103</v>
      </c>
      <c r="D2671" t="b">
        <f ca="1">IF(A2671="","",[1]!s_techanal_rcnthigh(B2671,$B$2,1,3))</f>
        <v>0</v>
      </c>
      <c r="E2671">
        <f ca="1">IF(A2671="","",COUNTIF(D$6:D2671,"True"))</f>
        <v>23</v>
      </c>
      <c r="F2671" t="str">
        <f t="shared" si="41"/>
        <v>301276.SZ</v>
      </c>
    </row>
    <row r="2672" spans="1:6" x14ac:dyDescent="0.15">
      <c r="A2672" s="2">
        <v>46089</v>
      </c>
      <c r="B2672" s="1" t="s">
        <v>5104</v>
      </c>
      <c r="C2672" s="1" t="s">
        <v>5105</v>
      </c>
      <c r="D2672" t="b">
        <f ca="1">IF(A2672="","",[1]!s_techanal_rcnthigh(B2672,$B$2,1,3))</f>
        <v>0</v>
      </c>
      <c r="E2672">
        <f ca="1">IF(A2672="","",COUNTIF(D$6:D2672,"True"))</f>
        <v>23</v>
      </c>
      <c r="F2672" t="str">
        <f t="shared" si="41"/>
        <v>301277.SZ</v>
      </c>
    </row>
    <row r="2673" spans="1:6" x14ac:dyDescent="0.15">
      <c r="A2673" s="2">
        <v>46089</v>
      </c>
      <c r="B2673" s="1" t="s">
        <v>5106</v>
      </c>
      <c r="C2673" s="1" t="s">
        <v>5107</v>
      </c>
      <c r="D2673" t="b">
        <f ca="1">IF(A2673="","",[1]!s_techanal_rcnthigh(B2673,$B$2,1,3))</f>
        <v>0</v>
      </c>
      <c r="E2673">
        <f ca="1">IF(A2673="","",COUNTIF(D$6:D2673,"True"))</f>
        <v>23</v>
      </c>
      <c r="F2673" t="str">
        <f t="shared" si="41"/>
        <v>301278.SZ</v>
      </c>
    </row>
    <row r="2674" spans="1:6" x14ac:dyDescent="0.15">
      <c r="A2674" s="2">
        <v>46089</v>
      </c>
      <c r="B2674" s="1" t="s">
        <v>5108</v>
      </c>
      <c r="C2674" s="1" t="s">
        <v>5109</v>
      </c>
      <c r="D2674" t="b">
        <f ca="1">IF(A2674="","",[1]!s_techanal_rcnthigh(B2674,$B$2,1,3))</f>
        <v>0</v>
      </c>
      <c r="E2674">
        <f ca="1">IF(A2674="","",COUNTIF(D$6:D2674,"True"))</f>
        <v>23</v>
      </c>
      <c r="F2674" t="str">
        <f t="shared" si="41"/>
        <v>301279.SZ</v>
      </c>
    </row>
    <row r="2675" spans="1:6" x14ac:dyDescent="0.15">
      <c r="A2675" s="2">
        <v>46089</v>
      </c>
      <c r="B2675" s="1" t="s">
        <v>5110</v>
      </c>
      <c r="C2675" s="1" t="s">
        <v>5111</v>
      </c>
      <c r="D2675" t="b">
        <f ca="1">IF(A2675="","",[1]!s_techanal_rcnthigh(B2675,$B$2,1,3))</f>
        <v>0</v>
      </c>
      <c r="E2675">
        <f ca="1">IF(A2675="","",COUNTIF(D$6:D2675,"True"))</f>
        <v>23</v>
      </c>
      <c r="F2675" t="str">
        <f t="shared" si="41"/>
        <v>301280.SZ</v>
      </c>
    </row>
    <row r="2676" spans="1:6" x14ac:dyDescent="0.15">
      <c r="A2676" s="2">
        <v>46089</v>
      </c>
      <c r="B2676" s="1" t="s">
        <v>5112</v>
      </c>
      <c r="C2676" s="1" t="s">
        <v>5113</v>
      </c>
      <c r="D2676" t="b">
        <f ca="1">IF(A2676="","",[1]!s_techanal_rcnthigh(B2676,$B$2,1,3))</f>
        <v>0</v>
      </c>
      <c r="E2676">
        <f ca="1">IF(A2676="","",COUNTIF(D$6:D2676,"True"))</f>
        <v>23</v>
      </c>
      <c r="F2676" t="str">
        <f t="shared" si="41"/>
        <v>301281.SZ</v>
      </c>
    </row>
    <row r="2677" spans="1:6" x14ac:dyDescent="0.15">
      <c r="A2677" s="2">
        <v>46089</v>
      </c>
      <c r="B2677" s="1" t="s">
        <v>5114</v>
      </c>
      <c r="C2677" s="1" t="s">
        <v>5115</v>
      </c>
      <c r="D2677" t="b">
        <f ca="1">IF(A2677="","",[1]!s_techanal_rcnthigh(B2677,$B$2,1,3))</f>
        <v>0</v>
      </c>
      <c r="E2677">
        <f ca="1">IF(A2677="","",COUNTIF(D$6:D2677,"True"))</f>
        <v>23</v>
      </c>
      <c r="F2677" t="str">
        <f t="shared" si="41"/>
        <v>301282.SZ</v>
      </c>
    </row>
    <row r="2678" spans="1:6" x14ac:dyDescent="0.15">
      <c r="A2678" s="2">
        <v>46089</v>
      </c>
      <c r="B2678" s="1" t="s">
        <v>5116</v>
      </c>
      <c r="C2678" s="1" t="s">
        <v>5117</v>
      </c>
      <c r="D2678" t="b">
        <f ca="1">IF(A2678="","",[1]!s_techanal_rcnthigh(B2678,$B$2,1,3))</f>
        <v>0</v>
      </c>
      <c r="E2678">
        <f ca="1">IF(A2678="","",COUNTIF(D$6:D2678,"True"))</f>
        <v>23</v>
      </c>
      <c r="F2678" t="str">
        <f t="shared" si="41"/>
        <v>301283.SZ</v>
      </c>
    </row>
    <row r="2679" spans="1:6" x14ac:dyDescent="0.15">
      <c r="A2679" s="2">
        <v>46089</v>
      </c>
      <c r="B2679" s="1" t="s">
        <v>5118</v>
      </c>
      <c r="C2679" s="1" t="s">
        <v>5119</v>
      </c>
      <c r="D2679" t="b">
        <f ca="1">IF(A2679="","",[1]!s_techanal_rcnthigh(B2679,$B$2,1,3))</f>
        <v>0</v>
      </c>
      <c r="E2679">
        <f ca="1">IF(A2679="","",COUNTIF(D$6:D2679,"True"))</f>
        <v>23</v>
      </c>
      <c r="F2679" t="str">
        <f t="shared" si="41"/>
        <v>301285.SZ</v>
      </c>
    </row>
    <row r="2680" spans="1:6" x14ac:dyDescent="0.15">
      <c r="A2680" s="2">
        <v>46089</v>
      </c>
      <c r="B2680" s="1" t="s">
        <v>5120</v>
      </c>
      <c r="C2680" s="1" t="s">
        <v>5121</v>
      </c>
      <c r="D2680" t="b">
        <f ca="1">IF(A2680="","",[1]!s_techanal_rcnthigh(B2680,$B$2,1,3))</f>
        <v>0</v>
      </c>
      <c r="E2680">
        <f ca="1">IF(A2680="","",COUNTIF(D$6:D2680,"True"))</f>
        <v>23</v>
      </c>
      <c r="F2680" t="str">
        <f t="shared" si="41"/>
        <v>301286.SZ</v>
      </c>
    </row>
    <row r="2681" spans="1:6" x14ac:dyDescent="0.15">
      <c r="A2681" s="2">
        <v>46089</v>
      </c>
      <c r="B2681" s="1" t="s">
        <v>5122</v>
      </c>
      <c r="C2681" s="1" t="s">
        <v>5123</v>
      </c>
      <c r="D2681" t="b">
        <f ca="1">IF(A2681="","",[1]!s_techanal_rcnthigh(B2681,$B$2,1,3))</f>
        <v>0</v>
      </c>
      <c r="E2681">
        <f ca="1">IF(A2681="","",COUNTIF(D$6:D2681,"True"))</f>
        <v>23</v>
      </c>
      <c r="F2681" t="str">
        <f t="shared" si="41"/>
        <v>301287.SZ</v>
      </c>
    </row>
    <row r="2682" spans="1:6" x14ac:dyDescent="0.15">
      <c r="A2682" s="2">
        <v>46089</v>
      </c>
      <c r="B2682" s="1" t="s">
        <v>5124</v>
      </c>
      <c r="C2682" s="1" t="s">
        <v>10252</v>
      </c>
      <c r="D2682" t="b">
        <f ca="1">IF(A2682="","",[1]!s_techanal_rcnthigh(B2682,$B$2,1,3))</f>
        <v>0</v>
      </c>
      <c r="E2682">
        <f ca="1">IF(A2682="","",COUNTIF(D$6:D2682,"True"))</f>
        <v>23</v>
      </c>
      <c r="F2682" t="str">
        <f t="shared" si="41"/>
        <v>301288.SZ</v>
      </c>
    </row>
    <row r="2683" spans="1:6" x14ac:dyDescent="0.15">
      <c r="A2683" s="2">
        <v>46089</v>
      </c>
      <c r="B2683" s="1" t="s">
        <v>5125</v>
      </c>
      <c r="C2683" s="1" t="s">
        <v>5126</v>
      </c>
      <c r="D2683" t="b">
        <f ca="1">IF(A2683="","",[1]!s_techanal_rcnthigh(B2683,$B$2,1,3))</f>
        <v>0</v>
      </c>
      <c r="E2683">
        <f ca="1">IF(A2683="","",COUNTIF(D$6:D2683,"True"))</f>
        <v>23</v>
      </c>
      <c r="F2683" t="str">
        <f t="shared" si="41"/>
        <v>301289.SZ</v>
      </c>
    </row>
    <row r="2684" spans="1:6" x14ac:dyDescent="0.15">
      <c r="A2684" s="2">
        <v>46089</v>
      </c>
      <c r="B2684" s="1" t="s">
        <v>5127</v>
      </c>
      <c r="C2684" s="1" t="s">
        <v>5128</v>
      </c>
      <c r="D2684" t="b">
        <f ca="1">IF(A2684="","",[1]!s_techanal_rcnthigh(B2684,$B$2,1,3))</f>
        <v>0</v>
      </c>
      <c r="E2684">
        <f ca="1">IF(A2684="","",COUNTIF(D$6:D2684,"True"))</f>
        <v>23</v>
      </c>
      <c r="F2684" t="str">
        <f t="shared" si="41"/>
        <v>301290.SZ</v>
      </c>
    </row>
    <row r="2685" spans="1:6" x14ac:dyDescent="0.15">
      <c r="A2685" s="2">
        <v>46089</v>
      </c>
      <c r="B2685" s="1" t="s">
        <v>5129</v>
      </c>
      <c r="C2685" s="1" t="s">
        <v>5130</v>
      </c>
      <c r="D2685" t="b">
        <f ca="1">IF(A2685="","",[1]!s_techanal_rcnthigh(B2685,$B$2,1,3))</f>
        <v>0</v>
      </c>
      <c r="E2685">
        <f ca="1">IF(A2685="","",COUNTIF(D$6:D2685,"True"))</f>
        <v>23</v>
      </c>
      <c r="F2685" t="str">
        <f t="shared" si="41"/>
        <v>301291.SZ</v>
      </c>
    </row>
    <row r="2686" spans="1:6" x14ac:dyDescent="0.15">
      <c r="A2686" s="2">
        <v>46089</v>
      </c>
      <c r="B2686" s="1" t="s">
        <v>5131</v>
      </c>
      <c r="C2686" s="1" t="s">
        <v>5132</v>
      </c>
      <c r="D2686" t="b">
        <f ca="1">IF(A2686="","",[1]!s_techanal_rcnthigh(B2686,$B$2,1,3))</f>
        <v>0</v>
      </c>
      <c r="E2686">
        <f ca="1">IF(A2686="","",COUNTIF(D$6:D2686,"True"))</f>
        <v>23</v>
      </c>
      <c r="F2686" t="str">
        <f t="shared" si="41"/>
        <v>301292.SZ</v>
      </c>
    </row>
    <row r="2687" spans="1:6" x14ac:dyDescent="0.15">
      <c r="A2687" s="2">
        <v>46089</v>
      </c>
      <c r="B2687" s="1" t="s">
        <v>5133</v>
      </c>
      <c r="C2687" s="1" t="s">
        <v>5134</v>
      </c>
      <c r="D2687" t="b">
        <f ca="1">IF(A2687="","",[1]!s_techanal_rcnthigh(B2687,$B$2,1,3))</f>
        <v>0</v>
      </c>
      <c r="E2687">
        <f ca="1">IF(A2687="","",COUNTIF(D$6:D2687,"True"))</f>
        <v>23</v>
      </c>
      <c r="F2687" t="str">
        <f t="shared" si="41"/>
        <v>301293.SZ</v>
      </c>
    </row>
    <row r="2688" spans="1:6" x14ac:dyDescent="0.15">
      <c r="A2688" s="2">
        <v>46089</v>
      </c>
      <c r="B2688" s="1" t="s">
        <v>5135</v>
      </c>
      <c r="C2688" s="1" t="s">
        <v>5136</v>
      </c>
      <c r="D2688" t="b">
        <f ca="1">IF(A2688="","",[1]!s_techanal_rcnthigh(B2688,$B$2,1,3))</f>
        <v>0</v>
      </c>
      <c r="E2688">
        <f ca="1">IF(A2688="","",COUNTIF(D$6:D2688,"True"))</f>
        <v>23</v>
      </c>
      <c r="F2688" t="str">
        <f t="shared" si="41"/>
        <v>301295.SZ</v>
      </c>
    </row>
    <row r="2689" spans="1:6" x14ac:dyDescent="0.15">
      <c r="A2689" s="2">
        <v>46089</v>
      </c>
      <c r="B2689" s="1" t="s">
        <v>5137</v>
      </c>
      <c r="C2689" s="1" t="s">
        <v>5138</v>
      </c>
      <c r="D2689" t="b">
        <f ca="1">IF(A2689="","",[1]!s_techanal_rcnthigh(B2689,$B$2,1,3))</f>
        <v>0</v>
      </c>
      <c r="E2689">
        <f ca="1">IF(A2689="","",COUNTIF(D$6:D2689,"True"))</f>
        <v>23</v>
      </c>
      <c r="F2689" t="str">
        <f t="shared" si="41"/>
        <v>301296.SZ</v>
      </c>
    </row>
    <row r="2690" spans="1:6" x14ac:dyDescent="0.15">
      <c r="A2690" s="2">
        <v>46089</v>
      </c>
      <c r="B2690" s="1" t="s">
        <v>5139</v>
      </c>
      <c r="C2690" s="1" t="s">
        <v>5140</v>
      </c>
      <c r="D2690" t="b">
        <f ca="1">IF(A2690="","",[1]!s_techanal_rcnthigh(B2690,$B$2,1,3))</f>
        <v>0</v>
      </c>
      <c r="E2690">
        <f ca="1">IF(A2690="","",COUNTIF(D$6:D2690,"True"))</f>
        <v>23</v>
      </c>
      <c r="F2690" t="str">
        <f t="shared" si="41"/>
        <v>301297.SZ</v>
      </c>
    </row>
    <row r="2691" spans="1:6" x14ac:dyDescent="0.15">
      <c r="A2691" s="2">
        <v>46089</v>
      </c>
      <c r="B2691" s="1" t="s">
        <v>5141</v>
      </c>
      <c r="C2691" s="1" t="s">
        <v>5142</v>
      </c>
      <c r="D2691" t="b">
        <f ca="1">IF(A2691="","",[1]!s_techanal_rcnthigh(B2691,$B$2,1,3))</f>
        <v>0</v>
      </c>
      <c r="E2691">
        <f ca="1">IF(A2691="","",COUNTIF(D$6:D2691,"True"))</f>
        <v>23</v>
      </c>
      <c r="F2691" t="str">
        <f t="shared" si="41"/>
        <v>301298.SZ</v>
      </c>
    </row>
    <row r="2692" spans="1:6" x14ac:dyDescent="0.15">
      <c r="A2692" s="2">
        <v>46089</v>
      </c>
      <c r="B2692" s="1" t="s">
        <v>5143</v>
      </c>
      <c r="C2692" s="1" t="s">
        <v>5144</v>
      </c>
      <c r="D2692" t="b">
        <f ca="1">IF(A2692="","",[1]!s_techanal_rcnthigh(B2692,$B$2,1,3))</f>
        <v>0</v>
      </c>
      <c r="E2692">
        <f ca="1">IF(A2692="","",COUNTIF(D$6:D2692,"True"))</f>
        <v>23</v>
      </c>
      <c r="F2692" t="str">
        <f t="shared" si="41"/>
        <v>301299.SZ</v>
      </c>
    </row>
    <row r="2693" spans="1:6" x14ac:dyDescent="0.15">
      <c r="A2693" s="2">
        <v>46089</v>
      </c>
      <c r="B2693" s="1" t="s">
        <v>5145</v>
      </c>
      <c r="C2693" s="1" t="s">
        <v>5146</v>
      </c>
      <c r="D2693" t="b">
        <f ca="1">IF(A2693="","",[1]!s_techanal_rcnthigh(B2693,$B$2,1,3))</f>
        <v>0</v>
      </c>
      <c r="E2693">
        <f ca="1">IF(A2693="","",COUNTIF(D$6:D2693,"True"))</f>
        <v>23</v>
      </c>
      <c r="F2693" t="str">
        <f t="shared" si="41"/>
        <v>301300.SZ</v>
      </c>
    </row>
    <row r="2694" spans="1:6" x14ac:dyDescent="0.15">
      <c r="A2694" s="2">
        <v>46089</v>
      </c>
      <c r="B2694" s="1" t="s">
        <v>5147</v>
      </c>
      <c r="C2694" s="1" t="s">
        <v>5148</v>
      </c>
      <c r="D2694" t="b">
        <f ca="1">IF(A2694="","",[1]!s_techanal_rcnthigh(B2694,$B$2,1,3))</f>
        <v>0</v>
      </c>
      <c r="E2694">
        <f ca="1">IF(A2694="","",COUNTIF(D$6:D2694,"True"))</f>
        <v>23</v>
      </c>
      <c r="F2694" t="str">
        <f t="shared" ref="F2694:F2757" si="42">IF(B2694="","",B2694)</f>
        <v>301301.SZ</v>
      </c>
    </row>
    <row r="2695" spans="1:6" x14ac:dyDescent="0.15">
      <c r="A2695" s="2">
        <v>46089</v>
      </c>
      <c r="B2695" s="1" t="s">
        <v>5149</v>
      </c>
      <c r="C2695" s="1" t="s">
        <v>5150</v>
      </c>
      <c r="D2695" t="b">
        <f ca="1">IF(A2695="","",[1]!s_techanal_rcnthigh(B2695,$B$2,1,3))</f>
        <v>0</v>
      </c>
      <c r="E2695">
        <f ca="1">IF(A2695="","",COUNTIF(D$6:D2695,"True"))</f>
        <v>23</v>
      </c>
      <c r="F2695" t="str">
        <f t="shared" si="42"/>
        <v>301302.SZ</v>
      </c>
    </row>
    <row r="2696" spans="1:6" x14ac:dyDescent="0.15">
      <c r="A2696" s="2">
        <v>46089</v>
      </c>
      <c r="B2696" s="1" t="s">
        <v>5151</v>
      </c>
      <c r="C2696" s="1" t="s">
        <v>5152</v>
      </c>
      <c r="D2696" t="b">
        <f ca="1">IF(A2696="","",[1]!s_techanal_rcnthigh(B2696,$B$2,1,3))</f>
        <v>0</v>
      </c>
      <c r="E2696">
        <f ca="1">IF(A2696="","",COUNTIF(D$6:D2696,"True"))</f>
        <v>23</v>
      </c>
      <c r="F2696" t="str">
        <f t="shared" si="42"/>
        <v>301303.SZ</v>
      </c>
    </row>
    <row r="2697" spans="1:6" x14ac:dyDescent="0.15">
      <c r="A2697" s="2">
        <v>46089</v>
      </c>
      <c r="B2697" s="1" t="s">
        <v>5153</v>
      </c>
      <c r="C2697" s="1" t="s">
        <v>10253</v>
      </c>
      <c r="D2697" t="b">
        <f ca="1">IF(A2697="","",[1]!s_techanal_rcnthigh(B2697,$B$2,1,3))</f>
        <v>0</v>
      </c>
      <c r="E2697">
        <f ca="1">IF(A2697="","",COUNTIF(D$6:D2697,"True"))</f>
        <v>23</v>
      </c>
      <c r="F2697" t="str">
        <f t="shared" si="42"/>
        <v>301305.SZ</v>
      </c>
    </row>
    <row r="2698" spans="1:6" x14ac:dyDescent="0.15">
      <c r="A2698" s="2">
        <v>46089</v>
      </c>
      <c r="B2698" s="1" t="s">
        <v>5154</v>
      </c>
      <c r="C2698" s="1" t="s">
        <v>5155</v>
      </c>
      <c r="D2698" t="b">
        <f ca="1">IF(A2698="","",[1]!s_techanal_rcnthigh(B2698,$B$2,1,3))</f>
        <v>0</v>
      </c>
      <c r="E2698">
        <f ca="1">IF(A2698="","",COUNTIF(D$6:D2698,"True"))</f>
        <v>23</v>
      </c>
      <c r="F2698" t="str">
        <f t="shared" si="42"/>
        <v>301306.SZ</v>
      </c>
    </row>
    <row r="2699" spans="1:6" x14ac:dyDescent="0.15">
      <c r="A2699" s="2">
        <v>46089</v>
      </c>
      <c r="B2699" s="1" t="s">
        <v>5156</v>
      </c>
      <c r="C2699" s="1" t="s">
        <v>5157</v>
      </c>
      <c r="D2699" t="b">
        <f ca="1">IF(A2699="","",[1]!s_techanal_rcnthigh(B2699,$B$2,1,3))</f>
        <v>0</v>
      </c>
      <c r="E2699">
        <f ca="1">IF(A2699="","",COUNTIF(D$6:D2699,"True"))</f>
        <v>23</v>
      </c>
      <c r="F2699" t="str">
        <f t="shared" si="42"/>
        <v>301307.SZ</v>
      </c>
    </row>
    <row r="2700" spans="1:6" x14ac:dyDescent="0.15">
      <c r="A2700" s="2">
        <v>46089</v>
      </c>
      <c r="B2700" s="1" t="s">
        <v>5158</v>
      </c>
      <c r="C2700" s="1" t="s">
        <v>5159</v>
      </c>
      <c r="D2700" t="b">
        <f ca="1">IF(A2700="","",[1]!s_techanal_rcnthigh(B2700,$B$2,1,3))</f>
        <v>0</v>
      </c>
      <c r="E2700">
        <f ca="1">IF(A2700="","",COUNTIF(D$6:D2700,"True"))</f>
        <v>23</v>
      </c>
      <c r="F2700" t="str">
        <f t="shared" si="42"/>
        <v>301308.SZ</v>
      </c>
    </row>
    <row r="2701" spans="1:6" x14ac:dyDescent="0.15">
      <c r="A2701" s="2">
        <v>46089</v>
      </c>
      <c r="B2701" s="1" t="s">
        <v>5160</v>
      </c>
      <c r="C2701" s="1" t="s">
        <v>5161</v>
      </c>
      <c r="D2701" t="b">
        <f ca="1">IF(A2701="","",[1]!s_techanal_rcnthigh(B2701,$B$2,1,3))</f>
        <v>0</v>
      </c>
      <c r="E2701">
        <f ca="1">IF(A2701="","",COUNTIF(D$6:D2701,"True"))</f>
        <v>23</v>
      </c>
      <c r="F2701" t="str">
        <f t="shared" si="42"/>
        <v>301309.SZ</v>
      </c>
    </row>
    <row r="2702" spans="1:6" x14ac:dyDescent="0.15">
      <c r="A2702" s="2">
        <v>46089</v>
      </c>
      <c r="B2702" s="1" t="s">
        <v>5162</v>
      </c>
      <c r="C2702" s="1" t="s">
        <v>5163</v>
      </c>
      <c r="D2702" t="b">
        <f ca="1">IF(A2702="","",[1]!s_techanal_rcnthigh(B2702,$B$2,1,3))</f>
        <v>0</v>
      </c>
      <c r="E2702">
        <f ca="1">IF(A2702="","",COUNTIF(D$6:D2702,"True"))</f>
        <v>23</v>
      </c>
      <c r="F2702" t="str">
        <f t="shared" si="42"/>
        <v>301310.SZ</v>
      </c>
    </row>
    <row r="2703" spans="1:6" x14ac:dyDescent="0.15">
      <c r="A2703" s="2">
        <v>46089</v>
      </c>
      <c r="B2703" s="1" t="s">
        <v>5164</v>
      </c>
      <c r="C2703" s="1" t="s">
        <v>5165</v>
      </c>
      <c r="D2703" t="b">
        <f ca="1">IF(A2703="","",[1]!s_techanal_rcnthigh(B2703,$B$2,1,3))</f>
        <v>0</v>
      </c>
      <c r="E2703">
        <f ca="1">IF(A2703="","",COUNTIF(D$6:D2703,"True"))</f>
        <v>23</v>
      </c>
      <c r="F2703" t="str">
        <f t="shared" si="42"/>
        <v>301311.SZ</v>
      </c>
    </row>
    <row r="2704" spans="1:6" x14ac:dyDescent="0.15">
      <c r="A2704" s="2">
        <v>46089</v>
      </c>
      <c r="B2704" s="1" t="s">
        <v>5166</v>
      </c>
      <c r="C2704" s="1" t="s">
        <v>5167</v>
      </c>
      <c r="D2704" t="b">
        <f ca="1">IF(A2704="","",[1]!s_techanal_rcnthigh(B2704,$B$2,1,3))</f>
        <v>0</v>
      </c>
      <c r="E2704">
        <f ca="1">IF(A2704="","",COUNTIF(D$6:D2704,"True"))</f>
        <v>23</v>
      </c>
      <c r="F2704" t="str">
        <f t="shared" si="42"/>
        <v>301312.SZ</v>
      </c>
    </row>
    <row r="2705" spans="1:6" x14ac:dyDescent="0.15">
      <c r="A2705" s="2">
        <v>46089</v>
      </c>
      <c r="B2705" s="1" t="s">
        <v>5168</v>
      </c>
      <c r="C2705" s="1" t="s">
        <v>5169</v>
      </c>
      <c r="D2705" t="b">
        <f ca="1">IF(A2705="","",[1]!s_techanal_rcnthigh(B2705,$B$2,1,3))</f>
        <v>0</v>
      </c>
      <c r="E2705">
        <f ca="1">IF(A2705="","",COUNTIF(D$6:D2705,"True"))</f>
        <v>23</v>
      </c>
      <c r="F2705" t="str">
        <f t="shared" si="42"/>
        <v>301313.SZ</v>
      </c>
    </row>
    <row r="2706" spans="1:6" x14ac:dyDescent="0.15">
      <c r="A2706" s="2">
        <v>46089</v>
      </c>
      <c r="B2706" s="1" t="s">
        <v>5170</v>
      </c>
      <c r="C2706" s="1" t="s">
        <v>5171</v>
      </c>
      <c r="D2706" t="b">
        <f ca="1">IF(A2706="","",[1]!s_techanal_rcnthigh(B2706,$B$2,1,3))</f>
        <v>0</v>
      </c>
      <c r="E2706">
        <f ca="1">IF(A2706="","",COUNTIF(D$6:D2706,"True"))</f>
        <v>23</v>
      </c>
      <c r="F2706" t="str">
        <f t="shared" si="42"/>
        <v>301314.SZ</v>
      </c>
    </row>
    <row r="2707" spans="1:6" x14ac:dyDescent="0.15">
      <c r="A2707" s="2">
        <v>46089</v>
      </c>
      <c r="B2707" s="1" t="s">
        <v>5172</v>
      </c>
      <c r="C2707" s="1" t="s">
        <v>5173</v>
      </c>
      <c r="D2707" t="b">
        <f ca="1">IF(A2707="","",[1]!s_techanal_rcnthigh(B2707,$B$2,1,3))</f>
        <v>0</v>
      </c>
      <c r="E2707">
        <f ca="1">IF(A2707="","",COUNTIF(D$6:D2707,"True"))</f>
        <v>23</v>
      </c>
      <c r="F2707" t="str">
        <f t="shared" si="42"/>
        <v>301315.SZ</v>
      </c>
    </row>
    <row r="2708" spans="1:6" x14ac:dyDescent="0.15">
      <c r="A2708" s="2">
        <v>46089</v>
      </c>
      <c r="B2708" s="1" t="s">
        <v>5174</v>
      </c>
      <c r="C2708" s="1" t="s">
        <v>5175</v>
      </c>
      <c r="D2708" t="b">
        <f ca="1">IF(A2708="","",[1]!s_techanal_rcnthigh(B2708,$B$2,1,3))</f>
        <v>0</v>
      </c>
      <c r="E2708">
        <f ca="1">IF(A2708="","",COUNTIF(D$6:D2708,"True"))</f>
        <v>23</v>
      </c>
      <c r="F2708" t="str">
        <f t="shared" si="42"/>
        <v>301316.SZ</v>
      </c>
    </row>
    <row r="2709" spans="1:6" x14ac:dyDescent="0.15">
      <c r="A2709" s="2">
        <v>46089</v>
      </c>
      <c r="B2709" s="1" t="s">
        <v>5176</v>
      </c>
      <c r="C2709" s="1" t="s">
        <v>5177</v>
      </c>
      <c r="D2709" t="b">
        <f ca="1">IF(A2709="","",[1]!s_techanal_rcnthigh(B2709,$B$2,1,3))</f>
        <v>0</v>
      </c>
      <c r="E2709">
        <f ca="1">IF(A2709="","",COUNTIF(D$6:D2709,"True"))</f>
        <v>23</v>
      </c>
      <c r="F2709" t="str">
        <f t="shared" si="42"/>
        <v>301317.SZ</v>
      </c>
    </row>
    <row r="2710" spans="1:6" x14ac:dyDescent="0.15">
      <c r="A2710" s="2">
        <v>46089</v>
      </c>
      <c r="B2710" s="1" t="s">
        <v>5178</v>
      </c>
      <c r="C2710" s="1" t="s">
        <v>5179</v>
      </c>
      <c r="D2710" t="b">
        <f ca="1">IF(A2710="","",[1]!s_techanal_rcnthigh(B2710,$B$2,1,3))</f>
        <v>0</v>
      </c>
      <c r="E2710">
        <f ca="1">IF(A2710="","",COUNTIF(D$6:D2710,"True"))</f>
        <v>23</v>
      </c>
      <c r="F2710" t="str">
        <f t="shared" si="42"/>
        <v>301318.SZ</v>
      </c>
    </row>
    <row r="2711" spans="1:6" x14ac:dyDescent="0.15">
      <c r="A2711" s="2">
        <v>46089</v>
      </c>
      <c r="B2711" s="1" t="s">
        <v>5180</v>
      </c>
      <c r="C2711" s="1" t="s">
        <v>5181</v>
      </c>
      <c r="D2711" t="b">
        <f ca="1">IF(A2711="","",[1]!s_techanal_rcnthigh(B2711,$B$2,1,3))</f>
        <v>0</v>
      </c>
      <c r="E2711">
        <f ca="1">IF(A2711="","",COUNTIF(D$6:D2711,"True"))</f>
        <v>23</v>
      </c>
      <c r="F2711" t="str">
        <f t="shared" si="42"/>
        <v>301319.SZ</v>
      </c>
    </row>
    <row r="2712" spans="1:6" x14ac:dyDescent="0.15">
      <c r="A2712" s="2">
        <v>46089</v>
      </c>
      <c r="B2712" s="1" t="s">
        <v>5182</v>
      </c>
      <c r="C2712" s="1" t="s">
        <v>5183</v>
      </c>
      <c r="D2712" t="b">
        <f ca="1">IF(A2712="","",[1]!s_techanal_rcnthigh(B2712,$B$2,1,3))</f>
        <v>0</v>
      </c>
      <c r="E2712">
        <f ca="1">IF(A2712="","",COUNTIF(D$6:D2712,"True"))</f>
        <v>23</v>
      </c>
      <c r="F2712" t="str">
        <f t="shared" si="42"/>
        <v>301320.SZ</v>
      </c>
    </row>
    <row r="2713" spans="1:6" x14ac:dyDescent="0.15">
      <c r="A2713" s="2">
        <v>46089</v>
      </c>
      <c r="B2713" s="1" t="s">
        <v>5184</v>
      </c>
      <c r="C2713" s="1" t="s">
        <v>5185</v>
      </c>
      <c r="D2713" t="b">
        <f ca="1">IF(A2713="","",[1]!s_techanal_rcnthigh(B2713,$B$2,1,3))</f>
        <v>0</v>
      </c>
      <c r="E2713">
        <f ca="1">IF(A2713="","",COUNTIF(D$6:D2713,"True"))</f>
        <v>23</v>
      </c>
      <c r="F2713" t="str">
        <f t="shared" si="42"/>
        <v>301321.SZ</v>
      </c>
    </row>
    <row r="2714" spans="1:6" x14ac:dyDescent="0.15">
      <c r="A2714" s="2">
        <v>46089</v>
      </c>
      <c r="B2714" s="1" t="s">
        <v>5186</v>
      </c>
      <c r="C2714" s="1" t="s">
        <v>5187</v>
      </c>
      <c r="D2714" t="b">
        <f ca="1">IF(A2714="","",[1]!s_techanal_rcnthigh(B2714,$B$2,1,3))</f>
        <v>0</v>
      </c>
      <c r="E2714">
        <f ca="1">IF(A2714="","",COUNTIF(D$6:D2714,"True"))</f>
        <v>23</v>
      </c>
      <c r="F2714" t="str">
        <f t="shared" si="42"/>
        <v>301322.SZ</v>
      </c>
    </row>
    <row r="2715" spans="1:6" x14ac:dyDescent="0.15">
      <c r="A2715" s="2">
        <v>46089</v>
      </c>
      <c r="B2715" s="1" t="s">
        <v>5188</v>
      </c>
      <c r="C2715" s="1" t="s">
        <v>5189</v>
      </c>
      <c r="D2715" t="b">
        <f ca="1">IF(A2715="","",[1]!s_techanal_rcnthigh(B2715,$B$2,1,3))</f>
        <v>0</v>
      </c>
      <c r="E2715">
        <f ca="1">IF(A2715="","",COUNTIF(D$6:D2715,"True"))</f>
        <v>23</v>
      </c>
      <c r="F2715" t="str">
        <f t="shared" si="42"/>
        <v>301323.SZ</v>
      </c>
    </row>
    <row r="2716" spans="1:6" x14ac:dyDescent="0.15">
      <c r="A2716" s="2">
        <v>46089</v>
      </c>
      <c r="B2716" s="1" t="s">
        <v>5190</v>
      </c>
      <c r="C2716" s="1" t="s">
        <v>5191</v>
      </c>
      <c r="D2716" t="b">
        <f ca="1">IF(A2716="","",[1]!s_techanal_rcnthigh(B2716,$B$2,1,3))</f>
        <v>0</v>
      </c>
      <c r="E2716">
        <f ca="1">IF(A2716="","",COUNTIF(D$6:D2716,"True"))</f>
        <v>23</v>
      </c>
      <c r="F2716" t="str">
        <f t="shared" si="42"/>
        <v>301325.SZ</v>
      </c>
    </row>
    <row r="2717" spans="1:6" x14ac:dyDescent="0.15">
      <c r="A2717" s="2">
        <v>46089</v>
      </c>
      <c r="B2717" s="1" t="s">
        <v>5192</v>
      </c>
      <c r="C2717" s="1" t="s">
        <v>5193</v>
      </c>
      <c r="D2717" t="b">
        <f ca="1">IF(A2717="","",[1]!s_techanal_rcnthigh(B2717,$B$2,1,3))</f>
        <v>0</v>
      </c>
      <c r="E2717">
        <f ca="1">IF(A2717="","",COUNTIF(D$6:D2717,"True"))</f>
        <v>23</v>
      </c>
      <c r="F2717" t="str">
        <f t="shared" si="42"/>
        <v>301326.SZ</v>
      </c>
    </row>
    <row r="2718" spans="1:6" x14ac:dyDescent="0.15">
      <c r="A2718" s="2">
        <v>46089</v>
      </c>
      <c r="B2718" s="1" t="s">
        <v>5194</v>
      </c>
      <c r="C2718" s="1" t="s">
        <v>5195</v>
      </c>
      <c r="D2718" t="b">
        <f ca="1">IF(A2718="","",[1]!s_techanal_rcnthigh(B2718,$B$2,1,3))</f>
        <v>0</v>
      </c>
      <c r="E2718">
        <f ca="1">IF(A2718="","",COUNTIF(D$6:D2718,"True"))</f>
        <v>23</v>
      </c>
      <c r="F2718" t="str">
        <f t="shared" si="42"/>
        <v>301327.SZ</v>
      </c>
    </row>
    <row r="2719" spans="1:6" x14ac:dyDescent="0.15">
      <c r="A2719" s="2">
        <v>46089</v>
      </c>
      <c r="B2719" s="1" t="s">
        <v>5196</v>
      </c>
      <c r="C2719" s="1" t="s">
        <v>5197</v>
      </c>
      <c r="D2719" t="b">
        <f ca="1">IF(A2719="","",[1]!s_techanal_rcnthigh(B2719,$B$2,1,3))</f>
        <v>0</v>
      </c>
      <c r="E2719">
        <f ca="1">IF(A2719="","",COUNTIF(D$6:D2719,"True"))</f>
        <v>23</v>
      </c>
      <c r="F2719" t="str">
        <f t="shared" si="42"/>
        <v>301328.SZ</v>
      </c>
    </row>
    <row r="2720" spans="1:6" x14ac:dyDescent="0.15">
      <c r="A2720" s="2">
        <v>46089</v>
      </c>
      <c r="B2720" s="1" t="s">
        <v>5198</v>
      </c>
      <c r="C2720" s="1" t="s">
        <v>5199</v>
      </c>
      <c r="D2720" t="b">
        <f ca="1">IF(A2720="","",[1]!s_techanal_rcnthigh(B2720,$B$2,1,3))</f>
        <v>0</v>
      </c>
      <c r="E2720">
        <f ca="1">IF(A2720="","",COUNTIF(D$6:D2720,"True"))</f>
        <v>23</v>
      </c>
      <c r="F2720" t="str">
        <f t="shared" si="42"/>
        <v>301329.SZ</v>
      </c>
    </row>
    <row r="2721" spans="1:6" x14ac:dyDescent="0.15">
      <c r="A2721" s="2">
        <v>46089</v>
      </c>
      <c r="B2721" s="1" t="s">
        <v>5200</v>
      </c>
      <c r="C2721" s="1" t="s">
        <v>5201</v>
      </c>
      <c r="D2721" t="b">
        <f ca="1">IF(A2721="","",[1]!s_techanal_rcnthigh(B2721,$B$2,1,3))</f>
        <v>0</v>
      </c>
      <c r="E2721">
        <f ca="1">IF(A2721="","",COUNTIF(D$6:D2721,"True"))</f>
        <v>23</v>
      </c>
      <c r="F2721" t="str">
        <f t="shared" si="42"/>
        <v>301330.SZ</v>
      </c>
    </row>
    <row r="2722" spans="1:6" x14ac:dyDescent="0.15">
      <c r="A2722" s="2">
        <v>46089</v>
      </c>
      <c r="B2722" s="1" t="s">
        <v>5202</v>
      </c>
      <c r="C2722" s="1" t="s">
        <v>5203</v>
      </c>
      <c r="D2722" t="b">
        <f ca="1">IF(A2722="","",[1]!s_techanal_rcnthigh(B2722,$B$2,1,3))</f>
        <v>0</v>
      </c>
      <c r="E2722">
        <f ca="1">IF(A2722="","",COUNTIF(D$6:D2722,"True"))</f>
        <v>23</v>
      </c>
      <c r="F2722" t="str">
        <f t="shared" si="42"/>
        <v>301331.SZ</v>
      </c>
    </row>
    <row r="2723" spans="1:6" x14ac:dyDescent="0.15">
      <c r="A2723" s="2">
        <v>46089</v>
      </c>
      <c r="B2723" s="1" t="s">
        <v>5204</v>
      </c>
      <c r="C2723" s="1" t="s">
        <v>5205</v>
      </c>
      <c r="D2723" t="b">
        <f ca="1">IF(A2723="","",[1]!s_techanal_rcnthigh(B2723,$B$2,1,3))</f>
        <v>0</v>
      </c>
      <c r="E2723">
        <f ca="1">IF(A2723="","",COUNTIF(D$6:D2723,"True"))</f>
        <v>23</v>
      </c>
      <c r="F2723" t="str">
        <f t="shared" si="42"/>
        <v>301332.SZ</v>
      </c>
    </row>
    <row r="2724" spans="1:6" x14ac:dyDescent="0.15">
      <c r="A2724" s="2">
        <v>46089</v>
      </c>
      <c r="B2724" s="1" t="s">
        <v>5206</v>
      </c>
      <c r="C2724" s="1" t="s">
        <v>5207</v>
      </c>
      <c r="D2724" t="b">
        <f ca="1">IF(A2724="","",[1]!s_techanal_rcnthigh(B2724,$B$2,1,3))</f>
        <v>0</v>
      </c>
      <c r="E2724">
        <f ca="1">IF(A2724="","",COUNTIF(D$6:D2724,"True"))</f>
        <v>23</v>
      </c>
      <c r="F2724" t="str">
        <f t="shared" si="42"/>
        <v>301333.SZ</v>
      </c>
    </row>
    <row r="2725" spans="1:6" x14ac:dyDescent="0.15">
      <c r="A2725" s="2">
        <v>46089</v>
      </c>
      <c r="B2725" s="1" t="s">
        <v>5208</v>
      </c>
      <c r="C2725" s="1" t="s">
        <v>5209</v>
      </c>
      <c r="D2725" t="b">
        <f ca="1">IF(A2725="","",[1]!s_techanal_rcnthigh(B2725,$B$2,1,3))</f>
        <v>0</v>
      </c>
      <c r="E2725">
        <f ca="1">IF(A2725="","",COUNTIF(D$6:D2725,"True"))</f>
        <v>23</v>
      </c>
      <c r="F2725" t="str">
        <f t="shared" si="42"/>
        <v>301335.SZ</v>
      </c>
    </row>
    <row r="2726" spans="1:6" x14ac:dyDescent="0.15">
      <c r="A2726" s="2">
        <v>46089</v>
      </c>
      <c r="B2726" s="1" t="s">
        <v>5210</v>
      </c>
      <c r="C2726" s="1" t="s">
        <v>5211</v>
      </c>
      <c r="D2726" t="b">
        <f ca="1">IF(A2726="","",[1]!s_techanal_rcnthigh(B2726,$B$2,1,3))</f>
        <v>0</v>
      </c>
      <c r="E2726">
        <f ca="1">IF(A2726="","",COUNTIF(D$6:D2726,"True"))</f>
        <v>23</v>
      </c>
      <c r="F2726" t="str">
        <f t="shared" si="42"/>
        <v>301336.SZ</v>
      </c>
    </row>
    <row r="2727" spans="1:6" x14ac:dyDescent="0.15">
      <c r="A2727" s="2">
        <v>46089</v>
      </c>
      <c r="B2727" s="1" t="s">
        <v>5212</v>
      </c>
      <c r="C2727" s="1" t="s">
        <v>5213</v>
      </c>
      <c r="D2727" t="b">
        <f ca="1">IF(A2727="","",[1]!s_techanal_rcnthigh(B2727,$B$2,1,3))</f>
        <v>0</v>
      </c>
      <c r="E2727">
        <f ca="1">IF(A2727="","",COUNTIF(D$6:D2727,"True"))</f>
        <v>23</v>
      </c>
      <c r="F2727" t="str">
        <f t="shared" si="42"/>
        <v>301337.SZ</v>
      </c>
    </row>
    <row r="2728" spans="1:6" x14ac:dyDescent="0.15">
      <c r="A2728" s="2">
        <v>46089</v>
      </c>
      <c r="B2728" s="1" t="s">
        <v>5214</v>
      </c>
      <c r="C2728" s="1" t="s">
        <v>5215</v>
      </c>
      <c r="D2728" t="b">
        <f ca="1">IF(A2728="","",[1]!s_techanal_rcnthigh(B2728,$B$2,1,3))</f>
        <v>1</v>
      </c>
      <c r="E2728">
        <f ca="1">IF(A2728="","",COUNTIF(D$6:D2728,"True"))</f>
        <v>24</v>
      </c>
      <c r="F2728" t="str">
        <f t="shared" si="42"/>
        <v>301338.SZ</v>
      </c>
    </row>
    <row r="2729" spans="1:6" x14ac:dyDescent="0.15">
      <c r="A2729" s="2">
        <v>46089</v>
      </c>
      <c r="B2729" s="1" t="s">
        <v>5216</v>
      </c>
      <c r="C2729" s="1" t="s">
        <v>5217</v>
      </c>
      <c r="D2729" t="b">
        <f ca="1">IF(A2729="","",[1]!s_techanal_rcnthigh(B2729,$B$2,1,3))</f>
        <v>0</v>
      </c>
      <c r="E2729">
        <f ca="1">IF(A2729="","",COUNTIF(D$6:D2729,"True"))</f>
        <v>24</v>
      </c>
      <c r="F2729" t="str">
        <f t="shared" si="42"/>
        <v>301339.SZ</v>
      </c>
    </row>
    <row r="2730" spans="1:6" x14ac:dyDescent="0.15">
      <c r="A2730" s="2">
        <v>46089</v>
      </c>
      <c r="B2730" s="1" t="s">
        <v>5218</v>
      </c>
      <c r="C2730" s="1" t="s">
        <v>5219</v>
      </c>
      <c r="D2730" t="b">
        <f ca="1">IF(A2730="","",[1]!s_techanal_rcnthigh(B2730,$B$2,1,3))</f>
        <v>0</v>
      </c>
      <c r="E2730">
        <f ca="1">IF(A2730="","",COUNTIF(D$6:D2730,"True"))</f>
        <v>24</v>
      </c>
      <c r="F2730" t="str">
        <f t="shared" si="42"/>
        <v>301345.SZ</v>
      </c>
    </row>
    <row r="2731" spans="1:6" x14ac:dyDescent="0.15">
      <c r="A2731" s="2">
        <v>46089</v>
      </c>
      <c r="B2731" s="1" t="s">
        <v>5220</v>
      </c>
      <c r="C2731" s="1" t="s">
        <v>5221</v>
      </c>
      <c r="D2731" t="b">
        <f ca="1">IF(A2731="","",[1]!s_techanal_rcnthigh(B2731,$B$2,1,3))</f>
        <v>0</v>
      </c>
      <c r="E2731">
        <f ca="1">IF(A2731="","",COUNTIF(D$6:D2731,"True"))</f>
        <v>24</v>
      </c>
      <c r="F2731" t="str">
        <f t="shared" si="42"/>
        <v>301348.SZ</v>
      </c>
    </row>
    <row r="2732" spans="1:6" x14ac:dyDescent="0.15">
      <c r="A2732" s="2">
        <v>46089</v>
      </c>
      <c r="B2732" s="1" t="s">
        <v>5222</v>
      </c>
      <c r="C2732" s="1" t="s">
        <v>5223</v>
      </c>
      <c r="D2732" t="b">
        <f ca="1">IF(A2732="","",[1]!s_techanal_rcnthigh(B2732,$B$2,1,3))</f>
        <v>0</v>
      </c>
      <c r="E2732">
        <f ca="1">IF(A2732="","",COUNTIF(D$6:D2732,"True"))</f>
        <v>24</v>
      </c>
      <c r="F2732" t="str">
        <f t="shared" si="42"/>
        <v>301349.SZ</v>
      </c>
    </row>
    <row r="2733" spans="1:6" x14ac:dyDescent="0.15">
      <c r="A2733" s="2">
        <v>46089</v>
      </c>
      <c r="B2733" s="1" t="s">
        <v>5224</v>
      </c>
      <c r="C2733" s="1" t="s">
        <v>5225</v>
      </c>
      <c r="D2733" t="b">
        <f ca="1">IF(A2733="","",[1]!s_techanal_rcnthigh(B2733,$B$2,1,3))</f>
        <v>0</v>
      </c>
      <c r="E2733">
        <f ca="1">IF(A2733="","",COUNTIF(D$6:D2733,"True"))</f>
        <v>24</v>
      </c>
      <c r="F2733" t="str">
        <f t="shared" si="42"/>
        <v>301353.SZ</v>
      </c>
    </row>
    <row r="2734" spans="1:6" x14ac:dyDescent="0.15">
      <c r="A2734" s="2">
        <v>46089</v>
      </c>
      <c r="B2734" s="1" t="s">
        <v>5226</v>
      </c>
      <c r="C2734" s="1" t="s">
        <v>5227</v>
      </c>
      <c r="D2734" t="b">
        <f ca="1">IF(A2734="","",[1]!s_techanal_rcnthigh(B2734,$B$2,1,3))</f>
        <v>0</v>
      </c>
      <c r="E2734">
        <f ca="1">IF(A2734="","",COUNTIF(D$6:D2734,"True"))</f>
        <v>24</v>
      </c>
      <c r="F2734" t="str">
        <f t="shared" si="42"/>
        <v>301355.SZ</v>
      </c>
    </row>
    <row r="2735" spans="1:6" x14ac:dyDescent="0.15">
      <c r="A2735" s="2">
        <v>46089</v>
      </c>
      <c r="B2735" s="1" t="s">
        <v>5228</v>
      </c>
      <c r="C2735" s="1" t="s">
        <v>5229</v>
      </c>
      <c r="D2735" t="b">
        <f ca="1">IF(A2735="","",[1]!s_techanal_rcnthigh(B2735,$B$2,1,3))</f>
        <v>0</v>
      </c>
      <c r="E2735">
        <f ca="1">IF(A2735="","",COUNTIF(D$6:D2735,"True"))</f>
        <v>24</v>
      </c>
      <c r="F2735" t="str">
        <f t="shared" si="42"/>
        <v>301356.SZ</v>
      </c>
    </row>
    <row r="2736" spans="1:6" x14ac:dyDescent="0.15">
      <c r="A2736" s="2">
        <v>46089</v>
      </c>
      <c r="B2736" s="1" t="s">
        <v>5230</v>
      </c>
      <c r="C2736" s="1" t="s">
        <v>5231</v>
      </c>
      <c r="D2736" t="b">
        <f ca="1">IF(A2736="","",[1]!s_techanal_rcnthigh(B2736,$B$2,1,3))</f>
        <v>0</v>
      </c>
      <c r="E2736">
        <f ca="1">IF(A2736="","",COUNTIF(D$6:D2736,"True"))</f>
        <v>24</v>
      </c>
      <c r="F2736" t="str">
        <f t="shared" si="42"/>
        <v>301357.SZ</v>
      </c>
    </row>
    <row r="2737" spans="1:6" x14ac:dyDescent="0.15">
      <c r="A2737" s="2">
        <v>46089</v>
      </c>
      <c r="B2737" s="1" t="s">
        <v>5232</v>
      </c>
      <c r="C2737" s="1" t="s">
        <v>5233</v>
      </c>
      <c r="D2737" t="b">
        <f ca="1">IF(A2737="","",[1]!s_techanal_rcnthigh(B2737,$B$2,1,3))</f>
        <v>0</v>
      </c>
      <c r="E2737">
        <f ca="1">IF(A2737="","",COUNTIF(D$6:D2737,"True"))</f>
        <v>24</v>
      </c>
      <c r="F2737" t="str">
        <f t="shared" si="42"/>
        <v>301358.SZ</v>
      </c>
    </row>
    <row r="2738" spans="1:6" x14ac:dyDescent="0.15">
      <c r="A2738" s="2">
        <v>46089</v>
      </c>
      <c r="B2738" s="1" t="s">
        <v>5234</v>
      </c>
      <c r="C2738" s="1" t="s">
        <v>5235</v>
      </c>
      <c r="D2738" t="b">
        <f ca="1">IF(A2738="","",[1]!s_techanal_rcnthigh(B2738,$B$2,1,3))</f>
        <v>0</v>
      </c>
      <c r="E2738">
        <f ca="1">IF(A2738="","",COUNTIF(D$6:D2738,"True"))</f>
        <v>24</v>
      </c>
      <c r="F2738" t="str">
        <f t="shared" si="42"/>
        <v>301359.SZ</v>
      </c>
    </row>
    <row r="2739" spans="1:6" x14ac:dyDescent="0.15">
      <c r="A2739" s="2">
        <v>46089</v>
      </c>
      <c r="B2739" s="1" t="s">
        <v>5236</v>
      </c>
      <c r="C2739" s="1" t="s">
        <v>5237</v>
      </c>
      <c r="D2739" t="b">
        <f ca="1">IF(A2739="","",[1]!s_techanal_rcnthigh(B2739,$B$2,1,3))</f>
        <v>0</v>
      </c>
      <c r="E2739">
        <f ca="1">IF(A2739="","",COUNTIF(D$6:D2739,"True"))</f>
        <v>24</v>
      </c>
      <c r="F2739" t="str">
        <f t="shared" si="42"/>
        <v>301360.SZ</v>
      </c>
    </row>
    <row r="2740" spans="1:6" x14ac:dyDescent="0.15">
      <c r="A2740" s="2">
        <v>46089</v>
      </c>
      <c r="B2740" s="1" t="s">
        <v>5238</v>
      </c>
      <c r="C2740" s="1" t="s">
        <v>5239</v>
      </c>
      <c r="D2740" t="b">
        <f ca="1">IF(A2740="","",[1]!s_techanal_rcnthigh(B2740,$B$2,1,3))</f>
        <v>0</v>
      </c>
      <c r="E2740">
        <f ca="1">IF(A2740="","",COUNTIF(D$6:D2740,"True"))</f>
        <v>24</v>
      </c>
      <c r="F2740" t="str">
        <f t="shared" si="42"/>
        <v>301361.SZ</v>
      </c>
    </row>
    <row r="2741" spans="1:6" x14ac:dyDescent="0.15">
      <c r="A2741" s="2">
        <v>46089</v>
      </c>
      <c r="B2741" s="1" t="s">
        <v>5240</v>
      </c>
      <c r="C2741" s="1" t="s">
        <v>5241</v>
      </c>
      <c r="D2741" t="b">
        <f ca="1">IF(A2741="","",[1]!s_techanal_rcnthigh(B2741,$B$2,1,3))</f>
        <v>1</v>
      </c>
      <c r="E2741">
        <f ca="1">IF(A2741="","",COUNTIF(D$6:D2741,"True"))</f>
        <v>25</v>
      </c>
      <c r="F2741" t="str">
        <f t="shared" si="42"/>
        <v>301362.SZ</v>
      </c>
    </row>
    <row r="2742" spans="1:6" x14ac:dyDescent="0.15">
      <c r="A2742" s="2">
        <v>46089</v>
      </c>
      <c r="B2742" s="1" t="s">
        <v>5242</v>
      </c>
      <c r="C2742" s="1" t="s">
        <v>5243</v>
      </c>
      <c r="D2742" t="b">
        <f ca="1">IF(A2742="","",[1]!s_techanal_rcnthigh(B2742,$B$2,1,3))</f>
        <v>0</v>
      </c>
      <c r="E2742">
        <f ca="1">IF(A2742="","",COUNTIF(D$6:D2742,"True"))</f>
        <v>25</v>
      </c>
      <c r="F2742" t="str">
        <f t="shared" si="42"/>
        <v>301363.SZ</v>
      </c>
    </row>
    <row r="2743" spans="1:6" x14ac:dyDescent="0.15">
      <c r="A2743" s="2">
        <v>46089</v>
      </c>
      <c r="B2743" s="1" t="s">
        <v>5244</v>
      </c>
      <c r="C2743" s="1" t="s">
        <v>5245</v>
      </c>
      <c r="D2743" t="b">
        <f ca="1">IF(A2743="","",[1]!s_techanal_rcnthigh(B2743,$B$2,1,3))</f>
        <v>0</v>
      </c>
      <c r="E2743">
        <f ca="1">IF(A2743="","",COUNTIF(D$6:D2743,"True"))</f>
        <v>25</v>
      </c>
      <c r="F2743" t="str">
        <f t="shared" si="42"/>
        <v>301365.SZ</v>
      </c>
    </row>
    <row r="2744" spans="1:6" x14ac:dyDescent="0.15">
      <c r="A2744" s="2">
        <v>46089</v>
      </c>
      <c r="B2744" s="1" t="s">
        <v>5246</v>
      </c>
      <c r="C2744" s="1" t="s">
        <v>5247</v>
      </c>
      <c r="D2744" t="b">
        <f ca="1">IF(A2744="","",[1]!s_techanal_rcnthigh(B2744,$B$2,1,3))</f>
        <v>0</v>
      </c>
      <c r="E2744">
        <f ca="1">IF(A2744="","",COUNTIF(D$6:D2744,"True"))</f>
        <v>25</v>
      </c>
      <c r="F2744" t="str">
        <f t="shared" si="42"/>
        <v>301366.SZ</v>
      </c>
    </row>
    <row r="2745" spans="1:6" x14ac:dyDescent="0.15">
      <c r="A2745" s="2">
        <v>46089</v>
      </c>
      <c r="B2745" s="1" t="s">
        <v>5248</v>
      </c>
      <c r="C2745" s="1" t="s">
        <v>10254</v>
      </c>
      <c r="D2745" t="b">
        <f ca="1">IF(A2745="","",[1]!s_techanal_rcnthigh(B2745,$B$2,1,3))</f>
        <v>0</v>
      </c>
      <c r="E2745">
        <f ca="1">IF(A2745="","",COUNTIF(D$6:D2745,"True"))</f>
        <v>25</v>
      </c>
      <c r="F2745" t="str">
        <f t="shared" si="42"/>
        <v>301367.SZ</v>
      </c>
    </row>
    <row r="2746" spans="1:6" x14ac:dyDescent="0.15">
      <c r="A2746" s="2">
        <v>46089</v>
      </c>
      <c r="B2746" s="1" t="s">
        <v>5249</v>
      </c>
      <c r="C2746" s="1" t="s">
        <v>5250</v>
      </c>
      <c r="D2746" t="b">
        <f ca="1">IF(A2746="","",[1]!s_techanal_rcnthigh(B2746,$B$2,1,3))</f>
        <v>0</v>
      </c>
      <c r="E2746">
        <f ca="1">IF(A2746="","",COUNTIF(D$6:D2746,"True"))</f>
        <v>25</v>
      </c>
      <c r="F2746" t="str">
        <f t="shared" si="42"/>
        <v>301368.SZ</v>
      </c>
    </row>
    <row r="2747" spans="1:6" x14ac:dyDescent="0.15">
      <c r="A2747" s="2">
        <v>46089</v>
      </c>
      <c r="B2747" s="1" t="s">
        <v>5251</v>
      </c>
      <c r="C2747" s="1" t="s">
        <v>5252</v>
      </c>
      <c r="D2747" t="b">
        <f ca="1">IF(A2747="","",[1]!s_techanal_rcnthigh(B2747,$B$2,1,3))</f>
        <v>0</v>
      </c>
      <c r="E2747">
        <f ca="1">IF(A2747="","",COUNTIF(D$6:D2747,"True"))</f>
        <v>25</v>
      </c>
      <c r="F2747" t="str">
        <f t="shared" si="42"/>
        <v>301369.SZ</v>
      </c>
    </row>
    <row r="2748" spans="1:6" x14ac:dyDescent="0.15">
      <c r="A2748" s="2">
        <v>46089</v>
      </c>
      <c r="B2748" s="1" t="s">
        <v>5253</v>
      </c>
      <c r="C2748" s="1" t="s">
        <v>5254</v>
      </c>
      <c r="D2748" t="b">
        <f ca="1">IF(A2748="","",[1]!s_techanal_rcnthigh(B2748,$B$2,1,3))</f>
        <v>0</v>
      </c>
      <c r="E2748">
        <f ca="1">IF(A2748="","",COUNTIF(D$6:D2748,"True"))</f>
        <v>25</v>
      </c>
      <c r="F2748" t="str">
        <f t="shared" si="42"/>
        <v>301370.SZ</v>
      </c>
    </row>
    <row r="2749" spans="1:6" x14ac:dyDescent="0.15">
      <c r="A2749" s="2">
        <v>46089</v>
      </c>
      <c r="B2749" s="1" t="s">
        <v>5255</v>
      </c>
      <c r="C2749" s="1" t="s">
        <v>5256</v>
      </c>
      <c r="D2749" t="b">
        <f ca="1">IF(A2749="","",[1]!s_techanal_rcnthigh(B2749,$B$2,1,3))</f>
        <v>0</v>
      </c>
      <c r="E2749">
        <f ca="1">IF(A2749="","",COUNTIF(D$6:D2749,"True"))</f>
        <v>25</v>
      </c>
      <c r="F2749" t="str">
        <f t="shared" si="42"/>
        <v>301371.SZ</v>
      </c>
    </row>
    <row r="2750" spans="1:6" x14ac:dyDescent="0.15">
      <c r="A2750" s="2">
        <v>46089</v>
      </c>
      <c r="B2750" s="1" t="s">
        <v>5257</v>
      </c>
      <c r="C2750" s="1" t="s">
        <v>5258</v>
      </c>
      <c r="D2750" t="b">
        <f ca="1">IF(A2750="","",[1]!s_techanal_rcnthigh(B2750,$B$2,1,3))</f>
        <v>0</v>
      </c>
      <c r="E2750">
        <f ca="1">IF(A2750="","",COUNTIF(D$6:D2750,"True"))</f>
        <v>25</v>
      </c>
      <c r="F2750" t="str">
        <f t="shared" si="42"/>
        <v>301372.SZ</v>
      </c>
    </row>
    <row r="2751" spans="1:6" x14ac:dyDescent="0.15">
      <c r="A2751" s="2">
        <v>46089</v>
      </c>
      <c r="B2751" s="1" t="s">
        <v>5259</v>
      </c>
      <c r="C2751" s="1" t="s">
        <v>5260</v>
      </c>
      <c r="D2751" t="b">
        <f ca="1">IF(A2751="","",[1]!s_techanal_rcnthigh(B2751,$B$2,1,3))</f>
        <v>1</v>
      </c>
      <c r="E2751">
        <f ca="1">IF(A2751="","",COUNTIF(D$6:D2751,"True"))</f>
        <v>26</v>
      </c>
      <c r="F2751" t="str">
        <f t="shared" si="42"/>
        <v>301373.SZ</v>
      </c>
    </row>
    <row r="2752" spans="1:6" x14ac:dyDescent="0.15">
      <c r="A2752" s="2">
        <v>46089</v>
      </c>
      <c r="B2752" s="1" t="s">
        <v>5261</v>
      </c>
      <c r="C2752" s="1" t="s">
        <v>5262</v>
      </c>
      <c r="D2752" t="b">
        <f ca="1">IF(A2752="","",[1]!s_techanal_rcnthigh(B2752,$B$2,1,3))</f>
        <v>0</v>
      </c>
      <c r="E2752">
        <f ca="1">IF(A2752="","",COUNTIF(D$6:D2752,"True"))</f>
        <v>26</v>
      </c>
      <c r="F2752" t="str">
        <f t="shared" si="42"/>
        <v>301376.SZ</v>
      </c>
    </row>
    <row r="2753" spans="1:6" x14ac:dyDescent="0.15">
      <c r="A2753" s="2">
        <v>46089</v>
      </c>
      <c r="B2753" s="1" t="s">
        <v>5263</v>
      </c>
      <c r="C2753" s="1" t="s">
        <v>5264</v>
      </c>
      <c r="D2753" t="b">
        <f ca="1">IF(A2753="","",[1]!s_techanal_rcnthigh(B2753,$B$2,1,3))</f>
        <v>0</v>
      </c>
      <c r="E2753">
        <f ca="1">IF(A2753="","",COUNTIF(D$6:D2753,"True"))</f>
        <v>26</v>
      </c>
      <c r="F2753" t="str">
        <f t="shared" si="42"/>
        <v>301377.SZ</v>
      </c>
    </row>
    <row r="2754" spans="1:6" x14ac:dyDescent="0.15">
      <c r="A2754" s="2">
        <v>46089</v>
      </c>
      <c r="B2754" s="1" t="s">
        <v>5265</v>
      </c>
      <c r="C2754" s="1" t="s">
        <v>5266</v>
      </c>
      <c r="D2754" t="b">
        <f ca="1">IF(A2754="","",[1]!s_techanal_rcnthigh(B2754,$B$2,1,3))</f>
        <v>0</v>
      </c>
      <c r="E2754">
        <f ca="1">IF(A2754="","",COUNTIF(D$6:D2754,"True"))</f>
        <v>26</v>
      </c>
      <c r="F2754" t="str">
        <f t="shared" si="42"/>
        <v>301378.SZ</v>
      </c>
    </row>
    <row r="2755" spans="1:6" x14ac:dyDescent="0.15">
      <c r="A2755" s="2">
        <v>46089</v>
      </c>
      <c r="B2755" s="1" t="s">
        <v>5267</v>
      </c>
      <c r="C2755" s="1" t="s">
        <v>5268</v>
      </c>
      <c r="D2755" t="b">
        <f ca="1">IF(A2755="","",[1]!s_techanal_rcnthigh(B2755,$B$2,1,3))</f>
        <v>0</v>
      </c>
      <c r="E2755">
        <f ca="1">IF(A2755="","",COUNTIF(D$6:D2755,"True"))</f>
        <v>26</v>
      </c>
      <c r="F2755" t="str">
        <f t="shared" si="42"/>
        <v>301379.SZ</v>
      </c>
    </row>
    <row r="2756" spans="1:6" x14ac:dyDescent="0.15">
      <c r="A2756" s="2">
        <v>46089</v>
      </c>
      <c r="B2756" s="1" t="s">
        <v>5269</v>
      </c>
      <c r="C2756" s="1" t="s">
        <v>5270</v>
      </c>
      <c r="D2756" t="b">
        <f ca="1">IF(A2756="","",[1]!s_techanal_rcnthigh(B2756,$B$2,1,3))</f>
        <v>0</v>
      </c>
      <c r="E2756">
        <f ca="1">IF(A2756="","",COUNTIF(D$6:D2756,"True"))</f>
        <v>26</v>
      </c>
      <c r="F2756" t="str">
        <f t="shared" si="42"/>
        <v>301380.SZ</v>
      </c>
    </row>
    <row r="2757" spans="1:6" x14ac:dyDescent="0.15">
      <c r="A2757" s="2">
        <v>46089</v>
      </c>
      <c r="B2757" s="1" t="s">
        <v>5271</v>
      </c>
      <c r="C2757" s="1" t="s">
        <v>5272</v>
      </c>
      <c r="D2757" t="b">
        <f ca="1">IF(A2757="","",[1]!s_techanal_rcnthigh(B2757,$B$2,1,3))</f>
        <v>0</v>
      </c>
      <c r="E2757">
        <f ca="1">IF(A2757="","",COUNTIF(D$6:D2757,"True"))</f>
        <v>26</v>
      </c>
      <c r="F2757" t="str">
        <f t="shared" si="42"/>
        <v>301381.SZ</v>
      </c>
    </row>
    <row r="2758" spans="1:6" x14ac:dyDescent="0.15">
      <c r="A2758" s="2">
        <v>46089</v>
      </c>
      <c r="B2758" s="1" t="s">
        <v>5273</v>
      </c>
      <c r="C2758" s="1" t="s">
        <v>5274</v>
      </c>
      <c r="D2758" t="b">
        <f ca="1">IF(A2758="","",[1]!s_techanal_rcnthigh(B2758,$B$2,1,3))</f>
        <v>0</v>
      </c>
      <c r="E2758">
        <f ca="1">IF(A2758="","",COUNTIF(D$6:D2758,"True"))</f>
        <v>26</v>
      </c>
      <c r="F2758" t="str">
        <f t="shared" ref="F2758:F2821" si="43">IF(B2758="","",B2758)</f>
        <v>301382.SZ</v>
      </c>
    </row>
    <row r="2759" spans="1:6" x14ac:dyDescent="0.15">
      <c r="A2759" s="2">
        <v>46089</v>
      </c>
      <c r="B2759" s="1" t="s">
        <v>5275</v>
      </c>
      <c r="C2759" s="1" t="s">
        <v>5276</v>
      </c>
      <c r="D2759" t="b">
        <f ca="1">IF(A2759="","",[1]!s_techanal_rcnthigh(B2759,$B$2,1,3))</f>
        <v>0</v>
      </c>
      <c r="E2759">
        <f ca="1">IF(A2759="","",COUNTIF(D$6:D2759,"True"))</f>
        <v>26</v>
      </c>
      <c r="F2759" t="str">
        <f t="shared" si="43"/>
        <v>301383.SZ</v>
      </c>
    </row>
    <row r="2760" spans="1:6" x14ac:dyDescent="0.15">
      <c r="A2760" s="2">
        <v>46089</v>
      </c>
      <c r="B2760" s="1" t="s">
        <v>5277</v>
      </c>
      <c r="C2760" s="1" t="s">
        <v>5278</v>
      </c>
      <c r="D2760" t="b">
        <f ca="1">IF(A2760="","",[1]!s_techanal_rcnthigh(B2760,$B$2,1,3))</f>
        <v>0</v>
      </c>
      <c r="E2760">
        <f ca="1">IF(A2760="","",COUNTIF(D$6:D2760,"True"))</f>
        <v>26</v>
      </c>
      <c r="F2760" t="str">
        <f t="shared" si="43"/>
        <v>301386.SZ</v>
      </c>
    </row>
    <row r="2761" spans="1:6" x14ac:dyDescent="0.15">
      <c r="A2761" s="2">
        <v>46089</v>
      </c>
      <c r="B2761" s="1" t="s">
        <v>5279</v>
      </c>
      <c r="C2761" s="1" t="s">
        <v>5280</v>
      </c>
      <c r="D2761" t="b">
        <f ca="1">IF(A2761="","",[1]!s_techanal_rcnthigh(B2761,$B$2,1,3))</f>
        <v>0</v>
      </c>
      <c r="E2761">
        <f ca="1">IF(A2761="","",COUNTIF(D$6:D2761,"True"))</f>
        <v>26</v>
      </c>
      <c r="F2761" t="str">
        <f t="shared" si="43"/>
        <v>301387.SZ</v>
      </c>
    </row>
    <row r="2762" spans="1:6" x14ac:dyDescent="0.15">
      <c r="A2762" s="2">
        <v>46089</v>
      </c>
      <c r="B2762" s="1" t="s">
        <v>5281</v>
      </c>
      <c r="C2762" s="1" t="s">
        <v>5282</v>
      </c>
      <c r="D2762" t="b">
        <f ca="1">IF(A2762="","",[1]!s_techanal_rcnthigh(B2762,$B$2,1,3))</f>
        <v>0</v>
      </c>
      <c r="E2762">
        <f ca="1">IF(A2762="","",COUNTIF(D$6:D2762,"True"))</f>
        <v>26</v>
      </c>
      <c r="F2762" t="str">
        <f t="shared" si="43"/>
        <v>301388.SZ</v>
      </c>
    </row>
    <row r="2763" spans="1:6" x14ac:dyDescent="0.15">
      <c r="A2763" s="2">
        <v>46089</v>
      </c>
      <c r="B2763" s="1" t="s">
        <v>5283</v>
      </c>
      <c r="C2763" s="1" t="s">
        <v>5284</v>
      </c>
      <c r="D2763" t="b">
        <f ca="1">IF(A2763="","",[1]!s_techanal_rcnthigh(B2763,$B$2,1,3))</f>
        <v>0</v>
      </c>
      <c r="E2763">
        <f ca="1">IF(A2763="","",COUNTIF(D$6:D2763,"True"))</f>
        <v>26</v>
      </c>
      <c r="F2763" t="str">
        <f t="shared" si="43"/>
        <v>301389.SZ</v>
      </c>
    </row>
    <row r="2764" spans="1:6" x14ac:dyDescent="0.15">
      <c r="A2764" s="2">
        <v>46089</v>
      </c>
      <c r="B2764" s="1" t="s">
        <v>5285</v>
      </c>
      <c r="C2764" s="1" t="s">
        <v>5286</v>
      </c>
      <c r="D2764" t="b">
        <f ca="1">IF(A2764="","",[1]!s_techanal_rcnthigh(B2764,$B$2,1,3))</f>
        <v>0</v>
      </c>
      <c r="E2764">
        <f ca="1">IF(A2764="","",COUNTIF(D$6:D2764,"True"))</f>
        <v>26</v>
      </c>
      <c r="F2764" t="str">
        <f t="shared" si="43"/>
        <v>301390.SZ</v>
      </c>
    </row>
    <row r="2765" spans="1:6" x14ac:dyDescent="0.15">
      <c r="A2765" s="2">
        <v>46089</v>
      </c>
      <c r="B2765" s="1" t="s">
        <v>5287</v>
      </c>
      <c r="C2765" s="1" t="s">
        <v>5288</v>
      </c>
      <c r="D2765" t="b">
        <f ca="1">IF(A2765="","",[1]!s_techanal_rcnthigh(B2765,$B$2,1,3))</f>
        <v>0</v>
      </c>
      <c r="E2765">
        <f ca="1">IF(A2765="","",COUNTIF(D$6:D2765,"True"))</f>
        <v>26</v>
      </c>
      <c r="F2765" t="str">
        <f t="shared" si="43"/>
        <v>301391.SZ</v>
      </c>
    </row>
    <row r="2766" spans="1:6" x14ac:dyDescent="0.15">
      <c r="A2766" s="2">
        <v>46089</v>
      </c>
      <c r="B2766" s="1" t="s">
        <v>10255</v>
      </c>
      <c r="C2766" s="1" t="s">
        <v>10256</v>
      </c>
      <c r="D2766" t="b">
        <f ca="1">IF(A2766="","",[1]!s_techanal_rcnthigh(B2766,$B$2,1,3))</f>
        <v>0</v>
      </c>
      <c r="E2766">
        <f ca="1">IF(A2766="","",COUNTIF(D$6:D2766,"True"))</f>
        <v>26</v>
      </c>
      <c r="F2766" t="str">
        <f t="shared" si="43"/>
        <v>301392.SZ</v>
      </c>
    </row>
    <row r="2767" spans="1:6" x14ac:dyDescent="0.15">
      <c r="A2767" s="2">
        <v>46089</v>
      </c>
      <c r="B2767" s="1" t="s">
        <v>5289</v>
      </c>
      <c r="C2767" s="1" t="s">
        <v>5290</v>
      </c>
      <c r="D2767" t="b">
        <f ca="1">IF(A2767="","",[1]!s_techanal_rcnthigh(B2767,$B$2,1,3))</f>
        <v>0</v>
      </c>
      <c r="E2767">
        <f ca="1">IF(A2767="","",COUNTIF(D$6:D2767,"True"))</f>
        <v>26</v>
      </c>
      <c r="F2767" t="str">
        <f t="shared" si="43"/>
        <v>301393.SZ</v>
      </c>
    </row>
    <row r="2768" spans="1:6" x14ac:dyDescent="0.15">
      <c r="A2768" s="2">
        <v>46089</v>
      </c>
      <c r="B2768" s="1" t="s">
        <v>5291</v>
      </c>
      <c r="C2768" s="1" t="s">
        <v>5292</v>
      </c>
      <c r="D2768" t="b">
        <f ca="1">IF(A2768="","",[1]!s_techanal_rcnthigh(B2768,$B$2,1,3))</f>
        <v>0</v>
      </c>
      <c r="E2768">
        <f ca="1">IF(A2768="","",COUNTIF(D$6:D2768,"True"))</f>
        <v>26</v>
      </c>
      <c r="F2768" t="str">
        <f t="shared" si="43"/>
        <v>301395.SZ</v>
      </c>
    </row>
    <row r="2769" spans="1:6" x14ac:dyDescent="0.15">
      <c r="A2769" s="2">
        <v>46089</v>
      </c>
      <c r="B2769" s="1" t="s">
        <v>5293</v>
      </c>
      <c r="C2769" s="1" t="s">
        <v>5294</v>
      </c>
      <c r="D2769" t="b">
        <f ca="1">IF(A2769="","",[1]!s_techanal_rcnthigh(B2769,$B$2,1,3))</f>
        <v>0</v>
      </c>
      <c r="E2769">
        <f ca="1">IF(A2769="","",COUNTIF(D$6:D2769,"True"))</f>
        <v>26</v>
      </c>
      <c r="F2769" t="str">
        <f t="shared" si="43"/>
        <v>301396.SZ</v>
      </c>
    </row>
    <row r="2770" spans="1:6" x14ac:dyDescent="0.15">
      <c r="A2770" s="2">
        <v>46089</v>
      </c>
      <c r="B2770" s="1" t="s">
        <v>5295</v>
      </c>
      <c r="C2770" s="1" t="s">
        <v>5296</v>
      </c>
      <c r="D2770" t="b">
        <f ca="1">IF(A2770="","",[1]!s_techanal_rcnthigh(B2770,$B$2,1,3))</f>
        <v>0</v>
      </c>
      <c r="E2770">
        <f ca="1">IF(A2770="","",COUNTIF(D$6:D2770,"True"))</f>
        <v>26</v>
      </c>
      <c r="F2770" t="str">
        <f t="shared" si="43"/>
        <v>301397.SZ</v>
      </c>
    </row>
    <row r="2771" spans="1:6" x14ac:dyDescent="0.15">
      <c r="A2771" s="2">
        <v>46089</v>
      </c>
      <c r="B2771" s="1" t="s">
        <v>5297</v>
      </c>
      <c r="C2771" s="1" t="s">
        <v>5298</v>
      </c>
      <c r="D2771" t="b">
        <f ca="1">IF(A2771="","",[1]!s_techanal_rcnthigh(B2771,$B$2,1,3))</f>
        <v>0</v>
      </c>
      <c r="E2771">
        <f ca="1">IF(A2771="","",COUNTIF(D$6:D2771,"True"))</f>
        <v>26</v>
      </c>
      <c r="F2771" t="str">
        <f t="shared" si="43"/>
        <v>301398.SZ</v>
      </c>
    </row>
    <row r="2772" spans="1:6" x14ac:dyDescent="0.15">
      <c r="A2772" s="2">
        <v>46089</v>
      </c>
      <c r="B2772" s="1" t="s">
        <v>5299</v>
      </c>
      <c r="C2772" s="1" t="s">
        <v>5300</v>
      </c>
      <c r="D2772" t="b">
        <f ca="1">IF(A2772="","",[1]!s_techanal_rcnthigh(B2772,$B$2,1,3))</f>
        <v>0</v>
      </c>
      <c r="E2772">
        <f ca="1">IF(A2772="","",COUNTIF(D$6:D2772,"True"))</f>
        <v>26</v>
      </c>
      <c r="F2772" t="str">
        <f t="shared" si="43"/>
        <v>301399.SZ</v>
      </c>
    </row>
    <row r="2773" spans="1:6" x14ac:dyDescent="0.15">
      <c r="A2773" s="2">
        <v>46089</v>
      </c>
      <c r="B2773" s="1" t="s">
        <v>5301</v>
      </c>
      <c r="C2773" s="1" t="s">
        <v>5302</v>
      </c>
      <c r="D2773" t="b">
        <f ca="1">IF(A2773="","",[1]!s_techanal_rcnthigh(B2773,$B$2,1,3))</f>
        <v>0</v>
      </c>
      <c r="E2773">
        <f ca="1">IF(A2773="","",COUNTIF(D$6:D2773,"True"))</f>
        <v>26</v>
      </c>
      <c r="F2773" t="str">
        <f t="shared" si="43"/>
        <v>301408.SZ</v>
      </c>
    </row>
    <row r="2774" spans="1:6" x14ac:dyDescent="0.15">
      <c r="A2774" s="2">
        <v>46089</v>
      </c>
      <c r="B2774" s="1" t="s">
        <v>5303</v>
      </c>
      <c r="C2774" s="1" t="s">
        <v>5304</v>
      </c>
      <c r="D2774" t="b">
        <f ca="1">IF(A2774="","",[1]!s_techanal_rcnthigh(B2774,$B$2,1,3))</f>
        <v>0</v>
      </c>
      <c r="E2774">
        <f ca="1">IF(A2774="","",COUNTIF(D$6:D2774,"True"))</f>
        <v>26</v>
      </c>
      <c r="F2774" t="str">
        <f t="shared" si="43"/>
        <v>301413.SZ</v>
      </c>
    </row>
    <row r="2775" spans="1:6" x14ac:dyDescent="0.15">
      <c r="A2775" s="2">
        <v>46089</v>
      </c>
      <c r="B2775" s="1" t="s">
        <v>5305</v>
      </c>
      <c r="C2775" s="1" t="s">
        <v>5306</v>
      </c>
      <c r="D2775" t="b">
        <f ca="1">IF(A2775="","",[1]!s_techanal_rcnthigh(B2775,$B$2,1,3))</f>
        <v>0</v>
      </c>
      <c r="E2775">
        <f ca="1">IF(A2775="","",COUNTIF(D$6:D2775,"True"))</f>
        <v>26</v>
      </c>
      <c r="F2775" t="str">
        <f t="shared" si="43"/>
        <v>301418.SZ</v>
      </c>
    </row>
    <row r="2776" spans="1:6" x14ac:dyDescent="0.15">
      <c r="A2776" s="2">
        <v>46089</v>
      </c>
      <c r="B2776" s="1" t="s">
        <v>5307</v>
      </c>
      <c r="C2776" s="1" t="s">
        <v>5308</v>
      </c>
      <c r="D2776" t="b">
        <f ca="1">IF(A2776="","",[1]!s_techanal_rcnthigh(B2776,$B$2,1,3))</f>
        <v>0</v>
      </c>
      <c r="E2776">
        <f ca="1">IF(A2776="","",COUNTIF(D$6:D2776,"True"))</f>
        <v>26</v>
      </c>
      <c r="F2776" t="str">
        <f t="shared" si="43"/>
        <v>301419.SZ</v>
      </c>
    </row>
    <row r="2777" spans="1:6" x14ac:dyDescent="0.15">
      <c r="A2777" s="2">
        <v>46089</v>
      </c>
      <c r="B2777" s="1" t="s">
        <v>5309</v>
      </c>
      <c r="C2777" s="1" t="s">
        <v>5310</v>
      </c>
      <c r="D2777" t="b">
        <f ca="1">IF(A2777="","",[1]!s_techanal_rcnthigh(B2777,$B$2,1,3))</f>
        <v>0</v>
      </c>
      <c r="E2777">
        <f ca="1">IF(A2777="","",COUNTIF(D$6:D2777,"True"))</f>
        <v>26</v>
      </c>
      <c r="F2777" t="str">
        <f t="shared" si="43"/>
        <v>301421.SZ</v>
      </c>
    </row>
    <row r="2778" spans="1:6" x14ac:dyDescent="0.15">
      <c r="A2778" s="2">
        <v>46089</v>
      </c>
      <c r="B2778" s="1" t="s">
        <v>5311</v>
      </c>
      <c r="C2778" s="1" t="s">
        <v>5312</v>
      </c>
      <c r="D2778" t="b">
        <f ca="1">IF(A2778="","",[1]!s_techanal_rcnthigh(B2778,$B$2,1,3))</f>
        <v>0</v>
      </c>
      <c r="E2778">
        <f ca="1">IF(A2778="","",COUNTIF(D$6:D2778,"True"))</f>
        <v>26</v>
      </c>
      <c r="F2778" t="str">
        <f t="shared" si="43"/>
        <v>301428.SZ</v>
      </c>
    </row>
    <row r="2779" spans="1:6" x14ac:dyDescent="0.15">
      <c r="A2779" s="2">
        <v>46089</v>
      </c>
      <c r="B2779" s="1" t="s">
        <v>5313</v>
      </c>
      <c r="C2779" s="1" t="s">
        <v>5314</v>
      </c>
      <c r="D2779" t="b">
        <f ca="1">IF(A2779="","",[1]!s_techanal_rcnthigh(B2779,$B$2,1,3))</f>
        <v>0</v>
      </c>
      <c r="E2779">
        <f ca="1">IF(A2779="","",COUNTIF(D$6:D2779,"True"))</f>
        <v>26</v>
      </c>
      <c r="F2779" t="str">
        <f t="shared" si="43"/>
        <v>301429.SZ</v>
      </c>
    </row>
    <row r="2780" spans="1:6" x14ac:dyDescent="0.15">
      <c r="A2780" s="2">
        <v>46089</v>
      </c>
      <c r="B2780" s="1" t="s">
        <v>5315</v>
      </c>
      <c r="C2780" s="1" t="s">
        <v>5316</v>
      </c>
      <c r="D2780" t="b">
        <f ca="1">IF(A2780="","",[1]!s_techanal_rcnthigh(B2780,$B$2,1,3))</f>
        <v>0</v>
      </c>
      <c r="E2780">
        <f ca="1">IF(A2780="","",COUNTIF(D$6:D2780,"True"))</f>
        <v>26</v>
      </c>
      <c r="F2780" t="str">
        <f t="shared" si="43"/>
        <v>301439.SZ</v>
      </c>
    </row>
    <row r="2781" spans="1:6" x14ac:dyDescent="0.15">
      <c r="A2781" s="2">
        <v>46089</v>
      </c>
      <c r="B2781" s="1" t="s">
        <v>5317</v>
      </c>
      <c r="C2781" s="1" t="s">
        <v>5318</v>
      </c>
      <c r="D2781" t="b">
        <f ca="1">IF(A2781="","",[1]!s_techanal_rcnthigh(B2781,$B$2,1,3))</f>
        <v>0</v>
      </c>
      <c r="E2781">
        <f ca="1">IF(A2781="","",COUNTIF(D$6:D2781,"True"))</f>
        <v>26</v>
      </c>
      <c r="F2781" t="str">
        <f t="shared" si="43"/>
        <v>301446.SZ</v>
      </c>
    </row>
    <row r="2782" spans="1:6" x14ac:dyDescent="0.15">
      <c r="A2782" s="2">
        <v>46089</v>
      </c>
      <c r="B2782" s="1" t="s">
        <v>5319</v>
      </c>
      <c r="C2782" s="1" t="s">
        <v>5320</v>
      </c>
      <c r="D2782" t="b">
        <f ca="1">IF(A2782="","",[1]!s_techanal_rcnthigh(B2782,$B$2,1,3))</f>
        <v>0</v>
      </c>
      <c r="E2782">
        <f ca="1">IF(A2782="","",COUNTIF(D$6:D2782,"True"))</f>
        <v>26</v>
      </c>
      <c r="F2782" t="str">
        <f t="shared" si="43"/>
        <v>301448.SZ</v>
      </c>
    </row>
    <row r="2783" spans="1:6" x14ac:dyDescent="0.15">
      <c r="A2783" s="2">
        <v>46089</v>
      </c>
      <c r="B2783" s="1" t="s">
        <v>10257</v>
      </c>
      <c r="C2783" s="1" t="s">
        <v>10258</v>
      </c>
      <c r="D2783" t="b">
        <f ca="1">IF(A2783="","",[1]!s_techanal_rcnthigh(B2783,$B$2,1,3))</f>
        <v>0</v>
      </c>
      <c r="E2783">
        <f ca="1">IF(A2783="","",COUNTIF(D$6:D2783,"True"))</f>
        <v>26</v>
      </c>
      <c r="F2783" t="str">
        <f t="shared" si="43"/>
        <v>301449.SZ</v>
      </c>
    </row>
    <row r="2784" spans="1:6" x14ac:dyDescent="0.15">
      <c r="A2784" s="2">
        <v>46089</v>
      </c>
      <c r="B2784" s="1" t="s">
        <v>5321</v>
      </c>
      <c r="C2784" s="1" t="s">
        <v>5322</v>
      </c>
      <c r="D2784" t="b">
        <f ca="1">IF(A2784="","",[1]!s_techanal_rcnthigh(B2784,$B$2,1,3))</f>
        <v>0</v>
      </c>
      <c r="E2784">
        <f ca="1">IF(A2784="","",COUNTIF(D$6:D2784,"True"))</f>
        <v>26</v>
      </c>
      <c r="F2784" t="str">
        <f t="shared" si="43"/>
        <v>301456.SZ</v>
      </c>
    </row>
    <row r="2785" spans="1:6" x14ac:dyDescent="0.15">
      <c r="A2785" s="2">
        <v>46089</v>
      </c>
      <c r="B2785" s="1" t="s">
        <v>10259</v>
      </c>
      <c r="C2785" s="1" t="s">
        <v>10260</v>
      </c>
      <c r="D2785" t="b">
        <f ca="1">IF(A2785="","",[1]!s_techanal_rcnthigh(B2785,$B$2,1,3))</f>
        <v>0</v>
      </c>
      <c r="E2785">
        <f ca="1">IF(A2785="","",COUNTIF(D$6:D2785,"True"))</f>
        <v>26</v>
      </c>
      <c r="F2785" t="str">
        <f t="shared" si="43"/>
        <v>301458.SZ</v>
      </c>
    </row>
    <row r="2786" spans="1:6" x14ac:dyDescent="0.15">
      <c r="A2786" s="2">
        <v>46089</v>
      </c>
      <c r="B2786" s="1" t="s">
        <v>5323</v>
      </c>
      <c r="C2786" s="1" t="s">
        <v>5324</v>
      </c>
      <c r="D2786" t="b">
        <f ca="1">IF(A2786="","",[1]!s_techanal_rcnthigh(B2786,$B$2,1,3))</f>
        <v>0</v>
      </c>
      <c r="E2786">
        <f ca="1">IF(A2786="","",COUNTIF(D$6:D2786,"True"))</f>
        <v>26</v>
      </c>
      <c r="F2786" t="str">
        <f t="shared" si="43"/>
        <v>301459.SZ</v>
      </c>
    </row>
    <row r="2787" spans="1:6" x14ac:dyDescent="0.15">
      <c r="A2787" s="2">
        <v>46089</v>
      </c>
      <c r="B2787" s="1" t="s">
        <v>5325</v>
      </c>
      <c r="C2787" s="1" t="s">
        <v>5326</v>
      </c>
      <c r="D2787" t="b">
        <f ca="1">IF(A2787="","",[1]!s_techanal_rcnthigh(B2787,$B$2,1,3))</f>
        <v>0</v>
      </c>
      <c r="E2787">
        <f ca="1">IF(A2787="","",COUNTIF(D$6:D2787,"True"))</f>
        <v>26</v>
      </c>
      <c r="F2787" t="str">
        <f t="shared" si="43"/>
        <v>301468.SZ</v>
      </c>
    </row>
    <row r="2788" spans="1:6" x14ac:dyDescent="0.15">
      <c r="A2788" s="2">
        <v>46089</v>
      </c>
      <c r="B2788" s="1" t="s">
        <v>5327</v>
      </c>
      <c r="C2788" s="1" t="s">
        <v>5328</v>
      </c>
      <c r="D2788" t="b">
        <f ca="1">IF(A2788="","",[1]!s_techanal_rcnthigh(B2788,$B$2,1,3))</f>
        <v>0</v>
      </c>
      <c r="E2788">
        <f ca="1">IF(A2788="","",COUNTIF(D$6:D2788,"True"))</f>
        <v>26</v>
      </c>
      <c r="F2788" t="str">
        <f t="shared" si="43"/>
        <v>301469.SZ</v>
      </c>
    </row>
    <row r="2789" spans="1:6" x14ac:dyDescent="0.15">
      <c r="A2789" s="2">
        <v>46089</v>
      </c>
      <c r="B2789" s="1" t="s">
        <v>10261</v>
      </c>
      <c r="C2789" s="1" t="s">
        <v>10262</v>
      </c>
      <c r="D2789" t="b">
        <f ca="1">IF(A2789="","",[1]!s_techanal_rcnthigh(B2789,$B$2,1,3))</f>
        <v>0</v>
      </c>
      <c r="E2789">
        <f ca="1">IF(A2789="","",COUNTIF(D$6:D2789,"True"))</f>
        <v>26</v>
      </c>
      <c r="F2789" t="str">
        <f t="shared" si="43"/>
        <v>301479.SZ</v>
      </c>
    </row>
    <row r="2790" spans="1:6" x14ac:dyDescent="0.15">
      <c r="A2790" s="2">
        <v>46089</v>
      </c>
      <c r="B2790" s="1" t="s">
        <v>5329</v>
      </c>
      <c r="C2790" s="1" t="s">
        <v>5330</v>
      </c>
      <c r="D2790" t="b">
        <f ca="1">IF(A2790="","",[1]!s_techanal_rcnthigh(B2790,$B$2,1,3))</f>
        <v>0</v>
      </c>
      <c r="E2790">
        <f ca="1">IF(A2790="","",COUNTIF(D$6:D2790,"True"))</f>
        <v>26</v>
      </c>
      <c r="F2790" t="str">
        <f t="shared" si="43"/>
        <v>301486.SZ</v>
      </c>
    </row>
    <row r="2791" spans="1:6" x14ac:dyDescent="0.15">
      <c r="A2791" s="2">
        <v>46089</v>
      </c>
      <c r="B2791" s="1" t="s">
        <v>5331</v>
      </c>
      <c r="C2791" s="1" t="s">
        <v>5332</v>
      </c>
      <c r="D2791" t="b">
        <f ca="1">IF(A2791="","",[1]!s_techanal_rcnthigh(B2791,$B$2,1,3))</f>
        <v>0</v>
      </c>
      <c r="E2791">
        <f ca="1">IF(A2791="","",COUNTIF(D$6:D2791,"True"))</f>
        <v>26</v>
      </c>
      <c r="F2791" t="str">
        <f t="shared" si="43"/>
        <v>301487.SZ</v>
      </c>
    </row>
    <row r="2792" spans="1:6" x14ac:dyDescent="0.15">
      <c r="A2792" s="2">
        <v>46089</v>
      </c>
      <c r="B2792" s="1" t="s">
        <v>5333</v>
      </c>
      <c r="C2792" s="1" t="s">
        <v>5334</v>
      </c>
      <c r="D2792" t="b">
        <f ca="1">IF(A2792="","",[1]!s_techanal_rcnthigh(B2792,$B$2,1,3))</f>
        <v>0</v>
      </c>
      <c r="E2792">
        <f ca="1">IF(A2792="","",COUNTIF(D$6:D2792,"True"))</f>
        <v>26</v>
      </c>
      <c r="F2792" t="str">
        <f t="shared" si="43"/>
        <v>301488.SZ</v>
      </c>
    </row>
    <row r="2793" spans="1:6" x14ac:dyDescent="0.15">
      <c r="A2793" s="2">
        <v>46089</v>
      </c>
      <c r="B2793" s="1" t="s">
        <v>5335</v>
      </c>
      <c r="C2793" s="1" t="s">
        <v>5336</v>
      </c>
      <c r="D2793" t="b">
        <f ca="1">IF(A2793="","",[1]!s_techanal_rcnthigh(B2793,$B$2,1,3))</f>
        <v>0</v>
      </c>
      <c r="E2793">
        <f ca="1">IF(A2793="","",COUNTIF(D$6:D2793,"True"))</f>
        <v>26</v>
      </c>
      <c r="F2793" t="str">
        <f t="shared" si="43"/>
        <v>301489.SZ</v>
      </c>
    </row>
    <row r="2794" spans="1:6" x14ac:dyDescent="0.15">
      <c r="A2794" s="2">
        <v>46089</v>
      </c>
      <c r="B2794" s="1" t="s">
        <v>10263</v>
      </c>
      <c r="C2794" s="1" t="s">
        <v>10264</v>
      </c>
      <c r="D2794" t="b">
        <f ca="1">IF(A2794="","",[1]!s_techanal_rcnthigh(B2794,$B$2,1,3))</f>
        <v>0</v>
      </c>
      <c r="E2794">
        <f ca="1">IF(A2794="","",COUNTIF(D$6:D2794,"True"))</f>
        <v>26</v>
      </c>
      <c r="F2794" t="str">
        <f t="shared" si="43"/>
        <v>301491.SZ</v>
      </c>
    </row>
    <row r="2795" spans="1:6" x14ac:dyDescent="0.15">
      <c r="A2795" s="2">
        <v>46089</v>
      </c>
      <c r="B2795" s="1" t="s">
        <v>5337</v>
      </c>
      <c r="C2795" s="1" t="s">
        <v>5338</v>
      </c>
      <c r="D2795" t="b">
        <f ca="1">IF(A2795="","",[1]!s_techanal_rcnthigh(B2795,$B$2,1,3))</f>
        <v>0</v>
      </c>
      <c r="E2795">
        <f ca="1">IF(A2795="","",COUNTIF(D$6:D2795,"True"))</f>
        <v>26</v>
      </c>
      <c r="F2795" t="str">
        <f t="shared" si="43"/>
        <v>301498.SZ</v>
      </c>
    </row>
    <row r="2796" spans="1:6" x14ac:dyDescent="0.15">
      <c r="A2796" s="2">
        <v>46089</v>
      </c>
      <c r="B2796" s="1" t="s">
        <v>5339</v>
      </c>
      <c r="C2796" s="1" t="s">
        <v>5340</v>
      </c>
      <c r="D2796" t="b">
        <f ca="1">IF(A2796="","",[1]!s_techanal_rcnthigh(B2796,$B$2,1,3))</f>
        <v>0</v>
      </c>
      <c r="E2796">
        <f ca="1">IF(A2796="","",COUNTIF(D$6:D2796,"True"))</f>
        <v>26</v>
      </c>
      <c r="F2796" t="str">
        <f t="shared" si="43"/>
        <v>301499.SZ</v>
      </c>
    </row>
    <row r="2797" spans="1:6" x14ac:dyDescent="0.15">
      <c r="A2797" s="2">
        <v>46089</v>
      </c>
      <c r="B2797" s="1" t="s">
        <v>5341</v>
      </c>
      <c r="C2797" s="1" t="s">
        <v>5342</v>
      </c>
      <c r="D2797" t="b">
        <f ca="1">IF(A2797="","",[1]!s_techanal_rcnthigh(B2797,$B$2,1,3))</f>
        <v>0</v>
      </c>
      <c r="E2797">
        <f ca="1">IF(A2797="","",COUNTIF(D$6:D2797,"True"))</f>
        <v>26</v>
      </c>
      <c r="F2797" t="str">
        <f t="shared" si="43"/>
        <v>301500.SZ</v>
      </c>
    </row>
    <row r="2798" spans="1:6" x14ac:dyDescent="0.15">
      <c r="A2798" s="2">
        <v>46089</v>
      </c>
      <c r="B2798" s="1" t="s">
        <v>10265</v>
      </c>
      <c r="C2798" s="1" t="s">
        <v>10266</v>
      </c>
      <c r="D2798" t="b">
        <f ca="1">IF(A2798="","",[1]!s_techanal_rcnthigh(B2798,$B$2,1,3))</f>
        <v>0</v>
      </c>
      <c r="E2798">
        <f ca="1">IF(A2798="","",COUNTIF(D$6:D2798,"True"))</f>
        <v>26</v>
      </c>
      <c r="F2798" t="str">
        <f t="shared" si="43"/>
        <v>301501.SZ</v>
      </c>
    </row>
    <row r="2799" spans="1:6" x14ac:dyDescent="0.15">
      <c r="A2799" s="2">
        <v>46089</v>
      </c>
      <c r="B2799" s="1" t="s">
        <v>5343</v>
      </c>
      <c r="C2799" s="1" t="s">
        <v>5344</v>
      </c>
      <c r="D2799" t="b">
        <f ca="1">IF(A2799="","",[1]!s_techanal_rcnthigh(B2799,$B$2,1,3))</f>
        <v>0</v>
      </c>
      <c r="E2799">
        <f ca="1">IF(A2799="","",COUNTIF(D$6:D2799,"True"))</f>
        <v>26</v>
      </c>
      <c r="F2799" t="str">
        <f t="shared" si="43"/>
        <v>301502.SZ</v>
      </c>
    </row>
    <row r="2800" spans="1:6" x14ac:dyDescent="0.15">
      <c r="A2800" s="2">
        <v>46089</v>
      </c>
      <c r="B2800" s="1" t="s">
        <v>5345</v>
      </c>
      <c r="C2800" s="1" t="s">
        <v>5346</v>
      </c>
      <c r="D2800" t="b">
        <f ca="1">IF(A2800="","",[1]!s_techanal_rcnthigh(B2800,$B$2,1,3))</f>
        <v>0</v>
      </c>
      <c r="E2800">
        <f ca="1">IF(A2800="","",COUNTIF(D$6:D2800,"True"))</f>
        <v>26</v>
      </c>
      <c r="F2800" t="str">
        <f t="shared" si="43"/>
        <v>301503.SZ</v>
      </c>
    </row>
    <row r="2801" spans="1:6" x14ac:dyDescent="0.15">
      <c r="A2801" s="2">
        <v>46089</v>
      </c>
      <c r="B2801" s="1" t="s">
        <v>5347</v>
      </c>
      <c r="C2801" s="1" t="s">
        <v>5348</v>
      </c>
      <c r="D2801" t="b">
        <f ca="1">IF(A2801="","",[1]!s_techanal_rcnthigh(B2801,$B$2,1,3))</f>
        <v>0</v>
      </c>
      <c r="E2801">
        <f ca="1">IF(A2801="","",COUNTIF(D$6:D2801,"True"))</f>
        <v>26</v>
      </c>
      <c r="F2801" t="str">
        <f t="shared" si="43"/>
        <v>301505.SZ</v>
      </c>
    </row>
    <row r="2802" spans="1:6" x14ac:dyDescent="0.15">
      <c r="A2802" s="2">
        <v>46089</v>
      </c>
      <c r="B2802" s="1" t="s">
        <v>5349</v>
      </c>
      <c r="C2802" s="1" t="s">
        <v>5350</v>
      </c>
      <c r="D2802" t="b">
        <f ca="1">IF(A2802="","",[1]!s_techanal_rcnthigh(B2802,$B$2,1,3))</f>
        <v>0</v>
      </c>
      <c r="E2802">
        <f ca="1">IF(A2802="","",COUNTIF(D$6:D2802,"True"))</f>
        <v>26</v>
      </c>
      <c r="F2802" t="str">
        <f t="shared" si="43"/>
        <v>301507.SZ</v>
      </c>
    </row>
    <row r="2803" spans="1:6" x14ac:dyDescent="0.15">
      <c r="A2803" s="2">
        <v>46089</v>
      </c>
      <c r="B2803" s="1" t="s">
        <v>5351</v>
      </c>
      <c r="C2803" s="1" t="s">
        <v>5352</v>
      </c>
      <c r="D2803" t="b">
        <f ca="1">IF(A2803="","",[1]!s_techanal_rcnthigh(B2803,$B$2,1,3))</f>
        <v>0</v>
      </c>
      <c r="E2803">
        <f ca="1">IF(A2803="","",COUNTIF(D$6:D2803,"True"))</f>
        <v>26</v>
      </c>
      <c r="F2803" t="str">
        <f t="shared" si="43"/>
        <v>301508.SZ</v>
      </c>
    </row>
    <row r="2804" spans="1:6" x14ac:dyDescent="0.15">
      <c r="A2804" s="2">
        <v>46089</v>
      </c>
      <c r="B2804" s="1" t="s">
        <v>5353</v>
      </c>
      <c r="C2804" s="1" t="s">
        <v>5354</v>
      </c>
      <c r="D2804" t="b">
        <f ca="1">IF(A2804="","",[1]!s_techanal_rcnthigh(B2804,$B$2,1,3))</f>
        <v>0</v>
      </c>
      <c r="E2804">
        <f ca="1">IF(A2804="","",COUNTIF(D$6:D2804,"True"))</f>
        <v>26</v>
      </c>
      <c r="F2804" t="str">
        <f t="shared" si="43"/>
        <v>301509.SZ</v>
      </c>
    </row>
    <row r="2805" spans="1:6" x14ac:dyDescent="0.15">
      <c r="A2805" s="2">
        <v>46089</v>
      </c>
      <c r="B2805" s="1" t="s">
        <v>5355</v>
      </c>
      <c r="C2805" s="1" t="s">
        <v>5356</v>
      </c>
      <c r="D2805" t="b">
        <f ca="1">IF(A2805="","",[1]!s_techanal_rcnthigh(B2805,$B$2,1,3))</f>
        <v>0</v>
      </c>
      <c r="E2805">
        <f ca="1">IF(A2805="","",COUNTIF(D$6:D2805,"True"))</f>
        <v>26</v>
      </c>
      <c r="F2805" t="str">
        <f t="shared" si="43"/>
        <v>301510.SZ</v>
      </c>
    </row>
    <row r="2806" spans="1:6" x14ac:dyDescent="0.15">
      <c r="A2806" s="2">
        <v>46089</v>
      </c>
      <c r="B2806" s="1" t="s">
        <v>5357</v>
      </c>
      <c r="C2806" s="1" t="s">
        <v>5358</v>
      </c>
      <c r="D2806" t="b">
        <f ca="1">IF(A2806="","",[1]!s_techanal_rcnthigh(B2806,$B$2,1,3))</f>
        <v>0</v>
      </c>
      <c r="E2806">
        <f ca="1">IF(A2806="","",COUNTIF(D$6:D2806,"True"))</f>
        <v>26</v>
      </c>
      <c r="F2806" t="str">
        <f t="shared" si="43"/>
        <v>301511.SZ</v>
      </c>
    </row>
    <row r="2807" spans="1:6" x14ac:dyDescent="0.15">
      <c r="A2807" s="2">
        <v>46089</v>
      </c>
      <c r="B2807" s="1" t="s">
        <v>5359</v>
      </c>
      <c r="C2807" s="1" t="s">
        <v>5360</v>
      </c>
      <c r="D2807" t="b">
        <f ca="1">IF(A2807="","",[1]!s_techanal_rcnthigh(B2807,$B$2,1,3))</f>
        <v>0</v>
      </c>
      <c r="E2807">
        <f ca="1">IF(A2807="","",COUNTIF(D$6:D2807,"True"))</f>
        <v>26</v>
      </c>
      <c r="F2807" t="str">
        <f t="shared" si="43"/>
        <v>301512.SZ</v>
      </c>
    </row>
    <row r="2808" spans="1:6" x14ac:dyDescent="0.15">
      <c r="A2808" s="2">
        <v>46089</v>
      </c>
      <c r="B2808" s="1" t="s">
        <v>5361</v>
      </c>
      <c r="C2808" s="1" t="s">
        <v>5362</v>
      </c>
      <c r="D2808" t="b">
        <f ca="1">IF(A2808="","",[1]!s_techanal_rcnthigh(B2808,$B$2,1,3))</f>
        <v>0</v>
      </c>
      <c r="E2808">
        <f ca="1">IF(A2808="","",COUNTIF(D$6:D2808,"True"))</f>
        <v>26</v>
      </c>
      <c r="F2808" t="str">
        <f t="shared" si="43"/>
        <v>301515.SZ</v>
      </c>
    </row>
    <row r="2809" spans="1:6" x14ac:dyDescent="0.15">
      <c r="A2809" s="2">
        <v>46089</v>
      </c>
      <c r="B2809" s="1" t="s">
        <v>5363</v>
      </c>
      <c r="C2809" s="1" t="s">
        <v>5364</v>
      </c>
      <c r="D2809" t="b">
        <f ca="1">IF(A2809="","",[1]!s_techanal_rcnthigh(B2809,$B$2,1,3))</f>
        <v>0</v>
      </c>
      <c r="E2809">
        <f ca="1">IF(A2809="","",COUNTIF(D$6:D2809,"True"))</f>
        <v>26</v>
      </c>
      <c r="F2809" t="str">
        <f t="shared" si="43"/>
        <v>301516.SZ</v>
      </c>
    </row>
    <row r="2810" spans="1:6" x14ac:dyDescent="0.15">
      <c r="A2810" s="2">
        <v>46089</v>
      </c>
      <c r="B2810" s="1" t="s">
        <v>5365</v>
      </c>
      <c r="C2810" s="1" t="s">
        <v>5366</v>
      </c>
      <c r="D2810" t="b">
        <f ca="1">IF(A2810="","",[1]!s_techanal_rcnthigh(B2810,$B$2,1,3))</f>
        <v>0</v>
      </c>
      <c r="E2810">
        <f ca="1">IF(A2810="","",COUNTIF(D$6:D2810,"True"))</f>
        <v>26</v>
      </c>
      <c r="F2810" t="str">
        <f t="shared" si="43"/>
        <v>301517.SZ</v>
      </c>
    </row>
    <row r="2811" spans="1:6" x14ac:dyDescent="0.15">
      <c r="A2811" s="2">
        <v>46089</v>
      </c>
      <c r="B2811" s="1" t="s">
        <v>5367</v>
      </c>
      <c r="C2811" s="1" t="s">
        <v>5368</v>
      </c>
      <c r="D2811" t="b">
        <f ca="1">IF(A2811="","",[1]!s_techanal_rcnthigh(B2811,$B$2,1,3))</f>
        <v>0</v>
      </c>
      <c r="E2811">
        <f ca="1">IF(A2811="","",COUNTIF(D$6:D2811,"True"))</f>
        <v>26</v>
      </c>
      <c r="F2811" t="str">
        <f t="shared" si="43"/>
        <v>301518.SZ</v>
      </c>
    </row>
    <row r="2812" spans="1:6" x14ac:dyDescent="0.15">
      <c r="A2812" s="2">
        <v>46089</v>
      </c>
      <c r="B2812" s="1" t="s">
        <v>5369</v>
      </c>
      <c r="C2812" s="1" t="s">
        <v>5370</v>
      </c>
      <c r="D2812" t="b">
        <f ca="1">IF(A2812="","",[1]!s_techanal_rcnthigh(B2812,$B$2,1,3))</f>
        <v>0</v>
      </c>
      <c r="E2812">
        <f ca="1">IF(A2812="","",COUNTIF(D$6:D2812,"True"))</f>
        <v>26</v>
      </c>
      <c r="F2812" t="str">
        <f t="shared" si="43"/>
        <v>301519.SZ</v>
      </c>
    </row>
    <row r="2813" spans="1:6" x14ac:dyDescent="0.15">
      <c r="A2813" s="2">
        <v>46089</v>
      </c>
      <c r="B2813" s="1" t="s">
        <v>5371</v>
      </c>
      <c r="C2813" s="1" t="s">
        <v>5372</v>
      </c>
      <c r="D2813" t="b">
        <f ca="1">IF(A2813="","",[1]!s_techanal_rcnthigh(B2813,$B$2,1,3))</f>
        <v>0</v>
      </c>
      <c r="E2813">
        <f ca="1">IF(A2813="","",COUNTIF(D$6:D2813,"True"))</f>
        <v>26</v>
      </c>
      <c r="F2813" t="str">
        <f t="shared" si="43"/>
        <v>301520.SZ</v>
      </c>
    </row>
    <row r="2814" spans="1:6" x14ac:dyDescent="0.15">
      <c r="A2814" s="2">
        <v>46089</v>
      </c>
      <c r="B2814" s="1" t="s">
        <v>10267</v>
      </c>
      <c r="C2814" s="1" t="s">
        <v>10268</v>
      </c>
      <c r="D2814" t="b">
        <f ca="1">IF(A2814="","",[1]!s_techanal_rcnthigh(B2814,$B$2,1,3))</f>
        <v>0</v>
      </c>
      <c r="E2814">
        <f ca="1">IF(A2814="","",COUNTIF(D$6:D2814,"True"))</f>
        <v>26</v>
      </c>
      <c r="F2814" t="str">
        <f t="shared" si="43"/>
        <v>301522.SZ</v>
      </c>
    </row>
    <row r="2815" spans="1:6" x14ac:dyDescent="0.15">
      <c r="A2815" s="2">
        <v>46089</v>
      </c>
      <c r="B2815" s="1" t="s">
        <v>5373</v>
      </c>
      <c r="C2815" s="1" t="s">
        <v>5374</v>
      </c>
      <c r="D2815" t="b">
        <f ca="1">IF(A2815="","",[1]!s_techanal_rcnthigh(B2815,$B$2,1,3))</f>
        <v>0</v>
      </c>
      <c r="E2815">
        <f ca="1">IF(A2815="","",COUNTIF(D$6:D2815,"True"))</f>
        <v>26</v>
      </c>
      <c r="F2815" t="str">
        <f t="shared" si="43"/>
        <v>301525.SZ</v>
      </c>
    </row>
    <row r="2816" spans="1:6" x14ac:dyDescent="0.15">
      <c r="A2816" s="2">
        <v>46089</v>
      </c>
      <c r="B2816" s="1" t="s">
        <v>5375</v>
      </c>
      <c r="C2816" s="1" t="s">
        <v>5376</v>
      </c>
      <c r="D2816" t="b">
        <f ca="1">IF(A2816="","",[1]!s_techanal_rcnthigh(B2816,$B$2,1,3))</f>
        <v>0</v>
      </c>
      <c r="E2816">
        <f ca="1">IF(A2816="","",COUNTIF(D$6:D2816,"True"))</f>
        <v>26</v>
      </c>
      <c r="F2816" t="str">
        <f t="shared" si="43"/>
        <v>301526.SZ</v>
      </c>
    </row>
    <row r="2817" spans="1:6" x14ac:dyDescent="0.15">
      <c r="A2817" s="2">
        <v>46089</v>
      </c>
      <c r="B2817" s="1" t="s">
        <v>5377</v>
      </c>
      <c r="C2817" s="1" t="s">
        <v>5378</v>
      </c>
      <c r="D2817" t="b">
        <f ca="1">IF(A2817="","",[1]!s_techanal_rcnthigh(B2817,$B$2,1,3))</f>
        <v>0</v>
      </c>
      <c r="E2817">
        <f ca="1">IF(A2817="","",COUNTIF(D$6:D2817,"True"))</f>
        <v>26</v>
      </c>
      <c r="F2817" t="str">
        <f t="shared" si="43"/>
        <v>301528.SZ</v>
      </c>
    </row>
    <row r="2818" spans="1:6" x14ac:dyDescent="0.15">
      <c r="A2818" s="2">
        <v>46089</v>
      </c>
      <c r="B2818" s="1" t="s">
        <v>5379</v>
      </c>
      <c r="C2818" s="1" t="s">
        <v>5380</v>
      </c>
      <c r="D2818" t="b">
        <f ca="1">IF(A2818="","",[1]!s_techanal_rcnthigh(B2818,$B$2,1,3))</f>
        <v>0</v>
      </c>
      <c r="E2818">
        <f ca="1">IF(A2818="","",COUNTIF(D$6:D2818,"True"))</f>
        <v>26</v>
      </c>
      <c r="F2818" t="str">
        <f t="shared" si="43"/>
        <v>301529.SZ</v>
      </c>
    </row>
    <row r="2819" spans="1:6" x14ac:dyDescent="0.15">
      <c r="A2819" s="2">
        <v>46089</v>
      </c>
      <c r="B2819" s="1" t="s">
        <v>5381</v>
      </c>
      <c r="C2819" s="1" t="s">
        <v>5382</v>
      </c>
      <c r="D2819" t="b">
        <f ca="1">IF(A2819="","",[1]!s_techanal_rcnthigh(B2819,$B$2,1,3))</f>
        <v>0</v>
      </c>
      <c r="E2819">
        <f ca="1">IF(A2819="","",COUNTIF(D$6:D2819,"True"))</f>
        <v>26</v>
      </c>
      <c r="F2819" t="str">
        <f t="shared" si="43"/>
        <v>301533.SZ</v>
      </c>
    </row>
    <row r="2820" spans="1:6" x14ac:dyDescent="0.15">
      <c r="A2820" s="2">
        <v>46089</v>
      </c>
      <c r="B2820" s="1" t="s">
        <v>10269</v>
      </c>
      <c r="C2820" s="1" t="s">
        <v>10270</v>
      </c>
      <c r="D2820" t="b">
        <f ca="1">IF(A2820="","",[1]!s_techanal_rcnthigh(B2820,$B$2,1,3))</f>
        <v>0</v>
      </c>
      <c r="E2820">
        <f ca="1">IF(A2820="","",COUNTIF(D$6:D2820,"True"))</f>
        <v>26</v>
      </c>
      <c r="F2820" t="str">
        <f t="shared" si="43"/>
        <v>301535.SZ</v>
      </c>
    </row>
    <row r="2821" spans="1:6" x14ac:dyDescent="0.15">
      <c r="A2821" s="2">
        <v>46089</v>
      </c>
      <c r="B2821" s="1" t="s">
        <v>10012</v>
      </c>
      <c r="C2821" s="1" t="s">
        <v>10271</v>
      </c>
      <c r="D2821" t="b">
        <f ca="1">IF(A2821="","",[1]!s_techanal_rcnthigh(B2821,$B$2,1,3))</f>
        <v>0</v>
      </c>
      <c r="E2821">
        <f ca="1">IF(A2821="","",COUNTIF(D$6:D2821,"True"))</f>
        <v>26</v>
      </c>
      <c r="F2821" t="str">
        <f t="shared" si="43"/>
        <v>301536.SZ</v>
      </c>
    </row>
    <row r="2822" spans="1:6" x14ac:dyDescent="0.15">
      <c r="A2822" s="2">
        <v>46089</v>
      </c>
      <c r="B2822" s="1" t="s">
        <v>5383</v>
      </c>
      <c r="C2822" s="1" t="s">
        <v>10013</v>
      </c>
      <c r="D2822" t="b">
        <f ca="1">IF(A2822="","",[1]!s_techanal_rcnthigh(B2822,$B$2,1,3))</f>
        <v>0</v>
      </c>
      <c r="E2822">
        <f ca="1">IF(A2822="","",COUNTIF(D$6:D2822,"True"))</f>
        <v>26</v>
      </c>
      <c r="F2822" t="str">
        <f t="shared" ref="F2822:F2885" si="44">IF(B2822="","",B2822)</f>
        <v>301538.SZ</v>
      </c>
    </row>
    <row r="2823" spans="1:6" x14ac:dyDescent="0.15">
      <c r="A2823" s="2">
        <v>46089</v>
      </c>
      <c r="B2823" s="1" t="s">
        <v>10272</v>
      </c>
      <c r="C2823" s="1" t="s">
        <v>10273</v>
      </c>
      <c r="D2823" t="b">
        <f ca="1">IF(A2823="","",[1]!s_techanal_rcnthigh(B2823,$B$2,1,3))</f>
        <v>0</v>
      </c>
      <c r="E2823">
        <f ca="1">IF(A2823="","",COUNTIF(D$6:D2823,"True"))</f>
        <v>26</v>
      </c>
      <c r="F2823" t="str">
        <f t="shared" si="44"/>
        <v>301539.SZ</v>
      </c>
    </row>
    <row r="2824" spans="1:6" x14ac:dyDescent="0.15">
      <c r="A2824" s="2">
        <v>46089</v>
      </c>
      <c r="B2824" s="1" t="s">
        <v>5384</v>
      </c>
      <c r="C2824" s="1" t="s">
        <v>5385</v>
      </c>
      <c r="D2824" t="b">
        <f ca="1">IF(A2824="","",[1]!s_techanal_rcnthigh(B2824,$B$2,1,3))</f>
        <v>0</v>
      </c>
      <c r="E2824">
        <f ca="1">IF(A2824="","",COUNTIF(D$6:D2824,"True"))</f>
        <v>26</v>
      </c>
      <c r="F2824" t="str">
        <f t="shared" si="44"/>
        <v>301548.SZ</v>
      </c>
    </row>
    <row r="2825" spans="1:6" x14ac:dyDescent="0.15">
      <c r="A2825" s="2">
        <v>46089</v>
      </c>
      <c r="B2825" s="1" t="s">
        <v>5386</v>
      </c>
      <c r="C2825" s="1" t="s">
        <v>10274</v>
      </c>
      <c r="D2825" t="b">
        <f ca="1">IF(A2825="","",[1]!s_techanal_rcnthigh(B2825,$B$2,1,3))</f>
        <v>0</v>
      </c>
      <c r="E2825">
        <f ca="1">IF(A2825="","",COUNTIF(D$6:D2825,"True"))</f>
        <v>26</v>
      </c>
      <c r="F2825" t="str">
        <f t="shared" si="44"/>
        <v>301550.SZ</v>
      </c>
    </row>
    <row r="2826" spans="1:6" x14ac:dyDescent="0.15">
      <c r="A2826" s="2">
        <v>46089</v>
      </c>
      <c r="B2826" s="1" t="s">
        <v>10275</v>
      </c>
      <c r="C2826" s="1" t="s">
        <v>10276</v>
      </c>
      <c r="D2826" t="b">
        <f ca="1">IF(A2826="","",[1]!s_techanal_rcnthigh(B2826,$B$2,1,3))</f>
        <v>0</v>
      </c>
      <c r="E2826">
        <f ca="1">IF(A2826="","",COUNTIF(D$6:D2826,"True"))</f>
        <v>26</v>
      </c>
      <c r="F2826" t="str">
        <f t="shared" si="44"/>
        <v>301551.SZ</v>
      </c>
    </row>
    <row r="2827" spans="1:6" x14ac:dyDescent="0.15">
      <c r="A2827" s="2">
        <v>46089</v>
      </c>
      <c r="B2827" s="1" t="s">
        <v>10277</v>
      </c>
      <c r="C2827" s="1" t="s">
        <v>10278</v>
      </c>
      <c r="D2827" t="b">
        <f ca="1">IF(A2827="","",[1]!s_techanal_rcnthigh(B2827,$B$2,1,3))</f>
        <v>0</v>
      </c>
      <c r="E2827">
        <f ca="1">IF(A2827="","",COUNTIF(D$6:D2827,"True"))</f>
        <v>26</v>
      </c>
      <c r="F2827" t="str">
        <f t="shared" si="44"/>
        <v>301552.SZ</v>
      </c>
    </row>
    <row r="2828" spans="1:6" x14ac:dyDescent="0.15">
      <c r="A2828" s="2">
        <v>46089</v>
      </c>
      <c r="B2828" s="1" t="s">
        <v>5387</v>
      </c>
      <c r="C2828" s="1" t="s">
        <v>5388</v>
      </c>
      <c r="D2828" t="b">
        <f ca="1">IF(A2828="","",[1]!s_techanal_rcnthigh(B2828,$B$2,1,3))</f>
        <v>0</v>
      </c>
      <c r="E2828">
        <f ca="1">IF(A2828="","",COUNTIF(D$6:D2828,"True"))</f>
        <v>26</v>
      </c>
      <c r="F2828" t="str">
        <f t="shared" si="44"/>
        <v>301555.SZ</v>
      </c>
    </row>
    <row r="2829" spans="1:6" x14ac:dyDescent="0.15">
      <c r="A2829" s="2">
        <v>46089</v>
      </c>
      <c r="B2829" s="1" t="s">
        <v>10279</v>
      </c>
      <c r="C2829" s="1" t="s">
        <v>10280</v>
      </c>
      <c r="D2829" t="b">
        <f ca="1">IF(A2829="","",[1]!s_techanal_rcnthigh(B2829,$B$2,1,3))</f>
        <v>0</v>
      </c>
      <c r="E2829">
        <f ca="1">IF(A2829="","",COUNTIF(D$6:D2829,"True"))</f>
        <v>26</v>
      </c>
      <c r="F2829" t="str">
        <f t="shared" si="44"/>
        <v>301556.SZ</v>
      </c>
    </row>
    <row r="2830" spans="1:6" x14ac:dyDescent="0.15">
      <c r="A2830" s="2">
        <v>46089</v>
      </c>
      <c r="B2830" s="1" t="s">
        <v>10281</v>
      </c>
      <c r="C2830" s="1" t="s">
        <v>10282</v>
      </c>
      <c r="D2830" t="b">
        <f ca="1">IF(A2830="","",[1]!s_techanal_rcnthigh(B2830,$B$2,1,3))</f>
        <v>0</v>
      </c>
      <c r="E2830">
        <f ca="1">IF(A2830="","",COUNTIF(D$6:D2830,"True"))</f>
        <v>26</v>
      </c>
      <c r="F2830" t="str">
        <f t="shared" si="44"/>
        <v>301557.SZ</v>
      </c>
    </row>
    <row r="2831" spans="1:6" x14ac:dyDescent="0.15">
      <c r="A2831" s="2">
        <v>46089</v>
      </c>
      <c r="B2831" s="1" t="s">
        <v>5389</v>
      </c>
      <c r="C2831" s="1" t="s">
        <v>5390</v>
      </c>
      <c r="D2831" t="b">
        <f ca="1">IF(A2831="","",[1]!s_techanal_rcnthigh(B2831,$B$2,1,3))</f>
        <v>0</v>
      </c>
      <c r="E2831">
        <f ca="1">IF(A2831="","",COUNTIF(D$6:D2831,"True"))</f>
        <v>26</v>
      </c>
      <c r="F2831" t="str">
        <f t="shared" si="44"/>
        <v>301558.SZ</v>
      </c>
    </row>
    <row r="2832" spans="1:6" x14ac:dyDescent="0.15">
      <c r="A2832" s="2">
        <v>46089</v>
      </c>
      <c r="B2832" s="1" t="s">
        <v>5391</v>
      </c>
      <c r="C2832" s="1" t="s">
        <v>5392</v>
      </c>
      <c r="D2832" t="b">
        <f ca="1">IF(A2832="","",[1]!s_techanal_rcnthigh(B2832,$B$2,1,3))</f>
        <v>0</v>
      </c>
      <c r="E2832">
        <f ca="1">IF(A2832="","",COUNTIF(D$6:D2832,"True"))</f>
        <v>26</v>
      </c>
      <c r="F2832" t="str">
        <f t="shared" si="44"/>
        <v>301559.SZ</v>
      </c>
    </row>
    <row r="2833" spans="1:6" x14ac:dyDescent="0.15">
      <c r="A2833" s="2">
        <v>46089</v>
      </c>
      <c r="B2833" s="1" t="s">
        <v>10283</v>
      </c>
      <c r="C2833" s="1" t="s">
        <v>10284</v>
      </c>
      <c r="D2833" t="b">
        <f ca="1">IF(A2833="","",[1]!s_techanal_rcnthigh(B2833,$B$2,1,3))</f>
        <v>0</v>
      </c>
      <c r="E2833">
        <f ca="1">IF(A2833="","",COUNTIF(D$6:D2833,"True"))</f>
        <v>26</v>
      </c>
      <c r="F2833" t="str">
        <f t="shared" si="44"/>
        <v>301560.SZ</v>
      </c>
    </row>
    <row r="2834" spans="1:6" x14ac:dyDescent="0.15">
      <c r="A2834" s="2">
        <v>46089</v>
      </c>
      <c r="B2834" s="1" t="s">
        <v>10285</v>
      </c>
      <c r="C2834" s="1" t="s">
        <v>10286</v>
      </c>
      <c r="D2834" t="b">
        <f ca="1">IF(A2834="","",[1]!s_techanal_rcnthigh(B2834,$B$2,1,3))</f>
        <v>0</v>
      </c>
      <c r="E2834">
        <f ca="1">IF(A2834="","",COUNTIF(D$6:D2834,"True"))</f>
        <v>26</v>
      </c>
      <c r="F2834" t="str">
        <f t="shared" si="44"/>
        <v>301563.SZ</v>
      </c>
    </row>
    <row r="2835" spans="1:6" x14ac:dyDescent="0.15">
      <c r="A2835" s="2">
        <v>46089</v>
      </c>
      <c r="B2835" s="1" t="s">
        <v>10287</v>
      </c>
      <c r="C2835" s="1" t="s">
        <v>10288</v>
      </c>
      <c r="D2835" t="b">
        <f ca="1">IF(A2835="","",[1]!s_techanal_rcnthigh(B2835,$B$2,1,3))</f>
        <v>0</v>
      </c>
      <c r="E2835">
        <f ca="1">IF(A2835="","",COUNTIF(D$6:D2835,"True"))</f>
        <v>26</v>
      </c>
      <c r="F2835" t="str">
        <f t="shared" si="44"/>
        <v>301565.SZ</v>
      </c>
    </row>
    <row r="2836" spans="1:6" x14ac:dyDescent="0.15">
      <c r="A2836" s="2">
        <v>46089</v>
      </c>
      <c r="B2836" s="1" t="s">
        <v>5393</v>
      </c>
      <c r="C2836" s="1" t="s">
        <v>5394</v>
      </c>
      <c r="D2836" t="b">
        <f ca="1">IF(A2836="","",[1]!s_techanal_rcnthigh(B2836,$B$2,1,3))</f>
        <v>0</v>
      </c>
      <c r="E2836">
        <f ca="1">IF(A2836="","",COUNTIF(D$6:D2836,"True"))</f>
        <v>26</v>
      </c>
      <c r="F2836" t="str">
        <f t="shared" si="44"/>
        <v>301566.SZ</v>
      </c>
    </row>
    <row r="2837" spans="1:6" x14ac:dyDescent="0.15">
      <c r="A2837" s="2">
        <v>46089</v>
      </c>
      <c r="B2837" s="1" t="s">
        <v>5395</v>
      </c>
      <c r="C2837" s="1" t="s">
        <v>5396</v>
      </c>
      <c r="D2837" t="b">
        <f ca="1">IF(A2837="","",[1]!s_techanal_rcnthigh(B2837,$B$2,1,3))</f>
        <v>0</v>
      </c>
      <c r="E2837">
        <f ca="1">IF(A2837="","",COUNTIF(D$6:D2837,"True"))</f>
        <v>26</v>
      </c>
      <c r="F2837" t="str">
        <f t="shared" si="44"/>
        <v>301567.SZ</v>
      </c>
    </row>
    <row r="2838" spans="1:6" x14ac:dyDescent="0.15">
      <c r="A2838" s="2">
        <v>46089</v>
      </c>
      <c r="B2838" s="1" t="s">
        <v>5397</v>
      </c>
      <c r="C2838" s="1" t="s">
        <v>5398</v>
      </c>
      <c r="D2838" t="b">
        <f ca="1">IF(A2838="","",[1]!s_techanal_rcnthigh(B2838,$B$2,1,3))</f>
        <v>0</v>
      </c>
      <c r="E2838">
        <f ca="1">IF(A2838="","",COUNTIF(D$6:D2838,"True"))</f>
        <v>26</v>
      </c>
      <c r="F2838" t="str">
        <f t="shared" si="44"/>
        <v>301568.SZ</v>
      </c>
    </row>
    <row r="2839" spans="1:6" x14ac:dyDescent="0.15">
      <c r="A2839" s="2">
        <v>46089</v>
      </c>
      <c r="B2839" s="1" t="s">
        <v>10289</v>
      </c>
      <c r="C2839" s="1" t="s">
        <v>10290</v>
      </c>
      <c r="D2839" t="b">
        <f ca="1">IF(A2839="","",[1]!s_techanal_rcnthigh(B2839,$B$2,1,3))</f>
        <v>0</v>
      </c>
      <c r="E2839">
        <f ca="1">IF(A2839="","",COUNTIF(D$6:D2839,"True"))</f>
        <v>26</v>
      </c>
      <c r="F2839" t="str">
        <f t="shared" si="44"/>
        <v>301571.SZ</v>
      </c>
    </row>
    <row r="2840" spans="1:6" x14ac:dyDescent="0.15">
      <c r="A2840" s="2">
        <v>46089</v>
      </c>
      <c r="B2840" s="1" t="s">
        <v>10291</v>
      </c>
      <c r="C2840" s="1" t="s">
        <v>10292</v>
      </c>
      <c r="D2840" t="b">
        <f ca="1">IF(A2840="","",[1]!s_techanal_rcnthigh(B2840,$B$2,1,3))</f>
        <v>0</v>
      </c>
      <c r="E2840">
        <f ca="1">IF(A2840="","",COUNTIF(D$6:D2840,"True"))</f>
        <v>26</v>
      </c>
      <c r="F2840" t="str">
        <f t="shared" si="44"/>
        <v>301575.SZ</v>
      </c>
    </row>
    <row r="2841" spans="1:6" x14ac:dyDescent="0.15">
      <c r="A2841" s="2">
        <v>46089</v>
      </c>
      <c r="B2841" s="1" t="s">
        <v>5399</v>
      </c>
      <c r="C2841" s="1" t="s">
        <v>5400</v>
      </c>
      <c r="D2841" t="b">
        <f ca="1">IF(A2841="","",[1]!s_techanal_rcnthigh(B2841,$B$2,1,3))</f>
        <v>0</v>
      </c>
      <c r="E2841">
        <f ca="1">IF(A2841="","",COUNTIF(D$6:D2841,"True"))</f>
        <v>26</v>
      </c>
      <c r="F2841" t="str">
        <f t="shared" si="44"/>
        <v>301577.SZ</v>
      </c>
    </row>
    <row r="2842" spans="1:6" x14ac:dyDescent="0.15">
      <c r="A2842" s="2">
        <v>46089</v>
      </c>
      <c r="B2842" s="1" t="s">
        <v>5401</v>
      </c>
      <c r="C2842" s="1" t="s">
        <v>5402</v>
      </c>
      <c r="D2842" t="b">
        <f ca="1">IF(A2842="","",[1]!s_techanal_rcnthigh(B2842,$B$2,1,3))</f>
        <v>0</v>
      </c>
      <c r="E2842">
        <f ca="1">IF(A2842="","",COUNTIF(D$6:D2842,"True"))</f>
        <v>26</v>
      </c>
      <c r="F2842" t="str">
        <f t="shared" si="44"/>
        <v>301578.SZ</v>
      </c>
    </row>
    <row r="2843" spans="1:6" x14ac:dyDescent="0.15">
      <c r="A2843" s="2">
        <v>46089</v>
      </c>
      <c r="B2843" s="1" t="s">
        <v>10293</v>
      </c>
      <c r="C2843" s="1" t="s">
        <v>10294</v>
      </c>
      <c r="D2843" t="b">
        <f ca="1">IF(A2843="","",[1]!s_techanal_rcnthigh(B2843,$B$2,1,3))</f>
        <v>0</v>
      </c>
      <c r="E2843">
        <f ca="1">IF(A2843="","",COUNTIF(D$6:D2843,"True"))</f>
        <v>26</v>
      </c>
      <c r="F2843" t="str">
        <f t="shared" si="44"/>
        <v>301580.SZ</v>
      </c>
    </row>
    <row r="2844" spans="1:6" x14ac:dyDescent="0.15">
      <c r="A2844" s="2">
        <v>46089</v>
      </c>
      <c r="B2844" s="1" t="s">
        <v>10295</v>
      </c>
      <c r="C2844" s="1" t="s">
        <v>10296</v>
      </c>
      <c r="D2844" t="b">
        <f ca="1">IF(A2844="","",[1]!s_techanal_rcnthigh(B2844,$B$2,1,3))</f>
        <v>0</v>
      </c>
      <c r="E2844">
        <f ca="1">IF(A2844="","",COUNTIF(D$6:D2844,"True"))</f>
        <v>26</v>
      </c>
      <c r="F2844" t="str">
        <f t="shared" si="44"/>
        <v>301581.SZ</v>
      </c>
    </row>
    <row r="2845" spans="1:6" x14ac:dyDescent="0.15">
      <c r="A2845" s="2">
        <v>46089</v>
      </c>
      <c r="B2845" s="1" t="s">
        <v>10297</v>
      </c>
      <c r="C2845" s="1" t="s">
        <v>10298</v>
      </c>
      <c r="D2845" t="b">
        <f ca="1">IF(A2845="","",[1]!s_techanal_rcnthigh(B2845,$B$2,1,3))</f>
        <v>0</v>
      </c>
      <c r="E2845">
        <f ca="1">IF(A2845="","",COUNTIF(D$6:D2845,"True"))</f>
        <v>26</v>
      </c>
      <c r="F2845" t="str">
        <f t="shared" si="44"/>
        <v>301584.SZ</v>
      </c>
    </row>
    <row r="2846" spans="1:6" x14ac:dyDescent="0.15">
      <c r="A2846" s="2">
        <v>46089</v>
      </c>
      <c r="B2846" s="1" t="s">
        <v>10299</v>
      </c>
      <c r="C2846" s="1" t="s">
        <v>10300</v>
      </c>
      <c r="D2846" t="b">
        <f ca="1">IF(A2846="","",[1]!s_techanal_rcnthigh(B2846,$B$2,1,3))</f>
        <v>0</v>
      </c>
      <c r="E2846">
        <f ca="1">IF(A2846="","",COUNTIF(D$6:D2846,"True"))</f>
        <v>26</v>
      </c>
      <c r="F2846" t="str">
        <f t="shared" si="44"/>
        <v>301585.SZ</v>
      </c>
    </row>
    <row r="2847" spans="1:6" x14ac:dyDescent="0.15">
      <c r="A2847" s="2">
        <v>46089</v>
      </c>
      <c r="B2847" s="1" t="s">
        <v>10301</v>
      </c>
      <c r="C2847" s="1" t="s">
        <v>10302</v>
      </c>
      <c r="D2847" t="b">
        <f ca="1">IF(A2847="","",[1]!s_techanal_rcnthigh(B2847,$B$2,1,3))</f>
        <v>0</v>
      </c>
      <c r="E2847">
        <f ca="1">IF(A2847="","",COUNTIF(D$6:D2847,"True"))</f>
        <v>26</v>
      </c>
      <c r="F2847" t="str">
        <f t="shared" si="44"/>
        <v>301586.SZ</v>
      </c>
    </row>
    <row r="2848" spans="1:6" x14ac:dyDescent="0.15">
      <c r="A2848" s="2">
        <v>46089</v>
      </c>
      <c r="B2848" s="1" t="s">
        <v>10303</v>
      </c>
      <c r="C2848" s="1" t="s">
        <v>10304</v>
      </c>
      <c r="D2848" t="b">
        <f ca="1">IF(A2848="","",[1]!s_techanal_rcnthigh(B2848,$B$2,1,3))</f>
        <v>0</v>
      </c>
      <c r="E2848">
        <f ca="1">IF(A2848="","",COUNTIF(D$6:D2848,"True"))</f>
        <v>26</v>
      </c>
      <c r="F2848" t="str">
        <f t="shared" si="44"/>
        <v>301587.SZ</v>
      </c>
    </row>
    <row r="2849" spans="1:6" x14ac:dyDescent="0.15">
      <c r="A2849" s="2">
        <v>46089</v>
      </c>
      <c r="B2849" s="1" t="s">
        <v>5403</v>
      </c>
      <c r="C2849" s="1" t="s">
        <v>5404</v>
      </c>
      <c r="D2849" t="b">
        <f ca="1">IF(A2849="","",[1]!s_techanal_rcnthigh(B2849,$B$2,1,3))</f>
        <v>0</v>
      </c>
      <c r="E2849">
        <f ca="1">IF(A2849="","",COUNTIF(D$6:D2849,"True"))</f>
        <v>26</v>
      </c>
      <c r="F2849" t="str">
        <f t="shared" si="44"/>
        <v>301588.SZ</v>
      </c>
    </row>
    <row r="2850" spans="1:6" x14ac:dyDescent="0.15">
      <c r="A2850" s="2">
        <v>46089</v>
      </c>
      <c r="B2850" s="1" t="s">
        <v>5405</v>
      </c>
      <c r="C2850" s="1" t="s">
        <v>5406</v>
      </c>
      <c r="D2850" t="b">
        <f ca="1">IF(A2850="","",[1]!s_techanal_rcnthigh(B2850,$B$2,1,3))</f>
        <v>0</v>
      </c>
      <c r="E2850">
        <f ca="1">IF(A2850="","",COUNTIF(D$6:D2850,"True"))</f>
        <v>26</v>
      </c>
      <c r="F2850" t="str">
        <f t="shared" si="44"/>
        <v>301589.SZ</v>
      </c>
    </row>
    <row r="2851" spans="1:6" x14ac:dyDescent="0.15">
      <c r="A2851" s="2">
        <v>46089</v>
      </c>
      <c r="B2851" s="1" t="s">
        <v>10305</v>
      </c>
      <c r="C2851" s="1" t="s">
        <v>10306</v>
      </c>
      <c r="D2851" t="b">
        <f ca="1">IF(A2851="","",[1]!s_techanal_rcnthigh(B2851,$B$2,1,3))</f>
        <v>0</v>
      </c>
      <c r="E2851">
        <f ca="1">IF(A2851="","",COUNTIF(D$6:D2851,"True"))</f>
        <v>26</v>
      </c>
      <c r="F2851" t="str">
        <f t="shared" si="44"/>
        <v>301590.SZ</v>
      </c>
    </row>
    <row r="2852" spans="1:6" x14ac:dyDescent="0.15">
      <c r="A2852" s="2">
        <v>46089</v>
      </c>
      <c r="B2852" s="1" t="s">
        <v>5407</v>
      </c>
      <c r="C2852" s="1" t="s">
        <v>5408</v>
      </c>
      <c r="D2852" t="b">
        <f ca="1">IF(A2852="","",[1]!s_techanal_rcnthigh(B2852,$B$2,1,3))</f>
        <v>0</v>
      </c>
      <c r="E2852">
        <f ca="1">IF(A2852="","",COUNTIF(D$6:D2852,"True"))</f>
        <v>26</v>
      </c>
      <c r="F2852" t="str">
        <f t="shared" si="44"/>
        <v>301591.SZ</v>
      </c>
    </row>
    <row r="2853" spans="1:6" x14ac:dyDescent="0.15">
      <c r="A2853" s="2">
        <v>46089</v>
      </c>
      <c r="B2853" s="1" t="s">
        <v>10307</v>
      </c>
      <c r="C2853" s="1" t="s">
        <v>10308</v>
      </c>
      <c r="D2853" t="b">
        <f ca="1">IF(A2853="","",[1]!s_techanal_rcnthigh(B2853,$B$2,1,3))</f>
        <v>0</v>
      </c>
      <c r="E2853">
        <f ca="1">IF(A2853="","",COUNTIF(D$6:D2853,"True"))</f>
        <v>26</v>
      </c>
      <c r="F2853" t="str">
        <f t="shared" si="44"/>
        <v>301592.SZ</v>
      </c>
    </row>
    <row r="2854" spans="1:6" x14ac:dyDescent="0.15">
      <c r="A2854" s="2">
        <v>46089</v>
      </c>
      <c r="B2854" s="1" t="s">
        <v>10309</v>
      </c>
      <c r="C2854" s="1" t="s">
        <v>10310</v>
      </c>
      <c r="D2854" t="b">
        <f ca="1">IF(A2854="","",[1]!s_techanal_rcnthigh(B2854,$B$2,1,3))</f>
        <v>0</v>
      </c>
      <c r="E2854">
        <f ca="1">IF(A2854="","",COUNTIF(D$6:D2854,"True"))</f>
        <v>26</v>
      </c>
      <c r="F2854" t="str">
        <f t="shared" si="44"/>
        <v>301595.SZ</v>
      </c>
    </row>
    <row r="2855" spans="1:6" x14ac:dyDescent="0.15">
      <c r="A2855" s="2">
        <v>46089</v>
      </c>
      <c r="B2855" s="1" t="s">
        <v>10311</v>
      </c>
      <c r="C2855" s="1" t="s">
        <v>10312</v>
      </c>
      <c r="D2855" t="b">
        <f ca="1">IF(A2855="","",[1]!s_techanal_rcnthigh(B2855,$B$2,1,3))</f>
        <v>0</v>
      </c>
      <c r="E2855">
        <f ca="1">IF(A2855="","",COUNTIF(D$6:D2855,"True"))</f>
        <v>26</v>
      </c>
      <c r="F2855" t="str">
        <f t="shared" si="44"/>
        <v>301596.SZ</v>
      </c>
    </row>
    <row r="2856" spans="1:6" x14ac:dyDescent="0.15">
      <c r="A2856" s="2">
        <v>46089</v>
      </c>
      <c r="B2856" s="1" t="s">
        <v>10313</v>
      </c>
      <c r="C2856" s="1" t="s">
        <v>10314</v>
      </c>
      <c r="D2856" t="b">
        <f ca="1">IF(A2856="","",[1]!s_techanal_rcnthigh(B2856,$B$2,1,3))</f>
        <v>0</v>
      </c>
      <c r="E2856">
        <f ca="1">IF(A2856="","",COUNTIF(D$6:D2856,"True"))</f>
        <v>26</v>
      </c>
      <c r="F2856" t="str">
        <f t="shared" si="44"/>
        <v>301598.SZ</v>
      </c>
    </row>
    <row r="2857" spans="1:6" x14ac:dyDescent="0.15">
      <c r="A2857" s="2">
        <v>46089</v>
      </c>
      <c r="B2857" s="1" t="s">
        <v>10315</v>
      </c>
      <c r="C2857" s="1" t="s">
        <v>10316</v>
      </c>
      <c r="D2857" t="b">
        <f ca="1">IF(A2857="","",[1]!s_techanal_rcnthigh(B2857,$B$2,1,3))</f>
        <v>0</v>
      </c>
      <c r="E2857">
        <f ca="1">IF(A2857="","",COUNTIF(D$6:D2857,"True"))</f>
        <v>26</v>
      </c>
      <c r="F2857" t="str">
        <f t="shared" si="44"/>
        <v>301600.SZ</v>
      </c>
    </row>
    <row r="2858" spans="1:6" x14ac:dyDescent="0.15">
      <c r="A2858" s="2">
        <v>46089</v>
      </c>
      <c r="B2858" s="1" t="s">
        <v>10317</v>
      </c>
      <c r="C2858" s="1" t="s">
        <v>10318</v>
      </c>
      <c r="D2858" t="b">
        <f ca="1">IF(A2858="","",[1]!s_techanal_rcnthigh(B2858,$B$2,1,3))</f>
        <v>0</v>
      </c>
      <c r="E2858">
        <f ca="1">IF(A2858="","",COUNTIF(D$6:D2858,"True"))</f>
        <v>26</v>
      </c>
      <c r="F2858" t="str">
        <f t="shared" si="44"/>
        <v>301601.SZ</v>
      </c>
    </row>
    <row r="2859" spans="1:6" x14ac:dyDescent="0.15">
      <c r="A2859" s="2">
        <v>46089</v>
      </c>
      <c r="B2859" s="1" t="s">
        <v>10319</v>
      </c>
      <c r="C2859" s="1" t="s">
        <v>10320</v>
      </c>
      <c r="D2859" t="b">
        <f ca="1">IF(A2859="","",[1]!s_techanal_rcnthigh(B2859,$B$2,1,3))</f>
        <v>0</v>
      </c>
      <c r="E2859">
        <f ca="1">IF(A2859="","",COUNTIF(D$6:D2859,"True"))</f>
        <v>26</v>
      </c>
      <c r="F2859" t="str">
        <f t="shared" si="44"/>
        <v>301602.SZ</v>
      </c>
    </row>
    <row r="2860" spans="1:6" x14ac:dyDescent="0.15">
      <c r="A2860" s="2">
        <v>46089</v>
      </c>
      <c r="B2860" s="1" t="s">
        <v>10321</v>
      </c>
      <c r="C2860" s="1" t="s">
        <v>10322</v>
      </c>
      <c r="D2860" t="b">
        <f ca="1">IF(A2860="","",[1]!s_techanal_rcnthigh(B2860,$B$2,1,3))</f>
        <v>0</v>
      </c>
      <c r="E2860">
        <f ca="1">IF(A2860="","",COUNTIF(D$6:D2860,"True"))</f>
        <v>26</v>
      </c>
      <c r="F2860" t="str">
        <f t="shared" si="44"/>
        <v>301603.SZ</v>
      </c>
    </row>
    <row r="2861" spans="1:6" x14ac:dyDescent="0.15">
      <c r="A2861" s="2">
        <v>46089</v>
      </c>
      <c r="B2861" s="1" t="s">
        <v>10323</v>
      </c>
      <c r="C2861" s="1" t="s">
        <v>10324</v>
      </c>
      <c r="D2861" t="b">
        <f ca="1">IF(A2861="","",[1]!s_techanal_rcnthigh(B2861,$B$2,1,3))</f>
        <v>0</v>
      </c>
      <c r="E2861">
        <f ca="1">IF(A2861="","",COUNTIF(D$6:D2861,"True"))</f>
        <v>26</v>
      </c>
      <c r="F2861" t="str">
        <f t="shared" si="44"/>
        <v>301606.SZ</v>
      </c>
    </row>
    <row r="2862" spans="1:6" x14ac:dyDescent="0.15">
      <c r="A2862" s="2">
        <v>46089</v>
      </c>
      <c r="B2862" s="1" t="s">
        <v>10325</v>
      </c>
      <c r="C2862" s="1" t="s">
        <v>10326</v>
      </c>
      <c r="D2862" t="b">
        <f ca="1">IF(A2862="","",[1]!s_techanal_rcnthigh(B2862,$B$2,1,3))</f>
        <v>0</v>
      </c>
      <c r="E2862">
        <f ca="1">IF(A2862="","",COUNTIF(D$6:D2862,"True"))</f>
        <v>26</v>
      </c>
      <c r="F2862" t="str">
        <f t="shared" si="44"/>
        <v>301607.SZ</v>
      </c>
    </row>
    <row r="2863" spans="1:6" x14ac:dyDescent="0.15">
      <c r="A2863" s="2">
        <v>46089</v>
      </c>
      <c r="B2863" s="1" t="s">
        <v>10327</v>
      </c>
      <c r="C2863" s="1" t="s">
        <v>10328</v>
      </c>
      <c r="D2863" t="b">
        <f ca="1">IF(A2863="","",[1]!s_techanal_rcnthigh(B2863,$B$2,1,3))</f>
        <v>0</v>
      </c>
      <c r="E2863">
        <f ca="1">IF(A2863="","",COUNTIF(D$6:D2863,"True"))</f>
        <v>26</v>
      </c>
      <c r="F2863" t="str">
        <f t="shared" si="44"/>
        <v>301608.SZ</v>
      </c>
    </row>
    <row r="2864" spans="1:6" x14ac:dyDescent="0.15">
      <c r="A2864" s="2">
        <v>46089</v>
      </c>
      <c r="B2864" s="1" t="s">
        <v>10329</v>
      </c>
      <c r="C2864" s="1" t="s">
        <v>10330</v>
      </c>
      <c r="D2864" t="b">
        <f ca="1">IF(A2864="","",[1]!s_techanal_rcnthigh(B2864,$B$2,1,3))</f>
        <v>0</v>
      </c>
      <c r="E2864">
        <f ca="1">IF(A2864="","",COUNTIF(D$6:D2864,"True"))</f>
        <v>26</v>
      </c>
      <c r="F2864" t="str">
        <f t="shared" si="44"/>
        <v>301609.SZ</v>
      </c>
    </row>
    <row r="2865" spans="1:6" x14ac:dyDescent="0.15">
      <c r="A2865" s="2">
        <v>46089</v>
      </c>
      <c r="B2865" s="1" t="s">
        <v>10331</v>
      </c>
      <c r="C2865" s="1" t="s">
        <v>10332</v>
      </c>
      <c r="D2865" t="b">
        <f ca="1">IF(A2865="","",[1]!s_techanal_rcnthigh(B2865,$B$2,1,3))</f>
        <v>0</v>
      </c>
      <c r="E2865">
        <f ca="1">IF(A2865="","",COUNTIF(D$6:D2865,"True"))</f>
        <v>26</v>
      </c>
      <c r="F2865" t="str">
        <f t="shared" si="44"/>
        <v>301611.SZ</v>
      </c>
    </row>
    <row r="2866" spans="1:6" x14ac:dyDescent="0.15">
      <c r="A2866" s="2">
        <v>46089</v>
      </c>
      <c r="B2866" s="1" t="s">
        <v>10333</v>
      </c>
      <c r="C2866" s="1" t="s">
        <v>10334</v>
      </c>
      <c r="D2866" t="b">
        <f ca="1">IF(A2866="","",[1]!s_techanal_rcnthigh(B2866,$B$2,1,3))</f>
        <v>0</v>
      </c>
      <c r="E2866">
        <f ca="1">IF(A2866="","",COUNTIF(D$6:D2866,"True"))</f>
        <v>26</v>
      </c>
      <c r="F2866" t="str">
        <f t="shared" si="44"/>
        <v>301613.SZ</v>
      </c>
    </row>
    <row r="2867" spans="1:6" x14ac:dyDescent="0.15">
      <c r="A2867" s="2">
        <v>46089</v>
      </c>
      <c r="B2867" s="1" t="s">
        <v>10335</v>
      </c>
      <c r="C2867" s="1" t="s">
        <v>10336</v>
      </c>
      <c r="D2867" t="b">
        <f ca="1">IF(A2867="","",[1]!s_techanal_rcnthigh(B2867,$B$2,1,3))</f>
        <v>0</v>
      </c>
      <c r="E2867">
        <f ca="1">IF(A2867="","",COUNTIF(D$6:D2867,"True"))</f>
        <v>26</v>
      </c>
      <c r="F2867" t="str">
        <f t="shared" si="44"/>
        <v>301616.SZ</v>
      </c>
    </row>
    <row r="2868" spans="1:6" x14ac:dyDescent="0.15">
      <c r="A2868" s="2">
        <v>46089</v>
      </c>
      <c r="B2868" s="1" t="s">
        <v>10337</v>
      </c>
      <c r="C2868" s="1" t="s">
        <v>10338</v>
      </c>
      <c r="D2868" t="b">
        <f ca="1">IF(A2868="","",[1]!s_techanal_rcnthigh(B2868,$B$2,1,3))</f>
        <v>0</v>
      </c>
      <c r="E2868">
        <f ca="1">IF(A2868="","",COUNTIF(D$6:D2868,"True"))</f>
        <v>26</v>
      </c>
      <c r="F2868" t="str">
        <f t="shared" si="44"/>
        <v>301617.SZ</v>
      </c>
    </row>
    <row r="2869" spans="1:6" x14ac:dyDescent="0.15">
      <c r="A2869" s="2">
        <v>46089</v>
      </c>
      <c r="B2869" s="1" t="s">
        <v>10339</v>
      </c>
      <c r="C2869" s="1" t="s">
        <v>10340</v>
      </c>
      <c r="D2869" t="b">
        <f ca="1">IF(A2869="","",[1]!s_techanal_rcnthigh(B2869,$B$2,1,3))</f>
        <v>0</v>
      </c>
      <c r="E2869">
        <f ca="1">IF(A2869="","",COUNTIF(D$6:D2869,"True"))</f>
        <v>26</v>
      </c>
      <c r="F2869" t="str">
        <f t="shared" si="44"/>
        <v>301618.SZ</v>
      </c>
    </row>
    <row r="2870" spans="1:6" x14ac:dyDescent="0.15">
      <c r="A2870" s="2">
        <v>46089</v>
      </c>
      <c r="B2870" s="1" t="s">
        <v>10341</v>
      </c>
      <c r="C2870" s="1" t="s">
        <v>10342</v>
      </c>
      <c r="D2870" t="b">
        <f ca="1">IF(A2870="","",[1]!s_techanal_rcnthigh(B2870,$B$2,1,3))</f>
        <v>0</v>
      </c>
      <c r="E2870">
        <f ca="1">IF(A2870="","",COUNTIF(D$6:D2870,"True"))</f>
        <v>26</v>
      </c>
      <c r="F2870" t="str">
        <f t="shared" si="44"/>
        <v>301622.SZ</v>
      </c>
    </row>
    <row r="2871" spans="1:6" x14ac:dyDescent="0.15">
      <c r="A2871" s="2">
        <v>46089</v>
      </c>
      <c r="B2871" s="1" t="s">
        <v>10343</v>
      </c>
      <c r="C2871" s="1" t="s">
        <v>10344</v>
      </c>
      <c r="D2871" t="b">
        <f ca="1">IF(A2871="","",[1]!s_techanal_rcnthigh(B2871,$B$2,1,3))</f>
        <v>1</v>
      </c>
      <c r="E2871">
        <f ca="1">IF(A2871="","",COUNTIF(D$6:D2871,"True"))</f>
        <v>27</v>
      </c>
      <c r="F2871" t="str">
        <f t="shared" si="44"/>
        <v>301626.SZ</v>
      </c>
    </row>
    <row r="2872" spans="1:6" x14ac:dyDescent="0.15">
      <c r="A2872" s="2">
        <v>46089</v>
      </c>
      <c r="B2872" s="1" t="s">
        <v>10345</v>
      </c>
      <c r="C2872" s="1" t="s">
        <v>10346</v>
      </c>
      <c r="D2872" t="b">
        <f ca="1">IF(A2872="","",[1]!s_techanal_rcnthigh(B2872,$B$2,1,3))</f>
        <v>0</v>
      </c>
      <c r="E2872">
        <f ca="1">IF(A2872="","",COUNTIF(D$6:D2872,"True"))</f>
        <v>27</v>
      </c>
      <c r="F2872" t="str">
        <f t="shared" si="44"/>
        <v>301628.SZ</v>
      </c>
    </row>
    <row r="2873" spans="1:6" x14ac:dyDescent="0.15">
      <c r="A2873" s="2">
        <v>46089</v>
      </c>
      <c r="B2873" s="1" t="s">
        <v>10347</v>
      </c>
      <c r="C2873" s="1" t="s">
        <v>10348</v>
      </c>
      <c r="D2873" t="b">
        <f ca="1">IF(A2873="","",[1]!s_techanal_rcnthigh(B2873,$B$2,1,3))</f>
        <v>0</v>
      </c>
      <c r="E2873">
        <f ca="1">IF(A2873="","",COUNTIF(D$6:D2873,"True"))</f>
        <v>27</v>
      </c>
      <c r="F2873" t="str">
        <f t="shared" si="44"/>
        <v>301629.SZ</v>
      </c>
    </row>
    <row r="2874" spans="1:6" x14ac:dyDescent="0.15">
      <c r="A2874" s="2">
        <v>46089</v>
      </c>
      <c r="B2874" s="1" t="s">
        <v>10349</v>
      </c>
      <c r="C2874" s="1" t="s">
        <v>10350</v>
      </c>
      <c r="D2874" t="b">
        <f ca="1">IF(A2874="","",[1]!s_techanal_rcnthigh(B2874,$B$2,1,3))</f>
        <v>0</v>
      </c>
      <c r="E2874">
        <f ca="1">IF(A2874="","",COUNTIF(D$6:D2874,"True"))</f>
        <v>27</v>
      </c>
      <c r="F2874" t="str">
        <f t="shared" si="44"/>
        <v>301630.SZ</v>
      </c>
    </row>
    <row r="2875" spans="1:6" x14ac:dyDescent="0.15">
      <c r="A2875" s="2">
        <v>46089</v>
      </c>
      <c r="B2875" s="1" t="s">
        <v>10351</v>
      </c>
      <c r="C2875" s="1" t="s">
        <v>10352</v>
      </c>
      <c r="D2875" t="b">
        <f ca="1">IF(A2875="","",[1]!s_techanal_rcnthigh(B2875,$B$2,1,3))</f>
        <v>0</v>
      </c>
      <c r="E2875">
        <f ca="1">IF(A2875="","",COUNTIF(D$6:D2875,"True"))</f>
        <v>27</v>
      </c>
      <c r="F2875" t="str">
        <f t="shared" si="44"/>
        <v>301631.SZ</v>
      </c>
    </row>
    <row r="2876" spans="1:6" x14ac:dyDescent="0.15">
      <c r="A2876" s="2">
        <v>46089</v>
      </c>
      <c r="B2876" s="1" t="s">
        <v>10353</v>
      </c>
      <c r="C2876" s="1" t="s">
        <v>10354</v>
      </c>
      <c r="D2876" t="b">
        <f ca="1">IF(A2876="","",[1]!s_techanal_rcnthigh(B2876,$B$2,1,3))</f>
        <v>0</v>
      </c>
      <c r="E2876">
        <f ca="1">IF(A2876="","",COUNTIF(D$6:D2876,"True"))</f>
        <v>27</v>
      </c>
      <c r="F2876" t="str">
        <f t="shared" si="44"/>
        <v>301632.SZ</v>
      </c>
    </row>
    <row r="2877" spans="1:6" x14ac:dyDescent="0.15">
      <c r="A2877" s="2">
        <v>46089</v>
      </c>
      <c r="B2877" s="1" t="s">
        <v>10355</v>
      </c>
      <c r="C2877" s="1" t="s">
        <v>10356</v>
      </c>
      <c r="D2877" t="b">
        <f ca="1">IF(A2877="","",[1]!s_techanal_rcnthigh(B2877,$B$2,1,3))</f>
        <v>0</v>
      </c>
      <c r="E2877">
        <f ca="1">IF(A2877="","",COUNTIF(D$6:D2877,"True"))</f>
        <v>27</v>
      </c>
      <c r="F2877" t="str">
        <f t="shared" si="44"/>
        <v>301633.SZ</v>
      </c>
    </row>
    <row r="2878" spans="1:6" x14ac:dyDescent="0.15">
      <c r="A2878" s="2">
        <v>46089</v>
      </c>
      <c r="B2878" s="1" t="s">
        <v>10357</v>
      </c>
      <c r="C2878" s="1" t="s">
        <v>10358</v>
      </c>
      <c r="D2878" t="b">
        <f ca="1">IF(A2878="","",[1]!s_techanal_rcnthigh(B2878,$B$2,1,3))</f>
        <v>0</v>
      </c>
      <c r="E2878">
        <f ca="1">IF(A2878="","",COUNTIF(D$6:D2878,"True"))</f>
        <v>27</v>
      </c>
      <c r="F2878" t="str">
        <f t="shared" si="44"/>
        <v>301636.SZ</v>
      </c>
    </row>
    <row r="2879" spans="1:6" x14ac:dyDescent="0.15">
      <c r="A2879" s="2">
        <v>46089</v>
      </c>
      <c r="B2879" s="1" t="s">
        <v>10359</v>
      </c>
      <c r="C2879" s="1" t="s">
        <v>10360</v>
      </c>
      <c r="D2879" t="b">
        <f ca="1">IF(A2879="","",[1]!s_techanal_rcnthigh(B2879,$B$2,1,3))</f>
        <v>0</v>
      </c>
      <c r="E2879">
        <f ca="1">IF(A2879="","",COUNTIF(D$6:D2879,"True"))</f>
        <v>27</v>
      </c>
      <c r="F2879" t="str">
        <f t="shared" si="44"/>
        <v>301638.SZ</v>
      </c>
    </row>
    <row r="2880" spans="1:6" x14ac:dyDescent="0.15">
      <c r="A2880" s="2">
        <v>46089</v>
      </c>
      <c r="B2880" s="1" t="s">
        <v>10361</v>
      </c>
      <c r="C2880" s="1" t="s">
        <v>10362</v>
      </c>
      <c r="D2880" t="b">
        <f ca="1">IF(A2880="","",[1]!s_techanal_rcnthigh(B2880,$B$2,1,3))</f>
        <v>0</v>
      </c>
      <c r="E2880">
        <f ca="1">IF(A2880="","",COUNTIF(D$6:D2880,"True"))</f>
        <v>27</v>
      </c>
      <c r="F2880" t="str">
        <f t="shared" si="44"/>
        <v>301656.SZ</v>
      </c>
    </row>
    <row r="2881" spans="1:6" x14ac:dyDescent="0.15">
      <c r="A2881" s="2">
        <v>46089</v>
      </c>
      <c r="B2881" s="1" t="s">
        <v>10363</v>
      </c>
      <c r="C2881" s="1" t="s">
        <v>10364</v>
      </c>
      <c r="D2881" t="b">
        <f ca="1">IF(A2881="","",[1]!s_techanal_rcnthigh(B2881,$B$2,1,3))</f>
        <v>0</v>
      </c>
      <c r="E2881">
        <f ca="1">IF(A2881="","",COUNTIF(D$6:D2881,"True"))</f>
        <v>27</v>
      </c>
      <c r="F2881" t="str">
        <f t="shared" si="44"/>
        <v>301658.SZ</v>
      </c>
    </row>
    <row r="2882" spans="1:6" x14ac:dyDescent="0.15">
      <c r="A2882" s="2">
        <v>46089</v>
      </c>
      <c r="B2882" s="1" t="s">
        <v>10365</v>
      </c>
      <c r="C2882" s="1" t="s">
        <v>10366</v>
      </c>
      <c r="D2882" t="b">
        <f ca="1">IF(A2882="","",[1]!s_techanal_rcnthigh(B2882,$B$2,1,3))</f>
        <v>0</v>
      </c>
      <c r="E2882">
        <f ca="1">IF(A2882="","",COUNTIF(D$6:D2882,"True"))</f>
        <v>27</v>
      </c>
      <c r="F2882" t="str">
        <f t="shared" si="44"/>
        <v>301662.SZ</v>
      </c>
    </row>
    <row r="2883" spans="1:6" x14ac:dyDescent="0.15">
      <c r="A2883" s="2">
        <v>46089</v>
      </c>
      <c r="B2883" s="1" t="s">
        <v>10367</v>
      </c>
      <c r="C2883" s="1" t="s">
        <v>10368</v>
      </c>
      <c r="D2883" t="b">
        <f ca="1">IF(A2883="","",[1]!s_techanal_rcnthigh(B2883,$B$2,1,3))</f>
        <v>0</v>
      </c>
      <c r="E2883">
        <f ca="1">IF(A2883="","",COUNTIF(D$6:D2883,"True"))</f>
        <v>27</v>
      </c>
      <c r="F2883" t="str">
        <f t="shared" si="44"/>
        <v>301665.SZ</v>
      </c>
    </row>
    <row r="2884" spans="1:6" x14ac:dyDescent="0.15">
      <c r="A2884" s="2">
        <v>46089</v>
      </c>
      <c r="B2884" s="1" t="s">
        <v>10369</v>
      </c>
      <c r="C2884" s="1" t="s">
        <v>10370</v>
      </c>
      <c r="D2884" t="b">
        <f ca="1">IF(A2884="","",[1]!s_techanal_rcnthigh(B2884,$B$2,1,3))</f>
        <v>0</v>
      </c>
      <c r="E2884">
        <f ca="1">IF(A2884="","",COUNTIF(D$6:D2884,"True"))</f>
        <v>27</v>
      </c>
      <c r="F2884" t="str">
        <f t="shared" si="44"/>
        <v>301667.SZ</v>
      </c>
    </row>
    <row r="2885" spans="1:6" x14ac:dyDescent="0.15">
      <c r="A2885" s="2">
        <v>46089</v>
      </c>
      <c r="B2885" s="1" t="s">
        <v>10371</v>
      </c>
      <c r="C2885" s="1" t="s">
        <v>10372</v>
      </c>
      <c r="D2885" t="b">
        <f ca="1">IF(A2885="","",[1]!s_techanal_rcnthigh(B2885,$B$2,1,3))</f>
        <v>0</v>
      </c>
      <c r="E2885">
        <f ca="1">IF(A2885="","",COUNTIF(D$6:D2885,"True"))</f>
        <v>27</v>
      </c>
      <c r="F2885" t="str">
        <f t="shared" si="44"/>
        <v>301668.SZ</v>
      </c>
    </row>
    <row r="2886" spans="1:6" x14ac:dyDescent="0.15">
      <c r="A2886" s="2">
        <v>46089</v>
      </c>
      <c r="B2886" s="1" t="s">
        <v>10373</v>
      </c>
      <c r="C2886" s="1" t="s">
        <v>10374</v>
      </c>
      <c r="D2886" t="b">
        <f ca="1">IF(A2886="","",[1]!s_techanal_rcnthigh(B2886,$B$2,1,3))</f>
        <v>0</v>
      </c>
      <c r="E2886">
        <f ca="1">IF(A2886="","",COUNTIF(D$6:D2886,"True"))</f>
        <v>27</v>
      </c>
      <c r="F2886" t="str">
        <f t="shared" ref="F2886:F2949" si="45">IF(B2886="","",B2886)</f>
        <v>301678.SZ</v>
      </c>
    </row>
    <row r="2887" spans="1:6" x14ac:dyDescent="0.15">
      <c r="A2887" s="2">
        <v>46089</v>
      </c>
      <c r="B2887" s="1" t="s">
        <v>10375</v>
      </c>
      <c r="C2887" s="1" t="s">
        <v>10376</v>
      </c>
      <c r="D2887" t="b">
        <f ca="1">IF(A2887="","",[1]!s_techanal_rcnthigh(B2887,$B$2,1,3))</f>
        <v>0</v>
      </c>
      <c r="E2887">
        <f ca="1">IF(A2887="","",COUNTIF(D$6:D2887,"True"))</f>
        <v>27</v>
      </c>
      <c r="F2887" t="str">
        <f t="shared" si="45"/>
        <v>301680.SZ</v>
      </c>
    </row>
    <row r="2888" spans="1:6" x14ac:dyDescent="0.15">
      <c r="A2888" s="2">
        <v>46089</v>
      </c>
      <c r="B2888" s="1" t="s">
        <v>10377</v>
      </c>
      <c r="C2888" s="1" t="s">
        <v>10378</v>
      </c>
      <c r="D2888" t="b">
        <f ca="1">IF(A2888="","",[1]!s_techanal_rcnthigh(B2888,$B$2,1,3))</f>
        <v>0</v>
      </c>
      <c r="E2888">
        <f ca="1">IF(A2888="","",COUNTIF(D$6:D2888,"True"))</f>
        <v>27</v>
      </c>
      <c r="F2888" t="str">
        <f t="shared" si="45"/>
        <v>301687.SZ</v>
      </c>
    </row>
    <row r="2889" spans="1:6" x14ac:dyDescent="0.15">
      <c r="A2889" s="2">
        <v>46089</v>
      </c>
      <c r="B2889" s="1" t="s">
        <v>10379</v>
      </c>
      <c r="C2889" s="1" t="s">
        <v>10380</v>
      </c>
      <c r="D2889" t="b">
        <f ca="1">IF(A2889="","",[1]!s_techanal_rcnthigh(B2889,$B$2,1,3))</f>
        <v>0</v>
      </c>
      <c r="E2889">
        <f ca="1">IF(A2889="","",COUNTIF(D$6:D2889,"True"))</f>
        <v>27</v>
      </c>
      <c r="F2889" t="str">
        <f t="shared" si="45"/>
        <v>302132.SZ</v>
      </c>
    </row>
    <row r="2890" spans="1:6" x14ac:dyDescent="0.15">
      <c r="A2890" s="2">
        <v>46089</v>
      </c>
      <c r="B2890" s="1" t="s">
        <v>5425</v>
      </c>
      <c r="C2890" s="1" t="s">
        <v>5426</v>
      </c>
      <c r="D2890" t="b">
        <f ca="1">IF(A2890="","",[1]!s_techanal_rcnthigh(B2890,$B$2,1,3))</f>
        <v>0</v>
      </c>
      <c r="E2890">
        <f ca="1">IF(A2890="","",COUNTIF(D$6:D2890,"True"))</f>
        <v>27</v>
      </c>
      <c r="F2890" t="str">
        <f t="shared" si="45"/>
        <v>600000.SH</v>
      </c>
    </row>
    <row r="2891" spans="1:6" x14ac:dyDescent="0.15">
      <c r="A2891" s="2">
        <v>46089</v>
      </c>
      <c r="B2891" s="1" t="s">
        <v>5427</v>
      </c>
      <c r="C2891" s="1" t="s">
        <v>5428</v>
      </c>
      <c r="D2891" t="b">
        <f ca="1">IF(A2891="","",[1]!s_techanal_rcnthigh(B2891,$B$2,1,3))</f>
        <v>0</v>
      </c>
      <c r="E2891">
        <f ca="1">IF(A2891="","",COUNTIF(D$6:D2891,"True"))</f>
        <v>27</v>
      </c>
      <c r="F2891" t="str">
        <f t="shared" si="45"/>
        <v>600004.SH</v>
      </c>
    </row>
    <row r="2892" spans="1:6" x14ac:dyDescent="0.15">
      <c r="A2892" s="2">
        <v>46089</v>
      </c>
      <c r="B2892" s="1" t="s">
        <v>5429</v>
      </c>
      <c r="C2892" s="1" t="s">
        <v>10381</v>
      </c>
      <c r="D2892" t="b">
        <f ca="1">IF(A2892="","",[1]!s_techanal_rcnthigh(B2892,$B$2,1,3))</f>
        <v>0</v>
      </c>
      <c r="E2892">
        <f ca="1">IF(A2892="","",COUNTIF(D$6:D2892,"True"))</f>
        <v>27</v>
      </c>
      <c r="F2892" t="str">
        <f t="shared" si="45"/>
        <v>600006.SH</v>
      </c>
    </row>
    <row r="2893" spans="1:6" x14ac:dyDescent="0.15">
      <c r="A2893" s="2">
        <v>46089</v>
      </c>
      <c r="B2893" s="1" t="s">
        <v>5430</v>
      </c>
      <c r="C2893" s="1" t="s">
        <v>5431</v>
      </c>
      <c r="D2893" t="b">
        <f ca="1">IF(A2893="","",[1]!s_techanal_rcnthigh(B2893,$B$2,1,3))</f>
        <v>0</v>
      </c>
      <c r="E2893">
        <f ca="1">IF(A2893="","",COUNTIF(D$6:D2893,"True"))</f>
        <v>27</v>
      </c>
      <c r="F2893" t="str">
        <f t="shared" si="45"/>
        <v>600007.SH</v>
      </c>
    </row>
    <row r="2894" spans="1:6" x14ac:dyDescent="0.15">
      <c r="A2894" s="2">
        <v>46089</v>
      </c>
      <c r="B2894" s="1" t="s">
        <v>5432</v>
      </c>
      <c r="C2894" s="1" t="s">
        <v>5433</v>
      </c>
      <c r="D2894" t="b">
        <f ca="1">IF(A2894="","",[1]!s_techanal_rcnthigh(B2894,$B$2,1,3))</f>
        <v>0</v>
      </c>
      <c r="E2894">
        <f ca="1">IF(A2894="","",COUNTIF(D$6:D2894,"True"))</f>
        <v>27</v>
      </c>
      <c r="F2894" t="str">
        <f t="shared" si="45"/>
        <v>600008.SH</v>
      </c>
    </row>
    <row r="2895" spans="1:6" x14ac:dyDescent="0.15">
      <c r="A2895" s="2">
        <v>46089</v>
      </c>
      <c r="B2895" s="1" t="s">
        <v>5434</v>
      </c>
      <c r="C2895" s="1" t="s">
        <v>5435</v>
      </c>
      <c r="D2895" t="b">
        <f ca="1">IF(A2895="","",[1]!s_techanal_rcnthigh(B2895,$B$2,1,3))</f>
        <v>0</v>
      </c>
      <c r="E2895">
        <f ca="1">IF(A2895="","",COUNTIF(D$6:D2895,"True"))</f>
        <v>27</v>
      </c>
      <c r="F2895" t="str">
        <f t="shared" si="45"/>
        <v>600009.SH</v>
      </c>
    </row>
    <row r="2896" spans="1:6" x14ac:dyDescent="0.15">
      <c r="A2896" s="2">
        <v>46089</v>
      </c>
      <c r="B2896" s="1" t="s">
        <v>5436</v>
      </c>
      <c r="C2896" s="1" t="s">
        <v>5437</v>
      </c>
      <c r="D2896" t="b">
        <f ca="1">IF(A2896="","",[1]!s_techanal_rcnthigh(B2896,$B$2,1,3))</f>
        <v>0</v>
      </c>
      <c r="E2896">
        <f ca="1">IF(A2896="","",COUNTIF(D$6:D2896,"True"))</f>
        <v>27</v>
      </c>
      <c r="F2896" t="str">
        <f t="shared" si="45"/>
        <v>600010.SH</v>
      </c>
    </row>
    <row r="2897" spans="1:6" x14ac:dyDescent="0.15">
      <c r="A2897" s="2">
        <v>46089</v>
      </c>
      <c r="B2897" s="1" t="s">
        <v>5438</v>
      </c>
      <c r="C2897" s="1" t="s">
        <v>5439</v>
      </c>
      <c r="D2897" t="b">
        <f ca="1">IF(A2897="","",[1]!s_techanal_rcnthigh(B2897,$B$2,1,3))</f>
        <v>0</v>
      </c>
      <c r="E2897">
        <f ca="1">IF(A2897="","",COUNTIF(D$6:D2897,"True"))</f>
        <v>27</v>
      </c>
      <c r="F2897" t="str">
        <f t="shared" si="45"/>
        <v>600011.SH</v>
      </c>
    </row>
    <row r="2898" spans="1:6" x14ac:dyDescent="0.15">
      <c r="A2898" s="2">
        <v>46089</v>
      </c>
      <c r="B2898" s="1" t="s">
        <v>5440</v>
      </c>
      <c r="C2898" s="1" t="s">
        <v>5441</v>
      </c>
      <c r="D2898" t="b">
        <f ca="1">IF(A2898="","",[1]!s_techanal_rcnthigh(B2898,$B$2,1,3))</f>
        <v>0</v>
      </c>
      <c r="E2898">
        <f ca="1">IF(A2898="","",COUNTIF(D$6:D2898,"True"))</f>
        <v>27</v>
      </c>
      <c r="F2898" t="str">
        <f t="shared" si="45"/>
        <v>600012.SH</v>
      </c>
    </row>
    <row r="2899" spans="1:6" x14ac:dyDescent="0.15">
      <c r="A2899" s="2">
        <v>46089</v>
      </c>
      <c r="B2899" s="1" t="s">
        <v>5442</v>
      </c>
      <c r="C2899" s="1" t="s">
        <v>5443</v>
      </c>
      <c r="D2899" t="b">
        <f ca="1">IF(A2899="","",[1]!s_techanal_rcnthigh(B2899,$B$2,1,3))</f>
        <v>0</v>
      </c>
      <c r="E2899">
        <f ca="1">IF(A2899="","",COUNTIF(D$6:D2899,"True"))</f>
        <v>27</v>
      </c>
      <c r="F2899" t="str">
        <f t="shared" si="45"/>
        <v>600015.SH</v>
      </c>
    </row>
    <row r="2900" spans="1:6" x14ac:dyDescent="0.15">
      <c r="A2900" s="2">
        <v>46089</v>
      </c>
      <c r="B2900" s="1" t="s">
        <v>5444</v>
      </c>
      <c r="C2900" s="1" t="s">
        <v>5445</v>
      </c>
      <c r="D2900" t="b">
        <f ca="1">IF(A2900="","",[1]!s_techanal_rcnthigh(B2900,$B$2,1,3))</f>
        <v>0</v>
      </c>
      <c r="E2900">
        <f ca="1">IF(A2900="","",COUNTIF(D$6:D2900,"True"))</f>
        <v>27</v>
      </c>
      <c r="F2900" t="str">
        <f t="shared" si="45"/>
        <v>600016.SH</v>
      </c>
    </row>
    <row r="2901" spans="1:6" x14ac:dyDescent="0.15">
      <c r="A2901" s="2">
        <v>46089</v>
      </c>
      <c r="B2901" s="1" t="s">
        <v>5446</v>
      </c>
      <c r="C2901" s="1" t="s">
        <v>5447</v>
      </c>
      <c r="D2901" t="b">
        <f ca="1">IF(A2901="","",[1]!s_techanal_rcnthigh(B2901,$B$2,1,3))</f>
        <v>0</v>
      </c>
      <c r="E2901">
        <f ca="1">IF(A2901="","",COUNTIF(D$6:D2901,"True"))</f>
        <v>27</v>
      </c>
      <c r="F2901" t="str">
        <f t="shared" si="45"/>
        <v>600017.SH</v>
      </c>
    </row>
    <row r="2902" spans="1:6" x14ac:dyDescent="0.15">
      <c r="A2902" s="2">
        <v>46089</v>
      </c>
      <c r="B2902" s="1" t="s">
        <v>5448</v>
      </c>
      <c r="C2902" s="1" t="s">
        <v>5449</v>
      </c>
      <c r="D2902" t="b">
        <f ca="1">IF(A2902="","",[1]!s_techanal_rcnthigh(B2902,$B$2,1,3))</f>
        <v>0</v>
      </c>
      <c r="E2902">
        <f ca="1">IF(A2902="","",COUNTIF(D$6:D2902,"True"))</f>
        <v>27</v>
      </c>
      <c r="F2902" t="str">
        <f t="shared" si="45"/>
        <v>600018.SH</v>
      </c>
    </row>
    <row r="2903" spans="1:6" x14ac:dyDescent="0.15">
      <c r="A2903" s="2">
        <v>46089</v>
      </c>
      <c r="B2903" s="1" t="s">
        <v>5450</v>
      </c>
      <c r="C2903" s="1" t="s">
        <v>5451</v>
      </c>
      <c r="D2903" t="b">
        <f ca="1">IF(A2903="","",[1]!s_techanal_rcnthigh(B2903,$B$2,1,3))</f>
        <v>0</v>
      </c>
      <c r="E2903">
        <f ca="1">IF(A2903="","",COUNTIF(D$6:D2903,"True"))</f>
        <v>27</v>
      </c>
      <c r="F2903" t="str">
        <f t="shared" si="45"/>
        <v>600019.SH</v>
      </c>
    </row>
    <row r="2904" spans="1:6" x14ac:dyDescent="0.15">
      <c r="A2904" s="2">
        <v>46089</v>
      </c>
      <c r="B2904" s="1" t="s">
        <v>5452</v>
      </c>
      <c r="C2904" s="1" t="s">
        <v>5453</v>
      </c>
      <c r="D2904" t="b">
        <f ca="1">IF(A2904="","",[1]!s_techanal_rcnthigh(B2904,$B$2,1,3))</f>
        <v>0</v>
      </c>
      <c r="E2904">
        <f ca="1">IF(A2904="","",COUNTIF(D$6:D2904,"True"))</f>
        <v>27</v>
      </c>
      <c r="F2904" t="str">
        <f t="shared" si="45"/>
        <v>600020.SH</v>
      </c>
    </row>
    <row r="2905" spans="1:6" x14ac:dyDescent="0.15">
      <c r="A2905" s="2">
        <v>46089</v>
      </c>
      <c r="B2905" s="1" t="s">
        <v>5454</v>
      </c>
      <c r="C2905" s="1" t="s">
        <v>5455</v>
      </c>
      <c r="D2905" t="b">
        <f ca="1">IF(A2905="","",[1]!s_techanal_rcnthigh(B2905,$B$2,1,3))</f>
        <v>0</v>
      </c>
      <c r="E2905">
        <f ca="1">IF(A2905="","",COUNTIF(D$6:D2905,"True"))</f>
        <v>27</v>
      </c>
      <c r="F2905" t="str">
        <f t="shared" si="45"/>
        <v>600021.SH</v>
      </c>
    </row>
    <row r="2906" spans="1:6" x14ac:dyDescent="0.15">
      <c r="A2906" s="2">
        <v>46089</v>
      </c>
      <c r="B2906" s="1" t="s">
        <v>5456</v>
      </c>
      <c r="C2906" s="1" t="s">
        <v>5457</v>
      </c>
      <c r="D2906" t="b">
        <f ca="1">IF(A2906="","",[1]!s_techanal_rcnthigh(B2906,$B$2,1,3))</f>
        <v>0</v>
      </c>
      <c r="E2906">
        <f ca="1">IF(A2906="","",COUNTIF(D$6:D2906,"True"))</f>
        <v>27</v>
      </c>
      <c r="F2906" t="str">
        <f t="shared" si="45"/>
        <v>600022.SH</v>
      </c>
    </row>
    <row r="2907" spans="1:6" x14ac:dyDescent="0.15">
      <c r="A2907" s="2">
        <v>46089</v>
      </c>
      <c r="B2907" s="1" t="s">
        <v>5458</v>
      </c>
      <c r="C2907" s="1" t="s">
        <v>5459</v>
      </c>
      <c r="D2907" t="b">
        <f ca="1">IF(A2907="","",[1]!s_techanal_rcnthigh(B2907,$B$2,1,3))</f>
        <v>0</v>
      </c>
      <c r="E2907">
        <f ca="1">IF(A2907="","",COUNTIF(D$6:D2907,"True"))</f>
        <v>27</v>
      </c>
      <c r="F2907" t="str">
        <f t="shared" si="45"/>
        <v>600023.SH</v>
      </c>
    </row>
    <row r="2908" spans="1:6" x14ac:dyDescent="0.15">
      <c r="A2908" s="2">
        <v>46089</v>
      </c>
      <c r="B2908" s="1" t="s">
        <v>5460</v>
      </c>
      <c r="C2908" s="1" t="s">
        <v>5461</v>
      </c>
      <c r="D2908" t="b">
        <f ca="1">IF(A2908="","",[1]!s_techanal_rcnthigh(B2908,$B$2,1,3))</f>
        <v>0</v>
      </c>
      <c r="E2908">
        <f ca="1">IF(A2908="","",COUNTIF(D$6:D2908,"True"))</f>
        <v>27</v>
      </c>
      <c r="F2908" t="str">
        <f t="shared" si="45"/>
        <v>600025.SH</v>
      </c>
    </row>
    <row r="2909" spans="1:6" x14ac:dyDescent="0.15">
      <c r="A2909" s="2">
        <v>46089</v>
      </c>
      <c r="B2909" s="1" t="s">
        <v>5462</v>
      </c>
      <c r="C2909" s="1" t="s">
        <v>5463</v>
      </c>
      <c r="D2909" t="b">
        <f ca="1">IF(A2909="","",[1]!s_techanal_rcnthigh(B2909,$B$2,1,3))</f>
        <v>0</v>
      </c>
      <c r="E2909">
        <f ca="1">IF(A2909="","",COUNTIF(D$6:D2909,"True"))</f>
        <v>27</v>
      </c>
      <c r="F2909" t="str">
        <f t="shared" si="45"/>
        <v>600026.SH</v>
      </c>
    </row>
    <row r="2910" spans="1:6" x14ac:dyDescent="0.15">
      <c r="A2910" s="2">
        <v>46089</v>
      </c>
      <c r="B2910" s="1" t="s">
        <v>5464</v>
      </c>
      <c r="C2910" s="1" t="s">
        <v>5465</v>
      </c>
      <c r="D2910" t="b">
        <f ca="1">IF(A2910="","",[1]!s_techanal_rcnthigh(B2910,$B$2,1,3))</f>
        <v>0</v>
      </c>
      <c r="E2910">
        <f ca="1">IF(A2910="","",COUNTIF(D$6:D2910,"True"))</f>
        <v>27</v>
      </c>
      <c r="F2910" t="str">
        <f t="shared" si="45"/>
        <v>600027.SH</v>
      </c>
    </row>
    <row r="2911" spans="1:6" x14ac:dyDescent="0.15">
      <c r="A2911" s="2">
        <v>46089</v>
      </c>
      <c r="B2911" s="1" t="s">
        <v>5466</v>
      </c>
      <c r="C2911" s="1" t="s">
        <v>5467</v>
      </c>
      <c r="D2911" t="b">
        <f ca="1">IF(A2911="","",[1]!s_techanal_rcnthigh(B2911,$B$2,1,3))</f>
        <v>0</v>
      </c>
      <c r="E2911">
        <f ca="1">IF(A2911="","",COUNTIF(D$6:D2911,"True"))</f>
        <v>27</v>
      </c>
      <c r="F2911" t="str">
        <f t="shared" si="45"/>
        <v>600028.SH</v>
      </c>
    </row>
    <row r="2912" spans="1:6" x14ac:dyDescent="0.15">
      <c r="A2912" s="2">
        <v>46089</v>
      </c>
      <c r="B2912" s="1" t="s">
        <v>5468</v>
      </c>
      <c r="C2912" s="1" t="s">
        <v>5469</v>
      </c>
      <c r="D2912" t="b">
        <f ca="1">IF(A2912="","",[1]!s_techanal_rcnthigh(B2912,$B$2,1,3))</f>
        <v>0</v>
      </c>
      <c r="E2912">
        <f ca="1">IF(A2912="","",COUNTIF(D$6:D2912,"True"))</f>
        <v>27</v>
      </c>
      <c r="F2912" t="str">
        <f t="shared" si="45"/>
        <v>600029.SH</v>
      </c>
    </row>
    <row r="2913" spans="1:6" x14ac:dyDescent="0.15">
      <c r="A2913" s="2">
        <v>46089</v>
      </c>
      <c r="B2913" s="1" t="s">
        <v>5470</v>
      </c>
      <c r="C2913" s="1" t="s">
        <v>5471</v>
      </c>
      <c r="D2913" t="b">
        <f ca="1">IF(A2913="","",[1]!s_techanal_rcnthigh(B2913,$B$2,1,3))</f>
        <v>0</v>
      </c>
      <c r="E2913">
        <f ca="1">IF(A2913="","",COUNTIF(D$6:D2913,"True"))</f>
        <v>27</v>
      </c>
      <c r="F2913" t="str">
        <f t="shared" si="45"/>
        <v>600030.SH</v>
      </c>
    </row>
    <row r="2914" spans="1:6" x14ac:dyDescent="0.15">
      <c r="A2914" s="2">
        <v>46089</v>
      </c>
      <c r="B2914" s="1" t="s">
        <v>5472</v>
      </c>
      <c r="C2914" s="1" t="s">
        <v>5473</v>
      </c>
      <c r="D2914" t="b">
        <f ca="1">IF(A2914="","",[1]!s_techanal_rcnthigh(B2914,$B$2,1,3))</f>
        <v>0</v>
      </c>
      <c r="E2914">
        <f ca="1">IF(A2914="","",COUNTIF(D$6:D2914,"True"))</f>
        <v>27</v>
      </c>
      <c r="F2914" t="str">
        <f t="shared" si="45"/>
        <v>600031.SH</v>
      </c>
    </row>
    <row r="2915" spans="1:6" x14ac:dyDescent="0.15">
      <c r="A2915" s="2">
        <v>46089</v>
      </c>
      <c r="B2915" s="1" t="s">
        <v>5474</v>
      </c>
      <c r="C2915" s="1" t="s">
        <v>5475</v>
      </c>
      <c r="D2915" t="b">
        <f ca="1">IF(A2915="","",[1]!s_techanal_rcnthigh(B2915,$B$2,1,3))</f>
        <v>0</v>
      </c>
      <c r="E2915">
        <f ca="1">IF(A2915="","",COUNTIF(D$6:D2915,"True"))</f>
        <v>27</v>
      </c>
      <c r="F2915" t="str">
        <f t="shared" si="45"/>
        <v>600032.SH</v>
      </c>
    </row>
    <row r="2916" spans="1:6" x14ac:dyDescent="0.15">
      <c r="A2916" s="2">
        <v>46089</v>
      </c>
      <c r="B2916" s="1" t="s">
        <v>5476</v>
      </c>
      <c r="C2916" s="1" t="s">
        <v>5477</v>
      </c>
      <c r="D2916" t="b">
        <f ca="1">IF(A2916="","",[1]!s_techanal_rcnthigh(B2916,$B$2,1,3))</f>
        <v>0</v>
      </c>
      <c r="E2916">
        <f ca="1">IF(A2916="","",COUNTIF(D$6:D2916,"True"))</f>
        <v>27</v>
      </c>
      <c r="F2916" t="str">
        <f t="shared" si="45"/>
        <v>600033.SH</v>
      </c>
    </row>
    <row r="2917" spans="1:6" x14ac:dyDescent="0.15">
      <c r="A2917" s="2">
        <v>46089</v>
      </c>
      <c r="B2917" s="1" t="s">
        <v>5478</v>
      </c>
      <c r="C2917" s="1" t="s">
        <v>5479</v>
      </c>
      <c r="D2917" t="b">
        <f ca="1">IF(A2917="","",[1]!s_techanal_rcnthigh(B2917,$B$2,1,3))</f>
        <v>0</v>
      </c>
      <c r="E2917">
        <f ca="1">IF(A2917="","",COUNTIF(D$6:D2917,"True"))</f>
        <v>27</v>
      </c>
      <c r="F2917" t="str">
        <f t="shared" si="45"/>
        <v>600035.SH</v>
      </c>
    </row>
    <row r="2918" spans="1:6" x14ac:dyDescent="0.15">
      <c r="A2918" s="2">
        <v>46089</v>
      </c>
      <c r="B2918" s="1" t="s">
        <v>5480</v>
      </c>
      <c r="C2918" s="1" t="s">
        <v>5481</v>
      </c>
      <c r="D2918" t="b">
        <f ca="1">IF(A2918="","",[1]!s_techanal_rcnthigh(B2918,$B$2,1,3))</f>
        <v>0</v>
      </c>
      <c r="E2918">
        <f ca="1">IF(A2918="","",COUNTIF(D$6:D2918,"True"))</f>
        <v>27</v>
      </c>
      <c r="F2918" t="str">
        <f t="shared" si="45"/>
        <v>600036.SH</v>
      </c>
    </row>
    <row r="2919" spans="1:6" x14ac:dyDescent="0.15">
      <c r="A2919" s="2">
        <v>46089</v>
      </c>
      <c r="B2919" s="1" t="s">
        <v>5482</v>
      </c>
      <c r="C2919" s="1" t="s">
        <v>5483</v>
      </c>
      <c r="D2919" t="b">
        <f ca="1">IF(A2919="","",[1]!s_techanal_rcnthigh(B2919,$B$2,1,3))</f>
        <v>0</v>
      </c>
      <c r="E2919">
        <f ca="1">IF(A2919="","",COUNTIF(D$6:D2919,"True"))</f>
        <v>27</v>
      </c>
      <c r="F2919" t="str">
        <f t="shared" si="45"/>
        <v>600037.SH</v>
      </c>
    </row>
    <row r="2920" spans="1:6" x14ac:dyDescent="0.15">
      <c r="A2920" s="2">
        <v>46089</v>
      </c>
      <c r="B2920" s="1" t="s">
        <v>5484</v>
      </c>
      <c r="C2920" s="1" t="s">
        <v>5485</v>
      </c>
      <c r="D2920" t="b">
        <f ca="1">IF(A2920="","",[1]!s_techanal_rcnthigh(B2920,$B$2,1,3))</f>
        <v>0</v>
      </c>
      <c r="E2920">
        <f ca="1">IF(A2920="","",COUNTIF(D$6:D2920,"True"))</f>
        <v>27</v>
      </c>
      <c r="F2920" t="str">
        <f t="shared" si="45"/>
        <v>600038.SH</v>
      </c>
    </row>
    <row r="2921" spans="1:6" x14ac:dyDescent="0.15">
      <c r="A2921" s="2">
        <v>46089</v>
      </c>
      <c r="B2921" s="1" t="s">
        <v>5486</v>
      </c>
      <c r="C2921" s="1" t="s">
        <v>5487</v>
      </c>
      <c r="D2921" t="b">
        <f ca="1">IF(A2921="","",[1]!s_techanal_rcnthigh(B2921,$B$2,1,3))</f>
        <v>0</v>
      </c>
      <c r="E2921">
        <f ca="1">IF(A2921="","",COUNTIF(D$6:D2921,"True"))</f>
        <v>27</v>
      </c>
      <c r="F2921" t="str">
        <f t="shared" si="45"/>
        <v>600039.SH</v>
      </c>
    </row>
    <row r="2922" spans="1:6" x14ac:dyDescent="0.15">
      <c r="A2922" s="2">
        <v>46089</v>
      </c>
      <c r="B2922" s="1" t="s">
        <v>5488</v>
      </c>
      <c r="C2922" s="1" t="s">
        <v>5489</v>
      </c>
      <c r="D2922" t="b">
        <f ca="1">IF(A2922="","",[1]!s_techanal_rcnthigh(B2922,$B$2,1,3))</f>
        <v>0</v>
      </c>
      <c r="E2922">
        <f ca="1">IF(A2922="","",COUNTIF(D$6:D2922,"True"))</f>
        <v>27</v>
      </c>
      <c r="F2922" t="str">
        <f t="shared" si="45"/>
        <v>600048.SH</v>
      </c>
    </row>
    <row r="2923" spans="1:6" x14ac:dyDescent="0.15">
      <c r="A2923" s="2">
        <v>46089</v>
      </c>
      <c r="B2923" s="1" t="s">
        <v>5490</v>
      </c>
      <c r="C2923" s="1" t="s">
        <v>5491</v>
      </c>
      <c r="D2923" t="b">
        <f ca="1">IF(A2923="","",[1]!s_techanal_rcnthigh(B2923,$B$2,1,3))</f>
        <v>0</v>
      </c>
      <c r="E2923">
        <f ca="1">IF(A2923="","",COUNTIF(D$6:D2923,"True"))</f>
        <v>27</v>
      </c>
      <c r="F2923" t="str">
        <f t="shared" si="45"/>
        <v>600050.SH</v>
      </c>
    </row>
    <row r="2924" spans="1:6" x14ac:dyDescent="0.15">
      <c r="A2924" s="2">
        <v>46089</v>
      </c>
      <c r="B2924" s="1" t="s">
        <v>5492</v>
      </c>
      <c r="C2924" s="1" t="s">
        <v>5493</v>
      </c>
      <c r="D2924" t="b">
        <f ca="1">IF(A2924="","",[1]!s_techanal_rcnthigh(B2924,$B$2,1,3))</f>
        <v>0</v>
      </c>
      <c r="E2924">
        <f ca="1">IF(A2924="","",COUNTIF(D$6:D2924,"True"))</f>
        <v>27</v>
      </c>
      <c r="F2924" t="str">
        <f t="shared" si="45"/>
        <v>600051.SH</v>
      </c>
    </row>
    <row r="2925" spans="1:6" x14ac:dyDescent="0.15">
      <c r="A2925" s="2">
        <v>46089</v>
      </c>
      <c r="B2925" s="1" t="s">
        <v>5494</v>
      </c>
      <c r="C2925" s="1" t="s">
        <v>5495</v>
      </c>
      <c r="D2925" t="b">
        <f ca="1">IF(A2925="","",[1]!s_techanal_rcnthigh(B2925,$B$2,1,3))</f>
        <v>0</v>
      </c>
      <c r="E2925">
        <f ca="1">IF(A2925="","",COUNTIF(D$6:D2925,"True"))</f>
        <v>27</v>
      </c>
      <c r="F2925" t="str">
        <f t="shared" si="45"/>
        <v>600052.SH</v>
      </c>
    </row>
    <row r="2926" spans="1:6" x14ac:dyDescent="0.15">
      <c r="A2926" s="2">
        <v>46089</v>
      </c>
      <c r="B2926" s="1" t="s">
        <v>5496</v>
      </c>
      <c r="C2926" s="1" t="s">
        <v>5497</v>
      </c>
      <c r="D2926" t="b">
        <f ca="1">IF(A2926="","",[1]!s_techanal_rcnthigh(B2926,$B$2,1,3))</f>
        <v>0</v>
      </c>
      <c r="E2926">
        <f ca="1">IF(A2926="","",COUNTIF(D$6:D2926,"True"))</f>
        <v>27</v>
      </c>
      <c r="F2926" t="str">
        <f t="shared" si="45"/>
        <v>600053.SH</v>
      </c>
    </row>
    <row r="2927" spans="1:6" x14ac:dyDescent="0.15">
      <c r="A2927" s="2">
        <v>46089</v>
      </c>
      <c r="B2927" s="1" t="s">
        <v>5498</v>
      </c>
      <c r="C2927" s="1" t="s">
        <v>5499</v>
      </c>
      <c r="D2927" t="b">
        <f ca="1">IF(A2927="","",[1]!s_techanal_rcnthigh(B2927,$B$2,1,3))</f>
        <v>0</v>
      </c>
      <c r="E2927">
        <f ca="1">IF(A2927="","",COUNTIF(D$6:D2927,"True"))</f>
        <v>27</v>
      </c>
      <c r="F2927" t="str">
        <f t="shared" si="45"/>
        <v>600054.SH</v>
      </c>
    </row>
    <row r="2928" spans="1:6" x14ac:dyDescent="0.15">
      <c r="A2928" s="2">
        <v>46089</v>
      </c>
      <c r="B2928" s="1" t="s">
        <v>5500</v>
      </c>
      <c r="C2928" s="1" t="s">
        <v>5501</v>
      </c>
      <c r="D2928" t="b">
        <f ca="1">IF(A2928="","",[1]!s_techanal_rcnthigh(B2928,$B$2,1,3))</f>
        <v>0</v>
      </c>
      <c r="E2928">
        <f ca="1">IF(A2928="","",COUNTIF(D$6:D2928,"True"))</f>
        <v>27</v>
      </c>
      <c r="F2928" t="str">
        <f t="shared" si="45"/>
        <v>600055.SH</v>
      </c>
    </row>
    <row r="2929" spans="1:6" x14ac:dyDescent="0.15">
      <c r="A2929" s="2">
        <v>46089</v>
      </c>
      <c r="B2929" s="1" t="s">
        <v>5502</v>
      </c>
      <c r="C2929" s="1" t="s">
        <v>5503</v>
      </c>
      <c r="D2929" t="b">
        <f ca="1">IF(A2929="","",[1]!s_techanal_rcnthigh(B2929,$B$2,1,3))</f>
        <v>0</v>
      </c>
      <c r="E2929">
        <f ca="1">IF(A2929="","",COUNTIF(D$6:D2929,"True"))</f>
        <v>27</v>
      </c>
      <c r="F2929" t="str">
        <f t="shared" si="45"/>
        <v>600056.SH</v>
      </c>
    </row>
    <row r="2930" spans="1:6" x14ac:dyDescent="0.15">
      <c r="A2930" s="2">
        <v>46089</v>
      </c>
      <c r="B2930" s="1" t="s">
        <v>5504</v>
      </c>
      <c r="C2930" s="1" t="s">
        <v>5505</v>
      </c>
      <c r="D2930" t="b">
        <f ca="1">IF(A2930="","",[1]!s_techanal_rcnthigh(B2930,$B$2,1,3))</f>
        <v>0</v>
      </c>
      <c r="E2930">
        <f ca="1">IF(A2930="","",COUNTIF(D$6:D2930,"True"))</f>
        <v>27</v>
      </c>
      <c r="F2930" t="str">
        <f t="shared" si="45"/>
        <v>600057.SH</v>
      </c>
    </row>
    <row r="2931" spans="1:6" x14ac:dyDescent="0.15">
      <c r="A2931" s="2">
        <v>46089</v>
      </c>
      <c r="B2931" s="1" t="s">
        <v>5506</v>
      </c>
      <c r="C2931" s="1" t="s">
        <v>5507</v>
      </c>
      <c r="D2931" t="b">
        <f ca="1">IF(A2931="","",[1]!s_techanal_rcnthigh(B2931,$B$2,1,3))</f>
        <v>0</v>
      </c>
      <c r="E2931">
        <f ca="1">IF(A2931="","",COUNTIF(D$6:D2931,"True"))</f>
        <v>27</v>
      </c>
      <c r="F2931" t="str">
        <f t="shared" si="45"/>
        <v>600058.SH</v>
      </c>
    </row>
    <row r="2932" spans="1:6" x14ac:dyDescent="0.15">
      <c r="A2932" s="2">
        <v>46089</v>
      </c>
      <c r="B2932" s="1" t="s">
        <v>5508</v>
      </c>
      <c r="C2932" s="1" t="s">
        <v>5509</v>
      </c>
      <c r="D2932" t="b">
        <f ca="1">IF(A2932="","",[1]!s_techanal_rcnthigh(B2932,$B$2,1,3))</f>
        <v>0</v>
      </c>
      <c r="E2932">
        <f ca="1">IF(A2932="","",COUNTIF(D$6:D2932,"True"))</f>
        <v>27</v>
      </c>
      <c r="F2932" t="str">
        <f t="shared" si="45"/>
        <v>600059.SH</v>
      </c>
    </row>
    <row r="2933" spans="1:6" x14ac:dyDescent="0.15">
      <c r="A2933" s="2">
        <v>46089</v>
      </c>
      <c r="B2933" s="1" t="s">
        <v>5510</v>
      </c>
      <c r="C2933" s="1" t="s">
        <v>5511</v>
      </c>
      <c r="D2933" t="b">
        <f ca="1">IF(A2933="","",[1]!s_techanal_rcnthigh(B2933,$B$2,1,3))</f>
        <v>0</v>
      </c>
      <c r="E2933">
        <f ca="1">IF(A2933="","",COUNTIF(D$6:D2933,"True"))</f>
        <v>27</v>
      </c>
      <c r="F2933" t="str">
        <f t="shared" si="45"/>
        <v>600060.SH</v>
      </c>
    </row>
    <row r="2934" spans="1:6" x14ac:dyDescent="0.15">
      <c r="A2934" s="2">
        <v>46089</v>
      </c>
      <c r="B2934" s="1" t="s">
        <v>5512</v>
      </c>
      <c r="C2934" s="1" t="s">
        <v>5513</v>
      </c>
      <c r="D2934" t="b">
        <f ca="1">IF(A2934="","",[1]!s_techanal_rcnthigh(B2934,$B$2,1,3))</f>
        <v>0</v>
      </c>
      <c r="E2934">
        <f ca="1">IF(A2934="","",COUNTIF(D$6:D2934,"True"))</f>
        <v>27</v>
      </c>
      <c r="F2934" t="str">
        <f t="shared" si="45"/>
        <v>600061.SH</v>
      </c>
    </row>
    <row r="2935" spans="1:6" x14ac:dyDescent="0.15">
      <c r="A2935" s="2">
        <v>46089</v>
      </c>
      <c r="B2935" s="1" t="s">
        <v>5514</v>
      </c>
      <c r="C2935" s="1" t="s">
        <v>5515</v>
      </c>
      <c r="D2935" t="b">
        <f ca="1">IF(A2935="","",[1]!s_techanal_rcnthigh(B2935,$B$2,1,3))</f>
        <v>0</v>
      </c>
      <c r="E2935">
        <f ca="1">IF(A2935="","",COUNTIF(D$6:D2935,"True"))</f>
        <v>27</v>
      </c>
      <c r="F2935" t="str">
        <f t="shared" si="45"/>
        <v>600062.SH</v>
      </c>
    </row>
    <row r="2936" spans="1:6" x14ac:dyDescent="0.15">
      <c r="A2936" s="2">
        <v>46089</v>
      </c>
      <c r="B2936" s="1" t="s">
        <v>5516</v>
      </c>
      <c r="C2936" s="1" t="s">
        <v>5517</v>
      </c>
      <c r="D2936" t="b">
        <f ca="1">IF(A2936="","",[1]!s_techanal_rcnthigh(B2936,$B$2,1,3))</f>
        <v>0</v>
      </c>
      <c r="E2936">
        <f ca="1">IF(A2936="","",COUNTIF(D$6:D2936,"True"))</f>
        <v>27</v>
      </c>
      <c r="F2936" t="str">
        <f t="shared" si="45"/>
        <v>600063.SH</v>
      </c>
    </row>
    <row r="2937" spans="1:6" x14ac:dyDescent="0.15">
      <c r="A2937" s="2">
        <v>46089</v>
      </c>
      <c r="B2937" s="1" t="s">
        <v>5518</v>
      </c>
      <c r="C2937" s="1" t="s">
        <v>5519</v>
      </c>
      <c r="D2937" t="b">
        <f ca="1">IF(A2937="","",[1]!s_techanal_rcnthigh(B2937,$B$2,1,3))</f>
        <v>0</v>
      </c>
      <c r="E2937">
        <f ca="1">IF(A2937="","",COUNTIF(D$6:D2937,"True"))</f>
        <v>27</v>
      </c>
      <c r="F2937" t="str">
        <f t="shared" si="45"/>
        <v>600064.SH</v>
      </c>
    </row>
    <row r="2938" spans="1:6" x14ac:dyDescent="0.15">
      <c r="A2938" s="2">
        <v>46089</v>
      </c>
      <c r="B2938" s="1" t="s">
        <v>5520</v>
      </c>
      <c r="C2938" s="1" t="s">
        <v>5521</v>
      </c>
      <c r="D2938" t="b">
        <f ca="1">IF(A2938="","",[1]!s_techanal_rcnthigh(B2938,$B$2,1,3))</f>
        <v>0</v>
      </c>
      <c r="E2938">
        <f ca="1">IF(A2938="","",COUNTIF(D$6:D2938,"True"))</f>
        <v>27</v>
      </c>
      <c r="F2938" t="str">
        <f t="shared" si="45"/>
        <v>600066.SH</v>
      </c>
    </row>
    <row r="2939" spans="1:6" x14ac:dyDescent="0.15">
      <c r="A2939" s="2">
        <v>46089</v>
      </c>
      <c r="B2939" s="1" t="s">
        <v>5522</v>
      </c>
      <c r="C2939" s="1" t="s">
        <v>10382</v>
      </c>
      <c r="D2939" t="b">
        <f ca="1">IF(A2939="","",[1]!s_techanal_rcnthigh(B2939,$B$2,1,3))</f>
        <v>0</v>
      </c>
      <c r="E2939">
        <f ca="1">IF(A2939="","",COUNTIF(D$6:D2939,"True"))</f>
        <v>27</v>
      </c>
      <c r="F2939" t="str">
        <f t="shared" si="45"/>
        <v>600067.SH</v>
      </c>
    </row>
    <row r="2940" spans="1:6" x14ac:dyDescent="0.15">
      <c r="A2940" s="2">
        <v>46089</v>
      </c>
      <c r="B2940" s="1" t="s">
        <v>5523</v>
      </c>
      <c r="C2940" s="1" t="s">
        <v>5524</v>
      </c>
      <c r="D2940" t="b">
        <f ca="1">IF(A2940="","",[1]!s_techanal_rcnthigh(B2940,$B$2,1,3))</f>
        <v>0</v>
      </c>
      <c r="E2940">
        <f ca="1">IF(A2940="","",COUNTIF(D$6:D2940,"True"))</f>
        <v>27</v>
      </c>
      <c r="F2940" t="str">
        <f t="shared" si="45"/>
        <v>600071.SH</v>
      </c>
    </row>
    <row r="2941" spans="1:6" x14ac:dyDescent="0.15">
      <c r="A2941" s="2">
        <v>46089</v>
      </c>
      <c r="B2941" s="1" t="s">
        <v>5525</v>
      </c>
      <c r="C2941" s="1" t="s">
        <v>5526</v>
      </c>
      <c r="D2941" t="b">
        <f ca="1">IF(A2941="","",[1]!s_techanal_rcnthigh(B2941,$B$2,1,3))</f>
        <v>0</v>
      </c>
      <c r="E2941">
        <f ca="1">IF(A2941="","",COUNTIF(D$6:D2941,"True"))</f>
        <v>27</v>
      </c>
      <c r="F2941" t="str">
        <f t="shared" si="45"/>
        <v>600072.SH</v>
      </c>
    </row>
    <row r="2942" spans="1:6" x14ac:dyDescent="0.15">
      <c r="A2942" s="2">
        <v>46089</v>
      </c>
      <c r="B2942" s="1" t="s">
        <v>5527</v>
      </c>
      <c r="C2942" s="1" t="s">
        <v>10383</v>
      </c>
      <c r="D2942" t="b">
        <f ca="1">IF(A2942="","",[1]!s_techanal_rcnthigh(B2942,$B$2,1,3))</f>
        <v>0</v>
      </c>
      <c r="E2942">
        <f ca="1">IF(A2942="","",COUNTIF(D$6:D2942,"True"))</f>
        <v>27</v>
      </c>
      <c r="F2942" t="str">
        <f t="shared" si="45"/>
        <v>600073.SH</v>
      </c>
    </row>
    <row r="2943" spans="1:6" x14ac:dyDescent="0.15">
      <c r="A2943" s="2">
        <v>46089</v>
      </c>
      <c r="B2943" s="1" t="s">
        <v>5528</v>
      </c>
      <c r="C2943" s="1" t="s">
        <v>5529</v>
      </c>
      <c r="D2943" t="b">
        <f ca="1">IF(A2943="","",[1]!s_techanal_rcnthigh(B2943,$B$2,1,3))</f>
        <v>0</v>
      </c>
      <c r="E2943">
        <f ca="1">IF(A2943="","",COUNTIF(D$6:D2943,"True"))</f>
        <v>27</v>
      </c>
      <c r="F2943" t="str">
        <f t="shared" si="45"/>
        <v>600075.SH</v>
      </c>
    </row>
    <row r="2944" spans="1:6" x14ac:dyDescent="0.15">
      <c r="A2944" s="2">
        <v>46089</v>
      </c>
      <c r="B2944" s="1" t="s">
        <v>5530</v>
      </c>
      <c r="C2944" s="1" t="s">
        <v>5531</v>
      </c>
      <c r="D2944" t="b">
        <f ca="1">IF(A2944="","",[1]!s_techanal_rcnthigh(B2944,$B$2,1,3))</f>
        <v>0</v>
      </c>
      <c r="E2944">
        <f ca="1">IF(A2944="","",COUNTIF(D$6:D2944,"True"))</f>
        <v>27</v>
      </c>
      <c r="F2944" t="str">
        <f t="shared" si="45"/>
        <v>600076.SH</v>
      </c>
    </row>
    <row r="2945" spans="1:6" x14ac:dyDescent="0.15">
      <c r="A2945" s="2">
        <v>46089</v>
      </c>
      <c r="B2945" s="1" t="s">
        <v>5532</v>
      </c>
      <c r="C2945" s="1" t="s">
        <v>10384</v>
      </c>
      <c r="D2945" t="b">
        <f ca="1">IF(A2945="","",[1]!s_techanal_rcnthigh(B2945,$B$2,1,3))</f>
        <v>0</v>
      </c>
      <c r="E2945">
        <f ca="1">IF(A2945="","",COUNTIF(D$6:D2945,"True"))</f>
        <v>27</v>
      </c>
      <c r="F2945" t="str">
        <f t="shared" si="45"/>
        <v>600078.SH</v>
      </c>
    </row>
    <row r="2946" spans="1:6" x14ac:dyDescent="0.15">
      <c r="A2946" s="2">
        <v>46089</v>
      </c>
      <c r="B2946" s="1" t="s">
        <v>5533</v>
      </c>
      <c r="C2946" s="1" t="s">
        <v>10385</v>
      </c>
      <c r="D2946" t="b">
        <f ca="1">IF(A2946="","",[1]!s_techanal_rcnthigh(B2946,$B$2,1,3))</f>
        <v>0</v>
      </c>
      <c r="E2946">
        <f ca="1">IF(A2946="","",COUNTIF(D$6:D2946,"True"))</f>
        <v>27</v>
      </c>
      <c r="F2946" t="str">
        <f t="shared" si="45"/>
        <v>600079.SH</v>
      </c>
    </row>
    <row r="2947" spans="1:6" x14ac:dyDescent="0.15">
      <c r="A2947" s="2">
        <v>46089</v>
      </c>
      <c r="B2947" s="1" t="s">
        <v>5534</v>
      </c>
      <c r="C2947" s="1" t="s">
        <v>5535</v>
      </c>
      <c r="D2947" t="b">
        <f ca="1">IF(A2947="","",[1]!s_techanal_rcnthigh(B2947,$B$2,1,3))</f>
        <v>0</v>
      </c>
      <c r="E2947">
        <f ca="1">IF(A2947="","",COUNTIF(D$6:D2947,"True"))</f>
        <v>27</v>
      </c>
      <c r="F2947" t="str">
        <f t="shared" si="45"/>
        <v>600080.SH</v>
      </c>
    </row>
    <row r="2948" spans="1:6" x14ac:dyDescent="0.15">
      <c r="A2948" s="2">
        <v>46089</v>
      </c>
      <c r="B2948" s="1" t="s">
        <v>5536</v>
      </c>
      <c r="C2948" s="1" t="s">
        <v>5537</v>
      </c>
      <c r="D2948" t="b">
        <f ca="1">IF(A2948="","",[1]!s_techanal_rcnthigh(B2948,$B$2,1,3))</f>
        <v>0</v>
      </c>
      <c r="E2948">
        <f ca="1">IF(A2948="","",COUNTIF(D$6:D2948,"True"))</f>
        <v>27</v>
      </c>
      <c r="F2948" t="str">
        <f t="shared" si="45"/>
        <v>600081.SH</v>
      </c>
    </row>
    <row r="2949" spans="1:6" x14ac:dyDescent="0.15">
      <c r="A2949" s="2">
        <v>46089</v>
      </c>
      <c r="B2949" s="1" t="s">
        <v>5538</v>
      </c>
      <c r="C2949" s="1" t="s">
        <v>5539</v>
      </c>
      <c r="D2949" t="b">
        <f ca="1">IF(A2949="","",[1]!s_techanal_rcnthigh(B2949,$B$2,1,3))</f>
        <v>0</v>
      </c>
      <c r="E2949">
        <f ca="1">IF(A2949="","",COUNTIF(D$6:D2949,"True"))</f>
        <v>27</v>
      </c>
      <c r="F2949" t="str">
        <f t="shared" si="45"/>
        <v>600082.SH</v>
      </c>
    </row>
    <row r="2950" spans="1:6" x14ac:dyDescent="0.15">
      <c r="A2950" s="2">
        <v>46089</v>
      </c>
      <c r="B2950" s="1" t="s">
        <v>5540</v>
      </c>
      <c r="C2950" s="1" t="s">
        <v>5541</v>
      </c>
      <c r="D2950" t="b">
        <f ca="1">IF(A2950="","",[1]!s_techanal_rcnthigh(B2950,$B$2,1,3))</f>
        <v>0</v>
      </c>
      <c r="E2950">
        <f ca="1">IF(A2950="","",COUNTIF(D$6:D2950,"True"))</f>
        <v>27</v>
      </c>
      <c r="F2950" t="str">
        <f t="shared" ref="F2950:F3013" si="46">IF(B2950="","",B2950)</f>
        <v>600084.SH</v>
      </c>
    </row>
    <row r="2951" spans="1:6" x14ac:dyDescent="0.15">
      <c r="A2951" s="2">
        <v>46089</v>
      </c>
      <c r="B2951" s="1" t="s">
        <v>5542</v>
      </c>
      <c r="C2951" s="1" t="s">
        <v>5543</v>
      </c>
      <c r="D2951" t="b">
        <f ca="1">IF(A2951="","",[1]!s_techanal_rcnthigh(B2951,$B$2,1,3))</f>
        <v>0</v>
      </c>
      <c r="E2951">
        <f ca="1">IF(A2951="","",COUNTIF(D$6:D2951,"True"))</f>
        <v>27</v>
      </c>
      <c r="F2951" t="str">
        <f t="shared" si="46"/>
        <v>600085.SH</v>
      </c>
    </row>
    <row r="2952" spans="1:6" x14ac:dyDescent="0.15">
      <c r="A2952" s="2">
        <v>46089</v>
      </c>
      <c r="B2952" s="1" t="s">
        <v>5544</v>
      </c>
      <c r="C2952" s="1" t="s">
        <v>5545</v>
      </c>
      <c r="D2952" t="b">
        <f ca="1">IF(A2952="","",[1]!s_techanal_rcnthigh(B2952,$B$2,1,3))</f>
        <v>0</v>
      </c>
      <c r="E2952">
        <f ca="1">IF(A2952="","",COUNTIF(D$6:D2952,"True"))</f>
        <v>27</v>
      </c>
      <c r="F2952" t="str">
        <f t="shared" si="46"/>
        <v>600088.SH</v>
      </c>
    </row>
    <row r="2953" spans="1:6" x14ac:dyDescent="0.15">
      <c r="A2953" s="2">
        <v>46089</v>
      </c>
      <c r="B2953" s="1" t="s">
        <v>5546</v>
      </c>
      <c r="C2953" s="1" t="s">
        <v>5547</v>
      </c>
      <c r="D2953" t="b">
        <f ca="1">IF(A2953="","",[1]!s_techanal_rcnthigh(B2953,$B$2,1,3))</f>
        <v>1</v>
      </c>
      <c r="E2953">
        <f ca="1">IF(A2953="","",COUNTIF(D$6:D2953,"True"))</f>
        <v>28</v>
      </c>
      <c r="F2953" t="str">
        <f t="shared" si="46"/>
        <v>600089.SH</v>
      </c>
    </row>
    <row r="2954" spans="1:6" x14ac:dyDescent="0.15">
      <c r="A2954" s="2">
        <v>46089</v>
      </c>
      <c r="B2954" s="1" t="s">
        <v>5548</v>
      </c>
      <c r="C2954" s="1" t="s">
        <v>5549</v>
      </c>
      <c r="D2954" t="b">
        <f ca="1">IF(A2954="","",[1]!s_techanal_rcnthigh(B2954,$B$2,1,3))</f>
        <v>0</v>
      </c>
      <c r="E2954">
        <f ca="1">IF(A2954="","",COUNTIF(D$6:D2954,"True"))</f>
        <v>28</v>
      </c>
      <c r="F2954" t="str">
        <f t="shared" si="46"/>
        <v>600094.SH</v>
      </c>
    </row>
    <row r="2955" spans="1:6" x14ac:dyDescent="0.15">
      <c r="A2955" s="2">
        <v>46089</v>
      </c>
      <c r="B2955" s="1" t="s">
        <v>5550</v>
      </c>
      <c r="C2955" s="1" t="s">
        <v>5551</v>
      </c>
      <c r="D2955" t="b">
        <f ca="1">IF(A2955="","",[1]!s_techanal_rcnthigh(B2955,$B$2,1,3))</f>
        <v>0</v>
      </c>
      <c r="E2955">
        <f ca="1">IF(A2955="","",COUNTIF(D$6:D2955,"True"))</f>
        <v>28</v>
      </c>
      <c r="F2955" t="str">
        <f t="shared" si="46"/>
        <v>600095.SH</v>
      </c>
    </row>
    <row r="2956" spans="1:6" x14ac:dyDescent="0.15">
      <c r="A2956" s="2">
        <v>46089</v>
      </c>
      <c r="B2956" s="1" t="s">
        <v>5552</v>
      </c>
      <c r="C2956" s="1" t="s">
        <v>5553</v>
      </c>
      <c r="D2956" t="b">
        <f ca="1">IF(A2956="","",[1]!s_techanal_rcnthigh(B2956,$B$2,1,3))</f>
        <v>0</v>
      </c>
      <c r="E2956">
        <f ca="1">IF(A2956="","",COUNTIF(D$6:D2956,"True"))</f>
        <v>28</v>
      </c>
      <c r="F2956" t="str">
        <f t="shared" si="46"/>
        <v>600096.SH</v>
      </c>
    </row>
    <row r="2957" spans="1:6" x14ac:dyDescent="0.15">
      <c r="A2957" s="2">
        <v>46089</v>
      </c>
      <c r="B2957" s="1" t="s">
        <v>5554</v>
      </c>
      <c r="C2957" s="1" t="s">
        <v>5555</v>
      </c>
      <c r="D2957" t="b">
        <f ca="1">IF(A2957="","",[1]!s_techanal_rcnthigh(B2957,$B$2,1,3))</f>
        <v>0</v>
      </c>
      <c r="E2957">
        <f ca="1">IF(A2957="","",COUNTIF(D$6:D2957,"True"))</f>
        <v>28</v>
      </c>
      <c r="F2957" t="str">
        <f t="shared" si="46"/>
        <v>600097.SH</v>
      </c>
    </row>
    <row r="2958" spans="1:6" x14ac:dyDescent="0.15">
      <c r="A2958" s="2">
        <v>46089</v>
      </c>
      <c r="B2958" s="1" t="s">
        <v>5556</v>
      </c>
      <c r="C2958" s="1" t="s">
        <v>5557</v>
      </c>
      <c r="D2958" t="b">
        <f ca="1">IF(A2958="","",[1]!s_techanal_rcnthigh(B2958,$B$2,1,3))</f>
        <v>0</v>
      </c>
      <c r="E2958">
        <f ca="1">IF(A2958="","",COUNTIF(D$6:D2958,"True"))</f>
        <v>28</v>
      </c>
      <c r="F2958" t="str">
        <f t="shared" si="46"/>
        <v>600098.SH</v>
      </c>
    </row>
    <row r="2959" spans="1:6" x14ac:dyDescent="0.15">
      <c r="A2959" s="2">
        <v>46089</v>
      </c>
      <c r="B2959" s="1" t="s">
        <v>5558</v>
      </c>
      <c r="C2959" s="1" t="s">
        <v>5559</v>
      </c>
      <c r="D2959" t="b">
        <f ca="1">IF(A2959="","",[1]!s_techanal_rcnthigh(B2959,$B$2,1,3))</f>
        <v>0</v>
      </c>
      <c r="E2959">
        <f ca="1">IF(A2959="","",COUNTIF(D$6:D2959,"True"))</f>
        <v>28</v>
      </c>
      <c r="F2959" t="str">
        <f t="shared" si="46"/>
        <v>600099.SH</v>
      </c>
    </row>
    <row r="2960" spans="1:6" x14ac:dyDescent="0.15">
      <c r="A2960" s="2">
        <v>46089</v>
      </c>
      <c r="B2960" s="1" t="s">
        <v>5560</v>
      </c>
      <c r="C2960" s="1" t="s">
        <v>5561</v>
      </c>
      <c r="D2960" t="b">
        <f ca="1">IF(A2960="","",[1]!s_techanal_rcnthigh(B2960,$B$2,1,3))</f>
        <v>0</v>
      </c>
      <c r="E2960">
        <f ca="1">IF(A2960="","",COUNTIF(D$6:D2960,"True"))</f>
        <v>28</v>
      </c>
      <c r="F2960" t="str">
        <f t="shared" si="46"/>
        <v>600100.SH</v>
      </c>
    </row>
    <row r="2961" spans="1:6" x14ac:dyDescent="0.15">
      <c r="A2961" s="2">
        <v>46089</v>
      </c>
      <c r="B2961" s="1" t="s">
        <v>5562</v>
      </c>
      <c r="C2961" s="1" t="s">
        <v>5563</v>
      </c>
      <c r="D2961" t="b">
        <f ca="1">IF(A2961="","",[1]!s_techanal_rcnthigh(B2961,$B$2,1,3))</f>
        <v>0</v>
      </c>
      <c r="E2961">
        <f ca="1">IF(A2961="","",COUNTIF(D$6:D2961,"True"))</f>
        <v>28</v>
      </c>
      <c r="F2961" t="str">
        <f t="shared" si="46"/>
        <v>600101.SH</v>
      </c>
    </row>
    <row r="2962" spans="1:6" x14ac:dyDescent="0.15">
      <c r="A2962" s="2">
        <v>46089</v>
      </c>
      <c r="B2962" s="1" t="s">
        <v>5564</v>
      </c>
      <c r="C2962" s="1" t="s">
        <v>5565</v>
      </c>
      <c r="D2962" t="b">
        <f ca="1">IF(A2962="","",[1]!s_techanal_rcnthigh(B2962,$B$2,1,3))</f>
        <v>0</v>
      </c>
      <c r="E2962">
        <f ca="1">IF(A2962="","",COUNTIF(D$6:D2962,"True"))</f>
        <v>28</v>
      </c>
      <c r="F2962" t="str">
        <f t="shared" si="46"/>
        <v>600103.SH</v>
      </c>
    </row>
    <row r="2963" spans="1:6" x14ac:dyDescent="0.15">
      <c r="A2963" s="2">
        <v>46089</v>
      </c>
      <c r="B2963" s="1" t="s">
        <v>5566</v>
      </c>
      <c r="C2963" s="1" t="s">
        <v>5567</v>
      </c>
      <c r="D2963" t="b">
        <f ca="1">IF(A2963="","",[1]!s_techanal_rcnthigh(B2963,$B$2,1,3))</f>
        <v>0</v>
      </c>
      <c r="E2963">
        <f ca="1">IF(A2963="","",COUNTIF(D$6:D2963,"True"))</f>
        <v>28</v>
      </c>
      <c r="F2963" t="str">
        <f t="shared" si="46"/>
        <v>600104.SH</v>
      </c>
    </row>
    <row r="2964" spans="1:6" x14ac:dyDescent="0.15">
      <c r="A2964" s="2">
        <v>46089</v>
      </c>
      <c r="B2964" s="1" t="s">
        <v>5568</v>
      </c>
      <c r="C2964" s="1" t="s">
        <v>5569</v>
      </c>
      <c r="D2964" t="b">
        <f ca="1">IF(A2964="","",[1]!s_techanal_rcnthigh(B2964,$B$2,1,3))</f>
        <v>0</v>
      </c>
      <c r="E2964">
        <f ca="1">IF(A2964="","",COUNTIF(D$6:D2964,"True"))</f>
        <v>28</v>
      </c>
      <c r="F2964" t="str">
        <f t="shared" si="46"/>
        <v>600105.SH</v>
      </c>
    </row>
    <row r="2965" spans="1:6" x14ac:dyDescent="0.15">
      <c r="A2965" s="2">
        <v>46089</v>
      </c>
      <c r="B2965" s="1" t="s">
        <v>5570</v>
      </c>
      <c r="C2965" s="1" t="s">
        <v>5571</v>
      </c>
      <c r="D2965" t="b">
        <f ca="1">IF(A2965="","",[1]!s_techanal_rcnthigh(B2965,$B$2,1,3))</f>
        <v>0</v>
      </c>
      <c r="E2965">
        <f ca="1">IF(A2965="","",COUNTIF(D$6:D2965,"True"))</f>
        <v>28</v>
      </c>
      <c r="F2965" t="str">
        <f t="shared" si="46"/>
        <v>600106.SH</v>
      </c>
    </row>
    <row r="2966" spans="1:6" x14ac:dyDescent="0.15">
      <c r="A2966" s="2">
        <v>46089</v>
      </c>
      <c r="B2966" s="1" t="s">
        <v>5572</v>
      </c>
      <c r="C2966" s="1" t="s">
        <v>10386</v>
      </c>
      <c r="D2966" t="b">
        <f ca="1">IF(A2966="","",[1]!s_techanal_rcnthigh(B2966,$B$2,1,3))</f>
        <v>0</v>
      </c>
      <c r="E2966">
        <f ca="1">IF(A2966="","",COUNTIF(D$6:D2966,"True"))</f>
        <v>28</v>
      </c>
      <c r="F2966" t="str">
        <f t="shared" si="46"/>
        <v>600107.SH</v>
      </c>
    </row>
    <row r="2967" spans="1:6" x14ac:dyDescent="0.15">
      <c r="A2967" s="2">
        <v>46089</v>
      </c>
      <c r="B2967" s="1" t="s">
        <v>5573</v>
      </c>
      <c r="C2967" s="1" t="s">
        <v>5574</v>
      </c>
      <c r="D2967" t="b">
        <f ca="1">IF(A2967="","",[1]!s_techanal_rcnthigh(B2967,$B$2,1,3))</f>
        <v>0</v>
      </c>
      <c r="E2967">
        <f ca="1">IF(A2967="","",COUNTIF(D$6:D2967,"True"))</f>
        <v>28</v>
      </c>
      <c r="F2967" t="str">
        <f t="shared" si="46"/>
        <v>600108.SH</v>
      </c>
    </row>
    <row r="2968" spans="1:6" x14ac:dyDescent="0.15">
      <c r="A2968" s="2">
        <v>46089</v>
      </c>
      <c r="B2968" s="1" t="s">
        <v>5575</v>
      </c>
      <c r="C2968" s="1" t="s">
        <v>5576</v>
      </c>
      <c r="D2968" t="b">
        <f ca="1">IF(A2968="","",[1]!s_techanal_rcnthigh(B2968,$B$2,1,3))</f>
        <v>0</v>
      </c>
      <c r="E2968">
        <f ca="1">IF(A2968="","",COUNTIF(D$6:D2968,"True"))</f>
        <v>28</v>
      </c>
      <c r="F2968" t="str">
        <f t="shared" si="46"/>
        <v>600109.SH</v>
      </c>
    </row>
    <row r="2969" spans="1:6" x14ac:dyDescent="0.15">
      <c r="A2969" s="2">
        <v>46089</v>
      </c>
      <c r="B2969" s="1" t="s">
        <v>5577</v>
      </c>
      <c r="C2969" s="1" t="s">
        <v>5578</v>
      </c>
      <c r="D2969" t="b">
        <f ca="1">IF(A2969="","",[1]!s_techanal_rcnthigh(B2969,$B$2,1,3))</f>
        <v>0</v>
      </c>
      <c r="E2969">
        <f ca="1">IF(A2969="","",COUNTIF(D$6:D2969,"True"))</f>
        <v>28</v>
      </c>
      <c r="F2969" t="str">
        <f t="shared" si="46"/>
        <v>600110.SH</v>
      </c>
    </row>
    <row r="2970" spans="1:6" x14ac:dyDescent="0.15">
      <c r="A2970" s="2">
        <v>46089</v>
      </c>
      <c r="B2970" s="1" t="s">
        <v>5579</v>
      </c>
      <c r="C2970" s="1" t="s">
        <v>5580</v>
      </c>
      <c r="D2970" t="b">
        <f ca="1">IF(A2970="","",[1]!s_techanal_rcnthigh(B2970,$B$2,1,3))</f>
        <v>0</v>
      </c>
      <c r="E2970">
        <f ca="1">IF(A2970="","",COUNTIF(D$6:D2970,"True"))</f>
        <v>28</v>
      </c>
      <c r="F2970" t="str">
        <f t="shared" si="46"/>
        <v>600111.SH</v>
      </c>
    </row>
    <row r="2971" spans="1:6" x14ac:dyDescent="0.15">
      <c r="A2971" s="2">
        <v>46089</v>
      </c>
      <c r="B2971" s="1" t="s">
        <v>5581</v>
      </c>
      <c r="C2971" s="1" t="s">
        <v>5582</v>
      </c>
      <c r="D2971" t="b">
        <f ca="1">IF(A2971="","",[1]!s_techanal_rcnthigh(B2971,$B$2,1,3))</f>
        <v>0</v>
      </c>
      <c r="E2971">
        <f ca="1">IF(A2971="","",COUNTIF(D$6:D2971,"True"))</f>
        <v>28</v>
      </c>
      <c r="F2971" t="str">
        <f t="shared" si="46"/>
        <v>600113.SH</v>
      </c>
    </row>
    <row r="2972" spans="1:6" x14ac:dyDescent="0.15">
      <c r="A2972" s="2">
        <v>46089</v>
      </c>
      <c r="B2972" s="1" t="s">
        <v>5583</v>
      </c>
      <c r="C2972" s="1" t="s">
        <v>5584</v>
      </c>
      <c r="D2972" t="b">
        <f ca="1">IF(A2972="","",[1]!s_techanal_rcnthigh(B2972,$B$2,1,3))</f>
        <v>0</v>
      </c>
      <c r="E2972">
        <f ca="1">IF(A2972="","",COUNTIF(D$6:D2972,"True"))</f>
        <v>28</v>
      </c>
      <c r="F2972" t="str">
        <f t="shared" si="46"/>
        <v>600114.SH</v>
      </c>
    </row>
    <row r="2973" spans="1:6" x14ac:dyDescent="0.15">
      <c r="A2973" s="2">
        <v>46089</v>
      </c>
      <c r="B2973" s="1" t="s">
        <v>5585</v>
      </c>
      <c r="C2973" s="1" t="s">
        <v>5586</v>
      </c>
      <c r="D2973" t="b">
        <f ca="1">IF(A2973="","",[1]!s_techanal_rcnthigh(B2973,$B$2,1,3))</f>
        <v>0</v>
      </c>
      <c r="E2973">
        <f ca="1">IF(A2973="","",COUNTIF(D$6:D2973,"True"))</f>
        <v>28</v>
      </c>
      <c r="F2973" t="str">
        <f t="shared" si="46"/>
        <v>600115.SH</v>
      </c>
    </row>
    <row r="2974" spans="1:6" x14ac:dyDescent="0.15">
      <c r="A2974" s="2">
        <v>46089</v>
      </c>
      <c r="B2974" s="1" t="s">
        <v>5587</v>
      </c>
      <c r="C2974" s="1" t="s">
        <v>5588</v>
      </c>
      <c r="D2974" t="b">
        <f ca="1">IF(A2974="","",[1]!s_techanal_rcnthigh(B2974,$B$2,1,3))</f>
        <v>0</v>
      </c>
      <c r="E2974">
        <f ca="1">IF(A2974="","",COUNTIF(D$6:D2974,"True"))</f>
        <v>28</v>
      </c>
      <c r="F2974" t="str">
        <f t="shared" si="46"/>
        <v>600116.SH</v>
      </c>
    </row>
    <row r="2975" spans="1:6" x14ac:dyDescent="0.15">
      <c r="A2975" s="2">
        <v>46089</v>
      </c>
      <c r="B2975" s="1" t="s">
        <v>5589</v>
      </c>
      <c r="C2975" s="1" t="s">
        <v>10387</v>
      </c>
      <c r="D2975" t="b">
        <f ca="1">IF(A2975="","",[1]!s_techanal_rcnthigh(B2975,$B$2,1,3))</f>
        <v>0</v>
      </c>
      <c r="E2975">
        <f ca="1">IF(A2975="","",COUNTIF(D$6:D2975,"True"))</f>
        <v>28</v>
      </c>
      <c r="F2975" t="str">
        <f t="shared" si="46"/>
        <v>600117.SH</v>
      </c>
    </row>
    <row r="2976" spans="1:6" x14ac:dyDescent="0.15">
      <c r="A2976" s="2">
        <v>46089</v>
      </c>
      <c r="B2976" s="1" t="s">
        <v>5590</v>
      </c>
      <c r="C2976" s="1" t="s">
        <v>5591</v>
      </c>
      <c r="D2976" t="b">
        <f ca="1">IF(A2976="","",[1]!s_techanal_rcnthigh(B2976,$B$2,1,3))</f>
        <v>0</v>
      </c>
      <c r="E2976">
        <f ca="1">IF(A2976="","",COUNTIF(D$6:D2976,"True"))</f>
        <v>28</v>
      </c>
      <c r="F2976" t="str">
        <f t="shared" si="46"/>
        <v>600118.SH</v>
      </c>
    </row>
    <row r="2977" spans="1:6" x14ac:dyDescent="0.15">
      <c r="A2977" s="2">
        <v>46089</v>
      </c>
      <c r="B2977" s="1" t="s">
        <v>5592</v>
      </c>
      <c r="C2977" s="1" t="s">
        <v>5593</v>
      </c>
      <c r="D2977" t="b">
        <f ca="1">IF(A2977="","",[1]!s_techanal_rcnthigh(B2977,$B$2,1,3))</f>
        <v>0</v>
      </c>
      <c r="E2977">
        <f ca="1">IF(A2977="","",COUNTIF(D$6:D2977,"True"))</f>
        <v>28</v>
      </c>
      <c r="F2977" t="str">
        <f t="shared" si="46"/>
        <v>600119.SH</v>
      </c>
    </row>
    <row r="2978" spans="1:6" x14ac:dyDescent="0.15">
      <c r="A2978" s="2">
        <v>46089</v>
      </c>
      <c r="B2978" s="1" t="s">
        <v>5594</v>
      </c>
      <c r="C2978" s="1" t="s">
        <v>5595</v>
      </c>
      <c r="D2978" t="b">
        <f ca="1">IF(A2978="","",[1]!s_techanal_rcnthigh(B2978,$B$2,1,3))</f>
        <v>0</v>
      </c>
      <c r="E2978">
        <f ca="1">IF(A2978="","",COUNTIF(D$6:D2978,"True"))</f>
        <v>28</v>
      </c>
      <c r="F2978" t="str">
        <f t="shared" si="46"/>
        <v>600120.SH</v>
      </c>
    </row>
    <row r="2979" spans="1:6" x14ac:dyDescent="0.15">
      <c r="A2979" s="2">
        <v>46089</v>
      </c>
      <c r="B2979" s="1" t="s">
        <v>5596</v>
      </c>
      <c r="C2979" s="1" t="s">
        <v>5597</v>
      </c>
      <c r="D2979" t="b">
        <f ca="1">IF(A2979="","",[1]!s_techanal_rcnthigh(B2979,$B$2,1,3))</f>
        <v>0</v>
      </c>
      <c r="E2979">
        <f ca="1">IF(A2979="","",COUNTIF(D$6:D2979,"True"))</f>
        <v>28</v>
      </c>
      <c r="F2979" t="str">
        <f t="shared" si="46"/>
        <v>600121.SH</v>
      </c>
    </row>
    <row r="2980" spans="1:6" x14ac:dyDescent="0.15">
      <c r="A2980" s="2">
        <v>46089</v>
      </c>
      <c r="B2980" s="1" t="s">
        <v>5598</v>
      </c>
      <c r="C2980" s="1" t="s">
        <v>5599</v>
      </c>
      <c r="D2980" t="b">
        <f ca="1">IF(A2980="","",[1]!s_techanal_rcnthigh(B2980,$B$2,1,3))</f>
        <v>0</v>
      </c>
      <c r="E2980">
        <f ca="1">IF(A2980="","",COUNTIF(D$6:D2980,"True"))</f>
        <v>28</v>
      </c>
      <c r="F2980" t="str">
        <f t="shared" si="46"/>
        <v>600123.SH</v>
      </c>
    </row>
    <row r="2981" spans="1:6" x14ac:dyDescent="0.15">
      <c r="A2981" s="2">
        <v>46089</v>
      </c>
      <c r="B2981" s="1" t="s">
        <v>5600</v>
      </c>
      <c r="C2981" s="1" t="s">
        <v>5601</v>
      </c>
      <c r="D2981" t="b">
        <f ca="1">IF(A2981="","",[1]!s_techanal_rcnthigh(B2981,$B$2,1,3))</f>
        <v>0</v>
      </c>
      <c r="E2981">
        <f ca="1">IF(A2981="","",COUNTIF(D$6:D2981,"True"))</f>
        <v>28</v>
      </c>
      <c r="F2981" t="str">
        <f t="shared" si="46"/>
        <v>600125.SH</v>
      </c>
    </row>
    <row r="2982" spans="1:6" x14ac:dyDescent="0.15">
      <c r="A2982" s="2">
        <v>46089</v>
      </c>
      <c r="B2982" s="1" t="s">
        <v>5602</v>
      </c>
      <c r="C2982" s="1" t="s">
        <v>5603</v>
      </c>
      <c r="D2982" t="b">
        <f ca="1">IF(A2982="","",[1]!s_techanal_rcnthigh(B2982,$B$2,1,3))</f>
        <v>0</v>
      </c>
      <c r="E2982">
        <f ca="1">IF(A2982="","",COUNTIF(D$6:D2982,"True"))</f>
        <v>28</v>
      </c>
      <c r="F2982" t="str">
        <f t="shared" si="46"/>
        <v>600126.SH</v>
      </c>
    </row>
    <row r="2983" spans="1:6" x14ac:dyDescent="0.15">
      <c r="A2983" s="2">
        <v>46089</v>
      </c>
      <c r="B2983" s="1" t="s">
        <v>5604</v>
      </c>
      <c r="C2983" s="1" t="s">
        <v>5605</v>
      </c>
      <c r="D2983" t="b">
        <f ca="1">IF(A2983="","",[1]!s_techanal_rcnthigh(B2983,$B$2,1,3))</f>
        <v>0</v>
      </c>
      <c r="E2983">
        <f ca="1">IF(A2983="","",COUNTIF(D$6:D2983,"True"))</f>
        <v>28</v>
      </c>
      <c r="F2983" t="str">
        <f t="shared" si="46"/>
        <v>600127.SH</v>
      </c>
    </row>
    <row r="2984" spans="1:6" x14ac:dyDescent="0.15">
      <c r="A2984" s="2">
        <v>46089</v>
      </c>
      <c r="B2984" s="1" t="s">
        <v>5606</v>
      </c>
      <c r="C2984" s="1" t="s">
        <v>5607</v>
      </c>
      <c r="D2984" t="b">
        <f ca="1">IF(A2984="","",[1]!s_techanal_rcnthigh(B2984,$B$2,1,3))</f>
        <v>0</v>
      </c>
      <c r="E2984">
        <f ca="1">IF(A2984="","",COUNTIF(D$6:D2984,"True"))</f>
        <v>28</v>
      </c>
      <c r="F2984" t="str">
        <f t="shared" si="46"/>
        <v>600128.SH</v>
      </c>
    </row>
    <row r="2985" spans="1:6" x14ac:dyDescent="0.15">
      <c r="A2985" s="2">
        <v>46089</v>
      </c>
      <c r="B2985" s="1" t="s">
        <v>5608</v>
      </c>
      <c r="C2985" s="1" t="s">
        <v>5609</v>
      </c>
      <c r="D2985" t="b">
        <f ca="1">IF(A2985="","",[1]!s_techanal_rcnthigh(B2985,$B$2,1,3))</f>
        <v>0</v>
      </c>
      <c r="E2985">
        <f ca="1">IF(A2985="","",COUNTIF(D$6:D2985,"True"))</f>
        <v>28</v>
      </c>
      <c r="F2985" t="str">
        <f t="shared" si="46"/>
        <v>600129.SH</v>
      </c>
    </row>
    <row r="2986" spans="1:6" x14ac:dyDescent="0.15">
      <c r="A2986" s="2">
        <v>46089</v>
      </c>
      <c r="B2986" s="1" t="s">
        <v>5610</v>
      </c>
      <c r="C2986" s="1" t="s">
        <v>10388</v>
      </c>
      <c r="D2986" t="b">
        <f ca="1">IF(A2986="","",[1]!s_techanal_rcnthigh(B2986,$B$2,1,3))</f>
        <v>0</v>
      </c>
      <c r="E2986">
        <f ca="1">IF(A2986="","",COUNTIF(D$6:D2986,"True"))</f>
        <v>28</v>
      </c>
      <c r="F2986" t="str">
        <f t="shared" si="46"/>
        <v>600130.SH</v>
      </c>
    </row>
    <row r="2987" spans="1:6" x14ac:dyDescent="0.15">
      <c r="A2987" s="2">
        <v>46089</v>
      </c>
      <c r="B2987" s="1" t="s">
        <v>5611</v>
      </c>
      <c r="C2987" s="1" t="s">
        <v>5612</v>
      </c>
      <c r="D2987" t="b">
        <f ca="1">IF(A2987="","",[1]!s_techanal_rcnthigh(B2987,$B$2,1,3))</f>
        <v>0</v>
      </c>
      <c r="E2987">
        <f ca="1">IF(A2987="","",COUNTIF(D$6:D2987,"True"))</f>
        <v>28</v>
      </c>
      <c r="F2987" t="str">
        <f t="shared" si="46"/>
        <v>600131.SH</v>
      </c>
    </row>
    <row r="2988" spans="1:6" x14ac:dyDescent="0.15">
      <c r="A2988" s="2">
        <v>46089</v>
      </c>
      <c r="B2988" s="1" t="s">
        <v>5613</v>
      </c>
      <c r="C2988" s="1" t="s">
        <v>5614</v>
      </c>
      <c r="D2988" t="b">
        <f ca="1">IF(A2988="","",[1]!s_techanal_rcnthigh(B2988,$B$2,1,3))</f>
        <v>0</v>
      </c>
      <c r="E2988">
        <f ca="1">IF(A2988="","",COUNTIF(D$6:D2988,"True"))</f>
        <v>28</v>
      </c>
      <c r="F2988" t="str">
        <f t="shared" si="46"/>
        <v>600132.SH</v>
      </c>
    </row>
    <row r="2989" spans="1:6" x14ac:dyDescent="0.15">
      <c r="A2989" s="2">
        <v>46089</v>
      </c>
      <c r="B2989" s="1" t="s">
        <v>5615</v>
      </c>
      <c r="C2989" s="1" t="s">
        <v>5616</v>
      </c>
      <c r="D2989" t="b">
        <f ca="1">IF(A2989="","",[1]!s_techanal_rcnthigh(B2989,$B$2,1,3))</f>
        <v>0</v>
      </c>
      <c r="E2989">
        <f ca="1">IF(A2989="","",COUNTIF(D$6:D2989,"True"))</f>
        <v>28</v>
      </c>
      <c r="F2989" t="str">
        <f t="shared" si="46"/>
        <v>600133.SH</v>
      </c>
    </row>
    <row r="2990" spans="1:6" x14ac:dyDescent="0.15">
      <c r="A2990" s="2">
        <v>46089</v>
      </c>
      <c r="B2990" s="1" t="s">
        <v>5617</v>
      </c>
      <c r="C2990" s="1" t="s">
        <v>5618</v>
      </c>
      <c r="D2990" t="b">
        <f ca="1">IF(A2990="","",[1]!s_techanal_rcnthigh(B2990,$B$2,1,3))</f>
        <v>0</v>
      </c>
      <c r="E2990">
        <f ca="1">IF(A2990="","",COUNTIF(D$6:D2990,"True"))</f>
        <v>28</v>
      </c>
      <c r="F2990" t="str">
        <f t="shared" si="46"/>
        <v>600135.SH</v>
      </c>
    </row>
    <row r="2991" spans="1:6" x14ac:dyDescent="0.15">
      <c r="A2991" s="2">
        <v>46089</v>
      </c>
      <c r="B2991" s="1" t="s">
        <v>5619</v>
      </c>
      <c r="C2991" s="1" t="s">
        <v>10389</v>
      </c>
      <c r="D2991" t="b">
        <f ca="1">IF(A2991="","",[1]!s_techanal_rcnthigh(B2991,$B$2,1,3))</f>
        <v>0</v>
      </c>
      <c r="E2991">
        <f ca="1">IF(A2991="","",COUNTIF(D$6:D2991,"True"))</f>
        <v>28</v>
      </c>
      <c r="F2991" t="str">
        <f t="shared" si="46"/>
        <v>600136.SH</v>
      </c>
    </row>
    <row r="2992" spans="1:6" x14ac:dyDescent="0.15">
      <c r="A2992" s="2">
        <v>46089</v>
      </c>
      <c r="B2992" s="1" t="s">
        <v>5620</v>
      </c>
      <c r="C2992" s="1" t="s">
        <v>5621</v>
      </c>
      <c r="D2992" t="b">
        <f ca="1">IF(A2992="","",[1]!s_techanal_rcnthigh(B2992,$B$2,1,3))</f>
        <v>0</v>
      </c>
      <c r="E2992">
        <f ca="1">IF(A2992="","",COUNTIF(D$6:D2992,"True"))</f>
        <v>28</v>
      </c>
      <c r="F2992" t="str">
        <f t="shared" si="46"/>
        <v>600137.SH</v>
      </c>
    </row>
    <row r="2993" spans="1:6" x14ac:dyDescent="0.15">
      <c r="A2993" s="2">
        <v>46089</v>
      </c>
      <c r="B2993" s="1" t="s">
        <v>5622</v>
      </c>
      <c r="C2993" s="1" t="s">
        <v>5623</v>
      </c>
      <c r="D2993" t="b">
        <f ca="1">IF(A2993="","",[1]!s_techanal_rcnthigh(B2993,$B$2,1,3))</f>
        <v>0</v>
      </c>
      <c r="E2993">
        <f ca="1">IF(A2993="","",COUNTIF(D$6:D2993,"True"))</f>
        <v>28</v>
      </c>
      <c r="F2993" t="str">
        <f t="shared" si="46"/>
        <v>600138.SH</v>
      </c>
    </row>
    <row r="2994" spans="1:6" x14ac:dyDescent="0.15">
      <c r="A2994" s="2">
        <v>46089</v>
      </c>
      <c r="B2994" s="1" t="s">
        <v>5624</v>
      </c>
      <c r="C2994" s="1" t="s">
        <v>5625</v>
      </c>
      <c r="D2994" t="b">
        <f ca="1">IF(A2994="","",[1]!s_techanal_rcnthigh(B2994,$B$2,1,3))</f>
        <v>0</v>
      </c>
      <c r="E2994">
        <f ca="1">IF(A2994="","",COUNTIF(D$6:D2994,"True"))</f>
        <v>28</v>
      </c>
      <c r="F2994" t="str">
        <f t="shared" si="46"/>
        <v>600141.SH</v>
      </c>
    </row>
    <row r="2995" spans="1:6" x14ac:dyDescent="0.15">
      <c r="A2995" s="2">
        <v>46089</v>
      </c>
      <c r="B2995" s="1" t="s">
        <v>5626</v>
      </c>
      <c r="C2995" s="1" t="s">
        <v>5627</v>
      </c>
      <c r="D2995" t="b">
        <f ca="1">IF(A2995="","",[1]!s_techanal_rcnthigh(B2995,$B$2,1,3))</f>
        <v>0</v>
      </c>
      <c r="E2995">
        <f ca="1">IF(A2995="","",COUNTIF(D$6:D2995,"True"))</f>
        <v>28</v>
      </c>
      <c r="F2995" t="str">
        <f t="shared" si="46"/>
        <v>600143.SH</v>
      </c>
    </row>
    <row r="2996" spans="1:6" x14ac:dyDescent="0.15">
      <c r="A2996" s="2">
        <v>46089</v>
      </c>
      <c r="B2996" s="1" t="s">
        <v>5628</v>
      </c>
      <c r="C2996" s="1" t="s">
        <v>5629</v>
      </c>
      <c r="D2996" t="b">
        <f ca="1">IF(A2996="","",[1]!s_techanal_rcnthigh(B2996,$B$2,1,3))</f>
        <v>0</v>
      </c>
      <c r="E2996">
        <f ca="1">IF(A2996="","",COUNTIF(D$6:D2996,"True"))</f>
        <v>28</v>
      </c>
      <c r="F2996" t="str">
        <f t="shared" si="46"/>
        <v>600148.SH</v>
      </c>
    </row>
    <row r="2997" spans="1:6" x14ac:dyDescent="0.15">
      <c r="A2997" s="2">
        <v>46089</v>
      </c>
      <c r="B2997" s="1" t="s">
        <v>5630</v>
      </c>
      <c r="C2997" s="1" t="s">
        <v>5631</v>
      </c>
      <c r="D2997" t="b">
        <f ca="1">IF(A2997="","",[1]!s_techanal_rcnthigh(B2997,$B$2,1,3))</f>
        <v>0</v>
      </c>
      <c r="E2997">
        <f ca="1">IF(A2997="","",COUNTIF(D$6:D2997,"True"))</f>
        <v>28</v>
      </c>
      <c r="F2997" t="str">
        <f t="shared" si="46"/>
        <v>600149.SH</v>
      </c>
    </row>
    <row r="2998" spans="1:6" x14ac:dyDescent="0.15">
      <c r="A2998" s="2">
        <v>46089</v>
      </c>
      <c r="B2998" s="1" t="s">
        <v>5632</v>
      </c>
      <c r="C2998" s="1" t="s">
        <v>5633</v>
      </c>
      <c r="D2998" t="b">
        <f ca="1">IF(A2998="","",[1]!s_techanal_rcnthigh(B2998,$B$2,1,3))</f>
        <v>0</v>
      </c>
      <c r="E2998">
        <f ca="1">IF(A2998="","",COUNTIF(D$6:D2998,"True"))</f>
        <v>28</v>
      </c>
      <c r="F2998" t="str">
        <f t="shared" si="46"/>
        <v>600150.SH</v>
      </c>
    </row>
    <row r="2999" spans="1:6" x14ac:dyDescent="0.15">
      <c r="A2999" s="2">
        <v>46089</v>
      </c>
      <c r="B2999" s="1" t="s">
        <v>5634</v>
      </c>
      <c r="C2999" s="1" t="s">
        <v>5635</v>
      </c>
      <c r="D2999" t="b">
        <f ca="1">IF(A2999="","",[1]!s_techanal_rcnthigh(B2999,$B$2,1,3))</f>
        <v>0</v>
      </c>
      <c r="E2999">
        <f ca="1">IF(A2999="","",COUNTIF(D$6:D2999,"True"))</f>
        <v>28</v>
      </c>
      <c r="F2999" t="str">
        <f t="shared" si="46"/>
        <v>600151.SH</v>
      </c>
    </row>
    <row r="3000" spans="1:6" x14ac:dyDescent="0.15">
      <c r="A3000" s="2">
        <v>46089</v>
      </c>
      <c r="B3000" s="1" t="s">
        <v>5636</v>
      </c>
      <c r="C3000" s="1" t="s">
        <v>5637</v>
      </c>
      <c r="D3000" t="b">
        <f ca="1">IF(A3000="","",[1]!s_techanal_rcnthigh(B3000,$B$2,1,3))</f>
        <v>0</v>
      </c>
      <c r="E3000">
        <f ca="1">IF(A3000="","",COUNTIF(D$6:D3000,"True"))</f>
        <v>28</v>
      </c>
      <c r="F3000" t="str">
        <f t="shared" si="46"/>
        <v>600152.SH</v>
      </c>
    </row>
    <row r="3001" spans="1:6" x14ac:dyDescent="0.15">
      <c r="A3001" s="2">
        <v>46089</v>
      </c>
      <c r="B3001" s="1" t="s">
        <v>5638</v>
      </c>
      <c r="C3001" s="1" t="s">
        <v>5639</v>
      </c>
      <c r="D3001" t="b">
        <f ca="1">IF(A3001="","",[1]!s_techanal_rcnthigh(B3001,$B$2,1,3))</f>
        <v>0</v>
      </c>
      <c r="E3001">
        <f ca="1">IF(A3001="","",COUNTIF(D$6:D3001,"True"))</f>
        <v>28</v>
      </c>
      <c r="F3001" t="str">
        <f t="shared" si="46"/>
        <v>600153.SH</v>
      </c>
    </row>
    <row r="3002" spans="1:6" x14ac:dyDescent="0.15">
      <c r="A3002" s="2">
        <v>46089</v>
      </c>
      <c r="B3002" s="1" t="s">
        <v>5640</v>
      </c>
      <c r="C3002" s="1" t="s">
        <v>5641</v>
      </c>
      <c r="D3002" t="b">
        <f ca="1">IF(A3002="","",[1]!s_techanal_rcnthigh(B3002,$B$2,1,3))</f>
        <v>0</v>
      </c>
      <c r="E3002">
        <f ca="1">IF(A3002="","",COUNTIF(D$6:D3002,"True"))</f>
        <v>28</v>
      </c>
      <c r="F3002" t="str">
        <f t="shared" si="46"/>
        <v>600155.SH</v>
      </c>
    </row>
    <row r="3003" spans="1:6" x14ac:dyDescent="0.15">
      <c r="A3003" s="2">
        <v>46089</v>
      </c>
      <c r="B3003" s="1" t="s">
        <v>5642</v>
      </c>
      <c r="C3003" s="1" t="s">
        <v>5643</v>
      </c>
      <c r="D3003" t="b">
        <f ca="1">IF(A3003="","",[1]!s_techanal_rcnthigh(B3003,$B$2,1,3))</f>
        <v>0</v>
      </c>
      <c r="E3003">
        <f ca="1">IF(A3003="","",COUNTIF(D$6:D3003,"True"))</f>
        <v>28</v>
      </c>
      <c r="F3003" t="str">
        <f t="shared" si="46"/>
        <v>600156.SH</v>
      </c>
    </row>
    <row r="3004" spans="1:6" x14ac:dyDescent="0.15">
      <c r="A3004" s="2">
        <v>46089</v>
      </c>
      <c r="B3004" s="1" t="s">
        <v>5644</v>
      </c>
      <c r="C3004" s="1" t="s">
        <v>5645</v>
      </c>
      <c r="D3004" t="b">
        <f ca="1">IF(A3004="","",[1]!s_techanal_rcnthigh(B3004,$B$2,1,3))</f>
        <v>0</v>
      </c>
      <c r="E3004">
        <f ca="1">IF(A3004="","",COUNTIF(D$6:D3004,"True"))</f>
        <v>28</v>
      </c>
      <c r="F3004" t="str">
        <f t="shared" si="46"/>
        <v>600157.SH</v>
      </c>
    </row>
    <row r="3005" spans="1:6" x14ac:dyDescent="0.15">
      <c r="A3005" s="2">
        <v>46089</v>
      </c>
      <c r="B3005" s="1" t="s">
        <v>5646</v>
      </c>
      <c r="C3005" s="1" t="s">
        <v>5647</v>
      </c>
      <c r="D3005" t="b">
        <f ca="1">IF(A3005="","",[1]!s_techanal_rcnthigh(B3005,$B$2,1,3))</f>
        <v>0</v>
      </c>
      <c r="E3005">
        <f ca="1">IF(A3005="","",COUNTIF(D$6:D3005,"True"))</f>
        <v>28</v>
      </c>
      <c r="F3005" t="str">
        <f t="shared" si="46"/>
        <v>600158.SH</v>
      </c>
    </row>
    <row r="3006" spans="1:6" x14ac:dyDescent="0.15">
      <c r="A3006" s="2">
        <v>46089</v>
      </c>
      <c r="B3006" s="1" t="s">
        <v>5648</v>
      </c>
      <c r="C3006" s="1" t="s">
        <v>5649</v>
      </c>
      <c r="D3006" t="b">
        <f ca="1">IF(A3006="","",[1]!s_techanal_rcnthigh(B3006,$B$2,1,3))</f>
        <v>0</v>
      </c>
      <c r="E3006">
        <f ca="1">IF(A3006="","",COUNTIF(D$6:D3006,"True"))</f>
        <v>28</v>
      </c>
      <c r="F3006" t="str">
        <f t="shared" si="46"/>
        <v>600159.SH</v>
      </c>
    </row>
    <row r="3007" spans="1:6" x14ac:dyDescent="0.15">
      <c r="A3007" s="2">
        <v>46089</v>
      </c>
      <c r="B3007" s="1" t="s">
        <v>5650</v>
      </c>
      <c r="C3007" s="1" t="s">
        <v>5651</v>
      </c>
      <c r="D3007" t="b">
        <f ca="1">IF(A3007="","",[1]!s_techanal_rcnthigh(B3007,$B$2,1,3))</f>
        <v>0</v>
      </c>
      <c r="E3007">
        <f ca="1">IF(A3007="","",COUNTIF(D$6:D3007,"True"))</f>
        <v>28</v>
      </c>
      <c r="F3007" t="str">
        <f t="shared" si="46"/>
        <v>600160.SH</v>
      </c>
    </row>
    <row r="3008" spans="1:6" x14ac:dyDescent="0.15">
      <c r="A3008" s="2">
        <v>46089</v>
      </c>
      <c r="B3008" s="1" t="s">
        <v>5652</v>
      </c>
      <c r="C3008" s="1" t="s">
        <v>5653</v>
      </c>
      <c r="D3008" t="b">
        <f ca="1">IF(A3008="","",[1]!s_techanal_rcnthigh(B3008,$B$2,1,3))</f>
        <v>0</v>
      </c>
      <c r="E3008">
        <f ca="1">IF(A3008="","",COUNTIF(D$6:D3008,"True"))</f>
        <v>28</v>
      </c>
      <c r="F3008" t="str">
        <f t="shared" si="46"/>
        <v>600161.SH</v>
      </c>
    </row>
    <row r="3009" spans="1:6" x14ac:dyDescent="0.15">
      <c r="A3009" s="2">
        <v>46089</v>
      </c>
      <c r="B3009" s="1" t="s">
        <v>5654</v>
      </c>
      <c r="C3009" s="1" t="s">
        <v>5655</v>
      </c>
      <c r="D3009" t="b">
        <f ca="1">IF(A3009="","",[1]!s_techanal_rcnthigh(B3009,$B$2,1,3))</f>
        <v>0</v>
      </c>
      <c r="E3009">
        <f ca="1">IF(A3009="","",COUNTIF(D$6:D3009,"True"))</f>
        <v>28</v>
      </c>
      <c r="F3009" t="str">
        <f t="shared" si="46"/>
        <v>600162.SH</v>
      </c>
    </row>
    <row r="3010" spans="1:6" x14ac:dyDescent="0.15">
      <c r="A3010" s="2">
        <v>46089</v>
      </c>
      <c r="B3010" s="1" t="s">
        <v>5656</v>
      </c>
      <c r="C3010" s="1" t="s">
        <v>5657</v>
      </c>
      <c r="D3010" t="b">
        <f ca="1">IF(A3010="","",[1]!s_techanal_rcnthigh(B3010,$B$2,1,3))</f>
        <v>0</v>
      </c>
      <c r="E3010">
        <f ca="1">IF(A3010="","",COUNTIF(D$6:D3010,"True"))</f>
        <v>28</v>
      </c>
      <c r="F3010" t="str">
        <f t="shared" si="46"/>
        <v>600163.SH</v>
      </c>
    </row>
    <row r="3011" spans="1:6" x14ac:dyDescent="0.15">
      <c r="A3011" s="2">
        <v>46089</v>
      </c>
      <c r="B3011" s="1" t="s">
        <v>5658</v>
      </c>
      <c r="C3011" s="1" t="s">
        <v>10390</v>
      </c>
      <c r="D3011" t="b">
        <f ca="1">IF(A3011="","",[1]!s_techanal_rcnthigh(B3011,$B$2,1,3))</f>
        <v>0</v>
      </c>
      <c r="E3011">
        <f ca="1">IF(A3011="","",COUNTIF(D$6:D3011,"True"))</f>
        <v>28</v>
      </c>
      <c r="F3011" t="str">
        <f t="shared" si="46"/>
        <v>600165.SH</v>
      </c>
    </row>
    <row r="3012" spans="1:6" x14ac:dyDescent="0.15">
      <c r="A3012" s="2">
        <v>46089</v>
      </c>
      <c r="B3012" s="1" t="s">
        <v>5659</v>
      </c>
      <c r="C3012" s="1" t="s">
        <v>5660</v>
      </c>
      <c r="D3012" t="b">
        <f ca="1">IF(A3012="","",[1]!s_techanal_rcnthigh(B3012,$B$2,1,3))</f>
        <v>0</v>
      </c>
      <c r="E3012">
        <f ca="1">IF(A3012="","",COUNTIF(D$6:D3012,"True"))</f>
        <v>28</v>
      </c>
      <c r="F3012" t="str">
        <f t="shared" si="46"/>
        <v>600166.SH</v>
      </c>
    </row>
    <row r="3013" spans="1:6" x14ac:dyDescent="0.15">
      <c r="A3013" s="2">
        <v>46089</v>
      </c>
      <c r="B3013" s="1" t="s">
        <v>5661</v>
      </c>
      <c r="C3013" s="1" t="s">
        <v>5662</v>
      </c>
      <c r="D3013" t="b">
        <f ca="1">IF(A3013="","",[1]!s_techanal_rcnthigh(B3013,$B$2,1,3))</f>
        <v>0</v>
      </c>
      <c r="E3013">
        <f ca="1">IF(A3013="","",COUNTIF(D$6:D3013,"True"))</f>
        <v>28</v>
      </c>
      <c r="F3013" t="str">
        <f t="shared" si="46"/>
        <v>600167.SH</v>
      </c>
    </row>
    <row r="3014" spans="1:6" x14ac:dyDescent="0.15">
      <c r="A3014" s="2">
        <v>46089</v>
      </c>
      <c r="B3014" s="1" t="s">
        <v>5663</v>
      </c>
      <c r="C3014" s="1" t="s">
        <v>5664</v>
      </c>
      <c r="D3014" t="b">
        <f ca="1">IF(A3014="","",[1]!s_techanal_rcnthigh(B3014,$B$2,1,3))</f>
        <v>0</v>
      </c>
      <c r="E3014">
        <f ca="1">IF(A3014="","",COUNTIF(D$6:D3014,"True"))</f>
        <v>28</v>
      </c>
      <c r="F3014" t="str">
        <f t="shared" ref="F3014:F3077" si="47">IF(B3014="","",B3014)</f>
        <v>600168.SH</v>
      </c>
    </row>
    <row r="3015" spans="1:6" x14ac:dyDescent="0.15">
      <c r="A3015" s="2">
        <v>46089</v>
      </c>
      <c r="B3015" s="1" t="s">
        <v>5665</v>
      </c>
      <c r="C3015" s="1" t="s">
        <v>10391</v>
      </c>
      <c r="D3015" t="b">
        <f ca="1">IF(A3015="","",[1]!s_techanal_rcnthigh(B3015,$B$2,1,3))</f>
        <v>0</v>
      </c>
      <c r="E3015">
        <f ca="1">IF(A3015="","",COUNTIF(D$6:D3015,"True"))</f>
        <v>28</v>
      </c>
      <c r="F3015" t="str">
        <f t="shared" si="47"/>
        <v>600169.SH</v>
      </c>
    </row>
    <row r="3016" spans="1:6" x14ac:dyDescent="0.15">
      <c r="A3016" s="2">
        <v>46089</v>
      </c>
      <c r="B3016" s="1" t="s">
        <v>5666</v>
      </c>
      <c r="C3016" s="1" t="s">
        <v>5667</v>
      </c>
      <c r="D3016" t="b">
        <f ca="1">IF(A3016="","",[1]!s_techanal_rcnthigh(B3016,$B$2,1,3))</f>
        <v>0</v>
      </c>
      <c r="E3016">
        <f ca="1">IF(A3016="","",COUNTIF(D$6:D3016,"True"))</f>
        <v>28</v>
      </c>
      <c r="F3016" t="str">
        <f t="shared" si="47"/>
        <v>600170.SH</v>
      </c>
    </row>
    <row r="3017" spans="1:6" x14ac:dyDescent="0.15">
      <c r="A3017" s="2">
        <v>46089</v>
      </c>
      <c r="B3017" s="1" t="s">
        <v>5668</v>
      </c>
      <c r="C3017" s="1" t="s">
        <v>5669</v>
      </c>
      <c r="D3017" t="b">
        <f ca="1">IF(A3017="","",[1]!s_techanal_rcnthigh(B3017,$B$2,1,3))</f>
        <v>0</v>
      </c>
      <c r="E3017">
        <f ca="1">IF(A3017="","",COUNTIF(D$6:D3017,"True"))</f>
        <v>28</v>
      </c>
      <c r="F3017" t="str">
        <f t="shared" si="47"/>
        <v>600171.SH</v>
      </c>
    </row>
    <row r="3018" spans="1:6" x14ac:dyDescent="0.15">
      <c r="A3018" s="2">
        <v>46089</v>
      </c>
      <c r="B3018" s="1" t="s">
        <v>5670</v>
      </c>
      <c r="C3018" s="1" t="s">
        <v>5671</v>
      </c>
      <c r="D3018" t="b">
        <f ca="1">IF(A3018="","",[1]!s_techanal_rcnthigh(B3018,$B$2,1,3))</f>
        <v>0</v>
      </c>
      <c r="E3018">
        <f ca="1">IF(A3018="","",COUNTIF(D$6:D3018,"True"))</f>
        <v>28</v>
      </c>
      <c r="F3018" t="str">
        <f t="shared" si="47"/>
        <v>600172.SH</v>
      </c>
    </row>
    <row r="3019" spans="1:6" x14ac:dyDescent="0.15">
      <c r="A3019" s="2">
        <v>46089</v>
      </c>
      <c r="B3019" s="1" t="s">
        <v>5672</v>
      </c>
      <c r="C3019" s="1" t="s">
        <v>10392</v>
      </c>
      <c r="D3019" t="b">
        <f ca="1">IF(A3019="","",[1]!s_techanal_rcnthigh(B3019,$B$2,1,3))</f>
        <v>0</v>
      </c>
      <c r="E3019">
        <f ca="1">IF(A3019="","",COUNTIF(D$6:D3019,"True"))</f>
        <v>28</v>
      </c>
      <c r="F3019" t="str">
        <f t="shared" si="47"/>
        <v>600173.SH</v>
      </c>
    </row>
    <row r="3020" spans="1:6" x14ac:dyDescent="0.15">
      <c r="A3020" s="2">
        <v>46089</v>
      </c>
      <c r="B3020" s="1" t="s">
        <v>5673</v>
      </c>
      <c r="C3020" s="1" t="s">
        <v>5674</v>
      </c>
      <c r="D3020" t="b">
        <f ca="1">IF(A3020="","",[1]!s_techanal_rcnthigh(B3020,$B$2,1,3))</f>
        <v>0</v>
      </c>
      <c r="E3020">
        <f ca="1">IF(A3020="","",COUNTIF(D$6:D3020,"True"))</f>
        <v>28</v>
      </c>
      <c r="F3020" t="str">
        <f t="shared" si="47"/>
        <v>600176.SH</v>
      </c>
    </row>
    <row r="3021" spans="1:6" x14ac:dyDescent="0.15">
      <c r="A3021" s="2">
        <v>46089</v>
      </c>
      <c r="B3021" s="1" t="s">
        <v>5675</v>
      </c>
      <c r="C3021" s="1" t="s">
        <v>5676</v>
      </c>
      <c r="D3021" t="b">
        <f ca="1">IF(A3021="","",[1]!s_techanal_rcnthigh(B3021,$B$2,1,3))</f>
        <v>0</v>
      </c>
      <c r="E3021">
        <f ca="1">IF(A3021="","",COUNTIF(D$6:D3021,"True"))</f>
        <v>28</v>
      </c>
      <c r="F3021" t="str">
        <f t="shared" si="47"/>
        <v>600177.SH</v>
      </c>
    </row>
    <row r="3022" spans="1:6" x14ac:dyDescent="0.15">
      <c r="A3022" s="2">
        <v>46089</v>
      </c>
      <c r="B3022" s="1" t="s">
        <v>5677</v>
      </c>
      <c r="C3022" s="1" t="s">
        <v>5678</v>
      </c>
      <c r="D3022" t="b">
        <f ca="1">IF(A3022="","",[1]!s_techanal_rcnthigh(B3022,$B$2,1,3))</f>
        <v>0</v>
      </c>
      <c r="E3022">
        <f ca="1">IF(A3022="","",COUNTIF(D$6:D3022,"True"))</f>
        <v>28</v>
      </c>
      <c r="F3022" t="str">
        <f t="shared" si="47"/>
        <v>600178.SH</v>
      </c>
    </row>
    <row r="3023" spans="1:6" x14ac:dyDescent="0.15">
      <c r="A3023" s="2">
        <v>46089</v>
      </c>
      <c r="B3023" s="1" t="s">
        <v>5679</v>
      </c>
      <c r="C3023" s="1" t="s">
        <v>5680</v>
      </c>
      <c r="D3023" t="b">
        <f ca="1">IF(A3023="","",[1]!s_techanal_rcnthigh(B3023,$B$2,1,3))</f>
        <v>0</v>
      </c>
      <c r="E3023">
        <f ca="1">IF(A3023="","",COUNTIF(D$6:D3023,"True"))</f>
        <v>28</v>
      </c>
      <c r="F3023" t="str">
        <f t="shared" si="47"/>
        <v>600179.SH</v>
      </c>
    </row>
    <row r="3024" spans="1:6" x14ac:dyDescent="0.15">
      <c r="A3024" s="2">
        <v>46089</v>
      </c>
      <c r="B3024" s="1" t="s">
        <v>5681</v>
      </c>
      <c r="C3024" s="1" t="s">
        <v>5682</v>
      </c>
      <c r="D3024" t="b">
        <f ca="1">IF(A3024="","",[1]!s_techanal_rcnthigh(B3024,$B$2,1,3))</f>
        <v>0</v>
      </c>
      <c r="E3024">
        <f ca="1">IF(A3024="","",COUNTIF(D$6:D3024,"True"))</f>
        <v>28</v>
      </c>
      <c r="F3024" t="str">
        <f t="shared" si="47"/>
        <v>600180.SH</v>
      </c>
    </row>
    <row r="3025" spans="1:6" x14ac:dyDescent="0.15">
      <c r="A3025" s="2">
        <v>46089</v>
      </c>
      <c r="B3025" s="1" t="s">
        <v>5683</v>
      </c>
      <c r="C3025" s="1" t="s">
        <v>5684</v>
      </c>
      <c r="D3025" t="b">
        <f ca="1">IF(A3025="","",[1]!s_techanal_rcnthigh(B3025,$B$2,1,3))</f>
        <v>0</v>
      </c>
      <c r="E3025">
        <f ca="1">IF(A3025="","",COUNTIF(D$6:D3025,"True"))</f>
        <v>28</v>
      </c>
      <c r="F3025" t="str">
        <f t="shared" si="47"/>
        <v>600182.SH</v>
      </c>
    </row>
    <row r="3026" spans="1:6" x14ac:dyDescent="0.15">
      <c r="A3026" s="2">
        <v>46089</v>
      </c>
      <c r="B3026" s="1" t="s">
        <v>5685</v>
      </c>
      <c r="C3026" s="1" t="s">
        <v>5686</v>
      </c>
      <c r="D3026" t="b">
        <f ca="1">IF(A3026="","",[1]!s_techanal_rcnthigh(B3026,$B$2,1,3))</f>
        <v>0</v>
      </c>
      <c r="E3026">
        <f ca="1">IF(A3026="","",COUNTIF(D$6:D3026,"True"))</f>
        <v>28</v>
      </c>
      <c r="F3026" t="str">
        <f t="shared" si="47"/>
        <v>600183.SH</v>
      </c>
    </row>
    <row r="3027" spans="1:6" x14ac:dyDescent="0.15">
      <c r="A3027" s="2">
        <v>46089</v>
      </c>
      <c r="B3027" s="1" t="s">
        <v>5687</v>
      </c>
      <c r="C3027" s="1" t="s">
        <v>5688</v>
      </c>
      <c r="D3027" t="b">
        <f ca="1">IF(A3027="","",[1]!s_techanal_rcnthigh(B3027,$B$2,1,3))</f>
        <v>0</v>
      </c>
      <c r="E3027">
        <f ca="1">IF(A3027="","",COUNTIF(D$6:D3027,"True"))</f>
        <v>28</v>
      </c>
      <c r="F3027" t="str">
        <f t="shared" si="47"/>
        <v>600184.SH</v>
      </c>
    </row>
    <row r="3028" spans="1:6" x14ac:dyDescent="0.15">
      <c r="A3028" s="2">
        <v>46089</v>
      </c>
      <c r="B3028" s="1" t="s">
        <v>5689</v>
      </c>
      <c r="C3028" s="1" t="s">
        <v>10393</v>
      </c>
      <c r="D3028" t="b">
        <f ca="1">IF(A3028="","",[1]!s_techanal_rcnthigh(B3028,$B$2,1,3))</f>
        <v>0</v>
      </c>
      <c r="E3028">
        <f ca="1">IF(A3028="","",COUNTIF(D$6:D3028,"True"))</f>
        <v>28</v>
      </c>
      <c r="F3028" t="str">
        <f t="shared" si="47"/>
        <v>600185.SH</v>
      </c>
    </row>
    <row r="3029" spans="1:6" x14ac:dyDescent="0.15">
      <c r="A3029" s="2">
        <v>46089</v>
      </c>
      <c r="B3029" s="1" t="s">
        <v>5690</v>
      </c>
      <c r="C3029" s="1" t="s">
        <v>10394</v>
      </c>
      <c r="D3029" t="b">
        <f ca="1">IF(A3029="","",[1]!s_techanal_rcnthigh(B3029,$B$2,1,3))</f>
        <v>0</v>
      </c>
      <c r="E3029">
        <f ca="1">IF(A3029="","",COUNTIF(D$6:D3029,"True"))</f>
        <v>28</v>
      </c>
      <c r="F3029" t="str">
        <f t="shared" si="47"/>
        <v>600186.SH</v>
      </c>
    </row>
    <row r="3030" spans="1:6" x14ac:dyDescent="0.15">
      <c r="A3030" s="2">
        <v>46089</v>
      </c>
      <c r="B3030" s="1" t="s">
        <v>5691</v>
      </c>
      <c r="C3030" s="1" t="s">
        <v>5692</v>
      </c>
      <c r="D3030" t="b">
        <f ca="1">IF(A3030="","",[1]!s_techanal_rcnthigh(B3030,$B$2,1,3))</f>
        <v>0</v>
      </c>
      <c r="E3030">
        <f ca="1">IF(A3030="","",COUNTIF(D$6:D3030,"True"))</f>
        <v>28</v>
      </c>
      <c r="F3030" t="str">
        <f t="shared" si="47"/>
        <v>600187.SH</v>
      </c>
    </row>
    <row r="3031" spans="1:6" x14ac:dyDescent="0.15">
      <c r="A3031" s="2">
        <v>46089</v>
      </c>
      <c r="B3031" s="1" t="s">
        <v>5693</v>
      </c>
      <c r="C3031" s="1" t="s">
        <v>5694</v>
      </c>
      <c r="D3031" t="b">
        <f ca="1">IF(A3031="","",[1]!s_techanal_rcnthigh(B3031,$B$2,1,3))</f>
        <v>0</v>
      </c>
      <c r="E3031">
        <f ca="1">IF(A3031="","",COUNTIF(D$6:D3031,"True"))</f>
        <v>28</v>
      </c>
      <c r="F3031" t="str">
        <f t="shared" si="47"/>
        <v>600188.SH</v>
      </c>
    </row>
    <row r="3032" spans="1:6" x14ac:dyDescent="0.15">
      <c r="A3032" s="2">
        <v>46089</v>
      </c>
      <c r="B3032" s="1" t="s">
        <v>5695</v>
      </c>
      <c r="C3032" s="1" t="s">
        <v>5696</v>
      </c>
      <c r="D3032" t="b">
        <f ca="1">IF(A3032="","",[1]!s_techanal_rcnthigh(B3032,$B$2,1,3))</f>
        <v>0</v>
      </c>
      <c r="E3032">
        <f ca="1">IF(A3032="","",COUNTIF(D$6:D3032,"True"))</f>
        <v>28</v>
      </c>
      <c r="F3032" t="str">
        <f t="shared" si="47"/>
        <v>600189.SH</v>
      </c>
    </row>
    <row r="3033" spans="1:6" x14ac:dyDescent="0.15">
      <c r="A3033" s="2">
        <v>46089</v>
      </c>
      <c r="B3033" s="1" t="s">
        <v>5697</v>
      </c>
      <c r="C3033" s="1" t="s">
        <v>5698</v>
      </c>
      <c r="D3033" t="b">
        <f ca="1">IF(A3033="","",[1]!s_techanal_rcnthigh(B3033,$B$2,1,3))</f>
        <v>0</v>
      </c>
      <c r="E3033">
        <f ca="1">IF(A3033="","",COUNTIF(D$6:D3033,"True"))</f>
        <v>28</v>
      </c>
      <c r="F3033" t="str">
        <f t="shared" si="47"/>
        <v>600191.SH</v>
      </c>
    </row>
    <row r="3034" spans="1:6" x14ac:dyDescent="0.15">
      <c r="A3034" s="2">
        <v>46089</v>
      </c>
      <c r="B3034" s="1" t="s">
        <v>5699</v>
      </c>
      <c r="C3034" s="1" t="s">
        <v>5700</v>
      </c>
      <c r="D3034" t="b">
        <f ca="1">IF(A3034="","",[1]!s_techanal_rcnthigh(B3034,$B$2,1,3))</f>
        <v>0</v>
      </c>
      <c r="E3034">
        <f ca="1">IF(A3034="","",COUNTIF(D$6:D3034,"True"))</f>
        <v>28</v>
      </c>
      <c r="F3034" t="str">
        <f t="shared" si="47"/>
        <v>600192.SH</v>
      </c>
    </row>
    <row r="3035" spans="1:6" x14ac:dyDescent="0.15">
      <c r="A3035" s="2">
        <v>46089</v>
      </c>
      <c r="B3035" s="1" t="s">
        <v>5701</v>
      </c>
      <c r="C3035" s="1" t="s">
        <v>10395</v>
      </c>
      <c r="D3035" t="b">
        <f ca="1">IF(A3035="","",[1]!s_techanal_rcnthigh(B3035,$B$2,1,3))</f>
        <v>0</v>
      </c>
      <c r="E3035">
        <f ca="1">IF(A3035="","",COUNTIF(D$6:D3035,"True"))</f>
        <v>28</v>
      </c>
      <c r="F3035" t="str">
        <f t="shared" si="47"/>
        <v>600193.SH</v>
      </c>
    </row>
    <row r="3036" spans="1:6" x14ac:dyDescent="0.15">
      <c r="A3036" s="2">
        <v>46089</v>
      </c>
      <c r="B3036" s="1" t="s">
        <v>5702</v>
      </c>
      <c r="C3036" s="1" t="s">
        <v>5703</v>
      </c>
      <c r="D3036" t="b">
        <f ca="1">IF(A3036="","",[1]!s_techanal_rcnthigh(B3036,$B$2,1,3))</f>
        <v>0</v>
      </c>
      <c r="E3036">
        <f ca="1">IF(A3036="","",COUNTIF(D$6:D3036,"True"))</f>
        <v>28</v>
      </c>
      <c r="F3036" t="str">
        <f t="shared" si="47"/>
        <v>600195.SH</v>
      </c>
    </row>
    <row r="3037" spans="1:6" x14ac:dyDescent="0.15">
      <c r="A3037" s="2">
        <v>46089</v>
      </c>
      <c r="B3037" s="1" t="s">
        <v>5704</v>
      </c>
      <c r="C3037" s="1" t="s">
        <v>5705</v>
      </c>
      <c r="D3037" t="b">
        <f ca="1">IF(A3037="","",[1]!s_techanal_rcnthigh(B3037,$B$2,1,3))</f>
        <v>0</v>
      </c>
      <c r="E3037">
        <f ca="1">IF(A3037="","",COUNTIF(D$6:D3037,"True"))</f>
        <v>28</v>
      </c>
      <c r="F3037" t="str">
        <f t="shared" si="47"/>
        <v>600196.SH</v>
      </c>
    </row>
    <row r="3038" spans="1:6" x14ac:dyDescent="0.15">
      <c r="A3038" s="2">
        <v>46089</v>
      </c>
      <c r="B3038" s="1" t="s">
        <v>5706</v>
      </c>
      <c r="C3038" s="1" t="s">
        <v>5707</v>
      </c>
      <c r="D3038" t="b">
        <f ca="1">IF(A3038="","",[1]!s_techanal_rcnthigh(B3038,$B$2,1,3))</f>
        <v>0</v>
      </c>
      <c r="E3038">
        <f ca="1">IF(A3038="","",COUNTIF(D$6:D3038,"True"))</f>
        <v>28</v>
      </c>
      <c r="F3038" t="str">
        <f t="shared" si="47"/>
        <v>600197.SH</v>
      </c>
    </row>
    <row r="3039" spans="1:6" x14ac:dyDescent="0.15">
      <c r="A3039" s="2">
        <v>46089</v>
      </c>
      <c r="B3039" s="1" t="s">
        <v>5708</v>
      </c>
      <c r="C3039" s="1" t="s">
        <v>5709</v>
      </c>
      <c r="D3039" t="b">
        <f ca="1">IF(A3039="","",[1]!s_techanal_rcnthigh(B3039,$B$2,1,3))</f>
        <v>0</v>
      </c>
      <c r="E3039">
        <f ca="1">IF(A3039="","",COUNTIF(D$6:D3039,"True"))</f>
        <v>28</v>
      </c>
      <c r="F3039" t="str">
        <f t="shared" si="47"/>
        <v>600198.SH</v>
      </c>
    </row>
    <row r="3040" spans="1:6" x14ac:dyDescent="0.15">
      <c r="A3040" s="2">
        <v>46089</v>
      </c>
      <c r="B3040" s="1" t="s">
        <v>5710</v>
      </c>
      <c r="C3040" s="1" t="s">
        <v>5711</v>
      </c>
      <c r="D3040" t="b">
        <f ca="1">IF(A3040="","",[1]!s_techanal_rcnthigh(B3040,$B$2,1,3))</f>
        <v>0</v>
      </c>
      <c r="E3040">
        <f ca="1">IF(A3040="","",COUNTIF(D$6:D3040,"True"))</f>
        <v>28</v>
      </c>
      <c r="F3040" t="str">
        <f t="shared" si="47"/>
        <v>600199.SH</v>
      </c>
    </row>
    <row r="3041" spans="1:6" x14ac:dyDescent="0.15">
      <c r="A3041" s="2">
        <v>46089</v>
      </c>
      <c r="B3041" s="1" t="s">
        <v>5712</v>
      </c>
      <c r="C3041" s="1" t="s">
        <v>5713</v>
      </c>
      <c r="D3041" t="b">
        <f ca="1">IF(A3041="","",[1]!s_techanal_rcnthigh(B3041,$B$2,1,3))</f>
        <v>0</v>
      </c>
      <c r="E3041">
        <f ca="1">IF(A3041="","",COUNTIF(D$6:D3041,"True"))</f>
        <v>28</v>
      </c>
      <c r="F3041" t="str">
        <f t="shared" si="47"/>
        <v>600201.SH</v>
      </c>
    </row>
    <row r="3042" spans="1:6" x14ac:dyDescent="0.15">
      <c r="A3042" s="2">
        <v>46089</v>
      </c>
      <c r="B3042" s="1" t="s">
        <v>5714</v>
      </c>
      <c r="C3042" s="1" t="s">
        <v>5715</v>
      </c>
      <c r="D3042" t="b">
        <f ca="1">IF(A3042="","",[1]!s_techanal_rcnthigh(B3042,$B$2,1,3))</f>
        <v>0</v>
      </c>
      <c r="E3042">
        <f ca="1">IF(A3042="","",COUNTIF(D$6:D3042,"True"))</f>
        <v>28</v>
      </c>
      <c r="F3042" t="str">
        <f t="shared" si="47"/>
        <v>600202.SH</v>
      </c>
    </row>
    <row r="3043" spans="1:6" x14ac:dyDescent="0.15">
      <c r="A3043" s="2">
        <v>46089</v>
      </c>
      <c r="B3043" s="1" t="s">
        <v>5716</v>
      </c>
      <c r="C3043" s="1" t="s">
        <v>5717</v>
      </c>
      <c r="D3043" t="b">
        <f ca="1">IF(A3043="","",[1]!s_techanal_rcnthigh(B3043,$B$2,1,3))</f>
        <v>0</v>
      </c>
      <c r="E3043">
        <f ca="1">IF(A3043="","",COUNTIF(D$6:D3043,"True"))</f>
        <v>28</v>
      </c>
      <c r="F3043" t="str">
        <f t="shared" si="47"/>
        <v>600203.SH</v>
      </c>
    </row>
    <row r="3044" spans="1:6" x14ac:dyDescent="0.15">
      <c r="A3044" s="2">
        <v>46089</v>
      </c>
      <c r="B3044" s="1" t="s">
        <v>5718</v>
      </c>
      <c r="C3044" s="1" t="s">
        <v>5719</v>
      </c>
      <c r="D3044" t="b">
        <f ca="1">IF(A3044="","",[1]!s_techanal_rcnthigh(B3044,$B$2,1,3))</f>
        <v>0</v>
      </c>
      <c r="E3044">
        <f ca="1">IF(A3044="","",COUNTIF(D$6:D3044,"True"))</f>
        <v>28</v>
      </c>
      <c r="F3044" t="str">
        <f t="shared" si="47"/>
        <v>600206.SH</v>
      </c>
    </row>
    <row r="3045" spans="1:6" x14ac:dyDescent="0.15">
      <c r="A3045" s="2">
        <v>46089</v>
      </c>
      <c r="B3045" s="1" t="s">
        <v>5720</v>
      </c>
      <c r="C3045" s="1" t="s">
        <v>5721</v>
      </c>
      <c r="D3045" t="b">
        <f ca="1">IF(A3045="","",[1]!s_techanal_rcnthigh(B3045,$B$2,1,3))</f>
        <v>0</v>
      </c>
      <c r="E3045">
        <f ca="1">IF(A3045="","",COUNTIF(D$6:D3045,"True"))</f>
        <v>28</v>
      </c>
      <c r="F3045" t="str">
        <f t="shared" si="47"/>
        <v>600207.SH</v>
      </c>
    </row>
    <row r="3046" spans="1:6" x14ac:dyDescent="0.15">
      <c r="A3046" s="2">
        <v>46089</v>
      </c>
      <c r="B3046" s="1" t="s">
        <v>5722</v>
      </c>
      <c r="C3046" s="1" t="s">
        <v>10396</v>
      </c>
      <c r="D3046" t="b">
        <f ca="1">IF(A3046="","",[1]!s_techanal_rcnthigh(B3046,$B$2,1,3))</f>
        <v>0</v>
      </c>
      <c r="E3046">
        <f ca="1">IF(A3046="","",COUNTIF(D$6:D3046,"True"))</f>
        <v>28</v>
      </c>
      <c r="F3046" t="str">
        <f t="shared" si="47"/>
        <v>600208.SH</v>
      </c>
    </row>
    <row r="3047" spans="1:6" x14ac:dyDescent="0.15">
      <c r="A3047" s="2">
        <v>46089</v>
      </c>
      <c r="B3047" s="1" t="s">
        <v>5723</v>
      </c>
      <c r="C3047" s="1" t="s">
        <v>5724</v>
      </c>
      <c r="D3047" t="b">
        <f ca="1">IF(A3047="","",[1]!s_techanal_rcnthigh(B3047,$B$2,1,3))</f>
        <v>0</v>
      </c>
      <c r="E3047">
        <f ca="1">IF(A3047="","",COUNTIF(D$6:D3047,"True"))</f>
        <v>28</v>
      </c>
      <c r="F3047" t="str">
        <f t="shared" si="47"/>
        <v>600210.SH</v>
      </c>
    </row>
    <row r="3048" spans="1:6" x14ac:dyDescent="0.15">
      <c r="A3048" s="2">
        <v>46089</v>
      </c>
      <c r="B3048" s="1" t="s">
        <v>5725</v>
      </c>
      <c r="C3048" s="1" t="s">
        <v>5726</v>
      </c>
      <c r="D3048" t="b">
        <f ca="1">IF(A3048="","",[1]!s_techanal_rcnthigh(B3048,$B$2,1,3))</f>
        <v>0</v>
      </c>
      <c r="E3048">
        <f ca="1">IF(A3048="","",COUNTIF(D$6:D3048,"True"))</f>
        <v>28</v>
      </c>
      <c r="F3048" t="str">
        <f t="shared" si="47"/>
        <v>600211.SH</v>
      </c>
    </row>
    <row r="3049" spans="1:6" x14ac:dyDescent="0.15">
      <c r="A3049" s="2">
        <v>46089</v>
      </c>
      <c r="B3049" s="1" t="s">
        <v>5727</v>
      </c>
      <c r="C3049" s="1" t="s">
        <v>5728</v>
      </c>
      <c r="D3049" t="b">
        <f ca="1">IF(A3049="","",[1]!s_techanal_rcnthigh(B3049,$B$2,1,3))</f>
        <v>0</v>
      </c>
      <c r="E3049">
        <f ca="1">IF(A3049="","",COUNTIF(D$6:D3049,"True"))</f>
        <v>28</v>
      </c>
      <c r="F3049" t="str">
        <f t="shared" si="47"/>
        <v>600212.SH</v>
      </c>
    </row>
    <row r="3050" spans="1:6" x14ac:dyDescent="0.15">
      <c r="A3050" s="2">
        <v>46089</v>
      </c>
      <c r="B3050" s="1" t="s">
        <v>5729</v>
      </c>
      <c r="C3050" s="1" t="s">
        <v>5730</v>
      </c>
      <c r="D3050" t="b">
        <f ca="1">IF(A3050="","",[1]!s_techanal_rcnthigh(B3050,$B$2,1,3))</f>
        <v>0</v>
      </c>
      <c r="E3050">
        <f ca="1">IF(A3050="","",COUNTIF(D$6:D3050,"True"))</f>
        <v>28</v>
      </c>
      <c r="F3050" t="str">
        <f t="shared" si="47"/>
        <v>600215.SH</v>
      </c>
    </row>
    <row r="3051" spans="1:6" x14ac:dyDescent="0.15">
      <c r="A3051" s="2">
        <v>46089</v>
      </c>
      <c r="B3051" s="1" t="s">
        <v>5731</v>
      </c>
      <c r="C3051" s="1" t="s">
        <v>5732</v>
      </c>
      <c r="D3051" t="b">
        <f ca="1">IF(A3051="","",[1]!s_techanal_rcnthigh(B3051,$B$2,1,3))</f>
        <v>0</v>
      </c>
      <c r="E3051">
        <f ca="1">IF(A3051="","",COUNTIF(D$6:D3051,"True"))</f>
        <v>28</v>
      </c>
      <c r="F3051" t="str">
        <f t="shared" si="47"/>
        <v>600216.SH</v>
      </c>
    </row>
    <row r="3052" spans="1:6" x14ac:dyDescent="0.15">
      <c r="A3052" s="2">
        <v>46089</v>
      </c>
      <c r="B3052" s="1" t="s">
        <v>5733</v>
      </c>
      <c r="C3052" s="1" t="s">
        <v>5734</v>
      </c>
      <c r="D3052" t="b">
        <f ca="1">IF(A3052="","",[1]!s_techanal_rcnthigh(B3052,$B$2,1,3))</f>
        <v>0</v>
      </c>
      <c r="E3052">
        <f ca="1">IF(A3052="","",COUNTIF(D$6:D3052,"True"))</f>
        <v>28</v>
      </c>
      <c r="F3052" t="str">
        <f t="shared" si="47"/>
        <v>600217.SH</v>
      </c>
    </row>
    <row r="3053" spans="1:6" x14ac:dyDescent="0.15">
      <c r="A3053" s="2">
        <v>46089</v>
      </c>
      <c r="B3053" s="1" t="s">
        <v>5735</v>
      </c>
      <c r="C3053" s="1" t="s">
        <v>5736</v>
      </c>
      <c r="D3053" t="b">
        <f ca="1">IF(A3053="","",[1]!s_techanal_rcnthigh(B3053,$B$2,1,3))</f>
        <v>0</v>
      </c>
      <c r="E3053">
        <f ca="1">IF(A3053="","",COUNTIF(D$6:D3053,"True"))</f>
        <v>28</v>
      </c>
      <c r="F3053" t="str">
        <f t="shared" si="47"/>
        <v>600218.SH</v>
      </c>
    </row>
    <row r="3054" spans="1:6" x14ac:dyDescent="0.15">
      <c r="A3054" s="2">
        <v>46089</v>
      </c>
      <c r="B3054" s="1" t="s">
        <v>5737</v>
      </c>
      <c r="C3054" s="1" t="s">
        <v>5738</v>
      </c>
      <c r="D3054" t="b">
        <f ca="1">IF(A3054="","",[1]!s_techanal_rcnthigh(B3054,$B$2,1,3))</f>
        <v>0</v>
      </c>
      <c r="E3054">
        <f ca="1">IF(A3054="","",COUNTIF(D$6:D3054,"True"))</f>
        <v>28</v>
      </c>
      <c r="F3054" t="str">
        <f t="shared" si="47"/>
        <v>600219.SH</v>
      </c>
    </row>
    <row r="3055" spans="1:6" x14ac:dyDescent="0.15">
      <c r="A3055" s="2">
        <v>46089</v>
      </c>
      <c r="B3055" s="1" t="s">
        <v>5739</v>
      </c>
      <c r="C3055" s="1" t="s">
        <v>5740</v>
      </c>
      <c r="D3055" t="b">
        <f ca="1">IF(A3055="","",[1]!s_techanal_rcnthigh(B3055,$B$2,1,3))</f>
        <v>0</v>
      </c>
      <c r="E3055">
        <f ca="1">IF(A3055="","",COUNTIF(D$6:D3055,"True"))</f>
        <v>28</v>
      </c>
      <c r="F3055" t="str">
        <f t="shared" si="47"/>
        <v>600221.SH</v>
      </c>
    </row>
    <row r="3056" spans="1:6" x14ac:dyDescent="0.15">
      <c r="A3056" s="2">
        <v>46089</v>
      </c>
      <c r="B3056" s="1" t="s">
        <v>5741</v>
      </c>
      <c r="C3056" s="1" t="s">
        <v>5742</v>
      </c>
      <c r="D3056" t="b">
        <f ca="1">IF(A3056="","",[1]!s_techanal_rcnthigh(B3056,$B$2,1,3))</f>
        <v>0</v>
      </c>
      <c r="E3056">
        <f ca="1">IF(A3056="","",COUNTIF(D$6:D3056,"True"))</f>
        <v>28</v>
      </c>
      <c r="F3056" t="str">
        <f t="shared" si="47"/>
        <v>600222.SH</v>
      </c>
    </row>
    <row r="3057" spans="1:6" x14ac:dyDescent="0.15">
      <c r="A3057" s="2">
        <v>46089</v>
      </c>
      <c r="B3057" s="1" t="s">
        <v>5743</v>
      </c>
      <c r="C3057" s="1" t="s">
        <v>5744</v>
      </c>
      <c r="D3057" t="b">
        <f ca="1">IF(A3057="","",[1]!s_techanal_rcnthigh(B3057,$B$2,1,3))</f>
        <v>0</v>
      </c>
      <c r="E3057">
        <f ca="1">IF(A3057="","",COUNTIF(D$6:D3057,"True"))</f>
        <v>28</v>
      </c>
      <c r="F3057" t="str">
        <f t="shared" si="47"/>
        <v>600223.SH</v>
      </c>
    </row>
    <row r="3058" spans="1:6" x14ac:dyDescent="0.15">
      <c r="A3058" s="2">
        <v>46089</v>
      </c>
      <c r="B3058" s="1" t="s">
        <v>5745</v>
      </c>
      <c r="C3058" s="1" t="s">
        <v>10397</v>
      </c>
      <c r="D3058" t="b">
        <f ca="1">IF(A3058="","",[1]!s_techanal_rcnthigh(B3058,$B$2,1,3))</f>
        <v>0</v>
      </c>
      <c r="E3058">
        <f ca="1">IF(A3058="","",COUNTIF(D$6:D3058,"True"))</f>
        <v>28</v>
      </c>
      <c r="F3058" t="str">
        <f t="shared" si="47"/>
        <v>600226.SH</v>
      </c>
    </row>
    <row r="3059" spans="1:6" x14ac:dyDescent="0.15">
      <c r="A3059" s="2">
        <v>46089</v>
      </c>
      <c r="B3059" s="1" t="s">
        <v>5746</v>
      </c>
      <c r="C3059" s="1" t="s">
        <v>5747</v>
      </c>
      <c r="D3059" t="b">
        <f ca="1">IF(A3059="","",[1]!s_techanal_rcnthigh(B3059,$B$2,1,3))</f>
        <v>0</v>
      </c>
      <c r="E3059">
        <f ca="1">IF(A3059="","",COUNTIF(D$6:D3059,"True"))</f>
        <v>28</v>
      </c>
      <c r="F3059" t="str">
        <f t="shared" si="47"/>
        <v>600227.SH</v>
      </c>
    </row>
    <row r="3060" spans="1:6" x14ac:dyDescent="0.15">
      <c r="A3060" s="2">
        <v>46089</v>
      </c>
      <c r="B3060" s="1" t="s">
        <v>5748</v>
      </c>
      <c r="C3060" s="1" t="s">
        <v>10398</v>
      </c>
      <c r="D3060" t="b">
        <f ca="1">IF(A3060="","",[1]!s_techanal_rcnthigh(B3060,$B$2,1,3))</f>
        <v>0</v>
      </c>
      <c r="E3060">
        <f ca="1">IF(A3060="","",COUNTIF(D$6:D3060,"True"))</f>
        <v>28</v>
      </c>
      <c r="F3060" t="str">
        <f t="shared" si="47"/>
        <v>600228.SH</v>
      </c>
    </row>
    <row r="3061" spans="1:6" x14ac:dyDescent="0.15">
      <c r="A3061" s="2">
        <v>46089</v>
      </c>
      <c r="B3061" s="1" t="s">
        <v>5749</v>
      </c>
      <c r="C3061" s="1" t="s">
        <v>5750</v>
      </c>
      <c r="D3061" t="b">
        <f ca="1">IF(A3061="","",[1]!s_techanal_rcnthigh(B3061,$B$2,1,3))</f>
        <v>0</v>
      </c>
      <c r="E3061">
        <f ca="1">IF(A3061="","",COUNTIF(D$6:D3061,"True"))</f>
        <v>28</v>
      </c>
      <c r="F3061" t="str">
        <f t="shared" si="47"/>
        <v>600229.SH</v>
      </c>
    </row>
    <row r="3062" spans="1:6" x14ac:dyDescent="0.15">
      <c r="A3062" s="2">
        <v>46089</v>
      </c>
      <c r="B3062" s="1" t="s">
        <v>5751</v>
      </c>
      <c r="C3062" s="1" t="s">
        <v>5752</v>
      </c>
      <c r="D3062" t="b">
        <f ca="1">IF(A3062="","",[1]!s_techanal_rcnthigh(B3062,$B$2,1,3))</f>
        <v>0</v>
      </c>
      <c r="E3062">
        <f ca="1">IF(A3062="","",COUNTIF(D$6:D3062,"True"))</f>
        <v>28</v>
      </c>
      <c r="F3062" t="str">
        <f t="shared" si="47"/>
        <v>600230.SH</v>
      </c>
    </row>
    <row r="3063" spans="1:6" x14ac:dyDescent="0.15">
      <c r="A3063" s="2">
        <v>46089</v>
      </c>
      <c r="B3063" s="1" t="s">
        <v>5753</v>
      </c>
      <c r="C3063" s="1" t="s">
        <v>5754</v>
      </c>
      <c r="D3063" t="b">
        <f ca="1">IF(A3063="","",[1]!s_techanal_rcnthigh(B3063,$B$2,1,3))</f>
        <v>0</v>
      </c>
      <c r="E3063">
        <f ca="1">IF(A3063="","",COUNTIF(D$6:D3063,"True"))</f>
        <v>28</v>
      </c>
      <c r="F3063" t="str">
        <f t="shared" si="47"/>
        <v>600231.SH</v>
      </c>
    </row>
    <row r="3064" spans="1:6" x14ac:dyDescent="0.15">
      <c r="A3064" s="2">
        <v>46089</v>
      </c>
      <c r="B3064" s="1" t="s">
        <v>5755</v>
      </c>
      <c r="C3064" s="1" t="s">
        <v>5756</v>
      </c>
      <c r="D3064" t="b">
        <f ca="1">IF(A3064="","",[1]!s_techanal_rcnthigh(B3064,$B$2,1,3))</f>
        <v>0</v>
      </c>
      <c r="E3064">
        <f ca="1">IF(A3064="","",COUNTIF(D$6:D3064,"True"))</f>
        <v>28</v>
      </c>
      <c r="F3064" t="str">
        <f t="shared" si="47"/>
        <v>600232.SH</v>
      </c>
    </row>
    <row r="3065" spans="1:6" x14ac:dyDescent="0.15">
      <c r="A3065" s="2">
        <v>46089</v>
      </c>
      <c r="B3065" s="1" t="s">
        <v>5757</v>
      </c>
      <c r="C3065" s="1" t="s">
        <v>5758</v>
      </c>
      <c r="D3065" t="b">
        <f ca="1">IF(A3065="","",[1]!s_techanal_rcnthigh(B3065,$B$2,1,3))</f>
        <v>0</v>
      </c>
      <c r="E3065">
        <f ca="1">IF(A3065="","",COUNTIF(D$6:D3065,"True"))</f>
        <v>28</v>
      </c>
      <c r="F3065" t="str">
        <f t="shared" si="47"/>
        <v>600233.SH</v>
      </c>
    </row>
    <row r="3066" spans="1:6" x14ac:dyDescent="0.15">
      <c r="A3066" s="2">
        <v>46089</v>
      </c>
      <c r="B3066" s="1" t="s">
        <v>5759</v>
      </c>
      <c r="C3066" s="1" t="s">
        <v>5760</v>
      </c>
      <c r="D3066" t="b">
        <f ca="1">IF(A3066="","",[1]!s_techanal_rcnthigh(B3066,$B$2,1,3))</f>
        <v>0</v>
      </c>
      <c r="E3066">
        <f ca="1">IF(A3066="","",COUNTIF(D$6:D3066,"True"))</f>
        <v>28</v>
      </c>
      <c r="F3066" t="str">
        <f t="shared" si="47"/>
        <v>600234.SH</v>
      </c>
    </row>
    <row r="3067" spans="1:6" x14ac:dyDescent="0.15">
      <c r="A3067" s="2">
        <v>46089</v>
      </c>
      <c r="B3067" s="1" t="s">
        <v>5761</v>
      </c>
      <c r="C3067" s="1" t="s">
        <v>5762</v>
      </c>
      <c r="D3067" t="b">
        <f ca="1">IF(A3067="","",[1]!s_techanal_rcnthigh(B3067,$B$2,1,3))</f>
        <v>0</v>
      </c>
      <c r="E3067">
        <f ca="1">IF(A3067="","",COUNTIF(D$6:D3067,"True"))</f>
        <v>28</v>
      </c>
      <c r="F3067" t="str">
        <f t="shared" si="47"/>
        <v>600235.SH</v>
      </c>
    </row>
    <row r="3068" spans="1:6" x14ac:dyDescent="0.15">
      <c r="A3068" s="2">
        <v>46089</v>
      </c>
      <c r="B3068" s="1" t="s">
        <v>5763</v>
      </c>
      <c r="C3068" s="1" t="s">
        <v>5764</v>
      </c>
      <c r="D3068" t="b">
        <f ca="1">IF(A3068="","",[1]!s_techanal_rcnthigh(B3068,$B$2,1,3))</f>
        <v>1</v>
      </c>
      <c r="E3068">
        <f ca="1">IF(A3068="","",COUNTIF(D$6:D3068,"True"))</f>
        <v>29</v>
      </c>
      <c r="F3068" t="str">
        <f t="shared" si="47"/>
        <v>600236.SH</v>
      </c>
    </row>
    <row r="3069" spans="1:6" x14ac:dyDescent="0.15">
      <c r="A3069" s="2">
        <v>46089</v>
      </c>
      <c r="B3069" s="1" t="s">
        <v>5765</v>
      </c>
      <c r="C3069" s="1" t="s">
        <v>5766</v>
      </c>
      <c r="D3069" t="b">
        <f ca="1">IF(A3069="","",[1]!s_techanal_rcnthigh(B3069,$B$2,1,3))</f>
        <v>0</v>
      </c>
      <c r="E3069">
        <f ca="1">IF(A3069="","",COUNTIF(D$6:D3069,"True"))</f>
        <v>29</v>
      </c>
      <c r="F3069" t="str">
        <f t="shared" si="47"/>
        <v>600237.SH</v>
      </c>
    </row>
    <row r="3070" spans="1:6" x14ac:dyDescent="0.15">
      <c r="A3070" s="2">
        <v>46089</v>
      </c>
      <c r="B3070" s="1" t="s">
        <v>5767</v>
      </c>
      <c r="C3070" s="1" t="s">
        <v>10399</v>
      </c>
      <c r="D3070" t="b">
        <f ca="1">IF(A3070="","",[1]!s_techanal_rcnthigh(B3070,$B$2,1,3))</f>
        <v>0</v>
      </c>
      <c r="E3070">
        <f ca="1">IF(A3070="","",COUNTIF(D$6:D3070,"True"))</f>
        <v>29</v>
      </c>
      <c r="F3070" t="str">
        <f t="shared" si="47"/>
        <v>600238.SH</v>
      </c>
    </row>
    <row r="3071" spans="1:6" x14ac:dyDescent="0.15">
      <c r="A3071" s="2">
        <v>46089</v>
      </c>
      <c r="B3071" s="1" t="s">
        <v>5768</v>
      </c>
      <c r="C3071" s="1" t="s">
        <v>5769</v>
      </c>
      <c r="D3071" t="b">
        <f ca="1">IF(A3071="","",[1]!s_techanal_rcnthigh(B3071,$B$2,1,3))</f>
        <v>0</v>
      </c>
      <c r="E3071">
        <f ca="1">IF(A3071="","",COUNTIF(D$6:D3071,"True"))</f>
        <v>29</v>
      </c>
      <c r="F3071" t="str">
        <f t="shared" si="47"/>
        <v>600239.SH</v>
      </c>
    </row>
    <row r="3072" spans="1:6" x14ac:dyDescent="0.15">
      <c r="A3072" s="2">
        <v>46089</v>
      </c>
      <c r="B3072" s="1" t="s">
        <v>5770</v>
      </c>
      <c r="C3072" s="1" t="s">
        <v>5771</v>
      </c>
      <c r="D3072" t="b">
        <f ca="1">IF(A3072="","",[1]!s_techanal_rcnthigh(B3072,$B$2,1,3))</f>
        <v>0</v>
      </c>
      <c r="E3072">
        <f ca="1">IF(A3072="","",COUNTIF(D$6:D3072,"True"))</f>
        <v>29</v>
      </c>
      <c r="F3072" t="str">
        <f t="shared" si="47"/>
        <v>600241.SH</v>
      </c>
    </row>
    <row r="3073" spans="1:6" x14ac:dyDescent="0.15">
      <c r="A3073" s="2">
        <v>46089</v>
      </c>
      <c r="B3073" s="1" t="s">
        <v>5772</v>
      </c>
      <c r="C3073" s="1" t="s">
        <v>10400</v>
      </c>
      <c r="D3073" t="b">
        <f ca="1">IF(A3073="","",[1]!s_techanal_rcnthigh(B3073,$B$2,1,3))</f>
        <v>0</v>
      </c>
      <c r="E3073">
        <f ca="1">IF(A3073="","",COUNTIF(D$6:D3073,"True"))</f>
        <v>29</v>
      </c>
      <c r="F3073" t="str">
        <f t="shared" si="47"/>
        <v>600243.SH</v>
      </c>
    </row>
    <row r="3074" spans="1:6" x14ac:dyDescent="0.15">
      <c r="A3074" s="2">
        <v>46089</v>
      </c>
      <c r="B3074" s="1" t="s">
        <v>5773</v>
      </c>
      <c r="C3074" s="1" t="s">
        <v>5774</v>
      </c>
      <c r="D3074" t="b">
        <f ca="1">IF(A3074="","",[1]!s_techanal_rcnthigh(B3074,$B$2,1,3))</f>
        <v>0</v>
      </c>
      <c r="E3074">
        <f ca="1">IF(A3074="","",COUNTIF(D$6:D3074,"True"))</f>
        <v>29</v>
      </c>
      <c r="F3074" t="str">
        <f t="shared" si="47"/>
        <v>600246.SH</v>
      </c>
    </row>
    <row r="3075" spans="1:6" x14ac:dyDescent="0.15">
      <c r="A3075" s="2">
        <v>46089</v>
      </c>
      <c r="B3075" s="1" t="s">
        <v>5775</v>
      </c>
      <c r="C3075" s="1" t="s">
        <v>5776</v>
      </c>
      <c r="D3075" t="b">
        <f ca="1">IF(A3075="","",[1]!s_techanal_rcnthigh(B3075,$B$2,1,3))</f>
        <v>0</v>
      </c>
      <c r="E3075">
        <f ca="1">IF(A3075="","",COUNTIF(D$6:D3075,"True"))</f>
        <v>29</v>
      </c>
      <c r="F3075" t="str">
        <f t="shared" si="47"/>
        <v>600248.SH</v>
      </c>
    </row>
    <row r="3076" spans="1:6" x14ac:dyDescent="0.15">
      <c r="A3076" s="2">
        <v>46089</v>
      </c>
      <c r="B3076" s="1" t="s">
        <v>5777</v>
      </c>
      <c r="C3076" s="1" t="s">
        <v>5778</v>
      </c>
      <c r="D3076" t="b">
        <f ca="1">IF(A3076="","",[1]!s_techanal_rcnthigh(B3076,$B$2,1,3))</f>
        <v>0</v>
      </c>
      <c r="E3076">
        <f ca="1">IF(A3076="","",COUNTIF(D$6:D3076,"True"))</f>
        <v>29</v>
      </c>
      <c r="F3076" t="str">
        <f t="shared" si="47"/>
        <v>600249.SH</v>
      </c>
    </row>
    <row r="3077" spans="1:6" x14ac:dyDescent="0.15">
      <c r="A3077" s="2">
        <v>46089</v>
      </c>
      <c r="B3077" s="1" t="s">
        <v>5779</v>
      </c>
      <c r="C3077" s="1" t="s">
        <v>5780</v>
      </c>
      <c r="D3077" t="b">
        <f ca="1">IF(A3077="","",[1]!s_techanal_rcnthigh(B3077,$B$2,1,3))</f>
        <v>0</v>
      </c>
      <c r="E3077">
        <f ca="1">IF(A3077="","",COUNTIF(D$6:D3077,"True"))</f>
        <v>29</v>
      </c>
      <c r="F3077" t="str">
        <f t="shared" si="47"/>
        <v>600250.SH</v>
      </c>
    </row>
    <row r="3078" spans="1:6" x14ac:dyDescent="0.15">
      <c r="A3078" s="2">
        <v>46089</v>
      </c>
      <c r="B3078" s="1" t="s">
        <v>5781</v>
      </c>
      <c r="C3078" s="1" t="s">
        <v>5782</v>
      </c>
      <c r="D3078" t="b">
        <f ca="1">IF(A3078="","",[1]!s_techanal_rcnthigh(B3078,$B$2,1,3))</f>
        <v>0</v>
      </c>
      <c r="E3078">
        <f ca="1">IF(A3078="","",COUNTIF(D$6:D3078,"True"))</f>
        <v>29</v>
      </c>
      <c r="F3078" t="str">
        <f t="shared" ref="F3078:F3141" si="48">IF(B3078="","",B3078)</f>
        <v>600251.SH</v>
      </c>
    </row>
    <row r="3079" spans="1:6" x14ac:dyDescent="0.15">
      <c r="A3079" s="2">
        <v>46089</v>
      </c>
      <c r="B3079" s="1" t="s">
        <v>5783</v>
      </c>
      <c r="C3079" s="1" t="s">
        <v>5784</v>
      </c>
      <c r="D3079" t="b">
        <f ca="1">IF(A3079="","",[1]!s_techanal_rcnthigh(B3079,$B$2,1,3))</f>
        <v>0</v>
      </c>
      <c r="E3079">
        <f ca="1">IF(A3079="","",COUNTIF(D$6:D3079,"True"))</f>
        <v>29</v>
      </c>
      <c r="F3079" t="str">
        <f t="shared" si="48"/>
        <v>600252.SH</v>
      </c>
    </row>
    <row r="3080" spans="1:6" x14ac:dyDescent="0.15">
      <c r="A3080" s="2">
        <v>46089</v>
      </c>
      <c r="B3080" s="1" t="s">
        <v>5785</v>
      </c>
      <c r="C3080" s="1" t="s">
        <v>5786</v>
      </c>
      <c r="D3080" t="b">
        <f ca="1">IF(A3080="","",[1]!s_techanal_rcnthigh(B3080,$B$2,1,3))</f>
        <v>0</v>
      </c>
      <c r="E3080">
        <f ca="1">IF(A3080="","",COUNTIF(D$6:D3080,"True"))</f>
        <v>29</v>
      </c>
      <c r="F3080" t="str">
        <f t="shared" si="48"/>
        <v>600255.SH</v>
      </c>
    </row>
    <row r="3081" spans="1:6" x14ac:dyDescent="0.15">
      <c r="A3081" s="2">
        <v>46089</v>
      </c>
      <c r="B3081" s="1" t="s">
        <v>5787</v>
      </c>
      <c r="C3081" s="1" t="s">
        <v>5788</v>
      </c>
      <c r="D3081" t="b">
        <f ca="1">IF(A3081="","",[1]!s_techanal_rcnthigh(B3081,$B$2,1,3))</f>
        <v>0</v>
      </c>
      <c r="E3081">
        <f ca="1">IF(A3081="","",COUNTIF(D$6:D3081,"True"))</f>
        <v>29</v>
      </c>
      <c r="F3081" t="str">
        <f t="shared" si="48"/>
        <v>600256.SH</v>
      </c>
    </row>
    <row r="3082" spans="1:6" x14ac:dyDescent="0.15">
      <c r="A3082" s="2">
        <v>46089</v>
      </c>
      <c r="B3082" s="1" t="s">
        <v>5789</v>
      </c>
      <c r="C3082" s="1" t="s">
        <v>5790</v>
      </c>
      <c r="D3082" t="b">
        <f ca="1">IF(A3082="","",[1]!s_techanal_rcnthigh(B3082,$B$2,1,3))</f>
        <v>0</v>
      </c>
      <c r="E3082">
        <f ca="1">IF(A3082="","",COUNTIF(D$6:D3082,"True"))</f>
        <v>29</v>
      </c>
      <c r="F3082" t="str">
        <f t="shared" si="48"/>
        <v>600257.SH</v>
      </c>
    </row>
    <row r="3083" spans="1:6" x14ac:dyDescent="0.15">
      <c r="A3083" s="2">
        <v>46089</v>
      </c>
      <c r="B3083" s="1" t="s">
        <v>5791</v>
      </c>
      <c r="C3083" s="1" t="s">
        <v>5792</v>
      </c>
      <c r="D3083" t="b">
        <f ca="1">IF(A3083="","",[1]!s_techanal_rcnthigh(B3083,$B$2,1,3))</f>
        <v>0</v>
      </c>
      <c r="E3083">
        <f ca="1">IF(A3083="","",COUNTIF(D$6:D3083,"True"))</f>
        <v>29</v>
      </c>
      <c r="F3083" t="str">
        <f t="shared" si="48"/>
        <v>600258.SH</v>
      </c>
    </row>
    <row r="3084" spans="1:6" x14ac:dyDescent="0.15">
      <c r="A3084" s="2">
        <v>46089</v>
      </c>
      <c r="B3084" s="1" t="s">
        <v>5793</v>
      </c>
      <c r="C3084" s="1" t="s">
        <v>10401</v>
      </c>
      <c r="D3084" t="b">
        <f ca="1">IF(A3084="","",[1]!s_techanal_rcnthigh(B3084,$B$2,1,3))</f>
        <v>0</v>
      </c>
      <c r="E3084">
        <f ca="1">IF(A3084="","",COUNTIF(D$6:D3084,"True"))</f>
        <v>29</v>
      </c>
      <c r="F3084" t="str">
        <f t="shared" si="48"/>
        <v>600259.SH</v>
      </c>
    </row>
    <row r="3085" spans="1:6" x14ac:dyDescent="0.15">
      <c r="A3085" s="2">
        <v>46089</v>
      </c>
      <c r="B3085" s="1" t="s">
        <v>5794</v>
      </c>
      <c r="C3085" s="1" t="s">
        <v>5795</v>
      </c>
      <c r="D3085" t="b">
        <f ca="1">IF(A3085="","",[1]!s_techanal_rcnthigh(B3085,$B$2,1,3))</f>
        <v>0</v>
      </c>
      <c r="E3085">
        <f ca="1">IF(A3085="","",COUNTIF(D$6:D3085,"True"))</f>
        <v>29</v>
      </c>
      <c r="F3085" t="str">
        <f t="shared" si="48"/>
        <v>600261.SH</v>
      </c>
    </row>
    <row r="3086" spans="1:6" x14ac:dyDescent="0.15">
      <c r="A3086" s="2">
        <v>46089</v>
      </c>
      <c r="B3086" s="1" t="s">
        <v>5796</v>
      </c>
      <c r="C3086" s="1" t="s">
        <v>5797</v>
      </c>
      <c r="D3086" t="b">
        <f ca="1">IF(A3086="","",[1]!s_techanal_rcnthigh(B3086,$B$2,1,3))</f>
        <v>0</v>
      </c>
      <c r="E3086">
        <f ca="1">IF(A3086="","",COUNTIF(D$6:D3086,"True"))</f>
        <v>29</v>
      </c>
      <c r="F3086" t="str">
        <f t="shared" si="48"/>
        <v>600262.SH</v>
      </c>
    </row>
    <row r="3087" spans="1:6" x14ac:dyDescent="0.15">
      <c r="A3087" s="2">
        <v>46089</v>
      </c>
      <c r="B3087" s="1" t="s">
        <v>5798</v>
      </c>
      <c r="C3087" s="1" t="s">
        <v>5799</v>
      </c>
      <c r="D3087" t="b">
        <f ca="1">IF(A3087="","",[1]!s_techanal_rcnthigh(B3087,$B$2,1,3))</f>
        <v>0</v>
      </c>
      <c r="E3087">
        <f ca="1">IF(A3087="","",COUNTIF(D$6:D3087,"True"))</f>
        <v>29</v>
      </c>
      <c r="F3087" t="str">
        <f t="shared" si="48"/>
        <v>600265.SH</v>
      </c>
    </row>
    <row r="3088" spans="1:6" x14ac:dyDescent="0.15">
      <c r="A3088" s="2">
        <v>46089</v>
      </c>
      <c r="B3088" s="1" t="s">
        <v>5800</v>
      </c>
      <c r="C3088" s="1" t="s">
        <v>5801</v>
      </c>
      <c r="D3088" t="b">
        <f ca="1">IF(A3088="","",[1]!s_techanal_rcnthigh(B3088,$B$2,1,3))</f>
        <v>0</v>
      </c>
      <c r="E3088">
        <f ca="1">IF(A3088="","",COUNTIF(D$6:D3088,"True"))</f>
        <v>29</v>
      </c>
      <c r="F3088" t="str">
        <f t="shared" si="48"/>
        <v>600266.SH</v>
      </c>
    </row>
    <row r="3089" spans="1:6" x14ac:dyDescent="0.15">
      <c r="A3089" s="2">
        <v>46089</v>
      </c>
      <c r="B3089" s="1" t="s">
        <v>5802</v>
      </c>
      <c r="C3089" s="1" t="s">
        <v>5803</v>
      </c>
      <c r="D3089" t="b">
        <f ca="1">IF(A3089="","",[1]!s_techanal_rcnthigh(B3089,$B$2,1,3))</f>
        <v>0</v>
      </c>
      <c r="E3089">
        <f ca="1">IF(A3089="","",COUNTIF(D$6:D3089,"True"))</f>
        <v>29</v>
      </c>
      <c r="F3089" t="str">
        <f t="shared" si="48"/>
        <v>600267.SH</v>
      </c>
    </row>
    <row r="3090" spans="1:6" x14ac:dyDescent="0.15">
      <c r="A3090" s="2">
        <v>46089</v>
      </c>
      <c r="B3090" s="1" t="s">
        <v>5804</v>
      </c>
      <c r="C3090" s="1" t="s">
        <v>5805</v>
      </c>
      <c r="D3090" t="b">
        <f ca="1">IF(A3090="","",[1]!s_techanal_rcnthigh(B3090,$B$2,1,3))</f>
        <v>0</v>
      </c>
      <c r="E3090">
        <f ca="1">IF(A3090="","",COUNTIF(D$6:D3090,"True"))</f>
        <v>29</v>
      </c>
      <c r="F3090" t="str">
        <f t="shared" si="48"/>
        <v>600268.SH</v>
      </c>
    </row>
    <row r="3091" spans="1:6" x14ac:dyDescent="0.15">
      <c r="A3091" s="2">
        <v>46089</v>
      </c>
      <c r="B3091" s="1" t="s">
        <v>5806</v>
      </c>
      <c r="C3091" s="1" t="s">
        <v>5807</v>
      </c>
      <c r="D3091" t="b">
        <f ca="1">IF(A3091="","",[1]!s_techanal_rcnthigh(B3091,$B$2,1,3))</f>
        <v>0</v>
      </c>
      <c r="E3091">
        <f ca="1">IF(A3091="","",COUNTIF(D$6:D3091,"True"))</f>
        <v>29</v>
      </c>
      <c r="F3091" t="str">
        <f t="shared" si="48"/>
        <v>600269.SH</v>
      </c>
    </row>
    <row r="3092" spans="1:6" x14ac:dyDescent="0.15">
      <c r="A3092" s="2">
        <v>46089</v>
      </c>
      <c r="B3092" s="1" t="s">
        <v>5808</v>
      </c>
      <c r="C3092" s="1" t="s">
        <v>5809</v>
      </c>
      <c r="D3092" t="b">
        <f ca="1">IF(A3092="","",[1]!s_techanal_rcnthigh(B3092,$B$2,1,3))</f>
        <v>0</v>
      </c>
      <c r="E3092">
        <f ca="1">IF(A3092="","",COUNTIF(D$6:D3092,"True"))</f>
        <v>29</v>
      </c>
      <c r="F3092" t="str">
        <f t="shared" si="48"/>
        <v>600271.SH</v>
      </c>
    </row>
    <row r="3093" spans="1:6" x14ac:dyDescent="0.15">
      <c r="A3093" s="2">
        <v>46089</v>
      </c>
      <c r="B3093" s="1" t="s">
        <v>5810</v>
      </c>
      <c r="C3093" s="1" t="s">
        <v>5811</v>
      </c>
      <c r="D3093" t="b">
        <f ca="1">IF(A3093="","",[1]!s_techanal_rcnthigh(B3093,$B$2,1,3))</f>
        <v>0</v>
      </c>
      <c r="E3093">
        <f ca="1">IF(A3093="","",COUNTIF(D$6:D3093,"True"))</f>
        <v>29</v>
      </c>
      <c r="F3093" t="str">
        <f t="shared" si="48"/>
        <v>600272.SH</v>
      </c>
    </row>
    <row r="3094" spans="1:6" x14ac:dyDescent="0.15">
      <c r="A3094" s="2">
        <v>46089</v>
      </c>
      <c r="B3094" s="1" t="s">
        <v>5812</v>
      </c>
      <c r="C3094" s="1" t="s">
        <v>5813</v>
      </c>
      <c r="D3094" t="b">
        <f ca="1">IF(A3094="","",[1]!s_techanal_rcnthigh(B3094,$B$2,1,3))</f>
        <v>0</v>
      </c>
      <c r="E3094">
        <f ca="1">IF(A3094="","",COUNTIF(D$6:D3094,"True"))</f>
        <v>29</v>
      </c>
      <c r="F3094" t="str">
        <f t="shared" si="48"/>
        <v>600273.SH</v>
      </c>
    </row>
    <row r="3095" spans="1:6" x14ac:dyDescent="0.15">
      <c r="A3095" s="2">
        <v>46089</v>
      </c>
      <c r="B3095" s="1" t="s">
        <v>5814</v>
      </c>
      <c r="C3095" s="1" t="s">
        <v>5815</v>
      </c>
      <c r="D3095" t="b">
        <f ca="1">IF(A3095="","",[1]!s_techanal_rcnthigh(B3095,$B$2,1,3))</f>
        <v>0</v>
      </c>
      <c r="E3095">
        <f ca="1">IF(A3095="","",COUNTIF(D$6:D3095,"True"))</f>
        <v>29</v>
      </c>
      <c r="F3095" t="str">
        <f t="shared" si="48"/>
        <v>600276.SH</v>
      </c>
    </row>
    <row r="3096" spans="1:6" x14ac:dyDescent="0.15">
      <c r="A3096" s="2">
        <v>46089</v>
      </c>
      <c r="B3096" s="1" t="s">
        <v>5816</v>
      </c>
      <c r="C3096" s="1" t="s">
        <v>5817</v>
      </c>
      <c r="D3096" t="b">
        <f ca="1">IF(A3096="","",[1]!s_techanal_rcnthigh(B3096,$B$2,1,3))</f>
        <v>0</v>
      </c>
      <c r="E3096">
        <f ca="1">IF(A3096="","",COUNTIF(D$6:D3096,"True"))</f>
        <v>29</v>
      </c>
      <c r="F3096" t="str">
        <f t="shared" si="48"/>
        <v>600278.SH</v>
      </c>
    </row>
    <row r="3097" spans="1:6" x14ac:dyDescent="0.15">
      <c r="A3097" s="2">
        <v>46089</v>
      </c>
      <c r="B3097" s="1" t="s">
        <v>5818</v>
      </c>
      <c r="C3097" s="1" t="s">
        <v>5819</v>
      </c>
      <c r="D3097" t="b">
        <f ca="1">IF(A3097="","",[1]!s_techanal_rcnthigh(B3097,$B$2,1,3))</f>
        <v>0</v>
      </c>
      <c r="E3097">
        <f ca="1">IF(A3097="","",COUNTIF(D$6:D3097,"True"))</f>
        <v>29</v>
      </c>
      <c r="F3097" t="str">
        <f t="shared" si="48"/>
        <v>600279.SH</v>
      </c>
    </row>
    <row r="3098" spans="1:6" x14ac:dyDescent="0.15">
      <c r="A3098" s="2">
        <v>46089</v>
      </c>
      <c r="B3098" s="1" t="s">
        <v>5820</v>
      </c>
      <c r="C3098" s="1" t="s">
        <v>5821</v>
      </c>
      <c r="D3098" t="b">
        <f ca="1">IF(A3098="","",[1]!s_techanal_rcnthigh(B3098,$B$2,1,3))</f>
        <v>0</v>
      </c>
      <c r="E3098">
        <f ca="1">IF(A3098="","",COUNTIF(D$6:D3098,"True"))</f>
        <v>29</v>
      </c>
      <c r="F3098" t="str">
        <f t="shared" si="48"/>
        <v>600280.SH</v>
      </c>
    </row>
    <row r="3099" spans="1:6" x14ac:dyDescent="0.15">
      <c r="A3099" s="2">
        <v>46089</v>
      </c>
      <c r="B3099" s="1" t="s">
        <v>5822</v>
      </c>
      <c r="C3099" s="1" t="s">
        <v>5823</v>
      </c>
      <c r="D3099" t="b">
        <f ca="1">IF(A3099="","",[1]!s_techanal_rcnthigh(B3099,$B$2,1,3))</f>
        <v>0</v>
      </c>
      <c r="E3099">
        <f ca="1">IF(A3099="","",COUNTIF(D$6:D3099,"True"))</f>
        <v>29</v>
      </c>
      <c r="F3099" t="str">
        <f t="shared" si="48"/>
        <v>600281.SH</v>
      </c>
    </row>
    <row r="3100" spans="1:6" x14ac:dyDescent="0.15">
      <c r="A3100" s="2">
        <v>46089</v>
      </c>
      <c r="B3100" s="1" t="s">
        <v>5824</v>
      </c>
      <c r="C3100" s="1" t="s">
        <v>5825</v>
      </c>
      <c r="D3100" t="b">
        <f ca="1">IF(A3100="","",[1]!s_techanal_rcnthigh(B3100,$B$2,1,3))</f>
        <v>0</v>
      </c>
      <c r="E3100">
        <f ca="1">IF(A3100="","",COUNTIF(D$6:D3100,"True"))</f>
        <v>29</v>
      </c>
      <c r="F3100" t="str">
        <f t="shared" si="48"/>
        <v>600282.SH</v>
      </c>
    </row>
    <row r="3101" spans="1:6" x14ac:dyDescent="0.15">
      <c r="A3101" s="2">
        <v>46089</v>
      </c>
      <c r="B3101" s="1" t="s">
        <v>5826</v>
      </c>
      <c r="C3101" s="1" t="s">
        <v>5827</v>
      </c>
      <c r="D3101" t="b">
        <f ca="1">IF(A3101="","",[1]!s_techanal_rcnthigh(B3101,$B$2,1,3))</f>
        <v>0</v>
      </c>
      <c r="E3101">
        <f ca="1">IF(A3101="","",COUNTIF(D$6:D3101,"True"))</f>
        <v>29</v>
      </c>
      <c r="F3101" t="str">
        <f t="shared" si="48"/>
        <v>600283.SH</v>
      </c>
    </row>
    <row r="3102" spans="1:6" x14ac:dyDescent="0.15">
      <c r="A3102" s="2">
        <v>46089</v>
      </c>
      <c r="B3102" s="1" t="s">
        <v>5828</v>
      </c>
      <c r="C3102" s="1" t="s">
        <v>5829</v>
      </c>
      <c r="D3102" t="b">
        <f ca="1">IF(A3102="","",[1]!s_techanal_rcnthigh(B3102,$B$2,1,3))</f>
        <v>0</v>
      </c>
      <c r="E3102">
        <f ca="1">IF(A3102="","",COUNTIF(D$6:D3102,"True"))</f>
        <v>29</v>
      </c>
      <c r="F3102" t="str">
        <f t="shared" si="48"/>
        <v>600284.SH</v>
      </c>
    </row>
    <row r="3103" spans="1:6" x14ac:dyDescent="0.15">
      <c r="A3103" s="2">
        <v>46089</v>
      </c>
      <c r="B3103" s="1" t="s">
        <v>5830</v>
      </c>
      <c r="C3103" s="1" t="s">
        <v>5831</v>
      </c>
      <c r="D3103" t="b">
        <f ca="1">IF(A3103="","",[1]!s_techanal_rcnthigh(B3103,$B$2,1,3))</f>
        <v>0</v>
      </c>
      <c r="E3103">
        <f ca="1">IF(A3103="","",COUNTIF(D$6:D3103,"True"))</f>
        <v>29</v>
      </c>
      <c r="F3103" t="str">
        <f t="shared" si="48"/>
        <v>600285.SH</v>
      </c>
    </row>
    <row r="3104" spans="1:6" x14ac:dyDescent="0.15">
      <c r="A3104" s="2">
        <v>46089</v>
      </c>
      <c r="B3104" s="1" t="s">
        <v>5832</v>
      </c>
      <c r="C3104" s="1" t="s">
        <v>10402</v>
      </c>
      <c r="D3104" t="b">
        <f ca="1">IF(A3104="","",[1]!s_techanal_rcnthigh(B3104,$B$2,1,3))</f>
        <v>0</v>
      </c>
      <c r="E3104">
        <f ca="1">IF(A3104="","",COUNTIF(D$6:D3104,"True"))</f>
        <v>29</v>
      </c>
      <c r="F3104" t="str">
        <f t="shared" si="48"/>
        <v>600287.SH</v>
      </c>
    </row>
    <row r="3105" spans="1:6" x14ac:dyDescent="0.15">
      <c r="A3105" s="2">
        <v>46089</v>
      </c>
      <c r="B3105" s="1" t="s">
        <v>5833</v>
      </c>
      <c r="C3105" s="1" t="s">
        <v>5834</v>
      </c>
      <c r="D3105" t="b">
        <f ca="1">IF(A3105="","",[1]!s_techanal_rcnthigh(B3105,$B$2,1,3))</f>
        <v>0</v>
      </c>
      <c r="E3105">
        <f ca="1">IF(A3105="","",COUNTIF(D$6:D3105,"True"))</f>
        <v>29</v>
      </c>
      <c r="F3105" t="str">
        <f t="shared" si="48"/>
        <v>600288.SH</v>
      </c>
    </row>
    <row r="3106" spans="1:6" x14ac:dyDescent="0.15">
      <c r="A3106" s="2">
        <v>46089</v>
      </c>
      <c r="B3106" s="1" t="s">
        <v>5835</v>
      </c>
      <c r="C3106" s="1" t="s">
        <v>5836</v>
      </c>
      <c r="D3106" t="b">
        <f ca="1">IF(A3106="","",[1]!s_techanal_rcnthigh(B3106,$B$2,1,3))</f>
        <v>0</v>
      </c>
      <c r="E3106">
        <f ca="1">IF(A3106="","",COUNTIF(D$6:D3106,"True"))</f>
        <v>29</v>
      </c>
      <c r="F3106" t="str">
        <f t="shared" si="48"/>
        <v>600289.SH</v>
      </c>
    </row>
    <row r="3107" spans="1:6" x14ac:dyDescent="0.15">
      <c r="A3107" s="2">
        <v>46089</v>
      </c>
      <c r="B3107" s="1" t="s">
        <v>5837</v>
      </c>
      <c r="C3107" s="1" t="s">
        <v>10403</v>
      </c>
      <c r="D3107" t="b">
        <f ca="1">IF(A3107="","",[1]!s_techanal_rcnthigh(B3107,$B$2,1,3))</f>
        <v>0</v>
      </c>
      <c r="E3107">
        <f ca="1">IF(A3107="","",COUNTIF(D$6:D3107,"True"))</f>
        <v>29</v>
      </c>
      <c r="F3107" t="str">
        <f t="shared" si="48"/>
        <v>600292.SH</v>
      </c>
    </row>
    <row r="3108" spans="1:6" x14ac:dyDescent="0.15">
      <c r="A3108" s="2">
        <v>46089</v>
      </c>
      <c r="B3108" s="1" t="s">
        <v>5838</v>
      </c>
      <c r="C3108" s="1" t="s">
        <v>5839</v>
      </c>
      <c r="D3108" t="b">
        <f ca="1">IF(A3108="","",[1]!s_techanal_rcnthigh(B3108,$B$2,1,3))</f>
        <v>0</v>
      </c>
      <c r="E3108">
        <f ca="1">IF(A3108="","",COUNTIF(D$6:D3108,"True"))</f>
        <v>29</v>
      </c>
      <c r="F3108" t="str">
        <f t="shared" si="48"/>
        <v>600293.SH</v>
      </c>
    </row>
    <row r="3109" spans="1:6" x14ac:dyDescent="0.15">
      <c r="A3109" s="2">
        <v>46089</v>
      </c>
      <c r="B3109" s="1" t="s">
        <v>5840</v>
      </c>
      <c r="C3109" s="1" t="s">
        <v>5841</v>
      </c>
      <c r="D3109" t="b">
        <f ca="1">IF(A3109="","",[1]!s_techanal_rcnthigh(B3109,$B$2,1,3))</f>
        <v>0</v>
      </c>
      <c r="E3109">
        <f ca="1">IF(A3109="","",COUNTIF(D$6:D3109,"True"))</f>
        <v>29</v>
      </c>
      <c r="F3109" t="str">
        <f t="shared" si="48"/>
        <v>600295.SH</v>
      </c>
    </row>
    <row r="3110" spans="1:6" x14ac:dyDescent="0.15">
      <c r="A3110" s="2">
        <v>46089</v>
      </c>
      <c r="B3110" s="1" t="s">
        <v>5842</v>
      </c>
      <c r="C3110" s="1" t="s">
        <v>5843</v>
      </c>
      <c r="D3110" t="b">
        <f ca="1">IF(A3110="","",[1]!s_techanal_rcnthigh(B3110,$B$2,1,3))</f>
        <v>0</v>
      </c>
      <c r="E3110">
        <f ca="1">IF(A3110="","",COUNTIF(D$6:D3110,"True"))</f>
        <v>29</v>
      </c>
      <c r="F3110" t="str">
        <f t="shared" si="48"/>
        <v>600298.SH</v>
      </c>
    </row>
    <row r="3111" spans="1:6" x14ac:dyDescent="0.15">
      <c r="A3111" s="2">
        <v>46089</v>
      </c>
      <c r="B3111" s="1" t="s">
        <v>5844</v>
      </c>
      <c r="C3111" s="1" t="s">
        <v>5845</v>
      </c>
      <c r="D3111" t="b">
        <f ca="1">IF(A3111="","",[1]!s_techanal_rcnthigh(B3111,$B$2,1,3))</f>
        <v>0</v>
      </c>
      <c r="E3111">
        <f ca="1">IF(A3111="","",COUNTIF(D$6:D3111,"True"))</f>
        <v>29</v>
      </c>
      <c r="F3111" t="str">
        <f t="shared" si="48"/>
        <v>600299.SH</v>
      </c>
    </row>
    <row r="3112" spans="1:6" x14ac:dyDescent="0.15">
      <c r="A3112" s="2">
        <v>46089</v>
      </c>
      <c r="B3112" s="1" t="s">
        <v>5846</v>
      </c>
      <c r="C3112" s="1" t="s">
        <v>5847</v>
      </c>
      <c r="D3112" t="b">
        <f ca="1">IF(A3112="","",[1]!s_techanal_rcnthigh(B3112,$B$2,1,3))</f>
        <v>0</v>
      </c>
      <c r="E3112">
        <f ca="1">IF(A3112="","",COUNTIF(D$6:D3112,"True"))</f>
        <v>29</v>
      </c>
      <c r="F3112" t="str">
        <f t="shared" si="48"/>
        <v>600300.SH</v>
      </c>
    </row>
    <row r="3113" spans="1:6" x14ac:dyDescent="0.15">
      <c r="A3113" s="2">
        <v>46089</v>
      </c>
      <c r="B3113" s="1" t="s">
        <v>5848</v>
      </c>
      <c r="C3113" s="1" t="s">
        <v>5849</v>
      </c>
      <c r="D3113" t="b">
        <f ca="1">IF(A3113="","",[1]!s_techanal_rcnthigh(B3113,$B$2,1,3))</f>
        <v>0</v>
      </c>
      <c r="E3113">
        <f ca="1">IF(A3113="","",COUNTIF(D$6:D3113,"True"))</f>
        <v>29</v>
      </c>
      <c r="F3113" t="str">
        <f t="shared" si="48"/>
        <v>600301.SH</v>
      </c>
    </row>
    <row r="3114" spans="1:6" x14ac:dyDescent="0.15">
      <c r="A3114" s="2">
        <v>46089</v>
      </c>
      <c r="B3114" s="1" t="s">
        <v>5850</v>
      </c>
      <c r="C3114" s="1" t="s">
        <v>5851</v>
      </c>
      <c r="D3114" t="b">
        <f ca="1">IF(A3114="","",[1]!s_techanal_rcnthigh(B3114,$B$2,1,3))</f>
        <v>0</v>
      </c>
      <c r="E3114">
        <f ca="1">IF(A3114="","",COUNTIF(D$6:D3114,"True"))</f>
        <v>29</v>
      </c>
      <c r="F3114" t="str">
        <f t="shared" si="48"/>
        <v>600302.SH</v>
      </c>
    </row>
    <row r="3115" spans="1:6" x14ac:dyDescent="0.15">
      <c r="A3115" s="2">
        <v>46089</v>
      </c>
      <c r="B3115" s="1" t="s">
        <v>5852</v>
      </c>
      <c r="C3115" s="1" t="s">
        <v>10404</v>
      </c>
      <c r="D3115" t="b">
        <f ca="1">IF(A3115="","",[1]!s_techanal_rcnthigh(B3115,$B$2,1,3))</f>
        <v>0</v>
      </c>
      <c r="E3115">
        <f ca="1">IF(A3115="","",COUNTIF(D$6:D3115,"True"))</f>
        <v>29</v>
      </c>
      <c r="F3115" t="str">
        <f t="shared" si="48"/>
        <v>600303.SH</v>
      </c>
    </row>
    <row r="3116" spans="1:6" x14ac:dyDescent="0.15">
      <c r="A3116" s="2">
        <v>46089</v>
      </c>
      <c r="B3116" s="1" t="s">
        <v>5853</v>
      </c>
      <c r="C3116" s="1" t="s">
        <v>5854</v>
      </c>
      <c r="D3116" t="b">
        <f ca="1">IF(A3116="","",[1]!s_techanal_rcnthigh(B3116,$B$2,1,3))</f>
        <v>0</v>
      </c>
      <c r="E3116">
        <f ca="1">IF(A3116="","",COUNTIF(D$6:D3116,"True"))</f>
        <v>29</v>
      </c>
      <c r="F3116" t="str">
        <f t="shared" si="48"/>
        <v>600305.SH</v>
      </c>
    </row>
    <row r="3117" spans="1:6" x14ac:dyDescent="0.15">
      <c r="A3117" s="2">
        <v>46089</v>
      </c>
      <c r="B3117" s="1" t="s">
        <v>5855</v>
      </c>
      <c r="C3117" s="1" t="s">
        <v>5856</v>
      </c>
      <c r="D3117" t="b">
        <f ca="1">IF(A3117="","",[1]!s_techanal_rcnthigh(B3117,$B$2,1,3))</f>
        <v>0</v>
      </c>
      <c r="E3117">
        <f ca="1">IF(A3117="","",COUNTIF(D$6:D3117,"True"))</f>
        <v>29</v>
      </c>
      <c r="F3117" t="str">
        <f t="shared" si="48"/>
        <v>600307.SH</v>
      </c>
    </row>
    <row r="3118" spans="1:6" x14ac:dyDescent="0.15">
      <c r="A3118" s="2">
        <v>46089</v>
      </c>
      <c r="B3118" s="1" t="s">
        <v>5857</v>
      </c>
      <c r="C3118" s="1" t="s">
        <v>5858</v>
      </c>
      <c r="D3118" t="b">
        <f ca="1">IF(A3118="","",[1]!s_techanal_rcnthigh(B3118,$B$2,1,3))</f>
        <v>0</v>
      </c>
      <c r="E3118">
        <f ca="1">IF(A3118="","",COUNTIF(D$6:D3118,"True"))</f>
        <v>29</v>
      </c>
      <c r="F3118" t="str">
        <f t="shared" si="48"/>
        <v>600308.SH</v>
      </c>
    </row>
    <row r="3119" spans="1:6" x14ac:dyDescent="0.15">
      <c r="A3119" s="2">
        <v>46089</v>
      </c>
      <c r="B3119" s="1" t="s">
        <v>5859</v>
      </c>
      <c r="C3119" s="1" t="s">
        <v>5860</v>
      </c>
      <c r="D3119" t="b">
        <f ca="1">IF(A3119="","",[1]!s_techanal_rcnthigh(B3119,$B$2,1,3))</f>
        <v>0</v>
      </c>
      <c r="E3119">
        <f ca="1">IF(A3119="","",COUNTIF(D$6:D3119,"True"))</f>
        <v>29</v>
      </c>
      <c r="F3119" t="str">
        <f t="shared" si="48"/>
        <v>600309.SH</v>
      </c>
    </row>
    <row r="3120" spans="1:6" x14ac:dyDescent="0.15">
      <c r="A3120" s="2">
        <v>46089</v>
      </c>
      <c r="B3120" s="1" t="s">
        <v>5861</v>
      </c>
      <c r="C3120" s="1" t="s">
        <v>5862</v>
      </c>
      <c r="D3120" t="b">
        <f ca="1">IF(A3120="","",[1]!s_techanal_rcnthigh(B3120,$B$2,1,3))</f>
        <v>0</v>
      </c>
      <c r="E3120">
        <f ca="1">IF(A3120="","",COUNTIF(D$6:D3120,"True"))</f>
        <v>29</v>
      </c>
      <c r="F3120" t="str">
        <f t="shared" si="48"/>
        <v>600310.SH</v>
      </c>
    </row>
    <row r="3121" spans="1:6" x14ac:dyDescent="0.15">
      <c r="A3121" s="2">
        <v>46089</v>
      </c>
      <c r="B3121" s="1" t="s">
        <v>5863</v>
      </c>
      <c r="C3121" s="1" t="s">
        <v>5864</v>
      </c>
      <c r="D3121" t="b">
        <f ca="1">IF(A3121="","",[1]!s_techanal_rcnthigh(B3121,$B$2,1,3))</f>
        <v>1</v>
      </c>
      <c r="E3121">
        <f ca="1">IF(A3121="","",COUNTIF(D$6:D3121,"True"))</f>
        <v>30</v>
      </c>
      <c r="F3121" t="str">
        <f t="shared" si="48"/>
        <v>600312.SH</v>
      </c>
    </row>
    <row r="3122" spans="1:6" x14ac:dyDescent="0.15">
      <c r="A3122" s="2">
        <v>46089</v>
      </c>
      <c r="B3122" s="1" t="s">
        <v>5865</v>
      </c>
      <c r="C3122" s="1" t="s">
        <v>5866</v>
      </c>
      <c r="D3122" t="b">
        <f ca="1">IF(A3122="","",[1]!s_techanal_rcnthigh(B3122,$B$2,1,3))</f>
        <v>0</v>
      </c>
      <c r="E3122">
        <f ca="1">IF(A3122="","",COUNTIF(D$6:D3122,"True"))</f>
        <v>30</v>
      </c>
      <c r="F3122" t="str">
        <f t="shared" si="48"/>
        <v>600313.SH</v>
      </c>
    </row>
    <row r="3123" spans="1:6" x14ac:dyDescent="0.15">
      <c r="A3123" s="2">
        <v>46089</v>
      </c>
      <c r="B3123" s="1" t="s">
        <v>5867</v>
      </c>
      <c r="C3123" s="1" t="s">
        <v>5868</v>
      </c>
      <c r="D3123" t="b">
        <f ca="1">IF(A3123="","",[1]!s_techanal_rcnthigh(B3123,$B$2,1,3))</f>
        <v>0</v>
      </c>
      <c r="E3123">
        <f ca="1">IF(A3123="","",COUNTIF(D$6:D3123,"True"))</f>
        <v>30</v>
      </c>
      <c r="F3123" t="str">
        <f t="shared" si="48"/>
        <v>600315.SH</v>
      </c>
    </row>
    <row r="3124" spans="1:6" x14ac:dyDescent="0.15">
      <c r="A3124" s="2">
        <v>46089</v>
      </c>
      <c r="B3124" s="1" t="s">
        <v>5869</v>
      </c>
      <c r="C3124" s="1" t="s">
        <v>5870</v>
      </c>
      <c r="D3124" t="b">
        <f ca="1">IF(A3124="","",[1]!s_techanal_rcnthigh(B3124,$B$2,1,3))</f>
        <v>0</v>
      </c>
      <c r="E3124">
        <f ca="1">IF(A3124="","",COUNTIF(D$6:D3124,"True"))</f>
        <v>30</v>
      </c>
      <c r="F3124" t="str">
        <f t="shared" si="48"/>
        <v>600316.SH</v>
      </c>
    </row>
    <row r="3125" spans="1:6" x14ac:dyDescent="0.15">
      <c r="A3125" s="2">
        <v>46089</v>
      </c>
      <c r="B3125" s="1" t="s">
        <v>5871</v>
      </c>
      <c r="C3125" s="1" t="s">
        <v>5872</v>
      </c>
      <c r="D3125" t="b">
        <f ca="1">IF(A3125="","",[1]!s_techanal_rcnthigh(B3125,$B$2,1,3))</f>
        <v>0</v>
      </c>
      <c r="E3125">
        <f ca="1">IF(A3125="","",COUNTIF(D$6:D3125,"True"))</f>
        <v>30</v>
      </c>
      <c r="F3125" t="str">
        <f t="shared" si="48"/>
        <v>600318.SH</v>
      </c>
    </row>
    <row r="3126" spans="1:6" x14ac:dyDescent="0.15">
      <c r="A3126" s="2">
        <v>46089</v>
      </c>
      <c r="B3126" s="1" t="s">
        <v>5873</v>
      </c>
      <c r="C3126" s="1" t="s">
        <v>5874</v>
      </c>
      <c r="D3126" t="b">
        <f ca="1">IF(A3126="","",[1]!s_techanal_rcnthigh(B3126,$B$2,1,3))</f>
        <v>0</v>
      </c>
      <c r="E3126">
        <f ca="1">IF(A3126="","",COUNTIF(D$6:D3126,"True"))</f>
        <v>30</v>
      </c>
      <c r="F3126" t="str">
        <f t="shared" si="48"/>
        <v>600319.SH</v>
      </c>
    </row>
    <row r="3127" spans="1:6" x14ac:dyDescent="0.15">
      <c r="A3127" s="2">
        <v>46089</v>
      </c>
      <c r="B3127" s="1" t="s">
        <v>5875</v>
      </c>
      <c r="C3127" s="1" t="s">
        <v>5876</v>
      </c>
      <c r="D3127" t="b">
        <f ca="1">IF(A3127="","",[1]!s_techanal_rcnthigh(B3127,$B$2,1,3))</f>
        <v>0</v>
      </c>
      <c r="E3127">
        <f ca="1">IF(A3127="","",COUNTIF(D$6:D3127,"True"))</f>
        <v>30</v>
      </c>
      <c r="F3127" t="str">
        <f t="shared" si="48"/>
        <v>600320.SH</v>
      </c>
    </row>
    <row r="3128" spans="1:6" x14ac:dyDescent="0.15">
      <c r="A3128" s="2">
        <v>46089</v>
      </c>
      <c r="B3128" s="1" t="s">
        <v>5877</v>
      </c>
      <c r="C3128" s="1" t="s">
        <v>5878</v>
      </c>
      <c r="D3128" t="b">
        <f ca="1">IF(A3128="","",[1]!s_techanal_rcnthigh(B3128,$B$2,1,3))</f>
        <v>0</v>
      </c>
      <c r="E3128">
        <f ca="1">IF(A3128="","",COUNTIF(D$6:D3128,"True"))</f>
        <v>30</v>
      </c>
      <c r="F3128" t="str">
        <f t="shared" si="48"/>
        <v>600322.SH</v>
      </c>
    </row>
    <row r="3129" spans="1:6" x14ac:dyDescent="0.15">
      <c r="A3129" s="2">
        <v>46089</v>
      </c>
      <c r="B3129" s="1" t="s">
        <v>5879</v>
      </c>
      <c r="C3129" s="1" t="s">
        <v>5880</v>
      </c>
      <c r="D3129" t="b">
        <f ca="1">IF(A3129="","",[1]!s_techanal_rcnthigh(B3129,$B$2,1,3))</f>
        <v>0</v>
      </c>
      <c r="E3129">
        <f ca="1">IF(A3129="","",COUNTIF(D$6:D3129,"True"))</f>
        <v>30</v>
      </c>
      <c r="F3129" t="str">
        <f t="shared" si="48"/>
        <v>600323.SH</v>
      </c>
    </row>
    <row r="3130" spans="1:6" x14ac:dyDescent="0.15">
      <c r="A3130" s="2">
        <v>46089</v>
      </c>
      <c r="B3130" s="1" t="s">
        <v>5881</v>
      </c>
      <c r="C3130" s="1" t="s">
        <v>5882</v>
      </c>
      <c r="D3130" t="b">
        <f ca="1">IF(A3130="","",[1]!s_techanal_rcnthigh(B3130,$B$2,1,3))</f>
        <v>0</v>
      </c>
      <c r="E3130">
        <f ca="1">IF(A3130="","",COUNTIF(D$6:D3130,"True"))</f>
        <v>30</v>
      </c>
      <c r="F3130" t="str">
        <f t="shared" si="48"/>
        <v>600325.SH</v>
      </c>
    </row>
    <row r="3131" spans="1:6" x14ac:dyDescent="0.15">
      <c r="A3131" s="2">
        <v>46089</v>
      </c>
      <c r="B3131" s="1" t="s">
        <v>5883</v>
      </c>
      <c r="C3131" s="1" t="s">
        <v>5884</v>
      </c>
      <c r="D3131" t="b">
        <f ca="1">IF(A3131="","",[1]!s_techanal_rcnthigh(B3131,$B$2,1,3))</f>
        <v>0</v>
      </c>
      <c r="E3131">
        <f ca="1">IF(A3131="","",COUNTIF(D$6:D3131,"True"))</f>
        <v>30</v>
      </c>
      <c r="F3131" t="str">
        <f t="shared" si="48"/>
        <v>600326.SH</v>
      </c>
    </row>
    <row r="3132" spans="1:6" x14ac:dyDescent="0.15">
      <c r="A3132" s="2">
        <v>46089</v>
      </c>
      <c r="B3132" s="1" t="s">
        <v>5885</v>
      </c>
      <c r="C3132" s="1" t="s">
        <v>5886</v>
      </c>
      <c r="D3132" t="b">
        <f ca="1">IF(A3132="","",[1]!s_techanal_rcnthigh(B3132,$B$2,1,3))</f>
        <v>0</v>
      </c>
      <c r="E3132">
        <f ca="1">IF(A3132="","",COUNTIF(D$6:D3132,"True"))</f>
        <v>30</v>
      </c>
      <c r="F3132" t="str">
        <f t="shared" si="48"/>
        <v>600327.SH</v>
      </c>
    </row>
    <row r="3133" spans="1:6" x14ac:dyDescent="0.15">
      <c r="A3133" s="2">
        <v>46089</v>
      </c>
      <c r="B3133" s="1" t="s">
        <v>5887</v>
      </c>
      <c r="C3133" s="1" t="s">
        <v>5888</v>
      </c>
      <c r="D3133" t="b">
        <f ca="1">IF(A3133="","",[1]!s_techanal_rcnthigh(B3133,$B$2,1,3))</f>
        <v>0</v>
      </c>
      <c r="E3133">
        <f ca="1">IF(A3133="","",COUNTIF(D$6:D3133,"True"))</f>
        <v>30</v>
      </c>
      <c r="F3133" t="str">
        <f t="shared" si="48"/>
        <v>600328.SH</v>
      </c>
    </row>
    <row r="3134" spans="1:6" x14ac:dyDescent="0.15">
      <c r="A3134" s="2">
        <v>46089</v>
      </c>
      <c r="B3134" s="1" t="s">
        <v>5889</v>
      </c>
      <c r="C3134" s="1" t="s">
        <v>5890</v>
      </c>
      <c r="D3134" t="b">
        <f ca="1">IF(A3134="","",[1]!s_techanal_rcnthigh(B3134,$B$2,1,3))</f>
        <v>0</v>
      </c>
      <c r="E3134">
        <f ca="1">IF(A3134="","",COUNTIF(D$6:D3134,"True"))</f>
        <v>30</v>
      </c>
      <c r="F3134" t="str">
        <f t="shared" si="48"/>
        <v>600329.SH</v>
      </c>
    </row>
    <row r="3135" spans="1:6" x14ac:dyDescent="0.15">
      <c r="A3135" s="2">
        <v>46089</v>
      </c>
      <c r="B3135" s="1" t="s">
        <v>5891</v>
      </c>
      <c r="C3135" s="1" t="s">
        <v>5892</v>
      </c>
      <c r="D3135" t="b">
        <f ca="1">IF(A3135="","",[1]!s_techanal_rcnthigh(B3135,$B$2,1,3))</f>
        <v>0</v>
      </c>
      <c r="E3135">
        <f ca="1">IF(A3135="","",COUNTIF(D$6:D3135,"True"))</f>
        <v>30</v>
      </c>
      <c r="F3135" t="str">
        <f t="shared" si="48"/>
        <v>600330.SH</v>
      </c>
    </row>
    <row r="3136" spans="1:6" x14ac:dyDescent="0.15">
      <c r="A3136" s="2">
        <v>46089</v>
      </c>
      <c r="B3136" s="1" t="s">
        <v>5893</v>
      </c>
      <c r="C3136" s="1" t="s">
        <v>5894</v>
      </c>
      <c r="D3136" t="b">
        <f ca="1">IF(A3136="","",[1]!s_techanal_rcnthigh(B3136,$B$2,1,3))</f>
        <v>0</v>
      </c>
      <c r="E3136">
        <f ca="1">IF(A3136="","",COUNTIF(D$6:D3136,"True"))</f>
        <v>30</v>
      </c>
      <c r="F3136" t="str">
        <f t="shared" si="48"/>
        <v>600331.SH</v>
      </c>
    </row>
    <row r="3137" spans="1:6" x14ac:dyDescent="0.15">
      <c r="A3137" s="2">
        <v>46089</v>
      </c>
      <c r="B3137" s="1" t="s">
        <v>5895</v>
      </c>
      <c r="C3137" s="1" t="s">
        <v>5896</v>
      </c>
      <c r="D3137" t="b">
        <f ca="1">IF(A3137="","",[1]!s_techanal_rcnthigh(B3137,$B$2,1,3))</f>
        <v>0</v>
      </c>
      <c r="E3137">
        <f ca="1">IF(A3137="","",COUNTIF(D$6:D3137,"True"))</f>
        <v>30</v>
      </c>
      <c r="F3137" t="str">
        <f t="shared" si="48"/>
        <v>600332.SH</v>
      </c>
    </row>
    <row r="3138" spans="1:6" x14ac:dyDescent="0.15">
      <c r="A3138" s="2">
        <v>46089</v>
      </c>
      <c r="B3138" s="1" t="s">
        <v>5897</v>
      </c>
      <c r="C3138" s="1" t="s">
        <v>5898</v>
      </c>
      <c r="D3138" t="b">
        <f ca="1">IF(A3138="","",[1]!s_techanal_rcnthigh(B3138,$B$2,1,3))</f>
        <v>0</v>
      </c>
      <c r="E3138">
        <f ca="1">IF(A3138="","",COUNTIF(D$6:D3138,"True"))</f>
        <v>30</v>
      </c>
      <c r="F3138" t="str">
        <f t="shared" si="48"/>
        <v>600333.SH</v>
      </c>
    </row>
    <row r="3139" spans="1:6" x14ac:dyDescent="0.15">
      <c r="A3139" s="2">
        <v>46089</v>
      </c>
      <c r="B3139" s="1" t="s">
        <v>5899</v>
      </c>
      <c r="C3139" s="1" t="s">
        <v>5900</v>
      </c>
      <c r="D3139" t="b">
        <f ca="1">IF(A3139="","",[1]!s_techanal_rcnthigh(B3139,$B$2,1,3))</f>
        <v>0</v>
      </c>
      <c r="E3139">
        <f ca="1">IF(A3139="","",COUNTIF(D$6:D3139,"True"))</f>
        <v>30</v>
      </c>
      <c r="F3139" t="str">
        <f t="shared" si="48"/>
        <v>600335.SH</v>
      </c>
    </row>
    <row r="3140" spans="1:6" x14ac:dyDescent="0.15">
      <c r="A3140" s="2">
        <v>46089</v>
      </c>
      <c r="B3140" s="1" t="s">
        <v>5901</v>
      </c>
      <c r="C3140" s="1" t="s">
        <v>5902</v>
      </c>
      <c r="D3140" t="b">
        <f ca="1">IF(A3140="","",[1]!s_techanal_rcnthigh(B3140,$B$2,1,3))</f>
        <v>0</v>
      </c>
      <c r="E3140">
        <f ca="1">IF(A3140="","",COUNTIF(D$6:D3140,"True"))</f>
        <v>30</v>
      </c>
      <c r="F3140" t="str">
        <f t="shared" si="48"/>
        <v>600336.SH</v>
      </c>
    </row>
    <row r="3141" spans="1:6" x14ac:dyDescent="0.15">
      <c r="A3141" s="2">
        <v>46089</v>
      </c>
      <c r="B3141" s="1" t="s">
        <v>5903</v>
      </c>
      <c r="C3141" s="1" t="s">
        <v>5904</v>
      </c>
      <c r="D3141" t="b">
        <f ca="1">IF(A3141="","",[1]!s_techanal_rcnthigh(B3141,$B$2,1,3))</f>
        <v>0</v>
      </c>
      <c r="E3141">
        <f ca="1">IF(A3141="","",COUNTIF(D$6:D3141,"True"))</f>
        <v>30</v>
      </c>
      <c r="F3141" t="str">
        <f t="shared" si="48"/>
        <v>600337.SH</v>
      </c>
    </row>
    <row r="3142" spans="1:6" x14ac:dyDescent="0.15">
      <c r="A3142" s="2">
        <v>46089</v>
      </c>
      <c r="B3142" s="1" t="s">
        <v>5905</v>
      </c>
      <c r="C3142" s="1" t="s">
        <v>5906</v>
      </c>
      <c r="D3142" t="b">
        <f ca="1">IF(A3142="","",[1]!s_techanal_rcnthigh(B3142,$B$2,1,3))</f>
        <v>0</v>
      </c>
      <c r="E3142">
        <f ca="1">IF(A3142="","",COUNTIF(D$6:D3142,"True"))</f>
        <v>30</v>
      </c>
      <c r="F3142" t="str">
        <f t="shared" ref="F3142:F3205" si="49">IF(B3142="","",B3142)</f>
        <v>600338.SH</v>
      </c>
    </row>
    <row r="3143" spans="1:6" x14ac:dyDescent="0.15">
      <c r="A3143" s="2">
        <v>46089</v>
      </c>
      <c r="B3143" s="1" t="s">
        <v>5907</v>
      </c>
      <c r="C3143" s="1" t="s">
        <v>5908</v>
      </c>
      <c r="D3143" t="b">
        <f ca="1">IF(A3143="","",[1]!s_techanal_rcnthigh(B3143,$B$2,1,3))</f>
        <v>0</v>
      </c>
      <c r="E3143">
        <f ca="1">IF(A3143="","",COUNTIF(D$6:D3143,"True"))</f>
        <v>30</v>
      </c>
      <c r="F3143" t="str">
        <f t="shared" si="49"/>
        <v>600339.SH</v>
      </c>
    </row>
    <row r="3144" spans="1:6" x14ac:dyDescent="0.15">
      <c r="A3144" s="2">
        <v>46089</v>
      </c>
      <c r="B3144" s="1" t="s">
        <v>5909</v>
      </c>
      <c r="C3144" s="1" t="s">
        <v>5910</v>
      </c>
      <c r="D3144" t="b">
        <f ca="1">IF(A3144="","",[1]!s_techanal_rcnthigh(B3144,$B$2,1,3))</f>
        <v>0</v>
      </c>
      <c r="E3144">
        <f ca="1">IF(A3144="","",COUNTIF(D$6:D3144,"True"))</f>
        <v>30</v>
      </c>
      <c r="F3144" t="str">
        <f t="shared" si="49"/>
        <v>600340.SH</v>
      </c>
    </row>
    <row r="3145" spans="1:6" x14ac:dyDescent="0.15">
      <c r="A3145" s="2">
        <v>46089</v>
      </c>
      <c r="B3145" s="1" t="s">
        <v>5911</v>
      </c>
      <c r="C3145" s="1" t="s">
        <v>5912</v>
      </c>
      <c r="D3145" t="b">
        <f ca="1">IF(A3145="","",[1]!s_techanal_rcnthigh(B3145,$B$2,1,3))</f>
        <v>0</v>
      </c>
      <c r="E3145">
        <f ca="1">IF(A3145="","",COUNTIF(D$6:D3145,"True"))</f>
        <v>30</v>
      </c>
      <c r="F3145" t="str">
        <f t="shared" si="49"/>
        <v>600343.SH</v>
      </c>
    </row>
    <row r="3146" spans="1:6" x14ac:dyDescent="0.15">
      <c r="A3146" s="2">
        <v>46089</v>
      </c>
      <c r="B3146" s="1" t="s">
        <v>5913</v>
      </c>
      <c r="C3146" s="1" t="s">
        <v>5914</v>
      </c>
      <c r="D3146" t="b">
        <f ca="1">IF(A3146="","",[1]!s_techanal_rcnthigh(B3146,$B$2,1,3))</f>
        <v>0</v>
      </c>
      <c r="E3146">
        <f ca="1">IF(A3146="","",COUNTIF(D$6:D3146,"True"))</f>
        <v>30</v>
      </c>
      <c r="F3146" t="str">
        <f t="shared" si="49"/>
        <v>600345.SH</v>
      </c>
    </row>
    <row r="3147" spans="1:6" x14ac:dyDescent="0.15">
      <c r="A3147" s="2">
        <v>46089</v>
      </c>
      <c r="B3147" s="1" t="s">
        <v>5915</v>
      </c>
      <c r="C3147" s="1" t="s">
        <v>5916</v>
      </c>
      <c r="D3147" t="b">
        <f ca="1">IF(A3147="","",[1]!s_techanal_rcnthigh(B3147,$B$2,1,3))</f>
        <v>0</v>
      </c>
      <c r="E3147">
        <f ca="1">IF(A3147="","",COUNTIF(D$6:D3147,"True"))</f>
        <v>30</v>
      </c>
      <c r="F3147" t="str">
        <f t="shared" si="49"/>
        <v>600346.SH</v>
      </c>
    </row>
    <row r="3148" spans="1:6" x14ac:dyDescent="0.15">
      <c r="A3148" s="2">
        <v>46089</v>
      </c>
      <c r="B3148" s="1" t="s">
        <v>5917</v>
      </c>
      <c r="C3148" s="1" t="s">
        <v>5918</v>
      </c>
      <c r="D3148" t="b">
        <f ca="1">IF(A3148="","",[1]!s_techanal_rcnthigh(B3148,$B$2,1,3))</f>
        <v>0</v>
      </c>
      <c r="E3148">
        <f ca="1">IF(A3148="","",COUNTIF(D$6:D3148,"True"))</f>
        <v>30</v>
      </c>
      <c r="F3148" t="str">
        <f t="shared" si="49"/>
        <v>600348.SH</v>
      </c>
    </row>
    <row r="3149" spans="1:6" x14ac:dyDescent="0.15">
      <c r="A3149" s="2">
        <v>46089</v>
      </c>
      <c r="B3149" s="1" t="s">
        <v>5919</v>
      </c>
      <c r="C3149" s="1" t="s">
        <v>5920</v>
      </c>
      <c r="D3149" t="b">
        <f ca="1">IF(A3149="","",[1]!s_techanal_rcnthigh(B3149,$B$2,1,3))</f>
        <v>0</v>
      </c>
      <c r="E3149">
        <f ca="1">IF(A3149="","",COUNTIF(D$6:D3149,"True"))</f>
        <v>30</v>
      </c>
      <c r="F3149" t="str">
        <f t="shared" si="49"/>
        <v>600350.SH</v>
      </c>
    </row>
    <row r="3150" spans="1:6" x14ac:dyDescent="0.15">
      <c r="A3150" s="2">
        <v>46089</v>
      </c>
      <c r="B3150" s="1" t="s">
        <v>5921</v>
      </c>
      <c r="C3150" s="1" t="s">
        <v>5922</v>
      </c>
      <c r="D3150" t="b">
        <f ca="1">IF(A3150="","",[1]!s_techanal_rcnthigh(B3150,$B$2,1,3))</f>
        <v>0</v>
      </c>
      <c r="E3150">
        <f ca="1">IF(A3150="","",COUNTIF(D$6:D3150,"True"))</f>
        <v>30</v>
      </c>
      <c r="F3150" t="str">
        <f t="shared" si="49"/>
        <v>600351.SH</v>
      </c>
    </row>
    <row r="3151" spans="1:6" x14ac:dyDescent="0.15">
      <c r="A3151" s="2">
        <v>46089</v>
      </c>
      <c r="B3151" s="1" t="s">
        <v>5923</v>
      </c>
      <c r="C3151" s="1" t="s">
        <v>5924</v>
      </c>
      <c r="D3151" t="b">
        <f ca="1">IF(A3151="","",[1]!s_techanal_rcnthigh(B3151,$B$2,1,3))</f>
        <v>0</v>
      </c>
      <c r="E3151">
        <f ca="1">IF(A3151="","",COUNTIF(D$6:D3151,"True"))</f>
        <v>30</v>
      </c>
      <c r="F3151" t="str">
        <f t="shared" si="49"/>
        <v>600352.SH</v>
      </c>
    </row>
    <row r="3152" spans="1:6" x14ac:dyDescent="0.15">
      <c r="A3152" s="2">
        <v>46089</v>
      </c>
      <c r="B3152" s="1" t="s">
        <v>5925</v>
      </c>
      <c r="C3152" s="1" t="s">
        <v>5926</v>
      </c>
      <c r="D3152" t="b">
        <f ca="1">IF(A3152="","",[1]!s_techanal_rcnthigh(B3152,$B$2,1,3))</f>
        <v>0</v>
      </c>
      <c r="E3152">
        <f ca="1">IF(A3152="","",COUNTIF(D$6:D3152,"True"))</f>
        <v>30</v>
      </c>
      <c r="F3152" t="str">
        <f t="shared" si="49"/>
        <v>600353.SH</v>
      </c>
    </row>
    <row r="3153" spans="1:6" x14ac:dyDescent="0.15">
      <c r="A3153" s="2">
        <v>46089</v>
      </c>
      <c r="B3153" s="1" t="s">
        <v>5927</v>
      </c>
      <c r="C3153" s="1" t="s">
        <v>5928</v>
      </c>
      <c r="D3153" t="b">
        <f ca="1">IF(A3153="","",[1]!s_techanal_rcnthigh(B3153,$B$2,1,3))</f>
        <v>0</v>
      </c>
      <c r="E3153">
        <f ca="1">IF(A3153="","",COUNTIF(D$6:D3153,"True"))</f>
        <v>30</v>
      </c>
      <c r="F3153" t="str">
        <f t="shared" si="49"/>
        <v>600354.SH</v>
      </c>
    </row>
    <row r="3154" spans="1:6" x14ac:dyDescent="0.15">
      <c r="A3154" s="2">
        <v>46089</v>
      </c>
      <c r="B3154" s="1" t="s">
        <v>5929</v>
      </c>
      <c r="C3154" s="1" t="s">
        <v>10405</v>
      </c>
      <c r="D3154" t="b">
        <f ca="1">IF(A3154="","",[1]!s_techanal_rcnthigh(B3154,$B$2,1,3))</f>
        <v>0</v>
      </c>
      <c r="E3154">
        <f ca="1">IF(A3154="","",COUNTIF(D$6:D3154,"True"))</f>
        <v>30</v>
      </c>
      <c r="F3154" t="str">
        <f t="shared" si="49"/>
        <v>600355.SH</v>
      </c>
    </row>
    <row r="3155" spans="1:6" x14ac:dyDescent="0.15">
      <c r="A3155" s="2">
        <v>46089</v>
      </c>
      <c r="B3155" s="1" t="s">
        <v>5930</v>
      </c>
      <c r="C3155" s="1" t="s">
        <v>5931</v>
      </c>
      <c r="D3155" t="b">
        <f ca="1">IF(A3155="","",[1]!s_techanal_rcnthigh(B3155,$B$2,1,3))</f>
        <v>0</v>
      </c>
      <c r="E3155">
        <f ca="1">IF(A3155="","",COUNTIF(D$6:D3155,"True"))</f>
        <v>30</v>
      </c>
      <c r="F3155" t="str">
        <f t="shared" si="49"/>
        <v>600356.SH</v>
      </c>
    </row>
    <row r="3156" spans="1:6" x14ac:dyDescent="0.15">
      <c r="A3156" s="2">
        <v>46089</v>
      </c>
      <c r="B3156" s="1" t="s">
        <v>5932</v>
      </c>
      <c r="C3156" s="1" t="s">
        <v>10406</v>
      </c>
      <c r="D3156" t="b">
        <f ca="1">IF(A3156="","",[1]!s_techanal_rcnthigh(B3156,$B$2,1,3))</f>
        <v>0</v>
      </c>
      <c r="E3156">
        <f ca="1">IF(A3156="","",COUNTIF(D$6:D3156,"True"))</f>
        <v>30</v>
      </c>
      <c r="F3156" t="str">
        <f t="shared" si="49"/>
        <v>600358.SH</v>
      </c>
    </row>
    <row r="3157" spans="1:6" x14ac:dyDescent="0.15">
      <c r="A3157" s="2">
        <v>46089</v>
      </c>
      <c r="B3157" s="1" t="s">
        <v>5933</v>
      </c>
      <c r="C3157" s="1" t="s">
        <v>5934</v>
      </c>
      <c r="D3157" t="b">
        <f ca="1">IF(A3157="","",[1]!s_techanal_rcnthigh(B3157,$B$2,1,3))</f>
        <v>0</v>
      </c>
      <c r="E3157">
        <f ca="1">IF(A3157="","",COUNTIF(D$6:D3157,"True"))</f>
        <v>30</v>
      </c>
      <c r="F3157" t="str">
        <f t="shared" si="49"/>
        <v>600359.SH</v>
      </c>
    </row>
    <row r="3158" spans="1:6" x14ac:dyDescent="0.15">
      <c r="A3158" s="2">
        <v>46089</v>
      </c>
      <c r="B3158" s="1" t="s">
        <v>5935</v>
      </c>
      <c r="C3158" s="1" t="s">
        <v>10407</v>
      </c>
      <c r="D3158" t="b">
        <f ca="1">IF(A3158="","",[1]!s_techanal_rcnthigh(B3158,$B$2,1,3))</f>
        <v>0</v>
      </c>
      <c r="E3158">
        <f ca="1">IF(A3158="","",COUNTIF(D$6:D3158,"True"))</f>
        <v>30</v>
      </c>
      <c r="F3158" t="str">
        <f t="shared" si="49"/>
        <v>600360.SH</v>
      </c>
    </row>
    <row r="3159" spans="1:6" x14ac:dyDescent="0.15">
      <c r="A3159" s="2">
        <v>46089</v>
      </c>
      <c r="B3159" s="1" t="s">
        <v>5936</v>
      </c>
      <c r="C3159" s="1" t="s">
        <v>5937</v>
      </c>
      <c r="D3159" t="b">
        <f ca="1">IF(A3159="","",[1]!s_techanal_rcnthigh(B3159,$B$2,1,3))</f>
        <v>0</v>
      </c>
      <c r="E3159">
        <f ca="1">IF(A3159="","",COUNTIF(D$6:D3159,"True"))</f>
        <v>30</v>
      </c>
      <c r="F3159" t="str">
        <f t="shared" si="49"/>
        <v>600361.SH</v>
      </c>
    </row>
    <row r="3160" spans="1:6" x14ac:dyDescent="0.15">
      <c r="A3160" s="2">
        <v>46089</v>
      </c>
      <c r="B3160" s="1" t="s">
        <v>5938</v>
      </c>
      <c r="C3160" s="1" t="s">
        <v>5939</v>
      </c>
      <c r="D3160" t="b">
        <f ca="1">IF(A3160="","",[1]!s_techanal_rcnthigh(B3160,$B$2,1,3))</f>
        <v>0</v>
      </c>
      <c r="E3160">
        <f ca="1">IF(A3160="","",COUNTIF(D$6:D3160,"True"))</f>
        <v>30</v>
      </c>
      <c r="F3160" t="str">
        <f t="shared" si="49"/>
        <v>600362.SH</v>
      </c>
    </row>
    <row r="3161" spans="1:6" x14ac:dyDescent="0.15">
      <c r="A3161" s="2">
        <v>46089</v>
      </c>
      <c r="B3161" s="1" t="s">
        <v>5940</v>
      </c>
      <c r="C3161" s="1" t="s">
        <v>5941</v>
      </c>
      <c r="D3161" t="b">
        <f ca="1">IF(A3161="","",[1]!s_techanal_rcnthigh(B3161,$B$2,1,3))</f>
        <v>0</v>
      </c>
      <c r="E3161">
        <f ca="1">IF(A3161="","",COUNTIF(D$6:D3161,"True"))</f>
        <v>30</v>
      </c>
      <c r="F3161" t="str">
        <f t="shared" si="49"/>
        <v>600363.SH</v>
      </c>
    </row>
    <row r="3162" spans="1:6" x14ac:dyDescent="0.15">
      <c r="A3162" s="2">
        <v>46089</v>
      </c>
      <c r="B3162" s="1" t="s">
        <v>5942</v>
      </c>
      <c r="C3162" s="1" t="s">
        <v>5943</v>
      </c>
      <c r="D3162" t="b">
        <f ca="1">IF(A3162="","",[1]!s_techanal_rcnthigh(B3162,$B$2,1,3))</f>
        <v>0</v>
      </c>
      <c r="E3162">
        <f ca="1">IF(A3162="","",COUNTIF(D$6:D3162,"True"))</f>
        <v>30</v>
      </c>
      <c r="F3162" t="str">
        <f t="shared" si="49"/>
        <v>600365.SH</v>
      </c>
    </row>
    <row r="3163" spans="1:6" x14ac:dyDescent="0.15">
      <c r="A3163" s="2">
        <v>46089</v>
      </c>
      <c r="B3163" s="1" t="s">
        <v>5944</v>
      </c>
      <c r="C3163" s="1" t="s">
        <v>5945</v>
      </c>
      <c r="D3163" t="b">
        <f ca="1">IF(A3163="","",[1]!s_techanal_rcnthigh(B3163,$B$2,1,3))</f>
        <v>0</v>
      </c>
      <c r="E3163">
        <f ca="1">IF(A3163="","",COUNTIF(D$6:D3163,"True"))</f>
        <v>30</v>
      </c>
      <c r="F3163" t="str">
        <f t="shared" si="49"/>
        <v>600366.SH</v>
      </c>
    </row>
    <row r="3164" spans="1:6" x14ac:dyDescent="0.15">
      <c r="A3164" s="2">
        <v>46089</v>
      </c>
      <c r="B3164" s="1" t="s">
        <v>5946</v>
      </c>
      <c r="C3164" s="1" t="s">
        <v>5947</v>
      </c>
      <c r="D3164" t="b">
        <f ca="1">IF(A3164="","",[1]!s_techanal_rcnthigh(B3164,$B$2,1,3))</f>
        <v>0</v>
      </c>
      <c r="E3164">
        <f ca="1">IF(A3164="","",COUNTIF(D$6:D3164,"True"))</f>
        <v>30</v>
      </c>
      <c r="F3164" t="str">
        <f t="shared" si="49"/>
        <v>600367.SH</v>
      </c>
    </row>
    <row r="3165" spans="1:6" x14ac:dyDescent="0.15">
      <c r="A3165" s="2">
        <v>46089</v>
      </c>
      <c r="B3165" s="1" t="s">
        <v>5948</v>
      </c>
      <c r="C3165" s="1" t="s">
        <v>5949</v>
      </c>
      <c r="D3165" t="b">
        <f ca="1">IF(A3165="","",[1]!s_techanal_rcnthigh(B3165,$B$2,1,3))</f>
        <v>0</v>
      </c>
      <c r="E3165">
        <f ca="1">IF(A3165="","",COUNTIF(D$6:D3165,"True"))</f>
        <v>30</v>
      </c>
      <c r="F3165" t="str">
        <f t="shared" si="49"/>
        <v>600368.SH</v>
      </c>
    </row>
    <row r="3166" spans="1:6" x14ac:dyDescent="0.15">
      <c r="A3166" s="2">
        <v>46089</v>
      </c>
      <c r="B3166" s="1" t="s">
        <v>5950</v>
      </c>
      <c r="C3166" s="1" t="s">
        <v>5951</v>
      </c>
      <c r="D3166" t="b">
        <f ca="1">IF(A3166="","",[1]!s_techanal_rcnthigh(B3166,$B$2,1,3))</f>
        <v>0</v>
      </c>
      <c r="E3166">
        <f ca="1">IF(A3166="","",COUNTIF(D$6:D3166,"True"))</f>
        <v>30</v>
      </c>
      <c r="F3166" t="str">
        <f t="shared" si="49"/>
        <v>600369.SH</v>
      </c>
    </row>
    <row r="3167" spans="1:6" x14ac:dyDescent="0.15">
      <c r="A3167" s="2">
        <v>46089</v>
      </c>
      <c r="B3167" s="1" t="s">
        <v>5952</v>
      </c>
      <c r="C3167" s="1" t="s">
        <v>5953</v>
      </c>
      <c r="D3167" t="b">
        <f ca="1">IF(A3167="","",[1]!s_techanal_rcnthigh(B3167,$B$2,1,3))</f>
        <v>0</v>
      </c>
      <c r="E3167">
        <f ca="1">IF(A3167="","",COUNTIF(D$6:D3167,"True"))</f>
        <v>30</v>
      </c>
      <c r="F3167" t="str">
        <f t="shared" si="49"/>
        <v>600370.SH</v>
      </c>
    </row>
    <row r="3168" spans="1:6" x14ac:dyDescent="0.15">
      <c r="A3168" s="2">
        <v>46089</v>
      </c>
      <c r="B3168" s="1" t="s">
        <v>5954</v>
      </c>
      <c r="C3168" s="1" t="s">
        <v>5955</v>
      </c>
      <c r="D3168" t="b">
        <f ca="1">IF(A3168="","",[1]!s_techanal_rcnthigh(B3168,$B$2,1,3))</f>
        <v>0</v>
      </c>
      <c r="E3168">
        <f ca="1">IF(A3168="","",COUNTIF(D$6:D3168,"True"))</f>
        <v>30</v>
      </c>
      <c r="F3168" t="str">
        <f t="shared" si="49"/>
        <v>600371.SH</v>
      </c>
    </row>
    <row r="3169" spans="1:6" x14ac:dyDescent="0.15">
      <c r="A3169" s="2">
        <v>46089</v>
      </c>
      <c r="B3169" s="1" t="s">
        <v>5956</v>
      </c>
      <c r="C3169" s="1" t="s">
        <v>5957</v>
      </c>
      <c r="D3169" t="b">
        <f ca="1">IF(A3169="","",[1]!s_techanal_rcnthigh(B3169,$B$2,1,3))</f>
        <v>0</v>
      </c>
      <c r="E3169">
        <f ca="1">IF(A3169="","",COUNTIF(D$6:D3169,"True"))</f>
        <v>30</v>
      </c>
      <c r="F3169" t="str">
        <f t="shared" si="49"/>
        <v>600372.SH</v>
      </c>
    </row>
    <row r="3170" spans="1:6" x14ac:dyDescent="0.15">
      <c r="A3170" s="2">
        <v>46089</v>
      </c>
      <c r="B3170" s="1" t="s">
        <v>5958</v>
      </c>
      <c r="C3170" s="1" t="s">
        <v>5959</v>
      </c>
      <c r="D3170" t="b">
        <f ca="1">IF(A3170="","",[1]!s_techanal_rcnthigh(B3170,$B$2,1,3))</f>
        <v>0</v>
      </c>
      <c r="E3170">
        <f ca="1">IF(A3170="","",COUNTIF(D$6:D3170,"True"))</f>
        <v>30</v>
      </c>
      <c r="F3170" t="str">
        <f t="shared" si="49"/>
        <v>600373.SH</v>
      </c>
    </row>
    <row r="3171" spans="1:6" x14ac:dyDescent="0.15">
      <c r="A3171" s="2">
        <v>46089</v>
      </c>
      <c r="B3171" s="1" t="s">
        <v>5960</v>
      </c>
      <c r="C3171" s="1" t="s">
        <v>10408</v>
      </c>
      <c r="D3171" t="b">
        <f ca="1">IF(A3171="","",[1]!s_techanal_rcnthigh(B3171,$B$2,1,3))</f>
        <v>0</v>
      </c>
      <c r="E3171">
        <f ca="1">IF(A3171="","",COUNTIF(D$6:D3171,"True"))</f>
        <v>30</v>
      </c>
      <c r="F3171" t="str">
        <f t="shared" si="49"/>
        <v>600375.SH</v>
      </c>
    </row>
    <row r="3172" spans="1:6" x14ac:dyDescent="0.15">
      <c r="A3172" s="2">
        <v>46089</v>
      </c>
      <c r="B3172" s="1" t="s">
        <v>5961</v>
      </c>
      <c r="C3172" s="1" t="s">
        <v>5962</v>
      </c>
      <c r="D3172" t="b">
        <f ca="1">IF(A3172="","",[1]!s_techanal_rcnthigh(B3172,$B$2,1,3))</f>
        <v>0</v>
      </c>
      <c r="E3172">
        <f ca="1">IF(A3172="","",COUNTIF(D$6:D3172,"True"))</f>
        <v>30</v>
      </c>
      <c r="F3172" t="str">
        <f t="shared" si="49"/>
        <v>600376.SH</v>
      </c>
    </row>
    <row r="3173" spans="1:6" x14ac:dyDescent="0.15">
      <c r="A3173" s="2">
        <v>46089</v>
      </c>
      <c r="B3173" s="1" t="s">
        <v>5963</v>
      </c>
      <c r="C3173" s="1" t="s">
        <v>5964</v>
      </c>
      <c r="D3173" t="b">
        <f ca="1">IF(A3173="","",[1]!s_techanal_rcnthigh(B3173,$B$2,1,3))</f>
        <v>0</v>
      </c>
      <c r="E3173">
        <f ca="1">IF(A3173="","",COUNTIF(D$6:D3173,"True"))</f>
        <v>30</v>
      </c>
      <c r="F3173" t="str">
        <f t="shared" si="49"/>
        <v>600377.SH</v>
      </c>
    </row>
    <row r="3174" spans="1:6" x14ac:dyDescent="0.15">
      <c r="A3174" s="2">
        <v>46089</v>
      </c>
      <c r="B3174" s="1" t="s">
        <v>5965</v>
      </c>
      <c r="C3174" s="1" t="s">
        <v>5966</v>
      </c>
      <c r="D3174" t="b">
        <f ca="1">IF(A3174="","",[1]!s_techanal_rcnthigh(B3174,$B$2,1,3))</f>
        <v>0</v>
      </c>
      <c r="E3174">
        <f ca="1">IF(A3174="","",COUNTIF(D$6:D3174,"True"))</f>
        <v>30</v>
      </c>
      <c r="F3174" t="str">
        <f t="shared" si="49"/>
        <v>600378.SH</v>
      </c>
    </row>
    <row r="3175" spans="1:6" x14ac:dyDescent="0.15">
      <c r="A3175" s="2">
        <v>46089</v>
      </c>
      <c r="B3175" s="1" t="s">
        <v>5967</v>
      </c>
      <c r="C3175" s="1" t="s">
        <v>5968</v>
      </c>
      <c r="D3175" t="b">
        <f ca="1">IF(A3175="","",[1]!s_techanal_rcnthigh(B3175,$B$2,1,3))</f>
        <v>0</v>
      </c>
      <c r="E3175">
        <f ca="1">IF(A3175="","",COUNTIF(D$6:D3175,"True"))</f>
        <v>30</v>
      </c>
      <c r="F3175" t="str">
        <f t="shared" si="49"/>
        <v>600379.SH</v>
      </c>
    </row>
    <row r="3176" spans="1:6" x14ac:dyDescent="0.15">
      <c r="A3176" s="2">
        <v>46089</v>
      </c>
      <c r="B3176" s="1" t="s">
        <v>5969</v>
      </c>
      <c r="C3176" s="1" t="s">
        <v>5970</v>
      </c>
      <c r="D3176" t="b">
        <f ca="1">IF(A3176="","",[1]!s_techanal_rcnthigh(B3176,$B$2,1,3))</f>
        <v>0</v>
      </c>
      <c r="E3176">
        <f ca="1">IF(A3176="","",COUNTIF(D$6:D3176,"True"))</f>
        <v>30</v>
      </c>
      <c r="F3176" t="str">
        <f t="shared" si="49"/>
        <v>600380.SH</v>
      </c>
    </row>
    <row r="3177" spans="1:6" x14ac:dyDescent="0.15">
      <c r="A3177" s="2">
        <v>46089</v>
      </c>
      <c r="B3177" s="1" t="s">
        <v>5971</v>
      </c>
      <c r="C3177" s="1" t="s">
        <v>10409</v>
      </c>
      <c r="D3177" t="b">
        <f ca="1">IF(A3177="","",[1]!s_techanal_rcnthigh(B3177,$B$2,1,3))</f>
        <v>0</v>
      </c>
      <c r="E3177">
        <f ca="1">IF(A3177="","",COUNTIF(D$6:D3177,"True"))</f>
        <v>30</v>
      </c>
      <c r="F3177" t="str">
        <f t="shared" si="49"/>
        <v>600381.SH</v>
      </c>
    </row>
    <row r="3178" spans="1:6" x14ac:dyDescent="0.15">
      <c r="A3178" s="2">
        <v>46089</v>
      </c>
      <c r="B3178" s="1" t="s">
        <v>5972</v>
      </c>
      <c r="C3178" s="1" t="s">
        <v>5973</v>
      </c>
      <c r="D3178" t="b">
        <f ca="1">IF(A3178="","",[1]!s_techanal_rcnthigh(B3178,$B$2,1,3))</f>
        <v>0</v>
      </c>
      <c r="E3178">
        <f ca="1">IF(A3178="","",COUNTIF(D$6:D3178,"True"))</f>
        <v>30</v>
      </c>
      <c r="F3178" t="str">
        <f t="shared" si="49"/>
        <v>600382.SH</v>
      </c>
    </row>
    <row r="3179" spans="1:6" x14ac:dyDescent="0.15">
      <c r="A3179" s="2">
        <v>46089</v>
      </c>
      <c r="B3179" s="1" t="s">
        <v>5974</v>
      </c>
      <c r="C3179" s="1" t="s">
        <v>5975</v>
      </c>
      <c r="D3179" t="b">
        <f ca="1">IF(A3179="","",[1]!s_techanal_rcnthigh(B3179,$B$2,1,3))</f>
        <v>0</v>
      </c>
      <c r="E3179">
        <f ca="1">IF(A3179="","",COUNTIF(D$6:D3179,"True"))</f>
        <v>30</v>
      </c>
      <c r="F3179" t="str">
        <f t="shared" si="49"/>
        <v>600383.SH</v>
      </c>
    </row>
    <row r="3180" spans="1:6" x14ac:dyDescent="0.15">
      <c r="A3180" s="2">
        <v>46089</v>
      </c>
      <c r="B3180" s="1" t="s">
        <v>5976</v>
      </c>
      <c r="C3180" s="1" t="s">
        <v>5977</v>
      </c>
      <c r="D3180" t="b">
        <f ca="1">IF(A3180="","",[1]!s_techanal_rcnthigh(B3180,$B$2,1,3))</f>
        <v>0</v>
      </c>
      <c r="E3180">
        <f ca="1">IF(A3180="","",COUNTIF(D$6:D3180,"True"))</f>
        <v>30</v>
      </c>
      <c r="F3180" t="str">
        <f t="shared" si="49"/>
        <v>600386.SH</v>
      </c>
    </row>
    <row r="3181" spans="1:6" x14ac:dyDescent="0.15">
      <c r="A3181" s="2">
        <v>46089</v>
      </c>
      <c r="B3181" s="1" t="s">
        <v>5978</v>
      </c>
      <c r="C3181" s="1" t="s">
        <v>5979</v>
      </c>
      <c r="D3181" t="b">
        <f ca="1">IF(A3181="","",[1]!s_techanal_rcnthigh(B3181,$B$2,1,3))</f>
        <v>0</v>
      </c>
      <c r="E3181">
        <f ca="1">IF(A3181="","",COUNTIF(D$6:D3181,"True"))</f>
        <v>30</v>
      </c>
      <c r="F3181" t="str">
        <f t="shared" si="49"/>
        <v>600388.SH</v>
      </c>
    </row>
    <row r="3182" spans="1:6" x14ac:dyDescent="0.15">
      <c r="A3182" s="2">
        <v>46089</v>
      </c>
      <c r="B3182" s="1" t="s">
        <v>5980</v>
      </c>
      <c r="C3182" s="1" t="s">
        <v>5981</v>
      </c>
      <c r="D3182" t="b">
        <f ca="1">IF(A3182="","",[1]!s_techanal_rcnthigh(B3182,$B$2,1,3))</f>
        <v>0</v>
      </c>
      <c r="E3182">
        <f ca="1">IF(A3182="","",COUNTIF(D$6:D3182,"True"))</f>
        <v>30</v>
      </c>
      <c r="F3182" t="str">
        <f t="shared" si="49"/>
        <v>600389.SH</v>
      </c>
    </row>
    <row r="3183" spans="1:6" x14ac:dyDescent="0.15">
      <c r="A3183" s="2">
        <v>46089</v>
      </c>
      <c r="B3183" s="1" t="s">
        <v>5982</v>
      </c>
      <c r="C3183" s="1" t="s">
        <v>5983</v>
      </c>
      <c r="D3183" t="b">
        <f ca="1">IF(A3183="","",[1]!s_techanal_rcnthigh(B3183,$B$2,1,3))</f>
        <v>0</v>
      </c>
      <c r="E3183">
        <f ca="1">IF(A3183="","",COUNTIF(D$6:D3183,"True"))</f>
        <v>30</v>
      </c>
      <c r="F3183" t="str">
        <f t="shared" si="49"/>
        <v>600390.SH</v>
      </c>
    </row>
    <row r="3184" spans="1:6" x14ac:dyDescent="0.15">
      <c r="A3184" s="2">
        <v>46089</v>
      </c>
      <c r="B3184" s="1" t="s">
        <v>5984</v>
      </c>
      <c r="C3184" s="1" t="s">
        <v>5985</v>
      </c>
      <c r="D3184" t="b">
        <f ca="1">IF(A3184="","",[1]!s_techanal_rcnthigh(B3184,$B$2,1,3))</f>
        <v>0</v>
      </c>
      <c r="E3184">
        <f ca="1">IF(A3184="","",COUNTIF(D$6:D3184,"True"))</f>
        <v>30</v>
      </c>
      <c r="F3184" t="str">
        <f t="shared" si="49"/>
        <v>600391.SH</v>
      </c>
    </row>
    <row r="3185" spans="1:6" x14ac:dyDescent="0.15">
      <c r="A3185" s="2">
        <v>46089</v>
      </c>
      <c r="B3185" s="1" t="s">
        <v>5986</v>
      </c>
      <c r="C3185" s="1" t="s">
        <v>5987</v>
      </c>
      <c r="D3185" t="b">
        <f ca="1">IF(A3185="","",[1]!s_techanal_rcnthigh(B3185,$B$2,1,3))</f>
        <v>0</v>
      </c>
      <c r="E3185">
        <f ca="1">IF(A3185="","",COUNTIF(D$6:D3185,"True"))</f>
        <v>30</v>
      </c>
      <c r="F3185" t="str">
        <f t="shared" si="49"/>
        <v>600392.SH</v>
      </c>
    </row>
    <row r="3186" spans="1:6" x14ac:dyDescent="0.15">
      <c r="A3186" s="2">
        <v>46089</v>
      </c>
      <c r="B3186" s="1" t="s">
        <v>5988</v>
      </c>
      <c r="C3186" s="1" t="s">
        <v>5989</v>
      </c>
      <c r="D3186" t="b">
        <f ca="1">IF(A3186="","",[1]!s_techanal_rcnthigh(B3186,$B$2,1,3))</f>
        <v>0</v>
      </c>
      <c r="E3186">
        <f ca="1">IF(A3186="","",COUNTIF(D$6:D3186,"True"))</f>
        <v>30</v>
      </c>
      <c r="F3186" t="str">
        <f t="shared" si="49"/>
        <v>600395.SH</v>
      </c>
    </row>
    <row r="3187" spans="1:6" x14ac:dyDescent="0.15">
      <c r="A3187" s="2">
        <v>46089</v>
      </c>
      <c r="B3187" s="1" t="s">
        <v>5990</v>
      </c>
      <c r="C3187" s="1" t="s">
        <v>10410</v>
      </c>
      <c r="D3187" t="b">
        <f ca="1">IF(A3187="","",[1]!s_techanal_rcnthigh(B3187,$B$2,1,3))</f>
        <v>0</v>
      </c>
      <c r="E3187">
        <f ca="1">IF(A3187="","",COUNTIF(D$6:D3187,"True"))</f>
        <v>30</v>
      </c>
      <c r="F3187" t="str">
        <f t="shared" si="49"/>
        <v>600396.SH</v>
      </c>
    </row>
    <row r="3188" spans="1:6" x14ac:dyDescent="0.15">
      <c r="A3188" s="2">
        <v>46089</v>
      </c>
      <c r="B3188" s="1" t="s">
        <v>5991</v>
      </c>
      <c r="C3188" s="1" t="s">
        <v>10411</v>
      </c>
      <c r="D3188" t="b">
        <f ca="1">IF(A3188="","",[1]!s_techanal_rcnthigh(B3188,$B$2,1,3))</f>
        <v>0</v>
      </c>
      <c r="E3188">
        <f ca="1">IF(A3188="","",COUNTIF(D$6:D3188,"True"))</f>
        <v>30</v>
      </c>
      <c r="F3188" t="str">
        <f t="shared" si="49"/>
        <v>600397.SH</v>
      </c>
    </row>
    <row r="3189" spans="1:6" x14ac:dyDescent="0.15">
      <c r="A3189" s="2">
        <v>46089</v>
      </c>
      <c r="B3189" s="1" t="s">
        <v>5992</v>
      </c>
      <c r="C3189" s="1" t="s">
        <v>5993</v>
      </c>
      <c r="D3189" t="b">
        <f ca="1">IF(A3189="","",[1]!s_techanal_rcnthigh(B3189,$B$2,1,3))</f>
        <v>0</v>
      </c>
      <c r="E3189">
        <f ca="1">IF(A3189="","",COUNTIF(D$6:D3189,"True"))</f>
        <v>30</v>
      </c>
      <c r="F3189" t="str">
        <f t="shared" si="49"/>
        <v>600398.SH</v>
      </c>
    </row>
    <row r="3190" spans="1:6" x14ac:dyDescent="0.15">
      <c r="A3190" s="2">
        <v>46089</v>
      </c>
      <c r="B3190" s="1" t="s">
        <v>5994</v>
      </c>
      <c r="C3190" s="1" t="s">
        <v>5995</v>
      </c>
      <c r="D3190" t="b">
        <f ca="1">IF(A3190="","",[1]!s_techanal_rcnthigh(B3190,$B$2,1,3))</f>
        <v>0</v>
      </c>
      <c r="E3190">
        <f ca="1">IF(A3190="","",COUNTIF(D$6:D3190,"True"))</f>
        <v>30</v>
      </c>
      <c r="F3190" t="str">
        <f t="shared" si="49"/>
        <v>600399.SH</v>
      </c>
    </row>
    <row r="3191" spans="1:6" x14ac:dyDescent="0.15">
      <c r="A3191" s="2">
        <v>46089</v>
      </c>
      <c r="B3191" s="1" t="s">
        <v>5996</v>
      </c>
      <c r="C3191" s="1" t="s">
        <v>5997</v>
      </c>
      <c r="D3191" t="b">
        <f ca="1">IF(A3191="","",[1]!s_techanal_rcnthigh(B3191,$B$2,1,3))</f>
        <v>0</v>
      </c>
      <c r="E3191">
        <f ca="1">IF(A3191="","",COUNTIF(D$6:D3191,"True"))</f>
        <v>30</v>
      </c>
      <c r="F3191" t="str">
        <f t="shared" si="49"/>
        <v>600400.SH</v>
      </c>
    </row>
    <row r="3192" spans="1:6" x14ac:dyDescent="0.15">
      <c r="A3192" s="2">
        <v>46089</v>
      </c>
      <c r="B3192" s="1" t="s">
        <v>5998</v>
      </c>
      <c r="C3192" s="1" t="s">
        <v>5999</v>
      </c>
      <c r="D3192" t="b">
        <f ca="1">IF(A3192="","",[1]!s_techanal_rcnthigh(B3192,$B$2,1,3))</f>
        <v>0</v>
      </c>
      <c r="E3192">
        <f ca="1">IF(A3192="","",COUNTIF(D$6:D3192,"True"))</f>
        <v>30</v>
      </c>
      <c r="F3192" t="str">
        <f t="shared" si="49"/>
        <v>600403.SH</v>
      </c>
    </row>
    <row r="3193" spans="1:6" x14ac:dyDescent="0.15">
      <c r="A3193" s="2">
        <v>46089</v>
      </c>
      <c r="B3193" s="1" t="s">
        <v>6000</v>
      </c>
      <c r="C3193" s="1" t="s">
        <v>6001</v>
      </c>
      <c r="D3193" t="b">
        <f ca="1">IF(A3193="","",[1]!s_techanal_rcnthigh(B3193,$B$2,1,3))</f>
        <v>0</v>
      </c>
      <c r="E3193">
        <f ca="1">IF(A3193="","",COUNTIF(D$6:D3193,"True"))</f>
        <v>30</v>
      </c>
      <c r="F3193" t="str">
        <f t="shared" si="49"/>
        <v>600405.SH</v>
      </c>
    </row>
    <row r="3194" spans="1:6" x14ac:dyDescent="0.15">
      <c r="A3194" s="2">
        <v>46089</v>
      </c>
      <c r="B3194" s="1" t="s">
        <v>6002</v>
      </c>
      <c r="C3194" s="1" t="s">
        <v>6003</v>
      </c>
      <c r="D3194" t="b">
        <f ca="1">IF(A3194="","",[1]!s_techanal_rcnthigh(B3194,$B$2,1,3))</f>
        <v>0</v>
      </c>
      <c r="E3194">
        <f ca="1">IF(A3194="","",COUNTIF(D$6:D3194,"True"))</f>
        <v>30</v>
      </c>
      <c r="F3194" t="str">
        <f t="shared" si="49"/>
        <v>600406.SH</v>
      </c>
    </row>
    <row r="3195" spans="1:6" x14ac:dyDescent="0.15">
      <c r="A3195" s="2">
        <v>46089</v>
      </c>
      <c r="B3195" s="1" t="s">
        <v>6004</v>
      </c>
      <c r="C3195" s="1" t="s">
        <v>6005</v>
      </c>
      <c r="D3195" t="b">
        <f ca="1">IF(A3195="","",[1]!s_techanal_rcnthigh(B3195,$B$2,1,3))</f>
        <v>0</v>
      </c>
      <c r="E3195">
        <f ca="1">IF(A3195="","",COUNTIF(D$6:D3195,"True"))</f>
        <v>30</v>
      </c>
      <c r="F3195" t="str">
        <f t="shared" si="49"/>
        <v>600408.SH</v>
      </c>
    </row>
    <row r="3196" spans="1:6" x14ac:dyDescent="0.15">
      <c r="A3196" s="2">
        <v>46089</v>
      </c>
      <c r="B3196" s="1" t="s">
        <v>6006</v>
      </c>
      <c r="C3196" s="1" t="s">
        <v>6007</v>
      </c>
      <c r="D3196" t="b">
        <f ca="1">IF(A3196="","",[1]!s_techanal_rcnthigh(B3196,$B$2,1,3))</f>
        <v>0</v>
      </c>
      <c r="E3196">
        <f ca="1">IF(A3196="","",COUNTIF(D$6:D3196,"True"))</f>
        <v>30</v>
      </c>
      <c r="F3196" t="str">
        <f t="shared" si="49"/>
        <v>600409.SH</v>
      </c>
    </row>
    <row r="3197" spans="1:6" x14ac:dyDescent="0.15">
      <c r="A3197" s="2">
        <v>46089</v>
      </c>
      <c r="B3197" s="1" t="s">
        <v>6008</v>
      </c>
      <c r="C3197" s="1" t="s">
        <v>6009</v>
      </c>
      <c r="D3197" t="b">
        <f ca="1">IF(A3197="","",[1]!s_techanal_rcnthigh(B3197,$B$2,1,3))</f>
        <v>0</v>
      </c>
      <c r="E3197">
        <f ca="1">IF(A3197="","",COUNTIF(D$6:D3197,"True"))</f>
        <v>30</v>
      </c>
      <c r="F3197" t="str">
        <f t="shared" si="49"/>
        <v>600410.SH</v>
      </c>
    </row>
    <row r="3198" spans="1:6" x14ac:dyDescent="0.15">
      <c r="A3198" s="2">
        <v>46089</v>
      </c>
      <c r="B3198" s="1" t="s">
        <v>6010</v>
      </c>
      <c r="C3198" s="1" t="s">
        <v>6011</v>
      </c>
      <c r="D3198" t="b">
        <f ca="1">IF(A3198="","",[1]!s_techanal_rcnthigh(B3198,$B$2,1,3))</f>
        <v>0</v>
      </c>
      <c r="E3198">
        <f ca="1">IF(A3198="","",COUNTIF(D$6:D3198,"True"))</f>
        <v>30</v>
      </c>
      <c r="F3198" t="str">
        <f t="shared" si="49"/>
        <v>600415.SH</v>
      </c>
    </row>
    <row r="3199" spans="1:6" x14ac:dyDescent="0.15">
      <c r="A3199" s="2">
        <v>46089</v>
      </c>
      <c r="B3199" s="1" t="s">
        <v>6012</v>
      </c>
      <c r="C3199" s="1" t="s">
        <v>6013</v>
      </c>
      <c r="D3199" t="b">
        <f ca="1">IF(A3199="","",[1]!s_techanal_rcnthigh(B3199,$B$2,1,3))</f>
        <v>0</v>
      </c>
      <c r="E3199">
        <f ca="1">IF(A3199="","",COUNTIF(D$6:D3199,"True"))</f>
        <v>30</v>
      </c>
      <c r="F3199" t="str">
        <f t="shared" si="49"/>
        <v>600416.SH</v>
      </c>
    </row>
    <row r="3200" spans="1:6" x14ac:dyDescent="0.15">
      <c r="A3200" s="2">
        <v>46089</v>
      </c>
      <c r="B3200" s="1" t="s">
        <v>6014</v>
      </c>
      <c r="C3200" s="1" t="s">
        <v>6015</v>
      </c>
      <c r="D3200" t="b">
        <f ca="1">IF(A3200="","",[1]!s_techanal_rcnthigh(B3200,$B$2,1,3))</f>
        <v>0</v>
      </c>
      <c r="E3200">
        <f ca="1">IF(A3200="","",COUNTIF(D$6:D3200,"True"))</f>
        <v>30</v>
      </c>
      <c r="F3200" t="str">
        <f t="shared" si="49"/>
        <v>600418.SH</v>
      </c>
    </row>
    <row r="3201" spans="1:6" x14ac:dyDescent="0.15">
      <c r="A3201" s="2">
        <v>46089</v>
      </c>
      <c r="B3201" s="1" t="s">
        <v>6016</v>
      </c>
      <c r="C3201" s="1" t="s">
        <v>6017</v>
      </c>
      <c r="D3201" t="b">
        <f ca="1">IF(A3201="","",[1]!s_techanal_rcnthigh(B3201,$B$2,1,3))</f>
        <v>0</v>
      </c>
      <c r="E3201">
        <f ca="1">IF(A3201="","",COUNTIF(D$6:D3201,"True"))</f>
        <v>30</v>
      </c>
      <c r="F3201" t="str">
        <f t="shared" si="49"/>
        <v>600419.SH</v>
      </c>
    </row>
    <row r="3202" spans="1:6" x14ac:dyDescent="0.15">
      <c r="A3202" s="2">
        <v>46089</v>
      </c>
      <c r="B3202" s="1" t="s">
        <v>6018</v>
      </c>
      <c r="C3202" s="1" t="s">
        <v>6019</v>
      </c>
      <c r="D3202" t="b">
        <f ca="1">IF(A3202="","",[1]!s_techanal_rcnthigh(B3202,$B$2,1,3))</f>
        <v>0</v>
      </c>
      <c r="E3202">
        <f ca="1">IF(A3202="","",COUNTIF(D$6:D3202,"True"))</f>
        <v>30</v>
      </c>
      <c r="F3202" t="str">
        <f t="shared" si="49"/>
        <v>600420.SH</v>
      </c>
    </row>
    <row r="3203" spans="1:6" x14ac:dyDescent="0.15">
      <c r="A3203" s="2">
        <v>46089</v>
      </c>
      <c r="B3203" s="1" t="s">
        <v>6020</v>
      </c>
      <c r="C3203" s="1" t="s">
        <v>10412</v>
      </c>
      <c r="D3203" t="b">
        <f ca="1">IF(A3203="","",[1]!s_techanal_rcnthigh(B3203,$B$2,1,3))</f>
        <v>0</v>
      </c>
      <c r="E3203">
        <f ca="1">IF(A3203="","",COUNTIF(D$6:D3203,"True"))</f>
        <v>30</v>
      </c>
      <c r="F3203" t="str">
        <f t="shared" si="49"/>
        <v>600421.SH</v>
      </c>
    </row>
    <row r="3204" spans="1:6" x14ac:dyDescent="0.15">
      <c r="A3204" s="2">
        <v>46089</v>
      </c>
      <c r="B3204" s="1" t="s">
        <v>6021</v>
      </c>
      <c r="C3204" s="1" t="s">
        <v>6022</v>
      </c>
      <c r="D3204" t="b">
        <f ca="1">IF(A3204="","",[1]!s_techanal_rcnthigh(B3204,$B$2,1,3))</f>
        <v>0</v>
      </c>
      <c r="E3204">
        <f ca="1">IF(A3204="","",COUNTIF(D$6:D3204,"True"))</f>
        <v>30</v>
      </c>
      <c r="F3204" t="str">
        <f t="shared" si="49"/>
        <v>600422.SH</v>
      </c>
    </row>
    <row r="3205" spans="1:6" x14ac:dyDescent="0.15">
      <c r="A3205" s="2">
        <v>46089</v>
      </c>
      <c r="B3205" s="1" t="s">
        <v>6023</v>
      </c>
      <c r="C3205" s="1" t="s">
        <v>6024</v>
      </c>
      <c r="D3205" t="b">
        <f ca="1">IF(A3205="","",[1]!s_techanal_rcnthigh(B3205,$B$2,1,3))</f>
        <v>0</v>
      </c>
      <c r="E3205">
        <f ca="1">IF(A3205="","",COUNTIF(D$6:D3205,"True"))</f>
        <v>30</v>
      </c>
      <c r="F3205" t="str">
        <f t="shared" si="49"/>
        <v>600423.SH</v>
      </c>
    </row>
    <row r="3206" spans="1:6" x14ac:dyDescent="0.15">
      <c r="A3206" s="2">
        <v>46089</v>
      </c>
      <c r="B3206" s="1" t="s">
        <v>6025</v>
      </c>
      <c r="C3206" s="1" t="s">
        <v>6026</v>
      </c>
      <c r="D3206" t="b">
        <f ca="1">IF(A3206="","",[1]!s_techanal_rcnthigh(B3206,$B$2,1,3))</f>
        <v>0</v>
      </c>
      <c r="E3206">
        <f ca="1">IF(A3206="","",COUNTIF(D$6:D3206,"True"))</f>
        <v>30</v>
      </c>
      <c r="F3206" t="str">
        <f t="shared" ref="F3206:F3269" si="50">IF(B3206="","",B3206)</f>
        <v>600425.SH</v>
      </c>
    </row>
    <row r="3207" spans="1:6" x14ac:dyDescent="0.15">
      <c r="A3207" s="2">
        <v>46089</v>
      </c>
      <c r="B3207" s="1" t="s">
        <v>6027</v>
      </c>
      <c r="C3207" s="1" t="s">
        <v>6028</v>
      </c>
      <c r="D3207" t="b">
        <f ca="1">IF(A3207="","",[1]!s_techanal_rcnthigh(B3207,$B$2,1,3))</f>
        <v>0</v>
      </c>
      <c r="E3207">
        <f ca="1">IF(A3207="","",COUNTIF(D$6:D3207,"True"))</f>
        <v>30</v>
      </c>
      <c r="F3207" t="str">
        <f t="shared" si="50"/>
        <v>600426.SH</v>
      </c>
    </row>
    <row r="3208" spans="1:6" x14ac:dyDescent="0.15">
      <c r="A3208" s="2">
        <v>46089</v>
      </c>
      <c r="B3208" s="1" t="s">
        <v>6029</v>
      </c>
      <c r="C3208" s="1" t="s">
        <v>6030</v>
      </c>
      <c r="D3208" t="b">
        <f ca="1">IF(A3208="","",[1]!s_techanal_rcnthigh(B3208,$B$2,1,3))</f>
        <v>0</v>
      </c>
      <c r="E3208">
        <f ca="1">IF(A3208="","",COUNTIF(D$6:D3208,"True"))</f>
        <v>30</v>
      </c>
      <c r="F3208" t="str">
        <f t="shared" si="50"/>
        <v>600428.SH</v>
      </c>
    </row>
    <row r="3209" spans="1:6" x14ac:dyDescent="0.15">
      <c r="A3209" s="2">
        <v>46089</v>
      </c>
      <c r="B3209" s="1" t="s">
        <v>6031</v>
      </c>
      <c r="C3209" s="1" t="s">
        <v>6032</v>
      </c>
      <c r="D3209" t="b">
        <f ca="1">IF(A3209="","",[1]!s_techanal_rcnthigh(B3209,$B$2,1,3))</f>
        <v>0</v>
      </c>
      <c r="E3209">
        <f ca="1">IF(A3209="","",COUNTIF(D$6:D3209,"True"))</f>
        <v>30</v>
      </c>
      <c r="F3209" t="str">
        <f t="shared" si="50"/>
        <v>600429.SH</v>
      </c>
    </row>
    <row r="3210" spans="1:6" x14ac:dyDescent="0.15">
      <c r="A3210" s="2">
        <v>46089</v>
      </c>
      <c r="B3210" s="1" t="s">
        <v>6033</v>
      </c>
      <c r="C3210" s="1" t="s">
        <v>6034</v>
      </c>
      <c r="D3210" t="b">
        <f ca="1">IF(A3210="","",[1]!s_techanal_rcnthigh(B3210,$B$2,1,3))</f>
        <v>0</v>
      </c>
      <c r="E3210">
        <f ca="1">IF(A3210="","",COUNTIF(D$6:D3210,"True"))</f>
        <v>30</v>
      </c>
      <c r="F3210" t="str">
        <f t="shared" si="50"/>
        <v>600433.SH</v>
      </c>
    </row>
    <row r="3211" spans="1:6" x14ac:dyDescent="0.15">
      <c r="A3211" s="2">
        <v>46089</v>
      </c>
      <c r="B3211" s="1" t="s">
        <v>6035</v>
      </c>
      <c r="C3211" s="1" t="s">
        <v>6036</v>
      </c>
      <c r="D3211" t="b">
        <f ca="1">IF(A3211="","",[1]!s_techanal_rcnthigh(B3211,$B$2,1,3))</f>
        <v>0</v>
      </c>
      <c r="E3211">
        <f ca="1">IF(A3211="","",COUNTIF(D$6:D3211,"True"))</f>
        <v>30</v>
      </c>
      <c r="F3211" t="str">
        <f t="shared" si="50"/>
        <v>600435.SH</v>
      </c>
    </row>
    <row r="3212" spans="1:6" x14ac:dyDescent="0.15">
      <c r="A3212" s="2">
        <v>46089</v>
      </c>
      <c r="B3212" s="1" t="s">
        <v>6037</v>
      </c>
      <c r="C3212" s="1" t="s">
        <v>6038</v>
      </c>
      <c r="D3212" t="b">
        <f ca="1">IF(A3212="","",[1]!s_techanal_rcnthigh(B3212,$B$2,1,3))</f>
        <v>0</v>
      </c>
      <c r="E3212">
        <f ca="1">IF(A3212="","",COUNTIF(D$6:D3212,"True"))</f>
        <v>30</v>
      </c>
      <c r="F3212" t="str">
        <f t="shared" si="50"/>
        <v>600436.SH</v>
      </c>
    </row>
    <row r="3213" spans="1:6" x14ac:dyDescent="0.15">
      <c r="A3213" s="2">
        <v>46089</v>
      </c>
      <c r="B3213" s="1" t="s">
        <v>6039</v>
      </c>
      <c r="C3213" s="1" t="s">
        <v>6040</v>
      </c>
      <c r="D3213" t="b">
        <f ca="1">IF(A3213="","",[1]!s_techanal_rcnthigh(B3213,$B$2,1,3))</f>
        <v>0</v>
      </c>
      <c r="E3213">
        <f ca="1">IF(A3213="","",COUNTIF(D$6:D3213,"True"))</f>
        <v>30</v>
      </c>
      <c r="F3213" t="str">
        <f t="shared" si="50"/>
        <v>600438.SH</v>
      </c>
    </row>
    <row r="3214" spans="1:6" x14ac:dyDescent="0.15">
      <c r="A3214" s="2">
        <v>46089</v>
      </c>
      <c r="B3214" s="1" t="s">
        <v>6041</v>
      </c>
      <c r="C3214" s="1" t="s">
        <v>6042</v>
      </c>
      <c r="D3214" t="b">
        <f ca="1">IF(A3214="","",[1]!s_techanal_rcnthigh(B3214,$B$2,1,3))</f>
        <v>0</v>
      </c>
      <c r="E3214">
        <f ca="1">IF(A3214="","",COUNTIF(D$6:D3214,"True"))</f>
        <v>30</v>
      </c>
      <c r="F3214" t="str">
        <f t="shared" si="50"/>
        <v>600439.SH</v>
      </c>
    </row>
    <row r="3215" spans="1:6" x14ac:dyDescent="0.15">
      <c r="A3215" s="2">
        <v>46089</v>
      </c>
      <c r="B3215" s="1" t="s">
        <v>6043</v>
      </c>
      <c r="C3215" s="1" t="s">
        <v>6044</v>
      </c>
      <c r="D3215" t="b">
        <f ca="1">IF(A3215="","",[1]!s_techanal_rcnthigh(B3215,$B$2,1,3))</f>
        <v>0</v>
      </c>
      <c r="E3215">
        <f ca="1">IF(A3215="","",COUNTIF(D$6:D3215,"True"))</f>
        <v>30</v>
      </c>
      <c r="F3215" t="str">
        <f t="shared" si="50"/>
        <v>600444.SH</v>
      </c>
    </row>
    <row r="3216" spans="1:6" x14ac:dyDescent="0.15">
      <c r="A3216" s="2">
        <v>46089</v>
      </c>
      <c r="B3216" s="1" t="s">
        <v>6045</v>
      </c>
      <c r="C3216" s="1" t="s">
        <v>6046</v>
      </c>
      <c r="D3216" t="b">
        <f ca="1">IF(A3216="","",[1]!s_techanal_rcnthigh(B3216,$B$2,1,3))</f>
        <v>0</v>
      </c>
      <c r="E3216">
        <f ca="1">IF(A3216="","",COUNTIF(D$6:D3216,"True"))</f>
        <v>30</v>
      </c>
      <c r="F3216" t="str">
        <f t="shared" si="50"/>
        <v>600446.SH</v>
      </c>
    </row>
    <row r="3217" spans="1:6" x14ac:dyDescent="0.15">
      <c r="A3217" s="2">
        <v>46089</v>
      </c>
      <c r="B3217" s="1" t="s">
        <v>6047</v>
      </c>
      <c r="C3217" s="1" t="s">
        <v>6048</v>
      </c>
      <c r="D3217" t="b">
        <f ca="1">IF(A3217="","",[1]!s_techanal_rcnthigh(B3217,$B$2,1,3))</f>
        <v>0</v>
      </c>
      <c r="E3217">
        <f ca="1">IF(A3217="","",COUNTIF(D$6:D3217,"True"))</f>
        <v>30</v>
      </c>
      <c r="F3217" t="str">
        <f t="shared" si="50"/>
        <v>600448.SH</v>
      </c>
    </row>
    <row r="3218" spans="1:6" x14ac:dyDescent="0.15">
      <c r="A3218" s="2">
        <v>46089</v>
      </c>
      <c r="B3218" s="1" t="s">
        <v>6049</v>
      </c>
      <c r="C3218" s="1" t="s">
        <v>6050</v>
      </c>
      <c r="D3218" t="b">
        <f ca="1">IF(A3218="","",[1]!s_techanal_rcnthigh(B3218,$B$2,1,3))</f>
        <v>0</v>
      </c>
      <c r="E3218">
        <f ca="1">IF(A3218="","",COUNTIF(D$6:D3218,"True"))</f>
        <v>30</v>
      </c>
      <c r="F3218" t="str">
        <f t="shared" si="50"/>
        <v>600449.SH</v>
      </c>
    </row>
    <row r="3219" spans="1:6" x14ac:dyDescent="0.15">
      <c r="A3219" s="2">
        <v>46089</v>
      </c>
      <c r="B3219" s="1" t="s">
        <v>6051</v>
      </c>
      <c r="C3219" s="1" t="s">
        <v>6052</v>
      </c>
      <c r="D3219" t="b">
        <f ca="1">IF(A3219="","",[1]!s_techanal_rcnthigh(B3219,$B$2,1,3))</f>
        <v>1</v>
      </c>
      <c r="E3219">
        <f ca="1">IF(A3219="","",COUNTIF(D$6:D3219,"True"))</f>
        <v>31</v>
      </c>
      <c r="F3219" t="str">
        <f t="shared" si="50"/>
        <v>600452.SH</v>
      </c>
    </row>
    <row r="3220" spans="1:6" x14ac:dyDescent="0.15">
      <c r="A3220" s="2">
        <v>46089</v>
      </c>
      <c r="B3220" s="1" t="s">
        <v>6053</v>
      </c>
      <c r="C3220" s="1" t="s">
        <v>6054</v>
      </c>
      <c r="D3220" t="b">
        <f ca="1">IF(A3220="","",[1]!s_techanal_rcnthigh(B3220,$B$2,1,3))</f>
        <v>0</v>
      </c>
      <c r="E3220">
        <f ca="1">IF(A3220="","",COUNTIF(D$6:D3220,"True"))</f>
        <v>31</v>
      </c>
      <c r="F3220" t="str">
        <f t="shared" si="50"/>
        <v>600455.SH</v>
      </c>
    </row>
    <row r="3221" spans="1:6" x14ac:dyDescent="0.15">
      <c r="A3221" s="2">
        <v>46089</v>
      </c>
      <c r="B3221" s="1" t="s">
        <v>6055</v>
      </c>
      <c r="C3221" s="1" t="s">
        <v>6056</v>
      </c>
      <c r="D3221" t="b">
        <f ca="1">IF(A3221="","",[1]!s_techanal_rcnthigh(B3221,$B$2,1,3))</f>
        <v>0</v>
      </c>
      <c r="E3221">
        <f ca="1">IF(A3221="","",COUNTIF(D$6:D3221,"True"))</f>
        <v>31</v>
      </c>
      <c r="F3221" t="str">
        <f t="shared" si="50"/>
        <v>600456.SH</v>
      </c>
    </row>
    <row r="3222" spans="1:6" x14ac:dyDescent="0.15">
      <c r="A3222" s="2">
        <v>46089</v>
      </c>
      <c r="B3222" s="1" t="s">
        <v>6057</v>
      </c>
      <c r="C3222" s="1" t="s">
        <v>6058</v>
      </c>
      <c r="D3222" t="b">
        <f ca="1">IF(A3222="","",[1]!s_techanal_rcnthigh(B3222,$B$2,1,3))</f>
        <v>0</v>
      </c>
      <c r="E3222">
        <f ca="1">IF(A3222="","",COUNTIF(D$6:D3222,"True"))</f>
        <v>31</v>
      </c>
      <c r="F3222" t="str">
        <f t="shared" si="50"/>
        <v>600458.SH</v>
      </c>
    </row>
    <row r="3223" spans="1:6" x14ac:dyDescent="0.15">
      <c r="A3223" s="2">
        <v>46089</v>
      </c>
      <c r="B3223" s="1" t="s">
        <v>6059</v>
      </c>
      <c r="C3223" s="1" t="s">
        <v>6060</v>
      </c>
      <c r="D3223" t="b">
        <f ca="1">IF(A3223="","",[1]!s_techanal_rcnthigh(B3223,$B$2,1,3))</f>
        <v>0</v>
      </c>
      <c r="E3223">
        <f ca="1">IF(A3223="","",COUNTIF(D$6:D3223,"True"))</f>
        <v>31</v>
      </c>
      <c r="F3223" t="str">
        <f t="shared" si="50"/>
        <v>600459.SH</v>
      </c>
    </row>
    <row r="3224" spans="1:6" x14ac:dyDescent="0.15">
      <c r="A3224" s="2">
        <v>46089</v>
      </c>
      <c r="B3224" s="1" t="s">
        <v>6061</v>
      </c>
      <c r="C3224" s="1" t="s">
        <v>6062</v>
      </c>
      <c r="D3224" t="b">
        <f ca="1">IF(A3224="","",[1]!s_techanal_rcnthigh(B3224,$B$2,1,3))</f>
        <v>0</v>
      </c>
      <c r="E3224">
        <f ca="1">IF(A3224="","",COUNTIF(D$6:D3224,"True"))</f>
        <v>31</v>
      </c>
      <c r="F3224" t="str">
        <f t="shared" si="50"/>
        <v>600460.SH</v>
      </c>
    </row>
    <row r="3225" spans="1:6" x14ac:dyDescent="0.15">
      <c r="A3225" s="2">
        <v>46089</v>
      </c>
      <c r="B3225" s="1" t="s">
        <v>6063</v>
      </c>
      <c r="C3225" s="1" t="s">
        <v>6064</v>
      </c>
      <c r="D3225" t="b">
        <f ca="1">IF(A3225="","",[1]!s_techanal_rcnthigh(B3225,$B$2,1,3))</f>
        <v>0</v>
      </c>
      <c r="E3225">
        <f ca="1">IF(A3225="","",COUNTIF(D$6:D3225,"True"))</f>
        <v>31</v>
      </c>
      <c r="F3225" t="str">
        <f t="shared" si="50"/>
        <v>600461.SH</v>
      </c>
    </row>
    <row r="3226" spans="1:6" x14ac:dyDescent="0.15">
      <c r="A3226" s="2">
        <v>46089</v>
      </c>
      <c r="B3226" s="1" t="s">
        <v>6065</v>
      </c>
      <c r="C3226" s="1" t="s">
        <v>6066</v>
      </c>
      <c r="D3226" t="b">
        <f ca="1">IF(A3226="","",[1]!s_techanal_rcnthigh(B3226,$B$2,1,3))</f>
        <v>0</v>
      </c>
      <c r="E3226">
        <f ca="1">IF(A3226="","",COUNTIF(D$6:D3226,"True"))</f>
        <v>31</v>
      </c>
      <c r="F3226" t="str">
        <f t="shared" si="50"/>
        <v>600463.SH</v>
      </c>
    </row>
    <row r="3227" spans="1:6" x14ac:dyDescent="0.15">
      <c r="A3227" s="2">
        <v>46089</v>
      </c>
      <c r="B3227" s="1" t="s">
        <v>6067</v>
      </c>
      <c r="C3227" s="1" t="s">
        <v>6068</v>
      </c>
      <c r="D3227" t="b">
        <f ca="1">IF(A3227="","",[1]!s_techanal_rcnthigh(B3227,$B$2,1,3))</f>
        <v>0</v>
      </c>
      <c r="E3227">
        <f ca="1">IF(A3227="","",COUNTIF(D$6:D3227,"True"))</f>
        <v>31</v>
      </c>
      <c r="F3227" t="str">
        <f t="shared" si="50"/>
        <v>600467.SH</v>
      </c>
    </row>
    <row r="3228" spans="1:6" x14ac:dyDescent="0.15">
      <c r="A3228" s="2">
        <v>46089</v>
      </c>
      <c r="B3228" s="1" t="s">
        <v>6069</v>
      </c>
      <c r="C3228" s="1" t="s">
        <v>6070</v>
      </c>
      <c r="D3228" t="b">
        <f ca="1">IF(A3228="","",[1]!s_techanal_rcnthigh(B3228,$B$2,1,3))</f>
        <v>0</v>
      </c>
      <c r="E3228">
        <f ca="1">IF(A3228="","",COUNTIF(D$6:D3228,"True"))</f>
        <v>31</v>
      </c>
      <c r="F3228" t="str">
        <f t="shared" si="50"/>
        <v>600468.SH</v>
      </c>
    </row>
    <row r="3229" spans="1:6" x14ac:dyDescent="0.15">
      <c r="A3229" s="2">
        <v>46089</v>
      </c>
      <c r="B3229" s="1" t="s">
        <v>6071</v>
      </c>
      <c r="C3229" s="1" t="s">
        <v>6072</v>
      </c>
      <c r="D3229" t="b">
        <f ca="1">IF(A3229="","",[1]!s_techanal_rcnthigh(B3229,$B$2,1,3))</f>
        <v>0</v>
      </c>
      <c r="E3229">
        <f ca="1">IF(A3229="","",COUNTIF(D$6:D3229,"True"))</f>
        <v>31</v>
      </c>
      <c r="F3229" t="str">
        <f t="shared" si="50"/>
        <v>600469.SH</v>
      </c>
    </row>
    <row r="3230" spans="1:6" x14ac:dyDescent="0.15">
      <c r="A3230" s="2">
        <v>46089</v>
      </c>
      <c r="B3230" s="1" t="s">
        <v>6073</v>
      </c>
      <c r="C3230" s="1" t="s">
        <v>6074</v>
      </c>
      <c r="D3230" t="b">
        <f ca="1">IF(A3230="","",[1]!s_techanal_rcnthigh(B3230,$B$2,1,3))</f>
        <v>0</v>
      </c>
      <c r="E3230">
        <f ca="1">IF(A3230="","",COUNTIF(D$6:D3230,"True"))</f>
        <v>31</v>
      </c>
      <c r="F3230" t="str">
        <f t="shared" si="50"/>
        <v>600470.SH</v>
      </c>
    </row>
    <row r="3231" spans="1:6" x14ac:dyDescent="0.15">
      <c r="A3231" s="2">
        <v>46089</v>
      </c>
      <c r="B3231" s="1" t="s">
        <v>6075</v>
      </c>
      <c r="C3231" s="1" t="s">
        <v>6076</v>
      </c>
      <c r="D3231" t="b">
        <f ca="1">IF(A3231="","",[1]!s_techanal_rcnthigh(B3231,$B$2,1,3))</f>
        <v>0</v>
      </c>
      <c r="E3231">
        <f ca="1">IF(A3231="","",COUNTIF(D$6:D3231,"True"))</f>
        <v>31</v>
      </c>
      <c r="F3231" t="str">
        <f t="shared" si="50"/>
        <v>600475.SH</v>
      </c>
    </row>
    <row r="3232" spans="1:6" x14ac:dyDescent="0.15">
      <c r="A3232" s="2">
        <v>46089</v>
      </c>
      <c r="B3232" s="1" t="s">
        <v>6077</v>
      </c>
      <c r="C3232" s="1" t="s">
        <v>6078</v>
      </c>
      <c r="D3232" t="b">
        <f ca="1">IF(A3232="","",[1]!s_techanal_rcnthigh(B3232,$B$2,1,3))</f>
        <v>0</v>
      </c>
      <c r="E3232">
        <f ca="1">IF(A3232="","",COUNTIF(D$6:D3232,"True"))</f>
        <v>31</v>
      </c>
      <c r="F3232" t="str">
        <f t="shared" si="50"/>
        <v>600476.SH</v>
      </c>
    </row>
    <row r="3233" spans="1:6" x14ac:dyDescent="0.15">
      <c r="A3233" s="2">
        <v>46089</v>
      </c>
      <c r="B3233" s="1" t="s">
        <v>6079</v>
      </c>
      <c r="C3233" s="1" t="s">
        <v>6080</v>
      </c>
      <c r="D3233" t="b">
        <f ca="1">IF(A3233="","",[1]!s_techanal_rcnthigh(B3233,$B$2,1,3))</f>
        <v>0</v>
      </c>
      <c r="E3233">
        <f ca="1">IF(A3233="","",COUNTIF(D$6:D3233,"True"))</f>
        <v>31</v>
      </c>
      <c r="F3233" t="str">
        <f t="shared" si="50"/>
        <v>600477.SH</v>
      </c>
    </row>
    <row r="3234" spans="1:6" x14ac:dyDescent="0.15">
      <c r="A3234" s="2">
        <v>46089</v>
      </c>
      <c r="B3234" s="1" t="s">
        <v>6081</v>
      </c>
      <c r="C3234" s="1" t="s">
        <v>6082</v>
      </c>
      <c r="D3234" t="b">
        <f ca="1">IF(A3234="","",[1]!s_techanal_rcnthigh(B3234,$B$2,1,3))</f>
        <v>0</v>
      </c>
      <c r="E3234">
        <f ca="1">IF(A3234="","",COUNTIF(D$6:D3234,"True"))</f>
        <v>31</v>
      </c>
      <c r="F3234" t="str">
        <f t="shared" si="50"/>
        <v>600478.SH</v>
      </c>
    </row>
    <row r="3235" spans="1:6" x14ac:dyDescent="0.15">
      <c r="A3235" s="2">
        <v>46089</v>
      </c>
      <c r="B3235" s="1" t="s">
        <v>6083</v>
      </c>
      <c r="C3235" s="1" t="s">
        <v>6084</v>
      </c>
      <c r="D3235" t="b">
        <f ca="1">IF(A3235="","",[1]!s_techanal_rcnthigh(B3235,$B$2,1,3))</f>
        <v>0</v>
      </c>
      <c r="E3235">
        <f ca="1">IF(A3235="","",COUNTIF(D$6:D3235,"True"))</f>
        <v>31</v>
      </c>
      <c r="F3235" t="str">
        <f t="shared" si="50"/>
        <v>600479.SH</v>
      </c>
    </row>
    <row r="3236" spans="1:6" x14ac:dyDescent="0.15">
      <c r="A3236" s="2">
        <v>46089</v>
      </c>
      <c r="B3236" s="1" t="s">
        <v>6085</v>
      </c>
      <c r="C3236" s="1" t="s">
        <v>6086</v>
      </c>
      <c r="D3236" t="b">
        <f ca="1">IF(A3236="","",[1]!s_techanal_rcnthigh(B3236,$B$2,1,3))</f>
        <v>0</v>
      </c>
      <c r="E3236">
        <f ca="1">IF(A3236="","",COUNTIF(D$6:D3236,"True"))</f>
        <v>31</v>
      </c>
      <c r="F3236" t="str">
        <f t="shared" si="50"/>
        <v>600480.SH</v>
      </c>
    </row>
    <row r="3237" spans="1:6" x14ac:dyDescent="0.15">
      <c r="A3237" s="2">
        <v>46089</v>
      </c>
      <c r="B3237" s="1" t="s">
        <v>6087</v>
      </c>
      <c r="C3237" s="1" t="s">
        <v>6088</v>
      </c>
      <c r="D3237" t="b">
        <f ca="1">IF(A3237="","",[1]!s_techanal_rcnthigh(B3237,$B$2,1,3))</f>
        <v>0</v>
      </c>
      <c r="E3237">
        <f ca="1">IF(A3237="","",COUNTIF(D$6:D3237,"True"))</f>
        <v>31</v>
      </c>
      <c r="F3237" t="str">
        <f t="shared" si="50"/>
        <v>600481.SH</v>
      </c>
    </row>
    <row r="3238" spans="1:6" x14ac:dyDescent="0.15">
      <c r="A3238" s="2">
        <v>46089</v>
      </c>
      <c r="B3238" s="1" t="s">
        <v>6089</v>
      </c>
      <c r="C3238" s="1" t="s">
        <v>6090</v>
      </c>
      <c r="D3238" t="b">
        <f ca="1">IF(A3238="","",[1]!s_techanal_rcnthigh(B3238,$B$2,1,3))</f>
        <v>0</v>
      </c>
      <c r="E3238">
        <f ca="1">IF(A3238="","",COUNTIF(D$6:D3238,"True"))</f>
        <v>31</v>
      </c>
      <c r="F3238" t="str">
        <f t="shared" si="50"/>
        <v>600482.SH</v>
      </c>
    </row>
    <row r="3239" spans="1:6" x14ac:dyDescent="0.15">
      <c r="A3239" s="2">
        <v>46089</v>
      </c>
      <c r="B3239" s="1" t="s">
        <v>6091</v>
      </c>
      <c r="C3239" s="1" t="s">
        <v>6092</v>
      </c>
      <c r="D3239" t="b">
        <f ca="1">IF(A3239="","",[1]!s_techanal_rcnthigh(B3239,$B$2,1,3))</f>
        <v>0</v>
      </c>
      <c r="E3239">
        <f ca="1">IF(A3239="","",COUNTIF(D$6:D3239,"True"))</f>
        <v>31</v>
      </c>
      <c r="F3239" t="str">
        <f t="shared" si="50"/>
        <v>600483.SH</v>
      </c>
    </row>
    <row r="3240" spans="1:6" x14ac:dyDescent="0.15">
      <c r="A3240" s="2">
        <v>46089</v>
      </c>
      <c r="B3240" s="1" t="s">
        <v>6093</v>
      </c>
      <c r="C3240" s="1" t="s">
        <v>6094</v>
      </c>
      <c r="D3240" t="b">
        <f ca="1">IF(A3240="","",[1]!s_techanal_rcnthigh(B3240,$B$2,1,3))</f>
        <v>0</v>
      </c>
      <c r="E3240">
        <f ca="1">IF(A3240="","",COUNTIF(D$6:D3240,"True"))</f>
        <v>31</v>
      </c>
      <c r="F3240" t="str">
        <f t="shared" si="50"/>
        <v>600486.SH</v>
      </c>
    </row>
    <row r="3241" spans="1:6" x14ac:dyDescent="0.15">
      <c r="A3241" s="2">
        <v>46089</v>
      </c>
      <c r="B3241" s="1" t="s">
        <v>6095</v>
      </c>
      <c r="C3241" s="1" t="s">
        <v>6096</v>
      </c>
      <c r="D3241" t="b">
        <f ca="1">IF(A3241="","",[1]!s_techanal_rcnthigh(B3241,$B$2,1,3))</f>
        <v>0</v>
      </c>
      <c r="E3241">
        <f ca="1">IF(A3241="","",COUNTIF(D$6:D3241,"True"))</f>
        <v>31</v>
      </c>
      <c r="F3241" t="str">
        <f t="shared" si="50"/>
        <v>600487.SH</v>
      </c>
    </row>
    <row r="3242" spans="1:6" x14ac:dyDescent="0.15">
      <c r="A3242" s="2">
        <v>46089</v>
      </c>
      <c r="B3242" s="1" t="s">
        <v>6097</v>
      </c>
      <c r="C3242" s="1" t="s">
        <v>6098</v>
      </c>
      <c r="D3242" t="b">
        <f ca="1">IF(A3242="","",[1]!s_techanal_rcnthigh(B3242,$B$2,1,3))</f>
        <v>0</v>
      </c>
      <c r="E3242">
        <f ca="1">IF(A3242="","",COUNTIF(D$6:D3242,"True"))</f>
        <v>31</v>
      </c>
      <c r="F3242" t="str">
        <f t="shared" si="50"/>
        <v>600488.SH</v>
      </c>
    </row>
    <row r="3243" spans="1:6" x14ac:dyDescent="0.15">
      <c r="A3243" s="2">
        <v>46089</v>
      </c>
      <c r="B3243" s="1" t="s">
        <v>6099</v>
      </c>
      <c r="C3243" s="1" t="s">
        <v>6100</v>
      </c>
      <c r="D3243" t="b">
        <f ca="1">IF(A3243="","",[1]!s_techanal_rcnthigh(B3243,$B$2,1,3))</f>
        <v>0</v>
      </c>
      <c r="E3243">
        <f ca="1">IF(A3243="","",COUNTIF(D$6:D3243,"True"))</f>
        <v>31</v>
      </c>
      <c r="F3243" t="str">
        <f t="shared" si="50"/>
        <v>600489.SH</v>
      </c>
    </row>
    <row r="3244" spans="1:6" x14ac:dyDescent="0.15">
      <c r="A3244" s="2">
        <v>46089</v>
      </c>
      <c r="B3244" s="1" t="s">
        <v>6101</v>
      </c>
      <c r="C3244" s="1" t="s">
        <v>6102</v>
      </c>
      <c r="D3244" t="b">
        <f ca="1">IF(A3244="","",[1]!s_techanal_rcnthigh(B3244,$B$2,1,3))</f>
        <v>0</v>
      </c>
      <c r="E3244">
        <f ca="1">IF(A3244="","",COUNTIF(D$6:D3244,"True"))</f>
        <v>31</v>
      </c>
      <c r="F3244" t="str">
        <f t="shared" si="50"/>
        <v>600490.SH</v>
      </c>
    </row>
    <row r="3245" spans="1:6" x14ac:dyDescent="0.15">
      <c r="A3245" s="2">
        <v>46089</v>
      </c>
      <c r="B3245" s="1" t="s">
        <v>6103</v>
      </c>
      <c r="C3245" s="1" t="s">
        <v>6104</v>
      </c>
      <c r="D3245" t="b">
        <f ca="1">IF(A3245="","",[1]!s_techanal_rcnthigh(B3245,$B$2,1,3))</f>
        <v>0</v>
      </c>
      <c r="E3245">
        <f ca="1">IF(A3245="","",COUNTIF(D$6:D3245,"True"))</f>
        <v>31</v>
      </c>
      <c r="F3245" t="str">
        <f t="shared" si="50"/>
        <v>600491.SH</v>
      </c>
    </row>
    <row r="3246" spans="1:6" x14ac:dyDescent="0.15">
      <c r="A3246" s="2">
        <v>46089</v>
      </c>
      <c r="B3246" s="1" t="s">
        <v>6105</v>
      </c>
      <c r="C3246" s="1" t="s">
        <v>6106</v>
      </c>
      <c r="D3246" t="b">
        <f ca="1">IF(A3246="","",[1]!s_techanal_rcnthigh(B3246,$B$2,1,3))</f>
        <v>0</v>
      </c>
      <c r="E3246">
        <f ca="1">IF(A3246="","",COUNTIF(D$6:D3246,"True"))</f>
        <v>31</v>
      </c>
      <c r="F3246" t="str">
        <f t="shared" si="50"/>
        <v>600493.SH</v>
      </c>
    </row>
    <row r="3247" spans="1:6" x14ac:dyDescent="0.15">
      <c r="A3247" s="2">
        <v>46089</v>
      </c>
      <c r="B3247" s="1" t="s">
        <v>6107</v>
      </c>
      <c r="C3247" s="1" t="s">
        <v>6108</v>
      </c>
      <c r="D3247" t="b">
        <f ca="1">IF(A3247="","",[1]!s_techanal_rcnthigh(B3247,$B$2,1,3))</f>
        <v>0</v>
      </c>
      <c r="E3247">
        <f ca="1">IF(A3247="","",COUNTIF(D$6:D3247,"True"))</f>
        <v>31</v>
      </c>
      <c r="F3247" t="str">
        <f t="shared" si="50"/>
        <v>600495.SH</v>
      </c>
    </row>
    <row r="3248" spans="1:6" x14ac:dyDescent="0.15">
      <c r="A3248" s="2">
        <v>46089</v>
      </c>
      <c r="B3248" s="1" t="s">
        <v>6109</v>
      </c>
      <c r="C3248" s="1" t="s">
        <v>6110</v>
      </c>
      <c r="D3248" t="b">
        <f ca="1">IF(A3248="","",[1]!s_techanal_rcnthigh(B3248,$B$2,1,3))</f>
        <v>0</v>
      </c>
      <c r="E3248">
        <f ca="1">IF(A3248="","",COUNTIF(D$6:D3248,"True"))</f>
        <v>31</v>
      </c>
      <c r="F3248" t="str">
        <f t="shared" si="50"/>
        <v>600496.SH</v>
      </c>
    </row>
    <row r="3249" spans="1:6" x14ac:dyDescent="0.15">
      <c r="A3249" s="2">
        <v>46089</v>
      </c>
      <c r="B3249" s="1" t="s">
        <v>6111</v>
      </c>
      <c r="C3249" s="1" t="s">
        <v>6112</v>
      </c>
      <c r="D3249" t="b">
        <f ca="1">IF(A3249="","",[1]!s_techanal_rcnthigh(B3249,$B$2,1,3))</f>
        <v>0</v>
      </c>
      <c r="E3249">
        <f ca="1">IF(A3249="","",COUNTIF(D$6:D3249,"True"))</f>
        <v>31</v>
      </c>
      <c r="F3249" t="str">
        <f t="shared" si="50"/>
        <v>600497.SH</v>
      </c>
    </row>
    <row r="3250" spans="1:6" x14ac:dyDescent="0.15">
      <c r="A3250" s="2">
        <v>46089</v>
      </c>
      <c r="B3250" s="1" t="s">
        <v>6113</v>
      </c>
      <c r="C3250" s="1" t="s">
        <v>6114</v>
      </c>
      <c r="D3250" t="b">
        <f ca="1">IF(A3250="","",[1]!s_techanal_rcnthigh(B3250,$B$2,1,3))</f>
        <v>0</v>
      </c>
      <c r="E3250">
        <f ca="1">IF(A3250="","",COUNTIF(D$6:D3250,"True"))</f>
        <v>31</v>
      </c>
      <c r="F3250" t="str">
        <f t="shared" si="50"/>
        <v>600498.SH</v>
      </c>
    </row>
    <row r="3251" spans="1:6" x14ac:dyDescent="0.15">
      <c r="A3251" s="2">
        <v>46089</v>
      </c>
      <c r="B3251" s="1" t="s">
        <v>6115</v>
      </c>
      <c r="C3251" s="1" t="s">
        <v>6116</v>
      </c>
      <c r="D3251" t="b">
        <f ca="1">IF(A3251="","",[1]!s_techanal_rcnthigh(B3251,$B$2,1,3))</f>
        <v>0</v>
      </c>
      <c r="E3251">
        <f ca="1">IF(A3251="","",COUNTIF(D$6:D3251,"True"))</f>
        <v>31</v>
      </c>
      <c r="F3251" t="str">
        <f t="shared" si="50"/>
        <v>600499.SH</v>
      </c>
    </row>
    <row r="3252" spans="1:6" x14ac:dyDescent="0.15">
      <c r="A3252" s="2">
        <v>46089</v>
      </c>
      <c r="B3252" s="1" t="s">
        <v>6117</v>
      </c>
      <c r="C3252" s="1" t="s">
        <v>6118</v>
      </c>
      <c r="D3252" t="b">
        <f ca="1">IF(A3252="","",[1]!s_techanal_rcnthigh(B3252,$B$2,1,3))</f>
        <v>0</v>
      </c>
      <c r="E3252">
        <f ca="1">IF(A3252="","",COUNTIF(D$6:D3252,"True"))</f>
        <v>31</v>
      </c>
      <c r="F3252" t="str">
        <f t="shared" si="50"/>
        <v>600500.SH</v>
      </c>
    </row>
    <row r="3253" spans="1:6" x14ac:dyDescent="0.15">
      <c r="A3253" s="2">
        <v>46089</v>
      </c>
      <c r="B3253" s="1" t="s">
        <v>6119</v>
      </c>
      <c r="C3253" s="1" t="s">
        <v>6120</v>
      </c>
      <c r="D3253" t="b">
        <f ca="1">IF(A3253="","",[1]!s_techanal_rcnthigh(B3253,$B$2,1,3))</f>
        <v>0</v>
      </c>
      <c r="E3253">
        <f ca="1">IF(A3253="","",COUNTIF(D$6:D3253,"True"))</f>
        <v>31</v>
      </c>
      <c r="F3253" t="str">
        <f t="shared" si="50"/>
        <v>600501.SH</v>
      </c>
    </row>
    <row r="3254" spans="1:6" x14ac:dyDescent="0.15">
      <c r="A3254" s="2">
        <v>46089</v>
      </c>
      <c r="B3254" s="1" t="s">
        <v>6121</v>
      </c>
      <c r="C3254" s="1" t="s">
        <v>6122</v>
      </c>
      <c r="D3254" t="b">
        <f ca="1">IF(A3254="","",[1]!s_techanal_rcnthigh(B3254,$B$2,1,3))</f>
        <v>0</v>
      </c>
      <c r="E3254">
        <f ca="1">IF(A3254="","",COUNTIF(D$6:D3254,"True"))</f>
        <v>31</v>
      </c>
      <c r="F3254" t="str">
        <f t="shared" si="50"/>
        <v>600502.SH</v>
      </c>
    </row>
    <row r="3255" spans="1:6" x14ac:dyDescent="0.15">
      <c r="A3255" s="2">
        <v>46089</v>
      </c>
      <c r="B3255" s="1" t="s">
        <v>6123</v>
      </c>
      <c r="C3255" s="1" t="s">
        <v>6124</v>
      </c>
      <c r="D3255" t="b">
        <f ca="1">IF(A3255="","",[1]!s_techanal_rcnthigh(B3255,$B$2,1,3))</f>
        <v>0</v>
      </c>
      <c r="E3255">
        <f ca="1">IF(A3255="","",COUNTIF(D$6:D3255,"True"))</f>
        <v>31</v>
      </c>
      <c r="F3255" t="str">
        <f t="shared" si="50"/>
        <v>600503.SH</v>
      </c>
    </row>
    <row r="3256" spans="1:6" x14ac:dyDescent="0.15">
      <c r="A3256" s="2">
        <v>46089</v>
      </c>
      <c r="B3256" s="1" t="s">
        <v>6125</v>
      </c>
      <c r="C3256" s="1" t="s">
        <v>6126</v>
      </c>
      <c r="D3256" t="b">
        <f ca="1">IF(A3256="","",[1]!s_techanal_rcnthigh(B3256,$B$2,1,3))</f>
        <v>0</v>
      </c>
      <c r="E3256">
        <f ca="1">IF(A3256="","",COUNTIF(D$6:D3256,"True"))</f>
        <v>31</v>
      </c>
      <c r="F3256" t="str">
        <f t="shared" si="50"/>
        <v>600505.SH</v>
      </c>
    </row>
    <row r="3257" spans="1:6" x14ac:dyDescent="0.15">
      <c r="A3257" s="2">
        <v>46089</v>
      </c>
      <c r="B3257" s="1" t="s">
        <v>6127</v>
      </c>
      <c r="C3257" s="1" t="s">
        <v>6128</v>
      </c>
      <c r="D3257" t="b">
        <f ca="1">IF(A3257="","",[1]!s_techanal_rcnthigh(B3257,$B$2,1,3))</f>
        <v>0</v>
      </c>
      <c r="E3257">
        <f ca="1">IF(A3257="","",COUNTIF(D$6:D3257,"True"))</f>
        <v>31</v>
      </c>
      <c r="F3257" t="str">
        <f t="shared" si="50"/>
        <v>600506.SH</v>
      </c>
    </row>
    <row r="3258" spans="1:6" x14ac:dyDescent="0.15">
      <c r="A3258" s="2">
        <v>46089</v>
      </c>
      <c r="B3258" s="1" t="s">
        <v>6129</v>
      </c>
      <c r="C3258" s="1" t="s">
        <v>6130</v>
      </c>
      <c r="D3258" t="b">
        <f ca="1">IF(A3258="","",[1]!s_techanal_rcnthigh(B3258,$B$2,1,3))</f>
        <v>0</v>
      </c>
      <c r="E3258">
        <f ca="1">IF(A3258="","",COUNTIF(D$6:D3258,"True"))</f>
        <v>31</v>
      </c>
      <c r="F3258" t="str">
        <f t="shared" si="50"/>
        <v>600507.SH</v>
      </c>
    </row>
    <row r="3259" spans="1:6" x14ac:dyDescent="0.15">
      <c r="A3259" s="2">
        <v>46089</v>
      </c>
      <c r="B3259" s="1" t="s">
        <v>6131</v>
      </c>
      <c r="C3259" s="1" t="s">
        <v>6132</v>
      </c>
      <c r="D3259" t="b">
        <f ca="1">IF(A3259="","",[1]!s_techanal_rcnthigh(B3259,$B$2,1,3))</f>
        <v>0</v>
      </c>
      <c r="E3259">
        <f ca="1">IF(A3259="","",COUNTIF(D$6:D3259,"True"))</f>
        <v>31</v>
      </c>
      <c r="F3259" t="str">
        <f t="shared" si="50"/>
        <v>600508.SH</v>
      </c>
    </row>
    <row r="3260" spans="1:6" x14ac:dyDescent="0.15">
      <c r="A3260" s="2">
        <v>46089</v>
      </c>
      <c r="B3260" s="1" t="s">
        <v>6133</v>
      </c>
      <c r="C3260" s="1" t="s">
        <v>6134</v>
      </c>
      <c r="D3260" t="b">
        <f ca="1">IF(A3260="","",[1]!s_techanal_rcnthigh(B3260,$B$2,1,3))</f>
        <v>0</v>
      </c>
      <c r="E3260">
        <f ca="1">IF(A3260="","",COUNTIF(D$6:D3260,"True"))</f>
        <v>31</v>
      </c>
      <c r="F3260" t="str">
        <f t="shared" si="50"/>
        <v>600509.SH</v>
      </c>
    </row>
    <row r="3261" spans="1:6" x14ac:dyDescent="0.15">
      <c r="A3261" s="2">
        <v>46089</v>
      </c>
      <c r="B3261" s="1" t="s">
        <v>6135</v>
      </c>
      <c r="C3261" s="1" t="s">
        <v>6136</v>
      </c>
      <c r="D3261" t="b">
        <f ca="1">IF(A3261="","",[1]!s_techanal_rcnthigh(B3261,$B$2,1,3))</f>
        <v>0</v>
      </c>
      <c r="E3261">
        <f ca="1">IF(A3261="","",COUNTIF(D$6:D3261,"True"))</f>
        <v>31</v>
      </c>
      <c r="F3261" t="str">
        <f t="shared" si="50"/>
        <v>600510.SH</v>
      </c>
    </row>
    <row r="3262" spans="1:6" x14ac:dyDescent="0.15">
      <c r="A3262" s="2">
        <v>46089</v>
      </c>
      <c r="B3262" s="1" t="s">
        <v>6137</v>
      </c>
      <c r="C3262" s="1" t="s">
        <v>6138</v>
      </c>
      <c r="D3262" t="b">
        <f ca="1">IF(A3262="","",[1]!s_techanal_rcnthigh(B3262,$B$2,1,3))</f>
        <v>0</v>
      </c>
      <c r="E3262">
        <f ca="1">IF(A3262="","",COUNTIF(D$6:D3262,"True"))</f>
        <v>31</v>
      </c>
      <c r="F3262" t="str">
        <f t="shared" si="50"/>
        <v>600511.SH</v>
      </c>
    </row>
    <row r="3263" spans="1:6" x14ac:dyDescent="0.15">
      <c r="A3263" s="2">
        <v>46089</v>
      </c>
      <c r="B3263" s="1" t="s">
        <v>6139</v>
      </c>
      <c r="C3263" s="1" t="s">
        <v>6140</v>
      </c>
      <c r="D3263" t="b">
        <f ca="1">IF(A3263="","",[1]!s_techanal_rcnthigh(B3263,$B$2,1,3))</f>
        <v>0</v>
      </c>
      <c r="E3263">
        <f ca="1">IF(A3263="","",COUNTIF(D$6:D3263,"True"))</f>
        <v>31</v>
      </c>
      <c r="F3263" t="str">
        <f t="shared" si="50"/>
        <v>600512.SH</v>
      </c>
    </row>
    <row r="3264" spans="1:6" x14ac:dyDescent="0.15">
      <c r="A3264" s="2">
        <v>46089</v>
      </c>
      <c r="B3264" s="1" t="s">
        <v>6141</v>
      </c>
      <c r="C3264" s="1" t="s">
        <v>6142</v>
      </c>
      <c r="D3264" t="b">
        <f ca="1">IF(A3264="","",[1]!s_techanal_rcnthigh(B3264,$B$2,1,3))</f>
        <v>0</v>
      </c>
      <c r="E3264">
        <f ca="1">IF(A3264="","",COUNTIF(D$6:D3264,"True"))</f>
        <v>31</v>
      </c>
      <c r="F3264" t="str">
        <f t="shared" si="50"/>
        <v>600513.SH</v>
      </c>
    </row>
    <row r="3265" spans="1:6" x14ac:dyDescent="0.15">
      <c r="A3265" s="2">
        <v>46089</v>
      </c>
      <c r="B3265" s="1" t="s">
        <v>6143</v>
      </c>
      <c r="C3265" s="1" t="s">
        <v>6144</v>
      </c>
      <c r="D3265" t="b">
        <f ca="1">IF(A3265="","",[1]!s_techanal_rcnthigh(B3265,$B$2,1,3))</f>
        <v>0</v>
      </c>
      <c r="E3265">
        <f ca="1">IF(A3265="","",COUNTIF(D$6:D3265,"True"))</f>
        <v>31</v>
      </c>
      <c r="F3265" t="str">
        <f t="shared" si="50"/>
        <v>600515.SH</v>
      </c>
    </row>
    <row r="3266" spans="1:6" x14ac:dyDescent="0.15">
      <c r="A3266" s="2">
        <v>46089</v>
      </c>
      <c r="B3266" s="1" t="s">
        <v>6145</v>
      </c>
      <c r="C3266" s="1" t="s">
        <v>6146</v>
      </c>
      <c r="D3266" t="b">
        <f ca="1">IF(A3266="","",[1]!s_techanal_rcnthigh(B3266,$B$2,1,3))</f>
        <v>0</v>
      </c>
      <c r="E3266">
        <f ca="1">IF(A3266="","",COUNTIF(D$6:D3266,"True"))</f>
        <v>31</v>
      </c>
      <c r="F3266" t="str">
        <f t="shared" si="50"/>
        <v>600516.SH</v>
      </c>
    </row>
    <row r="3267" spans="1:6" x14ac:dyDescent="0.15">
      <c r="A3267" s="2">
        <v>46089</v>
      </c>
      <c r="B3267" s="1" t="s">
        <v>6147</v>
      </c>
      <c r="C3267" s="1" t="s">
        <v>6148</v>
      </c>
      <c r="D3267" t="b">
        <f ca="1">IF(A3267="","",[1]!s_techanal_rcnthigh(B3267,$B$2,1,3))</f>
        <v>0</v>
      </c>
      <c r="E3267">
        <f ca="1">IF(A3267="","",COUNTIF(D$6:D3267,"True"))</f>
        <v>31</v>
      </c>
      <c r="F3267" t="str">
        <f t="shared" si="50"/>
        <v>600517.SH</v>
      </c>
    </row>
    <row r="3268" spans="1:6" x14ac:dyDescent="0.15">
      <c r="A3268" s="2">
        <v>46089</v>
      </c>
      <c r="B3268" s="1" t="s">
        <v>6149</v>
      </c>
      <c r="C3268" s="1" t="s">
        <v>10413</v>
      </c>
      <c r="D3268" t="b">
        <f ca="1">IF(A3268="","",[1]!s_techanal_rcnthigh(B3268,$B$2,1,3))</f>
        <v>0</v>
      </c>
      <c r="E3268">
        <f ca="1">IF(A3268="","",COUNTIF(D$6:D3268,"True"))</f>
        <v>31</v>
      </c>
      <c r="F3268" t="str">
        <f t="shared" si="50"/>
        <v>600518.SH</v>
      </c>
    </row>
    <row r="3269" spans="1:6" x14ac:dyDescent="0.15">
      <c r="A3269" s="2">
        <v>46089</v>
      </c>
      <c r="B3269" s="1" t="s">
        <v>6150</v>
      </c>
      <c r="C3269" s="1" t="s">
        <v>6151</v>
      </c>
      <c r="D3269" t="b">
        <f ca="1">IF(A3269="","",[1]!s_techanal_rcnthigh(B3269,$B$2,1,3))</f>
        <v>0</v>
      </c>
      <c r="E3269">
        <f ca="1">IF(A3269="","",COUNTIF(D$6:D3269,"True"))</f>
        <v>31</v>
      </c>
      <c r="F3269" t="str">
        <f t="shared" si="50"/>
        <v>600519.SH</v>
      </c>
    </row>
    <row r="3270" spans="1:6" x14ac:dyDescent="0.15">
      <c r="A3270" s="2">
        <v>46089</v>
      </c>
      <c r="B3270" s="1" t="s">
        <v>6152</v>
      </c>
      <c r="C3270" s="1" t="s">
        <v>10414</v>
      </c>
      <c r="D3270" t="b">
        <f ca="1">IF(A3270="","",[1]!s_techanal_rcnthigh(B3270,$B$2,1,3))</f>
        <v>0</v>
      </c>
      <c r="E3270">
        <f ca="1">IF(A3270="","",COUNTIF(D$6:D3270,"True"))</f>
        <v>31</v>
      </c>
      <c r="F3270" t="str">
        <f t="shared" ref="F3270:F3333" si="51">IF(B3270="","",B3270)</f>
        <v>600520.SH</v>
      </c>
    </row>
    <row r="3271" spans="1:6" x14ac:dyDescent="0.15">
      <c r="A3271" s="2">
        <v>46089</v>
      </c>
      <c r="B3271" s="1" t="s">
        <v>6153</v>
      </c>
      <c r="C3271" s="1" t="s">
        <v>6154</v>
      </c>
      <c r="D3271" t="b">
        <f ca="1">IF(A3271="","",[1]!s_techanal_rcnthigh(B3271,$B$2,1,3))</f>
        <v>0</v>
      </c>
      <c r="E3271">
        <f ca="1">IF(A3271="","",COUNTIF(D$6:D3271,"True"))</f>
        <v>31</v>
      </c>
      <c r="F3271" t="str">
        <f t="shared" si="51"/>
        <v>600521.SH</v>
      </c>
    </row>
    <row r="3272" spans="1:6" x14ac:dyDescent="0.15">
      <c r="A3272" s="2">
        <v>46089</v>
      </c>
      <c r="B3272" s="1" t="s">
        <v>6155</v>
      </c>
      <c r="C3272" s="1" t="s">
        <v>6156</v>
      </c>
      <c r="D3272" t="b">
        <f ca="1">IF(A3272="","",[1]!s_techanal_rcnthigh(B3272,$B$2,1,3))</f>
        <v>0</v>
      </c>
      <c r="E3272">
        <f ca="1">IF(A3272="","",COUNTIF(D$6:D3272,"True"))</f>
        <v>31</v>
      </c>
      <c r="F3272" t="str">
        <f t="shared" si="51"/>
        <v>600522.SH</v>
      </c>
    </row>
    <row r="3273" spans="1:6" x14ac:dyDescent="0.15">
      <c r="A3273" s="2">
        <v>46089</v>
      </c>
      <c r="B3273" s="1" t="s">
        <v>6157</v>
      </c>
      <c r="C3273" s="1" t="s">
        <v>6158</v>
      </c>
      <c r="D3273" t="b">
        <f ca="1">IF(A3273="","",[1]!s_techanal_rcnthigh(B3273,$B$2,1,3))</f>
        <v>0</v>
      </c>
      <c r="E3273">
        <f ca="1">IF(A3273="","",COUNTIF(D$6:D3273,"True"))</f>
        <v>31</v>
      </c>
      <c r="F3273" t="str">
        <f t="shared" si="51"/>
        <v>600523.SH</v>
      </c>
    </row>
    <row r="3274" spans="1:6" x14ac:dyDescent="0.15">
      <c r="A3274" s="2">
        <v>46089</v>
      </c>
      <c r="B3274" s="1" t="s">
        <v>6159</v>
      </c>
      <c r="C3274" s="1" t="s">
        <v>10415</v>
      </c>
      <c r="D3274" t="b">
        <f ca="1">IF(A3274="","",[1]!s_techanal_rcnthigh(B3274,$B$2,1,3))</f>
        <v>0</v>
      </c>
      <c r="E3274">
        <f ca="1">IF(A3274="","",COUNTIF(D$6:D3274,"True"))</f>
        <v>31</v>
      </c>
      <c r="F3274" t="str">
        <f t="shared" si="51"/>
        <v>600525.SH</v>
      </c>
    </row>
    <row r="3275" spans="1:6" x14ac:dyDescent="0.15">
      <c r="A3275" s="2">
        <v>46089</v>
      </c>
      <c r="B3275" s="1" t="s">
        <v>6160</v>
      </c>
      <c r="C3275" s="1" t="s">
        <v>6161</v>
      </c>
      <c r="D3275" t="b">
        <f ca="1">IF(A3275="","",[1]!s_techanal_rcnthigh(B3275,$B$2,1,3))</f>
        <v>0</v>
      </c>
      <c r="E3275">
        <f ca="1">IF(A3275="","",COUNTIF(D$6:D3275,"True"))</f>
        <v>31</v>
      </c>
      <c r="F3275" t="str">
        <f t="shared" si="51"/>
        <v>600526.SH</v>
      </c>
    </row>
    <row r="3276" spans="1:6" x14ac:dyDescent="0.15">
      <c r="A3276" s="2">
        <v>46089</v>
      </c>
      <c r="B3276" s="1" t="s">
        <v>6162</v>
      </c>
      <c r="C3276" s="1" t="s">
        <v>6163</v>
      </c>
      <c r="D3276" t="b">
        <f ca="1">IF(A3276="","",[1]!s_techanal_rcnthigh(B3276,$B$2,1,3))</f>
        <v>0</v>
      </c>
      <c r="E3276">
        <f ca="1">IF(A3276="","",COUNTIF(D$6:D3276,"True"))</f>
        <v>31</v>
      </c>
      <c r="F3276" t="str">
        <f t="shared" si="51"/>
        <v>600527.SH</v>
      </c>
    </row>
    <row r="3277" spans="1:6" x14ac:dyDescent="0.15">
      <c r="A3277" s="2">
        <v>46089</v>
      </c>
      <c r="B3277" s="1" t="s">
        <v>6164</v>
      </c>
      <c r="C3277" s="1" t="s">
        <v>6165</v>
      </c>
      <c r="D3277" t="b">
        <f ca="1">IF(A3277="","",[1]!s_techanal_rcnthigh(B3277,$B$2,1,3))</f>
        <v>0</v>
      </c>
      <c r="E3277">
        <f ca="1">IF(A3277="","",COUNTIF(D$6:D3277,"True"))</f>
        <v>31</v>
      </c>
      <c r="F3277" t="str">
        <f t="shared" si="51"/>
        <v>600528.SH</v>
      </c>
    </row>
    <row r="3278" spans="1:6" x14ac:dyDescent="0.15">
      <c r="A3278" s="2">
        <v>46089</v>
      </c>
      <c r="B3278" s="1" t="s">
        <v>6166</v>
      </c>
      <c r="C3278" s="1" t="s">
        <v>6167</v>
      </c>
      <c r="D3278" t="b">
        <f ca="1">IF(A3278="","",[1]!s_techanal_rcnthigh(B3278,$B$2,1,3))</f>
        <v>0</v>
      </c>
      <c r="E3278">
        <f ca="1">IF(A3278="","",COUNTIF(D$6:D3278,"True"))</f>
        <v>31</v>
      </c>
      <c r="F3278" t="str">
        <f t="shared" si="51"/>
        <v>600529.SH</v>
      </c>
    </row>
    <row r="3279" spans="1:6" x14ac:dyDescent="0.15">
      <c r="A3279" s="2">
        <v>46089</v>
      </c>
      <c r="B3279" s="1" t="s">
        <v>6168</v>
      </c>
      <c r="C3279" s="1" t="s">
        <v>10416</v>
      </c>
      <c r="D3279" t="b">
        <f ca="1">IF(A3279="","",[1]!s_techanal_rcnthigh(B3279,$B$2,1,3))</f>
        <v>0</v>
      </c>
      <c r="E3279">
        <f ca="1">IF(A3279="","",COUNTIF(D$6:D3279,"True"))</f>
        <v>31</v>
      </c>
      <c r="F3279" t="str">
        <f t="shared" si="51"/>
        <v>600530.SH</v>
      </c>
    </row>
    <row r="3280" spans="1:6" x14ac:dyDescent="0.15">
      <c r="A3280" s="2">
        <v>46089</v>
      </c>
      <c r="B3280" s="1" t="s">
        <v>6169</v>
      </c>
      <c r="C3280" s="1" t="s">
        <v>6170</v>
      </c>
      <c r="D3280" t="b">
        <f ca="1">IF(A3280="","",[1]!s_techanal_rcnthigh(B3280,$B$2,1,3))</f>
        <v>0</v>
      </c>
      <c r="E3280">
        <f ca="1">IF(A3280="","",COUNTIF(D$6:D3280,"True"))</f>
        <v>31</v>
      </c>
      <c r="F3280" t="str">
        <f t="shared" si="51"/>
        <v>600531.SH</v>
      </c>
    </row>
    <row r="3281" spans="1:6" x14ac:dyDescent="0.15">
      <c r="A3281" s="2">
        <v>46089</v>
      </c>
      <c r="B3281" s="1" t="s">
        <v>6171</v>
      </c>
      <c r="C3281" s="1" t="s">
        <v>6172</v>
      </c>
      <c r="D3281" t="b">
        <f ca="1">IF(A3281="","",[1]!s_techanal_rcnthigh(B3281,$B$2,1,3))</f>
        <v>0</v>
      </c>
      <c r="E3281">
        <f ca="1">IF(A3281="","",COUNTIF(D$6:D3281,"True"))</f>
        <v>31</v>
      </c>
      <c r="F3281" t="str">
        <f t="shared" si="51"/>
        <v>600533.SH</v>
      </c>
    </row>
    <row r="3282" spans="1:6" x14ac:dyDescent="0.15">
      <c r="A3282" s="2">
        <v>46089</v>
      </c>
      <c r="B3282" s="1" t="s">
        <v>6173</v>
      </c>
      <c r="C3282" s="1" t="s">
        <v>6174</v>
      </c>
      <c r="D3282" t="b">
        <f ca="1">IF(A3282="","",[1]!s_techanal_rcnthigh(B3282,$B$2,1,3))</f>
        <v>0</v>
      </c>
      <c r="E3282">
        <f ca="1">IF(A3282="","",COUNTIF(D$6:D3282,"True"))</f>
        <v>31</v>
      </c>
      <c r="F3282" t="str">
        <f t="shared" si="51"/>
        <v>600535.SH</v>
      </c>
    </row>
    <row r="3283" spans="1:6" x14ac:dyDescent="0.15">
      <c r="A3283" s="2">
        <v>46089</v>
      </c>
      <c r="B3283" s="1" t="s">
        <v>6175</v>
      </c>
      <c r="C3283" s="1" t="s">
        <v>6176</v>
      </c>
      <c r="D3283" t="b">
        <f ca="1">IF(A3283="","",[1]!s_techanal_rcnthigh(B3283,$B$2,1,3))</f>
        <v>0</v>
      </c>
      <c r="E3283">
        <f ca="1">IF(A3283="","",COUNTIF(D$6:D3283,"True"))</f>
        <v>31</v>
      </c>
      <c r="F3283" t="str">
        <f t="shared" si="51"/>
        <v>600536.SH</v>
      </c>
    </row>
    <row r="3284" spans="1:6" x14ac:dyDescent="0.15">
      <c r="A3284" s="2">
        <v>46089</v>
      </c>
      <c r="B3284" s="1" t="s">
        <v>6177</v>
      </c>
      <c r="C3284" s="1" t="s">
        <v>6178</v>
      </c>
      <c r="D3284" t="b">
        <f ca="1">IF(A3284="","",[1]!s_techanal_rcnthigh(B3284,$B$2,1,3))</f>
        <v>0</v>
      </c>
      <c r="E3284">
        <f ca="1">IF(A3284="","",COUNTIF(D$6:D3284,"True"))</f>
        <v>31</v>
      </c>
      <c r="F3284" t="str">
        <f t="shared" si="51"/>
        <v>600537.SH</v>
      </c>
    </row>
    <row r="3285" spans="1:6" x14ac:dyDescent="0.15">
      <c r="A3285" s="2">
        <v>46089</v>
      </c>
      <c r="B3285" s="1" t="s">
        <v>6179</v>
      </c>
      <c r="C3285" s="1" t="s">
        <v>6180</v>
      </c>
      <c r="D3285" t="b">
        <f ca="1">IF(A3285="","",[1]!s_techanal_rcnthigh(B3285,$B$2,1,3))</f>
        <v>0</v>
      </c>
      <c r="E3285">
        <f ca="1">IF(A3285="","",COUNTIF(D$6:D3285,"True"))</f>
        <v>31</v>
      </c>
      <c r="F3285" t="str">
        <f t="shared" si="51"/>
        <v>600538.SH</v>
      </c>
    </row>
    <row r="3286" spans="1:6" x14ac:dyDescent="0.15">
      <c r="A3286" s="2">
        <v>46089</v>
      </c>
      <c r="B3286" s="1" t="s">
        <v>6181</v>
      </c>
      <c r="C3286" s="1" t="s">
        <v>6182</v>
      </c>
      <c r="D3286" t="b">
        <f ca="1">IF(A3286="","",[1]!s_techanal_rcnthigh(B3286,$B$2,1,3))</f>
        <v>0</v>
      </c>
      <c r="E3286">
        <f ca="1">IF(A3286="","",COUNTIF(D$6:D3286,"True"))</f>
        <v>31</v>
      </c>
      <c r="F3286" t="str">
        <f t="shared" si="51"/>
        <v>600539.SH</v>
      </c>
    </row>
    <row r="3287" spans="1:6" x14ac:dyDescent="0.15">
      <c r="A3287" s="2">
        <v>46089</v>
      </c>
      <c r="B3287" s="1" t="s">
        <v>6183</v>
      </c>
      <c r="C3287" s="1" t="s">
        <v>6184</v>
      </c>
      <c r="D3287" t="b">
        <f ca="1">IF(A3287="","",[1]!s_techanal_rcnthigh(B3287,$B$2,1,3))</f>
        <v>0</v>
      </c>
      <c r="E3287">
        <f ca="1">IF(A3287="","",COUNTIF(D$6:D3287,"True"))</f>
        <v>31</v>
      </c>
      <c r="F3287" t="str">
        <f t="shared" si="51"/>
        <v>600540.SH</v>
      </c>
    </row>
    <row r="3288" spans="1:6" x14ac:dyDescent="0.15">
      <c r="A3288" s="2">
        <v>46089</v>
      </c>
      <c r="B3288" s="1" t="s">
        <v>6185</v>
      </c>
      <c r="C3288" s="1" t="s">
        <v>10417</v>
      </c>
      <c r="D3288" t="b">
        <f ca="1">IF(A3288="","",[1]!s_techanal_rcnthigh(B3288,$B$2,1,3))</f>
        <v>0</v>
      </c>
      <c r="E3288">
        <f ca="1">IF(A3288="","",COUNTIF(D$6:D3288,"True"))</f>
        <v>31</v>
      </c>
      <c r="F3288" t="str">
        <f t="shared" si="51"/>
        <v>600543.SH</v>
      </c>
    </row>
    <row r="3289" spans="1:6" x14ac:dyDescent="0.15">
      <c r="A3289" s="2">
        <v>46089</v>
      </c>
      <c r="B3289" s="1" t="s">
        <v>6186</v>
      </c>
      <c r="C3289" s="1" t="s">
        <v>6187</v>
      </c>
      <c r="D3289" t="b">
        <f ca="1">IF(A3289="","",[1]!s_techanal_rcnthigh(B3289,$B$2,1,3))</f>
        <v>0</v>
      </c>
      <c r="E3289">
        <f ca="1">IF(A3289="","",COUNTIF(D$6:D3289,"True"))</f>
        <v>31</v>
      </c>
      <c r="F3289" t="str">
        <f t="shared" si="51"/>
        <v>600545.SH</v>
      </c>
    </row>
    <row r="3290" spans="1:6" x14ac:dyDescent="0.15">
      <c r="A3290" s="2">
        <v>46089</v>
      </c>
      <c r="B3290" s="1" t="s">
        <v>6188</v>
      </c>
      <c r="C3290" s="1" t="s">
        <v>6189</v>
      </c>
      <c r="D3290" t="b">
        <f ca="1">IF(A3290="","",[1]!s_techanal_rcnthigh(B3290,$B$2,1,3))</f>
        <v>0</v>
      </c>
      <c r="E3290">
        <f ca="1">IF(A3290="","",COUNTIF(D$6:D3290,"True"))</f>
        <v>31</v>
      </c>
      <c r="F3290" t="str">
        <f t="shared" si="51"/>
        <v>600546.SH</v>
      </c>
    </row>
    <row r="3291" spans="1:6" x14ac:dyDescent="0.15">
      <c r="A3291" s="2">
        <v>46089</v>
      </c>
      <c r="B3291" s="1" t="s">
        <v>6190</v>
      </c>
      <c r="C3291" s="1" t="s">
        <v>6191</v>
      </c>
      <c r="D3291" t="b">
        <f ca="1">IF(A3291="","",[1]!s_techanal_rcnthigh(B3291,$B$2,1,3))</f>
        <v>0</v>
      </c>
      <c r="E3291">
        <f ca="1">IF(A3291="","",COUNTIF(D$6:D3291,"True"))</f>
        <v>31</v>
      </c>
      <c r="F3291" t="str">
        <f t="shared" si="51"/>
        <v>600547.SH</v>
      </c>
    </row>
    <row r="3292" spans="1:6" x14ac:dyDescent="0.15">
      <c r="A3292" s="2">
        <v>46089</v>
      </c>
      <c r="B3292" s="1" t="s">
        <v>6192</v>
      </c>
      <c r="C3292" s="1" t="s">
        <v>6193</v>
      </c>
      <c r="D3292" t="b">
        <f ca="1">IF(A3292="","",[1]!s_techanal_rcnthigh(B3292,$B$2,1,3))</f>
        <v>0</v>
      </c>
      <c r="E3292">
        <f ca="1">IF(A3292="","",COUNTIF(D$6:D3292,"True"))</f>
        <v>31</v>
      </c>
      <c r="F3292" t="str">
        <f t="shared" si="51"/>
        <v>600548.SH</v>
      </c>
    </row>
    <row r="3293" spans="1:6" x14ac:dyDescent="0.15">
      <c r="A3293" s="2">
        <v>46089</v>
      </c>
      <c r="B3293" s="1" t="s">
        <v>6194</v>
      </c>
      <c r="C3293" s="1" t="s">
        <v>6195</v>
      </c>
      <c r="D3293" t="b">
        <f ca="1">IF(A3293="","",[1]!s_techanal_rcnthigh(B3293,$B$2,1,3))</f>
        <v>0</v>
      </c>
      <c r="E3293">
        <f ca="1">IF(A3293="","",COUNTIF(D$6:D3293,"True"))</f>
        <v>31</v>
      </c>
      <c r="F3293" t="str">
        <f t="shared" si="51"/>
        <v>600549.SH</v>
      </c>
    </row>
    <row r="3294" spans="1:6" x14ac:dyDescent="0.15">
      <c r="A3294" s="2">
        <v>46089</v>
      </c>
      <c r="B3294" s="1" t="s">
        <v>6196</v>
      </c>
      <c r="C3294" s="1" t="s">
        <v>6197</v>
      </c>
      <c r="D3294" t="b">
        <f ca="1">IF(A3294="","",[1]!s_techanal_rcnthigh(B3294,$B$2,1,3))</f>
        <v>0</v>
      </c>
      <c r="E3294">
        <f ca="1">IF(A3294="","",COUNTIF(D$6:D3294,"True"))</f>
        <v>31</v>
      </c>
      <c r="F3294" t="str">
        <f t="shared" si="51"/>
        <v>600550.SH</v>
      </c>
    </row>
    <row r="3295" spans="1:6" x14ac:dyDescent="0.15">
      <c r="A3295" s="2">
        <v>46089</v>
      </c>
      <c r="B3295" s="1" t="s">
        <v>6198</v>
      </c>
      <c r="C3295" s="1" t="s">
        <v>6199</v>
      </c>
      <c r="D3295" t="b">
        <f ca="1">IF(A3295="","",[1]!s_techanal_rcnthigh(B3295,$B$2,1,3))</f>
        <v>0</v>
      </c>
      <c r="E3295">
        <f ca="1">IF(A3295="","",COUNTIF(D$6:D3295,"True"))</f>
        <v>31</v>
      </c>
      <c r="F3295" t="str">
        <f t="shared" si="51"/>
        <v>600551.SH</v>
      </c>
    </row>
    <row r="3296" spans="1:6" x14ac:dyDescent="0.15">
      <c r="A3296" s="2">
        <v>46089</v>
      </c>
      <c r="B3296" s="1" t="s">
        <v>6200</v>
      </c>
      <c r="C3296" s="1" t="s">
        <v>6201</v>
      </c>
      <c r="D3296" t="b">
        <f ca="1">IF(A3296="","",[1]!s_techanal_rcnthigh(B3296,$B$2,1,3))</f>
        <v>0</v>
      </c>
      <c r="E3296">
        <f ca="1">IF(A3296="","",COUNTIF(D$6:D3296,"True"))</f>
        <v>31</v>
      </c>
      <c r="F3296" t="str">
        <f t="shared" si="51"/>
        <v>600552.SH</v>
      </c>
    </row>
    <row r="3297" spans="1:6" x14ac:dyDescent="0.15">
      <c r="A3297" s="2">
        <v>46089</v>
      </c>
      <c r="B3297" s="1" t="s">
        <v>6202</v>
      </c>
      <c r="C3297" s="1" t="s">
        <v>6203</v>
      </c>
      <c r="D3297" t="b">
        <f ca="1">IF(A3297="","",[1]!s_techanal_rcnthigh(B3297,$B$2,1,3))</f>
        <v>0</v>
      </c>
      <c r="E3297">
        <f ca="1">IF(A3297="","",COUNTIF(D$6:D3297,"True"))</f>
        <v>31</v>
      </c>
      <c r="F3297" t="str">
        <f t="shared" si="51"/>
        <v>600556.SH</v>
      </c>
    </row>
    <row r="3298" spans="1:6" x14ac:dyDescent="0.15">
      <c r="A3298" s="2">
        <v>46089</v>
      </c>
      <c r="B3298" s="1" t="s">
        <v>6204</v>
      </c>
      <c r="C3298" s="1" t="s">
        <v>6205</v>
      </c>
      <c r="D3298" t="b">
        <f ca="1">IF(A3298="","",[1]!s_techanal_rcnthigh(B3298,$B$2,1,3))</f>
        <v>0</v>
      </c>
      <c r="E3298">
        <f ca="1">IF(A3298="","",COUNTIF(D$6:D3298,"True"))</f>
        <v>31</v>
      </c>
      <c r="F3298" t="str">
        <f t="shared" si="51"/>
        <v>600557.SH</v>
      </c>
    </row>
    <row r="3299" spans="1:6" x14ac:dyDescent="0.15">
      <c r="A3299" s="2">
        <v>46089</v>
      </c>
      <c r="B3299" s="1" t="s">
        <v>6206</v>
      </c>
      <c r="C3299" s="1" t="s">
        <v>6207</v>
      </c>
      <c r="D3299" t="b">
        <f ca="1">IF(A3299="","",[1]!s_techanal_rcnthigh(B3299,$B$2,1,3))</f>
        <v>0</v>
      </c>
      <c r="E3299">
        <f ca="1">IF(A3299="","",COUNTIF(D$6:D3299,"True"))</f>
        <v>31</v>
      </c>
      <c r="F3299" t="str">
        <f t="shared" si="51"/>
        <v>600558.SH</v>
      </c>
    </row>
    <row r="3300" spans="1:6" x14ac:dyDescent="0.15">
      <c r="A3300" s="2">
        <v>46089</v>
      </c>
      <c r="B3300" s="1" t="s">
        <v>6208</v>
      </c>
      <c r="C3300" s="1" t="s">
        <v>6209</v>
      </c>
      <c r="D3300" t="b">
        <f ca="1">IF(A3300="","",[1]!s_techanal_rcnthigh(B3300,$B$2,1,3))</f>
        <v>0</v>
      </c>
      <c r="E3300">
        <f ca="1">IF(A3300="","",COUNTIF(D$6:D3300,"True"))</f>
        <v>31</v>
      </c>
      <c r="F3300" t="str">
        <f t="shared" si="51"/>
        <v>600559.SH</v>
      </c>
    </row>
    <row r="3301" spans="1:6" x14ac:dyDescent="0.15">
      <c r="A3301" s="2">
        <v>46089</v>
      </c>
      <c r="B3301" s="1" t="s">
        <v>6210</v>
      </c>
      <c r="C3301" s="1" t="s">
        <v>6211</v>
      </c>
      <c r="D3301" t="b">
        <f ca="1">IF(A3301="","",[1]!s_techanal_rcnthigh(B3301,$B$2,1,3))</f>
        <v>0</v>
      </c>
      <c r="E3301">
        <f ca="1">IF(A3301="","",COUNTIF(D$6:D3301,"True"))</f>
        <v>31</v>
      </c>
      <c r="F3301" t="str">
        <f t="shared" si="51"/>
        <v>600560.SH</v>
      </c>
    </row>
    <row r="3302" spans="1:6" x14ac:dyDescent="0.15">
      <c r="A3302" s="2">
        <v>46089</v>
      </c>
      <c r="B3302" s="1" t="s">
        <v>6212</v>
      </c>
      <c r="C3302" s="1" t="s">
        <v>6213</v>
      </c>
      <c r="D3302" t="b">
        <f ca="1">IF(A3302="","",[1]!s_techanal_rcnthigh(B3302,$B$2,1,3))</f>
        <v>0</v>
      </c>
      <c r="E3302">
        <f ca="1">IF(A3302="","",COUNTIF(D$6:D3302,"True"))</f>
        <v>31</v>
      </c>
      <c r="F3302" t="str">
        <f t="shared" si="51"/>
        <v>600561.SH</v>
      </c>
    </row>
    <row r="3303" spans="1:6" x14ac:dyDescent="0.15">
      <c r="A3303" s="2">
        <v>46089</v>
      </c>
      <c r="B3303" s="1" t="s">
        <v>6214</v>
      </c>
      <c r="C3303" s="1" t="s">
        <v>6215</v>
      </c>
      <c r="D3303" t="b">
        <f ca="1">IF(A3303="","",[1]!s_techanal_rcnthigh(B3303,$B$2,1,3))</f>
        <v>0</v>
      </c>
      <c r="E3303">
        <f ca="1">IF(A3303="","",COUNTIF(D$6:D3303,"True"))</f>
        <v>31</v>
      </c>
      <c r="F3303" t="str">
        <f t="shared" si="51"/>
        <v>600562.SH</v>
      </c>
    </row>
    <row r="3304" spans="1:6" x14ac:dyDescent="0.15">
      <c r="A3304" s="2">
        <v>46089</v>
      </c>
      <c r="B3304" s="1" t="s">
        <v>6216</v>
      </c>
      <c r="C3304" s="1" t="s">
        <v>6217</v>
      </c>
      <c r="D3304" t="b">
        <f ca="1">IF(A3304="","",[1]!s_techanal_rcnthigh(B3304,$B$2,1,3))</f>
        <v>0</v>
      </c>
      <c r="E3304">
        <f ca="1">IF(A3304="","",COUNTIF(D$6:D3304,"True"))</f>
        <v>31</v>
      </c>
      <c r="F3304" t="str">
        <f t="shared" si="51"/>
        <v>600563.SH</v>
      </c>
    </row>
    <row r="3305" spans="1:6" x14ac:dyDescent="0.15">
      <c r="A3305" s="2">
        <v>46089</v>
      </c>
      <c r="B3305" s="1" t="s">
        <v>6218</v>
      </c>
      <c r="C3305" s="1" t="s">
        <v>6219</v>
      </c>
      <c r="D3305" t="b">
        <f ca="1">IF(A3305="","",[1]!s_techanal_rcnthigh(B3305,$B$2,1,3))</f>
        <v>0</v>
      </c>
      <c r="E3305">
        <f ca="1">IF(A3305="","",COUNTIF(D$6:D3305,"True"))</f>
        <v>31</v>
      </c>
      <c r="F3305" t="str">
        <f t="shared" si="51"/>
        <v>600566.SH</v>
      </c>
    </row>
    <row r="3306" spans="1:6" x14ac:dyDescent="0.15">
      <c r="A3306" s="2">
        <v>46089</v>
      </c>
      <c r="B3306" s="1" t="s">
        <v>6220</v>
      </c>
      <c r="C3306" s="1" t="s">
        <v>6221</v>
      </c>
      <c r="D3306" t="b">
        <f ca="1">IF(A3306="","",[1]!s_techanal_rcnthigh(B3306,$B$2,1,3))</f>
        <v>0</v>
      </c>
      <c r="E3306">
        <f ca="1">IF(A3306="","",COUNTIF(D$6:D3306,"True"))</f>
        <v>31</v>
      </c>
      <c r="F3306" t="str">
        <f t="shared" si="51"/>
        <v>600567.SH</v>
      </c>
    </row>
    <row r="3307" spans="1:6" x14ac:dyDescent="0.15">
      <c r="A3307" s="2">
        <v>46089</v>
      </c>
      <c r="B3307" s="1" t="s">
        <v>6222</v>
      </c>
      <c r="C3307" s="1" t="s">
        <v>6223</v>
      </c>
      <c r="D3307" t="b">
        <f ca="1">IF(A3307="","",[1]!s_techanal_rcnthigh(B3307,$B$2,1,3))</f>
        <v>0</v>
      </c>
      <c r="E3307">
        <f ca="1">IF(A3307="","",COUNTIF(D$6:D3307,"True"))</f>
        <v>31</v>
      </c>
      <c r="F3307" t="str">
        <f t="shared" si="51"/>
        <v>600568.SH</v>
      </c>
    </row>
    <row r="3308" spans="1:6" x14ac:dyDescent="0.15">
      <c r="A3308" s="2">
        <v>46089</v>
      </c>
      <c r="B3308" s="1" t="s">
        <v>6224</v>
      </c>
      <c r="C3308" s="1" t="s">
        <v>6225</v>
      </c>
      <c r="D3308" t="b">
        <f ca="1">IF(A3308="","",[1]!s_techanal_rcnthigh(B3308,$B$2,1,3))</f>
        <v>0</v>
      </c>
      <c r="E3308">
        <f ca="1">IF(A3308="","",COUNTIF(D$6:D3308,"True"))</f>
        <v>31</v>
      </c>
      <c r="F3308" t="str">
        <f t="shared" si="51"/>
        <v>600569.SH</v>
      </c>
    </row>
    <row r="3309" spans="1:6" x14ac:dyDescent="0.15">
      <c r="A3309" s="2">
        <v>46089</v>
      </c>
      <c r="B3309" s="1" t="s">
        <v>6226</v>
      </c>
      <c r="C3309" s="1" t="s">
        <v>6227</v>
      </c>
      <c r="D3309" t="b">
        <f ca="1">IF(A3309="","",[1]!s_techanal_rcnthigh(B3309,$B$2,1,3))</f>
        <v>0</v>
      </c>
      <c r="E3309">
        <f ca="1">IF(A3309="","",COUNTIF(D$6:D3309,"True"))</f>
        <v>31</v>
      </c>
      <c r="F3309" t="str">
        <f t="shared" si="51"/>
        <v>600570.SH</v>
      </c>
    </row>
    <row r="3310" spans="1:6" x14ac:dyDescent="0.15">
      <c r="A3310" s="2">
        <v>46089</v>
      </c>
      <c r="B3310" s="1" t="s">
        <v>6228</v>
      </c>
      <c r="C3310" s="1" t="s">
        <v>6229</v>
      </c>
      <c r="D3310" t="b">
        <f ca="1">IF(A3310="","",[1]!s_techanal_rcnthigh(B3310,$B$2,1,3))</f>
        <v>0</v>
      </c>
      <c r="E3310">
        <f ca="1">IF(A3310="","",COUNTIF(D$6:D3310,"True"))</f>
        <v>31</v>
      </c>
      <c r="F3310" t="str">
        <f t="shared" si="51"/>
        <v>600571.SH</v>
      </c>
    </row>
    <row r="3311" spans="1:6" x14ac:dyDescent="0.15">
      <c r="A3311" s="2">
        <v>46089</v>
      </c>
      <c r="B3311" s="1" t="s">
        <v>6230</v>
      </c>
      <c r="C3311" s="1" t="s">
        <v>6231</v>
      </c>
      <c r="D3311" t="b">
        <f ca="1">IF(A3311="","",[1]!s_techanal_rcnthigh(B3311,$B$2,1,3))</f>
        <v>0</v>
      </c>
      <c r="E3311">
        <f ca="1">IF(A3311="","",COUNTIF(D$6:D3311,"True"))</f>
        <v>31</v>
      </c>
      <c r="F3311" t="str">
        <f t="shared" si="51"/>
        <v>600572.SH</v>
      </c>
    </row>
    <row r="3312" spans="1:6" x14ac:dyDescent="0.15">
      <c r="A3312" s="2">
        <v>46089</v>
      </c>
      <c r="B3312" s="1" t="s">
        <v>6232</v>
      </c>
      <c r="C3312" s="1" t="s">
        <v>6233</v>
      </c>
      <c r="D3312" t="b">
        <f ca="1">IF(A3312="","",[1]!s_techanal_rcnthigh(B3312,$B$2,1,3))</f>
        <v>0</v>
      </c>
      <c r="E3312">
        <f ca="1">IF(A3312="","",COUNTIF(D$6:D3312,"True"))</f>
        <v>31</v>
      </c>
      <c r="F3312" t="str">
        <f t="shared" si="51"/>
        <v>600573.SH</v>
      </c>
    </row>
    <row r="3313" spans="1:6" x14ac:dyDescent="0.15">
      <c r="A3313" s="2">
        <v>46089</v>
      </c>
      <c r="B3313" s="1" t="s">
        <v>6234</v>
      </c>
      <c r="C3313" s="1" t="s">
        <v>6235</v>
      </c>
      <c r="D3313" t="b">
        <f ca="1">IF(A3313="","",[1]!s_techanal_rcnthigh(B3313,$B$2,1,3))</f>
        <v>0</v>
      </c>
      <c r="E3313">
        <f ca="1">IF(A3313="","",COUNTIF(D$6:D3313,"True"))</f>
        <v>31</v>
      </c>
      <c r="F3313" t="str">
        <f t="shared" si="51"/>
        <v>600575.SH</v>
      </c>
    </row>
    <row r="3314" spans="1:6" x14ac:dyDescent="0.15">
      <c r="A3314" s="2">
        <v>46089</v>
      </c>
      <c r="B3314" s="1" t="s">
        <v>6236</v>
      </c>
      <c r="C3314" s="1" t="s">
        <v>6237</v>
      </c>
      <c r="D3314" t="b">
        <f ca="1">IF(A3314="","",[1]!s_techanal_rcnthigh(B3314,$B$2,1,3))</f>
        <v>0</v>
      </c>
      <c r="E3314">
        <f ca="1">IF(A3314="","",COUNTIF(D$6:D3314,"True"))</f>
        <v>31</v>
      </c>
      <c r="F3314" t="str">
        <f t="shared" si="51"/>
        <v>600576.SH</v>
      </c>
    </row>
    <row r="3315" spans="1:6" x14ac:dyDescent="0.15">
      <c r="A3315" s="2">
        <v>46089</v>
      </c>
      <c r="B3315" s="1" t="s">
        <v>6238</v>
      </c>
      <c r="C3315" s="1" t="s">
        <v>6239</v>
      </c>
      <c r="D3315" t="b">
        <f ca="1">IF(A3315="","",[1]!s_techanal_rcnthigh(B3315,$B$2,1,3))</f>
        <v>0</v>
      </c>
      <c r="E3315">
        <f ca="1">IF(A3315="","",COUNTIF(D$6:D3315,"True"))</f>
        <v>31</v>
      </c>
      <c r="F3315" t="str">
        <f t="shared" si="51"/>
        <v>600577.SH</v>
      </c>
    </row>
    <row r="3316" spans="1:6" x14ac:dyDescent="0.15">
      <c r="A3316" s="2">
        <v>46089</v>
      </c>
      <c r="B3316" s="1" t="s">
        <v>6240</v>
      </c>
      <c r="C3316" s="1" t="s">
        <v>6241</v>
      </c>
      <c r="D3316" t="b">
        <f ca="1">IF(A3316="","",[1]!s_techanal_rcnthigh(B3316,$B$2,1,3))</f>
        <v>0</v>
      </c>
      <c r="E3316">
        <f ca="1">IF(A3316="","",COUNTIF(D$6:D3316,"True"))</f>
        <v>31</v>
      </c>
      <c r="F3316" t="str">
        <f t="shared" si="51"/>
        <v>600578.SH</v>
      </c>
    </row>
    <row r="3317" spans="1:6" x14ac:dyDescent="0.15">
      <c r="A3317" s="2">
        <v>46089</v>
      </c>
      <c r="B3317" s="1" t="s">
        <v>6242</v>
      </c>
      <c r="C3317" s="1" t="s">
        <v>10418</v>
      </c>
      <c r="D3317" t="b">
        <f ca="1">IF(A3317="","",[1]!s_techanal_rcnthigh(B3317,$B$2,1,3))</f>
        <v>0</v>
      </c>
      <c r="E3317">
        <f ca="1">IF(A3317="","",COUNTIF(D$6:D3317,"True"))</f>
        <v>31</v>
      </c>
      <c r="F3317" t="str">
        <f t="shared" si="51"/>
        <v>600579.SH</v>
      </c>
    </row>
    <row r="3318" spans="1:6" x14ac:dyDescent="0.15">
      <c r="A3318" s="2">
        <v>46089</v>
      </c>
      <c r="B3318" s="1" t="s">
        <v>6243</v>
      </c>
      <c r="C3318" s="1" t="s">
        <v>6244</v>
      </c>
      <c r="D3318" t="b">
        <f ca="1">IF(A3318="","",[1]!s_techanal_rcnthigh(B3318,$B$2,1,3))</f>
        <v>0</v>
      </c>
      <c r="E3318">
        <f ca="1">IF(A3318="","",COUNTIF(D$6:D3318,"True"))</f>
        <v>31</v>
      </c>
      <c r="F3318" t="str">
        <f t="shared" si="51"/>
        <v>600580.SH</v>
      </c>
    </row>
    <row r="3319" spans="1:6" x14ac:dyDescent="0.15">
      <c r="A3319" s="2">
        <v>46089</v>
      </c>
      <c r="B3319" s="1" t="s">
        <v>6245</v>
      </c>
      <c r="C3319" s="1" t="s">
        <v>6246</v>
      </c>
      <c r="D3319" t="b">
        <f ca="1">IF(A3319="","",[1]!s_techanal_rcnthigh(B3319,$B$2,1,3))</f>
        <v>0</v>
      </c>
      <c r="E3319">
        <f ca="1">IF(A3319="","",COUNTIF(D$6:D3319,"True"))</f>
        <v>31</v>
      </c>
      <c r="F3319" t="str">
        <f t="shared" si="51"/>
        <v>600581.SH</v>
      </c>
    </row>
    <row r="3320" spans="1:6" x14ac:dyDescent="0.15">
      <c r="A3320" s="2">
        <v>46089</v>
      </c>
      <c r="B3320" s="1" t="s">
        <v>6247</v>
      </c>
      <c r="C3320" s="1" t="s">
        <v>6248</v>
      </c>
      <c r="D3320" t="b">
        <f ca="1">IF(A3320="","",[1]!s_techanal_rcnthigh(B3320,$B$2,1,3))</f>
        <v>0</v>
      </c>
      <c r="E3320">
        <f ca="1">IF(A3320="","",COUNTIF(D$6:D3320,"True"))</f>
        <v>31</v>
      </c>
      <c r="F3320" t="str">
        <f t="shared" si="51"/>
        <v>600582.SH</v>
      </c>
    </row>
    <row r="3321" spans="1:6" x14ac:dyDescent="0.15">
      <c r="A3321" s="2">
        <v>46089</v>
      </c>
      <c r="B3321" s="1" t="s">
        <v>6249</v>
      </c>
      <c r="C3321" s="1" t="s">
        <v>6250</v>
      </c>
      <c r="D3321" t="b">
        <f ca="1">IF(A3321="","",[1]!s_techanal_rcnthigh(B3321,$B$2,1,3))</f>
        <v>0</v>
      </c>
      <c r="E3321">
        <f ca="1">IF(A3321="","",COUNTIF(D$6:D3321,"True"))</f>
        <v>31</v>
      </c>
      <c r="F3321" t="str">
        <f t="shared" si="51"/>
        <v>600583.SH</v>
      </c>
    </row>
    <row r="3322" spans="1:6" x14ac:dyDescent="0.15">
      <c r="A3322" s="2">
        <v>46089</v>
      </c>
      <c r="B3322" s="1" t="s">
        <v>6251</v>
      </c>
      <c r="C3322" s="1" t="s">
        <v>6252</v>
      </c>
      <c r="D3322" t="b">
        <f ca="1">IF(A3322="","",[1]!s_techanal_rcnthigh(B3322,$B$2,1,3))</f>
        <v>0</v>
      </c>
      <c r="E3322">
        <f ca="1">IF(A3322="","",COUNTIF(D$6:D3322,"True"))</f>
        <v>31</v>
      </c>
      <c r="F3322" t="str">
        <f t="shared" si="51"/>
        <v>600584.SH</v>
      </c>
    </row>
    <row r="3323" spans="1:6" x14ac:dyDescent="0.15">
      <c r="A3323" s="2">
        <v>46089</v>
      </c>
      <c r="B3323" s="1" t="s">
        <v>6253</v>
      </c>
      <c r="C3323" s="1" t="s">
        <v>6254</v>
      </c>
      <c r="D3323" t="b">
        <f ca="1">IF(A3323="","",[1]!s_techanal_rcnthigh(B3323,$B$2,1,3))</f>
        <v>0</v>
      </c>
      <c r="E3323">
        <f ca="1">IF(A3323="","",COUNTIF(D$6:D3323,"True"))</f>
        <v>31</v>
      </c>
      <c r="F3323" t="str">
        <f t="shared" si="51"/>
        <v>600585.SH</v>
      </c>
    </row>
    <row r="3324" spans="1:6" x14ac:dyDescent="0.15">
      <c r="A3324" s="2">
        <v>46089</v>
      </c>
      <c r="B3324" s="1" t="s">
        <v>6255</v>
      </c>
      <c r="C3324" s="1" t="s">
        <v>6256</v>
      </c>
      <c r="D3324" t="b">
        <f ca="1">IF(A3324="","",[1]!s_techanal_rcnthigh(B3324,$B$2,1,3))</f>
        <v>0</v>
      </c>
      <c r="E3324">
        <f ca="1">IF(A3324="","",COUNTIF(D$6:D3324,"True"))</f>
        <v>31</v>
      </c>
      <c r="F3324" t="str">
        <f t="shared" si="51"/>
        <v>600586.SH</v>
      </c>
    </row>
    <row r="3325" spans="1:6" x14ac:dyDescent="0.15">
      <c r="A3325" s="2">
        <v>46089</v>
      </c>
      <c r="B3325" s="1" t="s">
        <v>6257</v>
      </c>
      <c r="C3325" s="1" t="s">
        <v>6258</v>
      </c>
      <c r="D3325" t="b">
        <f ca="1">IF(A3325="","",[1]!s_techanal_rcnthigh(B3325,$B$2,1,3))</f>
        <v>0</v>
      </c>
      <c r="E3325">
        <f ca="1">IF(A3325="","",COUNTIF(D$6:D3325,"True"))</f>
        <v>31</v>
      </c>
      <c r="F3325" t="str">
        <f t="shared" si="51"/>
        <v>600587.SH</v>
      </c>
    </row>
    <row r="3326" spans="1:6" x14ac:dyDescent="0.15">
      <c r="A3326" s="2">
        <v>46089</v>
      </c>
      <c r="B3326" s="1" t="s">
        <v>6259</v>
      </c>
      <c r="C3326" s="1" t="s">
        <v>6260</v>
      </c>
      <c r="D3326" t="b">
        <f ca="1">IF(A3326="","",[1]!s_techanal_rcnthigh(B3326,$B$2,1,3))</f>
        <v>0</v>
      </c>
      <c r="E3326">
        <f ca="1">IF(A3326="","",COUNTIF(D$6:D3326,"True"))</f>
        <v>31</v>
      </c>
      <c r="F3326" t="str">
        <f t="shared" si="51"/>
        <v>600588.SH</v>
      </c>
    </row>
    <row r="3327" spans="1:6" x14ac:dyDescent="0.15">
      <c r="A3327" s="2">
        <v>46089</v>
      </c>
      <c r="B3327" s="1" t="s">
        <v>6261</v>
      </c>
      <c r="C3327" s="1" t="s">
        <v>10419</v>
      </c>
      <c r="D3327" t="b">
        <f ca="1">IF(A3327="","",[1]!s_techanal_rcnthigh(B3327,$B$2,1,3))</f>
        <v>0</v>
      </c>
      <c r="E3327">
        <f ca="1">IF(A3327="","",COUNTIF(D$6:D3327,"True"))</f>
        <v>31</v>
      </c>
      <c r="F3327" t="str">
        <f t="shared" si="51"/>
        <v>600589.SH</v>
      </c>
    </row>
    <row r="3328" spans="1:6" x14ac:dyDescent="0.15">
      <c r="A3328" s="2">
        <v>46089</v>
      </c>
      <c r="B3328" s="1" t="s">
        <v>6262</v>
      </c>
      <c r="C3328" s="1" t="s">
        <v>6263</v>
      </c>
      <c r="D3328" t="b">
        <f ca="1">IF(A3328="","",[1]!s_techanal_rcnthigh(B3328,$B$2,1,3))</f>
        <v>0</v>
      </c>
      <c r="E3328">
        <f ca="1">IF(A3328="","",COUNTIF(D$6:D3328,"True"))</f>
        <v>31</v>
      </c>
      <c r="F3328" t="str">
        <f t="shared" si="51"/>
        <v>600590.SH</v>
      </c>
    </row>
    <row r="3329" spans="1:6" x14ac:dyDescent="0.15">
      <c r="A3329" s="2">
        <v>46089</v>
      </c>
      <c r="B3329" s="1" t="s">
        <v>6264</v>
      </c>
      <c r="C3329" s="1" t="s">
        <v>6265</v>
      </c>
      <c r="D3329" t="b">
        <f ca="1">IF(A3329="","",[1]!s_techanal_rcnthigh(B3329,$B$2,1,3))</f>
        <v>0</v>
      </c>
      <c r="E3329">
        <f ca="1">IF(A3329="","",COUNTIF(D$6:D3329,"True"))</f>
        <v>31</v>
      </c>
      <c r="F3329" t="str">
        <f t="shared" si="51"/>
        <v>600592.SH</v>
      </c>
    </row>
    <row r="3330" spans="1:6" x14ac:dyDescent="0.15">
      <c r="A3330" s="2">
        <v>46089</v>
      </c>
      <c r="B3330" s="1" t="s">
        <v>6266</v>
      </c>
      <c r="C3330" s="1" t="s">
        <v>6267</v>
      </c>
      <c r="D3330" t="b">
        <f ca="1">IF(A3330="","",[1]!s_techanal_rcnthigh(B3330,$B$2,1,3))</f>
        <v>0</v>
      </c>
      <c r="E3330">
        <f ca="1">IF(A3330="","",COUNTIF(D$6:D3330,"True"))</f>
        <v>31</v>
      </c>
      <c r="F3330" t="str">
        <f t="shared" si="51"/>
        <v>600593.SH</v>
      </c>
    </row>
    <row r="3331" spans="1:6" x14ac:dyDescent="0.15">
      <c r="A3331" s="2">
        <v>46089</v>
      </c>
      <c r="B3331" s="1" t="s">
        <v>6268</v>
      </c>
      <c r="C3331" s="1" t="s">
        <v>6269</v>
      </c>
      <c r="D3331" t="b">
        <f ca="1">IF(A3331="","",[1]!s_techanal_rcnthigh(B3331,$B$2,1,3))</f>
        <v>0</v>
      </c>
      <c r="E3331">
        <f ca="1">IF(A3331="","",COUNTIF(D$6:D3331,"True"))</f>
        <v>31</v>
      </c>
      <c r="F3331" t="str">
        <f t="shared" si="51"/>
        <v>600594.SH</v>
      </c>
    </row>
    <row r="3332" spans="1:6" x14ac:dyDescent="0.15">
      <c r="A3332" s="2">
        <v>46089</v>
      </c>
      <c r="B3332" s="1" t="s">
        <v>6270</v>
      </c>
      <c r="C3332" s="1" t="s">
        <v>6271</v>
      </c>
      <c r="D3332" t="b">
        <f ca="1">IF(A3332="","",[1]!s_techanal_rcnthigh(B3332,$B$2,1,3))</f>
        <v>0</v>
      </c>
      <c r="E3332">
        <f ca="1">IF(A3332="","",COUNTIF(D$6:D3332,"True"))</f>
        <v>31</v>
      </c>
      <c r="F3332" t="str">
        <f t="shared" si="51"/>
        <v>600595.SH</v>
      </c>
    </row>
    <row r="3333" spans="1:6" x14ac:dyDescent="0.15">
      <c r="A3333" s="2">
        <v>46089</v>
      </c>
      <c r="B3333" s="1" t="s">
        <v>6272</v>
      </c>
      <c r="C3333" s="1" t="s">
        <v>6273</v>
      </c>
      <c r="D3333" t="b">
        <f ca="1">IF(A3333="","",[1]!s_techanal_rcnthigh(B3333,$B$2,1,3))</f>
        <v>0</v>
      </c>
      <c r="E3333">
        <f ca="1">IF(A3333="","",COUNTIF(D$6:D3333,"True"))</f>
        <v>31</v>
      </c>
      <c r="F3333" t="str">
        <f t="shared" si="51"/>
        <v>600596.SH</v>
      </c>
    </row>
    <row r="3334" spans="1:6" x14ac:dyDescent="0.15">
      <c r="A3334" s="2">
        <v>46089</v>
      </c>
      <c r="B3334" s="1" t="s">
        <v>6274</v>
      </c>
      <c r="C3334" s="1" t="s">
        <v>6275</v>
      </c>
      <c r="D3334" t="b">
        <f ca="1">IF(A3334="","",[1]!s_techanal_rcnthigh(B3334,$B$2,1,3))</f>
        <v>0</v>
      </c>
      <c r="E3334">
        <f ca="1">IF(A3334="","",COUNTIF(D$6:D3334,"True"))</f>
        <v>31</v>
      </c>
      <c r="F3334" t="str">
        <f t="shared" ref="F3334:F3397" si="52">IF(B3334="","",B3334)</f>
        <v>600597.SH</v>
      </c>
    </row>
    <row r="3335" spans="1:6" x14ac:dyDescent="0.15">
      <c r="A3335" s="2">
        <v>46089</v>
      </c>
      <c r="B3335" s="1" t="s">
        <v>6276</v>
      </c>
      <c r="C3335" s="1" t="s">
        <v>6277</v>
      </c>
      <c r="D3335" t="b">
        <f ca="1">IF(A3335="","",[1]!s_techanal_rcnthigh(B3335,$B$2,1,3))</f>
        <v>0</v>
      </c>
      <c r="E3335">
        <f ca="1">IF(A3335="","",COUNTIF(D$6:D3335,"True"))</f>
        <v>31</v>
      </c>
      <c r="F3335" t="str">
        <f t="shared" si="52"/>
        <v>600598.SH</v>
      </c>
    </row>
    <row r="3336" spans="1:6" x14ac:dyDescent="0.15">
      <c r="A3336" s="2">
        <v>46089</v>
      </c>
      <c r="B3336" s="1" t="s">
        <v>6278</v>
      </c>
      <c r="C3336" s="1" t="s">
        <v>10420</v>
      </c>
      <c r="D3336" t="b">
        <f ca="1">IF(A3336="","",[1]!s_techanal_rcnthigh(B3336,$B$2,1,3))</f>
        <v>0</v>
      </c>
      <c r="E3336">
        <f ca="1">IF(A3336="","",COUNTIF(D$6:D3336,"True"))</f>
        <v>31</v>
      </c>
      <c r="F3336" t="str">
        <f t="shared" si="52"/>
        <v>600599.SH</v>
      </c>
    </row>
    <row r="3337" spans="1:6" x14ac:dyDescent="0.15">
      <c r="A3337" s="2">
        <v>46089</v>
      </c>
      <c r="B3337" s="1" t="s">
        <v>6279</v>
      </c>
      <c r="C3337" s="1" t="s">
        <v>6280</v>
      </c>
      <c r="D3337" t="b">
        <f ca="1">IF(A3337="","",[1]!s_techanal_rcnthigh(B3337,$B$2,1,3))</f>
        <v>0</v>
      </c>
      <c r="E3337">
        <f ca="1">IF(A3337="","",COUNTIF(D$6:D3337,"True"))</f>
        <v>31</v>
      </c>
      <c r="F3337" t="str">
        <f t="shared" si="52"/>
        <v>600600.SH</v>
      </c>
    </row>
    <row r="3338" spans="1:6" x14ac:dyDescent="0.15">
      <c r="A3338" s="2">
        <v>46089</v>
      </c>
      <c r="B3338" s="1" t="s">
        <v>6281</v>
      </c>
      <c r="C3338" s="1" t="s">
        <v>6282</v>
      </c>
      <c r="D3338" t="b">
        <f ca="1">IF(A3338="","",[1]!s_techanal_rcnthigh(B3338,$B$2,1,3))</f>
        <v>0</v>
      </c>
      <c r="E3338">
        <f ca="1">IF(A3338="","",COUNTIF(D$6:D3338,"True"))</f>
        <v>31</v>
      </c>
      <c r="F3338" t="str">
        <f t="shared" si="52"/>
        <v>600601.SH</v>
      </c>
    </row>
    <row r="3339" spans="1:6" x14ac:dyDescent="0.15">
      <c r="A3339" s="2">
        <v>46089</v>
      </c>
      <c r="B3339" s="1" t="s">
        <v>6283</v>
      </c>
      <c r="C3339" s="1" t="s">
        <v>6284</v>
      </c>
      <c r="D3339" t="b">
        <f ca="1">IF(A3339="","",[1]!s_techanal_rcnthigh(B3339,$B$2,1,3))</f>
        <v>0</v>
      </c>
      <c r="E3339">
        <f ca="1">IF(A3339="","",COUNTIF(D$6:D3339,"True"))</f>
        <v>31</v>
      </c>
      <c r="F3339" t="str">
        <f t="shared" si="52"/>
        <v>600602.SH</v>
      </c>
    </row>
    <row r="3340" spans="1:6" x14ac:dyDescent="0.15">
      <c r="A3340" s="2">
        <v>46089</v>
      </c>
      <c r="B3340" s="1" t="s">
        <v>6285</v>
      </c>
      <c r="C3340" s="1" t="s">
        <v>6286</v>
      </c>
      <c r="D3340" t="b">
        <f ca="1">IF(A3340="","",[1]!s_techanal_rcnthigh(B3340,$B$2,1,3))</f>
        <v>0</v>
      </c>
      <c r="E3340">
        <f ca="1">IF(A3340="","",COUNTIF(D$6:D3340,"True"))</f>
        <v>31</v>
      </c>
      <c r="F3340" t="str">
        <f t="shared" si="52"/>
        <v>600603.SH</v>
      </c>
    </row>
    <row r="3341" spans="1:6" x14ac:dyDescent="0.15">
      <c r="A3341" s="2">
        <v>46089</v>
      </c>
      <c r="B3341" s="1" t="s">
        <v>6287</v>
      </c>
      <c r="C3341" s="1" t="s">
        <v>6288</v>
      </c>
      <c r="D3341" t="b">
        <f ca="1">IF(A3341="","",[1]!s_techanal_rcnthigh(B3341,$B$2,1,3))</f>
        <v>0</v>
      </c>
      <c r="E3341">
        <f ca="1">IF(A3341="","",COUNTIF(D$6:D3341,"True"))</f>
        <v>31</v>
      </c>
      <c r="F3341" t="str">
        <f t="shared" si="52"/>
        <v>600604.SH</v>
      </c>
    </row>
    <row r="3342" spans="1:6" x14ac:dyDescent="0.15">
      <c r="A3342" s="2">
        <v>46089</v>
      </c>
      <c r="B3342" s="1" t="s">
        <v>6289</v>
      </c>
      <c r="C3342" s="1" t="s">
        <v>6290</v>
      </c>
      <c r="D3342" t="b">
        <f ca="1">IF(A3342="","",[1]!s_techanal_rcnthigh(B3342,$B$2,1,3))</f>
        <v>0</v>
      </c>
      <c r="E3342">
        <f ca="1">IF(A3342="","",COUNTIF(D$6:D3342,"True"))</f>
        <v>31</v>
      </c>
      <c r="F3342" t="str">
        <f t="shared" si="52"/>
        <v>600605.SH</v>
      </c>
    </row>
    <row r="3343" spans="1:6" x14ac:dyDescent="0.15">
      <c r="A3343" s="2">
        <v>46089</v>
      </c>
      <c r="B3343" s="1" t="s">
        <v>6291</v>
      </c>
      <c r="C3343" s="1" t="s">
        <v>6292</v>
      </c>
      <c r="D3343" t="b">
        <f ca="1">IF(A3343="","",[1]!s_techanal_rcnthigh(B3343,$B$2,1,3))</f>
        <v>0</v>
      </c>
      <c r="E3343">
        <f ca="1">IF(A3343="","",COUNTIF(D$6:D3343,"True"))</f>
        <v>31</v>
      </c>
      <c r="F3343" t="str">
        <f t="shared" si="52"/>
        <v>600606.SH</v>
      </c>
    </row>
    <row r="3344" spans="1:6" x14ac:dyDescent="0.15">
      <c r="A3344" s="2">
        <v>46089</v>
      </c>
      <c r="B3344" s="1" t="s">
        <v>6293</v>
      </c>
      <c r="C3344" s="1" t="s">
        <v>10421</v>
      </c>
      <c r="D3344" t="b">
        <f ca="1">IF(A3344="","",[1]!s_techanal_rcnthigh(B3344,$B$2,1,3))</f>
        <v>0</v>
      </c>
      <c r="E3344">
        <f ca="1">IF(A3344="","",COUNTIF(D$6:D3344,"True"))</f>
        <v>31</v>
      </c>
      <c r="F3344" t="str">
        <f t="shared" si="52"/>
        <v>600608.SH</v>
      </c>
    </row>
    <row r="3345" spans="1:6" x14ac:dyDescent="0.15">
      <c r="A3345" s="2">
        <v>46089</v>
      </c>
      <c r="B3345" s="1" t="s">
        <v>6294</v>
      </c>
      <c r="C3345" s="1" t="s">
        <v>6295</v>
      </c>
      <c r="D3345" t="b">
        <f ca="1">IF(A3345="","",[1]!s_techanal_rcnthigh(B3345,$B$2,1,3))</f>
        <v>0</v>
      </c>
      <c r="E3345">
        <f ca="1">IF(A3345="","",COUNTIF(D$6:D3345,"True"))</f>
        <v>31</v>
      </c>
      <c r="F3345" t="str">
        <f t="shared" si="52"/>
        <v>600609.SH</v>
      </c>
    </row>
    <row r="3346" spans="1:6" x14ac:dyDescent="0.15">
      <c r="A3346" s="2">
        <v>46089</v>
      </c>
      <c r="B3346" s="1" t="s">
        <v>6296</v>
      </c>
      <c r="C3346" s="1" t="s">
        <v>6297</v>
      </c>
      <c r="D3346" t="b">
        <f ca="1">IF(A3346="","",[1]!s_techanal_rcnthigh(B3346,$B$2,1,3))</f>
        <v>0</v>
      </c>
      <c r="E3346">
        <f ca="1">IF(A3346="","",COUNTIF(D$6:D3346,"True"))</f>
        <v>31</v>
      </c>
      <c r="F3346" t="str">
        <f t="shared" si="52"/>
        <v>600610.SH</v>
      </c>
    </row>
    <row r="3347" spans="1:6" x14ac:dyDescent="0.15">
      <c r="A3347" s="2">
        <v>46089</v>
      </c>
      <c r="B3347" s="1" t="s">
        <v>6298</v>
      </c>
      <c r="C3347" s="1" t="s">
        <v>6299</v>
      </c>
      <c r="D3347" t="b">
        <f ca="1">IF(A3347="","",[1]!s_techanal_rcnthigh(B3347,$B$2,1,3))</f>
        <v>0</v>
      </c>
      <c r="E3347">
        <f ca="1">IF(A3347="","",COUNTIF(D$6:D3347,"True"))</f>
        <v>31</v>
      </c>
      <c r="F3347" t="str">
        <f t="shared" si="52"/>
        <v>600611.SH</v>
      </c>
    </row>
    <row r="3348" spans="1:6" x14ac:dyDescent="0.15">
      <c r="A3348" s="2">
        <v>46089</v>
      </c>
      <c r="B3348" s="1" t="s">
        <v>6300</v>
      </c>
      <c r="C3348" s="1" t="s">
        <v>6301</v>
      </c>
      <c r="D3348" t="b">
        <f ca="1">IF(A3348="","",[1]!s_techanal_rcnthigh(B3348,$B$2,1,3))</f>
        <v>0</v>
      </c>
      <c r="E3348">
        <f ca="1">IF(A3348="","",COUNTIF(D$6:D3348,"True"))</f>
        <v>31</v>
      </c>
      <c r="F3348" t="str">
        <f t="shared" si="52"/>
        <v>600612.SH</v>
      </c>
    </row>
    <row r="3349" spans="1:6" x14ac:dyDescent="0.15">
      <c r="A3349" s="2">
        <v>46089</v>
      </c>
      <c r="B3349" s="1" t="s">
        <v>6302</v>
      </c>
      <c r="C3349" s="1" t="s">
        <v>6303</v>
      </c>
      <c r="D3349" t="b">
        <f ca="1">IF(A3349="","",[1]!s_techanal_rcnthigh(B3349,$B$2,1,3))</f>
        <v>0</v>
      </c>
      <c r="E3349">
        <f ca="1">IF(A3349="","",COUNTIF(D$6:D3349,"True"))</f>
        <v>31</v>
      </c>
      <c r="F3349" t="str">
        <f t="shared" si="52"/>
        <v>600613.SH</v>
      </c>
    </row>
    <row r="3350" spans="1:6" x14ac:dyDescent="0.15">
      <c r="A3350" s="2">
        <v>46089</v>
      </c>
      <c r="B3350" s="1" t="s">
        <v>6304</v>
      </c>
      <c r="C3350" s="1" t="s">
        <v>10422</v>
      </c>
      <c r="D3350" t="b">
        <f ca="1">IF(A3350="","",[1]!s_techanal_rcnthigh(B3350,$B$2,1,3))</f>
        <v>0</v>
      </c>
      <c r="E3350">
        <f ca="1">IF(A3350="","",COUNTIF(D$6:D3350,"True"))</f>
        <v>31</v>
      </c>
      <c r="F3350" t="str">
        <f t="shared" si="52"/>
        <v>600615.SH</v>
      </c>
    </row>
    <row r="3351" spans="1:6" x14ac:dyDescent="0.15">
      <c r="A3351" s="2">
        <v>46089</v>
      </c>
      <c r="B3351" s="1" t="s">
        <v>6305</v>
      </c>
      <c r="C3351" s="1" t="s">
        <v>6306</v>
      </c>
      <c r="D3351" t="b">
        <f ca="1">IF(A3351="","",[1]!s_techanal_rcnthigh(B3351,$B$2,1,3))</f>
        <v>0</v>
      </c>
      <c r="E3351">
        <f ca="1">IF(A3351="","",COUNTIF(D$6:D3351,"True"))</f>
        <v>31</v>
      </c>
      <c r="F3351" t="str">
        <f t="shared" si="52"/>
        <v>600616.SH</v>
      </c>
    </row>
    <row r="3352" spans="1:6" x14ac:dyDescent="0.15">
      <c r="A3352" s="2">
        <v>46089</v>
      </c>
      <c r="B3352" s="1" t="s">
        <v>6307</v>
      </c>
      <c r="C3352" s="1" t="s">
        <v>6308</v>
      </c>
      <c r="D3352" t="b">
        <f ca="1">IF(A3352="","",[1]!s_techanal_rcnthigh(B3352,$B$2,1,3))</f>
        <v>0</v>
      </c>
      <c r="E3352">
        <f ca="1">IF(A3352="","",COUNTIF(D$6:D3352,"True"))</f>
        <v>31</v>
      </c>
      <c r="F3352" t="str">
        <f t="shared" si="52"/>
        <v>600617.SH</v>
      </c>
    </row>
    <row r="3353" spans="1:6" x14ac:dyDescent="0.15">
      <c r="A3353" s="2">
        <v>46089</v>
      </c>
      <c r="B3353" s="1" t="s">
        <v>6309</v>
      </c>
      <c r="C3353" s="1" t="s">
        <v>6310</v>
      </c>
      <c r="D3353" t="b">
        <f ca="1">IF(A3353="","",[1]!s_techanal_rcnthigh(B3353,$B$2,1,3))</f>
        <v>0</v>
      </c>
      <c r="E3353">
        <f ca="1">IF(A3353="","",COUNTIF(D$6:D3353,"True"))</f>
        <v>31</v>
      </c>
      <c r="F3353" t="str">
        <f t="shared" si="52"/>
        <v>600618.SH</v>
      </c>
    </row>
    <row r="3354" spans="1:6" x14ac:dyDescent="0.15">
      <c r="A3354" s="2">
        <v>46089</v>
      </c>
      <c r="B3354" s="1" t="s">
        <v>6311</v>
      </c>
      <c r="C3354" s="1" t="s">
        <v>6312</v>
      </c>
      <c r="D3354" t="b">
        <f ca="1">IF(A3354="","",[1]!s_techanal_rcnthigh(B3354,$B$2,1,3))</f>
        <v>0</v>
      </c>
      <c r="E3354">
        <f ca="1">IF(A3354="","",COUNTIF(D$6:D3354,"True"))</f>
        <v>31</v>
      </c>
      <c r="F3354" t="str">
        <f t="shared" si="52"/>
        <v>600619.SH</v>
      </c>
    </row>
    <row r="3355" spans="1:6" x14ac:dyDescent="0.15">
      <c r="A3355" s="2">
        <v>46089</v>
      </c>
      <c r="B3355" s="1" t="s">
        <v>6313</v>
      </c>
      <c r="C3355" s="1" t="s">
        <v>6314</v>
      </c>
      <c r="D3355" t="b">
        <f ca="1">IF(A3355="","",[1]!s_techanal_rcnthigh(B3355,$B$2,1,3))</f>
        <v>0</v>
      </c>
      <c r="E3355">
        <f ca="1">IF(A3355="","",COUNTIF(D$6:D3355,"True"))</f>
        <v>31</v>
      </c>
      <c r="F3355" t="str">
        <f t="shared" si="52"/>
        <v>600620.SH</v>
      </c>
    </row>
    <row r="3356" spans="1:6" x14ac:dyDescent="0.15">
      <c r="A3356" s="2">
        <v>46089</v>
      </c>
      <c r="B3356" s="1" t="s">
        <v>6315</v>
      </c>
      <c r="C3356" s="1" t="s">
        <v>6316</v>
      </c>
      <c r="D3356" t="b">
        <f ca="1">IF(A3356="","",[1]!s_techanal_rcnthigh(B3356,$B$2,1,3))</f>
        <v>0</v>
      </c>
      <c r="E3356">
        <f ca="1">IF(A3356="","",COUNTIF(D$6:D3356,"True"))</f>
        <v>31</v>
      </c>
      <c r="F3356" t="str">
        <f t="shared" si="52"/>
        <v>600621.SH</v>
      </c>
    </row>
    <row r="3357" spans="1:6" x14ac:dyDescent="0.15">
      <c r="A3357" s="2">
        <v>46089</v>
      </c>
      <c r="B3357" s="1" t="s">
        <v>6317</v>
      </c>
      <c r="C3357" s="1" t="s">
        <v>6318</v>
      </c>
      <c r="D3357" t="b">
        <f ca="1">IF(A3357="","",[1]!s_techanal_rcnthigh(B3357,$B$2,1,3))</f>
        <v>0</v>
      </c>
      <c r="E3357">
        <f ca="1">IF(A3357="","",COUNTIF(D$6:D3357,"True"))</f>
        <v>31</v>
      </c>
      <c r="F3357" t="str">
        <f t="shared" si="52"/>
        <v>600622.SH</v>
      </c>
    </row>
    <row r="3358" spans="1:6" x14ac:dyDescent="0.15">
      <c r="A3358" s="2">
        <v>46089</v>
      </c>
      <c r="B3358" s="1" t="s">
        <v>6319</v>
      </c>
      <c r="C3358" s="1" t="s">
        <v>6320</v>
      </c>
      <c r="D3358" t="b">
        <f ca="1">IF(A3358="","",[1]!s_techanal_rcnthigh(B3358,$B$2,1,3))</f>
        <v>0</v>
      </c>
      <c r="E3358">
        <f ca="1">IF(A3358="","",COUNTIF(D$6:D3358,"True"))</f>
        <v>31</v>
      </c>
      <c r="F3358" t="str">
        <f t="shared" si="52"/>
        <v>600623.SH</v>
      </c>
    </row>
    <row r="3359" spans="1:6" x14ac:dyDescent="0.15">
      <c r="A3359" s="2">
        <v>46089</v>
      </c>
      <c r="B3359" s="1" t="s">
        <v>6321</v>
      </c>
      <c r="C3359" s="1" t="s">
        <v>10423</v>
      </c>
      <c r="D3359" t="b">
        <f ca="1">IF(A3359="","",[1]!s_techanal_rcnthigh(B3359,$B$2,1,3))</f>
        <v>0</v>
      </c>
      <c r="E3359">
        <f ca="1">IF(A3359="","",COUNTIF(D$6:D3359,"True"))</f>
        <v>31</v>
      </c>
      <c r="F3359" t="str">
        <f t="shared" si="52"/>
        <v>600624.SH</v>
      </c>
    </row>
    <row r="3360" spans="1:6" x14ac:dyDescent="0.15">
      <c r="A3360" s="2">
        <v>46089</v>
      </c>
      <c r="B3360" s="1" t="s">
        <v>6322</v>
      </c>
      <c r="C3360" s="1" t="s">
        <v>6323</v>
      </c>
      <c r="D3360" t="b">
        <f ca="1">IF(A3360="","",[1]!s_techanal_rcnthigh(B3360,$B$2,1,3))</f>
        <v>0</v>
      </c>
      <c r="E3360">
        <f ca="1">IF(A3360="","",COUNTIF(D$6:D3360,"True"))</f>
        <v>31</v>
      </c>
      <c r="F3360" t="str">
        <f t="shared" si="52"/>
        <v>600626.SH</v>
      </c>
    </row>
    <row r="3361" spans="1:6" x14ac:dyDescent="0.15">
      <c r="A3361" s="2">
        <v>46089</v>
      </c>
      <c r="B3361" s="1" t="s">
        <v>6324</v>
      </c>
      <c r="C3361" s="1" t="s">
        <v>6325</v>
      </c>
      <c r="D3361" t="b">
        <f ca="1">IF(A3361="","",[1]!s_techanal_rcnthigh(B3361,$B$2,1,3))</f>
        <v>0</v>
      </c>
      <c r="E3361">
        <f ca="1">IF(A3361="","",COUNTIF(D$6:D3361,"True"))</f>
        <v>31</v>
      </c>
      <c r="F3361" t="str">
        <f t="shared" si="52"/>
        <v>600628.SH</v>
      </c>
    </row>
    <row r="3362" spans="1:6" x14ac:dyDescent="0.15">
      <c r="A3362" s="2">
        <v>46089</v>
      </c>
      <c r="B3362" s="1" t="s">
        <v>6326</v>
      </c>
      <c r="C3362" s="1" t="s">
        <v>6327</v>
      </c>
      <c r="D3362" t="b">
        <f ca="1">IF(A3362="","",[1]!s_techanal_rcnthigh(B3362,$B$2,1,3))</f>
        <v>0</v>
      </c>
      <c r="E3362">
        <f ca="1">IF(A3362="","",COUNTIF(D$6:D3362,"True"))</f>
        <v>31</v>
      </c>
      <c r="F3362" t="str">
        <f t="shared" si="52"/>
        <v>600629.SH</v>
      </c>
    </row>
    <row r="3363" spans="1:6" x14ac:dyDescent="0.15">
      <c r="A3363" s="2">
        <v>46089</v>
      </c>
      <c r="B3363" s="1" t="s">
        <v>6328</v>
      </c>
      <c r="C3363" s="1" t="s">
        <v>6329</v>
      </c>
      <c r="D3363" t="b">
        <f ca="1">IF(A3363="","",[1]!s_techanal_rcnthigh(B3363,$B$2,1,3))</f>
        <v>0</v>
      </c>
      <c r="E3363">
        <f ca="1">IF(A3363="","",COUNTIF(D$6:D3363,"True"))</f>
        <v>31</v>
      </c>
      <c r="F3363" t="str">
        <f t="shared" si="52"/>
        <v>600630.SH</v>
      </c>
    </row>
    <row r="3364" spans="1:6" x14ac:dyDescent="0.15">
      <c r="A3364" s="2">
        <v>46089</v>
      </c>
      <c r="B3364" s="1" t="s">
        <v>6330</v>
      </c>
      <c r="C3364" s="1" t="s">
        <v>6331</v>
      </c>
      <c r="D3364" t="b">
        <f ca="1">IF(A3364="","",[1]!s_techanal_rcnthigh(B3364,$B$2,1,3))</f>
        <v>0</v>
      </c>
      <c r="E3364">
        <f ca="1">IF(A3364="","",COUNTIF(D$6:D3364,"True"))</f>
        <v>31</v>
      </c>
      <c r="F3364" t="str">
        <f t="shared" si="52"/>
        <v>600633.SH</v>
      </c>
    </row>
    <row r="3365" spans="1:6" x14ac:dyDescent="0.15">
      <c r="A3365" s="2">
        <v>46089</v>
      </c>
      <c r="B3365" s="1" t="s">
        <v>6332</v>
      </c>
      <c r="C3365" s="1" t="s">
        <v>6333</v>
      </c>
      <c r="D3365" t="b">
        <f ca="1">IF(A3365="","",[1]!s_techanal_rcnthigh(B3365,$B$2,1,3))</f>
        <v>0</v>
      </c>
      <c r="E3365">
        <f ca="1">IF(A3365="","",COUNTIF(D$6:D3365,"True"))</f>
        <v>31</v>
      </c>
      <c r="F3365" t="str">
        <f t="shared" si="52"/>
        <v>600635.SH</v>
      </c>
    </row>
    <row r="3366" spans="1:6" x14ac:dyDescent="0.15">
      <c r="A3366" s="2">
        <v>46089</v>
      </c>
      <c r="B3366" s="1" t="s">
        <v>6334</v>
      </c>
      <c r="C3366" s="1" t="s">
        <v>10424</v>
      </c>
      <c r="D3366" t="b">
        <f ca="1">IF(A3366="","",[1]!s_techanal_rcnthigh(B3366,$B$2,1,3))</f>
        <v>0</v>
      </c>
      <c r="E3366">
        <f ca="1">IF(A3366="","",COUNTIF(D$6:D3366,"True"))</f>
        <v>31</v>
      </c>
      <c r="F3366" t="str">
        <f t="shared" si="52"/>
        <v>600636.SH</v>
      </c>
    </row>
    <row r="3367" spans="1:6" x14ac:dyDescent="0.15">
      <c r="A3367" s="2">
        <v>46089</v>
      </c>
      <c r="B3367" s="1" t="s">
        <v>6335</v>
      </c>
      <c r="C3367" s="1" t="s">
        <v>6336</v>
      </c>
      <c r="D3367" t="b">
        <f ca="1">IF(A3367="","",[1]!s_techanal_rcnthigh(B3367,$B$2,1,3))</f>
        <v>0</v>
      </c>
      <c r="E3367">
        <f ca="1">IF(A3367="","",COUNTIF(D$6:D3367,"True"))</f>
        <v>31</v>
      </c>
      <c r="F3367" t="str">
        <f t="shared" si="52"/>
        <v>600637.SH</v>
      </c>
    </row>
    <row r="3368" spans="1:6" x14ac:dyDescent="0.15">
      <c r="A3368" s="2">
        <v>46089</v>
      </c>
      <c r="B3368" s="1" t="s">
        <v>6337</v>
      </c>
      <c r="C3368" s="1" t="s">
        <v>6338</v>
      </c>
      <c r="D3368" t="b">
        <f ca="1">IF(A3368="","",[1]!s_techanal_rcnthigh(B3368,$B$2,1,3))</f>
        <v>0</v>
      </c>
      <c r="E3368">
        <f ca="1">IF(A3368="","",COUNTIF(D$6:D3368,"True"))</f>
        <v>31</v>
      </c>
      <c r="F3368" t="str">
        <f t="shared" si="52"/>
        <v>600638.SH</v>
      </c>
    </row>
    <row r="3369" spans="1:6" x14ac:dyDescent="0.15">
      <c r="A3369" s="2">
        <v>46089</v>
      </c>
      <c r="B3369" s="1" t="s">
        <v>6339</v>
      </c>
      <c r="C3369" s="1" t="s">
        <v>6340</v>
      </c>
      <c r="D3369" t="b">
        <f ca="1">IF(A3369="","",[1]!s_techanal_rcnthigh(B3369,$B$2,1,3))</f>
        <v>0</v>
      </c>
      <c r="E3369">
        <f ca="1">IF(A3369="","",COUNTIF(D$6:D3369,"True"))</f>
        <v>31</v>
      </c>
      <c r="F3369" t="str">
        <f t="shared" si="52"/>
        <v>600639.SH</v>
      </c>
    </row>
    <row r="3370" spans="1:6" x14ac:dyDescent="0.15">
      <c r="A3370" s="2">
        <v>46089</v>
      </c>
      <c r="B3370" s="1" t="s">
        <v>6341</v>
      </c>
      <c r="C3370" s="1" t="s">
        <v>6342</v>
      </c>
      <c r="D3370" t="b">
        <f ca="1">IF(A3370="","",[1]!s_techanal_rcnthigh(B3370,$B$2,1,3))</f>
        <v>0</v>
      </c>
      <c r="E3370">
        <f ca="1">IF(A3370="","",COUNTIF(D$6:D3370,"True"))</f>
        <v>31</v>
      </c>
      <c r="F3370" t="str">
        <f t="shared" si="52"/>
        <v>600640.SH</v>
      </c>
    </row>
    <row r="3371" spans="1:6" x14ac:dyDescent="0.15">
      <c r="A3371" s="2">
        <v>46089</v>
      </c>
      <c r="B3371" s="1" t="s">
        <v>6343</v>
      </c>
      <c r="C3371" s="1" t="s">
        <v>10425</v>
      </c>
      <c r="D3371" t="b">
        <f ca="1">IF(A3371="","",[1]!s_techanal_rcnthigh(B3371,$B$2,1,3))</f>
        <v>0</v>
      </c>
      <c r="E3371">
        <f ca="1">IF(A3371="","",COUNTIF(D$6:D3371,"True"))</f>
        <v>31</v>
      </c>
      <c r="F3371" t="str">
        <f t="shared" si="52"/>
        <v>600641.SH</v>
      </c>
    </row>
    <row r="3372" spans="1:6" x14ac:dyDescent="0.15">
      <c r="A3372" s="2">
        <v>46089</v>
      </c>
      <c r="B3372" s="1" t="s">
        <v>6344</v>
      </c>
      <c r="C3372" s="1" t="s">
        <v>6345</v>
      </c>
      <c r="D3372" t="b">
        <f ca="1">IF(A3372="","",[1]!s_techanal_rcnthigh(B3372,$B$2,1,3))</f>
        <v>0</v>
      </c>
      <c r="E3372">
        <f ca="1">IF(A3372="","",COUNTIF(D$6:D3372,"True"))</f>
        <v>31</v>
      </c>
      <c r="F3372" t="str">
        <f t="shared" si="52"/>
        <v>600642.SH</v>
      </c>
    </row>
    <row r="3373" spans="1:6" x14ac:dyDescent="0.15">
      <c r="A3373" s="2">
        <v>46089</v>
      </c>
      <c r="B3373" s="1" t="s">
        <v>6346</v>
      </c>
      <c r="C3373" s="1" t="s">
        <v>6347</v>
      </c>
      <c r="D3373" t="b">
        <f ca="1">IF(A3373="","",[1]!s_techanal_rcnthigh(B3373,$B$2,1,3))</f>
        <v>0</v>
      </c>
      <c r="E3373">
        <f ca="1">IF(A3373="","",COUNTIF(D$6:D3373,"True"))</f>
        <v>31</v>
      </c>
      <c r="F3373" t="str">
        <f t="shared" si="52"/>
        <v>600643.SH</v>
      </c>
    </row>
    <row r="3374" spans="1:6" x14ac:dyDescent="0.15">
      <c r="A3374" s="2">
        <v>46089</v>
      </c>
      <c r="B3374" s="1" t="s">
        <v>6348</v>
      </c>
      <c r="C3374" s="1" t="s">
        <v>6349</v>
      </c>
      <c r="D3374" t="b">
        <f ca="1">IF(A3374="","",[1]!s_techanal_rcnthigh(B3374,$B$2,1,3))</f>
        <v>0</v>
      </c>
      <c r="E3374">
        <f ca="1">IF(A3374="","",COUNTIF(D$6:D3374,"True"))</f>
        <v>31</v>
      </c>
      <c r="F3374" t="str">
        <f t="shared" si="52"/>
        <v>600644.SH</v>
      </c>
    </row>
    <row r="3375" spans="1:6" x14ac:dyDescent="0.15">
      <c r="A3375" s="2">
        <v>46089</v>
      </c>
      <c r="B3375" s="1" t="s">
        <v>6350</v>
      </c>
      <c r="C3375" s="1" t="s">
        <v>6351</v>
      </c>
      <c r="D3375" t="b">
        <f ca="1">IF(A3375="","",[1]!s_techanal_rcnthigh(B3375,$B$2,1,3))</f>
        <v>0</v>
      </c>
      <c r="E3375">
        <f ca="1">IF(A3375="","",COUNTIF(D$6:D3375,"True"))</f>
        <v>31</v>
      </c>
      <c r="F3375" t="str">
        <f t="shared" si="52"/>
        <v>600645.SH</v>
      </c>
    </row>
    <row r="3376" spans="1:6" x14ac:dyDescent="0.15">
      <c r="A3376" s="2">
        <v>46089</v>
      </c>
      <c r="B3376" s="1" t="s">
        <v>6352</v>
      </c>
      <c r="C3376" s="1" t="s">
        <v>6353</v>
      </c>
      <c r="D3376" t="b">
        <f ca="1">IF(A3376="","",[1]!s_techanal_rcnthigh(B3376,$B$2,1,3))</f>
        <v>0</v>
      </c>
      <c r="E3376">
        <f ca="1">IF(A3376="","",COUNTIF(D$6:D3376,"True"))</f>
        <v>31</v>
      </c>
      <c r="F3376" t="str">
        <f t="shared" si="52"/>
        <v>600648.SH</v>
      </c>
    </row>
    <row r="3377" spans="1:6" x14ac:dyDescent="0.15">
      <c r="A3377" s="2">
        <v>46089</v>
      </c>
      <c r="B3377" s="1" t="s">
        <v>6354</v>
      </c>
      <c r="C3377" s="1" t="s">
        <v>6355</v>
      </c>
      <c r="D3377" t="b">
        <f ca="1">IF(A3377="","",[1]!s_techanal_rcnthigh(B3377,$B$2,1,3))</f>
        <v>0</v>
      </c>
      <c r="E3377">
        <f ca="1">IF(A3377="","",COUNTIF(D$6:D3377,"True"))</f>
        <v>31</v>
      </c>
      <c r="F3377" t="str">
        <f t="shared" si="52"/>
        <v>600649.SH</v>
      </c>
    </row>
    <row r="3378" spans="1:6" x14ac:dyDescent="0.15">
      <c r="A3378" s="2">
        <v>46089</v>
      </c>
      <c r="B3378" s="1" t="s">
        <v>6356</v>
      </c>
      <c r="C3378" s="1" t="s">
        <v>6357</v>
      </c>
      <c r="D3378" t="b">
        <f ca="1">IF(A3378="","",[1]!s_techanal_rcnthigh(B3378,$B$2,1,3))</f>
        <v>0</v>
      </c>
      <c r="E3378">
        <f ca="1">IF(A3378="","",COUNTIF(D$6:D3378,"True"))</f>
        <v>31</v>
      </c>
      <c r="F3378" t="str">
        <f t="shared" si="52"/>
        <v>600650.SH</v>
      </c>
    </row>
    <row r="3379" spans="1:6" x14ac:dyDescent="0.15">
      <c r="A3379" s="2">
        <v>46089</v>
      </c>
      <c r="B3379" s="1" t="s">
        <v>6358</v>
      </c>
      <c r="C3379" s="1" t="s">
        <v>6359</v>
      </c>
      <c r="D3379" t="b">
        <f ca="1">IF(A3379="","",[1]!s_techanal_rcnthigh(B3379,$B$2,1,3))</f>
        <v>0</v>
      </c>
      <c r="E3379">
        <f ca="1">IF(A3379="","",COUNTIF(D$6:D3379,"True"))</f>
        <v>31</v>
      </c>
      <c r="F3379" t="str">
        <f t="shared" si="52"/>
        <v>600651.SH</v>
      </c>
    </row>
    <row r="3380" spans="1:6" x14ac:dyDescent="0.15">
      <c r="A3380" s="2">
        <v>46089</v>
      </c>
      <c r="B3380" s="1" t="s">
        <v>6360</v>
      </c>
      <c r="C3380" s="1" t="s">
        <v>6361</v>
      </c>
      <c r="D3380" t="b">
        <f ca="1">IF(A3380="","",[1]!s_techanal_rcnthigh(B3380,$B$2,1,3))</f>
        <v>0</v>
      </c>
      <c r="E3380">
        <f ca="1">IF(A3380="","",COUNTIF(D$6:D3380,"True"))</f>
        <v>31</v>
      </c>
      <c r="F3380" t="str">
        <f t="shared" si="52"/>
        <v>600653.SH</v>
      </c>
    </row>
    <row r="3381" spans="1:6" x14ac:dyDescent="0.15">
      <c r="A3381" s="2">
        <v>46089</v>
      </c>
      <c r="B3381" s="1" t="s">
        <v>6362</v>
      </c>
      <c r="C3381" s="1" t="s">
        <v>10426</v>
      </c>
      <c r="D3381" t="b">
        <f ca="1">IF(A3381="","",[1]!s_techanal_rcnthigh(B3381,$B$2,1,3))</f>
        <v>0</v>
      </c>
      <c r="E3381">
        <f ca="1">IF(A3381="","",COUNTIF(D$6:D3381,"True"))</f>
        <v>31</v>
      </c>
      <c r="F3381" t="str">
        <f t="shared" si="52"/>
        <v>600654.SH</v>
      </c>
    </row>
    <row r="3382" spans="1:6" x14ac:dyDescent="0.15">
      <c r="A3382" s="2">
        <v>46089</v>
      </c>
      <c r="B3382" s="1" t="s">
        <v>6363</v>
      </c>
      <c r="C3382" s="1" t="s">
        <v>6364</v>
      </c>
      <c r="D3382" t="b">
        <f ca="1">IF(A3382="","",[1]!s_techanal_rcnthigh(B3382,$B$2,1,3))</f>
        <v>0</v>
      </c>
      <c r="E3382">
        <f ca="1">IF(A3382="","",COUNTIF(D$6:D3382,"True"))</f>
        <v>31</v>
      </c>
      <c r="F3382" t="str">
        <f t="shared" si="52"/>
        <v>600655.SH</v>
      </c>
    </row>
    <row r="3383" spans="1:6" x14ac:dyDescent="0.15">
      <c r="A3383" s="2">
        <v>46089</v>
      </c>
      <c r="B3383" s="1" t="s">
        <v>6365</v>
      </c>
      <c r="C3383" s="1" t="s">
        <v>6366</v>
      </c>
      <c r="D3383" t="b">
        <f ca="1">IF(A3383="","",[1]!s_techanal_rcnthigh(B3383,$B$2,1,3))</f>
        <v>0</v>
      </c>
      <c r="E3383">
        <f ca="1">IF(A3383="","",COUNTIF(D$6:D3383,"True"))</f>
        <v>31</v>
      </c>
      <c r="F3383" t="str">
        <f t="shared" si="52"/>
        <v>600657.SH</v>
      </c>
    </row>
    <row r="3384" spans="1:6" x14ac:dyDescent="0.15">
      <c r="A3384" s="2">
        <v>46089</v>
      </c>
      <c r="B3384" s="1" t="s">
        <v>6367</v>
      </c>
      <c r="C3384" s="1" t="s">
        <v>6368</v>
      </c>
      <c r="D3384" t="b">
        <f ca="1">IF(A3384="","",[1]!s_techanal_rcnthigh(B3384,$B$2,1,3))</f>
        <v>0</v>
      </c>
      <c r="E3384">
        <f ca="1">IF(A3384="","",COUNTIF(D$6:D3384,"True"))</f>
        <v>31</v>
      </c>
      <c r="F3384" t="str">
        <f t="shared" si="52"/>
        <v>600658.SH</v>
      </c>
    </row>
    <row r="3385" spans="1:6" x14ac:dyDescent="0.15">
      <c r="A3385" s="2">
        <v>46089</v>
      </c>
      <c r="B3385" s="1" t="s">
        <v>6369</v>
      </c>
      <c r="C3385" s="1" t="s">
        <v>6370</v>
      </c>
      <c r="D3385" t="b">
        <f ca="1">IF(A3385="","",[1]!s_techanal_rcnthigh(B3385,$B$2,1,3))</f>
        <v>0</v>
      </c>
      <c r="E3385">
        <f ca="1">IF(A3385="","",COUNTIF(D$6:D3385,"True"))</f>
        <v>31</v>
      </c>
      <c r="F3385" t="str">
        <f t="shared" si="52"/>
        <v>600660.SH</v>
      </c>
    </row>
    <row r="3386" spans="1:6" x14ac:dyDescent="0.15">
      <c r="A3386" s="2">
        <v>46089</v>
      </c>
      <c r="B3386" s="1" t="s">
        <v>6371</v>
      </c>
      <c r="C3386" s="1" t="s">
        <v>6372</v>
      </c>
      <c r="D3386" t="b">
        <f ca="1">IF(A3386="","",[1]!s_techanal_rcnthigh(B3386,$B$2,1,3))</f>
        <v>0</v>
      </c>
      <c r="E3386">
        <f ca="1">IF(A3386="","",COUNTIF(D$6:D3386,"True"))</f>
        <v>31</v>
      </c>
      <c r="F3386" t="str">
        <f t="shared" si="52"/>
        <v>600661.SH</v>
      </c>
    </row>
    <row r="3387" spans="1:6" x14ac:dyDescent="0.15">
      <c r="A3387" s="2">
        <v>46089</v>
      </c>
      <c r="B3387" s="1" t="s">
        <v>6373</v>
      </c>
      <c r="C3387" s="1" t="s">
        <v>6374</v>
      </c>
      <c r="D3387" t="b">
        <f ca="1">IF(A3387="","",[1]!s_techanal_rcnthigh(B3387,$B$2,1,3))</f>
        <v>0</v>
      </c>
      <c r="E3387">
        <f ca="1">IF(A3387="","",COUNTIF(D$6:D3387,"True"))</f>
        <v>31</v>
      </c>
      <c r="F3387" t="str">
        <f t="shared" si="52"/>
        <v>600662.SH</v>
      </c>
    </row>
    <row r="3388" spans="1:6" x14ac:dyDescent="0.15">
      <c r="A3388" s="2">
        <v>46089</v>
      </c>
      <c r="B3388" s="1" t="s">
        <v>6375</v>
      </c>
      <c r="C3388" s="1" t="s">
        <v>6376</v>
      </c>
      <c r="D3388" t="b">
        <f ca="1">IF(A3388="","",[1]!s_techanal_rcnthigh(B3388,$B$2,1,3))</f>
        <v>0</v>
      </c>
      <c r="E3388">
        <f ca="1">IF(A3388="","",COUNTIF(D$6:D3388,"True"))</f>
        <v>31</v>
      </c>
      <c r="F3388" t="str">
        <f t="shared" si="52"/>
        <v>600663.SH</v>
      </c>
    </row>
    <row r="3389" spans="1:6" x14ac:dyDescent="0.15">
      <c r="A3389" s="2">
        <v>46089</v>
      </c>
      <c r="B3389" s="1" t="s">
        <v>6377</v>
      </c>
      <c r="C3389" s="1" t="s">
        <v>6378</v>
      </c>
      <c r="D3389" t="b">
        <f ca="1">IF(A3389="","",[1]!s_techanal_rcnthigh(B3389,$B$2,1,3))</f>
        <v>0</v>
      </c>
      <c r="E3389">
        <f ca="1">IF(A3389="","",COUNTIF(D$6:D3389,"True"))</f>
        <v>31</v>
      </c>
      <c r="F3389" t="str">
        <f t="shared" si="52"/>
        <v>600664.SH</v>
      </c>
    </row>
    <row r="3390" spans="1:6" x14ac:dyDescent="0.15">
      <c r="A3390" s="2">
        <v>46089</v>
      </c>
      <c r="B3390" s="1" t="s">
        <v>6379</v>
      </c>
      <c r="C3390" s="1" t="s">
        <v>6380</v>
      </c>
      <c r="D3390" t="b">
        <f ca="1">IF(A3390="","",[1]!s_techanal_rcnthigh(B3390,$B$2,1,3))</f>
        <v>0</v>
      </c>
      <c r="E3390">
        <f ca="1">IF(A3390="","",COUNTIF(D$6:D3390,"True"))</f>
        <v>31</v>
      </c>
      <c r="F3390" t="str">
        <f t="shared" si="52"/>
        <v>600665.SH</v>
      </c>
    </row>
    <row r="3391" spans="1:6" x14ac:dyDescent="0.15">
      <c r="A3391" s="2">
        <v>46089</v>
      </c>
      <c r="B3391" s="1" t="s">
        <v>6381</v>
      </c>
      <c r="C3391" s="1" t="s">
        <v>10427</v>
      </c>
      <c r="D3391" t="b">
        <f ca="1">IF(A3391="","",[1]!s_techanal_rcnthigh(B3391,$B$2,1,3))</f>
        <v>0</v>
      </c>
      <c r="E3391">
        <f ca="1">IF(A3391="","",COUNTIF(D$6:D3391,"True"))</f>
        <v>31</v>
      </c>
      <c r="F3391" t="str">
        <f t="shared" si="52"/>
        <v>600666.SH</v>
      </c>
    </row>
    <row r="3392" spans="1:6" x14ac:dyDescent="0.15">
      <c r="A3392" s="2">
        <v>46089</v>
      </c>
      <c r="B3392" s="1" t="s">
        <v>6382</v>
      </c>
      <c r="C3392" s="1" t="s">
        <v>6383</v>
      </c>
      <c r="D3392" t="b">
        <f ca="1">IF(A3392="","",[1]!s_techanal_rcnthigh(B3392,$B$2,1,3))</f>
        <v>0</v>
      </c>
      <c r="E3392">
        <f ca="1">IF(A3392="","",COUNTIF(D$6:D3392,"True"))</f>
        <v>31</v>
      </c>
      <c r="F3392" t="str">
        <f t="shared" si="52"/>
        <v>600667.SH</v>
      </c>
    </row>
    <row r="3393" spans="1:6" x14ac:dyDescent="0.15">
      <c r="A3393" s="2">
        <v>46089</v>
      </c>
      <c r="B3393" s="1" t="s">
        <v>6384</v>
      </c>
      <c r="C3393" s="1" t="s">
        <v>6385</v>
      </c>
      <c r="D3393" t="b">
        <f ca="1">IF(A3393="","",[1]!s_techanal_rcnthigh(B3393,$B$2,1,3))</f>
        <v>0</v>
      </c>
      <c r="E3393">
        <f ca="1">IF(A3393="","",COUNTIF(D$6:D3393,"True"))</f>
        <v>31</v>
      </c>
      <c r="F3393" t="str">
        <f t="shared" si="52"/>
        <v>600668.SH</v>
      </c>
    </row>
    <row r="3394" spans="1:6" x14ac:dyDescent="0.15">
      <c r="A3394" s="2">
        <v>46089</v>
      </c>
      <c r="B3394" s="1" t="s">
        <v>6386</v>
      </c>
      <c r="C3394" s="1" t="s">
        <v>10428</v>
      </c>
      <c r="D3394" t="b">
        <f ca="1">IF(A3394="","",[1]!s_techanal_rcnthigh(B3394,$B$2,1,3))</f>
        <v>0</v>
      </c>
      <c r="E3394">
        <f ca="1">IF(A3394="","",COUNTIF(D$6:D3394,"True"))</f>
        <v>31</v>
      </c>
      <c r="F3394" t="str">
        <f t="shared" si="52"/>
        <v>600671.SH</v>
      </c>
    </row>
    <row r="3395" spans="1:6" x14ac:dyDescent="0.15">
      <c r="A3395" s="2">
        <v>46089</v>
      </c>
      <c r="B3395" s="1" t="s">
        <v>6387</v>
      </c>
      <c r="C3395" s="1" t="s">
        <v>6388</v>
      </c>
      <c r="D3395" t="b">
        <f ca="1">IF(A3395="","",[1]!s_techanal_rcnthigh(B3395,$B$2,1,3))</f>
        <v>0</v>
      </c>
      <c r="E3395">
        <f ca="1">IF(A3395="","",COUNTIF(D$6:D3395,"True"))</f>
        <v>31</v>
      </c>
      <c r="F3395" t="str">
        <f t="shared" si="52"/>
        <v>600673.SH</v>
      </c>
    </row>
    <row r="3396" spans="1:6" x14ac:dyDescent="0.15">
      <c r="A3396" s="2">
        <v>46089</v>
      </c>
      <c r="B3396" s="1" t="s">
        <v>6389</v>
      </c>
      <c r="C3396" s="1" t="s">
        <v>6390</v>
      </c>
      <c r="D3396" t="b">
        <f ca="1">IF(A3396="","",[1]!s_techanal_rcnthigh(B3396,$B$2,1,3))</f>
        <v>0</v>
      </c>
      <c r="E3396">
        <f ca="1">IF(A3396="","",COUNTIF(D$6:D3396,"True"))</f>
        <v>31</v>
      </c>
      <c r="F3396" t="str">
        <f t="shared" si="52"/>
        <v>600674.SH</v>
      </c>
    </row>
    <row r="3397" spans="1:6" x14ac:dyDescent="0.15">
      <c r="A3397" s="2">
        <v>46089</v>
      </c>
      <c r="B3397" s="1" t="s">
        <v>6391</v>
      </c>
      <c r="C3397" s="1" t="s">
        <v>6392</v>
      </c>
      <c r="D3397" t="b">
        <f ca="1">IF(A3397="","",[1]!s_techanal_rcnthigh(B3397,$B$2,1,3))</f>
        <v>0</v>
      </c>
      <c r="E3397">
        <f ca="1">IF(A3397="","",COUNTIF(D$6:D3397,"True"))</f>
        <v>31</v>
      </c>
      <c r="F3397" t="str">
        <f t="shared" si="52"/>
        <v>600675.SH</v>
      </c>
    </row>
    <row r="3398" spans="1:6" x14ac:dyDescent="0.15">
      <c r="A3398" s="2">
        <v>46089</v>
      </c>
      <c r="B3398" s="1" t="s">
        <v>6393</v>
      </c>
      <c r="C3398" s="1" t="s">
        <v>6394</v>
      </c>
      <c r="D3398" t="b">
        <f ca="1">IF(A3398="","",[1]!s_techanal_rcnthigh(B3398,$B$2,1,3))</f>
        <v>0</v>
      </c>
      <c r="E3398">
        <f ca="1">IF(A3398="","",COUNTIF(D$6:D3398,"True"))</f>
        <v>31</v>
      </c>
      <c r="F3398" t="str">
        <f t="shared" ref="F3398:F3461" si="53">IF(B3398="","",B3398)</f>
        <v>600676.SH</v>
      </c>
    </row>
    <row r="3399" spans="1:6" x14ac:dyDescent="0.15">
      <c r="A3399" s="2">
        <v>46089</v>
      </c>
      <c r="B3399" s="1" t="s">
        <v>6395</v>
      </c>
      <c r="C3399" s="1" t="s">
        <v>6396</v>
      </c>
      <c r="D3399" t="b">
        <f ca="1">IF(A3399="","",[1]!s_techanal_rcnthigh(B3399,$B$2,1,3))</f>
        <v>0</v>
      </c>
      <c r="E3399">
        <f ca="1">IF(A3399="","",COUNTIF(D$6:D3399,"True"))</f>
        <v>31</v>
      </c>
      <c r="F3399" t="str">
        <f t="shared" si="53"/>
        <v>600678.SH</v>
      </c>
    </row>
    <row r="3400" spans="1:6" x14ac:dyDescent="0.15">
      <c r="A3400" s="2">
        <v>46089</v>
      </c>
      <c r="B3400" s="1" t="s">
        <v>6397</v>
      </c>
      <c r="C3400" s="1" t="s">
        <v>6398</v>
      </c>
      <c r="D3400" t="b">
        <f ca="1">IF(A3400="","",[1]!s_techanal_rcnthigh(B3400,$B$2,1,3))</f>
        <v>0</v>
      </c>
      <c r="E3400">
        <f ca="1">IF(A3400="","",COUNTIF(D$6:D3400,"True"))</f>
        <v>31</v>
      </c>
      <c r="F3400" t="str">
        <f t="shared" si="53"/>
        <v>600679.SH</v>
      </c>
    </row>
    <row r="3401" spans="1:6" x14ac:dyDescent="0.15">
      <c r="A3401" s="2">
        <v>46089</v>
      </c>
      <c r="B3401" s="1" t="s">
        <v>6399</v>
      </c>
      <c r="C3401" s="1" t="s">
        <v>6400</v>
      </c>
      <c r="D3401" t="b">
        <f ca="1">IF(A3401="","",[1]!s_techanal_rcnthigh(B3401,$B$2,1,3))</f>
        <v>0</v>
      </c>
      <c r="E3401">
        <f ca="1">IF(A3401="","",COUNTIF(D$6:D3401,"True"))</f>
        <v>31</v>
      </c>
      <c r="F3401" t="str">
        <f t="shared" si="53"/>
        <v>600681.SH</v>
      </c>
    </row>
    <row r="3402" spans="1:6" x14ac:dyDescent="0.15">
      <c r="A3402" s="2">
        <v>46089</v>
      </c>
      <c r="B3402" s="1" t="s">
        <v>6401</v>
      </c>
      <c r="C3402" s="1" t="s">
        <v>6402</v>
      </c>
      <c r="D3402" t="b">
        <f ca="1">IF(A3402="","",[1]!s_techanal_rcnthigh(B3402,$B$2,1,3))</f>
        <v>0</v>
      </c>
      <c r="E3402">
        <f ca="1">IF(A3402="","",COUNTIF(D$6:D3402,"True"))</f>
        <v>31</v>
      </c>
      <c r="F3402" t="str">
        <f t="shared" si="53"/>
        <v>600682.SH</v>
      </c>
    </row>
    <row r="3403" spans="1:6" x14ac:dyDescent="0.15">
      <c r="A3403" s="2">
        <v>46089</v>
      </c>
      <c r="B3403" s="1" t="s">
        <v>6403</v>
      </c>
      <c r="C3403" s="1" t="s">
        <v>6404</v>
      </c>
      <c r="D3403" t="b">
        <f ca="1">IF(A3403="","",[1]!s_techanal_rcnthigh(B3403,$B$2,1,3))</f>
        <v>0</v>
      </c>
      <c r="E3403">
        <f ca="1">IF(A3403="","",COUNTIF(D$6:D3403,"True"))</f>
        <v>31</v>
      </c>
      <c r="F3403" t="str">
        <f t="shared" si="53"/>
        <v>600683.SH</v>
      </c>
    </row>
    <row r="3404" spans="1:6" x14ac:dyDescent="0.15">
      <c r="A3404" s="2">
        <v>46089</v>
      </c>
      <c r="B3404" s="1" t="s">
        <v>6405</v>
      </c>
      <c r="C3404" s="1" t="s">
        <v>6406</v>
      </c>
      <c r="D3404" t="b">
        <f ca="1">IF(A3404="","",[1]!s_techanal_rcnthigh(B3404,$B$2,1,3))</f>
        <v>0</v>
      </c>
      <c r="E3404">
        <f ca="1">IF(A3404="","",COUNTIF(D$6:D3404,"True"))</f>
        <v>31</v>
      </c>
      <c r="F3404" t="str">
        <f t="shared" si="53"/>
        <v>600684.SH</v>
      </c>
    </row>
    <row r="3405" spans="1:6" x14ac:dyDescent="0.15">
      <c r="A3405" s="2">
        <v>46089</v>
      </c>
      <c r="B3405" s="1" t="s">
        <v>6407</v>
      </c>
      <c r="C3405" s="1" t="s">
        <v>6408</v>
      </c>
      <c r="D3405" t="b">
        <f ca="1">IF(A3405="","",[1]!s_techanal_rcnthigh(B3405,$B$2,1,3))</f>
        <v>0</v>
      </c>
      <c r="E3405">
        <f ca="1">IF(A3405="","",COUNTIF(D$6:D3405,"True"))</f>
        <v>31</v>
      </c>
      <c r="F3405" t="str">
        <f t="shared" si="53"/>
        <v>600685.SH</v>
      </c>
    </row>
    <row r="3406" spans="1:6" x14ac:dyDescent="0.15">
      <c r="A3406" s="2">
        <v>46089</v>
      </c>
      <c r="B3406" s="1" t="s">
        <v>6409</v>
      </c>
      <c r="C3406" s="1" t="s">
        <v>6410</v>
      </c>
      <c r="D3406" t="b">
        <f ca="1">IF(A3406="","",[1]!s_techanal_rcnthigh(B3406,$B$2,1,3))</f>
        <v>0</v>
      </c>
      <c r="E3406">
        <f ca="1">IF(A3406="","",COUNTIF(D$6:D3406,"True"))</f>
        <v>31</v>
      </c>
      <c r="F3406" t="str">
        <f t="shared" si="53"/>
        <v>600686.SH</v>
      </c>
    </row>
    <row r="3407" spans="1:6" x14ac:dyDescent="0.15">
      <c r="A3407" s="2">
        <v>46089</v>
      </c>
      <c r="B3407" s="1" t="s">
        <v>6411</v>
      </c>
      <c r="C3407" s="1" t="s">
        <v>6412</v>
      </c>
      <c r="D3407" t="b">
        <f ca="1">IF(A3407="","",[1]!s_techanal_rcnthigh(B3407,$B$2,1,3))</f>
        <v>0</v>
      </c>
      <c r="E3407">
        <f ca="1">IF(A3407="","",COUNTIF(D$6:D3407,"True"))</f>
        <v>31</v>
      </c>
      <c r="F3407" t="str">
        <f t="shared" si="53"/>
        <v>600688.SH</v>
      </c>
    </row>
    <row r="3408" spans="1:6" x14ac:dyDescent="0.15">
      <c r="A3408" s="2">
        <v>46089</v>
      </c>
      <c r="B3408" s="1" t="s">
        <v>6413</v>
      </c>
      <c r="C3408" s="1" t="s">
        <v>6414</v>
      </c>
      <c r="D3408" t="b">
        <f ca="1">IF(A3408="","",[1]!s_techanal_rcnthigh(B3408,$B$2,1,3))</f>
        <v>0</v>
      </c>
      <c r="E3408">
        <f ca="1">IF(A3408="","",COUNTIF(D$6:D3408,"True"))</f>
        <v>31</v>
      </c>
      <c r="F3408" t="str">
        <f t="shared" si="53"/>
        <v>600689.SH</v>
      </c>
    </row>
    <row r="3409" spans="1:6" x14ac:dyDescent="0.15">
      <c r="A3409" s="2">
        <v>46089</v>
      </c>
      <c r="B3409" s="1" t="s">
        <v>6415</v>
      </c>
      <c r="C3409" s="1" t="s">
        <v>6416</v>
      </c>
      <c r="D3409" t="b">
        <f ca="1">IF(A3409="","",[1]!s_techanal_rcnthigh(B3409,$B$2,1,3))</f>
        <v>0</v>
      </c>
      <c r="E3409">
        <f ca="1">IF(A3409="","",COUNTIF(D$6:D3409,"True"))</f>
        <v>31</v>
      </c>
      <c r="F3409" t="str">
        <f t="shared" si="53"/>
        <v>600690.SH</v>
      </c>
    </row>
    <row r="3410" spans="1:6" x14ac:dyDescent="0.15">
      <c r="A3410" s="2">
        <v>46089</v>
      </c>
      <c r="B3410" s="1" t="s">
        <v>6417</v>
      </c>
      <c r="C3410" s="1" t="s">
        <v>10429</v>
      </c>
      <c r="D3410" t="b">
        <f ca="1">IF(A3410="","",[1]!s_techanal_rcnthigh(B3410,$B$2,1,3))</f>
        <v>0</v>
      </c>
      <c r="E3410">
        <f ca="1">IF(A3410="","",COUNTIF(D$6:D3410,"True"))</f>
        <v>31</v>
      </c>
      <c r="F3410" t="str">
        <f t="shared" si="53"/>
        <v>600691.SH</v>
      </c>
    </row>
    <row r="3411" spans="1:6" x14ac:dyDescent="0.15">
      <c r="A3411" s="2">
        <v>46089</v>
      </c>
      <c r="B3411" s="1" t="s">
        <v>6418</v>
      </c>
      <c r="C3411" s="1" t="s">
        <v>6419</v>
      </c>
      <c r="D3411" t="b">
        <f ca="1">IF(A3411="","",[1]!s_techanal_rcnthigh(B3411,$B$2,1,3))</f>
        <v>0</v>
      </c>
      <c r="E3411">
        <f ca="1">IF(A3411="","",COUNTIF(D$6:D3411,"True"))</f>
        <v>31</v>
      </c>
      <c r="F3411" t="str">
        <f t="shared" si="53"/>
        <v>600692.SH</v>
      </c>
    </row>
    <row r="3412" spans="1:6" x14ac:dyDescent="0.15">
      <c r="A3412" s="2">
        <v>46089</v>
      </c>
      <c r="B3412" s="1" t="s">
        <v>6420</v>
      </c>
      <c r="C3412" s="1" t="s">
        <v>6421</v>
      </c>
      <c r="D3412" t="b">
        <f ca="1">IF(A3412="","",[1]!s_techanal_rcnthigh(B3412,$B$2,1,3))</f>
        <v>0</v>
      </c>
      <c r="E3412">
        <f ca="1">IF(A3412="","",COUNTIF(D$6:D3412,"True"))</f>
        <v>31</v>
      </c>
      <c r="F3412" t="str">
        <f t="shared" si="53"/>
        <v>600693.SH</v>
      </c>
    </row>
    <row r="3413" spans="1:6" x14ac:dyDescent="0.15">
      <c r="A3413" s="2">
        <v>46089</v>
      </c>
      <c r="B3413" s="1" t="s">
        <v>6422</v>
      </c>
      <c r="C3413" s="1" t="s">
        <v>6423</v>
      </c>
      <c r="D3413" t="b">
        <f ca="1">IF(A3413="","",[1]!s_techanal_rcnthigh(B3413,$B$2,1,3))</f>
        <v>0</v>
      </c>
      <c r="E3413">
        <f ca="1">IF(A3413="","",COUNTIF(D$6:D3413,"True"))</f>
        <v>31</v>
      </c>
      <c r="F3413" t="str">
        <f t="shared" si="53"/>
        <v>600694.SH</v>
      </c>
    </row>
    <row r="3414" spans="1:6" x14ac:dyDescent="0.15">
      <c r="A3414" s="2">
        <v>46089</v>
      </c>
      <c r="B3414" s="1" t="s">
        <v>6424</v>
      </c>
      <c r="C3414" s="1" t="s">
        <v>10430</v>
      </c>
      <c r="D3414" t="b">
        <f ca="1">IF(A3414="","",[1]!s_techanal_rcnthigh(B3414,$B$2,1,3))</f>
        <v>0</v>
      </c>
      <c r="E3414">
        <f ca="1">IF(A3414="","",COUNTIF(D$6:D3414,"True"))</f>
        <v>31</v>
      </c>
      <c r="F3414" t="str">
        <f t="shared" si="53"/>
        <v>600696.SH</v>
      </c>
    </row>
    <row r="3415" spans="1:6" x14ac:dyDescent="0.15">
      <c r="A3415" s="2">
        <v>46089</v>
      </c>
      <c r="B3415" s="1" t="s">
        <v>6425</v>
      </c>
      <c r="C3415" s="1" t="s">
        <v>6426</v>
      </c>
      <c r="D3415" t="b">
        <f ca="1">IF(A3415="","",[1]!s_techanal_rcnthigh(B3415,$B$2,1,3))</f>
        <v>0</v>
      </c>
      <c r="E3415">
        <f ca="1">IF(A3415="","",COUNTIF(D$6:D3415,"True"))</f>
        <v>31</v>
      </c>
      <c r="F3415" t="str">
        <f t="shared" si="53"/>
        <v>600697.SH</v>
      </c>
    </row>
    <row r="3416" spans="1:6" x14ac:dyDescent="0.15">
      <c r="A3416" s="2">
        <v>46089</v>
      </c>
      <c r="B3416" s="1" t="s">
        <v>6427</v>
      </c>
      <c r="C3416" s="1" t="s">
        <v>6428</v>
      </c>
      <c r="D3416" t="b">
        <f ca="1">IF(A3416="","",[1]!s_techanal_rcnthigh(B3416,$B$2,1,3))</f>
        <v>0</v>
      </c>
      <c r="E3416">
        <f ca="1">IF(A3416="","",COUNTIF(D$6:D3416,"True"))</f>
        <v>31</v>
      </c>
      <c r="F3416" t="str">
        <f t="shared" si="53"/>
        <v>600698.SH</v>
      </c>
    </row>
    <row r="3417" spans="1:6" x14ac:dyDescent="0.15">
      <c r="A3417" s="2">
        <v>46089</v>
      </c>
      <c r="B3417" s="1" t="s">
        <v>6429</v>
      </c>
      <c r="C3417" s="1" t="s">
        <v>6430</v>
      </c>
      <c r="D3417" t="b">
        <f ca="1">IF(A3417="","",[1]!s_techanal_rcnthigh(B3417,$B$2,1,3))</f>
        <v>0</v>
      </c>
      <c r="E3417">
        <f ca="1">IF(A3417="","",COUNTIF(D$6:D3417,"True"))</f>
        <v>31</v>
      </c>
      <c r="F3417" t="str">
        <f t="shared" si="53"/>
        <v>600699.SH</v>
      </c>
    </row>
    <row r="3418" spans="1:6" x14ac:dyDescent="0.15">
      <c r="A3418" s="2">
        <v>46089</v>
      </c>
      <c r="B3418" s="1" t="s">
        <v>6431</v>
      </c>
      <c r="C3418" s="1" t="s">
        <v>6432</v>
      </c>
      <c r="D3418" t="b">
        <f ca="1">IF(A3418="","",[1]!s_techanal_rcnthigh(B3418,$B$2,1,3))</f>
        <v>0</v>
      </c>
      <c r="E3418">
        <f ca="1">IF(A3418="","",COUNTIF(D$6:D3418,"True"))</f>
        <v>31</v>
      </c>
      <c r="F3418" t="str">
        <f t="shared" si="53"/>
        <v>600702.SH</v>
      </c>
    </row>
    <row r="3419" spans="1:6" x14ac:dyDescent="0.15">
      <c r="A3419" s="2">
        <v>46089</v>
      </c>
      <c r="B3419" s="1" t="s">
        <v>6433</v>
      </c>
      <c r="C3419" s="1" t="s">
        <v>6434</v>
      </c>
      <c r="D3419" t="b">
        <f ca="1">IF(A3419="","",[1]!s_techanal_rcnthigh(B3419,$B$2,1,3))</f>
        <v>0</v>
      </c>
      <c r="E3419">
        <f ca="1">IF(A3419="","",COUNTIF(D$6:D3419,"True"))</f>
        <v>31</v>
      </c>
      <c r="F3419" t="str">
        <f t="shared" si="53"/>
        <v>600703.SH</v>
      </c>
    </row>
    <row r="3420" spans="1:6" x14ac:dyDescent="0.15">
      <c r="A3420" s="2">
        <v>46089</v>
      </c>
      <c r="B3420" s="1" t="s">
        <v>6435</v>
      </c>
      <c r="C3420" s="1" t="s">
        <v>6436</v>
      </c>
      <c r="D3420" t="b">
        <f ca="1">IF(A3420="","",[1]!s_techanal_rcnthigh(B3420,$B$2,1,3))</f>
        <v>0</v>
      </c>
      <c r="E3420">
        <f ca="1">IF(A3420="","",COUNTIF(D$6:D3420,"True"))</f>
        <v>31</v>
      </c>
      <c r="F3420" t="str">
        <f t="shared" si="53"/>
        <v>600704.SH</v>
      </c>
    </row>
    <row r="3421" spans="1:6" x14ac:dyDescent="0.15">
      <c r="A3421" s="2">
        <v>46089</v>
      </c>
      <c r="B3421" s="1" t="s">
        <v>6437</v>
      </c>
      <c r="C3421" s="1" t="s">
        <v>6438</v>
      </c>
      <c r="D3421" t="b">
        <f ca="1">IF(A3421="","",[1]!s_techanal_rcnthigh(B3421,$B$2,1,3))</f>
        <v>0</v>
      </c>
      <c r="E3421">
        <f ca="1">IF(A3421="","",COUNTIF(D$6:D3421,"True"))</f>
        <v>31</v>
      </c>
      <c r="F3421" t="str">
        <f t="shared" si="53"/>
        <v>600706.SH</v>
      </c>
    </row>
    <row r="3422" spans="1:6" x14ac:dyDescent="0.15">
      <c r="A3422" s="2">
        <v>46089</v>
      </c>
      <c r="B3422" s="1" t="s">
        <v>6439</v>
      </c>
      <c r="C3422" s="1" t="s">
        <v>6440</v>
      </c>
      <c r="D3422" t="b">
        <f ca="1">IF(A3422="","",[1]!s_techanal_rcnthigh(B3422,$B$2,1,3))</f>
        <v>0</v>
      </c>
      <c r="E3422">
        <f ca="1">IF(A3422="","",COUNTIF(D$6:D3422,"True"))</f>
        <v>31</v>
      </c>
      <c r="F3422" t="str">
        <f t="shared" si="53"/>
        <v>600707.SH</v>
      </c>
    </row>
    <row r="3423" spans="1:6" x14ac:dyDescent="0.15">
      <c r="A3423" s="2">
        <v>46089</v>
      </c>
      <c r="B3423" s="1" t="s">
        <v>6441</v>
      </c>
      <c r="C3423" s="1" t="s">
        <v>6442</v>
      </c>
      <c r="D3423" t="b">
        <f ca="1">IF(A3423="","",[1]!s_techanal_rcnthigh(B3423,$B$2,1,3))</f>
        <v>0</v>
      </c>
      <c r="E3423">
        <f ca="1">IF(A3423="","",COUNTIF(D$6:D3423,"True"))</f>
        <v>31</v>
      </c>
      <c r="F3423" t="str">
        <f t="shared" si="53"/>
        <v>600708.SH</v>
      </c>
    </row>
    <row r="3424" spans="1:6" x14ac:dyDescent="0.15">
      <c r="A3424" s="2">
        <v>46089</v>
      </c>
      <c r="B3424" s="1" t="s">
        <v>6443</v>
      </c>
      <c r="C3424" s="1" t="s">
        <v>6444</v>
      </c>
      <c r="D3424" t="b">
        <f ca="1">IF(A3424="","",[1]!s_techanal_rcnthigh(B3424,$B$2,1,3))</f>
        <v>0</v>
      </c>
      <c r="E3424">
        <f ca="1">IF(A3424="","",COUNTIF(D$6:D3424,"True"))</f>
        <v>31</v>
      </c>
      <c r="F3424" t="str">
        <f t="shared" si="53"/>
        <v>600710.SH</v>
      </c>
    </row>
    <row r="3425" spans="1:6" x14ac:dyDescent="0.15">
      <c r="A3425" s="2">
        <v>46089</v>
      </c>
      <c r="B3425" s="1" t="s">
        <v>6445</v>
      </c>
      <c r="C3425" s="1" t="s">
        <v>6446</v>
      </c>
      <c r="D3425" t="b">
        <f ca="1">IF(A3425="","",[1]!s_techanal_rcnthigh(B3425,$B$2,1,3))</f>
        <v>0</v>
      </c>
      <c r="E3425">
        <f ca="1">IF(A3425="","",COUNTIF(D$6:D3425,"True"))</f>
        <v>31</v>
      </c>
      <c r="F3425" t="str">
        <f t="shared" si="53"/>
        <v>600711.SH</v>
      </c>
    </row>
    <row r="3426" spans="1:6" x14ac:dyDescent="0.15">
      <c r="A3426" s="2">
        <v>46089</v>
      </c>
      <c r="B3426" s="1" t="s">
        <v>6447</v>
      </c>
      <c r="C3426" s="1" t="s">
        <v>6448</v>
      </c>
      <c r="D3426" t="b">
        <f ca="1">IF(A3426="","",[1]!s_techanal_rcnthigh(B3426,$B$2,1,3))</f>
        <v>0</v>
      </c>
      <c r="E3426">
        <f ca="1">IF(A3426="","",COUNTIF(D$6:D3426,"True"))</f>
        <v>31</v>
      </c>
      <c r="F3426" t="str">
        <f t="shared" si="53"/>
        <v>600712.SH</v>
      </c>
    </row>
    <row r="3427" spans="1:6" x14ac:dyDescent="0.15">
      <c r="A3427" s="2">
        <v>46089</v>
      </c>
      <c r="B3427" s="1" t="s">
        <v>6449</v>
      </c>
      <c r="C3427" s="1" t="s">
        <v>6450</v>
      </c>
      <c r="D3427" t="b">
        <f ca="1">IF(A3427="","",[1]!s_techanal_rcnthigh(B3427,$B$2,1,3))</f>
        <v>0</v>
      </c>
      <c r="E3427">
        <f ca="1">IF(A3427="","",COUNTIF(D$6:D3427,"True"))</f>
        <v>31</v>
      </c>
      <c r="F3427" t="str">
        <f t="shared" si="53"/>
        <v>600713.SH</v>
      </c>
    </row>
    <row r="3428" spans="1:6" x14ac:dyDescent="0.15">
      <c r="A3428" s="2">
        <v>46089</v>
      </c>
      <c r="B3428" s="1" t="s">
        <v>6451</v>
      </c>
      <c r="C3428" s="1" t="s">
        <v>6452</v>
      </c>
      <c r="D3428" t="b">
        <f ca="1">IF(A3428="","",[1]!s_techanal_rcnthigh(B3428,$B$2,1,3))</f>
        <v>0</v>
      </c>
      <c r="E3428">
        <f ca="1">IF(A3428="","",COUNTIF(D$6:D3428,"True"))</f>
        <v>31</v>
      </c>
      <c r="F3428" t="str">
        <f t="shared" si="53"/>
        <v>600714.SH</v>
      </c>
    </row>
    <row r="3429" spans="1:6" x14ac:dyDescent="0.15">
      <c r="A3429" s="2">
        <v>46089</v>
      </c>
      <c r="B3429" s="1" t="s">
        <v>6453</v>
      </c>
      <c r="C3429" s="1" t="s">
        <v>6454</v>
      </c>
      <c r="D3429" t="b">
        <f ca="1">IF(A3429="","",[1]!s_techanal_rcnthigh(B3429,$B$2,1,3))</f>
        <v>0</v>
      </c>
      <c r="E3429">
        <f ca="1">IF(A3429="","",COUNTIF(D$6:D3429,"True"))</f>
        <v>31</v>
      </c>
      <c r="F3429" t="str">
        <f t="shared" si="53"/>
        <v>600715.SH</v>
      </c>
    </row>
    <row r="3430" spans="1:6" x14ac:dyDescent="0.15">
      <c r="A3430" s="2">
        <v>46089</v>
      </c>
      <c r="B3430" s="1" t="s">
        <v>6455</v>
      </c>
      <c r="C3430" s="1" t="s">
        <v>6456</v>
      </c>
      <c r="D3430" t="b">
        <f ca="1">IF(A3430="","",[1]!s_techanal_rcnthigh(B3430,$B$2,1,3))</f>
        <v>0</v>
      </c>
      <c r="E3430">
        <f ca="1">IF(A3430="","",COUNTIF(D$6:D3430,"True"))</f>
        <v>31</v>
      </c>
      <c r="F3430" t="str">
        <f t="shared" si="53"/>
        <v>600716.SH</v>
      </c>
    </row>
    <row r="3431" spans="1:6" x14ac:dyDescent="0.15">
      <c r="A3431" s="2">
        <v>46089</v>
      </c>
      <c r="B3431" s="1" t="s">
        <v>6457</v>
      </c>
      <c r="C3431" s="1" t="s">
        <v>6458</v>
      </c>
      <c r="D3431" t="b">
        <f ca="1">IF(A3431="","",[1]!s_techanal_rcnthigh(B3431,$B$2,1,3))</f>
        <v>0</v>
      </c>
      <c r="E3431">
        <f ca="1">IF(A3431="","",COUNTIF(D$6:D3431,"True"))</f>
        <v>31</v>
      </c>
      <c r="F3431" t="str">
        <f t="shared" si="53"/>
        <v>600717.SH</v>
      </c>
    </row>
    <row r="3432" spans="1:6" x14ac:dyDescent="0.15">
      <c r="A3432" s="2">
        <v>46089</v>
      </c>
      <c r="B3432" s="1" t="s">
        <v>6459</v>
      </c>
      <c r="C3432" s="1" t="s">
        <v>6460</v>
      </c>
      <c r="D3432" t="b">
        <f ca="1">IF(A3432="","",[1]!s_techanal_rcnthigh(B3432,$B$2,1,3))</f>
        <v>0</v>
      </c>
      <c r="E3432">
        <f ca="1">IF(A3432="","",COUNTIF(D$6:D3432,"True"))</f>
        <v>31</v>
      </c>
      <c r="F3432" t="str">
        <f t="shared" si="53"/>
        <v>600718.SH</v>
      </c>
    </row>
    <row r="3433" spans="1:6" x14ac:dyDescent="0.15">
      <c r="A3433" s="2">
        <v>46089</v>
      </c>
      <c r="B3433" s="1" t="s">
        <v>6461</v>
      </c>
      <c r="C3433" s="1" t="s">
        <v>6462</v>
      </c>
      <c r="D3433" t="b">
        <f ca="1">IF(A3433="","",[1]!s_techanal_rcnthigh(B3433,$B$2,1,3))</f>
        <v>0</v>
      </c>
      <c r="E3433">
        <f ca="1">IF(A3433="","",COUNTIF(D$6:D3433,"True"))</f>
        <v>31</v>
      </c>
      <c r="F3433" t="str">
        <f t="shared" si="53"/>
        <v>600719.SH</v>
      </c>
    </row>
    <row r="3434" spans="1:6" x14ac:dyDescent="0.15">
      <c r="A3434" s="2">
        <v>46089</v>
      </c>
      <c r="B3434" s="1" t="s">
        <v>6463</v>
      </c>
      <c r="C3434" s="1" t="s">
        <v>6464</v>
      </c>
      <c r="D3434" t="b">
        <f ca="1">IF(A3434="","",[1]!s_techanal_rcnthigh(B3434,$B$2,1,3))</f>
        <v>0</v>
      </c>
      <c r="E3434">
        <f ca="1">IF(A3434="","",COUNTIF(D$6:D3434,"True"))</f>
        <v>31</v>
      </c>
      <c r="F3434" t="str">
        <f t="shared" si="53"/>
        <v>600720.SH</v>
      </c>
    </row>
    <row r="3435" spans="1:6" x14ac:dyDescent="0.15">
      <c r="A3435" s="2">
        <v>46089</v>
      </c>
      <c r="B3435" s="1" t="s">
        <v>6465</v>
      </c>
      <c r="C3435" s="1" t="s">
        <v>6466</v>
      </c>
      <c r="D3435" t="b">
        <f ca="1">IF(A3435="","",[1]!s_techanal_rcnthigh(B3435,$B$2,1,3))</f>
        <v>0</v>
      </c>
      <c r="E3435">
        <f ca="1">IF(A3435="","",COUNTIF(D$6:D3435,"True"))</f>
        <v>31</v>
      </c>
      <c r="F3435" t="str">
        <f t="shared" si="53"/>
        <v>600721.SH</v>
      </c>
    </row>
    <row r="3436" spans="1:6" x14ac:dyDescent="0.15">
      <c r="A3436" s="2">
        <v>46089</v>
      </c>
      <c r="B3436" s="1" t="s">
        <v>6467</v>
      </c>
      <c r="C3436" s="1" t="s">
        <v>6468</v>
      </c>
      <c r="D3436" t="b">
        <f ca="1">IF(A3436="","",[1]!s_techanal_rcnthigh(B3436,$B$2,1,3))</f>
        <v>0</v>
      </c>
      <c r="E3436">
        <f ca="1">IF(A3436="","",COUNTIF(D$6:D3436,"True"))</f>
        <v>31</v>
      </c>
      <c r="F3436" t="str">
        <f t="shared" si="53"/>
        <v>600722.SH</v>
      </c>
    </row>
    <row r="3437" spans="1:6" x14ac:dyDescent="0.15">
      <c r="A3437" s="2">
        <v>46089</v>
      </c>
      <c r="B3437" s="1" t="s">
        <v>6469</v>
      </c>
      <c r="C3437" s="1" t="s">
        <v>6470</v>
      </c>
      <c r="D3437" t="b">
        <f ca="1">IF(A3437="","",[1]!s_techanal_rcnthigh(B3437,$B$2,1,3))</f>
        <v>0</v>
      </c>
      <c r="E3437">
        <f ca="1">IF(A3437="","",COUNTIF(D$6:D3437,"True"))</f>
        <v>31</v>
      </c>
      <c r="F3437" t="str">
        <f t="shared" si="53"/>
        <v>600724.SH</v>
      </c>
    </row>
    <row r="3438" spans="1:6" x14ac:dyDescent="0.15">
      <c r="A3438" s="2">
        <v>46089</v>
      </c>
      <c r="B3438" s="1" t="s">
        <v>6471</v>
      </c>
      <c r="C3438" s="1" t="s">
        <v>6472</v>
      </c>
      <c r="D3438" t="b">
        <f ca="1">IF(A3438="","",[1]!s_techanal_rcnthigh(B3438,$B$2,1,3))</f>
        <v>0</v>
      </c>
      <c r="E3438">
        <f ca="1">IF(A3438="","",COUNTIF(D$6:D3438,"True"))</f>
        <v>31</v>
      </c>
      <c r="F3438" t="str">
        <f t="shared" si="53"/>
        <v>600725.SH</v>
      </c>
    </row>
    <row r="3439" spans="1:6" x14ac:dyDescent="0.15">
      <c r="A3439" s="2">
        <v>46089</v>
      </c>
      <c r="B3439" s="1" t="s">
        <v>6473</v>
      </c>
      <c r="C3439" s="1" t="s">
        <v>6474</v>
      </c>
      <c r="D3439" t="b">
        <f ca="1">IF(A3439="","",[1]!s_techanal_rcnthigh(B3439,$B$2,1,3))</f>
        <v>0</v>
      </c>
      <c r="E3439">
        <f ca="1">IF(A3439="","",COUNTIF(D$6:D3439,"True"))</f>
        <v>31</v>
      </c>
      <c r="F3439" t="str">
        <f t="shared" si="53"/>
        <v>600726.SH</v>
      </c>
    </row>
    <row r="3440" spans="1:6" x14ac:dyDescent="0.15">
      <c r="A3440" s="2">
        <v>46089</v>
      </c>
      <c r="B3440" s="1" t="s">
        <v>6475</v>
      </c>
      <c r="C3440" s="1" t="s">
        <v>6476</v>
      </c>
      <c r="D3440" t="b">
        <f ca="1">IF(A3440="","",[1]!s_techanal_rcnthigh(B3440,$B$2,1,3))</f>
        <v>0</v>
      </c>
      <c r="E3440">
        <f ca="1">IF(A3440="","",COUNTIF(D$6:D3440,"True"))</f>
        <v>31</v>
      </c>
      <c r="F3440" t="str">
        <f t="shared" si="53"/>
        <v>600727.SH</v>
      </c>
    </row>
    <row r="3441" spans="1:6" x14ac:dyDescent="0.15">
      <c r="A3441" s="2">
        <v>46089</v>
      </c>
      <c r="B3441" s="1" t="s">
        <v>6477</v>
      </c>
      <c r="C3441" s="1" t="s">
        <v>6478</v>
      </c>
      <c r="D3441" t="b">
        <f ca="1">IF(A3441="","",[1]!s_techanal_rcnthigh(B3441,$B$2,1,3))</f>
        <v>0</v>
      </c>
      <c r="E3441">
        <f ca="1">IF(A3441="","",COUNTIF(D$6:D3441,"True"))</f>
        <v>31</v>
      </c>
      <c r="F3441" t="str">
        <f t="shared" si="53"/>
        <v>600728.SH</v>
      </c>
    </row>
    <row r="3442" spans="1:6" x14ac:dyDescent="0.15">
      <c r="A3442" s="2">
        <v>46089</v>
      </c>
      <c r="B3442" s="1" t="s">
        <v>6479</v>
      </c>
      <c r="C3442" s="1" t="s">
        <v>6480</v>
      </c>
      <c r="D3442" t="b">
        <f ca="1">IF(A3442="","",[1]!s_techanal_rcnthigh(B3442,$B$2,1,3))</f>
        <v>0</v>
      </c>
      <c r="E3442">
        <f ca="1">IF(A3442="","",COUNTIF(D$6:D3442,"True"))</f>
        <v>31</v>
      </c>
      <c r="F3442" t="str">
        <f t="shared" si="53"/>
        <v>600729.SH</v>
      </c>
    </row>
    <row r="3443" spans="1:6" x14ac:dyDescent="0.15">
      <c r="A3443" s="2">
        <v>46089</v>
      </c>
      <c r="B3443" s="1" t="s">
        <v>6481</v>
      </c>
      <c r="C3443" s="1" t="s">
        <v>6482</v>
      </c>
      <c r="D3443" t="b">
        <f ca="1">IF(A3443="","",[1]!s_techanal_rcnthigh(B3443,$B$2,1,3))</f>
        <v>0</v>
      </c>
      <c r="E3443">
        <f ca="1">IF(A3443="","",COUNTIF(D$6:D3443,"True"))</f>
        <v>31</v>
      </c>
      <c r="F3443" t="str">
        <f t="shared" si="53"/>
        <v>600730.SH</v>
      </c>
    </row>
    <row r="3444" spans="1:6" x14ac:dyDescent="0.15">
      <c r="A3444" s="2">
        <v>46089</v>
      </c>
      <c r="B3444" s="1" t="s">
        <v>6483</v>
      </c>
      <c r="C3444" s="1" t="s">
        <v>6484</v>
      </c>
      <c r="D3444" t="b">
        <f ca="1">IF(A3444="","",[1]!s_techanal_rcnthigh(B3444,$B$2,1,3))</f>
        <v>0</v>
      </c>
      <c r="E3444">
        <f ca="1">IF(A3444="","",COUNTIF(D$6:D3444,"True"))</f>
        <v>31</v>
      </c>
      <c r="F3444" t="str">
        <f t="shared" si="53"/>
        <v>600731.SH</v>
      </c>
    </row>
    <row r="3445" spans="1:6" x14ac:dyDescent="0.15">
      <c r="A3445" s="2">
        <v>46089</v>
      </c>
      <c r="B3445" s="1" t="s">
        <v>6485</v>
      </c>
      <c r="C3445" s="1" t="s">
        <v>6486</v>
      </c>
      <c r="D3445" t="b">
        <f ca="1">IF(A3445="","",[1]!s_techanal_rcnthigh(B3445,$B$2,1,3))</f>
        <v>0</v>
      </c>
      <c r="E3445">
        <f ca="1">IF(A3445="","",COUNTIF(D$6:D3445,"True"))</f>
        <v>31</v>
      </c>
      <c r="F3445" t="str">
        <f t="shared" si="53"/>
        <v>600732.SH</v>
      </c>
    </row>
    <row r="3446" spans="1:6" x14ac:dyDescent="0.15">
      <c r="A3446" s="2">
        <v>46089</v>
      </c>
      <c r="B3446" s="1" t="s">
        <v>6487</v>
      </c>
      <c r="C3446" s="1" t="s">
        <v>6488</v>
      </c>
      <c r="D3446" t="b">
        <f ca="1">IF(A3446="","",[1]!s_techanal_rcnthigh(B3446,$B$2,1,3))</f>
        <v>0</v>
      </c>
      <c r="E3446">
        <f ca="1">IF(A3446="","",COUNTIF(D$6:D3446,"True"))</f>
        <v>31</v>
      </c>
      <c r="F3446" t="str">
        <f t="shared" si="53"/>
        <v>600733.SH</v>
      </c>
    </row>
    <row r="3447" spans="1:6" x14ac:dyDescent="0.15">
      <c r="A3447" s="2">
        <v>46089</v>
      </c>
      <c r="B3447" s="1" t="s">
        <v>6489</v>
      </c>
      <c r="C3447" s="1" t="s">
        <v>10431</v>
      </c>
      <c r="D3447" t="b">
        <f ca="1">IF(A3447="","",[1]!s_techanal_rcnthigh(B3447,$B$2,1,3))</f>
        <v>0</v>
      </c>
      <c r="E3447">
        <f ca="1">IF(A3447="","",COUNTIF(D$6:D3447,"True"))</f>
        <v>31</v>
      </c>
      <c r="F3447" t="str">
        <f t="shared" si="53"/>
        <v>600734.SH</v>
      </c>
    </row>
    <row r="3448" spans="1:6" x14ac:dyDescent="0.15">
      <c r="A3448" s="2">
        <v>46089</v>
      </c>
      <c r="B3448" s="1" t="s">
        <v>6490</v>
      </c>
      <c r="C3448" s="1" t="s">
        <v>10432</v>
      </c>
      <c r="D3448" t="b">
        <f ca="1">IF(A3448="","",[1]!s_techanal_rcnthigh(B3448,$B$2,1,3))</f>
        <v>0</v>
      </c>
      <c r="E3448">
        <f ca="1">IF(A3448="","",COUNTIF(D$6:D3448,"True"))</f>
        <v>31</v>
      </c>
      <c r="F3448" t="str">
        <f t="shared" si="53"/>
        <v>600735.SH</v>
      </c>
    </row>
    <row r="3449" spans="1:6" x14ac:dyDescent="0.15">
      <c r="A3449" s="2">
        <v>46089</v>
      </c>
      <c r="B3449" s="1" t="s">
        <v>6491</v>
      </c>
      <c r="C3449" s="1" t="s">
        <v>6492</v>
      </c>
      <c r="D3449" t="b">
        <f ca="1">IF(A3449="","",[1]!s_techanal_rcnthigh(B3449,$B$2,1,3))</f>
        <v>0</v>
      </c>
      <c r="E3449">
        <f ca="1">IF(A3449="","",COUNTIF(D$6:D3449,"True"))</f>
        <v>31</v>
      </c>
      <c r="F3449" t="str">
        <f t="shared" si="53"/>
        <v>600736.SH</v>
      </c>
    </row>
    <row r="3450" spans="1:6" x14ac:dyDescent="0.15">
      <c r="A3450" s="2">
        <v>46089</v>
      </c>
      <c r="B3450" s="1" t="s">
        <v>6493</v>
      </c>
      <c r="C3450" s="1" t="s">
        <v>6494</v>
      </c>
      <c r="D3450" t="b">
        <f ca="1">IF(A3450="","",[1]!s_techanal_rcnthigh(B3450,$B$2,1,3))</f>
        <v>0</v>
      </c>
      <c r="E3450">
        <f ca="1">IF(A3450="","",COUNTIF(D$6:D3450,"True"))</f>
        <v>31</v>
      </c>
      <c r="F3450" t="str">
        <f t="shared" si="53"/>
        <v>600737.SH</v>
      </c>
    </row>
    <row r="3451" spans="1:6" x14ac:dyDescent="0.15">
      <c r="A3451" s="2">
        <v>46089</v>
      </c>
      <c r="B3451" s="1" t="s">
        <v>6495</v>
      </c>
      <c r="C3451" s="1" t="s">
        <v>6496</v>
      </c>
      <c r="D3451" t="b">
        <f ca="1">IF(A3451="","",[1]!s_techanal_rcnthigh(B3451,$B$2,1,3))</f>
        <v>0</v>
      </c>
      <c r="E3451">
        <f ca="1">IF(A3451="","",COUNTIF(D$6:D3451,"True"))</f>
        <v>31</v>
      </c>
      <c r="F3451" t="str">
        <f t="shared" si="53"/>
        <v>600738.SH</v>
      </c>
    </row>
    <row r="3452" spans="1:6" x14ac:dyDescent="0.15">
      <c r="A3452" s="2">
        <v>46089</v>
      </c>
      <c r="B3452" s="1" t="s">
        <v>6497</v>
      </c>
      <c r="C3452" s="1" t="s">
        <v>6498</v>
      </c>
      <c r="D3452" t="b">
        <f ca="1">IF(A3452="","",[1]!s_techanal_rcnthigh(B3452,$B$2,1,3))</f>
        <v>0</v>
      </c>
      <c r="E3452">
        <f ca="1">IF(A3452="","",COUNTIF(D$6:D3452,"True"))</f>
        <v>31</v>
      </c>
      <c r="F3452" t="str">
        <f t="shared" si="53"/>
        <v>600739.SH</v>
      </c>
    </row>
    <row r="3453" spans="1:6" x14ac:dyDescent="0.15">
      <c r="A3453" s="2">
        <v>46089</v>
      </c>
      <c r="B3453" s="1" t="s">
        <v>6499</v>
      </c>
      <c r="C3453" s="1" t="s">
        <v>6500</v>
      </c>
      <c r="D3453" t="b">
        <f ca="1">IF(A3453="","",[1]!s_techanal_rcnthigh(B3453,$B$2,1,3))</f>
        <v>0</v>
      </c>
      <c r="E3453">
        <f ca="1">IF(A3453="","",COUNTIF(D$6:D3453,"True"))</f>
        <v>31</v>
      </c>
      <c r="F3453" t="str">
        <f t="shared" si="53"/>
        <v>600740.SH</v>
      </c>
    </row>
    <row r="3454" spans="1:6" x14ac:dyDescent="0.15">
      <c r="A3454" s="2">
        <v>46089</v>
      </c>
      <c r="B3454" s="1" t="s">
        <v>6501</v>
      </c>
      <c r="C3454" s="1" t="s">
        <v>6502</v>
      </c>
      <c r="D3454" t="b">
        <f ca="1">IF(A3454="","",[1]!s_techanal_rcnthigh(B3454,$B$2,1,3))</f>
        <v>0</v>
      </c>
      <c r="E3454">
        <f ca="1">IF(A3454="","",COUNTIF(D$6:D3454,"True"))</f>
        <v>31</v>
      </c>
      <c r="F3454" t="str">
        <f t="shared" si="53"/>
        <v>600741.SH</v>
      </c>
    </row>
    <row r="3455" spans="1:6" x14ac:dyDescent="0.15">
      <c r="A3455" s="2">
        <v>46089</v>
      </c>
      <c r="B3455" s="1" t="s">
        <v>6503</v>
      </c>
      <c r="C3455" s="1" t="s">
        <v>10433</v>
      </c>
      <c r="D3455" t="b">
        <f ca="1">IF(A3455="","",[1]!s_techanal_rcnthigh(B3455,$B$2,1,3))</f>
        <v>0</v>
      </c>
      <c r="E3455">
        <f ca="1">IF(A3455="","",COUNTIF(D$6:D3455,"True"))</f>
        <v>31</v>
      </c>
      <c r="F3455" t="str">
        <f t="shared" si="53"/>
        <v>600742.SH</v>
      </c>
    </row>
    <row r="3456" spans="1:6" x14ac:dyDescent="0.15">
      <c r="A3456" s="2">
        <v>46089</v>
      </c>
      <c r="B3456" s="1" t="s">
        <v>6504</v>
      </c>
      <c r="C3456" s="1" t="s">
        <v>10434</v>
      </c>
      <c r="D3456" t="b">
        <f ca="1">IF(A3456="","",[1]!s_techanal_rcnthigh(B3456,$B$2,1,3))</f>
        <v>0</v>
      </c>
      <c r="E3456">
        <f ca="1">IF(A3456="","",COUNTIF(D$6:D3456,"True"))</f>
        <v>31</v>
      </c>
      <c r="F3456" t="str">
        <f t="shared" si="53"/>
        <v>600743.SH</v>
      </c>
    </row>
    <row r="3457" spans="1:6" x14ac:dyDescent="0.15">
      <c r="A3457" s="2">
        <v>46089</v>
      </c>
      <c r="B3457" s="1" t="s">
        <v>6505</v>
      </c>
      <c r="C3457" s="1" t="s">
        <v>6506</v>
      </c>
      <c r="D3457" t="b">
        <f ca="1">IF(A3457="","",[1]!s_techanal_rcnthigh(B3457,$B$2,1,3))</f>
        <v>0</v>
      </c>
      <c r="E3457">
        <f ca="1">IF(A3457="","",COUNTIF(D$6:D3457,"True"))</f>
        <v>31</v>
      </c>
      <c r="F3457" t="str">
        <f t="shared" si="53"/>
        <v>600744.SH</v>
      </c>
    </row>
    <row r="3458" spans="1:6" x14ac:dyDescent="0.15">
      <c r="A3458" s="2">
        <v>46089</v>
      </c>
      <c r="B3458" s="1" t="s">
        <v>6507</v>
      </c>
      <c r="C3458" s="1" t="s">
        <v>6508</v>
      </c>
      <c r="D3458" t="b">
        <f ca="1">IF(A3458="","",[1]!s_techanal_rcnthigh(B3458,$B$2,1,3))</f>
        <v>0</v>
      </c>
      <c r="E3458">
        <f ca="1">IF(A3458="","",COUNTIF(D$6:D3458,"True"))</f>
        <v>31</v>
      </c>
      <c r="F3458" t="str">
        <f t="shared" si="53"/>
        <v>600745.SH</v>
      </c>
    </row>
    <row r="3459" spans="1:6" x14ac:dyDescent="0.15">
      <c r="A3459" s="2">
        <v>46089</v>
      </c>
      <c r="B3459" s="1" t="s">
        <v>6509</v>
      </c>
      <c r="C3459" s="1" t="s">
        <v>6510</v>
      </c>
      <c r="D3459" t="b">
        <f ca="1">IF(A3459="","",[1]!s_techanal_rcnthigh(B3459,$B$2,1,3))</f>
        <v>0</v>
      </c>
      <c r="E3459">
        <f ca="1">IF(A3459="","",COUNTIF(D$6:D3459,"True"))</f>
        <v>31</v>
      </c>
      <c r="F3459" t="str">
        <f t="shared" si="53"/>
        <v>600746.SH</v>
      </c>
    </row>
    <row r="3460" spans="1:6" x14ac:dyDescent="0.15">
      <c r="A3460" s="2">
        <v>46089</v>
      </c>
      <c r="B3460" s="1" t="s">
        <v>6511</v>
      </c>
      <c r="C3460" s="1" t="s">
        <v>6512</v>
      </c>
      <c r="D3460" t="b">
        <f ca="1">IF(A3460="","",[1]!s_techanal_rcnthigh(B3460,$B$2,1,3))</f>
        <v>0</v>
      </c>
      <c r="E3460">
        <f ca="1">IF(A3460="","",COUNTIF(D$6:D3460,"True"))</f>
        <v>31</v>
      </c>
      <c r="F3460" t="str">
        <f t="shared" si="53"/>
        <v>600748.SH</v>
      </c>
    </row>
    <row r="3461" spans="1:6" x14ac:dyDescent="0.15">
      <c r="A3461" s="2">
        <v>46089</v>
      </c>
      <c r="B3461" s="1" t="s">
        <v>6513</v>
      </c>
      <c r="C3461" s="1" t="s">
        <v>6514</v>
      </c>
      <c r="D3461" t="b">
        <f ca="1">IF(A3461="","",[1]!s_techanal_rcnthigh(B3461,$B$2,1,3))</f>
        <v>0</v>
      </c>
      <c r="E3461">
        <f ca="1">IF(A3461="","",COUNTIF(D$6:D3461,"True"))</f>
        <v>31</v>
      </c>
      <c r="F3461" t="str">
        <f t="shared" si="53"/>
        <v>600749.SH</v>
      </c>
    </row>
    <row r="3462" spans="1:6" x14ac:dyDescent="0.15">
      <c r="A3462" s="2">
        <v>46089</v>
      </c>
      <c r="B3462" s="1" t="s">
        <v>6515</v>
      </c>
      <c r="C3462" s="1" t="s">
        <v>10435</v>
      </c>
      <c r="D3462" t="b">
        <f ca="1">IF(A3462="","",[1]!s_techanal_rcnthigh(B3462,$B$2,1,3))</f>
        <v>0</v>
      </c>
      <c r="E3462">
        <f ca="1">IF(A3462="","",COUNTIF(D$6:D3462,"True"))</f>
        <v>31</v>
      </c>
      <c r="F3462" t="str">
        <f t="shared" ref="F3462:F3525" si="54">IF(B3462="","",B3462)</f>
        <v>600750.SH</v>
      </c>
    </row>
    <row r="3463" spans="1:6" x14ac:dyDescent="0.15">
      <c r="A3463" s="2">
        <v>46089</v>
      </c>
      <c r="B3463" s="1" t="s">
        <v>6516</v>
      </c>
      <c r="C3463" s="1" t="s">
        <v>6517</v>
      </c>
      <c r="D3463" t="b">
        <f ca="1">IF(A3463="","",[1]!s_techanal_rcnthigh(B3463,$B$2,1,3))</f>
        <v>0</v>
      </c>
      <c r="E3463">
        <f ca="1">IF(A3463="","",COUNTIF(D$6:D3463,"True"))</f>
        <v>31</v>
      </c>
      <c r="F3463" t="str">
        <f t="shared" si="54"/>
        <v>600751.SH</v>
      </c>
    </row>
    <row r="3464" spans="1:6" x14ac:dyDescent="0.15">
      <c r="A3464" s="2">
        <v>46089</v>
      </c>
      <c r="B3464" s="1" t="s">
        <v>6518</v>
      </c>
      <c r="C3464" s="1" t="s">
        <v>10436</v>
      </c>
      <c r="D3464" t="b">
        <f ca="1">IF(A3464="","",[1]!s_techanal_rcnthigh(B3464,$B$2,1,3))</f>
        <v>0</v>
      </c>
      <c r="E3464">
        <f ca="1">IF(A3464="","",COUNTIF(D$6:D3464,"True"))</f>
        <v>31</v>
      </c>
      <c r="F3464" t="str">
        <f t="shared" si="54"/>
        <v>600753.SH</v>
      </c>
    </row>
    <row r="3465" spans="1:6" x14ac:dyDescent="0.15">
      <c r="A3465" s="2">
        <v>46089</v>
      </c>
      <c r="B3465" s="1" t="s">
        <v>6519</v>
      </c>
      <c r="C3465" s="1" t="s">
        <v>6520</v>
      </c>
      <c r="D3465" t="b">
        <f ca="1">IF(A3465="","",[1]!s_techanal_rcnthigh(B3465,$B$2,1,3))</f>
        <v>0</v>
      </c>
      <c r="E3465">
        <f ca="1">IF(A3465="","",COUNTIF(D$6:D3465,"True"))</f>
        <v>31</v>
      </c>
      <c r="F3465" t="str">
        <f t="shared" si="54"/>
        <v>600754.SH</v>
      </c>
    </row>
    <row r="3466" spans="1:6" x14ac:dyDescent="0.15">
      <c r="A3466" s="2">
        <v>46089</v>
      </c>
      <c r="B3466" s="1" t="s">
        <v>6521</v>
      </c>
      <c r="C3466" s="1" t="s">
        <v>6522</v>
      </c>
      <c r="D3466" t="b">
        <f ca="1">IF(A3466="","",[1]!s_techanal_rcnthigh(B3466,$B$2,1,3))</f>
        <v>0</v>
      </c>
      <c r="E3466">
        <f ca="1">IF(A3466="","",COUNTIF(D$6:D3466,"True"))</f>
        <v>31</v>
      </c>
      <c r="F3466" t="str">
        <f t="shared" si="54"/>
        <v>600755.SH</v>
      </c>
    </row>
    <row r="3467" spans="1:6" x14ac:dyDescent="0.15">
      <c r="A3467" s="2">
        <v>46089</v>
      </c>
      <c r="B3467" s="1" t="s">
        <v>6523</v>
      </c>
      <c r="C3467" s="1" t="s">
        <v>6524</v>
      </c>
      <c r="D3467" t="b">
        <f ca="1">IF(A3467="","",[1]!s_techanal_rcnthigh(B3467,$B$2,1,3))</f>
        <v>0</v>
      </c>
      <c r="E3467">
        <f ca="1">IF(A3467="","",COUNTIF(D$6:D3467,"True"))</f>
        <v>31</v>
      </c>
      <c r="F3467" t="str">
        <f t="shared" si="54"/>
        <v>600756.SH</v>
      </c>
    </row>
    <row r="3468" spans="1:6" x14ac:dyDescent="0.15">
      <c r="A3468" s="2">
        <v>46089</v>
      </c>
      <c r="B3468" s="1" t="s">
        <v>6525</v>
      </c>
      <c r="C3468" s="1" t="s">
        <v>6526</v>
      </c>
      <c r="D3468" t="b">
        <f ca="1">IF(A3468="","",[1]!s_techanal_rcnthigh(B3468,$B$2,1,3))</f>
        <v>0</v>
      </c>
      <c r="E3468">
        <f ca="1">IF(A3468="","",COUNTIF(D$6:D3468,"True"))</f>
        <v>31</v>
      </c>
      <c r="F3468" t="str">
        <f t="shared" si="54"/>
        <v>600757.SH</v>
      </c>
    </row>
    <row r="3469" spans="1:6" x14ac:dyDescent="0.15">
      <c r="A3469" s="2">
        <v>46089</v>
      </c>
      <c r="B3469" s="1" t="s">
        <v>6527</v>
      </c>
      <c r="C3469" s="1" t="s">
        <v>6528</v>
      </c>
      <c r="D3469" t="b">
        <f ca="1">IF(A3469="","",[1]!s_techanal_rcnthigh(B3469,$B$2,1,3))</f>
        <v>0</v>
      </c>
      <c r="E3469">
        <f ca="1">IF(A3469="","",COUNTIF(D$6:D3469,"True"))</f>
        <v>31</v>
      </c>
      <c r="F3469" t="str">
        <f t="shared" si="54"/>
        <v>600758.SH</v>
      </c>
    </row>
    <row r="3470" spans="1:6" x14ac:dyDescent="0.15">
      <c r="A3470" s="2">
        <v>46089</v>
      </c>
      <c r="B3470" s="1" t="s">
        <v>6529</v>
      </c>
      <c r="C3470" s="1" t="s">
        <v>10437</v>
      </c>
      <c r="D3470" t="b">
        <f ca="1">IF(A3470="","",[1]!s_techanal_rcnthigh(B3470,$B$2,1,3))</f>
        <v>0</v>
      </c>
      <c r="E3470">
        <f ca="1">IF(A3470="","",COUNTIF(D$6:D3470,"True"))</f>
        <v>31</v>
      </c>
      <c r="F3470" t="str">
        <f t="shared" si="54"/>
        <v>600759.SH</v>
      </c>
    </row>
    <row r="3471" spans="1:6" x14ac:dyDescent="0.15">
      <c r="A3471" s="2">
        <v>46089</v>
      </c>
      <c r="B3471" s="1" t="s">
        <v>6530</v>
      </c>
      <c r="C3471" s="1" t="s">
        <v>6531</v>
      </c>
      <c r="D3471" t="b">
        <f ca="1">IF(A3471="","",[1]!s_techanal_rcnthigh(B3471,$B$2,1,3))</f>
        <v>0</v>
      </c>
      <c r="E3471">
        <f ca="1">IF(A3471="","",COUNTIF(D$6:D3471,"True"))</f>
        <v>31</v>
      </c>
      <c r="F3471" t="str">
        <f t="shared" si="54"/>
        <v>600760.SH</v>
      </c>
    </row>
    <row r="3472" spans="1:6" x14ac:dyDescent="0.15">
      <c r="A3472" s="2">
        <v>46089</v>
      </c>
      <c r="B3472" s="1" t="s">
        <v>6532</v>
      </c>
      <c r="C3472" s="1" t="s">
        <v>6533</v>
      </c>
      <c r="D3472" t="b">
        <f ca="1">IF(A3472="","",[1]!s_techanal_rcnthigh(B3472,$B$2,1,3))</f>
        <v>0</v>
      </c>
      <c r="E3472">
        <f ca="1">IF(A3472="","",COUNTIF(D$6:D3472,"True"))</f>
        <v>31</v>
      </c>
      <c r="F3472" t="str">
        <f t="shared" si="54"/>
        <v>600761.SH</v>
      </c>
    </row>
    <row r="3473" spans="1:6" x14ac:dyDescent="0.15">
      <c r="A3473" s="2">
        <v>46089</v>
      </c>
      <c r="B3473" s="1" t="s">
        <v>6534</v>
      </c>
      <c r="C3473" s="1" t="s">
        <v>6535</v>
      </c>
      <c r="D3473" t="b">
        <f ca="1">IF(A3473="","",[1]!s_techanal_rcnthigh(B3473,$B$2,1,3))</f>
        <v>0</v>
      </c>
      <c r="E3473">
        <f ca="1">IF(A3473="","",COUNTIF(D$6:D3473,"True"))</f>
        <v>31</v>
      </c>
      <c r="F3473" t="str">
        <f t="shared" si="54"/>
        <v>600763.SH</v>
      </c>
    </row>
    <row r="3474" spans="1:6" x14ac:dyDescent="0.15">
      <c r="A3474" s="2">
        <v>46089</v>
      </c>
      <c r="B3474" s="1" t="s">
        <v>6536</v>
      </c>
      <c r="C3474" s="1" t="s">
        <v>6537</v>
      </c>
      <c r="D3474" t="b">
        <f ca="1">IF(A3474="","",[1]!s_techanal_rcnthigh(B3474,$B$2,1,3))</f>
        <v>0</v>
      </c>
      <c r="E3474">
        <f ca="1">IF(A3474="","",COUNTIF(D$6:D3474,"True"))</f>
        <v>31</v>
      </c>
      <c r="F3474" t="str">
        <f t="shared" si="54"/>
        <v>600764.SH</v>
      </c>
    </row>
    <row r="3475" spans="1:6" x14ac:dyDescent="0.15">
      <c r="A3475" s="2">
        <v>46089</v>
      </c>
      <c r="B3475" s="1" t="s">
        <v>6538</v>
      </c>
      <c r="C3475" s="1" t="s">
        <v>6539</v>
      </c>
      <c r="D3475" t="b">
        <f ca="1">IF(A3475="","",[1]!s_techanal_rcnthigh(B3475,$B$2,1,3))</f>
        <v>0</v>
      </c>
      <c r="E3475">
        <f ca="1">IF(A3475="","",COUNTIF(D$6:D3475,"True"))</f>
        <v>31</v>
      </c>
      <c r="F3475" t="str">
        <f t="shared" si="54"/>
        <v>600765.SH</v>
      </c>
    </row>
    <row r="3476" spans="1:6" x14ac:dyDescent="0.15">
      <c r="A3476" s="2">
        <v>46089</v>
      </c>
      <c r="B3476" s="1" t="s">
        <v>6540</v>
      </c>
      <c r="C3476" s="1" t="s">
        <v>6541</v>
      </c>
      <c r="D3476" t="b">
        <f ca="1">IF(A3476="","",[1]!s_techanal_rcnthigh(B3476,$B$2,1,3))</f>
        <v>0</v>
      </c>
      <c r="E3476">
        <f ca="1">IF(A3476="","",COUNTIF(D$6:D3476,"True"))</f>
        <v>31</v>
      </c>
      <c r="F3476" t="str">
        <f t="shared" si="54"/>
        <v>600768.SH</v>
      </c>
    </row>
    <row r="3477" spans="1:6" x14ac:dyDescent="0.15">
      <c r="A3477" s="2">
        <v>46089</v>
      </c>
      <c r="B3477" s="1" t="s">
        <v>6542</v>
      </c>
      <c r="C3477" s="1" t="s">
        <v>6543</v>
      </c>
      <c r="D3477" t="b">
        <f ca="1">IF(A3477="","",[1]!s_techanal_rcnthigh(B3477,$B$2,1,3))</f>
        <v>0</v>
      </c>
      <c r="E3477">
        <f ca="1">IF(A3477="","",COUNTIF(D$6:D3477,"True"))</f>
        <v>31</v>
      </c>
      <c r="F3477" t="str">
        <f t="shared" si="54"/>
        <v>600769.SH</v>
      </c>
    </row>
    <row r="3478" spans="1:6" x14ac:dyDescent="0.15">
      <c r="A3478" s="2">
        <v>46089</v>
      </c>
      <c r="B3478" s="1" t="s">
        <v>6544</v>
      </c>
      <c r="C3478" s="1" t="s">
        <v>6545</v>
      </c>
      <c r="D3478" t="b">
        <f ca="1">IF(A3478="","",[1]!s_techanal_rcnthigh(B3478,$B$2,1,3))</f>
        <v>0</v>
      </c>
      <c r="E3478">
        <f ca="1">IF(A3478="","",COUNTIF(D$6:D3478,"True"))</f>
        <v>31</v>
      </c>
      <c r="F3478" t="str">
        <f t="shared" si="54"/>
        <v>600770.SH</v>
      </c>
    </row>
    <row r="3479" spans="1:6" x14ac:dyDescent="0.15">
      <c r="A3479" s="2">
        <v>46089</v>
      </c>
      <c r="B3479" s="1" t="s">
        <v>6546</v>
      </c>
      <c r="C3479" s="1" t="s">
        <v>6547</v>
      </c>
      <c r="D3479" t="b">
        <f ca="1">IF(A3479="","",[1]!s_techanal_rcnthigh(B3479,$B$2,1,3))</f>
        <v>0</v>
      </c>
      <c r="E3479">
        <f ca="1">IF(A3479="","",COUNTIF(D$6:D3479,"True"))</f>
        <v>31</v>
      </c>
      <c r="F3479" t="str">
        <f t="shared" si="54"/>
        <v>600771.SH</v>
      </c>
    </row>
    <row r="3480" spans="1:6" x14ac:dyDescent="0.15">
      <c r="A3480" s="2">
        <v>46089</v>
      </c>
      <c r="B3480" s="1" t="s">
        <v>6548</v>
      </c>
      <c r="C3480" s="1" t="s">
        <v>6549</v>
      </c>
      <c r="D3480" t="b">
        <f ca="1">IF(A3480="","",[1]!s_techanal_rcnthigh(B3480,$B$2,1,3))</f>
        <v>0</v>
      </c>
      <c r="E3480">
        <f ca="1">IF(A3480="","",COUNTIF(D$6:D3480,"True"))</f>
        <v>31</v>
      </c>
      <c r="F3480" t="str">
        <f t="shared" si="54"/>
        <v>600773.SH</v>
      </c>
    </row>
    <row r="3481" spans="1:6" x14ac:dyDescent="0.15">
      <c r="A3481" s="2">
        <v>46089</v>
      </c>
      <c r="B3481" s="1" t="s">
        <v>6550</v>
      </c>
      <c r="C3481" s="1" t="s">
        <v>6551</v>
      </c>
      <c r="D3481" t="b">
        <f ca="1">IF(A3481="","",[1]!s_techanal_rcnthigh(B3481,$B$2,1,3))</f>
        <v>0</v>
      </c>
      <c r="E3481">
        <f ca="1">IF(A3481="","",COUNTIF(D$6:D3481,"True"))</f>
        <v>31</v>
      </c>
      <c r="F3481" t="str">
        <f t="shared" si="54"/>
        <v>600774.SH</v>
      </c>
    </row>
    <row r="3482" spans="1:6" x14ac:dyDescent="0.15">
      <c r="A3482" s="2">
        <v>46089</v>
      </c>
      <c r="B3482" s="1" t="s">
        <v>6552</v>
      </c>
      <c r="C3482" s="1" t="s">
        <v>6553</v>
      </c>
      <c r="D3482" t="b">
        <f ca="1">IF(A3482="","",[1]!s_techanal_rcnthigh(B3482,$B$2,1,3))</f>
        <v>0</v>
      </c>
      <c r="E3482">
        <f ca="1">IF(A3482="","",COUNTIF(D$6:D3482,"True"))</f>
        <v>31</v>
      </c>
      <c r="F3482" t="str">
        <f t="shared" si="54"/>
        <v>600775.SH</v>
      </c>
    </row>
    <row r="3483" spans="1:6" x14ac:dyDescent="0.15">
      <c r="A3483" s="2">
        <v>46089</v>
      </c>
      <c r="B3483" s="1" t="s">
        <v>6554</v>
      </c>
      <c r="C3483" s="1" t="s">
        <v>6555</v>
      </c>
      <c r="D3483" t="b">
        <f ca="1">IF(A3483="","",[1]!s_techanal_rcnthigh(B3483,$B$2,1,3))</f>
        <v>0</v>
      </c>
      <c r="E3483">
        <f ca="1">IF(A3483="","",COUNTIF(D$6:D3483,"True"))</f>
        <v>31</v>
      </c>
      <c r="F3483" t="str">
        <f t="shared" si="54"/>
        <v>600776.SH</v>
      </c>
    </row>
    <row r="3484" spans="1:6" x14ac:dyDescent="0.15">
      <c r="A3484" s="2">
        <v>46089</v>
      </c>
      <c r="B3484" s="1" t="s">
        <v>6556</v>
      </c>
      <c r="C3484" s="1" t="s">
        <v>10438</v>
      </c>
      <c r="D3484" t="b">
        <f ca="1">IF(A3484="","",[1]!s_techanal_rcnthigh(B3484,$B$2,1,3))</f>
        <v>0</v>
      </c>
      <c r="E3484">
        <f ca="1">IF(A3484="","",COUNTIF(D$6:D3484,"True"))</f>
        <v>31</v>
      </c>
      <c r="F3484" t="str">
        <f t="shared" si="54"/>
        <v>600777.SH</v>
      </c>
    </row>
    <row r="3485" spans="1:6" x14ac:dyDescent="0.15">
      <c r="A3485" s="2">
        <v>46089</v>
      </c>
      <c r="B3485" s="1" t="s">
        <v>6557</v>
      </c>
      <c r="C3485" s="1" t="s">
        <v>6558</v>
      </c>
      <c r="D3485" t="b">
        <f ca="1">IF(A3485="","",[1]!s_techanal_rcnthigh(B3485,$B$2,1,3))</f>
        <v>0</v>
      </c>
      <c r="E3485">
        <f ca="1">IF(A3485="","",COUNTIF(D$6:D3485,"True"))</f>
        <v>31</v>
      </c>
      <c r="F3485" t="str">
        <f t="shared" si="54"/>
        <v>600778.SH</v>
      </c>
    </row>
    <row r="3486" spans="1:6" x14ac:dyDescent="0.15">
      <c r="A3486" s="2">
        <v>46089</v>
      </c>
      <c r="B3486" s="1" t="s">
        <v>6559</v>
      </c>
      <c r="C3486" s="1" t="s">
        <v>6560</v>
      </c>
      <c r="D3486" t="b">
        <f ca="1">IF(A3486="","",[1]!s_techanal_rcnthigh(B3486,$B$2,1,3))</f>
        <v>0</v>
      </c>
      <c r="E3486">
        <f ca="1">IF(A3486="","",COUNTIF(D$6:D3486,"True"))</f>
        <v>31</v>
      </c>
      <c r="F3486" t="str">
        <f t="shared" si="54"/>
        <v>600779.SH</v>
      </c>
    </row>
    <row r="3487" spans="1:6" x14ac:dyDescent="0.15">
      <c r="A3487" s="2">
        <v>46089</v>
      </c>
      <c r="B3487" s="1" t="s">
        <v>6561</v>
      </c>
      <c r="C3487" s="1" t="s">
        <v>6562</v>
      </c>
      <c r="D3487" t="b">
        <f ca="1">IF(A3487="","",[1]!s_techanal_rcnthigh(B3487,$B$2,1,3))</f>
        <v>0</v>
      </c>
      <c r="E3487">
        <f ca="1">IF(A3487="","",COUNTIF(D$6:D3487,"True"))</f>
        <v>31</v>
      </c>
      <c r="F3487" t="str">
        <f t="shared" si="54"/>
        <v>600780.SH</v>
      </c>
    </row>
    <row r="3488" spans="1:6" x14ac:dyDescent="0.15">
      <c r="A3488" s="2">
        <v>46089</v>
      </c>
      <c r="B3488" s="1" t="s">
        <v>6563</v>
      </c>
      <c r="C3488" s="1" t="s">
        <v>6564</v>
      </c>
      <c r="D3488" t="b">
        <f ca="1">IF(A3488="","",[1]!s_techanal_rcnthigh(B3488,$B$2,1,3))</f>
        <v>0</v>
      </c>
      <c r="E3488">
        <f ca="1">IF(A3488="","",COUNTIF(D$6:D3488,"True"))</f>
        <v>31</v>
      </c>
      <c r="F3488" t="str">
        <f t="shared" si="54"/>
        <v>600782.SH</v>
      </c>
    </row>
    <row r="3489" spans="1:6" x14ac:dyDescent="0.15">
      <c r="A3489" s="2">
        <v>46089</v>
      </c>
      <c r="B3489" s="1" t="s">
        <v>6565</v>
      </c>
      <c r="C3489" s="1" t="s">
        <v>6566</v>
      </c>
      <c r="D3489" t="b">
        <f ca="1">IF(A3489="","",[1]!s_techanal_rcnthigh(B3489,$B$2,1,3))</f>
        <v>0</v>
      </c>
      <c r="E3489">
        <f ca="1">IF(A3489="","",COUNTIF(D$6:D3489,"True"))</f>
        <v>31</v>
      </c>
      <c r="F3489" t="str">
        <f t="shared" si="54"/>
        <v>600783.SH</v>
      </c>
    </row>
    <row r="3490" spans="1:6" x14ac:dyDescent="0.15">
      <c r="A3490" s="2">
        <v>46089</v>
      </c>
      <c r="B3490" s="1" t="s">
        <v>6567</v>
      </c>
      <c r="C3490" s="1" t="s">
        <v>6568</v>
      </c>
      <c r="D3490" t="b">
        <f ca="1">IF(A3490="","",[1]!s_techanal_rcnthigh(B3490,$B$2,1,3))</f>
        <v>0</v>
      </c>
      <c r="E3490">
        <f ca="1">IF(A3490="","",COUNTIF(D$6:D3490,"True"))</f>
        <v>31</v>
      </c>
      <c r="F3490" t="str">
        <f t="shared" si="54"/>
        <v>600784.SH</v>
      </c>
    </row>
    <row r="3491" spans="1:6" x14ac:dyDescent="0.15">
      <c r="A3491" s="2">
        <v>46089</v>
      </c>
      <c r="B3491" s="1" t="s">
        <v>6569</v>
      </c>
      <c r="C3491" s="1" t="s">
        <v>6570</v>
      </c>
      <c r="D3491" t="b">
        <f ca="1">IF(A3491="","",[1]!s_techanal_rcnthigh(B3491,$B$2,1,3))</f>
        <v>0</v>
      </c>
      <c r="E3491">
        <f ca="1">IF(A3491="","",COUNTIF(D$6:D3491,"True"))</f>
        <v>31</v>
      </c>
      <c r="F3491" t="str">
        <f t="shared" si="54"/>
        <v>600785.SH</v>
      </c>
    </row>
    <row r="3492" spans="1:6" x14ac:dyDescent="0.15">
      <c r="A3492" s="2">
        <v>46089</v>
      </c>
      <c r="B3492" s="1" t="s">
        <v>6571</v>
      </c>
      <c r="C3492" s="1" t="s">
        <v>6572</v>
      </c>
      <c r="D3492" t="b">
        <f ca="1">IF(A3492="","",[1]!s_techanal_rcnthigh(B3492,$B$2,1,3))</f>
        <v>0</v>
      </c>
      <c r="E3492">
        <f ca="1">IF(A3492="","",COUNTIF(D$6:D3492,"True"))</f>
        <v>31</v>
      </c>
      <c r="F3492" t="str">
        <f t="shared" si="54"/>
        <v>600787.SH</v>
      </c>
    </row>
    <row r="3493" spans="1:6" x14ac:dyDescent="0.15">
      <c r="A3493" s="2">
        <v>46089</v>
      </c>
      <c r="B3493" s="1" t="s">
        <v>6573</v>
      </c>
      <c r="C3493" s="1" t="s">
        <v>6574</v>
      </c>
      <c r="D3493" t="b">
        <f ca="1">IF(A3493="","",[1]!s_techanal_rcnthigh(B3493,$B$2,1,3))</f>
        <v>0</v>
      </c>
      <c r="E3493">
        <f ca="1">IF(A3493="","",COUNTIF(D$6:D3493,"True"))</f>
        <v>31</v>
      </c>
      <c r="F3493" t="str">
        <f t="shared" si="54"/>
        <v>600789.SH</v>
      </c>
    </row>
    <row r="3494" spans="1:6" x14ac:dyDescent="0.15">
      <c r="A3494" s="2">
        <v>46089</v>
      </c>
      <c r="B3494" s="1" t="s">
        <v>6575</v>
      </c>
      <c r="C3494" s="1" t="s">
        <v>6576</v>
      </c>
      <c r="D3494" t="b">
        <f ca="1">IF(A3494="","",[1]!s_techanal_rcnthigh(B3494,$B$2,1,3))</f>
        <v>0</v>
      </c>
      <c r="E3494">
        <f ca="1">IF(A3494="","",COUNTIF(D$6:D3494,"True"))</f>
        <v>31</v>
      </c>
      <c r="F3494" t="str">
        <f t="shared" si="54"/>
        <v>600790.SH</v>
      </c>
    </row>
    <row r="3495" spans="1:6" x14ac:dyDescent="0.15">
      <c r="A3495" s="2">
        <v>46089</v>
      </c>
      <c r="B3495" s="1" t="s">
        <v>6577</v>
      </c>
      <c r="C3495" s="1" t="s">
        <v>6578</v>
      </c>
      <c r="D3495" t="b">
        <f ca="1">IF(A3495="","",[1]!s_techanal_rcnthigh(B3495,$B$2,1,3))</f>
        <v>0</v>
      </c>
      <c r="E3495">
        <f ca="1">IF(A3495="","",COUNTIF(D$6:D3495,"True"))</f>
        <v>31</v>
      </c>
      <c r="F3495" t="str">
        <f t="shared" si="54"/>
        <v>600791.SH</v>
      </c>
    </row>
    <row r="3496" spans="1:6" x14ac:dyDescent="0.15">
      <c r="A3496" s="2">
        <v>46089</v>
      </c>
      <c r="B3496" s="1" t="s">
        <v>6579</v>
      </c>
      <c r="C3496" s="1" t="s">
        <v>6580</v>
      </c>
      <c r="D3496" t="b">
        <f ca="1">IF(A3496="","",[1]!s_techanal_rcnthigh(B3496,$B$2,1,3))</f>
        <v>0</v>
      </c>
      <c r="E3496">
        <f ca="1">IF(A3496="","",COUNTIF(D$6:D3496,"True"))</f>
        <v>31</v>
      </c>
      <c r="F3496" t="str">
        <f t="shared" si="54"/>
        <v>600792.SH</v>
      </c>
    </row>
    <row r="3497" spans="1:6" x14ac:dyDescent="0.15">
      <c r="A3497" s="2">
        <v>46089</v>
      </c>
      <c r="B3497" s="1" t="s">
        <v>6581</v>
      </c>
      <c r="C3497" s="1" t="s">
        <v>6582</v>
      </c>
      <c r="D3497" t="b">
        <f ca="1">IF(A3497="","",[1]!s_techanal_rcnthigh(B3497,$B$2,1,3))</f>
        <v>0</v>
      </c>
      <c r="E3497">
        <f ca="1">IF(A3497="","",COUNTIF(D$6:D3497,"True"))</f>
        <v>31</v>
      </c>
      <c r="F3497" t="str">
        <f t="shared" si="54"/>
        <v>600793.SH</v>
      </c>
    </row>
    <row r="3498" spans="1:6" x14ac:dyDescent="0.15">
      <c r="A3498" s="2">
        <v>46089</v>
      </c>
      <c r="B3498" s="1" t="s">
        <v>6583</v>
      </c>
      <c r="C3498" s="1" t="s">
        <v>6584</v>
      </c>
      <c r="D3498" t="b">
        <f ca="1">IF(A3498="","",[1]!s_techanal_rcnthigh(B3498,$B$2,1,3))</f>
        <v>0</v>
      </c>
      <c r="E3498">
        <f ca="1">IF(A3498="","",COUNTIF(D$6:D3498,"True"))</f>
        <v>31</v>
      </c>
      <c r="F3498" t="str">
        <f t="shared" si="54"/>
        <v>600794.SH</v>
      </c>
    </row>
    <row r="3499" spans="1:6" x14ac:dyDescent="0.15">
      <c r="A3499" s="2">
        <v>46089</v>
      </c>
      <c r="B3499" s="1" t="s">
        <v>6585</v>
      </c>
      <c r="C3499" s="1" t="s">
        <v>6586</v>
      </c>
      <c r="D3499" t="b">
        <f ca="1">IF(A3499="","",[1]!s_techanal_rcnthigh(B3499,$B$2,1,3))</f>
        <v>0</v>
      </c>
      <c r="E3499">
        <f ca="1">IF(A3499="","",COUNTIF(D$6:D3499,"True"))</f>
        <v>31</v>
      </c>
      <c r="F3499" t="str">
        <f t="shared" si="54"/>
        <v>600795.SH</v>
      </c>
    </row>
    <row r="3500" spans="1:6" x14ac:dyDescent="0.15">
      <c r="A3500" s="2">
        <v>46089</v>
      </c>
      <c r="B3500" s="1" t="s">
        <v>6587</v>
      </c>
      <c r="C3500" s="1" t="s">
        <v>6588</v>
      </c>
      <c r="D3500" t="b">
        <f ca="1">IF(A3500="","",[1]!s_techanal_rcnthigh(B3500,$B$2,1,3))</f>
        <v>0</v>
      </c>
      <c r="E3500">
        <f ca="1">IF(A3500="","",COUNTIF(D$6:D3500,"True"))</f>
        <v>31</v>
      </c>
      <c r="F3500" t="str">
        <f t="shared" si="54"/>
        <v>600796.SH</v>
      </c>
    </row>
    <row r="3501" spans="1:6" x14ac:dyDescent="0.15">
      <c r="A3501" s="2">
        <v>46089</v>
      </c>
      <c r="B3501" s="1" t="s">
        <v>6589</v>
      </c>
      <c r="C3501" s="1" t="s">
        <v>6590</v>
      </c>
      <c r="D3501" t="b">
        <f ca="1">IF(A3501="","",[1]!s_techanal_rcnthigh(B3501,$B$2,1,3))</f>
        <v>0</v>
      </c>
      <c r="E3501">
        <f ca="1">IF(A3501="","",COUNTIF(D$6:D3501,"True"))</f>
        <v>31</v>
      </c>
      <c r="F3501" t="str">
        <f t="shared" si="54"/>
        <v>600797.SH</v>
      </c>
    </row>
    <row r="3502" spans="1:6" x14ac:dyDescent="0.15">
      <c r="A3502" s="2">
        <v>46089</v>
      </c>
      <c r="B3502" s="1" t="s">
        <v>6591</v>
      </c>
      <c r="C3502" s="1" t="s">
        <v>6592</v>
      </c>
      <c r="D3502" t="b">
        <f ca="1">IF(A3502="","",[1]!s_techanal_rcnthigh(B3502,$B$2,1,3))</f>
        <v>0</v>
      </c>
      <c r="E3502">
        <f ca="1">IF(A3502="","",COUNTIF(D$6:D3502,"True"))</f>
        <v>31</v>
      </c>
      <c r="F3502" t="str">
        <f t="shared" si="54"/>
        <v>600798.SH</v>
      </c>
    </row>
    <row r="3503" spans="1:6" x14ac:dyDescent="0.15">
      <c r="A3503" s="2">
        <v>46089</v>
      </c>
      <c r="B3503" s="1" t="s">
        <v>6593</v>
      </c>
      <c r="C3503" s="1" t="s">
        <v>6594</v>
      </c>
      <c r="D3503" t="b">
        <f ca="1">IF(A3503="","",[1]!s_techanal_rcnthigh(B3503,$B$2,1,3))</f>
        <v>0</v>
      </c>
      <c r="E3503">
        <f ca="1">IF(A3503="","",COUNTIF(D$6:D3503,"True"))</f>
        <v>31</v>
      </c>
      <c r="F3503" t="str">
        <f t="shared" si="54"/>
        <v>600800.SH</v>
      </c>
    </row>
    <row r="3504" spans="1:6" x14ac:dyDescent="0.15">
      <c r="A3504" s="2">
        <v>46089</v>
      </c>
      <c r="B3504" s="1" t="s">
        <v>6595</v>
      </c>
      <c r="C3504" s="1" t="s">
        <v>10439</v>
      </c>
      <c r="D3504" t="b">
        <f ca="1">IF(A3504="","",[1]!s_techanal_rcnthigh(B3504,$B$2,1,3))</f>
        <v>0</v>
      </c>
      <c r="E3504">
        <f ca="1">IF(A3504="","",COUNTIF(D$6:D3504,"True"))</f>
        <v>31</v>
      </c>
      <c r="F3504" t="str">
        <f t="shared" si="54"/>
        <v>600801.SH</v>
      </c>
    </row>
    <row r="3505" spans="1:6" x14ac:dyDescent="0.15">
      <c r="A3505" s="2">
        <v>46089</v>
      </c>
      <c r="B3505" s="1" t="s">
        <v>6596</v>
      </c>
      <c r="C3505" s="1" t="s">
        <v>6597</v>
      </c>
      <c r="D3505" t="b">
        <f ca="1">IF(A3505="","",[1]!s_techanal_rcnthigh(B3505,$B$2,1,3))</f>
        <v>0</v>
      </c>
      <c r="E3505">
        <f ca="1">IF(A3505="","",COUNTIF(D$6:D3505,"True"))</f>
        <v>31</v>
      </c>
      <c r="F3505" t="str">
        <f t="shared" si="54"/>
        <v>600802.SH</v>
      </c>
    </row>
    <row r="3506" spans="1:6" x14ac:dyDescent="0.15">
      <c r="A3506" s="2">
        <v>46089</v>
      </c>
      <c r="B3506" s="1" t="s">
        <v>6598</v>
      </c>
      <c r="C3506" s="1" t="s">
        <v>6599</v>
      </c>
      <c r="D3506" t="b">
        <f ca="1">IF(A3506="","",[1]!s_techanal_rcnthigh(B3506,$B$2,1,3))</f>
        <v>0</v>
      </c>
      <c r="E3506">
        <f ca="1">IF(A3506="","",COUNTIF(D$6:D3506,"True"))</f>
        <v>31</v>
      </c>
      <c r="F3506" t="str">
        <f t="shared" si="54"/>
        <v>600803.SH</v>
      </c>
    </row>
    <row r="3507" spans="1:6" x14ac:dyDescent="0.15">
      <c r="A3507" s="2">
        <v>46089</v>
      </c>
      <c r="B3507" s="1" t="s">
        <v>6600</v>
      </c>
      <c r="C3507" s="1" t="s">
        <v>6601</v>
      </c>
      <c r="D3507" t="b">
        <f ca="1">IF(A3507="","",[1]!s_techanal_rcnthigh(B3507,$B$2,1,3))</f>
        <v>0</v>
      </c>
      <c r="E3507">
        <f ca="1">IF(A3507="","",COUNTIF(D$6:D3507,"True"))</f>
        <v>31</v>
      </c>
      <c r="F3507" t="str">
        <f t="shared" si="54"/>
        <v>600805.SH</v>
      </c>
    </row>
    <row r="3508" spans="1:6" x14ac:dyDescent="0.15">
      <c r="A3508" s="2">
        <v>46089</v>
      </c>
      <c r="B3508" s="1" t="s">
        <v>6602</v>
      </c>
      <c r="C3508" s="1" t="s">
        <v>10440</v>
      </c>
      <c r="D3508" t="b">
        <f ca="1">IF(A3508="","",[1]!s_techanal_rcnthigh(B3508,$B$2,1,3))</f>
        <v>0</v>
      </c>
      <c r="E3508">
        <f ca="1">IF(A3508="","",COUNTIF(D$6:D3508,"True"))</f>
        <v>31</v>
      </c>
      <c r="F3508" t="str">
        <f t="shared" si="54"/>
        <v>600807.SH</v>
      </c>
    </row>
    <row r="3509" spans="1:6" x14ac:dyDescent="0.15">
      <c r="A3509" s="2">
        <v>46089</v>
      </c>
      <c r="B3509" s="1" t="s">
        <v>6603</v>
      </c>
      <c r="C3509" s="1" t="s">
        <v>6604</v>
      </c>
      <c r="D3509" t="b">
        <f ca="1">IF(A3509="","",[1]!s_techanal_rcnthigh(B3509,$B$2,1,3))</f>
        <v>0</v>
      </c>
      <c r="E3509">
        <f ca="1">IF(A3509="","",COUNTIF(D$6:D3509,"True"))</f>
        <v>31</v>
      </c>
      <c r="F3509" t="str">
        <f t="shared" si="54"/>
        <v>600808.SH</v>
      </c>
    </row>
    <row r="3510" spans="1:6" x14ac:dyDescent="0.15">
      <c r="A3510" s="2">
        <v>46089</v>
      </c>
      <c r="B3510" s="1" t="s">
        <v>6605</v>
      </c>
      <c r="C3510" s="1" t="s">
        <v>6606</v>
      </c>
      <c r="D3510" t="b">
        <f ca="1">IF(A3510="","",[1]!s_techanal_rcnthigh(B3510,$B$2,1,3))</f>
        <v>0</v>
      </c>
      <c r="E3510">
        <f ca="1">IF(A3510="","",COUNTIF(D$6:D3510,"True"))</f>
        <v>31</v>
      </c>
      <c r="F3510" t="str">
        <f t="shared" si="54"/>
        <v>600809.SH</v>
      </c>
    </row>
    <row r="3511" spans="1:6" x14ac:dyDescent="0.15">
      <c r="A3511" s="2">
        <v>46089</v>
      </c>
      <c r="B3511" s="1" t="s">
        <v>6607</v>
      </c>
      <c r="C3511" s="1" t="s">
        <v>6608</v>
      </c>
      <c r="D3511" t="b">
        <f ca="1">IF(A3511="","",[1]!s_techanal_rcnthigh(B3511,$B$2,1,3))</f>
        <v>0</v>
      </c>
      <c r="E3511">
        <f ca="1">IF(A3511="","",COUNTIF(D$6:D3511,"True"))</f>
        <v>31</v>
      </c>
      <c r="F3511" t="str">
        <f t="shared" si="54"/>
        <v>600810.SH</v>
      </c>
    </row>
    <row r="3512" spans="1:6" x14ac:dyDescent="0.15">
      <c r="A3512" s="2">
        <v>46089</v>
      </c>
      <c r="B3512" s="1" t="s">
        <v>6609</v>
      </c>
      <c r="C3512" s="1" t="s">
        <v>6610</v>
      </c>
      <c r="D3512" t="b">
        <f ca="1">IF(A3512="","",[1]!s_techanal_rcnthigh(B3512,$B$2,1,3))</f>
        <v>0</v>
      </c>
      <c r="E3512">
        <f ca="1">IF(A3512="","",COUNTIF(D$6:D3512,"True"))</f>
        <v>31</v>
      </c>
      <c r="F3512" t="str">
        <f t="shared" si="54"/>
        <v>600812.SH</v>
      </c>
    </row>
    <row r="3513" spans="1:6" x14ac:dyDescent="0.15">
      <c r="A3513" s="2">
        <v>46089</v>
      </c>
      <c r="B3513" s="1" t="s">
        <v>6611</v>
      </c>
      <c r="C3513" s="1" t="s">
        <v>6612</v>
      </c>
      <c r="D3513" t="b">
        <f ca="1">IF(A3513="","",[1]!s_techanal_rcnthigh(B3513,$B$2,1,3))</f>
        <v>0</v>
      </c>
      <c r="E3513">
        <f ca="1">IF(A3513="","",COUNTIF(D$6:D3513,"True"))</f>
        <v>31</v>
      </c>
      <c r="F3513" t="str">
        <f t="shared" si="54"/>
        <v>600814.SH</v>
      </c>
    </row>
    <row r="3514" spans="1:6" x14ac:dyDescent="0.15">
      <c r="A3514" s="2">
        <v>46089</v>
      </c>
      <c r="B3514" s="1" t="s">
        <v>6613</v>
      </c>
      <c r="C3514" s="1" t="s">
        <v>6614</v>
      </c>
      <c r="D3514" t="b">
        <f ca="1">IF(A3514="","",[1]!s_techanal_rcnthigh(B3514,$B$2,1,3))</f>
        <v>0</v>
      </c>
      <c r="E3514">
        <f ca="1">IF(A3514="","",COUNTIF(D$6:D3514,"True"))</f>
        <v>31</v>
      </c>
      <c r="F3514" t="str">
        <f t="shared" si="54"/>
        <v>600815.SH</v>
      </c>
    </row>
    <row r="3515" spans="1:6" x14ac:dyDescent="0.15">
      <c r="A3515" s="2">
        <v>46089</v>
      </c>
      <c r="B3515" s="1" t="s">
        <v>6615</v>
      </c>
      <c r="C3515" s="1" t="s">
        <v>6616</v>
      </c>
      <c r="D3515" t="b">
        <f ca="1">IF(A3515="","",[1]!s_techanal_rcnthigh(B3515,$B$2,1,3))</f>
        <v>0</v>
      </c>
      <c r="E3515">
        <f ca="1">IF(A3515="","",COUNTIF(D$6:D3515,"True"))</f>
        <v>31</v>
      </c>
      <c r="F3515" t="str">
        <f t="shared" si="54"/>
        <v>600816.SH</v>
      </c>
    </row>
    <row r="3516" spans="1:6" x14ac:dyDescent="0.15">
      <c r="A3516" s="2">
        <v>46089</v>
      </c>
      <c r="B3516" s="1" t="s">
        <v>6617</v>
      </c>
      <c r="C3516" s="1" t="s">
        <v>6618</v>
      </c>
      <c r="D3516" t="b">
        <f ca="1">IF(A3516="","",[1]!s_techanal_rcnthigh(B3516,$B$2,1,3))</f>
        <v>0</v>
      </c>
      <c r="E3516">
        <f ca="1">IF(A3516="","",COUNTIF(D$6:D3516,"True"))</f>
        <v>31</v>
      </c>
      <c r="F3516" t="str">
        <f t="shared" si="54"/>
        <v>600817.SH</v>
      </c>
    </row>
    <row r="3517" spans="1:6" x14ac:dyDescent="0.15">
      <c r="A3517" s="2">
        <v>46089</v>
      </c>
      <c r="B3517" s="1" t="s">
        <v>6619</v>
      </c>
      <c r="C3517" s="1" t="s">
        <v>6620</v>
      </c>
      <c r="D3517" t="b">
        <f ca="1">IF(A3517="","",[1]!s_techanal_rcnthigh(B3517,$B$2,1,3))</f>
        <v>0</v>
      </c>
      <c r="E3517">
        <f ca="1">IF(A3517="","",COUNTIF(D$6:D3517,"True"))</f>
        <v>31</v>
      </c>
      <c r="F3517" t="str">
        <f t="shared" si="54"/>
        <v>600818.SH</v>
      </c>
    </row>
    <row r="3518" spans="1:6" x14ac:dyDescent="0.15">
      <c r="A3518" s="2">
        <v>46089</v>
      </c>
      <c r="B3518" s="1" t="s">
        <v>6621</v>
      </c>
      <c r="C3518" s="1" t="s">
        <v>6622</v>
      </c>
      <c r="D3518" t="b">
        <f ca="1">IF(A3518="","",[1]!s_techanal_rcnthigh(B3518,$B$2,1,3))</f>
        <v>0</v>
      </c>
      <c r="E3518">
        <f ca="1">IF(A3518="","",COUNTIF(D$6:D3518,"True"))</f>
        <v>31</v>
      </c>
      <c r="F3518" t="str">
        <f t="shared" si="54"/>
        <v>600819.SH</v>
      </c>
    </row>
    <row r="3519" spans="1:6" x14ac:dyDescent="0.15">
      <c r="A3519" s="2">
        <v>46089</v>
      </c>
      <c r="B3519" s="1" t="s">
        <v>6623</v>
      </c>
      <c r="C3519" s="1" t="s">
        <v>6624</v>
      </c>
      <c r="D3519" t="b">
        <f ca="1">IF(A3519="","",[1]!s_techanal_rcnthigh(B3519,$B$2,1,3))</f>
        <v>0</v>
      </c>
      <c r="E3519">
        <f ca="1">IF(A3519="","",COUNTIF(D$6:D3519,"True"))</f>
        <v>31</v>
      </c>
      <c r="F3519" t="str">
        <f t="shared" si="54"/>
        <v>600820.SH</v>
      </c>
    </row>
    <row r="3520" spans="1:6" x14ac:dyDescent="0.15">
      <c r="A3520" s="2">
        <v>46089</v>
      </c>
      <c r="B3520" s="1" t="s">
        <v>6625</v>
      </c>
      <c r="C3520" s="1" t="s">
        <v>6626</v>
      </c>
      <c r="D3520" t="b">
        <f ca="1">IF(A3520="","",[1]!s_techanal_rcnthigh(B3520,$B$2,1,3))</f>
        <v>0</v>
      </c>
      <c r="E3520">
        <f ca="1">IF(A3520="","",COUNTIF(D$6:D3520,"True"))</f>
        <v>31</v>
      </c>
      <c r="F3520" t="str">
        <f t="shared" si="54"/>
        <v>600821.SH</v>
      </c>
    </row>
    <row r="3521" spans="1:6" x14ac:dyDescent="0.15">
      <c r="A3521" s="2">
        <v>46089</v>
      </c>
      <c r="B3521" s="1" t="s">
        <v>6627</v>
      </c>
      <c r="C3521" s="1" t="s">
        <v>6628</v>
      </c>
      <c r="D3521" t="b">
        <f ca="1">IF(A3521="","",[1]!s_techanal_rcnthigh(B3521,$B$2,1,3))</f>
        <v>0</v>
      </c>
      <c r="E3521">
        <f ca="1">IF(A3521="","",COUNTIF(D$6:D3521,"True"))</f>
        <v>31</v>
      </c>
      <c r="F3521" t="str">
        <f t="shared" si="54"/>
        <v>600822.SH</v>
      </c>
    </row>
    <row r="3522" spans="1:6" x14ac:dyDescent="0.15">
      <c r="A3522" s="2">
        <v>46089</v>
      </c>
      <c r="B3522" s="1" t="s">
        <v>6629</v>
      </c>
      <c r="C3522" s="1" t="s">
        <v>6630</v>
      </c>
      <c r="D3522" t="b">
        <f ca="1">IF(A3522="","",[1]!s_techanal_rcnthigh(B3522,$B$2,1,3))</f>
        <v>0</v>
      </c>
      <c r="E3522">
        <f ca="1">IF(A3522="","",COUNTIF(D$6:D3522,"True"))</f>
        <v>31</v>
      </c>
      <c r="F3522" t="str">
        <f t="shared" si="54"/>
        <v>600824.SH</v>
      </c>
    </row>
    <row r="3523" spans="1:6" x14ac:dyDescent="0.15">
      <c r="A3523" s="2">
        <v>46089</v>
      </c>
      <c r="B3523" s="1" t="s">
        <v>6631</v>
      </c>
      <c r="C3523" s="1" t="s">
        <v>6632</v>
      </c>
      <c r="D3523" t="b">
        <f ca="1">IF(A3523="","",[1]!s_techanal_rcnthigh(B3523,$B$2,1,3))</f>
        <v>0</v>
      </c>
      <c r="E3523">
        <f ca="1">IF(A3523="","",COUNTIF(D$6:D3523,"True"))</f>
        <v>31</v>
      </c>
      <c r="F3523" t="str">
        <f t="shared" si="54"/>
        <v>600825.SH</v>
      </c>
    </row>
    <row r="3524" spans="1:6" x14ac:dyDescent="0.15">
      <c r="A3524" s="2">
        <v>46089</v>
      </c>
      <c r="B3524" s="1" t="s">
        <v>6633</v>
      </c>
      <c r="C3524" s="1" t="s">
        <v>6634</v>
      </c>
      <c r="D3524" t="b">
        <f ca="1">IF(A3524="","",[1]!s_techanal_rcnthigh(B3524,$B$2,1,3))</f>
        <v>0</v>
      </c>
      <c r="E3524">
        <f ca="1">IF(A3524="","",COUNTIF(D$6:D3524,"True"))</f>
        <v>31</v>
      </c>
      <c r="F3524" t="str">
        <f t="shared" si="54"/>
        <v>600826.SH</v>
      </c>
    </row>
    <row r="3525" spans="1:6" x14ac:dyDescent="0.15">
      <c r="A3525" s="2">
        <v>46089</v>
      </c>
      <c r="B3525" s="1" t="s">
        <v>6635</v>
      </c>
      <c r="C3525" s="1" t="s">
        <v>6636</v>
      </c>
      <c r="D3525" t="b">
        <f ca="1">IF(A3525="","",[1]!s_techanal_rcnthigh(B3525,$B$2,1,3))</f>
        <v>0</v>
      </c>
      <c r="E3525">
        <f ca="1">IF(A3525="","",COUNTIF(D$6:D3525,"True"))</f>
        <v>31</v>
      </c>
      <c r="F3525" t="str">
        <f t="shared" si="54"/>
        <v>600827.SH</v>
      </c>
    </row>
    <row r="3526" spans="1:6" x14ac:dyDescent="0.15">
      <c r="A3526" s="2">
        <v>46089</v>
      </c>
      <c r="B3526" s="1" t="s">
        <v>6637</v>
      </c>
      <c r="C3526" s="1" t="s">
        <v>6638</v>
      </c>
      <c r="D3526" t="b">
        <f ca="1">IF(A3526="","",[1]!s_techanal_rcnthigh(B3526,$B$2,1,3))</f>
        <v>0</v>
      </c>
      <c r="E3526">
        <f ca="1">IF(A3526="","",COUNTIF(D$6:D3526,"True"))</f>
        <v>31</v>
      </c>
      <c r="F3526" t="str">
        <f t="shared" ref="F3526:F3589" si="55">IF(B3526="","",B3526)</f>
        <v>600828.SH</v>
      </c>
    </row>
    <row r="3527" spans="1:6" x14ac:dyDescent="0.15">
      <c r="A3527" s="2">
        <v>46089</v>
      </c>
      <c r="B3527" s="1" t="s">
        <v>6639</v>
      </c>
      <c r="C3527" s="1" t="s">
        <v>6640</v>
      </c>
      <c r="D3527" t="b">
        <f ca="1">IF(A3527="","",[1]!s_techanal_rcnthigh(B3527,$B$2,1,3))</f>
        <v>0</v>
      </c>
      <c r="E3527">
        <f ca="1">IF(A3527="","",COUNTIF(D$6:D3527,"True"))</f>
        <v>31</v>
      </c>
      <c r="F3527" t="str">
        <f t="shared" si="55"/>
        <v>600829.SH</v>
      </c>
    </row>
    <row r="3528" spans="1:6" x14ac:dyDescent="0.15">
      <c r="A3528" s="2">
        <v>46089</v>
      </c>
      <c r="B3528" s="1" t="s">
        <v>6641</v>
      </c>
      <c r="C3528" s="1" t="s">
        <v>6642</v>
      </c>
      <c r="D3528" t="b">
        <f ca="1">IF(A3528="","",[1]!s_techanal_rcnthigh(B3528,$B$2,1,3))</f>
        <v>0</v>
      </c>
      <c r="E3528">
        <f ca="1">IF(A3528="","",COUNTIF(D$6:D3528,"True"))</f>
        <v>31</v>
      </c>
      <c r="F3528" t="str">
        <f t="shared" si="55"/>
        <v>600830.SH</v>
      </c>
    </row>
    <row r="3529" spans="1:6" x14ac:dyDescent="0.15">
      <c r="A3529" s="2">
        <v>46089</v>
      </c>
      <c r="B3529" s="1" t="s">
        <v>6643</v>
      </c>
      <c r="C3529" s="1" t="s">
        <v>6644</v>
      </c>
      <c r="D3529" t="b">
        <f ca="1">IF(A3529="","",[1]!s_techanal_rcnthigh(B3529,$B$2,1,3))</f>
        <v>0</v>
      </c>
      <c r="E3529">
        <f ca="1">IF(A3529="","",COUNTIF(D$6:D3529,"True"))</f>
        <v>31</v>
      </c>
      <c r="F3529" t="str">
        <f t="shared" si="55"/>
        <v>600831.SH</v>
      </c>
    </row>
    <row r="3530" spans="1:6" x14ac:dyDescent="0.15">
      <c r="A3530" s="2">
        <v>46089</v>
      </c>
      <c r="B3530" s="1" t="s">
        <v>6645</v>
      </c>
      <c r="C3530" s="1" t="s">
        <v>6646</v>
      </c>
      <c r="D3530" t="b">
        <f ca="1">IF(A3530="","",[1]!s_techanal_rcnthigh(B3530,$B$2,1,3))</f>
        <v>0</v>
      </c>
      <c r="E3530">
        <f ca="1">IF(A3530="","",COUNTIF(D$6:D3530,"True"))</f>
        <v>31</v>
      </c>
      <c r="F3530" t="str">
        <f t="shared" si="55"/>
        <v>600833.SH</v>
      </c>
    </row>
    <row r="3531" spans="1:6" x14ac:dyDescent="0.15">
      <c r="A3531" s="2">
        <v>46089</v>
      </c>
      <c r="B3531" s="1" t="s">
        <v>6647</v>
      </c>
      <c r="C3531" s="1" t="s">
        <v>6648</v>
      </c>
      <c r="D3531" t="b">
        <f ca="1">IF(A3531="","",[1]!s_techanal_rcnthigh(B3531,$B$2,1,3))</f>
        <v>0</v>
      </c>
      <c r="E3531">
        <f ca="1">IF(A3531="","",COUNTIF(D$6:D3531,"True"))</f>
        <v>31</v>
      </c>
      <c r="F3531" t="str">
        <f t="shared" si="55"/>
        <v>600834.SH</v>
      </c>
    </row>
    <row r="3532" spans="1:6" x14ac:dyDescent="0.15">
      <c r="A3532" s="2">
        <v>46089</v>
      </c>
      <c r="B3532" s="1" t="s">
        <v>6649</v>
      </c>
      <c r="C3532" s="1" t="s">
        <v>6650</v>
      </c>
      <c r="D3532" t="b">
        <f ca="1">IF(A3532="","",[1]!s_techanal_rcnthigh(B3532,$B$2,1,3))</f>
        <v>0</v>
      </c>
      <c r="E3532">
        <f ca="1">IF(A3532="","",COUNTIF(D$6:D3532,"True"))</f>
        <v>31</v>
      </c>
      <c r="F3532" t="str">
        <f t="shared" si="55"/>
        <v>600835.SH</v>
      </c>
    </row>
    <row r="3533" spans="1:6" x14ac:dyDescent="0.15">
      <c r="A3533" s="2">
        <v>46089</v>
      </c>
      <c r="B3533" s="1" t="s">
        <v>6651</v>
      </c>
      <c r="C3533" s="1" t="s">
        <v>6652</v>
      </c>
      <c r="D3533" t="b">
        <f ca="1">IF(A3533="","",[1]!s_techanal_rcnthigh(B3533,$B$2,1,3))</f>
        <v>0</v>
      </c>
      <c r="E3533">
        <f ca="1">IF(A3533="","",COUNTIF(D$6:D3533,"True"))</f>
        <v>31</v>
      </c>
      <c r="F3533" t="str">
        <f t="shared" si="55"/>
        <v>600838.SH</v>
      </c>
    </row>
    <row r="3534" spans="1:6" x14ac:dyDescent="0.15">
      <c r="A3534" s="2">
        <v>46089</v>
      </c>
      <c r="B3534" s="1" t="s">
        <v>6653</v>
      </c>
      <c r="C3534" s="1" t="s">
        <v>6654</v>
      </c>
      <c r="D3534" t="b">
        <f ca="1">IF(A3534="","",[1]!s_techanal_rcnthigh(B3534,$B$2,1,3))</f>
        <v>0</v>
      </c>
      <c r="E3534">
        <f ca="1">IF(A3534="","",COUNTIF(D$6:D3534,"True"))</f>
        <v>31</v>
      </c>
      <c r="F3534" t="str">
        <f t="shared" si="55"/>
        <v>600839.SH</v>
      </c>
    </row>
    <row r="3535" spans="1:6" x14ac:dyDescent="0.15">
      <c r="A3535" s="2">
        <v>46089</v>
      </c>
      <c r="B3535" s="1" t="s">
        <v>6655</v>
      </c>
      <c r="C3535" s="1" t="s">
        <v>6656</v>
      </c>
      <c r="D3535" t="b">
        <f ca="1">IF(A3535="","",[1]!s_techanal_rcnthigh(B3535,$B$2,1,3))</f>
        <v>0</v>
      </c>
      <c r="E3535">
        <f ca="1">IF(A3535="","",COUNTIF(D$6:D3535,"True"))</f>
        <v>31</v>
      </c>
      <c r="F3535" t="str">
        <f t="shared" si="55"/>
        <v>600841.SH</v>
      </c>
    </row>
    <row r="3536" spans="1:6" x14ac:dyDescent="0.15">
      <c r="A3536" s="2">
        <v>46089</v>
      </c>
      <c r="B3536" s="1" t="s">
        <v>6657</v>
      </c>
      <c r="C3536" s="1" t="s">
        <v>6658</v>
      </c>
      <c r="D3536" t="b">
        <f ca="1">IF(A3536="","",[1]!s_techanal_rcnthigh(B3536,$B$2,1,3))</f>
        <v>0</v>
      </c>
      <c r="E3536">
        <f ca="1">IF(A3536="","",COUNTIF(D$6:D3536,"True"))</f>
        <v>31</v>
      </c>
      <c r="F3536" t="str">
        <f t="shared" si="55"/>
        <v>600843.SH</v>
      </c>
    </row>
    <row r="3537" spans="1:6" x14ac:dyDescent="0.15">
      <c r="A3537" s="2">
        <v>46089</v>
      </c>
      <c r="B3537" s="1" t="s">
        <v>6659</v>
      </c>
      <c r="C3537" s="1" t="s">
        <v>10441</v>
      </c>
      <c r="D3537" t="b">
        <f ca="1">IF(A3537="","",[1]!s_techanal_rcnthigh(B3537,$B$2,1,3))</f>
        <v>0</v>
      </c>
      <c r="E3537">
        <f ca="1">IF(A3537="","",COUNTIF(D$6:D3537,"True"))</f>
        <v>31</v>
      </c>
      <c r="F3537" t="str">
        <f t="shared" si="55"/>
        <v>600844.SH</v>
      </c>
    </row>
    <row r="3538" spans="1:6" x14ac:dyDescent="0.15">
      <c r="A3538" s="2">
        <v>46089</v>
      </c>
      <c r="B3538" s="1" t="s">
        <v>6660</v>
      </c>
      <c r="C3538" s="1" t="s">
        <v>6661</v>
      </c>
      <c r="D3538" t="b">
        <f ca="1">IF(A3538="","",[1]!s_techanal_rcnthigh(B3538,$B$2,1,3))</f>
        <v>0</v>
      </c>
      <c r="E3538">
        <f ca="1">IF(A3538="","",COUNTIF(D$6:D3538,"True"))</f>
        <v>31</v>
      </c>
      <c r="F3538" t="str">
        <f t="shared" si="55"/>
        <v>600845.SH</v>
      </c>
    </row>
    <row r="3539" spans="1:6" x14ac:dyDescent="0.15">
      <c r="A3539" s="2">
        <v>46089</v>
      </c>
      <c r="B3539" s="1" t="s">
        <v>6662</v>
      </c>
      <c r="C3539" s="1" t="s">
        <v>6663</v>
      </c>
      <c r="D3539" t="b">
        <f ca="1">IF(A3539="","",[1]!s_techanal_rcnthigh(B3539,$B$2,1,3))</f>
        <v>0</v>
      </c>
      <c r="E3539">
        <f ca="1">IF(A3539="","",COUNTIF(D$6:D3539,"True"))</f>
        <v>31</v>
      </c>
      <c r="F3539" t="str">
        <f t="shared" si="55"/>
        <v>600846.SH</v>
      </c>
    </row>
    <row r="3540" spans="1:6" x14ac:dyDescent="0.15">
      <c r="A3540" s="2">
        <v>46089</v>
      </c>
      <c r="B3540" s="1" t="s">
        <v>6664</v>
      </c>
      <c r="C3540" s="1" t="s">
        <v>6665</v>
      </c>
      <c r="D3540" t="b">
        <f ca="1">IF(A3540="","",[1]!s_techanal_rcnthigh(B3540,$B$2,1,3))</f>
        <v>0</v>
      </c>
      <c r="E3540">
        <f ca="1">IF(A3540="","",COUNTIF(D$6:D3540,"True"))</f>
        <v>31</v>
      </c>
      <c r="F3540" t="str">
        <f t="shared" si="55"/>
        <v>600847.SH</v>
      </c>
    </row>
    <row r="3541" spans="1:6" x14ac:dyDescent="0.15">
      <c r="A3541" s="2">
        <v>46089</v>
      </c>
      <c r="B3541" s="1" t="s">
        <v>6666</v>
      </c>
      <c r="C3541" s="1" t="s">
        <v>6667</v>
      </c>
      <c r="D3541" t="b">
        <f ca="1">IF(A3541="","",[1]!s_techanal_rcnthigh(B3541,$B$2,1,3))</f>
        <v>0</v>
      </c>
      <c r="E3541">
        <f ca="1">IF(A3541="","",COUNTIF(D$6:D3541,"True"))</f>
        <v>31</v>
      </c>
      <c r="F3541" t="str">
        <f t="shared" si="55"/>
        <v>600848.SH</v>
      </c>
    </row>
    <row r="3542" spans="1:6" x14ac:dyDescent="0.15">
      <c r="A3542" s="2">
        <v>46089</v>
      </c>
      <c r="B3542" s="1" t="s">
        <v>6668</v>
      </c>
      <c r="C3542" s="1" t="s">
        <v>6669</v>
      </c>
      <c r="D3542" t="b">
        <f ca="1">IF(A3542="","",[1]!s_techanal_rcnthigh(B3542,$B$2,1,3))</f>
        <v>0</v>
      </c>
      <c r="E3542">
        <f ca="1">IF(A3542="","",COUNTIF(D$6:D3542,"True"))</f>
        <v>31</v>
      </c>
      <c r="F3542" t="str">
        <f t="shared" si="55"/>
        <v>600850.SH</v>
      </c>
    </row>
    <row r="3543" spans="1:6" x14ac:dyDescent="0.15">
      <c r="A3543" s="2">
        <v>46089</v>
      </c>
      <c r="B3543" s="1" t="s">
        <v>6670</v>
      </c>
      <c r="C3543" s="1" t="s">
        <v>6671</v>
      </c>
      <c r="D3543" t="b">
        <f ca="1">IF(A3543="","",[1]!s_techanal_rcnthigh(B3543,$B$2,1,3))</f>
        <v>0</v>
      </c>
      <c r="E3543">
        <f ca="1">IF(A3543="","",COUNTIF(D$6:D3543,"True"))</f>
        <v>31</v>
      </c>
      <c r="F3543" t="str">
        <f t="shared" si="55"/>
        <v>600851.SH</v>
      </c>
    </row>
    <row r="3544" spans="1:6" x14ac:dyDescent="0.15">
      <c r="A3544" s="2">
        <v>46089</v>
      </c>
      <c r="B3544" s="1" t="s">
        <v>6672</v>
      </c>
      <c r="C3544" s="1" t="s">
        <v>6673</v>
      </c>
      <c r="D3544" t="b">
        <f ca="1">IF(A3544="","",[1]!s_techanal_rcnthigh(B3544,$B$2,1,3))</f>
        <v>0</v>
      </c>
      <c r="E3544">
        <f ca="1">IF(A3544="","",COUNTIF(D$6:D3544,"True"))</f>
        <v>31</v>
      </c>
      <c r="F3544" t="str">
        <f t="shared" si="55"/>
        <v>600853.SH</v>
      </c>
    </row>
    <row r="3545" spans="1:6" x14ac:dyDescent="0.15">
      <c r="A3545" s="2">
        <v>46089</v>
      </c>
      <c r="B3545" s="1" t="s">
        <v>6674</v>
      </c>
      <c r="C3545" s="1" t="s">
        <v>6675</v>
      </c>
      <c r="D3545" t="b">
        <f ca="1">IF(A3545="","",[1]!s_techanal_rcnthigh(B3545,$B$2,1,3))</f>
        <v>0</v>
      </c>
      <c r="E3545">
        <f ca="1">IF(A3545="","",COUNTIF(D$6:D3545,"True"))</f>
        <v>31</v>
      </c>
      <c r="F3545" t="str">
        <f t="shared" si="55"/>
        <v>600854.SH</v>
      </c>
    </row>
    <row r="3546" spans="1:6" x14ac:dyDescent="0.15">
      <c r="A3546" s="2">
        <v>46089</v>
      </c>
      <c r="B3546" s="1" t="s">
        <v>6676</v>
      </c>
      <c r="C3546" s="1" t="s">
        <v>6677</v>
      </c>
      <c r="D3546" t="b">
        <f ca="1">IF(A3546="","",[1]!s_techanal_rcnthigh(B3546,$B$2,1,3))</f>
        <v>0</v>
      </c>
      <c r="E3546">
        <f ca="1">IF(A3546="","",COUNTIF(D$6:D3546,"True"))</f>
        <v>31</v>
      </c>
      <c r="F3546" t="str">
        <f t="shared" si="55"/>
        <v>600855.SH</v>
      </c>
    </row>
    <row r="3547" spans="1:6" x14ac:dyDescent="0.15">
      <c r="A3547" s="2">
        <v>46089</v>
      </c>
      <c r="B3547" s="1" t="s">
        <v>6678</v>
      </c>
      <c r="C3547" s="1" t="s">
        <v>6679</v>
      </c>
      <c r="D3547" t="b">
        <f ca="1">IF(A3547="","",[1]!s_techanal_rcnthigh(B3547,$B$2,1,3))</f>
        <v>0</v>
      </c>
      <c r="E3547">
        <f ca="1">IF(A3547="","",COUNTIF(D$6:D3547,"True"))</f>
        <v>31</v>
      </c>
      <c r="F3547" t="str">
        <f t="shared" si="55"/>
        <v>600857.SH</v>
      </c>
    </row>
    <row r="3548" spans="1:6" x14ac:dyDescent="0.15">
      <c r="A3548" s="2">
        <v>46089</v>
      </c>
      <c r="B3548" s="1" t="s">
        <v>6680</v>
      </c>
      <c r="C3548" s="1" t="s">
        <v>6681</v>
      </c>
      <c r="D3548" t="b">
        <f ca="1">IF(A3548="","",[1]!s_techanal_rcnthigh(B3548,$B$2,1,3))</f>
        <v>0</v>
      </c>
      <c r="E3548">
        <f ca="1">IF(A3548="","",COUNTIF(D$6:D3548,"True"))</f>
        <v>31</v>
      </c>
      <c r="F3548" t="str">
        <f t="shared" si="55"/>
        <v>600858.SH</v>
      </c>
    </row>
    <row r="3549" spans="1:6" x14ac:dyDescent="0.15">
      <c r="A3549" s="2">
        <v>46089</v>
      </c>
      <c r="B3549" s="1" t="s">
        <v>6682</v>
      </c>
      <c r="C3549" s="1" t="s">
        <v>6683</v>
      </c>
      <c r="D3549" t="b">
        <f ca="1">IF(A3549="","",[1]!s_techanal_rcnthigh(B3549,$B$2,1,3))</f>
        <v>0</v>
      </c>
      <c r="E3549">
        <f ca="1">IF(A3549="","",COUNTIF(D$6:D3549,"True"))</f>
        <v>31</v>
      </c>
      <c r="F3549" t="str">
        <f t="shared" si="55"/>
        <v>600859.SH</v>
      </c>
    </row>
    <row r="3550" spans="1:6" x14ac:dyDescent="0.15">
      <c r="A3550" s="2">
        <v>46089</v>
      </c>
      <c r="B3550" s="1" t="s">
        <v>6684</v>
      </c>
      <c r="C3550" s="1" t="s">
        <v>6685</v>
      </c>
      <c r="D3550" t="b">
        <f ca="1">IF(A3550="","",[1]!s_techanal_rcnthigh(B3550,$B$2,1,3))</f>
        <v>0</v>
      </c>
      <c r="E3550">
        <f ca="1">IF(A3550="","",COUNTIF(D$6:D3550,"True"))</f>
        <v>31</v>
      </c>
      <c r="F3550" t="str">
        <f t="shared" si="55"/>
        <v>600860.SH</v>
      </c>
    </row>
    <row r="3551" spans="1:6" x14ac:dyDescent="0.15">
      <c r="A3551" s="2">
        <v>46089</v>
      </c>
      <c r="B3551" s="1" t="s">
        <v>6686</v>
      </c>
      <c r="C3551" s="1" t="s">
        <v>6687</v>
      </c>
      <c r="D3551" t="b">
        <f ca="1">IF(A3551="","",[1]!s_techanal_rcnthigh(B3551,$B$2,1,3))</f>
        <v>0</v>
      </c>
      <c r="E3551">
        <f ca="1">IF(A3551="","",COUNTIF(D$6:D3551,"True"))</f>
        <v>31</v>
      </c>
      <c r="F3551" t="str">
        <f t="shared" si="55"/>
        <v>600861.SH</v>
      </c>
    </row>
    <row r="3552" spans="1:6" x14ac:dyDescent="0.15">
      <c r="A3552" s="2">
        <v>46089</v>
      </c>
      <c r="B3552" s="1" t="s">
        <v>6688</v>
      </c>
      <c r="C3552" s="1" t="s">
        <v>6689</v>
      </c>
      <c r="D3552" t="b">
        <f ca="1">IF(A3552="","",[1]!s_techanal_rcnthigh(B3552,$B$2,1,3))</f>
        <v>0</v>
      </c>
      <c r="E3552">
        <f ca="1">IF(A3552="","",COUNTIF(D$6:D3552,"True"))</f>
        <v>31</v>
      </c>
      <c r="F3552" t="str">
        <f t="shared" si="55"/>
        <v>600862.SH</v>
      </c>
    </row>
    <row r="3553" spans="1:6" x14ac:dyDescent="0.15">
      <c r="A3553" s="2">
        <v>46089</v>
      </c>
      <c r="B3553" s="1" t="s">
        <v>6690</v>
      </c>
      <c r="C3553" s="1" t="s">
        <v>10442</v>
      </c>
      <c r="D3553" t="b">
        <f ca="1">IF(A3553="","",[1]!s_techanal_rcnthigh(B3553,$B$2,1,3))</f>
        <v>0</v>
      </c>
      <c r="E3553">
        <f ca="1">IF(A3553="","",COUNTIF(D$6:D3553,"True"))</f>
        <v>31</v>
      </c>
      <c r="F3553" t="str">
        <f t="shared" si="55"/>
        <v>600863.SH</v>
      </c>
    </row>
    <row r="3554" spans="1:6" x14ac:dyDescent="0.15">
      <c r="A3554" s="2">
        <v>46089</v>
      </c>
      <c r="B3554" s="1" t="s">
        <v>6691</v>
      </c>
      <c r="C3554" s="1" t="s">
        <v>6692</v>
      </c>
      <c r="D3554" t="b">
        <f ca="1">IF(A3554="","",[1]!s_techanal_rcnthigh(B3554,$B$2,1,3))</f>
        <v>0</v>
      </c>
      <c r="E3554">
        <f ca="1">IF(A3554="","",COUNTIF(D$6:D3554,"True"))</f>
        <v>31</v>
      </c>
      <c r="F3554" t="str">
        <f t="shared" si="55"/>
        <v>600864.SH</v>
      </c>
    </row>
    <row r="3555" spans="1:6" x14ac:dyDescent="0.15">
      <c r="A3555" s="2">
        <v>46089</v>
      </c>
      <c r="B3555" s="1" t="s">
        <v>6693</v>
      </c>
      <c r="C3555" s="1" t="s">
        <v>6694</v>
      </c>
      <c r="D3555" t="b">
        <f ca="1">IF(A3555="","",[1]!s_techanal_rcnthigh(B3555,$B$2,1,3))</f>
        <v>0</v>
      </c>
      <c r="E3555">
        <f ca="1">IF(A3555="","",COUNTIF(D$6:D3555,"True"))</f>
        <v>31</v>
      </c>
      <c r="F3555" t="str">
        <f t="shared" si="55"/>
        <v>600865.SH</v>
      </c>
    </row>
    <row r="3556" spans="1:6" x14ac:dyDescent="0.15">
      <c r="A3556" s="2">
        <v>46089</v>
      </c>
      <c r="B3556" s="1" t="s">
        <v>6695</v>
      </c>
      <c r="C3556" s="1" t="s">
        <v>6696</v>
      </c>
      <c r="D3556" t="b">
        <f ca="1">IF(A3556="","",[1]!s_techanal_rcnthigh(B3556,$B$2,1,3))</f>
        <v>0</v>
      </c>
      <c r="E3556">
        <f ca="1">IF(A3556="","",COUNTIF(D$6:D3556,"True"))</f>
        <v>31</v>
      </c>
      <c r="F3556" t="str">
        <f t="shared" si="55"/>
        <v>600866.SH</v>
      </c>
    </row>
    <row r="3557" spans="1:6" x14ac:dyDescent="0.15">
      <c r="A3557" s="2">
        <v>46089</v>
      </c>
      <c r="B3557" s="1" t="s">
        <v>6697</v>
      </c>
      <c r="C3557" s="1" t="s">
        <v>6698</v>
      </c>
      <c r="D3557" t="b">
        <f ca="1">IF(A3557="","",[1]!s_techanal_rcnthigh(B3557,$B$2,1,3))</f>
        <v>0</v>
      </c>
      <c r="E3557">
        <f ca="1">IF(A3557="","",COUNTIF(D$6:D3557,"True"))</f>
        <v>31</v>
      </c>
      <c r="F3557" t="str">
        <f t="shared" si="55"/>
        <v>600867.SH</v>
      </c>
    </row>
    <row r="3558" spans="1:6" x14ac:dyDescent="0.15">
      <c r="A3558" s="2">
        <v>46089</v>
      </c>
      <c r="B3558" s="1" t="s">
        <v>6699</v>
      </c>
      <c r="C3558" s="1" t="s">
        <v>6700</v>
      </c>
      <c r="D3558" t="b">
        <f ca="1">IF(A3558="","",[1]!s_techanal_rcnthigh(B3558,$B$2,1,3))</f>
        <v>0</v>
      </c>
      <c r="E3558">
        <f ca="1">IF(A3558="","",COUNTIF(D$6:D3558,"True"))</f>
        <v>31</v>
      </c>
      <c r="F3558" t="str">
        <f t="shared" si="55"/>
        <v>600868.SH</v>
      </c>
    </row>
    <row r="3559" spans="1:6" x14ac:dyDescent="0.15">
      <c r="A3559" s="2">
        <v>46089</v>
      </c>
      <c r="B3559" s="1" t="s">
        <v>6701</v>
      </c>
      <c r="C3559" s="1" t="s">
        <v>6702</v>
      </c>
      <c r="D3559" t="b">
        <f ca="1">IF(A3559="","",[1]!s_techanal_rcnthigh(B3559,$B$2,1,3))</f>
        <v>0</v>
      </c>
      <c r="E3559">
        <f ca="1">IF(A3559="","",COUNTIF(D$6:D3559,"True"))</f>
        <v>31</v>
      </c>
      <c r="F3559" t="str">
        <f t="shared" si="55"/>
        <v>600869.SH</v>
      </c>
    </row>
    <row r="3560" spans="1:6" x14ac:dyDescent="0.15">
      <c r="A3560" s="2">
        <v>46089</v>
      </c>
      <c r="B3560" s="1" t="s">
        <v>6703</v>
      </c>
      <c r="C3560" s="1" t="s">
        <v>6704</v>
      </c>
      <c r="D3560" t="b">
        <f ca="1">IF(A3560="","",[1]!s_techanal_rcnthigh(B3560,$B$2,1,3))</f>
        <v>0</v>
      </c>
      <c r="E3560">
        <f ca="1">IF(A3560="","",COUNTIF(D$6:D3560,"True"))</f>
        <v>31</v>
      </c>
      <c r="F3560" t="str">
        <f t="shared" si="55"/>
        <v>600871.SH</v>
      </c>
    </row>
    <row r="3561" spans="1:6" x14ac:dyDescent="0.15">
      <c r="A3561" s="2">
        <v>46089</v>
      </c>
      <c r="B3561" s="1" t="s">
        <v>6705</v>
      </c>
      <c r="C3561" s="1" t="s">
        <v>6706</v>
      </c>
      <c r="D3561" t="b">
        <f ca="1">IF(A3561="","",[1]!s_techanal_rcnthigh(B3561,$B$2,1,3))</f>
        <v>0</v>
      </c>
      <c r="E3561">
        <f ca="1">IF(A3561="","",COUNTIF(D$6:D3561,"True"))</f>
        <v>31</v>
      </c>
      <c r="F3561" t="str">
        <f t="shared" si="55"/>
        <v>600872.SH</v>
      </c>
    </row>
    <row r="3562" spans="1:6" x14ac:dyDescent="0.15">
      <c r="A3562" s="2">
        <v>46089</v>
      </c>
      <c r="B3562" s="1" t="s">
        <v>6707</v>
      </c>
      <c r="C3562" s="1" t="s">
        <v>6708</v>
      </c>
      <c r="D3562" t="b">
        <f ca="1">IF(A3562="","",[1]!s_techanal_rcnthigh(B3562,$B$2,1,3))</f>
        <v>0</v>
      </c>
      <c r="E3562">
        <f ca="1">IF(A3562="","",COUNTIF(D$6:D3562,"True"))</f>
        <v>31</v>
      </c>
      <c r="F3562" t="str">
        <f t="shared" si="55"/>
        <v>600873.SH</v>
      </c>
    </row>
    <row r="3563" spans="1:6" x14ac:dyDescent="0.15">
      <c r="A3563" s="2">
        <v>46089</v>
      </c>
      <c r="B3563" s="1" t="s">
        <v>6709</v>
      </c>
      <c r="C3563" s="1" t="s">
        <v>6710</v>
      </c>
      <c r="D3563" t="b">
        <f ca="1">IF(A3563="","",[1]!s_techanal_rcnthigh(B3563,$B$2,1,3))</f>
        <v>0</v>
      </c>
      <c r="E3563">
        <f ca="1">IF(A3563="","",COUNTIF(D$6:D3563,"True"))</f>
        <v>31</v>
      </c>
      <c r="F3563" t="str">
        <f t="shared" si="55"/>
        <v>600874.SH</v>
      </c>
    </row>
    <row r="3564" spans="1:6" x14ac:dyDescent="0.15">
      <c r="A3564" s="2">
        <v>46089</v>
      </c>
      <c r="B3564" s="1" t="s">
        <v>6711</v>
      </c>
      <c r="C3564" s="1" t="s">
        <v>6712</v>
      </c>
      <c r="D3564" t="b">
        <f ca="1">IF(A3564="","",[1]!s_techanal_rcnthigh(B3564,$B$2,1,3))</f>
        <v>1</v>
      </c>
      <c r="E3564">
        <f ca="1">IF(A3564="","",COUNTIF(D$6:D3564,"True"))</f>
        <v>32</v>
      </c>
      <c r="F3564" t="str">
        <f t="shared" si="55"/>
        <v>600875.SH</v>
      </c>
    </row>
    <row r="3565" spans="1:6" x14ac:dyDescent="0.15">
      <c r="A3565" s="2">
        <v>46089</v>
      </c>
      <c r="B3565" s="1" t="s">
        <v>6713</v>
      </c>
      <c r="C3565" s="1" t="s">
        <v>6714</v>
      </c>
      <c r="D3565" t="b">
        <f ca="1">IF(A3565="","",[1]!s_techanal_rcnthigh(B3565,$B$2,1,3))</f>
        <v>0</v>
      </c>
      <c r="E3565">
        <f ca="1">IF(A3565="","",COUNTIF(D$6:D3565,"True"))</f>
        <v>32</v>
      </c>
      <c r="F3565" t="str">
        <f t="shared" si="55"/>
        <v>600876.SH</v>
      </c>
    </row>
    <row r="3566" spans="1:6" x14ac:dyDescent="0.15">
      <c r="A3566" s="2">
        <v>46089</v>
      </c>
      <c r="B3566" s="1" t="s">
        <v>6715</v>
      </c>
      <c r="C3566" s="1" t="s">
        <v>6716</v>
      </c>
      <c r="D3566" t="b">
        <f ca="1">IF(A3566="","",[1]!s_techanal_rcnthigh(B3566,$B$2,1,3))</f>
        <v>0</v>
      </c>
      <c r="E3566">
        <f ca="1">IF(A3566="","",COUNTIF(D$6:D3566,"True"))</f>
        <v>32</v>
      </c>
      <c r="F3566" t="str">
        <f t="shared" si="55"/>
        <v>600877.SH</v>
      </c>
    </row>
    <row r="3567" spans="1:6" x14ac:dyDescent="0.15">
      <c r="A3567" s="2">
        <v>46089</v>
      </c>
      <c r="B3567" s="1" t="s">
        <v>6717</v>
      </c>
      <c r="C3567" s="1" t="s">
        <v>6718</v>
      </c>
      <c r="D3567" t="b">
        <f ca="1">IF(A3567="","",[1]!s_techanal_rcnthigh(B3567,$B$2,1,3))</f>
        <v>0</v>
      </c>
      <c r="E3567">
        <f ca="1">IF(A3567="","",COUNTIF(D$6:D3567,"True"))</f>
        <v>32</v>
      </c>
      <c r="F3567" t="str">
        <f t="shared" si="55"/>
        <v>600879.SH</v>
      </c>
    </row>
    <row r="3568" spans="1:6" x14ac:dyDescent="0.15">
      <c r="A3568" s="2">
        <v>46089</v>
      </c>
      <c r="B3568" s="1" t="s">
        <v>6719</v>
      </c>
      <c r="C3568" s="1" t="s">
        <v>6720</v>
      </c>
      <c r="D3568" t="b">
        <f ca="1">IF(A3568="","",[1]!s_techanal_rcnthigh(B3568,$B$2,1,3))</f>
        <v>0</v>
      </c>
      <c r="E3568">
        <f ca="1">IF(A3568="","",COUNTIF(D$6:D3568,"True"))</f>
        <v>32</v>
      </c>
      <c r="F3568" t="str">
        <f t="shared" si="55"/>
        <v>600880.SH</v>
      </c>
    </row>
    <row r="3569" spans="1:6" x14ac:dyDescent="0.15">
      <c r="A3569" s="2">
        <v>46089</v>
      </c>
      <c r="B3569" s="1" t="s">
        <v>6721</v>
      </c>
      <c r="C3569" s="1" t="s">
        <v>6722</v>
      </c>
      <c r="D3569" t="b">
        <f ca="1">IF(A3569="","",[1]!s_techanal_rcnthigh(B3569,$B$2,1,3))</f>
        <v>0</v>
      </c>
      <c r="E3569">
        <f ca="1">IF(A3569="","",COUNTIF(D$6:D3569,"True"))</f>
        <v>32</v>
      </c>
      <c r="F3569" t="str">
        <f t="shared" si="55"/>
        <v>600881.SH</v>
      </c>
    </row>
    <row r="3570" spans="1:6" x14ac:dyDescent="0.15">
      <c r="A3570" s="2">
        <v>46089</v>
      </c>
      <c r="B3570" s="1" t="s">
        <v>6723</v>
      </c>
      <c r="C3570" s="1" t="s">
        <v>6724</v>
      </c>
      <c r="D3570" t="b">
        <f ca="1">IF(A3570="","",[1]!s_techanal_rcnthigh(B3570,$B$2,1,3))</f>
        <v>0</v>
      </c>
      <c r="E3570">
        <f ca="1">IF(A3570="","",COUNTIF(D$6:D3570,"True"))</f>
        <v>32</v>
      </c>
      <c r="F3570" t="str">
        <f t="shared" si="55"/>
        <v>600882.SH</v>
      </c>
    </row>
    <row r="3571" spans="1:6" x14ac:dyDescent="0.15">
      <c r="A3571" s="2">
        <v>46089</v>
      </c>
      <c r="B3571" s="1" t="s">
        <v>6725</v>
      </c>
      <c r="C3571" s="1" t="s">
        <v>6726</v>
      </c>
      <c r="D3571" t="b">
        <f ca="1">IF(A3571="","",[1]!s_techanal_rcnthigh(B3571,$B$2,1,3))</f>
        <v>0</v>
      </c>
      <c r="E3571">
        <f ca="1">IF(A3571="","",COUNTIF(D$6:D3571,"True"))</f>
        <v>32</v>
      </c>
      <c r="F3571" t="str">
        <f t="shared" si="55"/>
        <v>600883.SH</v>
      </c>
    </row>
    <row r="3572" spans="1:6" x14ac:dyDescent="0.15">
      <c r="A3572" s="2">
        <v>46089</v>
      </c>
      <c r="B3572" s="1" t="s">
        <v>6727</v>
      </c>
      <c r="C3572" s="1" t="s">
        <v>6728</v>
      </c>
      <c r="D3572" t="b">
        <f ca="1">IF(A3572="","",[1]!s_techanal_rcnthigh(B3572,$B$2,1,3))</f>
        <v>0</v>
      </c>
      <c r="E3572">
        <f ca="1">IF(A3572="","",COUNTIF(D$6:D3572,"True"))</f>
        <v>32</v>
      </c>
      <c r="F3572" t="str">
        <f t="shared" si="55"/>
        <v>600884.SH</v>
      </c>
    </row>
    <row r="3573" spans="1:6" x14ac:dyDescent="0.15">
      <c r="A3573" s="2">
        <v>46089</v>
      </c>
      <c r="B3573" s="1" t="s">
        <v>6729</v>
      </c>
      <c r="C3573" s="1" t="s">
        <v>6730</v>
      </c>
      <c r="D3573" t="b">
        <f ca="1">IF(A3573="","",[1]!s_techanal_rcnthigh(B3573,$B$2,1,3))</f>
        <v>0</v>
      </c>
      <c r="E3573">
        <f ca="1">IF(A3573="","",COUNTIF(D$6:D3573,"True"))</f>
        <v>32</v>
      </c>
      <c r="F3573" t="str">
        <f t="shared" si="55"/>
        <v>600885.SH</v>
      </c>
    </row>
    <row r="3574" spans="1:6" x14ac:dyDescent="0.15">
      <c r="A3574" s="2">
        <v>46089</v>
      </c>
      <c r="B3574" s="1" t="s">
        <v>6731</v>
      </c>
      <c r="C3574" s="1" t="s">
        <v>6732</v>
      </c>
      <c r="D3574" t="b">
        <f ca="1">IF(A3574="","",[1]!s_techanal_rcnthigh(B3574,$B$2,1,3))</f>
        <v>0</v>
      </c>
      <c r="E3574">
        <f ca="1">IF(A3574="","",COUNTIF(D$6:D3574,"True"))</f>
        <v>32</v>
      </c>
      <c r="F3574" t="str">
        <f t="shared" si="55"/>
        <v>600886.SH</v>
      </c>
    </row>
    <row r="3575" spans="1:6" x14ac:dyDescent="0.15">
      <c r="A3575" s="2">
        <v>46089</v>
      </c>
      <c r="B3575" s="1" t="s">
        <v>6733</v>
      </c>
      <c r="C3575" s="1" t="s">
        <v>6734</v>
      </c>
      <c r="D3575" t="b">
        <f ca="1">IF(A3575="","",[1]!s_techanal_rcnthigh(B3575,$B$2,1,3))</f>
        <v>0</v>
      </c>
      <c r="E3575">
        <f ca="1">IF(A3575="","",COUNTIF(D$6:D3575,"True"))</f>
        <v>32</v>
      </c>
      <c r="F3575" t="str">
        <f t="shared" si="55"/>
        <v>600887.SH</v>
      </c>
    </row>
    <row r="3576" spans="1:6" x14ac:dyDescent="0.15">
      <c r="A3576" s="2">
        <v>46089</v>
      </c>
      <c r="B3576" s="1" t="s">
        <v>6735</v>
      </c>
      <c r="C3576" s="1" t="s">
        <v>6736</v>
      </c>
      <c r="D3576" t="b">
        <f ca="1">IF(A3576="","",[1]!s_techanal_rcnthigh(B3576,$B$2,1,3))</f>
        <v>0</v>
      </c>
      <c r="E3576">
        <f ca="1">IF(A3576="","",COUNTIF(D$6:D3576,"True"))</f>
        <v>32</v>
      </c>
      <c r="F3576" t="str">
        <f t="shared" si="55"/>
        <v>600888.SH</v>
      </c>
    </row>
    <row r="3577" spans="1:6" x14ac:dyDescent="0.15">
      <c r="A3577" s="2">
        <v>46089</v>
      </c>
      <c r="B3577" s="1" t="s">
        <v>6737</v>
      </c>
      <c r="C3577" s="1" t="s">
        <v>6738</v>
      </c>
      <c r="D3577" t="b">
        <f ca="1">IF(A3577="","",[1]!s_techanal_rcnthigh(B3577,$B$2,1,3))</f>
        <v>0</v>
      </c>
      <c r="E3577">
        <f ca="1">IF(A3577="","",COUNTIF(D$6:D3577,"True"))</f>
        <v>32</v>
      </c>
      <c r="F3577" t="str">
        <f t="shared" si="55"/>
        <v>600889.SH</v>
      </c>
    </row>
    <row r="3578" spans="1:6" x14ac:dyDescent="0.15">
      <c r="A3578" s="2">
        <v>46089</v>
      </c>
      <c r="B3578" s="1" t="s">
        <v>6739</v>
      </c>
      <c r="C3578" s="1" t="s">
        <v>10443</v>
      </c>
      <c r="D3578" t="b">
        <f ca="1">IF(A3578="","",[1]!s_techanal_rcnthigh(B3578,$B$2,1,3))</f>
        <v>0</v>
      </c>
      <c r="E3578">
        <f ca="1">IF(A3578="","",COUNTIF(D$6:D3578,"True"))</f>
        <v>32</v>
      </c>
      <c r="F3578" t="str">
        <f t="shared" si="55"/>
        <v>600892.SH</v>
      </c>
    </row>
    <row r="3579" spans="1:6" x14ac:dyDescent="0.15">
      <c r="A3579" s="2">
        <v>46089</v>
      </c>
      <c r="B3579" s="1" t="s">
        <v>6740</v>
      </c>
      <c r="C3579" s="1" t="s">
        <v>6741</v>
      </c>
      <c r="D3579" t="b">
        <f ca="1">IF(A3579="","",[1]!s_techanal_rcnthigh(B3579,$B$2,1,3))</f>
        <v>0</v>
      </c>
      <c r="E3579">
        <f ca="1">IF(A3579="","",COUNTIF(D$6:D3579,"True"))</f>
        <v>32</v>
      </c>
      <c r="F3579" t="str">
        <f t="shared" si="55"/>
        <v>600893.SH</v>
      </c>
    </row>
    <row r="3580" spans="1:6" x14ac:dyDescent="0.15">
      <c r="A3580" s="2">
        <v>46089</v>
      </c>
      <c r="B3580" s="1" t="s">
        <v>6742</v>
      </c>
      <c r="C3580" s="1" t="s">
        <v>6743</v>
      </c>
      <c r="D3580" t="b">
        <f ca="1">IF(A3580="","",[1]!s_techanal_rcnthigh(B3580,$B$2,1,3))</f>
        <v>0</v>
      </c>
      <c r="E3580">
        <f ca="1">IF(A3580="","",COUNTIF(D$6:D3580,"True"))</f>
        <v>32</v>
      </c>
      <c r="F3580" t="str">
        <f t="shared" si="55"/>
        <v>600894.SH</v>
      </c>
    </row>
    <row r="3581" spans="1:6" x14ac:dyDescent="0.15">
      <c r="A3581" s="2">
        <v>46089</v>
      </c>
      <c r="B3581" s="1" t="s">
        <v>6744</v>
      </c>
      <c r="C3581" s="1" t="s">
        <v>6745</v>
      </c>
      <c r="D3581" t="b">
        <f ca="1">IF(A3581="","",[1]!s_techanal_rcnthigh(B3581,$B$2,1,3))</f>
        <v>0</v>
      </c>
      <c r="E3581">
        <f ca="1">IF(A3581="","",COUNTIF(D$6:D3581,"True"))</f>
        <v>32</v>
      </c>
      <c r="F3581" t="str">
        <f t="shared" si="55"/>
        <v>600895.SH</v>
      </c>
    </row>
    <row r="3582" spans="1:6" x14ac:dyDescent="0.15">
      <c r="A3582" s="2">
        <v>46089</v>
      </c>
      <c r="B3582" s="1" t="s">
        <v>6746</v>
      </c>
      <c r="C3582" s="1" t="s">
        <v>6747</v>
      </c>
      <c r="D3582" t="b">
        <f ca="1">IF(A3582="","",[1]!s_techanal_rcnthigh(B3582,$B$2,1,3))</f>
        <v>0</v>
      </c>
      <c r="E3582">
        <f ca="1">IF(A3582="","",COUNTIF(D$6:D3582,"True"))</f>
        <v>32</v>
      </c>
      <c r="F3582" t="str">
        <f t="shared" si="55"/>
        <v>600897.SH</v>
      </c>
    </row>
    <row r="3583" spans="1:6" x14ac:dyDescent="0.15">
      <c r="A3583" s="2">
        <v>46089</v>
      </c>
      <c r="B3583" s="1" t="s">
        <v>6748</v>
      </c>
      <c r="C3583" s="1" t="s">
        <v>6749</v>
      </c>
      <c r="D3583" t="b">
        <f ca="1">IF(A3583="","",[1]!s_techanal_rcnthigh(B3583,$B$2,1,3))</f>
        <v>0</v>
      </c>
      <c r="E3583">
        <f ca="1">IF(A3583="","",COUNTIF(D$6:D3583,"True"))</f>
        <v>32</v>
      </c>
      <c r="F3583" t="str">
        <f t="shared" si="55"/>
        <v>600900.SH</v>
      </c>
    </row>
    <row r="3584" spans="1:6" x14ac:dyDescent="0.15">
      <c r="A3584" s="2">
        <v>46089</v>
      </c>
      <c r="B3584" s="1" t="s">
        <v>6750</v>
      </c>
      <c r="C3584" s="1" t="s">
        <v>6751</v>
      </c>
      <c r="D3584" t="b">
        <f ca="1">IF(A3584="","",[1]!s_techanal_rcnthigh(B3584,$B$2,1,3))</f>
        <v>0</v>
      </c>
      <c r="E3584">
        <f ca="1">IF(A3584="","",COUNTIF(D$6:D3584,"True"))</f>
        <v>32</v>
      </c>
      <c r="F3584" t="str">
        <f t="shared" si="55"/>
        <v>600901.SH</v>
      </c>
    </row>
    <row r="3585" spans="1:6" x14ac:dyDescent="0.15">
      <c r="A3585" s="2">
        <v>46089</v>
      </c>
      <c r="B3585" s="1" t="s">
        <v>6752</v>
      </c>
      <c r="C3585" s="1" t="s">
        <v>6753</v>
      </c>
      <c r="D3585" t="b">
        <f ca="1">IF(A3585="","",[1]!s_techanal_rcnthigh(B3585,$B$2,1,3))</f>
        <v>0</v>
      </c>
      <c r="E3585">
        <f ca="1">IF(A3585="","",COUNTIF(D$6:D3585,"True"))</f>
        <v>32</v>
      </c>
      <c r="F3585" t="str">
        <f t="shared" si="55"/>
        <v>600903.SH</v>
      </c>
    </row>
    <row r="3586" spans="1:6" x14ac:dyDescent="0.15">
      <c r="A3586" s="2">
        <v>46089</v>
      </c>
      <c r="B3586" s="1" t="s">
        <v>6754</v>
      </c>
      <c r="C3586" s="1" t="s">
        <v>6755</v>
      </c>
      <c r="D3586" t="b">
        <f ca="1">IF(A3586="","",[1]!s_techanal_rcnthigh(B3586,$B$2,1,3))</f>
        <v>0</v>
      </c>
      <c r="E3586">
        <f ca="1">IF(A3586="","",COUNTIF(D$6:D3586,"True"))</f>
        <v>32</v>
      </c>
      <c r="F3586" t="str">
        <f t="shared" si="55"/>
        <v>600905.SH</v>
      </c>
    </row>
    <row r="3587" spans="1:6" x14ac:dyDescent="0.15">
      <c r="A3587" s="2">
        <v>46089</v>
      </c>
      <c r="B3587" s="1" t="s">
        <v>6756</v>
      </c>
      <c r="C3587" s="1" t="s">
        <v>6757</v>
      </c>
      <c r="D3587" t="b">
        <f ca="1">IF(A3587="","",[1]!s_techanal_rcnthigh(B3587,$B$2,1,3))</f>
        <v>0</v>
      </c>
      <c r="E3587">
        <f ca="1">IF(A3587="","",COUNTIF(D$6:D3587,"True"))</f>
        <v>32</v>
      </c>
      <c r="F3587" t="str">
        <f t="shared" si="55"/>
        <v>600906.SH</v>
      </c>
    </row>
    <row r="3588" spans="1:6" x14ac:dyDescent="0.15">
      <c r="A3588" s="2">
        <v>46089</v>
      </c>
      <c r="B3588" s="1" t="s">
        <v>6758</v>
      </c>
      <c r="C3588" s="1" t="s">
        <v>6759</v>
      </c>
      <c r="D3588" t="b">
        <f ca="1">IF(A3588="","",[1]!s_techanal_rcnthigh(B3588,$B$2,1,3))</f>
        <v>0</v>
      </c>
      <c r="E3588">
        <f ca="1">IF(A3588="","",COUNTIF(D$6:D3588,"True"))</f>
        <v>32</v>
      </c>
      <c r="F3588" t="str">
        <f t="shared" si="55"/>
        <v>600908.SH</v>
      </c>
    </row>
    <row r="3589" spans="1:6" x14ac:dyDescent="0.15">
      <c r="A3589" s="2">
        <v>46089</v>
      </c>
      <c r="B3589" s="1" t="s">
        <v>6760</v>
      </c>
      <c r="C3589" s="1" t="s">
        <v>6761</v>
      </c>
      <c r="D3589" t="b">
        <f ca="1">IF(A3589="","",[1]!s_techanal_rcnthigh(B3589,$B$2,1,3))</f>
        <v>0</v>
      </c>
      <c r="E3589">
        <f ca="1">IF(A3589="","",COUNTIF(D$6:D3589,"True"))</f>
        <v>32</v>
      </c>
      <c r="F3589" t="str">
        <f t="shared" si="55"/>
        <v>600909.SH</v>
      </c>
    </row>
    <row r="3590" spans="1:6" x14ac:dyDescent="0.15">
      <c r="A3590" s="2">
        <v>46089</v>
      </c>
      <c r="B3590" s="1" t="s">
        <v>6762</v>
      </c>
      <c r="C3590" s="1" t="s">
        <v>6763</v>
      </c>
      <c r="D3590" t="b">
        <f ca="1">IF(A3590="","",[1]!s_techanal_rcnthigh(B3590,$B$2,1,3))</f>
        <v>0</v>
      </c>
      <c r="E3590">
        <f ca="1">IF(A3590="","",COUNTIF(D$6:D3590,"True"))</f>
        <v>32</v>
      </c>
      <c r="F3590" t="str">
        <f t="shared" ref="F3590:F3653" si="56">IF(B3590="","",B3590)</f>
        <v>600916.SH</v>
      </c>
    </row>
    <row r="3591" spans="1:6" x14ac:dyDescent="0.15">
      <c r="A3591" s="2">
        <v>46089</v>
      </c>
      <c r="B3591" s="1" t="s">
        <v>6764</v>
      </c>
      <c r="C3591" s="1" t="s">
        <v>6765</v>
      </c>
      <c r="D3591" t="b">
        <f ca="1">IF(A3591="","",[1]!s_techanal_rcnthigh(B3591,$B$2,1,3))</f>
        <v>0</v>
      </c>
      <c r="E3591">
        <f ca="1">IF(A3591="","",COUNTIF(D$6:D3591,"True"))</f>
        <v>32</v>
      </c>
      <c r="F3591" t="str">
        <f t="shared" si="56"/>
        <v>600917.SH</v>
      </c>
    </row>
    <row r="3592" spans="1:6" x14ac:dyDescent="0.15">
      <c r="A3592" s="2">
        <v>46089</v>
      </c>
      <c r="B3592" s="1" t="s">
        <v>6766</v>
      </c>
      <c r="C3592" s="1" t="s">
        <v>6767</v>
      </c>
      <c r="D3592" t="b">
        <f ca="1">IF(A3592="","",[1]!s_techanal_rcnthigh(B3592,$B$2,1,3))</f>
        <v>0</v>
      </c>
      <c r="E3592">
        <f ca="1">IF(A3592="","",COUNTIF(D$6:D3592,"True"))</f>
        <v>32</v>
      </c>
      <c r="F3592" t="str">
        <f t="shared" si="56"/>
        <v>600918.SH</v>
      </c>
    </row>
    <row r="3593" spans="1:6" x14ac:dyDescent="0.15">
      <c r="A3593" s="2">
        <v>46089</v>
      </c>
      <c r="B3593" s="1" t="s">
        <v>6768</v>
      </c>
      <c r="C3593" s="1" t="s">
        <v>6769</v>
      </c>
      <c r="D3593" t="b">
        <f ca="1">IF(A3593="","",[1]!s_techanal_rcnthigh(B3593,$B$2,1,3))</f>
        <v>0</v>
      </c>
      <c r="E3593">
        <f ca="1">IF(A3593="","",COUNTIF(D$6:D3593,"True"))</f>
        <v>32</v>
      </c>
      <c r="F3593" t="str">
        <f t="shared" si="56"/>
        <v>600919.SH</v>
      </c>
    </row>
    <row r="3594" spans="1:6" x14ac:dyDescent="0.15">
      <c r="A3594" s="2">
        <v>46089</v>
      </c>
      <c r="B3594" s="1" t="s">
        <v>6770</v>
      </c>
      <c r="C3594" s="1" t="s">
        <v>6771</v>
      </c>
      <c r="D3594" t="b">
        <f ca="1">IF(A3594="","",[1]!s_techanal_rcnthigh(B3594,$B$2,1,3))</f>
        <v>0</v>
      </c>
      <c r="E3594">
        <f ca="1">IF(A3594="","",COUNTIF(D$6:D3594,"True"))</f>
        <v>32</v>
      </c>
      <c r="F3594" t="str">
        <f t="shared" si="56"/>
        <v>600925.SH</v>
      </c>
    </row>
    <row r="3595" spans="1:6" x14ac:dyDescent="0.15">
      <c r="A3595" s="2">
        <v>46089</v>
      </c>
      <c r="B3595" s="1" t="s">
        <v>6772</v>
      </c>
      <c r="C3595" s="1" t="s">
        <v>6773</v>
      </c>
      <c r="D3595" t="b">
        <f ca="1">IF(A3595="","",[1]!s_techanal_rcnthigh(B3595,$B$2,1,3))</f>
        <v>0</v>
      </c>
      <c r="E3595">
        <f ca="1">IF(A3595="","",COUNTIF(D$6:D3595,"True"))</f>
        <v>32</v>
      </c>
      <c r="F3595" t="str">
        <f t="shared" si="56"/>
        <v>600926.SH</v>
      </c>
    </row>
    <row r="3596" spans="1:6" x14ac:dyDescent="0.15">
      <c r="A3596" s="2">
        <v>46089</v>
      </c>
      <c r="B3596" s="1" t="s">
        <v>6774</v>
      </c>
      <c r="C3596" s="1" t="s">
        <v>6775</v>
      </c>
      <c r="D3596" t="b">
        <f ca="1">IF(A3596="","",[1]!s_techanal_rcnthigh(B3596,$B$2,1,3))</f>
        <v>0</v>
      </c>
      <c r="E3596">
        <f ca="1">IF(A3596="","",COUNTIF(D$6:D3596,"True"))</f>
        <v>32</v>
      </c>
      <c r="F3596" t="str">
        <f t="shared" si="56"/>
        <v>600927.SH</v>
      </c>
    </row>
    <row r="3597" spans="1:6" x14ac:dyDescent="0.15">
      <c r="A3597" s="2">
        <v>46089</v>
      </c>
      <c r="B3597" s="1" t="s">
        <v>6776</v>
      </c>
      <c r="C3597" s="1" t="s">
        <v>6777</v>
      </c>
      <c r="D3597" t="b">
        <f ca="1">IF(A3597="","",[1]!s_techanal_rcnthigh(B3597,$B$2,1,3))</f>
        <v>0</v>
      </c>
      <c r="E3597">
        <f ca="1">IF(A3597="","",COUNTIF(D$6:D3597,"True"))</f>
        <v>32</v>
      </c>
      <c r="F3597" t="str">
        <f t="shared" si="56"/>
        <v>600928.SH</v>
      </c>
    </row>
    <row r="3598" spans="1:6" x14ac:dyDescent="0.15">
      <c r="A3598" s="2">
        <v>46089</v>
      </c>
      <c r="B3598" s="1" t="s">
        <v>6778</v>
      </c>
      <c r="C3598" s="1" t="s">
        <v>6779</v>
      </c>
      <c r="D3598" t="b">
        <f ca="1">IF(A3598="","",[1]!s_techanal_rcnthigh(B3598,$B$2,1,3))</f>
        <v>0</v>
      </c>
      <c r="E3598">
        <f ca="1">IF(A3598="","",COUNTIF(D$6:D3598,"True"))</f>
        <v>32</v>
      </c>
      <c r="F3598" t="str">
        <f t="shared" si="56"/>
        <v>600929.SH</v>
      </c>
    </row>
    <row r="3599" spans="1:6" x14ac:dyDescent="0.15">
      <c r="A3599" s="2">
        <v>46089</v>
      </c>
      <c r="B3599" s="1" t="s">
        <v>10444</v>
      </c>
      <c r="C3599" s="1" t="s">
        <v>10445</v>
      </c>
      <c r="D3599" t="b">
        <f ca="1">IF(A3599="","",[1]!s_techanal_rcnthigh(B3599,$B$2,1,3))</f>
        <v>0</v>
      </c>
      <c r="E3599">
        <f ca="1">IF(A3599="","",COUNTIF(D$6:D3599,"True"))</f>
        <v>32</v>
      </c>
      <c r="F3599" t="str">
        <f t="shared" si="56"/>
        <v>600930.SH</v>
      </c>
    </row>
    <row r="3600" spans="1:6" x14ac:dyDescent="0.15">
      <c r="A3600" s="2">
        <v>46089</v>
      </c>
      <c r="B3600" s="1" t="s">
        <v>6780</v>
      </c>
      <c r="C3600" s="1" t="s">
        <v>6781</v>
      </c>
      <c r="D3600" t="b">
        <f ca="1">IF(A3600="","",[1]!s_techanal_rcnthigh(B3600,$B$2,1,3))</f>
        <v>0</v>
      </c>
      <c r="E3600">
        <f ca="1">IF(A3600="","",COUNTIF(D$6:D3600,"True"))</f>
        <v>32</v>
      </c>
      <c r="F3600" t="str">
        <f t="shared" si="56"/>
        <v>600933.SH</v>
      </c>
    </row>
    <row r="3601" spans="1:6" x14ac:dyDescent="0.15">
      <c r="A3601" s="2">
        <v>46089</v>
      </c>
      <c r="B3601" s="1" t="s">
        <v>6782</v>
      </c>
      <c r="C3601" s="1" t="s">
        <v>6783</v>
      </c>
      <c r="D3601" t="b">
        <f ca="1">IF(A3601="","",[1]!s_techanal_rcnthigh(B3601,$B$2,1,3))</f>
        <v>0</v>
      </c>
      <c r="E3601">
        <f ca="1">IF(A3601="","",COUNTIF(D$6:D3601,"True"))</f>
        <v>32</v>
      </c>
      <c r="F3601" t="str">
        <f t="shared" si="56"/>
        <v>600935.SH</v>
      </c>
    </row>
    <row r="3602" spans="1:6" x14ac:dyDescent="0.15">
      <c r="A3602" s="2">
        <v>46089</v>
      </c>
      <c r="B3602" s="1" t="s">
        <v>6784</v>
      </c>
      <c r="C3602" s="1" t="s">
        <v>10446</v>
      </c>
      <c r="D3602" t="b">
        <f ca="1">IF(A3602="","",[1]!s_techanal_rcnthigh(B3602,$B$2,1,3))</f>
        <v>0</v>
      </c>
      <c r="E3602">
        <f ca="1">IF(A3602="","",COUNTIF(D$6:D3602,"True"))</f>
        <v>32</v>
      </c>
      <c r="F3602" t="str">
        <f t="shared" si="56"/>
        <v>600936.SH</v>
      </c>
    </row>
    <row r="3603" spans="1:6" x14ac:dyDescent="0.15">
      <c r="A3603" s="2">
        <v>46089</v>
      </c>
      <c r="B3603" s="1" t="s">
        <v>6785</v>
      </c>
      <c r="C3603" s="1" t="s">
        <v>6786</v>
      </c>
      <c r="D3603" t="b">
        <f ca="1">IF(A3603="","",[1]!s_techanal_rcnthigh(B3603,$B$2,1,3))</f>
        <v>0</v>
      </c>
      <c r="E3603">
        <f ca="1">IF(A3603="","",COUNTIF(D$6:D3603,"True"))</f>
        <v>32</v>
      </c>
      <c r="F3603" t="str">
        <f t="shared" si="56"/>
        <v>600938.SH</v>
      </c>
    </row>
    <row r="3604" spans="1:6" x14ac:dyDescent="0.15">
      <c r="A3604" s="2">
        <v>46089</v>
      </c>
      <c r="B3604" s="1" t="s">
        <v>6787</v>
      </c>
      <c r="C3604" s="1" t="s">
        <v>6788</v>
      </c>
      <c r="D3604" t="b">
        <f ca="1">IF(A3604="","",[1]!s_techanal_rcnthigh(B3604,$B$2,1,3))</f>
        <v>0</v>
      </c>
      <c r="E3604">
        <f ca="1">IF(A3604="","",COUNTIF(D$6:D3604,"True"))</f>
        <v>32</v>
      </c>
      <c r="F3604" t="str">
        <f t="shared" si="56"/>
        <v>600939.SH</v>
      </c>
    </row>
    <row r="3605" spans="1:6" x14ac:dyDescent="0.15">
      <c r="A3605" s="2">
        <v>46089</v>
      </c>
      <c r="B3605" s="1" t="s">
        <v>6789</v>
      </c>
      <c r="C3605" s="1" t="s">
        <v>6790</v>
      </c>
      <c r="D3605" t="b">
        <f ca="1">IF(A3605="","",[1]!s_techanal_rcnthigh(B3605,$B$2,1,3))</f>
        <v>0</v>
      </c>
      <c r="E3605">
        <f ca="1">IF(A3605="","",COUNTIF(D$6:D3605,"True"))</f>
        <v>32</v>
      </c>
      <c r="F3605" t="str">
        <f t="shared" si="56"/>
        <v>600941.SH</v>
      </c>
    </row>
    <row r="3606" spans="1:6" x14ac:dyDescent="0.15">
      <c r="A3606" s="2">
        <v>46089</v>
      </c>
      <c r="B3606" s="1" t="s">
        <v>6791</v>
      </c>
      <c r="C3606" s="1" t="s">
        <v>6792</v>
      </c>
      <c r="D3606" t="b">
        <f ca="1">IF(A3606="","",[1]!s_techanal_rcnthigh(B3606,$B$2,1,3))</f>
        <v>0</v>
      </c>
      <c r="E3606">
        <f ca="1">IF(A3606="","",COUNTIF(D$6:D3606,"True"))</f>
        <v>32</v>
      </c>
      <c r="F3606" t="str">
        <f t="shared" si="56"/>
        <v>600955.SH</v>
      </c>
    </row>
    <row r="3607" spans="1:6" x14ac:dyDescent="0.15">
      <c r="A3607" s="2">
        <v>46089</v>
      </c>
      <c r="B3607" s="1" t="s">
        <v>6793</v>
      </c>
      <c r="C3607" s="1" t="s">
        <v>6794</v>
      </c>
      <c r="D3607" t="b">
        <f ca="1">IF(A3607="","",[1]!s_techanal_rcnthigh(B3607,$B$2,1,3))</f>
        <v>0</v>
      </c>
      <c r="E3607">
        <f ca="1">IF(A3607="","",COUNTIF(D$6:D3607,"True"))</f>
        <v>32</v>
      </c>
      <c r="F3607" t="str">
        <f t="shared" si="56"/>
        <v>600956.SH</v>
      </c>
    </row>
    <row r="3608" spans="1:6" x14ac:dyDescent="0.15">
      <c r="A3608" s="2">
        <v>46089</v>
      </c>
      <c r="B3608" s="1" t="s">
        <v>6795</v>
      </c>
      <c r="C3608" s="1" t="s">
        <v>6796</v>
      </c>
      <c r="D3608" t="b">
        <f ca="1">IF(A3608="","",[1]!s_techanal_rcnthigh(B3608,$B$2,1,3))</f>
        <v>0</v>
      </c>
      <c r="E3608">
        <f ca="1">IF(A3608="","",COUNTIF(D$6:D3608,"True"))</f>
        <v>32</v>
      </c>
      <c r="F3608" t="str">
        <f t="shared" si="56"/>
        <v>600958.SH</v>
      </c>
    </row>
    <row r="3609" spans="1:6" x14ac:dyDescent="0.15">
      <c r="A3609" s="2">
        <v>46089</v>
      </c>
      <c r="B3609" s="1" t="s">
        <v>6797</v>
      </c>
      <c r="C3609" s="1" t="s">
        <v>6798</v>
      </c>
      <c r="D3609" t="b">
        <f ca="1">IF(A3609="","",[1]!s_techanal_rcnthigh(B3609,$B$2,1,3))</f>
        <v>0</v>
      </c>
      <c r="E3609">
        <f ca="1">IF(A3609="","",COUNTIF(D$6:D3609,"True"))</f>
        <v>32</v>
      </c>
      <c r="F3609" t="str">
        <f t="shared" si="56"/>
        <v>600959.SH</v>
      </c>
    </row>
    <row r="3610" spans="1:6" x14ac:dyDescent="0.15">
      <c r="A3610" s="2">
        <v>46089</v>
      </c>
      <c r="B3610" s="1" t="s">
        <v>6799</v>
      </c>
      <c r="C3610" s="1" t="s">
        <v>6800</v>
      </c>
      <c r="D3610" t="b">
        <f ca="1">IF(A3610="","",[1]!s_techanal_rcnthigh(B3610,$B$2,1,3))</f>
        <v>0</v>
      </c>
      <c r="E3610">
        <f ca="1">IF(A3610="","",COUNTIF(D$6:D3610,"True"))</f>
        <v>32</v>
      </c>
      <c r="F3610" t="str">
        <f t="shared" si="56"/>
        <v>600960.SH</v>
      </c>
    </row>
    <row r="3611" spans="1:6" x14ac:dyDescent="0.15">
      <c r="A3611" s="2">
        <v>46089</v>
      </c>
      <c r="B3611" s="1" t="s">
        <v>6801</v>
      </c>
      <c r="C3611" s="1" t="s">
        <v>6802</v>
      </c>
      <c r="D3611" t="b">
        <f ca="1">IF(A3611="","",[1]!s_techanal_rcnthigh(B3611,$B$2,1,3))</f>
        <v>0</v>
      </c>
      <c r="E3611">
        <f ca="1">IF(A3611="","",COUNTIF(D$6:D3611,"True"))</f>
        <v>32</v>
      </c>
      <c r="F3611" t="str">
        <f t="shared" si="56"/>
        <v>600961.SH</v>
      </c>
    </row>
    <row r="3612" spans="1:6" x14ac:dyDescent="0.15">
      <c r="A3612" s="2">
        <v>46089</v>
      </c>
      <c r="B3612" s="1" t="s">
        <v>6803</v>
      </c>
      <c r="C3612" s="1" t="s">
        <v>6804</v>
      </c>
      <c r="D3612" t="b">
        <f ca="1">IF(A3612="","",[1]!s_techanal_rcnthigh(B3612,$B$2,1,3))</f>
        <v>0</v>
      </c>
      <c r="E3612">
        <f ca="1">IF(A3612="","",COUNTIF(D$6:D3612,"True"))</f>
        <v>32</v>
      </c>
      <c r="F3612" t="str">
        <f t="shared" si="56"/>
        <v>600962.SH</v>
      </c>
    </row>
    <row r="3613" spans="1:6" x14ac:dyDescent="0.15">
      <c r="A3613" s="2">
        <v>46089</v>
      </c>
      <c r="B3613" s="1" t="s">
        <v>6805</v>
      </c>
      <c r="C3613" s="1" t="s">
        <v>6806</v>
      </c>
      <c r="D3613" t="b">
        <f ca="1">IF(A3613="","",[1]!s_techanal_rcnthigh(B3613,$B$2,1,3))</f>
        <v>0</v>
      </c>
      <c r="E3613">
        <f ca="1">IF(A3613="","",COUNTIF(D$6:D3613,"True"))</f>
        <v>32</v>
      </c>
      <c r="F3613" t="str">
        <f t="shared" si="56"/>
        <v>600963.SH</v>
      </c>
    </row>
    <row r="3614" spans="1:6" x14ac:dyDescent="0.15">
      <c r="A3614" s="2">
        <v>46089</v>
      </c>
      <c r="B3614" s="1" t="s">
        <v>6807</v>
      </c>
      <c r="C3614" s="1" t="s">
        <v>6808</v>
      </c>
      <c r="D3614" t="b">
        <f ca="1">IF(A3614="","",[1]!s_techanal_rcnthigh(B3614,$B$2,1,3))</f>
        <v>0</v>
      </c>
      <c r="E3614">
        <f ca="1">IF(A3614="","",COUNTIF(D$6:D3614,"True"))</f>
        <v>32</v>
      </c>
      <c r="F3614" t="str">
        <f t="shared" si="56"/>
        <v>600965.SH</v>
      </c>
    </row>
    <row r="3615" spans="1:6" x14ac:dyDescent="0.15">
      <c r="A3615" s="2">
        <v>46089</v>
      </c>
      <c r="B3615" s="1" t="s">
        <v>6809</v>
      </c>
      <c r="C3615" s="1" t="s">
        <v>6810</v>
      </c>
      <c r="D3615" t="b">
        <f ca="1">IF(A3615="","",[1]!s_techanal_rcnthigh(B3615,$B$2,1,3))</f>
        <v>0</v>
      </c>
      <c r="E3615">
        <f ca="1">IF(A3615="","",COUNTIF(D$6:D3615,"True"))</f>
        <v>32</v>
      </c>
      <c r="F3615" t="str">
        <f t="shared" si="56"/>
        <v>600966.SH</v>
      </c>
    </row>
    <row r="3616" spans="1:6" x14ac:dyDescent="0.15">
      <c r="A3616" s="2">
        <v>46089</v>
      </c>
      <c r="B3616" s="1" t="s">
        <v>6811</v>
      </c>
      <c r="C3616" s="1" t="s">
        <v>6812</v>
      </c>
      <c r="D3616" t="b">
        <f ca="1">IF(A3616="","",[1]!s_techanal_rcnthigh(B3616,$B$2,1,3))</f>
        <v>0</v>
      </c>
      <c r="E3616">
        <f ca="1">IF(A3616="","",COUNTIF(D$6:D3616,"True"))</f>
        <v>32</v>
      </c>
      <c r="F3616" t="str">
        <f t="shared" si="56"/>
        <v>600967.SH</v>
      </c>
    </row>
    <row r="3617" spans="1:6" x14ac:dyDescent="0.15">
      <c r="A3617" s="2">
        <v>46089</v>
      </c>
      <c r="B3617" s="1" t="s">
        <v>6813</v>
      </c>
      <c r="C3617" s="1" t="s">
        <v>6814</v>
      </c>
      <c r="D3617" t="b">
        <f ca="1">IF(A3617="","",[1]!s_techanal_rcnthigh(B3617,$B$2,1,3))</f>
        <v>0</v>
      </c>
      <c r="E3617">
        <f ca="1">IF(A3617="","",COUNTIF(D$6:D3617,"True"))</f>
        <v>32</v>
      </c>
      <c r="F3617" t="str">
        <f t="shared" si="56"/>
        <v>600968.SH</v>
      </c>
    </row>
    <row r="3618" spans="1:6" x14ac:dyDescent="0.15">
      <c r="A3618" s="2">
        <v>46089</v>
      </c>
      <c r="B3618" s="1" t="s">
        <v>6815</v>
      </c>
      <c r="C3618" s="1" t="s">
        <v>6816</v>
      </c>
      <c r="D3618" t="b">
        <f ca="1">IF(A3618="","",[1]!s_techanal_rcnthigh(B3618,$B$2,1,3))</f>
        <v>0</v>
      </c>
      <c r="E3618">
        <f ca="1">IF(A3618="","",COUNTIF(D$6:D3618,"True"))</f>
        <v>32</v>
      </c>
      <c r="F3618" t="str">
        <f t="shared" si="56"/>
        <v>600969.SH</v>
      </c>
    </row>
    <row r="3619" spans="1:6" x14ac:dyDescent="0.15">
      <c r="A3619" s="2">
        <v>46089</v>
      </c>
      <c r="B3619" s="1" t="s">
        <v>6817</v>
      </c>
      <c r="C3619" s="1" t="s">
        <v>6818</v>
      </c>
      <c r="D3619" t="b">
        <f ca="1">IF(A3619="","",[1]!s_techanal_rcnthigh(B3619,$B$2,1,3))</f>
        <v>0</v>
      </c>
      <c r="E3619">
        <f ca="1">IF(A3619="","",COUNTIF(D$6:D3619,"True"))</f>
        <v>32</v>
      </c>
      <c r="F3619" t="str">
        <f t="shared" si="56"/>
        <v>600970.SH</v>
      </c>
    </row>
    <row r="3620" spans="1:6" x14ac:dyDescent="0.15">
      <c r="A3620" s="2">
        <v>46089</v>
      </c>
      <c r="B3620" s="1" t="s">
        <v>6819</v>
      </c>
      <c r="C3620" s="1" t="s">
        <v>6820</v>
      </c>
      <c r="D3620" t="b">
        <f ca="1">IF(A3620="","",[1]!s_techanal_rcnthigh(B3620,$B$2,1,3))</f>
        <v>0</v>
      </c>
      <c r="E3620">
        <f ca="1">IF(A3620="","",COUNTIF(D$6:D3620,"True"))</f>
        <v>32</v>
      </c>
      <c r="F3620" t="str">
        <f t="shared" si="56"/>
        <v>600971.SH</v>
      </c>
    </row>
    <row r="3621" spans="1:6" x14ac:dyDescent="0.15">
      <c r="A3621" s="2">
        <v>46089</v>
      </c>
      <c r="B3621" s="1" t="s">
        <v>6821</v>
      </c>
      <c r="C3621" s="1" t="s">
        <v>6822</v>
      </c>
      <c r="D3621" t="b">
        <f ca="1">IF(A3621="","",[1]!s_techanal_rcnthigh(B3621,$B$2,1,3))</f>
        <v>0</v>
      </c>
      <c r="E3621">
        <f ca="1">IF(A3621="","",COUNTIF(D$6:D3621,"True"))</f>
        <v>32</v>
      </c>
      <c r="F3621" t="str">
        <f t="shared" si="56"/>
        <v>600973.SH</v>
      </c>
    </row>
    <row r="3622" spans="1:6" x14ac:dyDescent="0.15">
      <c r="A3622" s="2">
        <v>46089</v>
      </c>
      <c r="B3622" s="1" t="s">
        <v>6823</v>
      </c>
      <c r="C3622" s="1" t="s">
        <v>6824</v>
      </c>
      <c r="D3622" t="b">
        <f ca="1">IF(A3622="","",[1]!s_techanal_rcnthigh(B3622,$B$2,1,3))</f>
        <v>0</v>
      </c>
      <c r="E3622">
        <f ca="1">IF(A3622="","",COUNTIF(D$6:D3622,"True"))</f>
        <v>32</v>
      </c>
      <c r="F3622" t="str">
        <f t="shared" si="56"/>
        <v>600975.SH</v>
      </c>
    </row>
    <row r="3623" spans="1:6" x14ac:dyDescent="0.15">
      <c r="A3623" s="2">
        <v>46089</v>
      </c>
      <c r="B3623" s="1" t="s">
        <v>6825</v>
      </c>
      <c r="C3623" s="1" t="s">
        <v>6826</v>
      </c>
      <c r="D3623" t="b">
        <f ca="1">IF(A3623="","",[1]!s_techanal_rcnthigh(B3623,$B$2,1,3))</f>
        <v>0</v>
      </c>
      <c r="E3623">
        <f ca="1">IF(A3623="","",COUNTIF(D$6:D3623,"True"))</f>
        <v>32</v>
      </c>
      <c r="F3623" t="str">
        <f t="shared" si="56"/>
        <v>600976.SH</v>
      </c>
    </row>
    <row r="3624" spans="1:6" x14ac:dyDescent="0.15">
      <c r="A3624" s="2">
        <v>46089</v>
      </c>
      <c r="B3624" s="1" t="s">
        <v>6827</v>
      </c>
      <c r="C3624" s="1" t="s">
        <v>6828</v>
      </c>
      <c r="D3624" t="b">
        <f ca="1">IF(A3624="","",[1]!s_techanal_rcnthigh(B3624,$B$2,1,3))</f>
        <v>0</v>
      </c>
      <c r="E3624">
        <f ca="1">IF(A3624="","",COUNTIF(D$6:D3624,"True"))</f>
        <v>32</v>
      </c>
      <c r="F3624" t="str">
        <f t="shared" si="56"/>
        <v>600977.SH</v>
      </c>
    </row>
    <row r="3625" spans="1:6" x14ac:dyDescent="0.15">
      <c r="A3625" s="2">
        <v>46089</v>
      </c>
      <c r="B3625" s="1" t="s">
        <v>6829</v>
      </c>
      <c r="C3625" s="1" t="s">
        <v>6830</v>
      </c>
      <c r="D3625" t="b">
        <f ca="1">IF(A3625="","",[1]!s_techanal_rcnthigh(B3625,$B$2,1,3))</f>
        <v>0</v>
      </c>
      <c r="E3625">
        <f ca="1">IF(A3625="","",COUNTIF(D$6:D3625,"True"))</f>
        <v>32</v>
      </c>
      <c r="F3625" t="str">
        <f t="shared" si="56"/>
        <v>600979.SH</v>
      </c>
    </row>
    <row r="3626" spans="1:6" x14ac:dyDescent="0.15">
      <c r="A3626" s="2">
        <v>46089</v>
      </c>
      <c r="B3626" s="1" t="s">
        <v>6831</v>
      </c>
      <c r="C3626" s="1" t="s">
        <v>6832</v>
      </c>
      <c r="D3626" t="b">
        <f ca="1">IF(A3626="","",[1]!s_techanal_rcnthigh(B3626,$B$2,1,3))</f>
        <v>0</v>
      </c>
      <c r="E3626">
        <f ca="1">IF(A3626="","",COUNTIF(D$6:D3626,"True"))</f>
        <v>32</v>
      </c>
      <c r="F3626" t="str">
        <f t="shared" si="56"/>
        <v>600980.SH</v>
      </c>
    </row>
    <row r="3627" spans="1:6" x14ac:dyDescent="0.15">
      <c r="A3627" s="2">
        <v>46089</v>
      </c>
      <c r="B3627" s="1" t="s">
        <v>6833</v>
      </c>
      <c r="C3627" s="1" t="s">
        <v>10447</v>
      </c>
      <c r="D3627" t="b">
        <f ca="1">IF(A3627="","",[1]!s_techanal_rcnthigh(B3627,$B$2,1,3))</f>
        <v>0</v>
      </c>
      <c r="E3627">
        <f ca="1">IF(A3627="","",COUNTIF(D$6:D3627,"True"))</f>
        <v>32</v>
      </c>
      <c r="F3627" t="str">
        <f t="shared" si="56"/>
        <v>600981.SH</v>
      </c>
    </row>
    <row r="3628" spans="1:6" x14ac:dyDescent="0.15">
      <c r="A3628" s="2">
        <v>46089</v>
      </c>
      <c r="B3628" s="1" t="s">
        <v>6834</v>
      </c>
      <c r="C3628" s="1" t="s">
        <v>6835</v>
      </c>
      <c r="D3628" t="b">
        <f ca="1">IF(A3628="","",[1]!s_techanal_rcnthigh(B3628,$B$2,1,3))</f>
        <v>0</v>
      </c>
      <c r="E3628">
        <f ca="1">IF(A3628="","",COUNTIF(D$6:D3628,"True"))</f>
        <v>32</v>
      </c>
      <c r="F3628" t="str">
        <f t="shared" si="56"/>
        <v>600982.SH</v>
      </c>
    </row>
    <row r="3629" spans="1:6" x14ac:dyDescent="0.15">
      <c r="A3629" s="2">
        <v>46089</v>
      </c>
      <c r="B3629" s="1" t="s">
        <v>6836</v>
      </c>
      <c r="C3629" s="1" t="s">
        <v>6837</v>
      </c>
      <c r="D3629" t="b">
        <f ca="1">IF(A3629="","",[1]!s_techanal_rcnthigh(B3629,$B$2,1,3))</f>
        <v>0</v>
      </c>
      <c r="E3629">
        <f ca="1">IF(A3629="","",COUNTIF(D$6:D3629,"True"))</f>
        <v>32</v>
      </c>
      <c r="F3629" t="str">
        <f t="shared" si="56"/>
        <v>600983.SH</v>
      </c>
    </row>
    <row r="3630" spans="1:6" x14ac:dyDescent="0.15">
      <c r="A3630" s="2">
        <v>46089</v>
      </c>
      <c r="B3630" s="1" t="s">
        <v>6838</v>
      </c>
      <c r="C3630" s="1" t="s">
        <v>6839</v>
      </c>
      <c r="D3630" t="b">
        <f ca="1">IF(A3630="","",[1]!s_techanal_rcnthigh(B3630,$B$2,1,3))</f>
        <v>0</v>
      </c>
      <c r="E3630">
        <f ca="1">IF(A3630="","",COUNTIF(D$6:D3630,"True"))</f>
        <v>32</v>
      </c>
      <c r="F3630" t="str">
        <f t="shared" si="56"/>
        <v>600984.SH</v>
      </c>
    </row>
    <row r="3631" spans="1:6" x14ac:dyDescent="0.15">
      <c r="A3631" s="2">
        <v>46089</v>
      </c>
      <c r="B3631" s="1" t="s">
        <v>6840</v>
      </c>
      <c r="C3631" s="1" t="s">
        <v>6841</v>
      </c>
      <c r="D3631" t="b">
        <f ca="1">IF(A3631="","",[1]!s_techanal_rcnthigh(B3631,$B$2,1,3))</f>
        <v>0</v>
      </c>
      <c r="E3631">
        <f ca="1">IF(A3631="","",COUNTIF(D$6:D3631,"True"))</f>
        <v>32</v>
      </c>
      <c r="F3631" t="str">
        <f t="shared" si="56"/>
        <v>600985.SH</v>
      </c>
    </row>
    <row r="3632" spans="1:6" x14ac:dyDescent="0.15">
      <c r="A3632" s="2">
        <v>46089</v>
      </c>
      <c r="B3632" s="1" t="s">
        <v>6842</v>
      </c>
      <c r="C3632" s="1" t="s">
        <v>6843</v>
      </c>
      <c r="D3632" t="b">
        <f ca="1">IF(A3632="","",[1]!s_techanal_rcnthigh(B3632,$B$2,1,3))</f>
        <v>0</v>
      </c>
      <c r="E3632">
        <f ca="1">IF(A3632="","",COUNTIF(D$6:D3632,"True"))</f>
        <v>32</v>
      </c>
      <c r="F3632" t="str">
        <f t="shared" si="56"/>
        <v>600986.SH</v>
      </c>
    </row>
    <row r="3633" spans="1:6" x14ac:dyDescent="0.15">
      <c r="A3633" s="2">
        <v>46089</v>
      </c>
      <c r="B3633" s="1" t="s">
        <v>6844</v>
      </c>
      <c r="C3633" s="1" t="s">
        <v>6845</v>
      </c>
      <c r="D3633" t="b">
        <f ca="1">IF(A3633="","",[1]!s_techanal_rcnthigh(B3633,$B$2,1,3))</f>
        <v>0</v>
      </c>
      <c r="E3633">
        <f ca="1">IF(A3633="","",COUNTIF(D$6:D3633,"True"))</f>
        <v>32</v>
      </c>
      <c r="F3633" t="str">
        <f t="shared" si="56"/>
        <v>600987.SH</v>
      </c>
    </row>
    <row r="3634" spans="1:6" x14ac:dyDescent="0.15">
      <c r="A3634" s="2">
        <v>46089</v>
      </c>
      <c r="B3634" s="1" t="s">
        <v>6846</v>
      </c>
      <c r="C3634" s="1" t="s">
        <v>6847</v>
      </c>
      <c r="D3634" t="b">
        <f ca="1">IF(A3634="","",[1]!s_techanal_rcnthigh(B3634,$B$2,1,3))</f>
        <v>0</v>
      </c>
      <c r="E3634">
        <f ca="1">IF(A3634="","",COUNTIF(D$6:D3634,"True"))</f>
        <v>32</v>
      </c>
      <c r="F3634" t="str">
        <f t="shared" si="56"/>
        <v>600988.SH</v>
      </c>
    </row>
    <row r="3635" spans="1:6" x14ac:dyDescent="0.15">
      <c r="A3635" s="2">
        <v>46089</v>
      </c>
      <c r="B3635" s="1" t="s">
        <v>6848</v>
      </c>
      <c r="C3635" s="1" t="s">
        <v>6849</v>
      </c>
      <c r="D3635" t="b">
        <f ca="1">IF(A3635="","",[1]!s_techanal_rcnthigh(B3635,$B$2,1,3))</f>
        <v>0</v>
      </c>
      <c r="E3635">
        <f ca="1">IF(A3635="","",COUNTIF(D$6:D3635,"True"))</f>
        <v>32</v>
      </c>
      <c r="F3635" t="str">
        <f t="shared" si="56"/>
        <v>600989.SH</v>
      </c>
    </row>
    <row r="3636" spans="1:6" x14ac:dyDescent="0.15">
      <c r="A3636" s="2">
        <v>46089</v>
      </c>
      <c r="B3636" s="1" t="s">
        <v>6850</v>
      </c>
      <c r="C3636" s="1" t="s">
        <v>6851</v>
      </c>
      <c r="D3636" t="b">
        <f ca="1">IF(A3636="","",[1]!s_techanal_rcnthigh(B3636,$B$2,1,3))</f>
        <v>0</v>
      </c>
      <c r="E3636">
        <f ca="1">IF(A3636="","",COUNTIF(D$6:D3636,"True"))</f>
        <v>32</v>
      </c>
      <c r="F3636" t="str">
        <f t="shared" si="56"/>
        <v>600990.SH</v>
      </c>
    </row>
    <row r="3637" spans="1:6" x14ac:dyDescent="0.15">
      <c r="A3637" s="2">
        <v>46089</v>
      </c>
      <c r="B3637" s="1" t="s">
        <v>6852</v>
      </c>
      <c r="C3637" s="1" t="s">
        <v>6853</v>
      </c>
      <c r="D3637" t="b">
        <f ca="1">IF(A3637="","",[1]!s_techanal_rcnthigh(B3637,$B$2,1,3))</f>
        <v>0</v>
      </c>
      <c r="E3637">
        <f ca="1">IF(A3637="","",COUNTIF(D$6:D3637,"True"))</f>
        <v>32</v>
      </c>
      <c r="F3637" t="str">
        <f t="shared" si="56"/>
        <v>600992.SH</v>
      </c>
    </row>
    <row r="3638" spans="1:6" x14ac:dyDescent="0.15">
      <c r="A3638" s="2">
        <v>46089</v>
      </c>
      <c r="B3638" s="1" t="s">
        <v>6854</v>
      </c>
      <c r="C3638" s="1" t="s">
        <v>6855</v>
      </c>
      <c r="D3638" t="b">
        <f ca="1">IF(A3638="","",[1]!s_techanal_rcnthigh(B3638,$B$2,1,3))</f>
        <v>0</v>
      </c>
      <c r="E3638">
        <f ca="1">IF(A3638="","",COUNTIF(D$6:D3638,"True"))</f>
        <v>32</v>
      </c>
      <c r="F3638" t="str">
        <f t="shared" si="56"/>
        <v>600993.SH</v>
      </c>
    </row>
    <row r="3639" spans="1:6" x14ac:dyDescent="0.15">
      <c r="A3639" s="2">
        <v>46089</v>
      </c>
      <c r="B3639" s="1" t="s">
        <v>6856</v>
      </c>
      <c r="C3639" s="1" t="s">
        <v>6857</v>
      </c>
      <c r="D3639" t="b">
        <f ca="1">IF(A3639="","",[1]!s_techanal_rcnthigh(B3639,$B$2,1,3))</f>
        <v>0</v>
      </c>
      <c r="E3639">
        <f ca="1">IF(A3639="","",COUNTIF(D$6:D3639,"True"))</f>
        <v>32</v>
      </c>
      <c r="F3639" t="str">
        <f t="shared" si="56"/>
        <v>600995.SH</v>
      </c>
    </row>
    <row r="3640" spans="1:6" x14ac:dyDescent="0.15">
      <c r="A3640" s="2">
        <v>46089</v>
      </c>
      <c r="B3640" s="1" t="s">
        <v>6858</v>
      </c>
      <c r="C3640" s="1" t="s">
        <v>6859</v>
      </c>
      <c r="D3640" t="b">
        <f ca="1">IF(A3640="","",[1]!s_techanal_rcnthigh(B3640,$B$2,1,3))</f>
        <v>0</v>
      </c>
      <c r="E3640">
        <f ca="1">IF(A3640="","",COUNTIF(D$6:D3640,"True"))</f>
        <v>32</v>
      </c>
      <c r="F3640" t="str">
        <f t="shared" si="56"/>
        <v>600996.SH</v>
      </c>
    </row>
    <row r="3641" spans="1:6" x14ac:dyDescent="0.15">
      <c r="A3641" s="2">
        <v>46089</v>
      </c>
      <c r="B3641" s="1" t="s">
        <v>6860</v>
      </c>
      <c r="C3641" s="1" t="s">
        <v>6861</v>
      </c>
      <c r="D3641" t="b">
        <f ca="1">IF(A3641="","",[1]!s_techanal_rcnthigh(B3641,$B$2,1,3))</f>
        <v>0</v>
      </c>
      <c r="E3641">
        <f ca="1">IF(A3641="","",COUNTIF(D$6:D3641,"True"))</f>
        <v>32</v>
      </c>
      <c r="F3641" t="str">
        <f t="shared" si="56"/>
        <v>600997.SH</v>
      </c>
    </row>
    <row r="3642" spans="1:6" x14ac:dyDescent="0.15">
      <c r="A3642" s="2">
        <v>46089</v>
      </c>
      <c r="B3642" s="1" t="s">
        <v>6862</v>
      </c>
      <c r="C3642" s="1" t="s">
        <v>6863</v>
      </c>
      <c r="D3642" t="b">
        <f ca="1">IF(A3642="","",[1]!s_techanal_rcnthigh(B3642,$B$2,1,3))</f>
        <v>0</v>
      </c>
      <c r="E3642">
        <f ca="1">IF(A3642="","",COUNTIF(D$6:D3642,"True"))</f>
        <v>32</v>
      </c>
      <c r="F3642" t="str">
        <f t="shared" si="56"/>
        <v>600998.SH</v>
      </c>
    </row>
    <row r="3643" spans="1:6" x14ac:dyDescent="0.15">
      <c r="A3643" s="2">
        <v>46089</v>
      </c>
      <c r="B3643" s="1" t="s">
        <v>6864</v>
      </c>
      <c r="C3643" s="1" t="s">
        <v>6865</v>
      </c>
      <c r="D3643" t="b">
        <f ca="1">IF(A3643="","",[1]!s_techanal_rcnthigh(B3643,$B$2,1,3))</f>
        <v>0</v>
      </c>
      <c r="E3643">
        <f ca="1">IF(A3643="","",COUNTIF(D$6:D3643,"True"))</f>
        <v>32</v>
      </c>
      <c r="F3643" t="str">
        <f t="shared" si="56"/>
        <v>600999.SH</v>
      </c>
    </row>
    <row r="3644" spans="1:6" x14ac:dyDescent="0.15">
      <c r="A3644" s="2">
        <v>46089</v>
      </c>
      <c r="B3644" s="1" t="s">
        <v>6866</v>
      </c>
      <c r="C3644" s="1" t="s">
        <v>6867</v>
      </c>
      <c r="D3644" t="b">
        <f ca="1">IF(A3644="","",[1]!s_techanal_rcnthigh(B3644,$B$2,1,3))</f>
        <v>0</v>
      </c>
      <c r="E3644">
        <f ca="1">IF(A3644="","",COUNTIF(D$6:D3644,"True"))</f>
        <v>32</v>
      </c>
      <c r="F3644" t="str">
        <f t="shared" si="56"/>
        <v>601000.SH</v>
      </c>
    </row>
    <row r="3645" spans="1:6" x14ac:dyDescent="0.15">
      <c r="A3645" s="2">
        <v>46089</v>
      </c>
      <c r="B3645" s="1" t="s">
        <v>6868</v>
      </c>
      <c r="C3645" s="1" t="s">
        <v>6869</v>
      </c>
      <c r="D3645" t="b">
        <f ca="1">IF(A3645="","",[1]!s_techanal_rcnthigh(B3645,$B$2,1,3))</f>
        <v>0</v>
      </c>
      <c r="E3645">
        <f ca="1">IF(A3645="","",COUNTIF(D$6:D3645,"True"))</f>
        <v>32</v>
      </c>
      <c r="F3645" t="str">
        <f t="shared" si="56"/>
        <v>601001.SH</v>
      </c>
    </row>
    <row r="3646" spans="1:6" x14ac:dyDescent="0.15">
      <c r="A3646" s="2">
        <v>46089</v>
      </c>
      <c r="B3646" s="1" t="s">
        <v>6870</v>
      </c>
      <c r="C3646" s="1" t="s">
        <v>6871</v>
      </c>
      <c r="D3646" t="b">
        <f ca="1">IF(A3646="","",[1]!s_techanal_rcnthigh(B3646,$B$2,1,3))</f>
        <v>0</v>
      </c>
      <c r="E3646">
        <f ca="1">IF(A3646="","",COUNTIF(D$6:D3646,"True"))</f>
        <v>32</v>
      </c>
      <c r="F3646" t="str">
        <f t="shared" si="56"/>
        <v>601002.SH</v>
      </c>
    </row>
    <row r="3647" spans="1:6" x14ac:dyDescent="0.15">
      <c r="A3647" s="2">
        <v>46089</v>
      </c>
      <c r="B3647" s="1" t="s">
        <v>6872</v>
      </c>
      <c r="C3647" s="1" t="s">
        <v>6873</v>
      </c>
      <c r="D3647" t="b">
        <f ca="1">IF(A3647="","",[1]!s_techanal_rcnthigh(B3647,$B$2,1,3))</f>
        <v>0</v>
      </c>
      <c r="E3647">
        <f ca="1">IF(A3647="","",COUNTIF(D$6:D3647,"True"))</f>
        <v>32</v>
      </c>
      <c r="F3647" t="str">
        <f t="shared" si="56"/>
        <v>601003.SH</v>
      </c>
    </row>
    <row r="3648" spans="1:6" x14ac:dyDescent="0.15">
      <c r="A3648" s="2">
        <v>46089</v>
      </c>
      <c r="B3648" s="1" t="s">
        <v>6874</v>
      </c>
      <c r="C3648" s="1" t="s">
        <v>6875</v>
      </c>
      <c r="D3648" t="b">
        <f ca="1">IF(A3648="","",[1]!s_techanal_rcnthigh(B3648,$B$2,1,3))</f>
        <v>0</v>
      </c>
      <c r="E3648">
        <f ca="1">IF(A3648="","",COUNTIF(D$6:D3648,"True"))</f>
        <v>32</v>
      </c>
      <c r="F3648" t="str">
        <f t="shared" si="56"/>
        <v>601005.SH</v>
      </c>
    </row>
    <row r="3649" spans="1:6" x14ac:dyDescent="0.15">
      <c r="A3649" s="2">
        <v>46089</v>
      </c>
      <c r="B3649" s="1" t="s">
        <v>6876</v>
      </c>
      <c r="C3649" s="1" t="s">
        <v>6877</v>
      </c>
      <c r="D3649" t="b">
        <f ca="1">IF(A3649="","",[1]!s_techanal_rcnthigh(B3649,$B$2,1,3))</f>
        <v>0</v>
      </c>
      <c r="E3649">
        <f ca="1">IF(A3649="","",COUNTIF(D$6:D3649,"True"))</f>
        <v>32</v>
      </c>
      <c r="F3649" t="str">
        <f t="shared" si="56"/>
        <v>601006.SH</v>
      </c>
    </row>
    <row r="3650" spans="1:6" x14ac:dyDescent="0.15">
      <c r="A3650" s="2">
        <v>46089</v>
      </c>
      <c r="B3650" s="1" t="s">
        <v>6878</v>
      </c>
      <c r="C3650" s="1" t="s">
        <v>6879</v>
      </c>
      <c r="D3650" t="b">
        <f ca="1">IF(A3650="","",[1]!s_techanal_rcnthigh(B3650,$B$2,1,3))</f>
        <v>0</v>
      </c>
      <c r="E3650">
        <f ca="1">IF(A3650="","",COUNTIF(D$6:D3650,"True"))</f>
        <v>32</v>
      </c>
      <c r="F3650" t="str">
        <f t="shared" si="56"/>
        <v>601007.SH</v>
      </c>
    </row>
    <row r="3651" spans="1:6" x14ac:dyDescent="0.15">
      <c r="A3651" s="2">
        <v>46089</v>
      </c>
      <c r="B3651" s="1" t="s">
        <v>6880</v>
      </c>
      <c r="C3651" s="1" t="s">
        <v>6881</v>
      </c>
      <c r="D3651" t="b">
        <f ca="1">IF(A3651="","",[1]!s_techanal_rcnthigh(B3651,$B$2,1,3))</f>
        <v>0</v>
      </c>
      <c r="E3651">
        <f ca="1">IF(A3651="","",COUNTIF(D$6:D3651,"True"))</f>
        <v>32</v>
      </c>
      <c r="F3651" t="str">
        <f t="shared" si="56"/>
        <v>601008.SH</v>
      </c>
    </row>
    <row r="3652" spans="1:6" x14ac:dyDescent="0.15">
      <c r="A3652" s="2">
        <v>46089</v>
      </c>
      <c r="B3652" s="1" t="s">
        <v>6882</v>
      </c>
      <c r="C3652" s="1" t="s">
        <v>6883</v>
      </c>
      <c r="D3652" t="b">
        <f ca="1">IF(A3652="","",[1]!s_techanal_rcnthigh(B3652,$B$2,1,3))</f>
        <v>0</v>
      </c>
      <c r="E3652">
        <f ca="1">IF(A3652="","",COUNTIF(D$6:D3652,"True"))</f>
        <v>32</v>
      </c>
      <c r="F3652" t="str">
        <f t="shared" si="56"/>
        <v>601009.SH</v>
      </c>
    </row>
    <row r="3653" spans="1:6" x14ac:dyDescent="0.15">
      <c r="A3653" s="2">
        <v>46089</v>
      </c>
      <c r="B3653" s="1" t="s">
        <v>6884</v>
      </c>
      <c r="C3653" s="1" t="s">
        <v>6885</v>
      </c>
      <c r="D3653" t="b">
        <f ca="1">IF(A3653="","",[1]!s_techanal_rcnthigh(B3653,$B$2,1,3))</f>
        <v>0</v>
      </c>
      <c r="E3653">
        <f ca="1">IF(A3653="","",COUNTIF(D$6:D3653,"True"))</f>
        <v>32</v>
      </c>
      <c r="F3653" t="str">
        <f t="shared" si="56"/>
        <v>601010.SH</v>
      </c>
    </row>
    <row r="3654" spans="1:6" x14ac:dyDescent="0.15">
      <c r="A3654" s="2">
        <v>46089</v>
      </c>
      <c r="B3654" s="1" t="s">
        <v>6886</v>
      </c>
      <c r="C3654" s="1" t="s">
        <v>6887</v>
      </c>
      <c r="D3654" t="b">
        <f ca="1">IF(A3654="","",[1]!s_techanal_rcnthigh(B3654,$B$2,1,3))</f>
        <v>0</v>
      </c>
      <c r="E3654">
        <f ca="1">IF(A3654="","",COUNTIF(D$6:D3654,"True"))</f>
        <v>32</v>
      </c>
      <c r="F3654" t="str">
        <f t="shared" ref="F3654:F3717" si="57">IF(B3654="","",B3654)</f>
        <v>601011.SH</v>
      </c>
    </row>
    <row r="3655" spans="1:6" x14ac:dyDescent="0.15">
      <c r="A3655" s="2">
        <v>46089</v>
      </c>
      <c r="B3655" s="1" t="s">
        <v>6888</v>
      </c>
      <c r="C3655" s="1" t="s">
        <v>6889</v>
      </c>
      <c r="D3655" t="b">
        <f ca="1">IF(A3655="","",[1]!s_techanal_rcnthigh(B3655,$B$2,1,3))</f>
        <v>0</v>
      </c>
      <c r="E3655">
        <f ca="1">IF(A3655="","",COUNTIF(D$6:D3655,"True"))</f>
        <v>32</v>
      </c>
      <c r="F3655" t="str">
        <f t="shared" si="57"/>
        <v>601012.SH</v>
      </c>
    </row>
    <row r="3656" spans="1:6" x14ac:dyDescent="0.15">
      <c r="A3656" s="2">
        <v>46089</v>
      </c>
      <c r="B3656" s="1" t="s">
        <v>6890</v>
      </c>
      <c r="C3656" s="1" t="s">
        <v>6891</v>
      </c>
      <c r="D3656" t="b">
        <f ca="1">IF(A3656="","",[1]!s_techanal_rcnthigh(B3656,$B$2,1,3))</f>
        <v>0</v>
      </c>
      <c r="E3656">
        <f ca="1">IF(A3656="","",COUNTIF(D$6:D3656,"True"))</f>
        <v>32</v>
      </c>
      <c r="F3656" t="str">
        <f t="shared" si="57"/>
        <v>601015.SH</v>
      </c>
    </row>
    <row r="3657" spans="1:6" x14ac:dyDescent="0.15">
      <c r="A3657" s="2">
        <v>46089</v>
      </c>
      <c r="B3657" s="1" t="s">
        <v>6892</v>
      </c>
      <c r="C3657" s="1" t="s">
        <v>6893</v>
      </c>
      <c r="D3657" t="b">
        <f ca="1">IF(A3657="","",[1]!s_techanal_rcnthigh(B3657,$B$2,1,3))</f>
        <v>0</v>
      </c>
      <c r="E3657">
        <f ca="1">IF(A3657="","",COUNTIF(D$6:D3657,"True"))</f>
        <v>32</v>
      </c>
      <c r="F3657" t="str">
        <f t="shared" si="57"/>
        <v>601016.SH</v>
      </c>
    </row>
    <row r="3658" spans="1:6" x14ac:dyDescent="0.15">
      <c r="A3658" s="2">
        <v>46089</v>
      </c>
      <c r="B3658" s="1" t="s">
        <v>6894</v>
      </c>
      <c r="C3658" s="1" t="s">
        <v>6895</v>
      </c>
      <c r="D3658" t="b">
        <f ca="1">IF(A3658="","",[1]!s_techanal_rcnthigh(B3658,$B$2,1,3))</f>
        <v>0</v>
      </c>
      <c r="E3658">
        <f ca="1">IF(A3658="","",COUNTIF(D$6:D3658,"True"))</f>
        <v>32</v>
      </c>
      <c r="F3658" t="str">
        <f t="shared" si="57"/>
        <v>601018.SH</v>
      </c>
    </row>
    <row r="3659" spans="1:6" x14ac:dyDescent="0.15">
      <c r="A3659" s="2">
        <v>46089</v>
      </c>
      <c r="B3659" s="1" t="s">
        <v>6896</v>
      </c>
      <c r="C3659" s="1" t="s">
        <v>6897</v>
      </c>
      <c r="D3659" t="b">
        <f ca="1">IF(A3659="","",[1]!s_techanal_rcnthigh(B3659,$B$2,1,3))</f>
        <v>0</v>
      </c>
      <c r="E3659">
        <f ca="1">IF(A3659="","",COUNTIF(D$6:D3659,"True"))</f>
        <v>32</v>
      </c>
      <c r="F3659" t="str">
        <f t="shared" si="57"/>
        <v>601019.SH</v>
      </c>
    </row>
    <row r="3660" spans="1:6" x14ac:dyDescent="0.15">
      <c r="A3660" s="2">
        <v>46089</v>
      </c>
      <c r="B3660" s="1" t="s">
        <v>6898</v>
      </c>
      <c r="C3660" s="1" t="s">
        <v>6899</v>
      </c>
      <c r="D3660" t="b">
        <f ca="1">IF(A3660="","",[1]!s_techanal_rcnthigh(B3660,$B$2,1,3))</f>
        <v>0</v>
      </c>
      <c r="E3660">
        <f ca="1">IF(A3660="","",COUNTIF(D$6:D3660,"True"))</f>
        <v>32</v>
      </c>
      <c r="F3660" t="str">
        <f t="shared" si="57"/>
        <v>601020.SH</v>
      </c>
    </row>
    <row r="3661" spans="1:6" x14ac:dyDescent="0.15">
      <c r="A3661" s="2">
        <v>46089</v>
      </c>
      <c r="B3661" s="1" t="s">
        <v>6900</v>
      </c>
      <c r="C3661" s="1" t="s">
        <v>6901</v>
      </c>
      <c r="D3661" t="b">
        <f ca="1">IF(A3661="","",[1]!s_techanal_rcnthigh(B3661,$B$2,1,3))</f>
        <v>0</v>
      </c>
      <c r="E3661">
        <f ca="1">IF(A3661="","",COUNTIF(D$6:D3661,"True"))</f>
        <v>32</v>
      </c>
      <c r="F3661" t="str">
        <f t="shared" si="57"/>
        <v>601021.SH</v>
      </c>
    </row>
    <row r="3662" spans="1:6" x14ac:dyDescent="0.15">
      <c r="A3662" s="2">
        <v>46089</v>
      </c>
      <c r="B3662" s="1" t="s">
        <v>6902</v>
      </c>
      <c r="C3662" s="1" t="s">
        <v>6903</v>
      </c>
      <c r="D3662" t="b">
        <f ca="1">IF(A3662="","",[1]!s_techanal_rcnthigh(B3662,$B$2,1,3))</f>
        <v>0</v>
      </c>
      <c r="E3662">
        <f ca="1">IF(A3662="","",COUNTIF(D$6:D3662,"True"))</f>
        <v>32</v>
      </c>
      <c r="F3662" t="str">
        <f t="shared" si="57"/>
        <v>601022.SH</v>
      </c>
    </row>
    <row r="3663" spans="1:6" x14ac:dyDescent="0.15">
      <c r="A3663" s="2">
        <v>46089</v>
      </c>
      <c r="B3663" s="1" t="s">
        <v>10448</v>
      </c>
      <c r="C3663" s="1" t="s">
        <v>10449</v>
      </c>
      <c r="D3663" t="b">
        <f ca="1">IF(A3663="","",[1]!s_techanal_rcnthigh(B3663,$B$2,1,3))</f>
        <v>0</v>
      </c>
      <c r="E3663">
        <f ca="1">IF(A3663="","",COUNTIF(D$6:D3663,"True"))</f>
        <v>32</v>
      </c>
      <c r="F3663" t="str">
        <f t="shared" si="57"/>
        <v>601026.SH</v>
      </c>
    </row>
    <row r="3664" spans="1:6" x14ac:dyDescent="0.15">
      <c r="A3664" s="2">
        <v>46089</v>
      </c>
      <c r="B3664" s="1" t="s">
        <v>6904</v>
      </c>
      <c r="C3664" s="1" t="s">
        <v>6905</v>
      </c>
      <c r="D3664" t="b">
        <f ca="1">IF(A3664="","",[1]!s_techanal_rcnthigh(B3664,$B$2,1,3))</f>
        <v>0</v>
      </c>
      <c r="E3664">
        <f ca="1">IF(A3664="","",COUNTIF(D$6:D3664,"True"))</f>
        <v>32</v>
      </c>
      <c r="F3664" t="str">
        <f t="shared" si="57"/>
        <v>601033.SH</v>
      </c>
    </row>
    <row r="3665" spans="1:6" x14ac:dyDescent="0.15">
      <c r="A3665" s="2">
        <v>46089</v>
      </c>
      <c r="B3665" s="1" t="s">
        <v>6906</v>
      </c>
      <c r="C3665" s="1" t="s">
        <v>6907</v>
      </c>
      <c r="D3665" t="b">
        <f ca="1">IF(A3665="","",[1]!s_techanal_rcnthigh(B3665,$B$2,1,3))</f>
        <v>0</v>
      </c>
      <c r="E3665">
        <f ca="1">IF(A3665="","",COUNTIF(D$6:D3665,"True"))</f>
        <v>32</v>
      </c>
      <c r="F3665" t="str">
        <f t="shared" si="57"/>
        <v>601038.SH</v>
      </c>
    </row>
    <row r="3666" spans="1:6" x14ac:dyDescent="0.15">
      <c r="A3666" s="2">
        <v>46089</v>
      </c>
      <c r="B3666" s="1" t="s">
        <v>6908</v>
      </c>
      <c r="C3666" s="1" t="s">
        <v>6909</v>
      </c>
      <c r="D3666" t="b">
        <f ca="1">IF(A3666="","",[1]!s_techanal_rcnthigh(B3666,$B$2,1,3))</f>
        <v>0</v>
      </c>
      <c r="E3666">
        <f ca="1">IF(A3666="","",COUNTIF(D$6:D3666,"True"))</f>
        <v>32</v>
      </c>
      <c r="F3666" t="str">
        <f t="shared" si="57"/>
        <v>601058.SH</v>
      </c>
    </row>
    <row r="3667" spans="1:6" x14ac:dyDescent="0.15">
      <c r="A3667" s="2">
        <v>46089</v>
      </c>
      <c r="B3667" s="1" t="s">
        <v>6910</v>
      </c>
      <c r="C3667" s="1" t="s">
        <v>6911</v>
      </c>
      <c r="D3667" t="b">
        <f ca="1">IF(A3667="","",[1]!s_techanal_rcnthigh(B3667,$B$2,1,3))</f>
        <v>0</v>
      </c>
      <c r="E3667">
        <f ca="1">IF(A3667="","",COUNTIF(D$6:D3667,"True"))</f>
        <v>32</v>
      </c>
      <c r="F3667" t="str">
        <f t="shared" si="57"/>
        <v>601059.SH</v>
      </c>
    </row>
    <row r="3668" spans="1:6" x14ac:dyDescent="0.15">
      <c r="A3668" s="2">
        <v>46089</v>
      </c>
      <c r="B3668" s="1" t="s">
        <v>6912</v>
      </c>
      <c r="C3668" s="1" t="s">
        <v>6913</v>
      </c>
      <c r="D3668" t="b">
        <f ca="1">IF(A3668="","",[1]!s_techanal_rcnthigh(B3668,$B$2,1,3))</f>
        <v>0</v>
      </c>
      <c r="E3668">
        <f ca="1">IF(A3668="","",COUNTIF(D$6:D3668,"True"))</f>
        <v>32</v>
      </c>
      <c r="F3668" t="str">
        <f t="shared" si="57"/>
        <v>601061.SH</v>
      </c>
    </row>
    <row r="3669" spans="1:6" x14ac:dyDescent="0.15">
      <c r="A3669" s="2">
        <v>46089</v>
      </c>
      <c r="B3669" s="1" t="s">
        <v>6914</v>
      </c>
      <c r="C3669" s="1" t="s">
        <v>6915</v>
      </c>
      <c r="D3669" t="b">
        <f ca="1">IF(A3669="","",[1]!s_techanal_rcnthigh(B3669,$B$2,1,3))</f>
        <v>0</v>
      </c>
      <c r="E3669">
        <f ca="1">IF(A3669="","",COUNTIF(D$6:D3669,"True"))</f>
        <v>32</v>
      </c>
      <c r="F3669" t="str">
        <f t="shared" si="57"/>
        <v>601065.SH</v>
      </c>
    </row>
    <row r="3670" spans="1:6" x14ac:dyDescent="0.15">
      <c r="A3670" s="2">
        <v>46089</v>
      </c>
      <c r="B3670" s="1" t="s">
        <v>6916</v>
      </c>
      <c r="C3670" s="1" t="s">
        <v>6917</v>
      </c>
      <c r="D3670" t="b">
        <f ca="1">IF(A3670="","",[1]!s_techanal_rcnthigh(B3670,$B$2,1,3))</f>
        <v>0</v>
      </c>
      <c r="E3670">
        <f ca="1">IF(A3670="","",COUNTIF(D$6:D3670,"True"))</f>
        <v>32</v>
      </c>
      <c r="F3670" t="str">
        <f t="shared" si="57"/>
        <v>601066.SH</v>
      </c>
    </row>
    <row r="3671" spans="1:6" x14ac:dyDescent="0.15">
      <c r="A3671" s="2">
        <v>46089</v>
      </c>
      <c r="B3671" s="1" t="s">
        <v>6918</v>
      </c>
      <c r="C3671" s="1" t="s">
        <v>6919</v>
      </c>
      <c r="D3671" t="b">
        <f ca="1">IF(A3671="","",[1]!s_techanal_rcnthigh(B3671,$B$2,1,3))</f>
        <v>0</v>
      </c>
      <c r="E3671">
        <f ca="1">IF(A3671="","",COUNTIF(D$6:D3671,"True"))</f>
        <v>32</v>
      </c>
      <c r="F3671" t="str">
        <f t="shared" si="57"/>
        <v>601068.SH</v>
      </c>
    </row>
    <row r="3672" spans="1:6" x14ac:dyDescent="0.15">
      <c r="A3672" s="2">
        <v>46089</v>
      </c>
      <c r="B3672" s="1" t="s">
        <v>6920</v>
      </c>
      <c r="C3672" s="1" t="s">
        <v>6921</v>
      </c>
      <c r="D3672" t="b">
        <f ca="1">IF(A3672="","",[1]!s_techanal_rcnthigh(B3672,$B$2,1,3))</f>
        <v>0</v>
      </c>
      <c r="E3672">
        <f ca="1">IF(A3672="","",COUNTIF(D$6:D3672,"True"))</f>
        <v>32</v>
      </c>
      <c r="F3672" t="str">
        <f t="shared" si="57"/>
        <v>601069.SH</v>
      </c>
    </row>
    <row r="3673" spans="1:6" x14ac:dyDescent="0.15">
      <c r="A3673" s="2">
        <v>46089</v>
      </c>
      <c r="B3673" s="1" t="s">
        <v>6922</v>
      </c>
      <c r="C3673" s="1" t="s">
        <v>6923</v>
      </c>
      <c r="D3673" t="b">
        <f ca="1">IF(A3673="","",[1]!s_techanal_rcnthigh(B3673,$B$2,1,3))</f>
        <v>0</v>
      </c>
      <c r="E3673">
        <f ca="1">IF(A3673="","",COUNTIF(D$6:D3673,"True"))</f>
        <v>32</v>
      </c>
      <c r="F3673" t="str">
        <f t="shared" si="57"/>
        <v>601077.SH</v>
      </c>
    </row>
    <row r="3674" spans="1:6" x14ac:dyDescent="0.15">
      <c r="A3674" s="2">
        <v>46089</v>
      </c>
      <c r="B3674" s="1" t="s">
        <v>6924</v>
      </c>
      <c r="C3674" s="1" t="s">
        <v>6925</v>
      </c>
      <c r="D3674" t="b">
        <f ca="1">IF(A3674="","",[1]!s_techanal_rcnthigh(B3674,$B$2,1,3))</f>
        <v>0</v>
      </c>
      <c r="E3674">
        <f ca="1">IF(A3674="","",COUNTIF(D$6:D3674,"True"))</f>
        <v>32</v>
      </c>
      <c r="F3674" t="str">
        <f t="shared" si="57"/>
        <v>601083.SH</v>
      </c>
    </row>
    <row r="3675" spans="1:6" x14ac:dyDescent="0.15">
      <c r="A3675" s="2">
        <v>46089</v>
      </c>
      <c r="B3675" s="1" t="s">
        <v>6926</v>
      </c>
      <c r="C3675" s="1" t="s">
        <v>6927</v>
      </c>
      <c r="D3675" t="b">
        <f ca="1">IF(A3675="","",[1]!s_techanal_rcnthigh(B3675,$B$2,1,3))</f>
        <v>0</v>
      </c>
      <c r="E3675">
        <f ca="1">IF(A3675="","",COUNTIF(D$6:D3675,"True"))</f>
        <v>32</v>
      </c>
      <c r="F3675" t="str">
        <f t="shared" si="57"/>
        <v>601086.SH</v>
      </c>
    </row>
    <row r="3676" spans="1:6" x14ac:dyDescent="0.15">
      <c r="A3676" s="2">
        <v>46089</v>
      </c>
      <c r="B3676" s="1" t="s">
        <v>6928</v>
      </c>
      <c r="C3676" s="1" t="s">
        <v>6929</v>
      </c>
      <c r="D3676" t="b">
        <f ca="1">IF(A3676="","",[1]!s_techanal_rcnthigh(B3676,$B$2,1,3))</f>
        <v>0</v>
      </c>
      <c r="E3676">
        <f ca="1">IF(A3676="","",COUNTIF(D$6:D3676,"True"))</f>
        <v>32</v>
      </c>
      <c r="F3676" t="str">
        <f t="shared" si="57"/>
        <v>601088.SH</v>
      </c>
    </row>
    <row r="3677" spans="1:6" x14ac:dyDescent="0.15">
      <c r="A3677" s="2">
        <v>46089</v>
      </c>
      <c r="B3677" s="1" t="s">
        <v>6930</v>
      </c>
      <c r="C3677" s="1" t="s">
        <v>6931</v>
      </c>
      <c r="D3677" t="b">
        <f ca="1">IF(A3677="","",[1]!s_techanal_rcnthigh(B3677,$B$2,1,3))</f>
        <v>0</v>
      </c>
      <c r="E3677">
        <f ca="1">IF(A3677="","",COUNTIF(D$6:D3677,"True"))</f>
        <v>32</v>
      </c>
      <c r="F3677" t="str">
        <f t="shared" si="57"/>
        <v>601089.SH</v>
      </c>
    </row>
    <row r="3678" spans="1:6" x14ac:dyDescent="0.15">
      <c r="A3678" s="2">
        <v>46089</v>
      </c>
      <c r="B3678" s="1" t="s">
        <v>6932</v>
      </c>
      <c r="C3678" s="1" t="s">
        <v>6933</v>
      </c>
      <c r="D3678" t="b">
        <f ca="1">IF(A3678="","",[1]!s_techanal_rcnthigh(B3678,$B$2,1,3))</f>
        <v>0</v>
      </c>
      <c r="E3678">
        <f ca="1">IF(A3678="","",COUNTIF(D$6:D3678,"True"))</f>
        <v>32</v>
      </c>
      <c r="F3678" t="str">
        <f t="shared" si="57"/>
        <v>601096.SH</v>
      </c>
    </row>
    <row r="3679" spans="1:6" x14ac:dyDescent="0.15">
      <c r="A3679" s="2">
        <v>46089</v>
      </c>
      <c r="B3679" s="1" t="s">
        <v>6934</v>
      </c>
      <c r="C3679" s="1" t="s">
        <v>6935</v>
      </c>
      <c r="D3679" t="b">
        <f ca="1">IF(A3679="","",[1]!s_techanal_rcnthigh(B3679,$B$2,1,3))</f>
        <v>0</v>
      </c>
      <c r="E3679">
        <f ca="1">IF(A3679="","",COUNTIF(D$6:D3679,"True"))</f>
        <v>32</v>
      </c>
      <c r="F3679" t="str">
        <f t="shared" si="57"/>
        <v>601098.SH</v>
      </c>
    </row>
    <row r="3680" spans="1:6" x14ac:dyDescent="0.15">
      <c r="A3680" s="2">
        <v>46089</v>
      </c>
      <c r="B3680" s="1" t="s">
        <v>6936</v>
      </c>
      <c r="C3680" s="1" t="s">
        <v>6937</v>
      </c>
      <c r="D3680" t="b">
        <f ca="1">IF(A3680="","",[1]!s_techanal_rcnthigh(B3680,$B$2,1,3))</f>
        <v>0</v>
      </c>
      <c r="E3680">
        <f ca="1">IF(A3680="","",COUNTIF(D$6:D3680,"True"))</f>
        <v>32</v>
      </c>
      <c r="F3680" t="str">
        <f t="shared" si="57"/>
        <v>601099.SH</v>
      </c>
    </row>
    <row r="3681" spans="1:6" x14ac:dyDescent="0.15">
      <c r="A3681" s="2">
        <v>46089</v>
      </c>
      <c r="B3681" s="1" t="s">
        <v>6938</v>
      </c>
      <c r="C3681" s="1" t="s">
        <v>6939</v>
      </c>
      <c r="D3681" t="b">
        <f ca="1">IF(A3681="","",[1]!s_techanal_rcnthigh(B3681,$B$2,1,3))</f>
        <v>0</v>
      </c>
      <c r="E3681">
        <f ca="1">IF(A3681="","",COUNTIF(D$6:D3681,"True"))</f>
        <v>32</v>
      </c>
      <c r="F3681" t="str">
        <f t="shared" si="57"/>
        <v>601100.SH</v>
      </c>
    </row>
    <row r="3682" spans="1:6" x14ac:dyDescent="0.15">
      <c r="A3682" s="2">
        <v>46089</v>
      </c>
      <c r="B3682" s="1" t="s">
        <v>6940</v>
      </c>
      <c r="C3682" s="1" t="s">
        <v>6941</v>
      </c>
      <c r="D3682" t="b">
        <f ca="1">IF(A3682="","",[1]!s_techanal_rcnthigh(B3682,$B$2,1,3))</f>
        <v>0</v>
      </c>
      <c r="E3682">
        <f ca="1">IF(A3682="","",COUNTIF(D$6:D3682,"True"))</f>
        <v>32</v>
      </c>
      <c r="F3682" t="str">
        <f t="shared" si="57"/>
        <v>601101.SH</v>
      </c>
    </row>
    <row r="3683" spans="1:6" x14ac:dyDescent="0.15">
      <c r="A3683" s="2">
        <v>46089</v>
      </c>
      <c r="B3683" s="1" t="s">
        <v>6942</v>
      </c>
      <c r="C3683" s="1" t="s">
        <v>6943</v>
      </c>
      <c r="D3683" t="b">
        <f ca="1">IF(A3683="","",[1]!s_techanal_rcnthigh(B3683,$B$2,1,3))</f>
        <v>0</v>
      </c>
      <c r="E3683">
        <f ca="1">IF(A3683="","",COUNTIF(D$6:D3683,"True"))</f>
        <v>32</v>
      </c>
      <c r="F3683" t="str">
        <f t="shared" si="57"/>
        <v>601106.SH</v>
      </c>
    </row>
    <row r="3684" spans="1:6" x14ac:dyDescent="0.15">
      <c r="A3684" s="2">
        <v>46089</v>
      </c>
      <c r="B3684" s="1" t="s">
        <v>6944</v>
      </c>
      <c r="C3684" s="1" t="s">
        <v>6945</v>
      </c>
      <c r="D3684" t="b">
        <f ca="1">IF(A3684="","",[1]!s_techanal_rcnthigh(B3684,$B$2,1,3))</f>
        <v>0</v>
      </c>
      <c r="E3684">
        <f ca="1">IF(A3684="","",COUNTIF(D$6:D3684,"True"))</f>
        <v>32</v>
      </c>
      <c r="F3684" t="str">
        <f t="shared" si="57"/>
        <v>601107.SH</v>
      </c>
    </row>
    <row r="3685" spans="1:6" x14ac:dyDescent="0.15">
      <c r="A3685" s="2">
        <v>46089</v>
      </c>
      <c r="B3685" s="1" t="s">
        <v>6946</v>
      </c>
      <c r="C3685" s="1" t="s">
        <v>6947</v>
      </c>
      <c r="D3685" t="b">
        <f ca="1">IF(A3685="","",[1]!s_techanal_rcnthigh(B3685,$B$2,1,3))</f>
        <v>0</v>
      </c>
      <c r="E3685">
        <f ca="1">IF(A3685="","",COUNTIF(D$6:D3685,"True"))</f>
        <v>32</v>
      </c>
      <c r="F3685" t="str">
        <f t="shared" si="57"/>
        <v>601108.SH</v>
      </c>
    </row>
    <row r="3686" spans="1:6" x14ac:dyDescent="0.15">
      <c r="A3686" s="2">
        <v>46089</v>
      </c>
      <c r="B3686" s="1" t="s">
        <v>6948</v>
      </c>
      <c r="C3686" s="1" t="s">
        <v>6949</v>
      </c>
      <c r="D3686" t="b">
        <f ca="1">IF(A3686="","",[1]!s_techanal_rcnthigh(B3686,$B$2,1,3))</f>
        <v>0</v>
      </c>
      <c r="E3686">
        <f ca="1">IF(A3686="","",COUNTIF(D$6:D3686,"True"))</f>
        <v>32</v>
      </c>
      <c r="F3686" t="str">
        <f t="shared" si="57"/>
        <v>601111.SH</v>
      </c>
    </row>
    <row r="3687" spans="1:6" x14ac:dyDescent="0.15">
      <c r="A3687" s="2">
        <v>46089</v>
      </c>
      <c r="B3687" s="1" t="s">
        <v>10450</v>
      </c>
      <c r="C3687" s="1" t="s">
        <v>10451</v>
      </c>
      <c r="D3687" t="b">
        <f ca="1">IF(A3687="","",[1]!s_techanal_rcnthigh(B3687,$B$2,1,3))</f>
        <v>0</v>
      </c>
      <c r="E3687">
        <f ca="1">IF(A3687="","",COUNTIF(D$6:D3687,"True"))</f>
        <v>32</v>
      </c>
      <c r="F3687" t="str">
        <f t="shared" si="57"/>
        <v>601112.SH</v>
      </c>
    </row>
    <row r="3688" spans="1:6" x14ac:dyDescent="0.15">
      <c r="A3688" s="2">
        <v>46089</v>
      </c>
      <c r="B3688" s="1" t="s">
        <v>6950</v>
      </c>
      <c r="C3688" s="1" t="s">
        <v>6951</v>
      </c>
      <c r="D3688" t="b">
        <f ca="1">IF(A3688="","",[1]!s_techanal_rcnthigh(B3688,$B$2,1,3))</f>
        <v>0</v>
      </c>
      <c r="E3688">
        <f ca="1">IF(A3688="","",COUNTIF(D$6:D3688,"True"))</f>
        <v>32</v>
      </c>
      <c r="F3688" t="str">
        <f t="shared" si="57"/>
        <v>601113.SH</v>
      </c>
    </row>
    <row r="3689" spans="1:6" x14ac:dyDescent="0.15">
      <c r="A3689" s="2">
        <v>46089</v>
      </c>
      <c r="B3689" s="1" t="s">
        <v>6952</v>
      </c>
      <c r="C3689" s="1" t="s">
        <v>6953</v>
      </c>
      <c r="D3689" t="b">
        <f ca="1">IF(A3689="","",[1]!s_techanal_rcnthigh(B3689,$B$2,1,3))</f>
        <v>0</v>
      </c>
      <c r="E3689">
        <f ca="1">IF(A3689="","",COUNTIF(D$6:D3689,"True"))</f>
        <v>32</v>
      </c>
      <c r="F3689" t="str">
        <f t="shared" si="57"/>
        <v>601116.SH</v>
      </c>
    </row>
    <row r="3690" spans="1:6" x14ac:dyDescent="0.15">
      <c r="A3690" s="2">
        <v>46089</v>
      </c>
      <c r="B3690" s="1" t="s">
        <v>6954</v>
      </c>
      <c r="C3690" s="1" t="s">
        <v>6955</v>
      </c>
      <c r="D3690" t="b">
        <f ca="1">IF(A3690="","",[1]!s_techanal_rcnthigh(B3690,$B$2,1,3))</f>
        <v>0</v>
      </c>
      <c r="E3690">
        <f ca="1">IF(A3690="","",COUNTIF(D$6:D3690,"True"))</f>
        <v>32</v>
      </c>
      <c r="F3690" t="str">
        <f t="shared" si="57"/>
        <v>601117.SH</v>
      </c>
    </row>
    <row r="3691" spans="1:6" x14ac:dyDescent="0.15">
      <c r="A3691" s="2">
        <v>46089</v>
      </c>
      <c r="B3691" s="1" t="s">
        <v>6956</v>
      </c>
      <c r="C3691" s="1" t="s">
        <v>6957</v>
      </c>
      <c r="D3691" t="b">
        <f ca="1">IF(A3691="","",[1]!s_techanal_rcnthigh(B3691,$B$2,1,3))</f>
        <v>0</v>
      </c>
      <c r="E3691">
        <f ca="1">IF(A3691="","",COUNTIF(D$6:D3691,"True"))</f>
        <v>32</v>
      </c>
      <c r="F3691" t="str">
        <f t="shared" si="57"/>
        <v>601118.SH</v>
      </c>
    </row>
    <row r="3692" spans="1:6" x14ac:dyDescent="0.15">
      <c r="A3692" s="2">
        <v>46089</v>
      </c>
      <c r="B3692" s="1" t="s">
        <v>6958</v>
      </c>
      <c r="C3692" s="1" t="s">
        <v>6959</v>
      </c>
      <c r="D3692" t="b">
        <f ca="1">IF(A3692="","",[1]!s_techanal_rcnthigh(B3692,$B$2,1,3))</f>
        <v>0</v>
      </c>
      <c r="E3692">
        <f ca="1">IF(A3692="","",COUNTIF(D$6:D3692,"True"))</f>
        <v>32</v>
      </c>
      <c r="F3692" t="str">
        <f t="shared" si="57"/>
        <v>601121.SH</v>
      </c>
    </row>
    <row r="3693" spans="1:6" x14ac:dyDescent="0.15">
      <c r="A3693" s="2">
        <v>46089</v>
      </c>
      <c r="B3693" s="1" t="s">
        <v>6960</v>
      </c>
      <c r="C3693" s="1" t="s">
        <v>6961</v>
      </c>
      <c r="D3693" t="b">
        <f ca="1">IF(A3693="","",[1]!s_techanal_rcnthigh(B3693,$B$2,1,3))</f>
        <v>1</v>
      </c>
      <c r="E3693">
        <f ca="1">IF(A3693="","",COUNTIF(D$6:D3693,"True"))</f>
        <v>33</v>
      </c>
      <c r="F3693" t="str">
        <f t="shared" si="57"/>
        <v>601126.SH</v>
      </c>
    </row>
    <row r="3694" spans="1:6" x14ac:dyDescent="0.15">
      <c r="A3694" s="2">
        <v>46089</v>
      </c>
      <c r="B3694" s="1" t="s">
        <v>6962</v>
      </c>
      <c r="C3694" s="1" t="s">
        <v>6963</v>
      </c>
      <c r="D3694" t="b">
        <f ca="1">IF(A3694="","",[1]!s_techanal_rcnthigh(B3694,$B$2,1,3))</f>
        <v>0</v>
      </c>
      <c r="E3694">
        <f ca="1">IF(A3694="","",COUNTIF(D$6:D3694,"True"))</f>
        <v>33</v>
      </c>
      <c r="F3694" t="str">
        <f t="shared" si="57"/>
        <v>601127.SH</v>
      </c>
    </row>
    <row r="3695" spans="1:6" x14ac:dyDescent="0.15">
      <c r="A3695" s="2">
        <v>46089</v>
      </c>
      <c r="B3695" s="1" t="s">
        <v>6964</v>
      </c>
      <c r="C3695" s="1" t="s">
        <v>6965</v>
      </c>
      <c r="D3695" t="b">
        <f ca="1">IF(A3695="","",[1]!s_techanal_rcnthigh(B3695,$B$2,1,3))</f>
        <v>0</v>
      </c>
      <c r="E3695">
        <f ca="1">IF(A3695="","",COUNTIF(D$6:D3695,"True"))</f>
        <v>33</v>
      </c>
      <c r="F3695" t="str">
        <f t="shared" si="57"/>
        <v>601128.SH</v>
      </c>
    </row>
    <row r="3696" spans="1:6" x14ac:dyDescent="0.15">
      <c r="A3696" s="2">
        <v>46089</v>
      </c>
      <c r="B3696" s="1" t="s">
        <v>6966</v>
      </c>
      <c r="C3696" s="1" t="s">
        <v>6967</v>
      </c>
      <c r="D3696" t="b">
        <f ca="1">IF(A3696="","",[1]!s_techanal_rcnthigh(B3696,$B$2,1,3))</f>
        <v>0</v>
      </c>
      <c r="E3696">
        <f ca="1">IF(A3696="","",COUNTIF(D$6:D3696,"True"))</f>
        <v>33</v>
      </c>
      <c r="F3696" t="str">
        <f t="shared" si="57"/>
        <v>601133.SH</v>
      </c>
    </row>
    <row r="3697" spans="1:6" x14ac:dyDescent="0.15">
      <c r="A3697" s="2">
        <v>46089</v>
      </c>
      <c r="B3697" s="1" t="s">
        <v>6968</v>
      </c>
      <c r="C3697" s="1" t="s">
        <v>6969</v>
      </c>
      <c r="D3697" t="b">
        <f ca="1">IF(A3697="","",[1]!s_techanal_rcnthigh(B3697,$B$2,1,3))</f>
        <v>0</v>
      </c>
      <c r="E3697">
        <f ca="1">IF(A3697="","",COUNTIF(D$6:D3697,"True"))</f>
        <v>33</v>
      </c>
      <c r="F3697" t="str">
        <f t="shared" si="57"/>
        <v>601136.SH</v>
      </c>
    </row>
    <row r="3698" spans="1:6" x14ac:dyDescent="0.15">
      <c r="A3698" s="2">
        <v>46089</v>
      </c>
      <c r="B3698" s="1" t="s">
        <v>6970</v>
      </c>
      <c r="C3698" s="1" t="s">
        <v>6971</v>
      </c>
      <c r="D3698" t="b">
        <f ca="1">IF(A3698="","",[1]!s_techanal_rcnthigh(B3698,$B$2,1,3))</f>
        <v>0</v>
      </c>
      <c r="E3698">
        <f ca="1">IF(A3698="","",COUNTIF(D$6:D3698,"True"))</f>
        <v>33</v>
      </c>
      <c r="F3698" t="str">
        <f t="shared" si="57"/>
        <v>601137.SH</v>
      </c>
    </row>
    <row r="3699" spans="1:6" x14ac:dyDescent="0.15">
      <c r="A3699" s="2">
        <v>46089</v>
      </c>
      <c r="B3699" s="1" t="s">
        <v>6972</v>
      </c>
      <c r="C3699" s="1" t="s">
        <v>6973</v>
      </c>
      <c r="D3699" t="b">
        <f ca="1">IF(A3699="","",[1]!s_techanal_rcnthigh(B3699,$B$2,1,3))</f>
        <v>0</v>
      </c>
      <c r="E3699">
        <f ca="1">IF(A3699="","",COUNTIF(D$6:D3699,"True"))</f>
        <v>33</v>
      </c>
      <c r="F3699" t="str">
        <f t="shared" si="57"/>
        <v>601138.SH</v>
      </c>
    </row>
    <row r="3700" spans="1:6" x14ac:dyDescent="0.15">
      <c r="A3700" s="2">
        <v>46089</v>
      </c>
      <c r="B3700" s="1" t="s">
        <v>6974</v>
      </c>
      <c r="C3700" s="1" t="s">
        <v>6975</v>
      </c>
      <c r="D3700" t="b">
        <f ca="1">IF(A3700="","",[1]!s_techanal_rcnthigh(B3700,$B$2,1,3))</f>
        <v>0</v>
      </c>
      <c r="E3700">
        <f ca="1">IF(A3700="","",COUNTIF(D$6:D3700,"True"))</f>
        <v>33</v>
      </c>
      <c r="F3700" t="str">
        <f t="shared" si="57"/>
        <v>601139.SH</v>
      </c>
    </row>
    <row r="3701" spans="1:6" x14ac:dyDescent="0.15">
      <c r="A3701" s="2">
        <v>46089</v>
      </c>
      <c r="B3701" s="1" t="s">
        <v>6976</v>
      </c>
      <c r="C3701" s="1" t="s">
        <v>6977</v>
      </c>
      <c r="D3701" t="b">
        <f ca="1">IF(A3701="","",[1]!s_techanal_rcnthigh(B3701,$B$2,1,3))</f>
        <v>0</v>
      </c>
      <c r="E3701">
        <f ca="1">IF(A3701="","",COUNTIF(D$6:D3701,"True"))</f>
        <v>33</v>
      </c>
      <c r="F3701" t="str">
        <f t="shared" si="57"/>
        <v>601155.SH</v>
      </c>
    </row>
    <row r="3702" spans="1:6" x14ac:dyDescent="0.15">
      <c r="A3702" s="2">
        <v>46089</v>
      </c>
      <c r="B3702" s="1" t="s">
        <v>6978</v>
      </c>
      <c r="C3702" s="1" t="s">
        <v>6979</v>
      </c>
      <c r="D3702" t="b">
        <f ca="1">IF(A3702="","",[1]!s_techanal_rcnthigh(B3702,$B$2,1,3))</f>
        <v>0</v>
      </c>
      <c r="E3702">
        <f ca="1">IF(A3702="","",COUNTIF(D$6:D3702,"True"))</f>
        <v>33</v>
      </c>
      <c r="F3702" t="str">
        <f t="shared" si="57"/>
        <v>601156.SH</v>
      </c>
    </row>
    <row r="3703" spans="1:6" x14ac:dyDescent="0.15">
      <c r="A3703" s="2">
        <v>46089</v>
      </c>
      <c r="B3703" s="1" t="s">
        <v>6980</v>
      </c>
      <c r="C3703" s="1" t="s">
        <v>6981</v>
      </c>
      <c r="D3703" t="b">
        <f ca="1">IF(A3703="","",[1]!s_techanal_rcnthigh(B3703,$B$2,1,3))</f>
        <v>0</v>
      </c>
      <c r="E3703">
        <f ca="1">IF(A3703="","",COUNTIF(D$6:D3703,"True"))</f>
        <v>33</v>
      </c>
      <c r="F3703" t="str">
        <f t="shared" si="57"/>
        <v>601158.SH</v>
      </c>
    </row>
    <row r="3704" spans="1:6" x14ac:dyDescent="0.15">
      <c r="A3704" s="2">
        <v>46089</v>
      </c>
      <c r="B3704" s="1" t="s">
        <v>6982</v>
      </c>
      <c r="C3704" s="1" t="s">
        <v>6983</v>
      </c>
      <c r="D3704" t="b">
        <f ca="1">IF(A3704="","",[1]!s_techanal_rcnthigh(B3704,$B$2,1,3))</f>
        <v>0</v>
      </c>
      <c r="E3704">
        <f ca="1">IF(A3704="","",COUNTIF(D$6:D3704,"True"))</f>
        <v>33</v>
      </c>
      <c r="F3704" t="str">
        <f t="shared" si="57"/>
        <v>601162.SH</v>
      </c>
    </row>
    <row r="3705" spans="1:6" x14ac:dyDescent="0.15">
      <c r="A3705" s="2">
        <v>46089</v>
      </c>
      <c r="B3705" s="1" t="s">
        <v>6984</v>
      </c>
      <c r="C3705" s="1" t="s">
        <v>6985</v>
      </c>
      <c r="D3705" t="b">
        <f ca="1">IF(A3705="","",[1]!s_techanal_rcnthigh(B3705,$B$2,1,3))</f>
        <v>0</v>
      </c>
      <c r="E3705">
        <f ca="1">IF(A3705="","",COUNTIF(D$6:D3705,"True"))</f>
        <v>33</v>
      </c>
      <c r="F3705" t="str">
        <f t="shared" si="57"/>
        <v>601163.SH</v>
      </c>
    </row>
    <row r="3706" spans="1:6" x14ac:dyDescent="0.15">
      <c r="A3706" s="2">
        <v>46089</v>
      </c>
      <c r="B3706" s="1" t="s">
        <v>6986</v>
      </c>
      <c r="C3706" s="1" t="s">
        <v>6987</v>
      </c>
      <c r="D3706" t="b">
        <f ca="1">IF(A3706="","",[1]!s_techanal_rcnthigh(B3706,$B$2,1,3))</f>
        <v>0</v>
      </c>
      <c r="E3706">
        <f ca="1">IF(A3706="","",COUNTIF(D$6:D3706,"True"))</f>
        <v>33</v>
      </c>
      <c r="F3706" t="str">
        <f t="shared" si="57"/>
        <v>601166.SH</v>
      </c>
    </row>
    <row r="3707" spans="1:6" x14ac:dyDescent="0.15">
      <c r="A3707" s="2">
        <v>46089</v>
      </c>
      <c r="B3707" s="1" t="s">
        <v>6988</v>
      </c>
      <c r="C3707" s="1" t="s">
        <v>6989</v>
      </c>
      <c r="D3707" t="b">
        <f ca="1">IF(A3707="","",[1]!s_techanal_rcnthigh(B3707,$B$2,1,3))</f>
        <v>0</v>
      </c>
      <c r="E3707">
        <f ca="1">IF(A3707="","",COUNTIF(D$6:D3707,"True"))</f>
        <v>33</v>
      </c>
      <c r="F3707" t="str">
        <f t="shared" si="57"/>
        <v>601168.SH</v>
      </c>
    </row>
    <row r="3708" spans="1:6" x14ac:dyDescent="0.15">
      <c r="A3708" s="2">
        <v>46089</v>
      </c>
      <c r="B3708" s="1" t="s">
        <v>6990</v>
      </c>
      <c r="C3708" s="1" t="s">
        <v>6991</v>
      </c>
      <c r="D3708" t="b">
        <f ca="1">IF(A3708="","",[1]!s_techanal_rcnthigh(B3708,$B$2,1,3))</f>
        <v>0</v>
      </c>
      <c r="E3708">
        <f ca="1">IF(A3708="","",COUNTIF(D$6:D3708,"True"))</f>
        <v>33</v>
      </c>
      <c r="F3708" t="str">
        <f t="shared" si="57"/>
        <v>601169.SH</v>
      </c>
    </row>
    <row r="3709" spans="1:6" x14ac:dyDescent="0.15">
      <c r="A3709" s="2">
        <v>46089</v>
      </c>
      <c r="B3709" s="1" t="s">
        <v>6992</v>
      </c>
      <c r="C3709" s="1" t="s">
        <v>6993</v>
      </c>
      <c r="D3709" t="b">
        <f ca="1">IF(A3709="","",[1]!s_techanal_rcnthigh(B3709,$B$2,1,3))</f>
        <v>0</v>
      </c>
      <c r="E3709">
        <f ca="1">IF(A3709="","",COUNTIF(D$6:D3709,"True"))</f>
        <v>33</v>
      </c>
      <c r="F3709" t="str">
        <f t="shared" si="57"/>
        <v>601177.SH</v>
      </c>
    </row>
    <row r="3710" spans="1:6" x14ac:dyDescent="0.15">
      <c r="A3710" s="2">
        <v>46089</v>
      </c>
      <c r="B3710" s="1" t="s">
        <v>6994</v>
      </c>
      <c r="C3710" s="1" t="s">
        <v>6995</v>
      </c>
      <c r="D3710" t="b">
        <f ca="1">IF(A3710="","",[1]!s_techanal_rcnthigh(B3710,$B$2,1,3))</f>
        <v>1</v>
      </c>
      <c r="E3710">
        <f ca="1">IF(A3710="","",COUNTIF(D$6:D3710,"True"))</f>
        <v>34</v>
      </c>
      <c r="F3710" t="str">
        <f t="shared" si="57"/>
        <v>601179.SH</v>
      </c>
    </row>
    <row r="3711" spans="1:6" x14ac:dyDescent="0.15">
      <c r="A3711" s="2">
        <v>46089</v>
      </c>
      <c r="B3711" s="1" t="s">
        <v>6996</v>
      </c>
      <c r="C3711" s="1" t="s">
        <v>6997</v>
      </c>
      <c r="D3711" t="b">
        <f ca="1">IF(A3711="","",[1]!s_techanal_rcnthigh(B3711,$B$2,1,3))</f>
        <v>0</v>
      </c>
      <c r="E3711">
        <f ca="1">IF(A3711="","",COUNTIF(D$6:D3711,"True"))</f>
        <v>34</v>
      </c>
      <c r="F3711" t="str">
        <f t="shared" si="57"/>
        <v>601186.SH</v>
      </c>
    </row>
    <row r="3712" spans="1:6" x14ac:dyDescent="0.15">
      <c r="A3712" s="2">
        <v>46089</v>
      </c>
      <c r="B3712" s="1" t="s">
        <v>6998</v>
      </c>
      <c r="C3712" s="1" t="s">
        <v>6999</v>
      </c>
      <c r="D3712" t="b">
        <f ca="1">IF(A3712="","",[1]!s_techanal_rcnthigh(B3712,$B$2,1,3))</f>
        <v>0</v>
      </c>
      <c r="E3712">
        <f ca="1">IF(A3712="","",COUNTIF(D$6:D3712,"True"))</f>
        <v>34</v>
      </c>
      <c r="F3712" t="str">
        <f t="shared" si="57"/>
        <v>601187.SH</v>
      </c>
    </row>
    <row r="3713" spans="1:6" x14ac:dyDescent="0.15">
      <c r="A3713" s="2">
        <v>46089</v>
      </c>
      <c r="B3713" s="1" t="s">
        <v>7000</v>
      </c>
      <c r="C3713" s="1" t="s">
        <v>7001</v>
      </c>
      <c r="D3713" t="b">
        <f ca="1">IF(A3713="","",[1]!s_techanal_rcnthigh(B3713,$B$2,1,3))</f>
        <v>0</v>
      </c>
      <c r="E3713">
        <f ca="1">IF(A3713="","",COUNTIF(D$6:D3713,"True"))</f>
        <v>34</v>
      </c>
      <c r="F3713" t="str">
        <f t="shared" si="57"/>
        <v>601188.SH</v>
      </c>
    </row>
    <row r="3714" spans="1:6" x14ac:dyDescent="0.15">
      <c r="A3714" s="2">
        <v>46089</v>
      </c>
      <c r="B3714" s="1" t="s">
        <v>7002</v>
      </c>
      <c r="C3714" s="1" t="s">
        <v>7003</v>
      </c>
      <c r="D3714" t="b">
        <f ca="1">IF(A3714="","",[1]!s_techanal_rcnthigh(B3714,$B$2,1,3))</f>
        <v>0</v>
      </c>
      <c r="E3714">
        <f ca="1">IF(A3714="","",COUNTIF(D$6:D3714,"True"))</f>
        <v>34</v>
      </c>
      <c r="F3714" t="str">
        <f t="shared" si="57"/>
        <v>601198.SH</v>
      </c>
    </row>
    <row r="3715" spans="1:6" x14ac:dyDescent="0.15">
      <c r="A3715" s="2">
        <v>46089</v>
      </c>
      <c r="B3715" s="1" t="s">
        <v>7004</v>
      </c>
      <c r="C3715" s="1" t="s">
        <v>7005</v>
      </c>
      <c r="D3715" t="b">
        <f ca="1">IF(A3715="","",[1]!s_techanal_rcnthigh(B3715,$B$2,1,3))</f>
        <v>0</v>
      </c>
      <c r="E3715">
        <f ca="1">IF(A3715="","",COUNTIF(D$6:D3715,"True"))</f>
        <v>34</v>
      </c>
      <c r="F3715" t="str">
        <f t="shared" si="57"/>
        <v>601199.SH</v>
      </c>
    </row>
    <row r="3716" spans="1:6" x14ac:dyDescent="0.15">
      <c r="A3716" s="2">
        <v>46089</v>
      </c>
      <c r="B3716" s="1" t="s">
        <v>7006</v>
      </c>
      <c r="C3716" s="1" t="s">
        <v>7007</v>
      </c>
      <c r="D3716" t="b">
        <f ca="1">IF(A3716="","",[1]!s_techanal_rcnthigh(B3716,$B$2,1,3))</f>
        <v>0</v>
      </c>
      <c r="E3716">
        <f ca="1">IF(A3716="","",COUNTIF(D$6:D3716,"True"))</f>
        <v>34</v>
      </c>
      <c r="F3716" t="str">
        <f t="shared" si="57"/>
        <v>601200.SH</v>
      </c>
    </row>
    <row r="3717" spans="1:6" x14ac:dyDescent="0.15">
      <c r="A3717" s="2">
        <v>46089</v>
      </c>
      <c r="B3717" s="1" t="s">
        <v>7008</v>
      </c>
      <c r="C3717" s="1" t="s">
        <v>7009</v>
      </c>
      <c r="D3717" t="b">
        <f ca="1">IF(A3717="","",[1]!s_techanal_rcnthigh(B3717,$B$2,1,3))</f>
        <v>0</v>
      </c>
      <c r="E3717">
        <f ca="1">IF(A3717="","",COUNTIF(D$6:D3717,"True"))</f>
        <v>34</v>
      </c>
      <c r="F3717" t="str">
        <f t="shared" si="57"/>
        <v>601208.SH</v>
      </c>
    </row>
    <row r="3718" spans="1:6" x14ac:dyDescent="0.15">
      <c r="A3718" s="2">
        <v>46089</v>
      </c>
      <c r="B3718" s="1" t="s">
        <v>7010</v>
      </c>
      <c r="C3718" s="1" t="s">
        <v>10452</v>
      </c>
      <c r="D3718" t="b">
        <f ca="1">IF(A3718="","",[1]!s_techanal_rcnthigh(B3718,$B$2,1,3))</f>
        <v>0</v>
      </c>
      <c r="E3718">
        <f ca="1">IF(A3718="","",COUNTIF(D$6:D3718,"True"))</f>
        <v>34</v>
      </c>
      <c r="F3718" t="str">
        <f t="shared" ref="F3718:F3781" si="58">IF(B3718="","",B3718)</f>
        <v>601211.SH</v>
      </c>
    </row>
    <row r="3719" spans="1:6" x14ac:dyDescent="0.15">
      <c r="A3719" s="2">
        <v>46089</v>
      </c>
      <c r="B3719" s="1" t="s">
        <v>7011</v>
      </c>
      <c r="C3719" s="1" t="s">
        <v>7012</v>
      </c>
      <c r="D3719" t="b">
        <f ca="1">IF(A3719="","",[1]!s_techanal_rcnthigh(B3719,$B$2,1,3))</f>
        <v>0</v>
      </c>
      <c r="E3719">
        <f ca="1">IF(A3719="","",COUNTIF(D$6:D3719,"True"))</f>
        <v>34</v>
      </c>
      <c r="F3719" t="str">
        <f t="shared" si="58"/>
        <v>601212.SH</v>
      </c>
    </row>
    <row r="3720" spans="1:6" x14ac:dyDescent="0.15">
      <c r="A3720" s="2">
        <v>46089</v>
      </c>
      <c r="B3720" s="1" t="s">
        <v>7013</v>
      </c>
      <c r="C3720" s="1" t="s">
        <v>7014</v>
      </c>
      <c r="D3720" t="b">
        <f ca="1">IF(A3720="","",[1]!s_techanal_rcnthigh(B3720,$B$2,1,3))</f>
        <v>0</v>
      </c>
      <c r="E3720">
        <f ca="1">IF(A3720="","",COUNTIF(D$6:D3720,"True"))</f>
        <v>34</v>
      </c>
      <c r="F3720" t="str">
        <f t="shared" si="58"/>
        <v>601216.SH</v>
      </c>
    </row>
    <row r="3721" spans="1:6" x14ac:dyDescent="0.15">
      <c r="A3721" s="2">
        <v>46089</v>
      </c>
      <c r="B3721" s="1" t="s">
        <v>7015</v>
      </c>
      <c r="C3721" s="1" t="s">
        <v>7016</v>
      </c>
      <c r="D3721" t="b">
        <f ca="1">IF(A3721="","",[1]!s_techanal_rcnthigh(B3721,$B$2,1,3))</f>
        <v>0</v>
      </c>
      <c r="E3721">
        <f ca="1">IF(A3721="","",COUNTIF(D$6:D3721,"True"))</f>
        <v>34</v>
      </c>
      <c r="F3721" t="str">
        <f t="shared" si="58"/>
        <v>601218.SH</v>
      </c>
    </row>
    <row r="3722" spans="1:6" x14ac:dyDescent="0.15">
      <c r="A3722" s="2">
        <v>46089</v>
      </c>
      <c r="B3722" s="1" t="s">
        <v>7017</v>
      </c>
      <c r="C3722" s="1" t="s">
        <v>7018</v>
      </c>
      <c r="D3722" t="b">
        <f ca="1">IF(A3722="","",[1]!s_techanal_rcnthigh(B3722,$B$2,1,3))</f>
        <v>0</v>
      </c>
      <c r="E3722">
        <f ca="1">IF(A3722="","",COUNTIF(D$6:D3722,"True"))</f>
        <v>34</v>
      </c>
      <c r="F3722" t="str">
        <f t="shared" si="58"/>
        <v>601222.SH</v>
      </c>
    </row>
    <row r="3723" spans="1:6" x14ac:dyDescent="0.15">
      <c r="A3723" s="2">
        <v>46089</v>
      </c>
      <c r="B3723" s="1" t="s">
        <v>7019</v>
      </c>
      <c r="C3723" s="1" t="s">
        <v>7020</v>
      </c>
      <c r="D3723" t="b">
        <f ca="1">IF(A3723="","",[1]!s_techanal_rcnthigh(B3723,$B$2,1,3))</f>
        <v>0</v>
      </c>
      <c r="E3723">
        <f ca="1">IF(A3723="","",COUNTIF(D$6:D3723,"True"))</f>
        <v>34</v>
      </c>
      <c r="F3723" t="str">
        <f t="shared" si="58"/>
        <v>601225.SH</v>
      </c>
    </row>
    <row r="3724" spans="1:6" x14ac:dyDescent="0.15">
      <c r="A3724" s="2">
        <v>46089</v>
      </c>
      <c r="B3724" s="1" t="s">
        <v>7021</v>
      </c>
      <c r="C3724" s="1" t="s">
        <v>10453</v>
      </c>
      <c r="D3724" t="b">
        <f ca="1">IF(A3724="","",[1]!s_techanal_rcnthigh(B3724,$B$2,1,3))</f>
        <v>0</v>
      </c>
      <c r="E3724">
        <f ca="1">IF(A3724="","",COUNTIF(D$6:D3724,"True"))</f>
        <v>34</v>
      </c>
      <c r="F3724" t="str">
        <f t="shared" si="58"/>
        <v>601226.SH</v>
      </c>
    </row>
    <row r="3725" spans="1:6" x14ac:dyDescent="0.15">
      <c r="A3725" s="2">
        <v>46089</v>
      </c>
      <c r="B3725" s="1" t="s">
        <v>7022</v>
      </c>
      <c r="C3725" s="1" t="s">
        <v>7023</v>
      </c>
      <c r="D3725" t="b">
        <f ca="1">IF(A3725="","",[1]!s_techanal_rcnthigh(B3725,$B$2,1,3))</f>
        <v>0</v>
      </c>
      <c r="E3725">
        <f ca="1">IF(A3725="","",COUNTIF(D$6:D3725,"True"))</f>
        <v>34</v>
      </c>
      <c r="F3725" t="str">
        <f t="shared" si="58"/>
        <v>601228.SH</v>
      </c>
    </row>
    <row r="3726" spans="1:6" x14ac:dyDescent="0.15">
      <c r="A3726" s="2">
        <v>46089</v>
      </c>
      <c r="B3726" s="1" t="s">
        <v>7024</v>
      </c>
      <c r="C3726" s="1" t="s">
        <v>7025</v>
      </c>
      <c r="D3726" t="b">
        <f ca="1">IF(A3726="","",[1]!s_techanal_rcnthigh(B3726,$B$2,1,3))</f>
        <v>0</v>
      </c>
      <c r="E3726">
        <f ca="1">IF(A3726="","",COUNTIF(D$6:D3726,"True"))</f>
        <v>34</v>
      </c>
      <c r="F3726" t="str">
        <f t="shared" si="58"/>
        <v>601229.SH</v>
      </c>
    </row>
    <row r="3727" spans="1:6" x14ac:dyDescent="0.15">
      <c r="A3727" s="2">
        <v>46089</v>
      </c>
      <c r="B3727" s="1" t="s">
        <v>7026</v>
      </c>
      <c r="C3727" s="1" t="s">
        <v>7027</v>
      </c>
      <c r="D3727" t="b">
        <f ca="1">IF(A3727="","",[1]!s_techanal_rcnthigh(B3727,$B$2,1,3))</f>
        <v>0</v>
      </c>
      <c r="E3727">
        <f ca="1">IF(A3727="","",COUNTIF(D$6:D3727,"True"))</f>
        <v>34</v>
      </c>
      <c r="F3727" t="str">
        <f t="shared" si="58"/>
        <v>601231.SH</v>
      </c>
    </row>
    <row r="3728" spans="1:6" x14ac:dyDescent="0.15">
      <c r="A3728" s="2">
        <v>46089</v>
      </c>
      <c r="B3728" s="1" t="s">
        <v>7028</v>
      </c>
      <c r="C3728" s="1" t="s">
        <v>7029</v>
      </c>
      <c r="D3728" t="b">
        <f ca="1">IF(A3728="","",[1]!s_techanal_rcnthigh(B3728,$B$2,1,3))</f>
        <v>0</v>
      </c>
      <c r="E3728">
        <f ca="1">IF(A3728="","",COUNTIF(D$6:D3728,"True"))</f>
        <v>34</v>
      </c>
      <c r="F3728" t="str">
        <f t="shared" si="58"/>
        <v>601233.SH</v>
      </c>
    </row>
    <row r="3729" spans="1:6" x14ac:dyDescent="0.15">
      <c r="A3729" s="2">
        <v>46089</v>
      </c>
      <c r="B3729" s="1" t="s">
        <v>7030</v>
      </c>
      <c r="C3729" s="1" t="s">
        <v>7031</v>
      </c>
      <c r="D3729" t="b">
        <f ca="1">IF(A3729="","",[1]!s_techanal_rcnthigh(B3729,$B$2,1,3))</f>
        <v>0</v>
      </c>
      <c r="E3729">
        <f ca="1">IF(A3729="","",COUNTIF(D$6:D3729,"True"))</f>
        <v>34</v>
      </c>
      <c r="F3729" t="str">
        <f t="shared" si="58"/>
        <v>601236.SH</v>
      </c>
    </row>
    <row r="3730" spans="1:6" x14ac:dyDescent="0.15">
      <c r="A3730" s="2">
        <v>46089</v>
      </c>
      <c r="B3730" s="1" t="s">
        <v>7032</v>
      </c>
      <c r="C3730" s="1" t="s">
        <v>7033</v>
      </c>
      <c r="D3730" t="b">
        <f ca="1">IF(A3730="","",[1]!s_techanal_rcnthigh(B3730,$B$2,1,3))</f>
        <v>0</v>
      </c>
      <c r="E3730">
        <f ca="1">IF(A3730="","",COUNTIF(D$6:D3730,"True"))</f>
        <v>34</v>
      </c>
      <c r="F3730" t="str">
        <f t="shared" si="58"/>
        <v>601238.SH</v>
      </c>
    </row>
    <row r="3731" spans="1:6" x14ac:dyDescent="0.15">
      <c r="A3731" s="2">
        <v>46089</v>
      </c>
      <c r="B3731" s="1" t="s">
        <v>7034</v>
      </c>
      <c r="C3731" s="1" t="s">
        <v>7035</v>
      </c>
      <c r="D3731" t="b">
        <f ca="1">IF(A3731="","",[1]!s_techanal_rcnthigh(B3731,$B$2,1,3))</f>
        <v>0</v>
      </c>
      <c r="E3731">
        <f ca="1">IF(A3731="","",COUNTIF(D$6:D3731,"True"))</f>
        <v>34</v>
      </c>
      <c r="F3731" t="str">
        <f t="shared" si="58"/>
        <v>601279.SH</v>
      </c>
    </row>
    <row r="3732" spans="1:6" x14ac:dyDescent="0.15">
      <c r="A3732" s="2">
        <v>46089</v>
      </c>
      <c r="B3732" s="1" t="s">
        <v>7036</v>
      </c>
      <c r="C3732" s="1" t="s">
        <v>7037</v>
      </c>
      <c r="D3732" t="b">
        <f ca="1">IF(A3732="","",[1]!s_techanal_rcnthigh(B3732,$B$2,1,3))</f>
        <v>0</v>
      </c>
      <c r="E3732">
        <f ca="1">IF(A3732="","",COUNTIF(D$6:D3732,"True"))</f>
        <v>34</v>
      </c>
      <c r="F3732" t="str">
        <f t="shared" si="58"/>
        <v>601288.SH</v>
      </c>
    </row>
    <row r="3733" spans="1:6" x14ac:dyDescent="0.15">
      <c r="A3733" s="2">
        <v>46089</v>
      </c>
      <c r="B3733" s="1" t="s">
        <v>7038</v>
      </c>
      <c r="C3733" s="1" t="s">
        <v>7039</v>
      </c>
      <c r="D3733" t="b">
        <f ca="1">IF(A3733="","",[1]!s_techanal_rcnthigh(B3733,$B$2,1,3))</f>
        <v>0</v>
      </c>
      <c r="E3733">
        <f ca="1">IF(A3733="","",COUNTIF(D$6:D3733,"True"))</f>
        <v>34</v>
      </c>
      <c r="F3733" t="str">
        <f t="shared" si="58"/>
        <v>601298.SH</v>
      </c>
    </row>
    <row r="3734" spans="1:6" x14ac:dyDescent="0.15">
      <c r="A3734" s="2">
        <v>46089</v>
      </c>
      <c r="B3734" s="1" t="s">
        <v>7040</v>
      </c>
      <c r="C3734" s="1" t="s">
        <v>7041</v>
      </c>
      <c r="D3734" t="b">
        <f ca="1">IF(A3734="","",[1]!s_techanal_rcnthigh(B3734,$B$2,1,3))</f>
        <v>0</v>
      </c>
      <c r="E3734">
        <f ca="1">IF(A3734="","",COUNTIF(D$6:D3734,"True"))</f>
        <v>34</v>
      </c>
      <c r="F3734" t="str">
        <f t="shared" si="58"/>
        <v>601311.SH</v>
      </c>
    </row>
    <row r="3735" spans="1:6" x14ac:dyDescent="0.15">
      <c r="A3735" s="2">
        <v>46089</v>
      </c>
      <c r="B3735" s="1" t="s">
        <v>7042</v>
      </c>
      <c r="C3735" s="1" t="s">
        <v>7043</v>
      </c>
      <c r="D3735" t="b">
        <f ca="1">IF(A3735="","",[1]!s_techanal_rcnthigh(B3735,$B$2,1,3))</f>
        <v>0</v>
      </c>
      <c r="E3735">
        <f ca="1">IF(A3735="","",COUNTIF(D$6:D3735,"True"))</f>
        <v>34</v>
      </c>
      <c r="F3735" t="str">
        <f t="shared" si="58"/>
        <v>601318.SH</v>
      </c>
    </row>
    <row r="3736" spans="1:6" x14ac:dyDescent="0.15">
      <c r="A3736" s="2">
        <v>46089</v>
      </c>
      <c r="B3736" s="1" t="s">
        <v>7044</v>
      </c>
      <c r="C3736" s="1" t="s">
        <v>7045</v>
      </c>
      <c r="D3736" t="b">
        <f ca="1">IF(A3736="","",[1]!s_techanal_rcnthigh(B3736,$B$2,1,3))</f>
        <v>0</v>
      </c>
      <c r="E3736">
        <f ca="1">IF(A3736="","",COUNTIF(D$6:D3736,"True"))</f>
        <v>34</v>
      </c>
      <c r="F3736" t="str">
        <f t="shared" si="58"/>
        <v>601319.SH</v>
      </c>
    </row>
    <row r="3737" spans="1:6" x14ac:dyDescent="0.15">
      <c r="A3737" s="2">
        <v>46089</v>
      </c>
      <c r="B3737" s="1" t="s">
        <v>7046</v>
      </c>
      <c r="C3737" s="1" t="s">
        <v>7047</v>
      </c>
      <c r="D3737" t="b">
        <f ca="1">IF(A3737="","",[1]!s_techanal_rcnthigh(B3737,$B$2,1,3))</f>
        <v>0</v>
      </c>
      <c r="E3737">
        <f ca="1">IF(A3737="","",COUNTIF(D$6:D3737,"True"))</f>
        <v>34</v>
      </c>
      <c r="F3737" t="str">
        <f t="shared" si="58"/>
        <v>601326.SH</v>
      </c>
    </row>
    <row r="3738" spans="1:6" x14ac:dyDescent="0.15">
      <c r="A3738" s="2">
        <v>46089</v>
      </c>
      <c r="B3738" s="1" t="s">
        <v>7048</v>
      </c>
      <c r="C3738" s="1" t="s">
        <v>7049</v>
      </c>
      <c r="D3738" t="b">
        <f ca="1">IF(A3738="","",[1]!s_techanal_rcnthigh(B3738,$B$2,1,3))</f>
        <v>0</v>
      </c>
      <c r="E3738">
        <f ca="1">IF(A3738="","",COUNTIF(D$6:D3738,"True"))</f>
        <v>34</v>
      </c>
      <c r="F3738" t="str">
        <f t="shared" si="58"/>
        <v>601328.SH</v>
      </c>
    </row>
    <row r="3739" spans="1:6" x14ac:dyDescent="0.15">
      <c r="A3739" s="2">
        <v>46089</v>
      </c>
      <c r="B3739" s="1" t="s">
        <v>7050</v>
      </c>
      <c r="C3739" s="1" t="s">
        <v>7051</v>
      </c>
      <c r="D3739" t="b">
        <f ca="1">IF(A3739="","",[1]!s_techanal_rcnthigh(B3739,$B$2,1,3))</f>
        <v>0</v>
      </c>
      <c r="E3739">
        <f ca="1">IF(A3739="","",COUNTIF(D$6:D3739,"True"))</f>
        <v>34</v>
      </c>
      <c r="F3739" t="str">
        <f t="shared" si="58"/>
        <v>601330.SH</v>
      </c>
    </row>
    <row r="3740" spans="1:6" x14ac:dyDescent="0.15">
      <c r="A3740" s="2">
        <v>46089</v>
      </c>
      <c r="B3740" s="1" t="s">
        <v>7052</v>
      </c>
      <c r="C3740" s="1" t="s">
        <v>7053</v>
      </c>
      <c r="D3740" t="b">
        <f ca="1">IF(A3740="","",[1]!s_techanal_rcnthigh(B3740,$B$2,1,3))</f>
        <v>0</v>
      </c>
      <c r="E3740">
        <f ca="1">IF(A3740="","",COUNTIF(D$6:D3740,"True"))</f>
        <v>34</v>
      </c>
      <c r="F3740" t="str">
        <f t="shared" si="58"/>
        <v>601333.SH</v>
      </c>
    </row>
    <row r="3741" spans="1:6" x14ac:dyDescent="0.15">
      <c r="A3741" s="2">
        <v>46089</v>
      </c>
      <c r="B3741" s="1" t="s">
        <v>7054</v>
      </c>
      <c r="C3741" s="1" t="s">
        <v>7055</v>
      </c>
      <c r="D3741" t="b">
        <f ca="1">IF(A3741="","",[1]!s_techanal_rcnthigh(B3741,$B$2,1,3))</f>
        <v>0</v>
      </c>
      <c r="E3741">
        <f ca="1">IF(A3741="","",COUNTIF(D$6:D3741,"True"))</f>
        <v>34</v>
      </c>
      <c r="F3741" t="str">
        <f t="shared" si="58"/>
        <v>601336.SH</v>
      </c>
    </row>
    <row r="3742" spans="1:6" x14ac:dyDescent="0.15">
      <c r="A3742" s="2">
        <v>46089</v>
      </c>
      <c r="B3742" s="1" t="s">
        <v>7056</v>
      </c>
      <c r="C3742" s="1" t="s">
        <v>7057</v>
      </c>
      <c r="D3742" t="b">
        <f ca="1">IF(A3742="","",[1]!s_techanal_rcnthigh(B3742,$B$2,1,3))</f>
        <v>0</v>
      </c>
      <c r="E3742">
        <f ca="1">IF(A3742="","",COUNTIF(D$6:D3742,"True"))</f>
        <v>34</v>
      </c>
      <c r="F3742" t="str">
        <f t="shared" si="58"/>
        <v>601339.SH</v>
      </c>
    </row>
    <row r="3743" spans="1:6" x14ac:dyDescent="0.15">
      <c r="A3743" s="2">
        <v>46089</v>
      </c>
      <c r="B3743" s="1" t="s">
        <v>7058</v>
      </c>
      <c r="C3743" s="1" t="s">
        <v>7059</v>
      </c>
      <c r="D3743" t="b">
        <f ca="1">IF(A3743="","",[1]!s_techanal_rcnthigh(B3743,$B$2,1,3))</f>
        <v>0</v>
      </c>
      <c r="E3743">
        <f ca="1">IF(A3743="","",COUNTIF(D$6:D3743,"True"))</f>
        <v>34</v>
      </c>
      <c r="F3743" t="str">
        <f t="shared" si="58"/>
        <v>601360.SH</v>
      </c>
    </row>
    <row r="3744" spans="1:6" x14ac:dyDescent="0.15">
      <c r="A3744" s="2">
        <v>46089</v>
      </c>
      <c r="B3744" s="1" t="s">
        <v>7060</v>
      </c>
      <c r="C3744" s="1" t="s">
        <v>7061</v>
      </c>
      <c r="D3744" t="b">
        <f ca="1">IF(A3744="","",[1]!s_techanal_rcnthigh(B3744,$B$2,1,3))</f>
        <v>0</v>
      </c>
      <c r="E3744">
        <f ca="1">IF(A3744="","",COUNTIF(D$6:D3744,"True"))</f>
        <v>34</v>
      </c>
      <c r="F3744" t="str">
        <f t="shared" si="58"/>
        <v>601366.SH</v>
      </c>
    </row>
    <row r="3745" spans="1:6" x14ac:dyDescent="0.15">
      <c r="A3745" s="2">
        <v>46089</v>
      </c>
      <c r="B3745" s="1" t="s">
        <v>7062</v>
      </c>
      <c r="C3745" s="1" t="s">
        <v>7063</v>
      </c>
      <c r="D3745" t="b">
        <f ca="1">IF(A3745="","",[1]!s_techanal_rcnthigh(B3745,$B$2,1,3))</f>
        <v>0</v>
      </c>
      <c r="E3745">
        <f ca="1">IF(A3745="","",COUNTIF(D$6:D3745,"True"))</f>
        <v>34</v>
      </c>
      <c r="F3745" t="str">
        <f t="shared" si="58"/>
        <v>601368.SH</v>
      </c>
    </row>
    <row r="3746" spans="1:6" x14ac:dyDescent="0.15">
      <c r="A3746" s="2">
        <v>46089</v>
      </c>
      <c r="B3746" s="1" t="s">
        <v>7064</v>
      </c>
      <c r="C3746" s="1" t="s">
        <v>7065</v>
      </c>
      <c r="D3746" t="b">
        <f ca="1">IF(A3746="","",[1]!s_techanal_rcnthigh(B3746,$B$2,1,3))</f>
        <v>0</v>
      </c>
      <c r="E3746">
        <f ca="1">IF(A3746="","",COUNTIF(D$6:D3746,"True"))</f>
        <v>34</v>
      </c>
      <c r="F3746" t="str">
        <f t="shared" si="58"/>
        <v>601369.SH</v>
      </c>
    </row>
    <row r="3747" spans="1:6" x14ac:dyDescent="0.15">
      <c r="A3747" s="2">
        <v>46089</v>
      </c>
      <c r="B3747" s="1" t="s">
        <v>7066</v>
      </c>
      <c r="C3747" s="1" t="s">
        <v>7067</v>
      </c>
      <c r="D3747" t="b">
        <f ca="1">IF(A3747="","",[1]!s_techanal_rcnthigh(B3747,$B$2,1,3))</f>
        <v>0</v>
      </c>
      <c r="E3747">
        <f ca="1">IF(A3747="","",COUNTIF(D$6:D3747,"True"))</f>
        <v>34</v>
      </c>
      <c r="F3747" t="str">
        <f t="shared" si="58"/>
        <v>601375.SH</v>
      </c>
    </row>
    <row r="3748" spans="1:6" x14ac:dyDescent="0.15">
      <c r="A3748" s="2">
        <v>46089</v>
      </c>
      <c r="B3748" s="1" t="s">
        <v>7068</v>
      </c>
      <c r="C3748" s="1" t="s">
        <v>7069</v>
      </c>
      <c r="D3748" t="b">
        <f ca="1">IF(A3748="","",[1]!s_techanal_rcnthigh(B3748,$B$2,1,3))</f>
        <v>0</v>
      </c>
      <c r="E3748">
        <f ca="1">IF(A3748="","",COUNTIF(D$6:D3748,"True"))</f>
        <v>34</v>
      </c>
      <c r="F3748" t="str">
        <f t="shared" si="58"/>
        <v>601377.SH</v>
      </c>
    </row>
    <row r="3749" spans="1:6" x14ac:dyDescent="0.15">
      <c r="A3749" s="2">
        <v>46089</v>
      </c>
      <c r="B3749" s="1" t="s">
        <v>7070</v>
      </c>
      <c r="C3749" s="1" t="s">
        <v>7071</v>
      </c>
      <c r="D3749" t="b">
        <f ca="1">IF(A3749="","",[1]!s_techanal_rcnthigh(B3749,$B$2,1,3))</f>
        <v>0</v>
      </c>
      <c r="E3749">
        <f ca="1">IF(A3749="","",COUNTIF(D$6:D3749,"True"))</f>
        <v>34</v>
      </c>
      <c r="F3749" t="str">
        <f t="shared" si="58"/>
        <v>601388.SH</v>
      </c>
    </row>
    <row r="3750" spans="1:6" x14ac:dyDescent="0.15">
      <c r="A3750" s="2">
        <v>46089</v>
      </c>
      <c r="B3750" s="1" t="s">
        <v>7072</v>
      </c>
      <c r="C3750" s="1" t="s">
        <v>7073</v>
      </c>
      <c r="D3750" t="b">
        <f ca="1">IF(A3750="","",[1]!s_techanal_rcnthigh(B3750,$B$2,1,3))</f>
        <v>0</v>
      </c>
      <c r="E3750">
        <f ca="1">IF(A3750="","",COUNTIF(D$6:D3750,"True"))</f>
        <v>34</v>
      </c>
      <c r="F3750" t="str">
        <f t="shared" si="58"/>
        <v>601390.SH</v>
      </c>
    </row>
    <row r="3751" spans="1:6" x14ac:dyDescent="0.15">
      <c r="A3751" s="2">
        <v>46089</v>
      </c>
      <c r="B3751" s="1" t="s">
        <v>7074</v>
      </c>
      <c r="C3751" s="1" t="s">
        <v>7075</v>
      </c>
      <c r="D3751" t="b">
        <f ca="1">IF(A3751="","",[1]!s_techanal_rcnthigh(B3751,$B$2,1,3))</f>
        <v>0</v>
      </c>
      <c r="E3751">
        <f ca="1">IF(A3751="","",COUNTIF(D$6:D3751,"True"))</f>
        <v>34</v>
      </c>
      <c r="F3751" t="str">
        <f t="shared" si="58"/>
        <v>601398.SH</v>
      </c>
    </row>
    <row r="3752" spans="1:6" x14ac:dyDescent="0.15">
      <c r="A3752" s="2">
        <v>46089</v>
      </c>
      <c r="B3752" s="1" t="s">
        <v>7076</v>
      </c>
      <c r="C3752" s="1" t="s">
        <v>7077</v>
      </c>
      <c r="D3752" t="b">
        <f ca="1">IF(A3752="","",[1]!s_techanal_rcnthigh(B3752,$B$2,1,3))</f>
        <v>0</v>
      </c>
      <c r="E3752">
        <f ca="1">IF(A3752="","",COUNTIF(D$6:D3752,"True"))</f>
        <v>34</v>
      </c>
      <c r="F3752" t="str">
        <f t="shared" si="58"/>
        <v>601399.SH</v>
      </c>
    </row>
    <row r="3753" spans="1:6" x14ac:dyDescent="0.15">
      <c r="A3753" s="2">
        <v>46089</v>
      </c>
      <c r="B3753" s="1" t="s">
        <v>7078</v>
      </c>
      <c r="C3753" s="1" t="s">
        <v>10454</v>
      </c>
      <c r="D3753" t="b">
        <f ca="1">IF(A3753="","",[1]!s_techanal_rcnthigh(B3753,$B$2,1,3))</f>
        <v>0</v>
      </c>
      <c r="E3753">
        <f ca="1">IF(A3753="","",COUNTIF(D$6:D3753,"True"))</f>
        <v>34</v>
      </c>
      <c r="F3753" t="str">
        <f t="shared" si="58"/>
        <v>601456.SH</v>
      </c>
    </row>
    <row r="3754" spans="1:6" x14ac:dyDescent="0.15">
      <c r="A3754" s="2">
        <v>46089</v>
      </c>
      <c r="B3754" s="1" t="s">
        <v>7079</v>
      </c>
      <c r="C3754" s="1" t="s">
        <v>7080</v>
      </c>
      <c r="D3754" t="b">
        <f ca="1">IF(A3754="","",[1]!s_techanal_rcnthigh(B3754,$B$2,1,3))</f>
        <v>0</v>
      </c>
      <c r="E3754">
        <f ca="1">IF(A3754="","",COUNTIF(D$6:D3754,"True"))</f>
        <v>34</v>
      </c>
      <c r="F3754" t="str">
        <f t="shared" si="58"/>
        <v>601500.SH</v>
      </c>
    </row>
    <row r="3755" spans="1:6" x14ac:dyDescent="0.15">
      <c r="A3755" s="2">
        <v>46089</v>
      </c>
      <c r="B3755" s="1" t="s">
        <v>7081</v>
      </c>
      <c r="C3755" s="1" t="s">
        <v>7082</v>
      </c>
      <c r="D3755" t="b">
        <f ca="1">IF(A3755="","",[1]!s_techanal_rcnthigh(B3755,$B$2,1,3))</f>
        <v>0</v>
      </c>
      <c r="E3755">
        <f ca="1">IF(A3755="","",COUNTIF(D$6:D3755,"True"))</f>
        <v>34</v>
      </c>
      <c r="F3755" t="str">
        <f t="shared" si="58"/>
        <v>601512.SH</v>
      </c>
    </row>
    <row r="3756" spans="1:6" x14ac:dyDescent="0.15">
      <c r="A3756" s="2">
        <v>46089</v>
      </c>
      <c r="B3756" s="1" t="s">
        <v>7083</v>
      </c>
      <c r="C3756" s="1" t="s">
        <v>10455</v>
      </c>
      <c r="D3756" t="b">
        <f ca="1">IF(A3756="","",[1]!s_techanal_rcnthigh(B3756,$B$2,1,3))</f>
        <v>0</v>
      </c>
      <c r="E3756">
        <f ca="1">IF(A3756="","",COUNTIF(D$6:D3756,"True"))</f>
        <v>34</v>
      </c>
      <c r="F3756" t="str">
        <f t="shared" si="58"/>
        <v>601515.SH</v>
      </c>
    </row>
    <row r="3757" spans="1:6" x14ac:dyDescent="0.15">
      <c r="A3757" s="2">
        <v>46089</v>
      </c>
      <c r="B3757" s="1" t="s">
        <v>7084</v>
      </c>
      <c r="C3757" s="1" t="s">
        <v>7085</v>
      </c>
      <c r="D3757" t="b">
        <f ca="1">IF(A3757="","",[1]!s_techanal_rcnthigh(B3757,$B$2,1,3))</f>
        <v>0</v>
      </c>
      <c r="E3757">
        <f ca="1">IF(A3757="","",COUNTIF(D$6:D3757,"True"))</f>
        <v>34</v>
      </c>
      <c r="F3757" t="str">
        <f t="shared" si="58"/>
        <v>601518.SH</v>
      </c>
    </row>
    <row r="3758" spans="1:6" x14ac:dyDescent="0.15">
      <c r="A3758" s="2">
        <v>46089</v>
      </c>
      <c r="B3758" s="1" t="s">
        <v>7086</v>
      </c>
      <c r="C3758" s="1" t="s">
        <v>7087</v>
      </c>
      <c r="D3758" t="b">
        <f ca="1">IF(A3758="","",[1]!s_techanal_rcnthigh(B3758,$B$2,1,3))</f>
        <v>0</v>
      </c>
      <c r="E3758">
        <f ca="1">IF(A3758="","",COUNTIF(D$6:D3758,"True"))</f>
        <v>34</v>
      </c>
      <c r="F3758" t="str">
        <f t="shared" si="58"/>
        <v>601519.SH</v>
      </c>
    </row>
    <row r="3759" spans="1:6" x14ac:dyDescent="0.15">
      <c r="A3759" s="2">
        <v>46089</v>
      </c>
      <c r="B3759" s="1" t="s">
        <v>7088</v>
      </c>
      <c r="C3759" s="1" t="s">
        <v>7089</v>
      </c>
      <c r="D3759" t="b">
        <f ca="1">IF(A3759="","",[1]!s_techanal_rcnthigh(B3759,$B$2,1,3))</f>
        <v>0</v>
      </c>
      <c r="E3759">
        <f ca="1">IF(A3759="","",COUNTIF(D$6:D3759,"True"))</f>
        <v>34</v>
      </c>
      <c r="F3759" t="str">
        <f t="shared" si="58"/>
        <v>601528.SH</v>
      </c>
    </row>
    <row r="3760" spans="1:6" x14ac:dyDescent="0.15">
      <c r="A3760" s="2">
        <v>46089</v>
      </c>
      <c r="B3760" s="1" t="s">
        <v>7090</v>
      </c>
      <c r="C3760" s="1" t="s">
        <v>7091</v>
      </c>
      <c r="D3760" t="b">
        <f ca="1">IF(A3760="","",[1]!s_techanal_rcnthigh(B3760,$B$2,1,3))</f>
        <v>0</v>
      </c>
      <c r="E3760">
        <f ca="1">IF(A3760="","",COUNTIF(D$6:D3760,"True"))</f>
        <v>34</v>
      </c>
      <c r="F3760" t="str">
        <f t="shared" si="58"/>
        <v>601555.SH</v>
      </c>
    </row>
    <row r="3761" spans="1:6" x14ac:dyDescent="0.15">
      <c r="A3761" s="2">
        <v>46089</v>
      </c>
      <c r="B3761" s="1" t="s">
        <v>7092</v>
      </c>
      <c r="C3761" s="1" t="s">
        <v>7093</v>
      </c>
      <c r="D3761" t="b">
        <f ca="1">IF(A3761="","",[1]!s_techanal_rcnthigh(B3761,$B$2,1,3))</f>
        <v>0</v>
      </c>
      <c r="E3761">
        <f ca="1">IF(A3761="","",COUNTIF(D$6:D3761,"True"))</f>
        <v>34</v>
      </c>
      <c r="F3761" t="str">
        <f t="shared" si="58"/>
        <v>601566.SH</v>
      </c>
    </row>
    <row r="3762" spans="1:6" x14ac:dyDescent="0.15">
      <c r="A3762" s="2">
        <v>46089</v>
      </c>
      <c r="B3762" s="1" t="s">
        <v>7094</v>
      </c>
      <c r="C3762" s="1" t="s">
        <v>7095</v>
      </c>
      <c r="D3762" t="b">
        <f ca="1">IF(A3762="","",[1]!s_techanal_rcnthigh(B3762,$B$2,1,3))</f>
        <v>0</v>
      </c>
      <c r="E3762">
        <f ca="1">IF(A3762="","",COUNTIF(D$6:D3762,"True"))</f>
        <v>34</v>
      </c>
      <c r="F3762" t="str">
        <f t="shared" si="58"/>
        <v>601567.SH</v>
      </c>
    </row>
    <row r="3763" spans="1:6" x14ac:dyDescent="0.15">
      <c r="A3763" s="2">
        <v>46089</v>
      </c>
      <c r="B3763" s="1" t="s">
        <v>7096</v>
      </c>
      <c r="C3763" s="1" t="s">
        <v>7097</v>
      </c>
      <c r="D3763" t="b">
        <f ca="1">IF(A3763="","",[1]!s_techanal_rcnthigh(B3763,$B$2,1,3))</f>
        <v>0</v>
      </c>
      <c r="E3763">
        <f ca="1">IF(A3763="","",COUNTIF(D$6:D3763,"True"))</f>
        <v>34</v>
      </c>
      <c r="F3763" t="str">
        <f t="shared" si="58"/>
        <v>601568.SH</v>
      </c>
    </row>
    <row r="3764" spans="1:6" x14ac:dyDescent="0.15">
      <c r="A3764" s="2">
        <v>46089</v>
      </c>
      <c r="B3764" s="1" t="s">
        <v>7098</v>
      </c>
      <c r="C3764" s="1" t="s">
        <v>7099</v>
      </c>
      <c r="D3764" t="b">
        <f ca="1">IF(A3764="","",[1]!s_techanal_rcnthigh(B3764,$B$2,1,3))</f>
        <v>0</v>
      </c>
      <c r="E3764">
        <f ca="1">IF(A3764="","",COUNTIF(D$6:D3764,"True"))</f>
        <v>34</v>
      </c>
      <c r="F3764" t="str">
        <f t="shared" si="58"/>
        <v>601577.SH</v>
      </c>
    </row>
    <row r="3765" spans="1:6" x14ac:dyDescent="0.15">
      <c r="A3765" s="2">
        <v>46089</v>
      </c>
      <c r="B3765" s="1" t="s">
        <v>7100</v>
      </c>
      <c r="C3765" s="1" t="s">
        <v>7101</v>
      </c>
      <c r="D3765" t="b">
        <f ca="1">IF(A3765="","",[1]!s_techanal_rcnthigh(B3765,$B$2,1,3))</f>
        <v>0</v>
      </c>
      <c r="E3765">
        <f ca="1">IF(A3765="","",COUNTIF(D$6:D3765,"True"))</f>
        <v>34</v>
      </c>
      <c r="F3765" t="str">
        <f t="shared" si="58"/>
        <v>601579.SH</v>
      </c>
    </row>
    <row r="3766" spans="1:6" x14ac:dyDescent="0.15">
      <c r="A3766" s="2">
        <v>46089</v>
      </c>
      <c r="B3766" s="1" t="s">
        <v>7102</v>
      </c>
      <c r="C3766" s="1" t="s">
        <v>7103</v>
      </c>
      <c r="D3766" t="b">
        <f ca="1">IF(A3766="","",[1]!s_techanal_rcnthigh(B3766,$B$2,1,3))</f>
        <v>0</v>
      </c>
      <c r="E3766">
        <f ca="1">IF(A3766="","",COUNTIF(D$6:D3766,"True"))</f>
        <v>34</v>
      </c>
      <c r="F3766" t="str">
        <f t="shared" si="58"/>
        <v>601588.SH</v>
      </c>
    </row>
    <row r="3767" spans="1:6" x14ac:dyDescent="0.15">
      <c r="A3767" s="2">
        <v>46089</v>
      </c>
      <c r="B3767" s="1" t="s">
        <v>7104</v>
      </c>
      <c r="C3767" s="1" t="s">
        <v>7105</v>
      </c>
      <c r="D3767" t="b">
        <f ca="1">IF(A3767="","",[1]!s_techanal_rcnthigh(B3767,$B$2,1,3))</f>
        <v>0</v>
      </c>
      <c r="E3767">
        <f ca="1">IF(A3767="","",COUNTIF(D$6:D3767,"True"))</f>
        <v>34</v>
      </c>
      <c r="F3767" t="str">
        <f t="shared" si="58"/>
        <v>601595.SH</v>
      </c>
    </row>
    <row r="3768" spans="1:6" x14ac:dyDescent="0.15">
      <c r="A3768" s="2">
        <v>46089</v>
      </c>
      <c r="B3768" s="1" t="s">
        <v>7106</v>
      </c>
      <c r="C3768" s="1" t="s">
        <v>7107</v>
      </c>
      <c r="D3768" t="b">
        <f ca="1">IF(A3768="","",[1]!s_techanal_rcnthigh(B3768,$B$2,1,3))</f>
        <v>0</v>
      </c>
      <c r="E3768">
        <f ca="1">IF(A3768="","",COUNTIF(D$6:D3768,"True"))</f>
        <v>34</v>
      </c>
      <c r="F3768" t="str">
        <f t="shared" si="58"/>
        <v>601598.SH</v>
      </c>
    </row>
    <row r="3769" spans="1:6" x14ac:dyDescent="0.15">
      <c r="A3769" s="2">
        <v>46089</v>
      </c>
      <c r="B3769" s="1" t="s">
        <v>7108</v>
      </c>
      <c r="C3769" s="1" t="s">
        <v>7109</v>
      </c>
      <c r="D3769" t="b">
        <f ca="1">IF(A3769="","",[1]!s_techanal_rcnthigh(B3769,$B$2,1,3))</f>
        <v>0</v>
      </c>
      <c r="E3769">
        <f ca="1">IF(A3769="","",COUNTIF(D$6:D3769,"True"))</f>
        <v>34</v>
      </c>
      <c r="F3769" t="str">
        <f t="shared" si="58"/>
        <v>601599.SH</v>
      </c>
    </row>
    <row r="3770" spans="1:6" x14ac:dyDescent="0.15">
      <c r="A3770" s="2">
        <v>46089</v>
      </c>
      <c r="B3770" s="1" t="s">
        <v>7110</v>
      </c>
      <c r="C3770" s="1" t="s">
        <v>7111</v>
      </c>
      <c r="D3770" t="b">
        <f ca="1">IF(A3770="","",[1]!s_techanal_rcnthigh(B3770,$B$2,1,3))</f>
        <v>0</v>
      </c>
      <c r="E3770">
        <f ca="1">IF(A3770="","",COUNTIF(D$6:D3770,"True"))</f>
        <v>34</v>
      </c>
      <c r="F3770" t="str">
        <f t="shared" si="58"/>
        <v>601600.SH</v>
      </c>
    </row>
    <row r="3771" spans="1:6" x14ac:dyDescent="0.15">
      <c r="A3771" s="2">
        <v>46089</v>
      </c>
      <c r="B3771" s="1" t="s">
        <v>7112</v>
      </c>
      <c r="C3771" s="1" t="s">
        <v>7113</v>
      </c>
      <c r="D3771" t="b">
        <f ca="1">IF(A3771="","",[1]!s_techanal_rcnthigh(B3771,$B$2,1,3))</f>
        <v>0</v>
      </c>
      <c r="E3771">
        <f ca="1">IF(A3771="","",COUNTIF(D$6:D3771,"True"))</f>
        <v>34</v>
      </c>
      <c r="F3771" t="str">
        <f t="shared" si="58"/>
        <v>601601.SH</v>
      </c>
    </row>
    <row r="3772" spans="1:6" x14ac:dyDescent="0.15">
      <c r="A3772" s="2">
        <v>46089</v>
      </c>
      <c r="B3772" s="1" t="s">
        <v>7114</v>
      </c>
      <c r="C3772" s="1" t="s">
        <v>7115</v>
      </c>
      <c r="D3772" t="b">
        <f ca="1">IF(A3772="","",[1]!s_techanal_rcnthigh(B3772,$B$2,1,3))</f>
        <v>0</v>
      </c>
      <c r="E3772">
        <f ca="1">IF(A3772="","",COUNTIF(D$6:D3772,"True"))</f>
        <v>34</v>
      </c>
      <c r="F3772" t="str">
        <f t="shared" si="58"/>
        <v>601606.SH</v>
      </c>
    </row>
    <row r="3773" spans="1:6" x14ac:dyDescent="0.15">
      <c r="A3773" s="2">
        <v>46089</v>
      </c>
      <c r="B3773" s="1" t="s">
        <v>7116</v>
      </c>
      <c r="C3773" s="1" t="s">
        <v>7117</v>
      </c>
      <c r="D3773" t="b">
        <f ca="1">IF(A3773="","",[1]!s_techanal_rcnthigh(B3773,$B$2,1,3))</f>
        <v>0</v>
      </c>
      <c r="E3773">
        <f ca="1">IF(A3773="","",COUNTIF(D$6:D3773,"True"))</f>
        <v>34</v>
      </c>
      <c r="F3773" t="str">
        <f t="shared" si="58"/>
        <v>601607.SH</v>
      </c>
    </row>
    <row r="3774" spans="1:6" x14ac:dyDescent="0.15">
      <c r="A3774" s="2">
        <v>46089</v>
      </c>
      <c r="B3774" s="1" t="s">
        <v>7118</v>
      </c>
      <c r="C3774" s="1" t="s">
        <v>7119</v>
      </c>
      <c r="D3774" t="b">
        <f ca="1">IF(A3774="","",[1]!s_techanal_rcnthigh(B3774,$B$2,1,3))</f>
        <v>0</v>
      </c>
      <c r="E3774">
        <f ca="1">IF(A3774="","",COUNTIF(D$6:D3774,"True"))</f>
        <v>34</v>
      </c>
      <c r="F3774" t="str">
        <f t="shared" si="58"/>
        <v>601608.SH</v>
      </c>
    </row>
    <row r="3775" spans="1:6" x14ac:dyDescent="0.15">
      <c r="A3775" s="2">
        <v>46089</v>
      </c>
      <c r="B3775" s="1" t="s">
        <v>7120</v>
      </c>
      <c r="C3775" s="1" t="s">
        <v>7121</v>
      </c>
      <c r="D3775" t="b">
        <f ca="1">IF(A3775="","",[1]!s_techanal_rcnthigh(B3775,$B$2,1,3))</f>
        <v>0</v>
      </c>
      <c r="E3775">
        <f ca="1">IF(A3775="","",COUNTIF(D$6:D3775,"True"))</f>
        <v>34</v>
      </c>
      <c r="F3775" t="str">
        <f t="shared" si="58"/>
        <v>601609.SH</v>
      </c>
    </row>
    <row r="3776" spans="1:6" x14ac:dyDescent="0.15">
      <c r="A3776" s="2">
        <v>46089</v>
      </c>
      <c r="B3776" s="1" t="s">
        <v>7122</v>
      </c>
      <c r="C3776" s="1" t="s">
        <v>7123</v>
      </c>
      <c r="D3776" t="b">
        <f ca="1">IF(A3776="","",[1]!s_techanal_rcnthigh(B3776,$B$2,1,3))</f>
        <v>0</v>
      </c>
      <c r="E3776">
        <f ca="1">IF(A3776="","",COUNTIF(D$6:D3776,"True"))</f>
        <v>34</v>
      </c>
      <c r="F3776" t="str">
        <f t="shared" si="58"/>
        <v>601611.SH</v>
      </c>
    </row>
    <row r="3777" spans="1:6" x14ac:dyDescent="0.15">
      <c r="A3777" s="2">
        <v>46089</v>
      </c>
      <c r="B3777" s="1" t="s">
        <v>7124</v>
      </c>
      <c r="C3777" s="1" t="s">
        <v>7125</v>
      </c>
      <c r="D3777" t="b">
        <f ca="1">IF(A3777="","",[1]!s_techanal_rcnthigh(B3777,$B$2,1,3))</f>
        <v>0</v>
      </c>
      <c r="E3777">
        <f ca="1">IF(A3777="","",COUNTIF(D$6:D3777,"True"))</f>
        <v>34</v>
      </c>
      <c r="F3777" t="str">
        <f t="shared" si="58"/>
        <v>601615.SH</v>
      </c>
    </row>
    <row r="3778" spans="1:6" x14ac:dyDescent="0.15">
      <c r="A3778" s="2">
        <v>46089</v>
      </c>
      <c r="B3778" s="1" t="s">
        <v>7126</v>
      </c>
      <c r="C3778" s="1" t="s">
        <v>7127</v>
      </c>
      <c r="D3778" t="b">
        <f ca="1">IF(A3778="","",[1]!s_techanal_rcnthigh(B3778,$B$2,1,3))</f>
        <v>0</v>
      </c>
      <c r="E3778">
        <f ca="1">IF(A3778="","",COUNTIF(D$6:D3778,"True"))</f>
        <v>34</v>
      </c>
      <c r="F3778" t="str">
        <f t="shared" si="58"/>
        <v>601616.SH</v>
      </c>
    </row>
    <row r="3779" spans="1:6" x14ac:dyDescent="0.15">
      <c r="A3779" s="2">
        <v>46089</v>
      </c>
      <c r="B3779" s="1" t="s">
        <v>7128</v>
      </c>
      <c r="C3779" s="1" t="s">
        <v>7129</v>
      </c>
      <c r="D3779" t="b">
        <f ca="1">IF(A3779="","",[1]!s_techanal_rcnthigh(B3779,$B$2,1,3))</f>
        <v>0</v>
      </c>
      <c r="E3779">
        <f ca="1">IF(A3779="","",COUNTIF(D$6:D3779,"True"))</f>
        <v>34</v>
      </c>
      <c r="F3779" t="str">
        <f t="shared" si="58"/>
        <v>601618.SH</v>
      </c>
    </row>
    <row r="3780" spans="1:6" x14ac:dyDescent="0.15">
      <c r="A3780" s="2">
        <v>46089</v>
      </c>
      <c r="B3780" s="1" t="s">
        <v>7130</v>
      </c>
      <c r="C3780" s="1" t="s">
        <v>7131</v>
      </c>
      <c r="D3780" t="b">
        <f ca="1">IF(A3780="","",[1]!s_techanal_rcnthigh(B3780,$B$2,1,3))</f>
        <v>0</v>
      </c>
      <c r="E3780">
        <f ca="1">IF(A3780="","",COUNTIF(D$6:D3780,"True"))</f>
        <v>34</v>
      </c>
      <c r="F3780" t="str">
        <f t="shared" si="58"/>
        <v>601619.SH</v>
      </c>
    </row>
    <row r="3781" spans="1:6" x14ac:dyDescent="0.15">
      <c r="A3781" s="2">
        <v>46089</v>
      </c>
      <c r="B3781" s="1" t="s">
        <v>7132</v>
      </c>
      <c r="C3781" s="1" t="s">
        <v>7133</v>
      </c>
      <c r="D3781" t="b">
        <f ca="1">IF(A3781="","",[1]!s_techanal_rcnthigh(B3781,$B$2,1,3))</f>
        <v>0</v>
      </c>
      <c r="E3781">
        <f ca="1">IF(A3781="","",COUNTIF(D$6:D3781,"True"))</f>
        <v>34</v>
      </c>
      <c r="F3781" t="str">
        <f t="shared" si="58"/>
        <v>601628.SH</v>
      </c>
    </row>
    <row r="3782" spans="1:6" x14ac:dyDescent="0.15">
      <c r="A3782" s="2">
        <v>46089</v>
      </c>
      <c r="B3782" s="1" t="s">
        <v>7134</v>
      </c>
      <c r="C3782" s="1" t="s">
        <v>7135</v>
      </c>
      <c r="D3782" t="b">
        <f ca="1">IF(A3782="","",[1]!s_techanal_rcnthigh(B3782,$B$2,1,3))</f>
        <v>0</v>
      </c>
      <c r="E3782">
        <f ca="1">IF(A3782="","",COUNTIF(D$6:D3782,"True"))</f>
        <v>34</v>
      </c>
      <c r="F3782" t="str">
        <f t="shared" ref="F3782:F3845" si="59">IF(B3782="","",B3782)</f>
        <v>601633.SH</v>
      </c>
    </row>
    <row r="3783" spans="1:6" x14ac:dyDescent="0.15">
      <c r="A3783" s="2">
        <v>46089</v>
      </c>
      <c r="B3783" s="1" t="s">
        <v>7136</v>
      </c>
      <c r="C3783" s="1" t="s">
        <v>7137</v>
      </c>
      <c r="D3783" t="b">
        <f ca="1">IF(A3783="","",[1]!s_techanal_rcnthigh(B3783,$B$2,1,3))</f>
        <v>0</v>
      </c>
      <c r="E3783">
        <f ca="1">IF(A3783="","",COUNTIF(D$6:D3783,"True"))</f>
        <v>34</v>
      </c>
      <c r="F3783" t="str">
        <f t="shared" si="59"/>
        <v>601636.SH</v>
      </c>
    </row>
    <row r="3784" spans="1:6" x14ac:dyDescent="0.15">
      <c r="A3784" s="2">
        <v>46089</v>
      </c>
      <c r="B3784" s="1" t="s">
        <v>7138</v>
      </c>
      <c r="C3784" s="1" t="s">
        <v>7139</v>
      </c>
      <c r="D3784" t="b">
        <f ca="1">IF(A3784="","",[1]!s_techanal_rcnthigh(B3784,$B$2,1,3))</f>
        <v>0</v>
      </c>
      <c r="E3784">
        <f ca="1">IF(A3784="","",COUNTIF(D$6:D3784,"True"))</f>
        <v>34</v>
      </c>
      <c r="F3784" t="str">
        <f t="shared" si="59"/>
        <v>601658.SH</v>
      </c>
    </row>
    <row r="3785" spans="1:6" x14ac:dyDescent="0.15">
      <c r="A3785" s="2">
        <v>46089</v>
      </c>
      <c r="B3785" s="1" t="s">
        <v>7140</v>
      </c>
      <c r="C3785" s="1" t="s">
        <v>7141</v>
      </c>
      <c r="D3785" t="b">
        <f ca="1">IF(A3785="","",[1]!s_techanal_rcnthigh(B3785,$B$2,1,3))</f>
        <v>0</v>
      </c>
      <c r="E3785">
        <f ca="1">IF(A3785="","",COUNTIF(D$6:D3785,"True"))</f>
        <v>34</v>
      </c>
      <c r="F3785" t="str">
        <f t="shared" si="59"/>
        <v>601665.SH</v>
      </c>
    </row>
    <row r="3786" spans="1:6" x14ac:dyDescent="0.15">
      <c r="A3786" s="2">
        <v>46089</v>
      </c>
      <c r="B3786" s="1" t="s">
        <v>7142</v>
      </c>
      <c r="C3786" s="1" t="s">
        <v>7143</v>
      </c>
      <c r="D3786" t="b">
        <f ca="1">IF(A3786="","",[1]!s_techanal_rcnthigh(B3786,$B$2,1,3))</f>
        <v>0</v>
      </c>
      <c r="E3786">
        <f ca="1">IF(A3786="","",COUNTIF(D$6:D3786,"True"))</f>
        <v>34</v>
      </c>
      <c r="F3786" t="str">
        <f t="shared" si="59"/>
        <v>601666.SH</v>
      </c>
    </row>
    <row r="3787" spans="1:6" x14ac:dyDescent="0.15">
      <c r="A3787" s="2">
        <v>46089</v>
      </c>
      <c r="B3787" s="1" t="s">
        <v>7144</v>
      </c>
      <c r="C3787" s="1" t="s">
        <v>7145</v>
      </c>
      <c r="D3787" t="b">
        <f ca="1">IF(A3787="","",[1]!s_techanal_rcnthigh(B3787,$B$2,1,3))</f>
        <v>0</v>
      </c>
      <c r="E3787">
        <f ca="1">IF(A3787="","",COUNTIF(D$6:D3787,"True"))</f>
        <v>34</v>
      </c>
      <c r="F3787" t="str">
        <f t="shared" si="59"/>
        <v>601668.SH</v>
      </c>
    </row>
    <row r="3788" spans="1:6" x14ac:dyDescent="0.15">
      <c r="A3788" s="2">
        <v>46089</v>
      </c>
      <c r="B3788" s="1" t="s">
        <v>7146</v>
      </c>
      <c r="C3788" s="1" t="s">
        <v>7147</v>
      </c>
      <c r="D3788" t="b">
        <f ca="1">IF(A3788="","",[1]!s_techanal_rcnthigh(B3788,$B$2,1,3))</f>
        <v>0</v>
      </c>
      <c r="E3788">
        <f ca="1">IF(A3788="","",COUNTIF(D$6:D3788,"True"))</f>
        <v>34</v>
      </c>
      <c r="F3788" t="str">
        <f t="shared" si="59"/>
        <v>601669.SH</v>
      </c>
    </row>
    <row r="3789" spans="1:6" x14ac:dyDescent="0.15">
      <c r="A3789" s="2">
        <v>46089</v>
      </c>
      <c r="B3789" s="1" t="s">
        <v>7148</v>
      </c>
      <c r="C3789" s="1" t="s">
        <v>7149</v>
      </c>
      <c r="D3789" t="b">
        <f ca="1">IF(A3789="","",[1]!s_techanal_rcnthigh(B3789,$B$2,1,3))</f>
        <v>0</v>
      </c>
      <c r="E3789">
        <f ca="1">IF(A3789="","",COUNTIF(D$6:D3789,"True"))</f>
        <v>34</v>
      </c>
      <c r="F3789" t="str">
        <f t="shared" si="59"/>
        <v>601677.SH</v>
      </c>
    </row>
    <row r="3790" spans="1:6" x14ac:dyDescent="0.15">
      <c r="A3790" s="2">
        <v>46089</v>
      </c>
      <c r="B3790" s="1" t="s">
        <v>7150</v>
      </c>
      <c r="C3790" s="1" t="s">
        <v>7151</v>
      </c>
      <c r="D3790" t="b">
        <f ca="1">IF(A3790="","",[1]!s_techanal_rcnthigh(B3790,$B$2,1,3))</f>
        <v>0</v>
      </c>
      <c r="E3790">
        <f ca="1">IF(A3790="","",COUNTIF(D$6:D3790,"True"))</f>
        <v>34</v>
      </c>
      <c r="F3790" t="str">
        <f t="shared" si="59"/>
        <v>601678.SH</v>
      </c>
    </row>
    <row r="3791" spans="1:6" x14ac:dyDescent="0.15">
      <c r="A3791" s="2">
        <v>46089</v>
      </c>
      <c r="B3791" s="1" t="s">
        <v>7152</v>
      </c>
      <c r="C3791" s="1" t="s">
        <v>7153</v>
      </c>
      <c r="D3791" t="b">
        <f ca="1">IF(A3791="","",[1]!s_techanal_rcnthigh(B3791,$B$2,1,3))</f>
        <v>0</v>
      </c>
      <c r="E3791">
        <f ca="1">IF(A3791="","",COUNTIF(D$6:D3791,"True"))</f>
        <v>34</v>
      </c>
      <c r="F3791" t="str">
        <f t="shared" si="59"/>
        <v>601686.SH</v>
      </c>
    </row>
    <row r="3792" spans="1:6" x14ac:dyDescent="0.15">
      <c r="A3792" s="2">
        <v>46089</v>
      </c>
      <c r="B3792" s="1" t="s">
        <v>7154</v>
      </c>
      <c r="C3792" s="1" t="s">
        <v>7155</v>
      </c>
      <c r="D3792" t="b">
        <f ca="1">IF(A3792="","",[1]!s_techanal_rcnthigh(B3792,$B$2,1,3))</f>
        <v>0</v>
      </c>
      <c r="E3792">
        <f ca="1">IF(A3792="","",COUNTIF(D$6:D3792,"True"))</f>
        <v>34</v>
      </c>
      <c r="F3792" t="str">
        <f t="shared" si="59"/>
        <v>601688.SH</v>
      </c>
    </row>
    <row r="3793" spans="1:6" x14ac:dyDescent="0.15">
      <c r="A3793" s="2">
        <v>46089</v>
      </c>
      <c r="B3793" s="1" t="s">
        <v>7156</v>
      </c>
      <c r="C3793" s="1" t="s">
        <v>7157</v>
      </c>
      <c r="D3793" t="b">
        <f ca="1">IF(A3793="","",[1]!s_techanal_rcnthigh(B3793,$B$2,1,3))</f>
        <v>0</v>
      </c>
      <c r="E3793">
        <f ca="1">IF(A3793="","",COUNTIF(D$6:D3793,"True"))</f>
        <v>34</v>
      </c>
      <c r="F3793" t="str">
        <f t="shared" si="59"/>
        <v>601689.SH</v>
      </c>
    </row>
    <row r="3794" spans="1:6" x14ac:dyDescent="0.15">
      <c r="A3794" s="2">
        <v>46089</v>
      </c>
      <c r="B3794" s="1" t="s">
        <v>7158</v>
      </c>
      <c r="C3794" s="1" t="s">
        <v>7159</v>
      </c>
      <c r="D3794" t="b">
        <f ca="1">IF(A3794="","",[1]!s_techanal_rcnthigh(B3794,$B$2,1,3))</f>
        <v>0</v>
      </c>
      <c r="E3794">
        <f ca="1">IF(A3794="","",COUNTIF(D$6:D3794,"True"))</f>
        <v>34</v>
      </c>
      <c r="F3794" t="str">
        <f t="shared" si="59"/>
        <v>601696.SH</v>
      </c>
    </row>
    <row r="3795" spans="1:6" x14ac:dyDescent="0.15">
      <c r="A3795" s="2">
        <v>46089</v>
      </c>
      <c r="B3795" s="1" t="s">
        <v>7160</v>
      </c>
      <c r="C3795" s="1" t="s">
        <v>7161</v>
      </c>
      <c r="D3795" t="b">
        <f ca="1">IF(A3795="","",[1]!s_techanal_rcnthigh(B3795,$B$2,1,3))</f>
        <v>0</v>
      </c>
      <c r="E3795">
        <f ca="1">IF(A3795="","",COUNTIF(D$6:D3795,"True"))</f>
        <v>34</v>
      </c>
      <c r="F3795" t="str">
        <f t="shared" si="59"/>
        <v>601698.SH</v>
      </c>
    </row>
    <row r="3796" spans="1:6" x14ac:dyDescent="0.15">
      <c r="A3796" s="2">
        <v>46089</v>
      </c>
      <c r="B3796" s="1" t="s">
        <v>7162</v>
      </c>
      <c r="C3796" s="1" t="s">
        <v>7163</v>
      </c>
      <c r="D3796" t="b">
        <f ca="1">IF(A3796="","",[1]!s_techanal_rcnthigh(B3796,$B$2,1,3))</f>
        <v>0</v>
      </c>
      <c r="E3796">
        <f ca="1">IF(A3796="","",COUNTIF(D$6:D3796,"True"))</f>
        <v>34</v>
      </c>
      <c r="F3796" t="str">
        <f t="shared" si="59"/>
        <v>601699.SH</v>
      </c>
    </row>
    <row r="3797" spans="1:6" x14ac:dyDescent="0.15">
      <c r="A3797" s="2">
        <v>46089</v>
      </c>
      <c r="B3797" s="1" t="s">
        <v>7164</v>
      </c>
      <c r="C3797" s="1" t="s">
        <v>7165</v>
      </c>
      <c r="D3797" t="b">
        <f ca="1">IF(A3797="","",[1]!s_techanal_rcnthigh(B3797,$B$2,1,3))</f>
        <v>0</v>
      </c>
      <c r="E3797">
        <f ca="1">IF(A3797="","",COUNTIF(D$6:D3797,"True"))</f>
        <v>34</v>
      </c>
      <c r="F3797" t="str">
        <f t="shared" si="59"/>
        <v>601700.SH</v>
      </c>
    </row>
    <row r="3798" spans="1:6" x14ac:dyDescent="0.15">
      <c r="A3798" s="2">
        <v>46089</v>
      </c>
      <c r="B3798" s="1" t="s">
        <v>7166</v>
      </c>
      <c r="C3798" s="1" t="s">
        <v>7167</v>
      </c>
      <c r="D3798" t="b">
        <f ca="1">IF(A3798="","",[1]!s_techanal_rcnthigh(B3798,$B$2,1,3))</f>
        <v>0</v>
      </c>
      <c r="E3798">
        <f ca="1">IF(A3798="","",COUNTIF(D$6:D3798,"True"))</f>
        <v>34</v>
      </c>
      <c r="F3798" t="str">
        <f t="shared" si="59"/>
        <v>601702.SH</v>
      </c>
    </row>
    <row r="3799" spans="1:6" x14ac:dyDescent="0.15">
      <c r="A3799" s="2">
        <v>46089</v>
      </c>
      <c r="B3799" s="1" t="s">
        <v>7168</v>
      </c>
      <c r="C3799" s="1" t="s">
        <v>10456</v>
      </c>
      <c r="D3799" t="b">
        <f ca="1">IF(A3799="","",[1]!s_techanal_rcnthigh(B3799,$B$2,1,3))</f>
        <v>0</v>
      </c>
      <c r="E3799">
        <f ca="1">IF(A3799="","",COUNTIF(D$6:D3799,"True"))</f>
        <v>34</v>
      </c>
      <c r="F3799" t="str">
        <f t="shared" si="59"/>
        <v>601717.SH</v>
      </c>
    </row>
    <row r="3800" spans="1:6" x14ac:dyDescent="0.15">
      <c r="A3800" s="2">
        <v>46089</v>
      </c>
      <c r="B3800" s="1" t="s">
        <v>7169</v>
      </c>
      <c r="C3800" s="1" t="s">
        <v>7170</v>
      </c>
      <c r="D3800" t="b">
        <f ca="1">IF(A3800="","",[1]!s_techanal_rcnthigh(B3800,$B$2,1,3))</f>
        <v>0</v>
      </c>
      <c r="E3800">
        <f ca="1">IF(A3800="","",COUNTIF(D$6:D3800,"True"))</f>
        <v>34</v>
      </c>
      <c r="F3800" t="str">
        <f t="shared" si="59"/>
        <v>601718.SH</v>
      </c>
    </row>
    <row r="3801" spans="1:6" x14ac:dyDescent="0.15">
      <c r="A3801" s="2">
        <v>46089</v>
      </c>
      <c r="B3801" s="1" t="s">
        <v>7171</v>
      </c>
      <c r="C3801" s="1" t="s">
        <v>7172</v>
      </c>
      <c r="D3801" t="b">
        <f ca="1">IF(A3801="","",[1]!s_techanal_rcnthigh(B3801,$B$2,1,3))</f>
        <v>0</v>
      </c>
      <c r="E3801">
        <f ca="1">IF(A3801="","",COUNTIF(D$6:D3801,"True"))</f>
        <v>34</v>
      </c>
      <c r="F3801" t="str">
        <f t="shared" si="59"/>
        <v>601727.SH</v>
      </c>
    </row>
    <row r="3802" spans="1:6" x14ac:dyDescent="0.15">
      <c r="A3802" s="2">
        <v>46089</v>
      </c>
      <c r="B3802" s="1" t="s">
        <v>7173</v>
      </c>
      <c r="C3802" s="1" t="s">
        <v>7174</v>
      </c>
      <c r="D3802" t="b">
        <f ca="1">IF(A3802="","",[1]!s_techanal_rcnthigh(B3802,$B$2,1,3))</f>
        <v>0</v>
      </c>
      <c r="E3802">
        <f ca="1">IF(A3802="","",COUNTIF(D$6:D3802,"True"))</f>
        <v>34</v>
      </c>
      <c r="F3802" t="str">
        <f t="shared" si="59"/>
        <v>601728.SH</v>
      </c>
    </row>
    <row r="3803" spans="1:6" x14ac:dyDescent="0.15">
      <c r="A3803" s="2">
        <v>46089</v>
      </c>
      <c r="B3803" s="1" t="s">
        <v>7175</v>
      </c>
      <c r="C3803" s="1" t="s">
        <v>7176</v>
      </c>
      <c r="D3803" t="b">
        <f ca="1">IF(A3803="","",[1]!s_techanal_rcnthigh(B3803,$B$2,1,3))</f>
        <v>0</v>
      </c>
      <c r="E3803">
        <f ca="1">IF(A3803="","",COUNTIF(D$6:D3803,"True"))</f>
        <v>34</v>
      </c>
      <c r="F3803" t="str">
        <f t="shared" si="59"/>
        <v>601766.SH</v>
      </c>
    </row>
    <row r="3804" spans="1:6" x14ac:dyDescent="0.15">
      <c r="A3804" s="2">
        <v>46089</v>
      </c>
      <c r="B3804" s="1" t="s">
        <v>7177</v>
      </c>
      <c r="C3804" s="1" t="s">
        <v>10457</v>
      </c>
      <c r="D3804" t="b">
        <f ca="1">IF(A3804="","",[1]!s_techanal_rcnthigh(B3804,$B$2,1,3))</f>
        <v>0</v>
      </c>
      <c r="E3804">
        <f ca="1">IF(A3804="","",COUNTIF(D$6:D3804,"True"))</f>
        <v>34</v>
      </c>
      <c r="F3804" t="str">
        <f t="shared" si="59"/>
        <v>601777.SH</v>
      </c>
    </row>
    <row r="3805" spans="1:6" x14ac:dyDescent="0.15">
      <c r="A3805" s="2">
        <v>46089</v>
      </c>
      <c r="B3805" s="1" t="s">
        <v>7178</v>
      </c>
      <c r="C3805" s="1" t="s">
        <v>7179</v>
      </c>
      <c r="D3805" t="b">
        <f ca="1">IF(A3805="","",[1]!s_techanal_rcnthigh(B3805,$B$2,1,3))</f>
        <v>0</v>
      </c>
      <c r="E3805">
        <f ca="1">IF(A3805="","",COUNTIF(D$6:D3805,"True"))</f>
        <v>34</v>
      </c>
      <c r="F3805" t="str">
        <f t="shared" si="59"/>
        <v>601778.SH</v>
      </c>
    </row>
    <row r="3806" spans="1:6" x14ac:dyDescent="0.15">
      <c r="A3806" s="2">
        <v>46089</v>
      </c>
      <c r="B3806" s="1" t="s">
        <v>7180</v>
      </c>
      <c r="C3806" s="1" t="s">
        <v>7181</v>
      </c>
      <c r="D3806" t="b">
        <f ca="1">IF(A3806="","",[1]!s_techanal_rcnthigh(B3806,$B$2,1,3))</f>
        <v>0</v>
      </c>
      <c r="E3806">
        <f ca="1">IF(A3806="","",COUNTIF(D$6:D3806,"True"))</f>
        <v>34</v>
      </c>
      <c r="F3806" t="str">
        <f t="shared" si="59"/>
        <v>601788.SH</v>
      </c>
    </row>
    <row r="3807" spans="1:6" x14ac:dyDescent="0.15">
      <c r="A3807" s="2">
        <v>46089</v>
      </c>
      <c r="B3807" s="1" t="s">
        <v>7182</v>
      </c>
      <c r="C3807" s="1" t="s">
        <v>7183</v>
      </c>
      <c r="D3807" t="b">
        <f ca="1">IF(A3807="","",[1]!s_techanal_rcnthigh(B3807,$B$2,1,3))</f>
        <v>0</v>
      </c>
      <c r="E3807">
        <f ca="1">IF(A3807="","",COUNTIF(D$6:D3807,"True"))</f>
        <v>34</v>
      </c>
      <c r="F3807" t="str">
        <f t="shared" si="59"/>
        <v>601789.SH</v>
      </c>
    </row>
    <row r="3808" spans="1:6" x14ac:dyDescent="0.15">
      <c r="A3808" s="2">
        <v>46089</v>
      </c>
      <c r="B3808" s="1" t="s">
        <v>7184</v>
      </c>
      <c r="C3808" s="1" t="s">
        <v>7185</v>
      </c>
      <c r="D3808" t="b">
        <f ca="1">IF(A3808="","",[1]!s_techanal_rcnthigh(B3808,$B$2,1,3))</f>
        <v>0</v>
      </c>
      <c r="E3808">
        <f ca="1">IF(A3808="","",COUNTIF(D$6:D3808,"True"))</f>
        <v>34</v>
      </c>
      <c r="F3808" t="str">
        <f t="shared" si="59"/>
        <v>601798.SH</v>
      </c>
    </row>
    <row r="3809" spans="1:6" x14ac:dyDescent="0.15">
      <c r="A3809" s="2">
        <v>46089</v>
      </c>
      <c r="B3809" s="1" t="s">
        <v>7186</v>
      </c>
      <c r="C3809" s="1" t="s">
        <v>7187</v>
      </c>
      <c r="D3809" t="b">
        <f ca="1">IF(A3809="","",[1]!s_techanal_rcnthigh(B3809,$B$2,1,3))</f>
        <v>0</v>
      </c>
      <c r="E3809">
        <f ca="1">IF(A3809="","",COUNTIF(D$6:D3809,"True"))</f>
        <v>34</v>
      </c>
      <c r="F3809" t="str">
        <f t="shared" si="59"/>
        <v>601799.SH</v>
      </c>
    </row>
    <row r="3810" spans="1:6" x14ac:dyDescent="0.15">
      <c r="A3810" s="2">
        <v>46089</v>
      </c>
      <c r="B3810" s="1" t="s">
        <v>7188</v>
      </c>
      <c r="C3810" s="1" t="s">
        <v>7189</v>
      </c>
      <c r="D3810" t="b">
        <f ca="1">IF(A3810="","",[1]!s_techanal_rcnthigh(B3810,$B$2,1,3))</f>
        <v>0</v>
      </c>
      <c r="E3810">
        <f ca="1">IF(A3810="","",COUNTIF(D$6:D3810,"True"))</f>
        <v>34</v>
      </c>
      <c r="F3810" t="str">
        <f t="shared" si="59"/>
        <v>601800.SH</v>
      </c>
    </row>
    <row r="3811" spans="1:6" x14ac:dyDescent="0.15">
      <c r="A3811" s="2">
        <v>46089</v>
      </c>
      <c r="B3811" s="1" t="s">
        <v>7190</v>
      </c>
      <c r="C3811" s="1" t="s">
        <v>7191</v>
      </c>
      <c r="D3811" t="b">
        <f ca="1">IF(A3811="","",[1]!s_techanal_rcnthigh(B3811,$B$2,1,3))</f>
        <v>0</v>
      </c>
      <c r="E3811">
        <f ca="1">IF(A3811="","",COUNTIF(D$6:D3811,"True"))</f>
        <v>34</v>
      </c>
      <c r="F3811" t="str">
        <f t="shared" si="59"/>
        <v>601801.SH</v>
      </c>
    </row>
    <row r="3812" spans="1:6" x14ac:dyDescent="0.15">
      <c r="A3812" s="2">
        <v>46089</v>
      </c>
      <c r="B3812" s="1" t="s">
        <v>7192</v>
      </c>
      <c r="C3812" s="1" t="s">
        <v>7193</v>
      </c>
      <c r="D3812" t="b">
        <f ca="1">IF(A3812="","",[1]!s_techanal_rcnthigh(B3812,$B$2,1,3))</f>
        <v>0</v>
      </c>
      <c r="E3812">
        <f ca="1">IF(A3812="","",COUNTIF(D$6:D3812,"True"))</f>
        <v>34</v>
      </c>
      <c r="F3812" t="str">
        <f t="shared" si="59"/>
        <v>601808.SH</v>
      </c>
    </row>
    <row r="3813" spans="1:6" x14ac:dyDescent="0.15">
      <c r="A3813" s="2">
        <v>46089</v>
      </c>
      <c r="B3813" s="1" t="s">
        <v>7194</v>
      </c>
      <c r="C3813" s="1" t="s">
        <v>7195</v>
      </c>
      <c r="D3813" t="b">
        <f ca="1">IF(A3813="","",[1]!s_techanal_rcnthigh(B3813,$B$2,1,3))</f>
        <v>0</v>
      </c>
      <c r="E3813">
        <f ca="1">IF(A3813="","",COUNTIF(D$6:D3813,"True"))</f>
        <v>34</v>
      </c>
      <c r="F3813" t="str">
        <f t="shared" si="59"/>
        <v>601811.SH</v>
      </c>
    </row>
    <row r="3814" spans="1:6" x14ac:dyDescent="0.15">
      <c r="A3814" s="2">
        <v>46089</v>
      </c>
      <c r="B3814" s="1" t="s">
        <v>7196</v>
      </c>
      <c r="C3814" s="1" t="s">
        <v>7197</v>
      </c>
      <c r="D3814" t="b">
        <f ca="1">IF(A3814="","",[1]!s_techanal_rcnthigh(B3814,$B$2,1,3))</f>
        <v>0</v>
      </c>
      <c r="E3814">
        <f ca="1">IF(A3814="","",COUNTIF(D$6:D3814,"True"))</f>
        <v>34</v>
      </c>
      <c r="F3814" t="str">
        <f t="shared" si="59"/>
        <v>601816.SH</v>
      </c>
    </row>
    <row r="3815" spans="1:6" x14ac:dyDescent="0.15">
      <c r="A3815" s="2">
        <v>46089</v>
      </c>
      <c r="B3815" s="1" t="s">
        <v>7198</v>
      </c>
      <c r="C3815" s="1" t="s">
        <v>7199</v>
      </c>
      <c r="D3815" t="b">
        <f ca="1">IF(A3815="","",[1]!s_techanal_rcnthigh(B3815,$B$2,1,3))</f>
        <v>0</v>
      </c>
      <c r="E3815">
        <f ca="1">IF(A3815="","",COUNTIF(D$6:D3815,"True"))</f>
        <v>34</v>
      </c>
      <c r="F3815" t="str">
        <f t="shared" si="59"/>
        <v>601818.SH</v>
      </c>
    </row>
    <row r="3816" spans="1:6" x14ac:dyDescent="0.15">
      <c r="A3816" s="2">
        <v>46089</v>
      </c>
      <c r="B3816" s="1" t="s">
        <v>7200</v>
      </c>
      <c r="C3816" s="1" t="s">
        <v>7201</v>
      </c>
      <c r="D3816" t="b">
        <f ca="1">IF(A3816="","",[1]!s_techanal_rcnthigh(B3816,$B$2,1,3))</f>
        <v>0</v>
      </c>
      <c r="E3816">
        <f ca="1">IF(A3816="","",COUNTIF(D$6:D3816,"True"))</f>
        <v>34</v>
      </c>
      <c r="F3816" t="str">
        <f t="shared" si="59"/>
        <v>601825.SH</v>
      </c>
    </row>
    <row r="3817" spans="1:6" x14ac:dyDescent="0.15">
      <c r="A3817" s="2">
        <v>46089</v>
      </c>
      <c r="B3817" s="1" t="s">
        <v>7202</v>
      </c>
      <c r="C3817" s="1" t="s">
        <v>7203</v>
      </c>
      <c r="D3817" t="b">
        <f ca="1">IF(A3817="","",[1]!s_techanal_rcnthigh(B3817,$B$2,1,3))</f>
        <v>0</v>
      </c>
      <c r="E3817">
        <f ca="1">IF(A3817="","",COUNTIF(D$6:D3817,"True"))</f>
        <v>34</v>
      </c>
      <c r="F3817" t="str">
        <f t="shared" si="59"/>
        <v>601827.SH</v>
      </c>
    </row>
    <row r="3818" spans="1:6" x14ac:dyDescent="0.15">
      <c r="A3818" s="2">
        <v>46089</v>
      </c>
      <c r="B3818" s="1" t="s">
        <v>7204</v>
      </c>
      <c r="C3818" s="1" t="s">
        <v>7205</v>
      </c>
      <c r="D3818" t="b">
        <f ca="1">IF(A3818="","",[1]!s_techanal_rcnthigh(B3818,$B$2,1,3))</f>
        <v>0</v>
      </c>
      <c r="E3818">
        <f ca="1">IF(A3818="","",COUNTIF(D$6:D3818,"True"))</f>
        <v>34</v>
      </c>
      <c r="F3818" t="str">
        <f t="shared" si="59"/>
        <v>601828.SH</v>
      </c>
    </row>
    <row r="3819" spans="1:6" x14ac:dyDescent="0.15">
      <c r="A3819" s="2">
        <v>46089</v>
      </c>
      <c r="B3819" s="1" t="s">
        <v>7206</v>
      </c>
      <c r="C3819" s="1" t="s">
        <v>7207</v>
      </c>
      <c r="D3819" t="b">
        <f ca="1">IF(A3819="","",[1]!s_techanal_rcnthigh(B3819,$B$2,1,3))</f>
        <v>0</v>
      </c>
      <c r="E3819">
        <f ca="1">IF(A3819="","",COUNTIF(D$6:D3819,"True"))</f>
        <v>34</v>
      </c>
      <c r="F3819" t="str">
        <f t="shared" si="59"/>
        <v>601838.SH</v>
      </c>
    </row>
    <row r="3820" spans="1:6" x14ac:dyDescent="0.15">
      <c r="A3820" s="2">
        <v>46089</v>
      </c>
      <c r="B3820" s="1" t="s">
        <v>7208</v>
      </c>
      <c r="C3820" s="1" t="s">
        <v>7209</v>
      </c>
      <c r="D3820" t="b">
        <f ca="1">IF(A3820="","",[1]!s_techanal_rcnthigh(B3820,$B$2,1,3))</f>
        <v>0</v>
      </c>
      <c r="E3820">
        <f ca="1">IF(A3820="","",COUNTIF(D$6:D3820,"True"))</f>
        <v>34</v>
      </c>
      <c r="F3820" t="str">
        <f t="shared" si="59"/>
        <v>601857.SH</v>
      </c>
    </row>
    <row r="3821" spans="1:6" x14ac:dyDescent="0.15">
      <c r="A3821" s="2">
        <v>46089</v>
      </c>
      <c r="B3821" s="1" t="s">
        <v>7210</v>
      </c>
      <c r="C3821" s="1" t="s">
        <v>7211</v>
      </c>
      <c r="D3821" t="b">
        <f ca="1">IF(A3821="","",[1]!s_techanal_rcnthigh(B3821,$B$2,1,3))</f>
        <v>0</v>
      </c>
      <c r="E3821">
        <f ca="1">IF(A3821="","",COUNTIF(D$6:D3821,"True"))</f>
        <v>34</v>
      </c>
      <c r="F3821" t="str">
        <f t="shared" si="59"/>
        <v>601858.SH</v>
      </c>
    </row>
    <row r="3822" spans="1:6" x14ac:dyDescent="0.15">
      <c r="A3822" s="2">
        <v>46089</v>
      </c>
      <c r="B3822" s="1" t="s">
        <v>7212</v>
      </c>
      <c r="C3822" s="1" t="s">
        <v>7213</v>
      </c>
      <c r="D3822" t="b">
        <f ca="1">IF(A3822="","",[1]!s_techanal_rcnthigh(B3822,$B$2,1,3))</f>
        <v>0</v>
      </c>
      <c r="E3822">
        <f ca="1">IF(A3822="","",COUNTIF(D$6:D3822,"True"))</f>
        <v>34</v>
      </c>
      <c r="F3822" t="str">
        <f t="shared" si="59"/>
        <v>601860.SH</v>
      </c>
    </row>
    <row r="3823" spans="1:6" x14ac:dyDescent="0.15">
      <c r="A3823" s="2">
        <v>46089</v>
      </c>
      <c r="B3823" s="1" t="s">
        <v>7214</v>
      </c>
      <c r="C3823" s="1" t="s">
        <v>7215</v>
      </c>
      <c r="D3823" t="b">
        <f ca="1">IF(A3823="","",[1]!s_techanal_rcnthigh(B3823,$B$2,1,3))</f>
        <v>0</v>
      </c>
      <c r="E3823">
        <f ca="1">IF(A3823="","",COUNTIF(D$6:D3823,"True"))</f>
        <v>34</v>
      </c>
      <c r="F3823" t="str">
        <f t="shared" si="59"/>
        <v>601865.SH</v>
      </c>
    </row>
    <row r="3824" spans="1:6" x14ac:dyDescent="0.15">
      <c r="A3824" s="2">
        <v>46089</v>
      </c>
      <c r="B3824" s="1" t="s">
        <v>7216</v>
      </c>
      <c r="C3824" s="1" t="s">
        <v>7217</v>
      </c>
      <c r="D3824" t="b">
        <f ca="1">IF(A3824="","",[1]!s_techanal_rcnthigh(B3824,$B$2,1,3))</f>
        <v>0</v>
      </c>
      <c r="E3824">
        <f ca="1">IF(A3824="","",COUNTIF(D$6:D3824,"True"))</f>
        <v>34</v>
      </c>
      <c r="F3824" t="str">
        <f t="shared" si="59"/>
        <v>601866.SH</v>
      </c>
    </row>
    <row r="3825" spans="1:6" x14ac:dyDescent="0.15">
      <c r="A3825" s="2">
        <v>46089</v>
      </c>
      <c r="B3825" s="1" t="s">
        <v>7218</v>
      </c>
      <c r="C3825" s="1" t="s">
        <v>7219</v>
      </c>
      <c r="D3825" t="b">
        <f ca="1">IF(A3825="","",[1]!s_techanal_rcnthigh(B3825,$B$2,1,3))</f>
        <v>0</v>
      </c>
      <c r="E3825">
        <f ca="1">IF(A3825="","",COUNTIF(D$6:D3825,"True"))</f>
        <v>34</v>
      </c>
      <c r="F3825" t="str">
        <f t="shared" si="59"/>
        <v>601868.SH</v>
      </c>
    </row>
    <row r="3826" spans="1:6" x14ac:dyDescent="0.15">
      <c r="A3826" s="2">
        <v>46089</v>
      </c>
      <c r="B3826" s="1" t="s">
        <v>7220</v>
      </c>
      <c r="C3826" s="1" t="s">
        <v>7221</v>
      </c>
      <c r="D3826" t="b">
        <f ca="1">IF(A3826="","",[1]!s_techanal_rcnthigh(B3826,$B$2,1,3))</f>
        <v>0</v>
      </c>
      <c r="E3826">
        <f ca="1">IF(A3826="","",COUNTIF(D$6:D3826,"True"))</f>
        <v>34</v>
      </c>
      <c r="F3826" t="str">
        <f t="shared" si="59"/>
        <v>601869.SH</v>
      </c>
    </row>
    <row r="3827" spans="1:6" x14ac:dyDescent="0.15">
      <c r="A3827" s="2">
        <v>46089</v>
      </c>
      <c r="B3827" s="1" t="s">
        <v>7222</v>
      </c>
      <c r="C3827" s="1" t="s">
        <v>7223</v>
      </c>
      <c r="D3827" t="b">
        <f ca="1">IF(A3827="","",[1]!s_techanal_rcnthigh(B3827,$B$2,1,3))</f>
        <v>0</v>
      </c>
      <c r="E3827">
        <f ca="1">IF(A3827="","",COUNTIF(D$6:D3827,"True"))</f>
        <v>34</v>
      </c>
      <c r="F3827" t="str">
        <f t="shared" si="59"/>
        <v>601872.SH</v>
      </c>
    </row>
    <row r="3828" spans="1:6" x14ac:dyDescent="0.15">
      <c r="A3828" s="2">
        <v>46089</v>
      </c>
      <c r="B3828" s="1" t="s">
        <v>7224</v>
      </c>
      <c r="C3828" s="1" t="s">
        <v>7225</v>
      </c>
      <c r="D3828" t="b">
        <f ca="1">IF(A3828="","",[1]!s_techanal_rcnthigh(B3828,$B$2,1,3))</f>
        <v>0</v>
      </c>
      <c r="E3828">
        <f ca="1">IF(A3828="","",COUNTIF(D$6:D3828,"True"))</f>
        <v>34</v>
      </c>
      <c r="F3828" t="str">
        <f t="shared" si="59"/>
        <v>601877.SH</v>
      </c>
    </row>
    <row r="3829" spans="1:6" x14ac:dyDescent="0.15">
      <c r="A3829" s="2">
        <v>46089</v>
      </c>
      <c r="B3829" s="1" t="s">
        <v>7226</v>
      </c>
      <c r="C3829" s="1" t="s">
        <v>7227</v>
      </c>
      <c r="D3829" t="b">
        <f ca="1">IF(A3829="","",[1]!s_techanal_rcnthigh(B3829,$B$2,1,3))</f>
        <v>0</v>
      </c>
      <c r="E3829">
        <f ca="1">IF(A3829="","",COUNTIF(D$6:D3829,"True"))</f>
        <v>34</v>
      </c>
      <c r="F3829" t="str">
        <f t="shared" si="59"/>
        <v>601878.SH</v>
      </c>
    </row>
    <row r="3830" spans="1:6" x14ac:dyDescent="0.15">
      <c r="A3830" s="2">
        <v>46089</v>
      </c>
      <c r="B3830" s="1" t="s">
        <v>7228</v>
      </c>
      <c r="C3830" s="1" t="s">
        <v>7229</v>
      </c>
      <c r="D3830" t="b">
        <f ca="1">IF(A3830="","",[1]!s_techanal_rcnthigh(B3830,$B$2,1,3))</f>
        <v>0</v>
      </c>
      <c r="E3830">
        <f ca="1">IF(A3830="","",COUNTIF(D$6:D3830,"True"))</f>
        <v>34</v>
      </c>
      <c r="F3830" t="str">
        <f t="shared" si="59"/>
        <v>601880.SH</v>
      </c>
    </row>
    <row r="3831" spans="1:6" x14ac:dyDescent="0.15">
      <c r="A3831" s="2">
        <v>46089</v>
      </c>
      <c r="B3831" s="1" t="s">
        <v>7230</v>
      </c>
      <c r="C3831" s="1" t="s">
        <v>7231</v>
      </c>
      <c r="D3831" t="b">
        <f ca="1">IF(A3831="","",[1]!s_techanal_rcnthigh(B3831,$B$2,1,3))</f>
        <v>0</v>
      </c>
      <c r="E3831">
        <f ca="1">IF(A3831="","",COUNTIF(D$6:D3831,"True"))</f>
        <v>34</v>
      </c>
      <c r="F3831" t="str">
        <f t="shared" si="59"/>
        <v>601881.SH</v>
      </c>
    </row>
    <row r="3832" spans="1:6" x14ac:dyDescent="0.15">
      <c r="A3832" s="2">
        <v>46089</v>
      </c>
      <c r="B3832" s="1" t="s">
        <v>7232</v>
      </c>
      <c r="C3832" s="1" t="s">
        <v>7233</v>
      </c>
      <c r="D3832" t="b">
        <f ca="1">IF(A3832="","",[1]!s_techanal_rcnthigh(B3832,$B$2,1,3))</f>
        <v>0</v>
      </c>
      <c r="E3832">
        <f ca="1">IF(A3832="","",COUNTIF(D$6:D3832,"True"))</f>
        <v>34</v>
      </c>
      <c r="F3832" t="str">
        <f t="shared" si="59"/>
        <v>601882.SH</v>
      </c>
    </row>
    <row r="3833" spans="1:6" x14ac:dyDescent="0.15">
      <c r="A3833" s="2">
        <v>46089</v>
      </c>
      <c r="B3833" s="1" t="s">
        <v>7234</v>
      </c>
      <c r="C3833" s="1" t="s">
        <v>7235</v>
      </c>
      <c r="D3833" t="b">
        <f ca="1">IF(A3833="","",[1]!s_techanal_rcnthigh(B3833,$B$2,1,3))</f>
        <v>0</v>
      </c>
      <c r="E3833">
        <f ca="1">IF(A3833="","",COUNTIF(D$6:D3833,"True"))</f>
        <v>34</v>
      </c>
      <c r="F3833" t="str">
        <f t="shared" si="59"/>
        <v>601886.SH</v>
      </c>
    </row>
    <row r="3834" spans="1:6" x14ac:dyDescent="0.15">
      <c r="A3834" s="2">
        <v>46089</v>
      </c>
      <c r="B3834" s="1" t="s">
        <v>7236</v>
      </c>
      <c r="C3834" s="1" t="s">
        <v>7237</v>
      </c>
      <c r="D3834" t="b">
        <f ca="1">IF(A3834="","",[1]!s_techanal_rcnthigh(B3834,$B$2,1,3))</f>
        <v>0</v>
      </c>
      <c r="E3834">
        <f ca="1">IF(A3834="","",COUNTIF(D$6:D3834,"True"))</f>
        <v>34</v>
      </c>
      <c r="F3834" t="str">
        <f t="shared" si="59"/>
        <v>601888.SH</v>
      </c>
    </row>
    <row r="3835" spans="1:6" x14ac:dyDescent="0.15">
      <c r="A3835" s="2">
        <v>46089</v>
      </c>
      <c r="B3835" s="1" t="s">
        <v>7238</v>
      </c>
      <c r="C3835" s="1" t="s">
        <v>7239</v>
      </c>
      <c r="D3835" t="b">
        <f ca="1">IF(A3835="","",[1]!s_techanal_rcnthigh(B3835,$B$2,1,3))</f>
        <v>0</v>
      </c>
      <c r="E3835">
        <f ca="1">IF(A3835="","",COUNTIF(D$6:D3835,"True"))</f>
        <v>34</v>
      </c>
      <c r="F3835" t="str">
        <f t="shared" si="59"/>
        <v>601890.SH</v>
      </c>
    </row>
    <row r="3836" spans="1:6" x14ac:dyDescent="0.15">
      <c r="A3836" s="2">
        <v>46089</v>
      </c>
      <c r="B3836" s="1" t="s">
        <v>7240</v>
      </c>
      <c r="C3836" s="1" t="s">
        <v>7241</v>
      </c>
      <c r="D3836" t="b">
        <f ca="1">IF(A3836="","",[1]!s_techanal_rcnthigh(B3836,$B$2,1,3))</f>
        <v>0</v>
      </c>
      <c r="E3836">
        <f ca="1">IF(A3836="","",COUNTIF(D$6:D3836,"True"))</f>
        <v>34</v>
      </c>
      <c r="F3836" t="str">
        <f t="shared" si="59"/>
        <v>601898.SH</v>
      </c>
    </row>
    <row r="3837" spans="1:6" x14ac:dyDescent="0.15">
      <c r="A3837" s="2">
        <v>46089</v>
      </c>
      <c r="B3837" s="1" t="s">
        <v>7242</v>
      </c>
      <c r="C3837" s="1" t="s">
        <v>7243</v>
      </c>
      <c r="D3837" t="b">
        <f ca="1">IF(A3837="","",[1]!s_techanal_rcnthigh(B3837,$B$2,1,3))</f>
        <v>0</v>
      </c>
      <c r="E3837">
        <f ca="1">IF(A3837="","",COUNTIF(D$6:D3837,"True"))</f>
        <v>34</v>
      </c>
      <c r="F3837" t="str">
        <f t="shared" si="59"/>
        <v>601899.SH</v>
      </c>
    </row>
    <row r="3838" spans="1:6" x14ac:dyDescent="0.15">
      <c r="A3838" s="2">
        <v>46089</v>
      </c>
      <c r="B3838" s="1" t="s">
        <v>7244</v>
      </c>
      <c r="C3838" s="1" t="s">
        <v>7245</v>
      </c>
      <c r="D3838" t="b">
        <f ca="1">IF(A3838="","",[1]!s_techanal_rcnthigh(B3838,$B$2,1,3))</f>
        <v>0</v>
      </c>
      <c r="E3838">
        <f ca="1">IF(A3838="","",COUNTIF(D$6:D3838,"True"))</f>
        <v>34</v>
      </c>
      <c r="F3838" t="str">
        <f t="shared" si="59"/>
        <v>601900.SH</v>
      </c>
    </row>
    <row r="3839" spans="1:6" x14ac:dyDescent="0.15">
      <c r="A3839" s="2">
        <v>46089</v>
      </c>
      <c r="B3839" s="1" t="s">
        <v>7246</v>
      </c>
      <c r="C3839" s="1" t="s">
        <v>7247</v>
      </c>
      <c r="D3839" t="b">
        <f ca="1">IF(A3839="","",[1]!s_techanal_rcnthigh(B3839,$B$2,1,3))</f>
        <v>0</v>
      </c>
      <c r="E3839">
        <f ca="1">IF(A3839="","",COUNTIF(D$6:D3839,"True"))</f>
        <v>34</v>
      </c>
      <c r="F3839" t="str">
        <f t="shared" si="59"/>
        <v>601901.SH</v>
      </c>
    </row>
    <row r="3840" spans="1:6" x14ac:dyDescent="0.15">
      <c r="A3840" s="2">
        <v>46089</v>
      </c>
      <c r="B3840" s="1" t="s">
        <v>7248</v>
      </c>
      <c r="C3840" s="1" t="s">
        <v>7249</v>
      </c>
      <c r="D3840" t="b">
        <f ca="1">IF(A3840="","",[1]!s_techanal_rcnthigh(B3840,$B$2,1,3))</f>
        <v>0</v>
      </c>
      <c r="E3840">
        <f ca="1">IF(A3840="","",COUNTIF(D$6:D3840,"True"))</f>
        <v>34</v>
      </c>
      <c r="F3840" t="str">
        <f t="shared" si="59"/>
        <v>601908.SH</v>
      </c>
    </row>
    <row r="3841" spans="1:6" x14ac:dyDescent="0.15">
      <c r="A3841" s="2">
        <v>46089</v>
      </c>
      <c r="B3841" s="1" t="s">
        <v>7250</v>
      </c>
      <c r="C3841" s="1" t="s">
        <v>7251</v>
      </c>
      <c r="D3841" t="b">
        <f ca="1">IF(A3841="","",[1]!s_techanal_rcnthigh(B3841,$B$2,1,3))</f>
        <v>0</v>
      </c>
      <c r="E3841">
        <f ca="1">IF(A3841="","",COUNTIF(D$6:D3841,"True"))</f>
        <v>34</v>
      </c>
      <c r="F3841" t="str">
        <f t="shared" si="59"/>
        <v>601916.SH</v>
      </c>
    </row>
    <row r="3842" spans="1:6" x14ac:dyDescent="0.15">
      <c r="A3842" s="2">
        <v>46089</v>
      </c>
      <c r="B3842" s="1" t="s">
        <v>7252</v>
      </c>
      <c r="C3842" s="1" t="s">
        <v>7253</v>
      </c>
      <c r="D3842" t="b">
        <f ca="1">IF(A3842="","",[1]!s_techanal_rcnthigh(B3842,$B$2,1,3))</f>
        <v>0</v>
      </c>
      <c r="E3842">
        <f ca="1">IF(A3842="","",COUNTIF(D$6:D3842,"True"))</f>
        <v>34</v>
      </c>
      <c r="F3842" t="str">
        <f t="shared" si="59"/>
        <v>601918.SH</v>
      </c>
    </row>
    <row r="3843" spans="1:6" x14ac:dyDescent="0.15">
      <c r="A3843" s="2">
        <v>46089</v>
      </c>
      <c r="B3843" s="1" t="s">
        <v>7254</v>
      </c>
      <c r="C3843" s="1" t="s">
        <v>7255</v>
      </c>
      <c r="D3843" t="b">
        <f ca="1">IF(A3843="","",[1]!s_techanal_rcnthigh(B3843,$B$2,1,3))</f>
        <v>0</v>
      </c>
      <c r="E3843">
        <f ca="1">IF(A3843="","",COUNTIF(D$6:D3843,"True"))</f>
        <v>34</v>
      </c>
      <c r="F3843" t="str">
        <f t="shared" si="59"/>
        <v>601919.SH</v>
      </c>
    </row>
    <row r="3844" spans="1:6" x14ac:dyDescent="0.15">
      <c r="A3844" s="2">
        <v>46089</v>
      </c>
      <c r="B3844" s="1" t="s">
        <v>7256</v>
      </c>
      <c r="C3844" s="1" t="s">
        <v>7257</v>
      </c>
      <c r="D3844" t="b">
        <f ca="1">IF(A3844="","",[1]!s_techanal_rcnthigh(B3844,$B$2,1,3))</f>
        <v>0</v>
      </c>
      <c r="E3844">
        <f ca="1">IF(A3844="","",COUNTIF(D$6:D3844,"True"))</f>
        <v>34</v>
      </c>
      <c r="F3844" t="str">
        <f t="shared" si="59"/>
        <v>601921.SH</v>
      </c>
    </row>
    <row r="3845" spans="1:6" x14ac:dyDescent="0.15">
      <c r="A3845" s="2">
        <v>46089</v>
      </c>
      <c r="B3845" s="1" t="s">
        <v>7258</v>
      </c>
      <c r="C3845" s="1" t="s">
        <v>7259</v>
      </c>
      <c r="D3845" t="b">
        <f ca="1">IF(A3845="","",[1]!s_techanal_rcnthigh(B3845,$B$2,1,3))</f>
        <v>0</v>
      </c>
      <c r="E3845">
        <f ca="1">IF(A3845="","",COUNTIF(D$6:D3845,"True"))</f>
        <v>34</v>
      </c>
      <c r="F3845" t="str">
        <f t="shared" si="59"/>
        <v>601928.SH</v>
      </c>
    </row>
    <row r="3846" spans="1:6" x14ac:dyDescent="0.15">
      <c r="A3846" s="2">
        <v>46089</v>
      </c>
      <c r="B3846" s="1" t="s">
        <v>7260</v>
      </c>
      <c r="C3846" s="1" t="s">
        <v>7261</v>
      </c>
      <c r="D3846" t="b">
        <f ca="1">IF(A3846="","",[1]!s_techanal_rcnthigh(B3846,$B$2,1,3))</f>
        <v>0</v>
      </c>
      <c r="E3846">
        <f ca="1">IF(A3846="","",COUNTIF(D$6:D3846,"True"))</f>
        <v>34</v>
      </c>
      <c r="F3846" t="str">
        <f t="shared" ref="F3846:F3909" si="60">IF(B3846="","",B3846)</f>
        <v>601929.SH</v>
      </c>
    </row>
    <row r="3847" spans="1:6" x14ac:dyDescent="0.15">
      <c r="A3847" s="2">
        <v>46089</v>
      </c>
      <c r="B3847" s="1" t="s">
        <v>7262</v>
      </c>
      <c r="C3847" s="1" t="s">
        <v>7263</v>
      </c>
      <c r="D3847" t="b">
        <f ca="1">IF(A3847="","",[1]!s_techanal_rcnthigh(B3847,$B$2,1,3))</f>
        <v>0</v>
      </c>
      <c r="E3847">
        <f ca="1">IF(A3847="","",COUNTIF(D$6:D3847,"True"))</f>
        <v>34</v>
      </c>
      <c r="F3847" t="str">
        <f t="shared" si="60"/>
        <v>601933.SH</v>
      </c>
    </row>
    <row r="3848" spans="1:6" x14ac:dyDescent="0.15">
      <c r="A3848" s="2">
        <v>46089</v>
      </c>
      <c r="B3848" s="1" t="s">
        <v>7264</v>
      </c>
      <c r="C3848" s="1" t="s">
        <v>7265</v>
      </c>
      <c r="D3848" t="b">
        <f ca="1">IF(A3848="","",[1]!s_techanal_rcnthigh(B3848,$B$2,1,3))</f>
        <v>0</v>
      </c>
      <c r="E3848">
        <f ca="1">IF(A3848="","",COUNTIF(D$6:D3848,"True"))</f>
        <v>34</v>
      </c>
      <c r="F3848" t="str">
        <f t="shared" si="60"/>
        <v>601939.SH</v>
      </c>
    </row>
    <row r="3849" spans="1:6" x14ac:dyDescent="0.15">
      <c r="A3849" s="2">
        <v>46089</v>
      </c>
      <c r="B3849" s="1" t="s">
        <v>7266</v>
      </c>
      <c r="C3849" s="1" t="s">
        <v>7267</v>
      </c>
      <c r="D3849" t="b">
        <f ca="1">IF(A3849="","",[1]!s_techanal_rcnthigh(B3849,$B$2,1,3))</f>
        <v>0</v>
      </c>
      <c r="E3849">
        <f ca="1">IF(A3849="","",COUNTIF(D$6:D3849,"True"))</f>
        <v>34</v>
      </c>
      <c r="F3849" t="str">
        <f t="shared" si="60"/>
        <v>601949.SH</v>
      </c>
    </row>
    <row r="3850" spans="1:6" x14ac:dyDescent="0.15">
      <c r="A3850" s="2">
        <v>46089</v>
      </c>
      <c r="B3850" s="1" t="s">
        <v>7268</v>
      </c>
      <c r="C3850" s="1" t="s">
        <v>7269</v>
      </c>
      <c r="D3850" t="b">
        <f ca="1">IF(A3850="","",[1]!s_techanal_rcnthigh(B3850,$B$2,1,3))</f>
        <v>0</v>
      </c>
      <c r="E3850">
        <f ca="1">IF(A3850="","",COUNTIF(D$6:D3850,"True"))</f>
        <v>34</v>
      </c>
      <c r="F3850" t="str">
        <f t="shared" si="60"/>
        <v>601952.SH</v>
      </c>
    </row>
    <row r="3851" spans="1:6" x14ac:dyDescent="0.15">
      <c r="A3851" s="2">
        <v>46089</v>
      </c>
      <c r="B3851" s="1" t="s">
        <v>7270</v>
      </c>
      <c r="C3851" s="1" t="s">
        <v>7271</v>
      </c>
      <c r="D3851" t="b">
        <f ca="1">IF(A3851="","",[1]!s_techanal_rcnthigh(B3851,$B$2,1,3))</f>
        <v>0</v>
      </c>
      <c r="E3851">
        <f ca="1">IF(A3851="","",COUNTIF(D$6:D3851,"True"))</f>
        <v>34</v>
      </c>
      <c r="F3851" t="str">
        <f t="shared" si="60"/>
        <v>601956.SH</v>
      </c>
    </row>
    <row r="3852" spans="1:6" x14ac:dyDescent="0.15">
      <c r="A3852" s="2">
        <v>46089</v>
      </c>
      <c r="B3852" s="1" t="s">
        <v>7272</v>
      </c>
      <c r="C3852" s="1" t="s">
        <v>7273</v>
      </c>
      <c r="D3852" t="b">
        <f ca="1">IF(A3852="","",[1]!s_techanal_rcnthigh(B3852,$B$2,1,3))</f>
        <v>0</v>
      </c>
      <c r="E3852">
        <f ca="1">IF(A3852="","",COUNTIF(D$6:D3852,"True"))</f>
        <v>34</v>
      </c>
      <c r="F3852" t="str">
        <f t="shared" si="60"/>
        <v>601958.SH</v>
      </c>
    </row>
    <row r="3853" spans="1:6" x14ac:dyDescent="0.15">
      <c r="A3853" s="2">
        <v>46089</v>
      </c>
      <c r="B3853" s="1" t="s">
        <v>7274</v>
      </c>
      <c r="C3853" s="1" t="s">
        <v>7275</v>
      </c>
      <c r="D3853" t="b">
        <f ca="1">IF(A3853="","",[1]!s_techanal_rcnthigh(B3853,$B$2,1,3))</f>
        <v>0</v>
      </c>
      <c r="E3853">
        <f ca="1">IF(A3853="","",COUNTIF(D$6:D3853,"True"))</f>
        <v>34</v>
      </c>
      <c r="F3853" t="str">
        <f t="shared" si="60"/>
        <v>601963.SH</v>
      </c>
    </row>
    <row r="3854" spans="1:6" x14ac:dyDescent="0.15">
      <c r="A3854" s="2">
        <v>46089</v>
      </c>
      <c r="B3854" s="1" t="s">
        <v>7276</v>
      </c>
      <c r="C3854" s="1" t="s">
        <v>7277</v>
      </c>
      <c r="D3854" t="b">
        <f ca="1">IF(A3854="","",[1]!s_techanal_rcnthigh(B3854,$B$2,1,3))</f>
        <v>0</v>
      </c>
      <c r="E3854">
        <f ca="1">IF(A3854="","",COUNTIF(D$6:D3854,"True"))</f>
        <v>34</v>
      </c>
      <c r="F3854" t="str">
        <f t="shared" si="60"/>
        <v>601965.SH</v>
      </c>
    </row>
    <row r="3855" spans="1:6" x14ac:dyDescent="0.15">
      <c r="A3855" s="2">
        <v>46089</v>
      </c>
      <c r="B3855" s="1" t="s">
        <v>7278</v>
      </c>
      <c r="C3855" s="1" t="s">
        <v>7279</v>
      </c>
      <c r="D3855" t="b">
        <f ca="1">IF(A3855="","",[1]!s_techanal_rcnthigh(B3855,$B$2,1,3))</f>
        <v>0</v>
      </c>
      <c r="E3855">
        <f ca="1">IF(A3855="","",COUNTIF(D$6:D3855,"True"))</f>
        <v>34</v>
      </c>
      <c r="F3855" t="str">
        <f t="shared" si="60"/>
        <v>601966.SH</v>
      </c>
    </row>
    <row r="3856" spans="1:6" x14ac:dyDescent="0.15">
      <c r="A3856" s="2">
        <v>46089</v>
      </c>
      <c r="B3856" s="1" t="s">
        <v>7280</v>
      </c>
      <c r="C3856" s="1" t="s">
        <v>7281</v>
      </c>
      <c r="D3856" t="b">
        <f ca="1">IF(A3856="","",[1]!s_techanal_rcnthigh(B3856,$B$2,1,3))</f>
        <v>0</v>
      </c>
      <c r="E3856">
        <f ca="1">IF(A3856="","",COUNTIF(D$6:D3856,"True"))</f>
        <v>34</v>
      </c>
      <c r="F3856" t="str">
        <f t="shared" si="60"/>
        <v>601968.SH</v>
      </c>
    </row>
    <row r="3857" spans="1:6" x14ac:dyDescent="0.15">
      <c r="A3857" s="2">
        <v>46089</v>
      </c>
      <c r="B3857" s="1" t="s">
        <v>7282</v>
      </c>
      <c r="C3857" s="1" t="s">
        <v>7283</v>
      </c>
      <c r="D3857" t="b">
        <f ca="1">IF(A3857="","",[1]!s_techanal_rcnthigh(B3857,$B$2,1,3))</f>
        <v>0</v>
      </c>
      <c r="E3857">
        <f ca="1">IF(A3857="","",COUNTIF(D$6:D3857,"True"))</f>
        <v>34</v>
      </c>
      <c r="F3857" t="str">
        <f t="shared" si="60"/>
        <v>601969.SH</v>
      </c>
    </row>
    <row r="3858" spans="1:6" x14ac:dyDescent="0.15">
      <c r="A3858" s="2">
        <v>46089</v>
      </c>
      <c r="B3858" s="1" t="s">
        <v>7284</v>
      </c>
      <c r="C3858" s="1" t="s">
        <v>7285</v>
      </c>
      <c r="D3858" t="b">
        <f ca="1">IF(A3858="","",[1]!s_techanal_rcnthigh(B3858,$B$2,1,3))</f>
        <v>0</v>
      </c>
      <c r="E3858">
        <f ca="1">IF(A3858="","",COUNTIF(D$6:D3858,"True"))</f>
        <v>34</v>
      </c>
      <c r="F3858" t="str">
        <f t="shared" si="60"/>
        <v>601975.SH</v>
      </c>
    </row>
    <row r="3859" spans="1:6" x14ac:dyDescent="0.15">
      <c r="A3859" s="2">
        <v>46089</v>
      </c>
      <c r="B3859" s="1" t="s">
        <v>7286</v>
      </c>
      <c r="C3859" s="1" t="s">
        <v>7287</v>
      </c>
      <c r="D3859" t="b">
        <f ca="1">IF(A3859="","",[1]!s_techanal_rcnthigh(B3859,$B$2,1,3))</f>
        <v>0</v>
      </c>
      <c r="E3859">
        <f ca="1">IF(A3859="","",COUNTIF(D$6:D3859,"True"))</f>
        <v>34</v>
      </c>
      <c r="F3859" t="str">
        <f t="shared" si="60"/>
        <v>601985.SH</v>
      </c>
    </row>
    <row r="3860" spans="1:6" x14ac:dyDescent="0.15">
      <c r="A3860" s="2">
        <v>46089</v>
      </c>
      <c r="B3860" s="1" t="s">
        <v>7288</v>
      </c>
      <c r="C3860" s="1" t="s">
        <v>7289</v>
      </c>
      <c r="D3860" t="b">
        <f ca="1">IF(A3860="","",[1]!s_techanal_rcnthigh(B3860,$B$2,1,3))</f>
        <v>0</v>
      </c>
      <c r="E3860">
        <f ca="1">IF(A3860="","",COUNTIF(D$6:D3860,"True"))</f>
        <v>34</v>
      </c>
      <c r="F3860" t="str">
        <f t="shared" si="60"/>
        <v>601988.SH</v>
      </c>
    </row>
    <row r="3861" spans="1:6" x14ac:dyDescent="0.15">
      <c r="A3861" s="2">
        <v>46089</v>
      </c>
      <c r="B3861" s="1" t="s">
        <v>7290</v>
      </c>
      <c r="C3861" s="1" t="s">
        <v>7291</v>
      </c>
      <c r="D3861" t="b">
        <f ca="1">IF(A3861="","",[1]!s_techanal_rcnthigh(B3861,$B$2,1,3))</f>
        <v>0</v>
      </c>
      <c r="E3861">
        <f ca="1">IF(A3861="","",COUNTIF(D$6:D3861,"True"))</f>
        <v>34</v>
      </c>
      <c r="F3861" t="str">
        <f t="shared" si="60"/>
        <v>601990.SH</v>
      </c>
    </row>
    <row r="3862" spans="1:6" x14ac:dyDescent="0.15">
      <c r="A3862" s="2">
        <v>46089</v>
      </c>
      <c r="B3862" s="1" t="s">
        <v>7292</v>
      </c>
      <c r="C3862" s="1" t="s">
        <v>7293</v>
      </c>
      <c r="D3862" t="b">
        <f ca="1">IF(A3862="","",[1]!s_techanal_rcnthigh(B3862,$B$2,1,3))</f>
        <v>0</v>
      </c>
      <c r="E3862">
        <f ca="1">IF(A3862="","",COUNTIF(D$6:D3862,"True"))</f>
        <v>34</v>
      </c>
      <c r="F3862" t="str">
        <f t="shared" si="60"/>
        <v>601991.SH</v>
      </c>
    </row>
    <row r="3863" spans="1:6" x14ac:dyDescent="0.15">
      <c r="A3863" s="2">
        <v>46089</v>
      </c>
      <c r="B3863" s="1" t="s">
        <v>7294</v>
      </c>
      <c r="C3863" s="1" t="s">
        <v>7295</v>
      </c>
      <c r="D3863" t="b">
        <f ca="1">IF(A3863="","",[1]!s_techanal_rcnthigh(B3863,$B$2,1,3))</f>
        <v>0</v>
      </c>
      <c r="E3863">
        <f ca="1">IF(A3863="","",COUNTIF(D$6:D3863,"True"))</f>
        <v>34</v>
      </c>
      <c r="F3863" t="str">
        <f t="shared" si="60"/>
        <v>601992.SH</v>
      </c>
    </row>
    <row r="3864" spans="1:6" x14ac:dyDescent="0.15">
      <c r="A3864" s="2">
        <v>46089</v>
      </c>
      <c r="B3864" s="1" t="s">
        <v>7296</v>
      </c>
      <c r="C3864" s="1" t="s">
        <v>7297</v>
      </c>
      <c r="D3864" t="b">
        <f ca="1">IF(A3864="","",[1]!s_techanal_rcnthigh(B3864,$B$2,1,3))</f>
        <v>0</v>
      </c>
      <c r="E3864">
        <f ca="1">IF(A3864="","",COUNTIF(D$6:D3864,"True"))</f>
        <v>34</v>
      </c>
      <c r="F3864" t="str">
        <f t="shared" si="60"/>
        <v>601995.SH</v>
      </c>
    </row>
    <row r="3865" spans="1:6" x14ac:dyDescent="0.15">
      <c r="A3865" s="2">
        <v>46089</v>
      </c>
      <c r="B3865" s="1" t="s">
        <v>7298</v>
      </c>
      <c r="C3865" s="1" t="s">
        <v>7299</v>
      </c>
      <c r="D3865" t="b">
        <f ca="1">IF(A3865="","",[1]!s_techanal_rcnthigh(B3865,$B$2,1,3))</f>
        <v>0</v>
      </c>
      <c r="E3865">
        <f ca="1">IF(A3865="","",COUNTIF(D$6:D3865,"True"))</f>
        <v>34</v>
      </c>
      <c r="F3865" t="str">
        <f t="shared" si="60"/>
        <v>601996.SH</v>
      </c>
    </row>
    <row r="3866" spans="1:6" x14ac:dyDescent="0.15">
      <c r="A3866" s="2">
        <v>46089</v>
      </c>
      <c r="B3866" s="1" t="s">
        <v>7300</v>
      </c>
      <c r="C3866" s="1" t="s">
        <v>7301</v>
      </c>
      <c r="D3866" t="b">
        <f ca="1">IF(A3866="","",[1]!s_techanal_rcnthigh(B3866,$B$2,1,3))</f>
        <v>0</v>
      </c>
      <c r="E3866">
        <f ca="1">IF(A3866="","",COUNTIF(D$6:D3866,"True"))</f>
        <v>34</v>
      </c>
      <c r="F3866" t="str">
        <f t="shared" si="60"/>
        <v>601997.SH</v>
      </c>
    </row>
    <row r="3867" spans="1:6" x14ac:dyDescent="0.15">
      <c r="A3867" s="2">
        <v>46089</v>
      </c>
      <c r="B3867" s="1" t="s">
        <v>7302</v>
      </c>
      <c r="C3867" s="1" t="s">
        <v>7303</v>
      </c>
      <c r="D3867" t="b">
        <f ca="1">IF(A3867="","",[1]!s_techanal_rcnthigh(B3867,$B$2,1,3))</f>
        <v>0</v>
      </c>
      <c r="E3867">
        <f ca="1">IF(A3867="","",COUNTIF(D$6:D3867,"True"))</f>
        <v>34</v>
      </c>
      <c r="F3867" t="str">
        <f t="shared" si="60"/>
        <v>601998.SH</v>
      </c>
    </row>
    <row r="3868" spans="1:6" x14ac:dyDescent="0.15">
      <c r="A3868" s="2">
        <v>46089</v>
      </c>
      <c r="B3868" s="1" t="s">
        <v>7304</v>
      </c>
      <c r="C3868" s="1" t="s">
        <v>7305</v>
      </c>
      <c r="D3868" t="b">
        <f ca="1">IF(A3868="","",[1]!s_techanal_rcnthigh(B3868,$B$2,1,3))</f>
        <v>0</v>
      </c>
      <c r="E3868">
        <f ca="1">IF(A3868="","",COUNTIF(D$6:D3868,"True"))</f>
        <v>34</v>
      </c>
      <c r="F3868" t="str">
        <f t="shared" si="60"/>
        <v>601999.SH</v>
      </c>
    </row>
    <row r="3869" spans="1:6" x14ac:dyDescent="0.15">
      <c r="A3869" s="2">
        <v>46089</v>
      </c>
      <c r="B3869" s="1" t="s">
        <v>7306</v>
      </c>
      <c r="C3869" s="1" t="s">
        <v>7307</v>
      </c>
      <c r="D3869" t="b">
        <f ca="1">IF(A3869="","",[1]!s_techanal_rcnthigh(B3869,$B$2,1,3))</f>
        <v>0</v>
      </c>
      <c r="E3869">
        <f ca="1">IF(A3869="","",COUNTIF(D$6:D3869,"True"))</f>
        <v>34</v>
      </c>
      <c r="F3869" t="str">
        <f t="shared" si="60"/>
        <v>603000.SH</v>
      </c>
    </row>
    <row r="3870" spans="1:6" x14ac:dyDescent="0.15">
      <c r="A3870" s="2">
        <v>46089</v>
      </c>
      <c r="B3870" s="1" t="s">
        <v>7308</v>
      </c>
      <c r="C3870" s="1" t="s">
        <v>10458</v>
      </c>
      <c r="D3870" t="b">
        <f ca="1">IF(A3870="","",[1]!s_techanal_rcnthigh(B3870,$B$2,1,3))</f>
        <v>0</v>
      </c>
      <c r="E3870">
        <f ca="1">IF(A3870="","",COUNTIF(D$6:D3870,"True"))</f>
        <v>34</v>
      </c>
      <c r="F3870" t="str">
        <f t="shared" si="60"/>
        <v>603001.SH</v>
      </c>
    </row>
    <row r="3871" spans="1:6" x14ac:dyDescent="0.15">
      <c r="A3871" s="2">
        <v>46089</v>
      </c>
      <c r="B3871" s="1" t="s">
        <v>7309</v>
      </c>
      <c r="C3871" s="1" t="s">
        <v>7310</v>
      </c>
      <c r="D3871" t="b">
        <f ca="1">IF(A3871="","",[1]!s_techanal_rcnthigh(B3871,$B$2,1,3))</f>
        <v>0</v>
      </c>
      <c r="E3871">
        <f ca="1">IF(A3871="","",COUNTIF(D$6:D3871,"True"))</f>
        <v>34</v>
      </c>
      <c r="F3871" t="str">
        <f t="shared" si="60"/>
        <v>603002.SH</v>
      </c>
    </row>
    <row r="3872" spans="1:6" x14ac:dyDescent="0.15">
      <c r="A3872" s="2">
        <v>46089</v>
      </c>
      <c r="B3872" s="1" t="s">
        <v>7311</v>
      </c>
      <c r="C3872" s="1" t="s">
        <v>7312</v>
      </c>
      <c r="D3872" t="b">
        <f ca="1">IF(A3872="","",[1]!s_techanal_rcnthigh(B3872,$B$2,1,3))</f>
        <v>0</v>
      </c>
      <c r="E3872">
        <f ca="1">IF(A3872="","",COUNTIF(D$6:D3872,"True"))</f>
        <v>34</v>
      </c>
      <c r="F3872" t="str">
        <f t="shared" si="60"/>
        <v>603004.SH</v>
      </c>
    </row>
    <row r="3873" spans="1:6" x14ac:dyDescent="0.15">
      <c r="A3873" s="2">
        <v>46089</v>
      </c>
      <c r="B3873" s="1" t="s">
        <v>7313</v>
      </c>
      <c r="C3873" s="1" t="s">
        <v>7314</v>
      </c>
      <c r="D3873" t="b">
        <f ca="1">IF(A3873="","",[1]!s_techanal_rcnthigh(B3873,$B$2,1,3))</f>
        <v>0</v>
      </c>
      <c r="E3873">
        <f ca="1">IF(A3873="","",COUNTIF(D$6:D3873,"True"))</f>
        <v>34</v>
      </c>
      <c r="F3873" t="str">
        <f t="shared" si="60"/>
        <v>603005.SH</v>
      </c>
    </row>
    <row r="3874" spans="1:6" x14ac:dyDescent="0.15">
      <c r="A3874" s="2">
        <v>46089</v>
      </c>
      <c r="B3874" s="1" t="s">
        <v>7315</v>
      </c>
      <c r="C3874" s="1" t="s">
        <v>7316</v>
      </c>
      <c r="D3874" t="b">
        <f ca="1">IF(A3874="","",[1]!s_techanal_rcnthigh(B3874,$B$2,1,3))</f>
        <v>0</v>
      </c>
      <c r="E3874">
        <f ca="1">IF(A3874="","",COUNTIF(D$6:D3874,"True"))</f>
        <v>34</v>
      </c>
      <c r="F3874" t="str">
        <f t="shared" si="60"/>
        <v>603006.SH</v>
      </c>
    </row>
    <row r="3875" spans="1:6" x14ac:dyDescent="0.15">
      <c r="A3875" s="2">
        <v>46089</v>
      </c>
      <c r="B3875" s="1" t="s">
        <v>7317</v>
      </c>
      <c r="C3875" s="1" t="s">
        <v>10459</v>
      </c>
      <c r="D3875" t="b">
        <f ca="1">IF(A3875="","",[1]!s_techanal_rcnthigh(B3875,$B$2,1,3))</f>
        <v>0</v>
      </c>
      <c r="E3875">
        <f ca="1">IF(A3875="","",COUNTIF(D$6:D3875,"True"))</f>
        <v>34</v>
      </c>
      <c r="F3875" t="str">
        <f t="shared" si="60"/>
        <v>603007.SH</v>
      </c>
    </row>
    <row r="3876" spans="1:6" x14ac:dyDescent="0.15">
      <c r="A3876" s="2">
        <v>46089</v>
      </c>
      <c r="B3876" s="1" t="s">
        <v>7318</v>
      </c>
      <c r="C3876" s="1" t="s">
        <v>7319</v>
      </c>
      <c r="D3876" t="b">
        <f ca="1">IF(A3876="","",[1]!s_techanal_rcnthigh(B3876,$B$2,1,3))</f>
        <v>0</v>
      </c>
      <c r="E3876">
        <f ca="1">IF(A3876="","",COUNTIF(D$6:D3876,"True"))</f>
        <v>34</v>
      </c>
      <c r="F3876" t="str">
        <f t="shared" si="60"/>
        <v>603008.SH</v>
      </c>
    </row>
    <row r="3877" spans="1:6" x14ac:dyDescent="0.15">
      <c r="A3877" s="2">
        <v>46089</v>
      </c>
      <c r="B3877" s="1" t="s">
        <v>7320</v>
      </c>
      <c r="C3877" s="1" t="s">
        <v>7321</v>
      </c>
      <c r="D3877" t="b">
        <f ca="1">IF(A3877="","",[1]!s_techanal_rcnthigh(B3877,$B$2,1,3))</f>
        <v>0</v>
      </c>
      <c r="E3877">
        <f ca="1">IF(A3877="","",COUNTIF(D$6:D3877,"True"))</f>
        <v>34</v>
      </c>
      <c r="F3877" t="str">
        <f t="shared" si="60"/>
        <v>603009.SH</v>
      </c>
    </row>
    <row r="3878" spans="1:6" x14ac:dyDescent="0.15">
      <c r="A3878" s="2">
        <v>46089</v>
      </c>
      <c r="B3878" s="1" t="s">
        <v>7322</v>
      </c>
      <c r="C3878" s="1" t="s">
        <v>7323</v>
      </c>
      <c r="D3878" t="b">
        <f ca="1">IF(A3878="","",[1]!s_techanal_rcnthigh(B3878,$B$2,1,3))</f>
        <v>0</v>
      </c>
      <c r="E3878">
        <f ca="1">IF(A3878="","",COUNTIF(D$6:D3878,"True"))</f>
        <v>34</v>
      </c>
      <c r="F3878" t="str">
        <f t="shared" si="60"/>
        <v>603010.SH</v>
      </c>
    </row>
    <row r="3879" spans="1:6" x14ac:dyDescent="0.15">
      <c r="A3879" s="2">
        <v>46089</v>
      </c>
      <c r="B3879" s="1" t="s">
        <v>7324</v>
      </c>
      <c r="C3879" s="1" t="s">
        <v>7325</v>
      </c>
      <c r="D3879" t="b">
        <f ca="1">IF(A3879="","",[1]!s_techanal_rcnthigh(B3879,$B$2,1,3))</f>
        <v>0</v>
      </c>
      <c r="E3879">
        <f ca="1">IF(A3879="","",COUNTIF(D$6:D3879,"True"))</f>
        <v>34</v>
      </c>
      <c r="F3879" t="str">
        <f t="shared" si="60"/>
        <v>603011.SH</v>
      </c>
    </row>
    <row r="3880" spans="1:6" x14ac:dyDescent="0.15">
      <c r="A3880" s="2">
        <v>46089</v>
      </c>
      <c r="B3880" s="1" t="s">
        <v>7326</v>
      </c>
      <c r="C3880" s="1" t="s">
        <v>7327</v>
      </c>
      <c r="D3880" t="b">
        <f ca="1">IF(A3880="","",[1]!s_techanal_rcnthigh(B3880,$B$2,1,3))</f>
        <v>0</v>
      </c>
      <c r="E3880">
        <f ca="1">IF(A3880="","",COUNTIF(D$6:D3880,"True"))</f>
        <v>34</v>
      </c>
      <c r="F3880" t="str">
        <f t="shared" si="60"/>
        <v>603012.SH</v>
      </c>
    </row>
    <row r="3881" spans="1:6" x14ac:dyDescent="0.15">
      <c r="A3881" s="2">
        <v>46089</v>
      </c>
      <c r="B3881" s="1" t="s">
        <v>7328</v>
      </c>
      <c r="C3881" s="1" t="s">
        <v>7329</v>
      </c>
      <c r="D3881" t="b">
        <f ca="1">IF(A3881="","",[1]!s_techanal_rcnthigh(B3881,$B$2,1,3))</f>
        <v>0</v>
      </c>
      <c r="E3881">
        <f ca="1">IF(A3881="","",COUNTIF(D$6:D3881,"True"))</f>
        <v>34</v>
      </c>
      <c r="F3881" t="str">
        <f t="shared" si="60"/>
        <v>603013.SH</v>
      </c>
    </row>
    <row r="3882" spans="1:6" x14ac:dyDescent="0.15">
      <c r="A3882" s="2">
        <v>46089</v>
      </c>
      <c r="B3882" s="1" t="s">
        <v>10460</v>
      </c>
      <c r="C3882" s="1" t="s">
        <v>10461</v>
      </c>
      <c r="D3882" t="b">
        <f ca="1">IF(A3882="","",[1]!s_techanal_rcnthigh(B3882,$B$2,1,3))</f>
        <v>0</v>
      </c>
      <c r="E3882">
        <f ca="1">IF(A3882="","",COUNTIF(D$6:D3882,"True"))</f>
        <v>34</v>
      </c>
      <c r="F3882" t="str">
        <f t="shared" si="60"/>
        <v>603014.SH</v>
      </c>
    </row>
    <row r="3883" spans="1:6" x14ac:dyDescent="0.15">
      <c r="A3883" s="2">
        <v>46089</v>
      </c>
      <c r="B3883" s="1" t="s">
        <v>7330</v>
      </c>
      <c r="C3883" s="1" t="s">
        <v>7331</v>
      </c>
      <c r="D3883" t="b">
        <f ca="1">IF(A3883="","",[1]!s_techanal_rcnthigh(B3883,$B$2,1,3))</f>
        <v>0</v>
      </c>
      <c r="E3883">
        <f ca="1">IF(A3883="","",COUNTIF(D$6:D3883,"True"))</f>
        <v>34</v>
      </c>
      <c r="F3883" t="str">
        <f t="shared" si="60"/>
        <v>603015.SH</v>
      </c>
    </row>
    <row r="3884" spans="1:6" x14ac:dyDescent="0.15">
      <c r="A3884" s="2">
        <v>46089</v>
      </c>
      <c r="B3884" s="1" t="s">
        <v>7332</v>
      </c>
      <c r="C3884" s="1" t="s">
        <v>7333</v>
      </c>
      <c r="D3884" t="b">
        <f ca="1">IF(A3884="","",[1]!s_techanal_rcnthigh(B3884,$B$2,1,3))</f>
        <v>0</v>
      </c>
      <c r="E3884">
        <f ca="1">IF(A3884="","",COUNTIF(D$6:D3884,"True"))</f>
        <v>34</v>
      </c>
      <c r="F3884" t="str">
        <f t="shared" si="60"/>
        <v>603016.SH</v>
      </c>
    </row>
    <row r="3885" spans="1:6" x14ac:dyDescent="0.15">
      <c r="A3885" s="2">
        <v>46089</v>
      </c>
      <c r="B3885" s="1" t="s">
        <v>7334</v>
      </c>
      <c r="C3885" s="1" t="s">
        <v>7335</v>
      </c>
      <c r="D3885" t="b">
        <f ca="1">IF(A3885="","",[1]!s_techanal_rcnthigh(B3885,$B$2,1,3))</f>
        <v>0</v>
      </c>
      <c r="E3885">
        <f ca="1">IF(A3885="","",COUNTIF(D$6:D3885,"True"))</f>
        <v>34</v>
      </c>
      <c r="F3885" t="str">
        <f t="shared" si="60"/>
        <v>603017.SH</v>
      </c>
    </row>
    <row r="3886" spans="1:6" x14ac:dyDescent="0.15">
      <c r="A3886" s="2">
        <v>46089</v>
      </c>
      <c r="B3886" s="1" t="s">
        <v>7336</v>
      </c>
      <c r="C3886" s="1" t="s">
        <v>7337</v>
      </c>
      <c r="D3886" t="b">
        <f ca="1">IF(A3886="","",[1]!s_techanal_rcnthigh(B3886,$B$2,1,3))</f>
        <v>0</v>
      </c>
      <c r="E3886">
        <f ca="1">IF(A3886="","",COUNTIF(D$6:D3886,"True"))</f>
        <v>34</v>
      </c>
      <c r="F3886" t="str">
        <f t="shared" si="60"/>
        <v>603018.SH</v>
      </c>
    </row>
    <row r="3887" spans="1:6" x14ac:dyDescent="0.15">
      <c r="A3887" s="2">
        <v>46089</v>
      </c>
      <c r="B3887" s="1" t="s">
        <v>7338</v>
      </c>
      <c r="C3887" s="1" t="s">
        <v>7339</v>
      </c>
      <c r="D3887" t="b">
        <f ca="1">IF(A3887="","",[1]!s_techanal_rcnthigh(B3887,$B$2,1,3))</f>
        <v>0</v>
      </c>
      <c r="E3887">
        <f ca="1">IF(A3887="","",COUNTIF(D$6:D3887,"True"))</f>
        <v>34</v>
      </c>
      <c r="F3887" t="str">
        <f t="shared" si="60"/>
        <v>603019.SH</v>
      </c>
    </row>
    <row r="3888" spans="1:6" x14ac:dyDescent="0.15">
      <c r="A3888" s="2">
        <v>46089</v>
      </c>
      <c r="B3888" s="1" t="s">
        <v>7340</v>
      </c>
      <c r="C3888" s="1" t="s">
        <v>7341</v>
      </c>
      <c r="D3888" t="b">
        <f ca="1">IF(A3888="","",[1]!s_techanal_rcnthigh(B3888,$B$2,1,3))</f>
        <v>0</v>
      </c>
      <c r="E3888">
        <f ca="1">IF(A3888="","",COUNTIF(D$6:D3888,"True"))</f>
        <v>34</v>
      </c>
      <c r="F3888" t="str">
        <f t="shared" si="60"/>
        <v>603020.SH</v>
      </c>
    </row>
    <row r="3889" spans="1:6" x14ac:dyDescent="0.15">
      <c r="A3889" s="2">
        <v>46089</v>
      </c>
      <c r="B3889" s="1" t="s">
        <v>7342</v>
      </c>
      <c r="C3889" s="1" t="s">
        <v>10462</v>
      </c>
      <c r="D3889" t="b">
        <f ca="1">IF(A3889="","",[1]!s_techanal_rcnthigh(B3889,$B$2,1,3))</f>
        <v>0</v>
      </c>
      <c r="E3889">
        <f ca="1">IF(A3889="","",COUNTIF(D$6:D3889,"True"))</f>
        <v>34</v>
      </c>
      <c r="F3889" t="str">
        <f t="shared" si="60"/>
        <v>603021.SH</v>
      </c>
    </row>
    <row r="3890" spans="1:6" x14ac:dyDescent="0.15">
      <c r="A3890" s="2">
        <v>46089</v>
      </c>
      <c r="B3890" s="1" t="s">
        <v>7343</v>
      </c>
      <c r="C3890" s="1" t="s">
        <v>7344</v>
      </c>
      <c r="D3890" t="b">
        <f ca="1">IF(A3890="","",[1]!s_techanal_rcnthigh(B3890,$B$2,1,3))</f>
        <v>0</v>
      </c>
      <c r="E3890">
        <f ca="1">IF(A3890="","",COUNTIF(D$6:D3890,"True"))</f>
        <v>34</v>
      </c>
      <c r="F3890" t="str">
        <f t="shared" si="60"/>
        <v>603022.SH</v>
      </c>
    </row>
    <row r="3891" spans="1:6" x14ac:dyDescent="0.15">
      <c r="A3891" s="2">
        <v>46089</v>
      </c>
      <c r="B3891" s="1" t="s">
        <v>7345</v>
      </c>
      <c r="C3891" s="1" t="s">
        <v>7346</v>
      </c>
      <c r="D3891" t="b">
        <f ca="1">IF(A3891="","",[1]!s_techanal_rcnthigh(B3891,$B$2,1,3))</f>
        <v>0</v>
      </c>
      <c r="E3891">
        <f ca="1">IF(A3891="","",COUNTIF(D$6:D3891,"True"))</f>
        <v>34</v>
      </c>
      <c r="F3891" t="str">
        <f t="shared" si="60"/>
        <v>603023.SH</v>
      </c>
    </row>
    <row r="3892" spans="1:6" x14ac:dyDescent="0.15">
      <c r="A3892" s="2">
        <v>46089</v>
      </c>
      <c r="B3892" s="1" t="s">
        <v>7347</v>
      </c>
      <c r="C3892" s="1" t="s">
        <v>7348</v>
      </c>
      <c r="D3892" t="b">
        <f ca="1">IF(A3892="","",[1]!s_techanal_rcnthigh(B3892,$B$2,1,3))</f>
        <v>0</v>
      </c>
      <c r="E3892">
        <f ca="1">IF(A3892="","",COUNTIF(D$6:D3892,"True"))</f>
        <v>34</v>
      </c>
      <c r="F3892" t="str">
        <f t="shared" si="60"/>
        <v>603025.SH</v>
      </c>
    </row>
    <row r="3893" spans="1:6" x14ac:dyDescent="0.15">
      <c r="A3893" s="2">
        <v>46089</v>
      </c>
      <c r="B3893" s="1" t="s">
        <v>7349</v>
      </c>
      <c r="C3893" s="1" t="s">
        <v>10463</v>
      </c>
      <c r="D3893" t="b">
        <f ca="1">IF(A3893="","",[1]!s_techanal_rcnthigh(B3893,$B$2,1,3))</f>
        <v>0</v>
      </c>
      <c r="E3893">
        <f ca="1">IF(A3893="","",COUNTIF(D$6:D3893,"True"))</f>
        <v>34</v>
      </c>
      <c r="F3893" t="str">
        <f t="shared" si="60"/>
        <v>603026.SH</v>
      </c>
    </row>
    <row r="3894" spans="1:6" x14ac:dyDescent="0.15">
      <c r="A3894" s="2">
        <v>46089</v>
      </c>
      <c r="B3894" s="1" t="s">
        <v>7350</v>
      </c>
      <c r="C3894" s="1" t="s">
        <v>7351</v>
      </c>
      <c r="D3894" t="b">
        <f ca="1">IF(A3894="","",[1]!s_techanal_rcnthigh(B3894,$B$2,1,3))</f>
        <v>0</v>
      </c>
      <c r="E3894">
        <f ca="1">IF(A3894="","",COUNTIF(D$6:D3894,"True"))</f>
        <v>34</v>
      </c>
      <c r="F3894" t="str">
        <f t="shared" si="60"/>
        <v>603027.SH</v>
      </c>
    </row>
    <row r="3895" spans="1:6" x14ac:dyDescent="0.15">
      <c r="A3895" s="2">
        <v>46089</v>
      </c>
      <c r="B3895" s="1" t="s">
        <v>7352</v>
      </c>
      <c r="C3895" s="1" t="s">
        <v>7353</v>
      </c>
      <c r="D3895" t="b">
        <f ca="1">IF(A3895="","",[1]!s_techanal_rcnthigh(B3895,$B$2,1,3))</f>
        <v>0</v>
      </c>
      <c r="E3895">
        <f ca="1">IF(A3895="","",COUNTIF(D$6:D3895,"True"))</f>
        <v>34</v>
      </c>
      <c r="F3895" t="str">
        <f t="shared" si="60"/>
        <v>603028.SH</v>
      </c>
    </row>
    <row r="3896" spans="1:6" x14ac:dyDescent="0.15">
      <c r="A3896" s="2">
        <v>46089</v>
      </c>
      <c r="B3896" s="1" t="s">
        <v>7354</v>
      </c>
      <c r="C3896" s="1" t="s">
        <v>7355</v>
      </c>
      <c r="D3896" t="b">
        <f ca="1">IF(A3896="","",[1]!s_techanal_rcnthigh(B3896,$B$2,1,3))</f>
        <v>0</v>
      </c>
      <c r="E3896">
        <f ca="1">IF(A3896="","",COUNTIF(D$6:D3896,"True"))</f>
        <v>34</v>
      </c>
      <c r="F3896" t="str">
        <f t="shared" si="60"/>
        <v>603029.SH</v>
      </c>
    </row>
    <row r="3897" spans="1:6" x14ac:dyDescent="0.15">
      <c r="A3897" s="2">
        <v>46089</v>
      </c>
      <c r="B3897" s="1" t="s">
        <v>7356</v>
      </c>
      <c r="C3897" s="1" t="s">
        <v>10464</v>
      </c>
      <c r="D3897" t="b">
        <f ca="1">IF(A3897="","",[1]!s_techanal_rcnthigh(B3897,$B$2,1,3))</f>
        <v>0</v>
      </c>
      <c r="E3897">
        <f ca="1">IF(A3897="","",COUNTIF(D$6:D3897,"True"))</f>
        <v>34</v>
      </c>
      <c r="F3897" t="str">
        <f t="shared" si="60"/>
        <v>603030.SH</v>
      </c>
    </row>
    <row r="3898" spans="1:6" x14ac:dyDescent="0.15">
      <c r="A3898" s="2">
        <v>46089</v>
      </c>
      <c r="B3898" s="1" t="s">
        <v>7357</v>
      </c>
      <c r="C3898" s="1" t="s">
        <v>7358</v>
      </c>
      <c r="D3898" t="b">
        <f ca="1">IF(A3898="","",[1]!s_techanal_rcnthigh(B3898,$B$2,1,3))</f>
        <v>0</v>
      </c>
      <c r="E3898">
        <f ca="1">IF(A3898="","",COUNTIF(D$6:D3898,"True"))</f>
        <v>34</v>
      </c>
      <c r="F3898" t="str">
        <f t="shared" si="60"/>
        <v>603031.SH</v>
      </c>
    </row>
    <row r="3899" spans="1:6" x14ac:dyDescent="0.15">
      <c r="A3899" s="2">
        <v>46089</v>
      </c>
      <c r="B3899" s="1" t="s">
        <v>7359</v>
      </c>
      <c r="C3899" s="1" t="s">
        <v>7360</v>
      </c>
      <c r="D3899" t="b">
        <f ca="1">IF(A3899="","",[1]!s_techanal_rcnthigh(B3899,$B$2,1,3))</f>
        <v>0</v>
      </c>
      <c r="E3899">
        <f ca="1">IF(A3899="","",COUNTIF(D$6:D3899,"True"))</f>
        <v>34</v>
      </c>
      <c r="F3899" t="str">
        <f t="shared" si="60"/>
        <v>603032.SH</v>
      </c>
    </row>
    <row r="3900" spans="1:6" x14ac:dyDescent="0.15">
      <c r="A3900" s="2">
        <v>46089</v>
      </c>
      <c r="B3900" s="1" t="s">
        <v>7361</v>
      </c>
      <c r="C3900" s="1" t="s">
        <v>7362</v>
      </c>
      <c r="D3900" t="b">
        <f ca="1">IF(A3900="","",[1]!s_techanal_rcnthigh(B3900,$B$2,1,3))</f>
        <v>0</v>
      </c>
      <c r="E3900">
        <f ca="1">IF(A3900="","",COUNTIF(D$6:D3900,"True"))</f>
        <v>34</v>
      </c>
      <c r="F3900" t="str">
        <f t="shared" si="60"/>
        <v>603033.SH</v>
      </c>
    </row>
    <row r="3901" spans="1:6" x14ac:dyDescent="0.15">
      <c r="A3901" s="2">
        <v>46089</v>
      </c>
      <c r="B3901" s="1" t="s">
        <v>7363</v>
      </c>
      <c r="C3901" s="1" t="s">
        <v>7364</v>
      </c>
      <c r="D3901" t="b">
        <f ca="1">IF(A3901="","",[1]!s_techanal_rcnthigh(B3901,$B$2,1,3))</f>
        <v>0</v>
      </c>
      <c r="E3901">
        <f ca="1">IF(A3901="","",COUNTIF(D$6:D3901,"True"))</f>
        <v>34</v>
      </c>
      <c r="F3901" t="str">
        <f t="shared" si="60"/>
        <v>603035.SH</v>
      </c>
    </row>
    <row r="3902" spans="1:6" x14ac:dyDescent="0.15">
      <c r="A3902" s="2">
        <v>46089</v>
      </c>
      <c r="B3902" s="1" t="s">
        <v>7365</v>
      </c>
      <c r="C3902" s="1" t="s">
        <v>7366</v>
      </c>
      <c r="D3902" t="b">
        <f ca="1">IF(A3902="","",[1]!s_techanal_rcnthigh(B3902,$B$2,1,3))</f>
        <v>0</v>
      </c>
      <c r="E3902">
        <f ca="1">IF(A3902="","",COUNTIF(D$6:D3902,"True"))</f>
        <v>34</v>
      </c>
      <c r="F3902" t="str">
        <f t="shared" si="60"/>
        <v>603036.SH</v>
      </c>
    </row>
    <row r="3903" spans="1:6" x14ac:dyDescent="0.15">
      <c r="A3903" s="2">
        <v>46089</v>
      </c>
      <c r="B3903" s="1" t="s">
        <v>7367</v>
      </c>
      <c r="C3903" s="1" t="s">
        <v>7368</v>
      </c>
      <c r="D3903" t="b">
        <f ca="1">IF(A3903="","",[1]!s_techanal_rcnthigh(B3903,$B$2,1,3))</f>
        <v>0</v>
      </c>
      <c r="E3903">
        <f ca="1">IF(A3903="","",COUNTIF(D$6:D3903,"True"))</f>
        <v>34</v>
      </c>
      <c r="F3903" t="str">
        <f t="shared" si="60"/>
        <v>603037.SH</v>
      </c>
    </row>
    <row r="3904" spans="1:6" x14ac:dyDescent="0.15">
      <c r="A3904" s="2">
        <v>46089</v>
      </c>
      <c r="B3904" s="1" t="s">
        <v>7369</v>
      </c>
      <c r="C3904" s="1" t="s">
        <v>7370</v>
      </c>
      <c r="D3904" t="b">
        <f ca="1">IF(A3904="","",[1]!s_techanal_rcnthigh(B3904,$B$2,1,3))</f>
        <v>0</v>
      </c>
      <c r="E3904">
        <f ca="1">IF(A3904="","",COUNTIF(D$6:D3904,"True"))</f>
        <v>34</v>
      </c>
      <c r="F3904" t="str">
        <f t="shared" si="60"/>
        <v>603038.SH</v>
      </c>
    </row>
    <row r="3905" spans="1:6" x14ac:dyDescent="0.15">
      <c r="A3905" s="2">
        <v>46089</v>
      </c>
      <c r="B3905" s="1" t="s">
        <v>7371</v>
      </c>
      <c r="C3905" s="1" t="s">
        <v>7372</v>
      </c>
      <c r="D3905" t="b">
        <f ca="1">IF(A3905="","",[1]!s_techanal_rcnthigh(B3905,$B$2,1,3))</f>
        <v>0</v>
      </c>
      <c r="E3905">
        <f ca="1">IF(A3905="","",COUNTIF(D$6:D3905,"True"))</f>
        <v>34</v>
      </c>
      <c r="F3905" t="str">
        <f t="shared" si="60"/>
        <v>603039.SH</v>
      </c>
    </row>
    <row r="3906" spans="1:6" x14ac:dyDescent="0.15">
      <c r="A3906" s="2">
        <v>46089</v>
      </c>
      <c r="B3906" s="1" t="s">
        <v>7373</v>
      </c>
      <c r="C3906" s="1" t="s">
        <v>7374</v>
      </c>
      <c r="D3906" t="b">
        <f ca="1">IF(A3906="","",[1]!s_techanal_rcnthigh(B3906,$B$2,1,3))</f>
        <v>0</v>
      </c>
      <c r="E3906">
        <f ca="1">IF(A3906="","",COUNTIF(D$6:D3906,"True"))</f>
        <v>34</v>
      </c>
      <c r="F3906" t="str">
        <f t="shared" si="60"/>
        <v>603040.SH</v>
      </c>
    </row>
    <row r="3907" spans="1:6" x14ac:dyDescent="0.15">
      <c r="A3907" s="2">
        <v>46089</v>
      </c>
      <c r="B3907" s="1" t="s">
        <v>7375</v>
      </c>
      <c r="C3907" s="1" t="s">
        <v>7376</v>
      </c>
      <c r="D3907" t="b">
        <f ca="1">IF(A3907="","",[1]!s_techanal_rcnthigh(B3907,$B$2,1,3))</f>
        <v>0</v>
      </c>
      <c r="E3907">
        <f ca="1">IF(A3907="","",COUNTIF(D$6:D3907,"True"))</f>
        <v>34</v>
      </c>
      <c r="F3907" t="str">
        <f t="shared" si="60"/>
        <v>603041.SH</v>
      </c>
    </row>
    <row r="3908" spans="1:6" x14ac:dyDescent="0.15">
      <c r="A3908" s="2">
        <v>46089</v>
      </c>
      <c r="B3908" s="1" t="s">
        <v>7377</v>
      </c>
      <c r="C3908" s="1" t="s">
        <v>7378</v>
      </c>
      <c r="D3908" t="b">
        <f ca="1">IF(A3908="","",[1]!s_techanal_rcnthigh(B3908,$B$2,1,3))</f>
        <v>0</v>
      </c>
      <c r="E3908">
        <f ca="1">IF(A3908="","",COUNTIF(D$6:D3908,"True"))</f>
        <v>34</v>
      </c>
      <c r="F3908" t="str">
        <f t="shared" si="60"/>
        <v>603042.SH</v>
      </c>
    </row>
    <row r="3909" spans="1:6" x14ac:dyDescent="0.15">
      <c r="A3909" s="2">
        <v>46089</v>
      </c>
      <c r="B3909" s="1" t="s">
        <v>7379</v>
      </c>
      <c r="C3909" s="1" t="s">
        <v>7380</v>
      </c>
      <c r="D3909" t="b">
        <f ca="1">IF(A3909="","",[1]!s_techanal_rcnthigh(B3909,$B$2,1,3))</f>
        <v>0</v>
      </c>
      <c r="E3909">
        <f ca="1">IF(A3909="","",COUNTIF(D$6:D3909,"True"))</f>
        <v>34</v>
      </c>
      <c r="F3909" t="str">
        <f t="shared" si="60"/>
        <v>603043.SH</v>
      </c>
    </row>
    <row r="3910" spans="1:6" x14ac:dyDescent="0.15">
      <c r="A3910" s="2">
        <v>46089</v>
      </c>
      <c r="B3910" s="1" t="s">
        <v>7381</v>
      </c>
      <c r="C3910" s="1" t="s">
        <v>7382</v>
      </c>
      <c r="D3910" t="b">
        <f ca="1">IF(A3910="","",[1]!s_techanal_rcnthigh(B3910,$B$2,1,3))</f>
        <v>0</v>
      </c>
      <c r="E3910">
        <f ca="1">IF(A3910="","",COUNTIF(D$6:D3910,"True"))</f>
        <v>34</v>
      </c>
      <c r="F3910" t="str">
        <f t="shared" ref="F3910:F3973" si="61">IF(B3910="","",B3910)</f>
        <v>603045.SH</v>
      </c>
    </row>
    <row r="3911" spans="1:6" x14ac:dyDescent="0.15">
      <c r="A3911" s="2">
        <v>46089</v>
      </c>
      <c r="B3911" s="1" t="s">
        <v>7383</v>
      </c>
      <c r="C3911" s="1" t="s">
        <v>7384</v>
      </c>
      <c r="D3911" t="b">
        <f ca="1">IF(A3911="","",[1]!s_techanal_rcnthigh(B3911,$B$2,1,3))</f>
        <v>0</v>
      </c>
      <c r="E3911">
        <f ca="1">IF(A3911="","",COUNTIF(D$6:D3911,"True"))</f>
        <v>34</v>
      </c>
      <c r="F3911" t="str">
        <f t="shared" si="61"/>
        <v>603048.SH</v>
      </c>
    </row>
    <row r="3912" spans="1:6" x14ac:dyDescent="0.15">
      <c r="A3912" s="2">
        <v>46089</v>
      </c>
      <c r="B3912" s="1" t="s">
        <v>10465</v>
      </c>
      <c r="C3912" s="1" t="s">
        <v>10466</v>
      </c>
      <c r="D3912" t="b">
        <f ca="1">IF(A3912="","",[1]!s_techanal_rcnthigh(B3912,$B$2,1,3))</f>
        <v>0</v>
      </c>
      <c r="E3912">
        <f ca="1">IF(A3912="","",COUNTIF(D$6:D3912,"True"))</f>
        <v>34</v>
      </c>
      <c r="F3912" t="str">
        <f t="shared" si="61"/>
        <v>603049.SH</v>
      </c>
    </row>
    <row r="3913" spans="1:6" x14ac:dyDescent="0.15">
      <c r="A3913" s="2">
        <v>46089</v>
      </c>
      <c r="B3913" s="1" t="s">
        <v>7385</v>
      </c>
      <c r="C3913" s="1" t="s">
        <v>7386</v>
      </c>
      <c r="D3913" t="b">
        <f ca="1">IF(A3913="","",[1]!s_techanal_rcnthigh(B3913,$B$2,1,3))</f>
        <v>0</v>
      </c>
      <c r="E3913">
        <f ca="1">IF(A3913="","",COUNTIF(D$6:D3913,"True"))</f>
        <v>34</v>
      </c>
      <c r="F3913" t="str">
        <f t="shared" si="61"/>
        <v>603050.SH</v>
      </c>
    </row>
    <row r="3914" spans="1:6" x14ac:dyDescent="0.15">
      <c r="A3914" s="2">
        <v>46089</v>
      </c>
      <c r="B3914" s="1" t="s">
        <v>7387</v>
      </c>
      <c r="C3914" s="1" t="s">
        <v>7388</v>
      </c>
      <c r="D3914" t="b">
        <f ca="1">IF(A3914="","",[1]!s_techanal_rcnthigh(B3914,$B$2,1,3))</f>
        <v>0</v>
      </c>
      <c r="E3914">
        <f ca="1">IF(A3914="","",COUNTIF(D$6:D3914,"True"))</f>
        <v>34</v>
      </c>
      <c r="F3914" t="str">
        <f t="shared" si="61"/>
        <v>603051.SH</v>
      </c>
    </row>
    <row r="3915" spans="1:6" x14ac:dyDescent="0.15">
      <c r="A3915" s="2">
        <v>46089</v>
      </c>
      <c r="B3915" s="1" t="s">
        <v>7389</v>
      </c>
      <c r="C3915" s="1" t="s">
        <v>7390</v>
      </c>
      <c r="D3915" t="b">
        <f ca="1">IF(A3915="","",[1]!s_techanal_rcnthigh(B3915,$B$2,1,3))</f>
        <v>0</v>
      </c>
      <c r="E3915">
        <f ca="1">IF(A3915="","",COUNTIF(D$6:D3915,"True"))</f>
        <v>34</v>
      </c>
      <c r="F3915" t="str">
        <f t="shared" si="61"/>
        <v>603052.SH</v>
      </c>
    </row>
    <row r="3916" spans="1:6" x14ac:dyDescent="0.15">
      <c r="A3916" s="2">
        <v>46089</v>
      </c>
      <c r="B3916" s="1" t="s">
        <v>7391</v>
      </c>
      <c r="C3916" s="1" t="s">
        <v>7392</v>
      </c>
      <c r="D3916" t="b">
        <f ca="1">IF(A3916="","",[1]!s_techanal_rcnthigh(B3916,$B$2,1,3))</f>
        <v>0</v>
      </c>
      <c r="E3916">
        <f ca="1">IF(A3916="","",COUNTIF(D$6:D3916,"True"))</f>
        <v>34</v>
      </c>
      <c r="F3916" t="str">
        <f t="shared" si="61"/>
        <v>603053.SH</v>
      </c>
    </row>
    <row r="3917" spans="1:6" x14ac:dyDescent="0.15">
      <c r="A3917" s="2">
        <v>46089</v>
      </c>
      <c r="B3917" s="1" t="s">
        <v>7393</v>
      </c>
      <c r="C3917" s="1" t="s">
        <v>7394</v>
      </c>
      <c r="D3917" t="b">
        <f ca="1">IF(A3917="","",[1]!s_techanal_rcnthigh(B3917,$B$2,1,3))</f>
        <v>0</v>
      </c>
      <c r="E3917">
        <f ca="1">IF(A3917="","",COUNTIF(D$6:D3917,"True"))</f>
        <v>34</v>
      </c>
      <c r="F3917" t="str">
        <f t="shared" si="61"/>
        <v>603055.SH</v>
      </c>
    </row>
    <row r="3918" spans="1:6" x14ac:dyDescent="0.15">
      <c r="A3918" s="2">
        <v>46089</v>
      </c>
      <c r="B3918" s="1" t="s">
        <v>7395</v>
      </c>
      <c r="C3918" s="1" t="s">
        <v>7396</v>
      </c>
      <c r="D3918" t="b">
        <f ca="1">IF(A3918="","",[1]!s_techanal_rcnthigh(B3918,$B$2,1,3))</f>
        <v>0</v>
      </c>
      <c r="E3918">
        <f ca="1">IF(A3918="","",COUNTIF(D$6:D3918,"True"))</f>
        <v>34</v>
      </c>
      <c r="F3918" t="str">
        <f t="shared" si="61"/>
        <v>603056.SH</v>
      </c>
    </row>
    <row r="3919" spans="1:6" x14ac:dyDescent="0.15">
      <c r="A3919" s="2">
        <v>46089</v>
      </c>
      <c r="B3919" s="1" t="s">
        <v>7397</v>
      </c>
      <c r="C3919" s="1" t="s">
        <v>7398</v>
      </c>
      <c r="D3919" t="b">
        <f ca="1">IF(A3919="","",[1]!s_techanal_rcnthigh(B3919,$B$2,1,3))</f>
        <v>1</v>
      </c>
      <c r="E3919">
        <f ca="1">IF(A3919="","",COUNTIF(D$6:D3919,"True"))</f>
        <v>35</v>
      </c>
      <c r="F3919" t="str">
        <f t="shared" si="61"/>
        <v>603057.SH</v>
      </c>
    </row>
    <row r="3920" spans="1:6" x14ac:dyDescent="0.15">
      <c r="A3920" s="2">
        <v>46089</v>
      </c>
      <c r="B3920" s="1" t="s">
        <v>7399</v>
      </c>
      <c r="C3920" s="1" t="s">
        <v>7400</v>
      </c>
      <c r="D3920" t="b">
        <f ca="1">IF(A3920="","",[1]!s_techanal_rcnthigh(B3920,$B$2,1,3))</f>
        <v>0</v>
      </c>
      <c r="E3920">
        <f ca="1">IF(A3920="","",COUNTIF(D$6:D3920,"True"))</f>
        <v>35</v>
      </c>
      <c r="F3920" t="str">
        <f t="shared" si="61"/>
        <v>603058.SH</v>
      </c>
    </row>
    <row r="3921" spans="1:6" x14ac:dyDescent="0.15">
      <c r="A3921" s="2">
        <v>46089</v>
      </c>
      <c r="B3921" s="1" t="s">
        <v>7401</v>
      </c>
      <c r="C3921" s="1" t="s">
        <v>7402</v>
      </c>
      <c r="D3921" t="b">
        <f ca="1">IF(A3921="","",[1]!s_techanal_rcnthigh(B3921,$B$2,1,3))</f>
        <v>0</v>
      </c>
      <c r="E3921">
        <f ca="1">IF(A3921="","",COUNTIF(D$6:D3921,"True"))</f>
        <v>35</v>
      </c>
      <c r="F3921" t="str">
        <f t="shared" si="61"/>
        <v>603059.SH</v>
      </c>
    </row>
    <row r="3922" spans="1:6" x14ac:dyDescent="0.15">
      <c r="A3922" s="2">
        <v>46089</v>
      </c>
      <c r="B3922" s="1" t="s">
        <v>7403</v>
      </c>
      <c r="C3922" s="1" t="s">
        <v>7404</v>
      </c>
      <c r="D3922" t="b">
        <f ca="1">IF(A3922="","",[1]!s_techanal_rcnthigh(B3922,$B$2,1,3))</f>
        <v>0</v>
      </c>
      <c r="E3922">
        <f ca="1">IF(A3922="","",COUNTIF(D$6:D3922,"True"))</f>
        <v>35</v>
      </c>
      <c r="F3922" t="str">
        <f t="shared" si="61"/>
        <v>603060.SH</v>
      </c>
    </row>
    <row r="3923" spans="1:6" x14ac:dyDescent="0.15">
      <c r="A3923" s="2">
        <v>46089</v>
      </c>
      <c r="B3923" s="1" t="s">
        <v>7405</v>
      </c>
      <c r="C3923" s="1" t="s">
        <v>7406</v>
      </c>
      <c r="D3923" t="b">
        <f ca="1">IF(A3923="","",[1]!s_techanal_rcnthigh(B3923,$B$2,1,3))</f>
        <v>0</v>
      </c>
      <c r="E3923">
        <f ca="1">IF(A3923="","",COUNTIF(D$6:D3923,"True"))</f>
        <v>35</v>
      </c>
      <c r="F3923" t="str">
        <f t="shared" si="61"/>
        <v>603061.SH</v>
      </c>
    </row>
    <row r="3924" spans="1:6" x14ac:dyDescent="0.15">
      <c r="A3924" s="2">
        <v>46089</v>
      </c>
      <c r="B3924" s="1" t="s">
        <v>7407</v>
      </c>
      <c r="C3924" s="1" t="s">
        <v>7408</v>
      </c>
      <c r="D3924" t="b">
        <f ca="1">IF(A3924="","",[1]!s_techanal_rcnthigh(B3924,$B$2,1,3))</f>
        <v>0</v>
      </c>
      <c r="E3924">
        <f ca="1">IF(A3924="","",COUNTIF(D$6:D3924,"True"))</f>
        <v>35</v>
      </c>
      <c r="F3924" t="str">
        <f t="shared" si="61"/>
        <v>603062.SH</v>
      </c>
    </row>
    <row r="3925" spans="1:6" x14ac:dyDescent="0.15">
      <c r="A3925" s="2">
        <v>46089</v>
      </c>
      <c r="B3925" s="1" t="s">
        <v>7409</v>
      </c>
      <c r="C3925" s="1" t="s">
        <v>7410</v>
      </c>
      <c r="D3925" t="b">
        <f ca="1">IF(A3925="","",[1]!s_techanal_rcnthigh(B3925,$B$2,1,3))</f>
        <v>0</v>
      </c>
      <c r="E3925">
        <f ca="1">IF(A3925="","",COUNTIF(D$6:D3925,"True"))</f>
        <v>35</v>
      </c>
      <c r="F3925" t="str">
        <f t="shared" si="61"/>
        <v>603063.SH</v>
      </c>
    </row>
    <row r="3926" spans="1:6" x14ac:dyDescent="0.15">
      <c r="A3926" s="2">
        <v>46089</v>
      </c>
      <c r="B3926" s="1" t="s">
        <v>7411</v>
      </c>
      <c r="C3926" s="1" t="s">
        <v>7412</v>
      </c>
      <c r="D3926" t="b">
        <f ca="1">IF(A3926="","",[1]!s_techanal_rcnthigh(B3926,$B$2,1,3))</f>
        <v>0</v>
      </c>
      <c r="E3926">
        <f ca="1">IF(A3926="","",COUNTIF(D$6:D3926,"True"))</f>
        <v>35</v>
      </c>
      <c r="F3926" t="str">
        <f t="shared" si="61"/>
        <v>603065.SH</v>
      </c>
    </row>
    <row r="3927" spans="1:6" x14ac:dyDescent="0.15">
      <c r="A3927" s="2">
        <v>46089</v>
      </c>
      <c r="B3927" s="1" t="s">
        <v>7413</v>
      </c>
      <c r="C3927" s="1" t="s">
        <v>7414</v>
      </c>
      <c r="D3927" t="b">
        <f ca="1">IF(A3927="","",[1]!s_techanal_rcnthigh(B3927,$B$2,1,3))</f>
        <v>0</v>
      </c>
      <c r="E3927">
        <f ca="1">IF(A3927="","",COUNTIF(D$6:D3927,"True"))</f>
        <v>35</v>
      </c>
      <c r="F3927" t="str">
        <f t="shared" si="61"/>
        <v>603066.SH</v>
      </c>
    </row>
    <row r="3928" spans="1:6" x14ac:dyDescent="0.15">
      <c r="A3928" s="2">
        <v>46089</v>
      </c>
      <c r="B3928" s="1" t="s">
        <v>7415</v>
      </c>
      <c r="C3928" s="1" t="s">
        <v>7416</v>
      </c>
      <c r="D3928" t="b">
        <f ca="1">IF(A3928="","",[1]!s_techanal_rcnthigh(B3928,$B$2,1,3))</f>
        <v>1</v>
      </c>
      <c r="E3928">
        <f ca="1">IF(A3928="","",COUNTIF(D$6:D3928,"True"))</f>
        <v>36</v>
      </c>
      <c r="F3928" t="str">
        <f t="shared" si="61"/>
        <v>603067.SH</v>
      </c>
    </row>
    <row r="3929" spans="1:6" x14ac:dyDescent="0.15">
      <c r="A3929" s="2">
        <v>46089</v>
      </c>
      <c r="B3929" s="1" t="s">
        <v>7417</v>
      </c>
      <c r="C3929" s="1" t="s">
        <v>7418</v>
      </c>
      <c r="D3929" t="b">
        <f ca="1">IF(A3929="","",[1]!s_techanal_rcnthigh(B3929,$B$2,1,3))</f>
        <v>0</v>
      </c>
      <c r="E3929">
        <f ca="1">IF(A3929="","",COUNTIF(D$6:D3929,"True"))</f>
        <v>36</v>
      </c>
      <c r="F3929" t="str">
        <f t="shared" si="61"/>
        <v>603068.SH</v>
      </c>
    </row>
    <row r="3930" spans="1:6" x14ac:dyDescent="0.15">
      <c r="A3930" s="2">
        <v>46089</v>
      </c>
      <c r="B3930" s="1" t="s">
        <v>7419</v>
      </c>
      <c r="C3930" s="1" t="s">
        <v>7420</v>
      </c>
      <c r="D3930" t="b">
        <f ca="1">IF(A3930="","",[1]!s_techanal_rcnthigh(B3930,$B$2,1,3))</f>
        <v>0</v>
      </c>
      <c r="E3930">
        <f ca="1">IF(A3930="","",COUNTIF(D$6:D3930,"True"))</f>
        <v>36</v>
      </c>
      <c r="F3930" t="str">
        <f t="shared" si="61"/>
        <v>603069.SH</v>
      </c>
    </row>
    <row r="3931" spans="1:6" x14ac:dyDescent="0.15">
      <c r="A3931" s="2">
        <v>46089</v>
      </c>
      <c r="B3931" s="1" t="s">
        <v>7421</v>
      </c>
      <c r="C3931" s="1" t="s">
        <v>7422</v>
      </c>
      <c r="D3931" t="b">
        <f ca="1">IF(A3931="","",[1]!s_techanal_rcnthigh(B3931,$B$2,1,3))</f>
        <v>0</v>
      </c>
      <c r="E3931">
        <f ca="1">IF(A3931="","",COUNTIF(D$6:D3931,"True"))</f>
        <v>36</v>
      </c>
      <c r="F3931" t="str">
        <f t="shared" si="61"/>
        <v>603070.SH</v>
      </c>
    </row>
    <row r="3932" spans="1:6" x14ac:dyDescent="0.15">
      <c r="A3932" s="2">
        <v>46089</v>
      </c>
      <c r="B3932" s="1" t="s">
        <v>7423</v>
      </c>
      <c r="C3932" s="1" t="s">
        <v>7424</v>
      </c>
      <c r="D3932" t="b">
        <f ca="1">IF(A3932="","",[1]!s_techanal_rcnthigh(B3932,$B$2,1,3))</f>
        <v>0</v>
      </c>
      <c r="E3932">
        <f ca="1">IF(A3932="","",COUNTIF(D$6:D3932,"True"))</f>
        <v>36</v>
      </c>
      <c r="F3932" t="str">
        <f t="shared" si="61"/>
        <v>603071.SH</v>
      </c>
    </row>
    <row r="3933" spans="1:6" x14ac:dyDescent="0.15">
      <c r="A3933" s="2">
        <v>46089</v>
      </c>
      <c r="B3933" s="1" t="s">
        <v>10467</v>
      </c>
      <c r="C3933" s="1" t="s">
        <v>10468</v>
      </c>
      <c r="D3933" t="b">
        <f ca="1">IF(A3933="","",[1]!s_techanal_rcnthigh(B3933,$B$2,1,3))</f>
        <v>0</v>
      </c>
      <c r="E3933">
        <f ca="1">IF(A3933="","",COUNTIF(D$6:D3933,"True"))</f>
        <v>36</v>
      </c>
      <c r="F3933" t="str">
        <f t="shared" si="61"/>
        <v>603072.SH</v>
      </c>
    </row>
    <row r="3934" spans="1:6" x14ac:dyDescent="0.15">
      <c r="A3934" s="2">
        <v>46089</v>
      </c>
      <c r="B3934" s="1" t="s">
        <v>7425</v>
      </c>
      <c r="C3934" s="1" t="s">
        <v>7426</v>
      </c>
      <c r="D3934" t="b">
        <f ca="1">IF(A3934="","",[1]!s_techanal_rcnthigh(B3934,$B$2,1,3))</f>
        <v>0</v>
      </c>
      <c r="E3934">
        <f ca="1">IF(A3934="","",COUNTIF(D$6:D3934,"True"))</f>
        <v>36</v>
      </c>
      <c r="F3934" t="str">
        <f t="shared" si="61"/>
        <v>603073.SH</v>
      </c>
    </row>
    <row r="3935" spans="1:6" x14ac:dyDescent="0.15">
      <c r="A3935" s="2">
        <v>46089</v>
      </c>
      <c r="B3935" s="1" t="s">
        <v>7427</v>
      </c>
      <c r="C3935" s="1" t="s">
        <v>7428</v>
      </c>
      <c r="D3935" t="b">
        <f ca="1">IF(A3935="","",[1]!s_techanal_rcnthigh(B3935,$B$2,1,3))</f>
        <v>0</v>
      </c>
      <c r="E3935">
        <f ca="1">IF(A3935="","",COUNTIF(D$6:D3935,"True"))</f>
        <v>36</v>
      </c>
      <c r="F3935" t="str">
        <f t="shared" si="61"/>
        <v>603075.SH</v>
      </c>
    </row>
    <row r="3936" spans="1:6" x14ac:dyDescent="0.15">
      <c r="A3936" s="2">
        <v>46089</v>
      </c>
      <c r="B3936" s="1" t="s">
        <v>7429</v>
      </c>
      <c r="C3936" s="1" t="s">
        <v>7430</v>
      </c>
      <c r="D3936" t="b">
        <f ca="1">IF(A3936="","",[1]!s_techanal_rcnthigh(B3936,$B$2,1,3))</f>
        <v>0</v>
      </c>
      <c r="E3936">
        <f ca="1">IF(A3936="","",COUNTIF(D$6:D3936,"True"))</f>
        <v>36</v>
      </c>
      <c r="F3936" t="str">
        <f t="shared" si="61"/>
        <v>603076.SH</v>
      </c>
    </row>
    <row r="3937" spans="1:6" x14ac:dyDescent="0.15">
      <c r="A3937" s="2">
        <v>46089</v>
      </c>
      <c r="B3937" s="1" t="s">
        <v>7431</v>
      </c>
      <c r="C3937" s="1" t="s">
        <v>7432</v>
      </c>
      <c r="D3937" t="b">
        <f ca="1">IF(A3937="","",[1]!s_techanal_rcnthigh(B3937,$B$2,1,3))</f>
        <v>0</v>
      </c>
      <c r="E3937">
        <f ca="1">IF(A3937="","",COUNTIF(D$6:D3937,"True"))</f>
        <v>36</v>
      </c>
      <c r="F3937" t="str">
        <f t="shared" si="61"/>
        <v>603077.SH</v>
      </c>
    </row>
    <row r="3938" spans="1:6" x14ac:dyDescent="0.15">
      <c r="A3938" s="2">
        <v>46089</v>
      </c>
      <c r="B3938" s="1" t="s">
        <v>7433</v>
      </c>
      <c r="C3938" s="1" t="s">
        <v>7434</v>
      </c>
      <c r="D3938" t="b">
        <f ca="1">IF(A3938="","",[1]!s_techanal_rcnthigh(B3938,$B$2,1,3))</f>
        <v>0</v>
      </c>
      <c r="E3938">
        <f ca="1">IF(A3938="","",COUNTIF(D$6:D3938,"True"))</f>
        <v>36</v>
      </c>
      <c r="F3938" t="str">
        <f t="shared" si="61"/>
        <v>603078.SH</v>
      </c>
    </row>
    <row r="3939" spans="1:6" x14ac:dyDescent="0.15">
      <c r="A3939" s="2">
        <v>46089</v>
      </c>
      <c r="B3939" s="1" t="s">
        <v>7435</v>
      </c>
      <c r="C3939" s="1" t="s">
        <v>7436</v>
      </c>
      <c r="D3939" t="b">
        <f ca="1">IF(A3939="","",[1]!s_techanal_rcnthigh(B3939,$B$2,1,3))</f>
        <v>0</v>
      </c>
      <c r="E3939">
        <f ca="1">IF(A3939="","",COUNTIF(D$6:D3939,"True"))</f>
        <v>36</v>
      </c>
      <c r="F3939" t="str">
        <f t="shared" si="61"/>
        <v>603079.SH</v>
      </c>
    </row>
    <row r="3940" spans="1:6" x14ac:dyDescent="0.15">
      <c r="A3940" s="2">
        <v>46089</v>
      </c>
      <c r="B3940" s="1" t="s">
        <v>7437</v>
      </c>
      <c r="C3940" s="1" t="s">
        <v>7438</v>
      </c>
      <c r="D3940" t="b">
        <f ca="1">IF(A3940="","",[1]!s_techanal_rcnthigh(B3940,$B$2,1,3))</f>
        <v>0</v>
      </c>
      <c r="E3940">
        <f ca="1">IF(A3940="","",COUNTIF(D$6:D3940,"True"))</f>
        <v>36</v>
      </c>
      <c r="F3940" t="str">
        <f t="shared" si="61"/>
        <v>603080.SH</v>
      </c>
    </row>
    <row r="3941" spans="1:6" x14ac:dyDescent="0.15">
      <c r="A3941" s="2">
        <v>46089</v>
      </c>
      <c r="B3941" s="1" t="s">
        <v>7439</v>
      </c>
      <c r="C3941" s="1" t="s">
        <v>7440</v>
      </c>
      <c r="D3941" t="b">
        <f ca="1">IF(A3941="","",[1]!s_techanal_rcnthigh(B3941,$B$2,1,3))</f>
        <v>0</v>
      </c>
      <c r="E3941">
        <f ca="1">IF(A3941="","",COUNTIF(D$6:D3941,"True"))</f>
        <v>36</v>
      </c>
      <c r="F3941" t="str">
        <f t="shared" si="61"/>
        <v>603081.SH</v>
      </c>
    </row>
    <row r="3942" spans="1:6" x14ac:dyDescent="0.15">
      <c r="A3942" s="2">
        <v>46089</v>
      </c>
      <c r="B3942" s="1" t="s">
        <v>7441</v>
      </c>
      <c r="C3942" s="1" t="s">
        <v>7442</v>
      </c>
      <c r="D3942" t="b">
        <f ca="1">IF(A3942="","",[1]!s_techanal_rcnthigh(B3942,$B$2,1,3))</f>
        <v>0</v>
      </c>
      <c r="E3942">
        <f ca="1">IF(A3942="","",COUNTIF(D$6:D3942,"True"))</f>
        <v>36</v>
      </c>
      <c r="F3942" t="str">
        <f t="shared" si="61"/>
        <v>603082.SH</v>
      </c>
    </row>
    <row r="3943" spans="1:6" x14ac:dyDescent="0.15">
      <c r="A3943" s="2">
        <v>46089</v>
      </c>
      <c r="B3943" s="1" t="s">
        <v>7443</v>
      </c>
      <c r="C3943" s="1" t="s">
        <v>7444</v>
      </c>
      <c r="D3943" t="b">
        <f ca="1">IF(A3943="","",[1]!s_techanal_rcnthigh(B3943,$B$2,1,3))</f>
        <v>0</v>
      </c>
      <c r="E3943">
        <f ca="1">IF(A3943="","",COUNTIF(D$6:D3943,"True"))</f>
        <v>36</v>
      </c>
      <c r="F3943" t="str">
        <f t="shared" si="61"/>
        <v>603083.SH</v>
      </c>
    </row>
    <row r="3944" spans="1:6" x14ac:dyDescent="0.15">
      <c r="A3944" s="2">
        <v>46089</v>
      </c>
      <c r="B3944" s="1" t="s">
        <v>7445</v>
      </c>
      <c r="C3944" s="1" t="s">
        <v>7446</v>
      </c>
      <c r="D3944" t="b">
        <f ca="1">IF(A3944="","",[1]!s_techanal_rcnthigh(B3944,$B$2,1,3))</f>
        <v>0</v>
      </c>
      <c r="E3944">
        <f ca="1">IF(A3944="","",COUNTIF(D$6:D3944,"True"))</f>
        <v>36</v>
      </c>
      <c r="F3944" t="str">
        <f t="shared" si="61"/>
        <v>603085.SH</v>
      </c>
    </row>
    <row r="3945" spans="1:6" x14ac:dyDescent="0.15">
      <c r="A3945" s="2">
        <v>46089</v>
      </c>
      <c r="B3945" s="1" t="s">
        <v>7447</v>
      </c>
      <c r="C3945" s="1" t="s">
        <v>7448</v>
      </c>
      <c r="D3945" t="b">
        <f ca="1">IF(A3945="","",[1]!s_techanal_rcnthigh(B3945,$B$2,1,3))</f>
        <v>0</v>
      </c>
      <c r="E3945">
        <f ca="1">IF(A3945="","",COUNTIF(D$6:D3945,"True"))</f>
        <v>36</v>
      </c>
      <c r="F3945" t="str">
        <f t="shared" si="61"/>
        <v>603086.SH</v>
      </c>
    </row>
    <row r="3946" spans="1:6" x14ac:dyDescent="0.15">
      <c r="A3946" s="2">
        <v>46089</v>
      </c>
      <c r="B3946" s="1" t="s">
        <v>7449</v>
      </c>
      <c r="C3946" s="1" t="s">
        <v>7450</v>
      </c>
      <c r="D3946" t="b">
        <f ca="1">IF(A3946="","",[1]!s_techanal_rcnthigh(B3946,$B$2,1,3))</f>
        <v>0</v>
      </c>
      <c r="E3946">
        <f ca="1">IF(A3946="","",COUNTIF(D$6:D3946,"True"))</f>
        <v>36</v>
      </c>
      <c r="F3946" t="str">
        <f t="shared" si="61"/>
        <v>603087.SH</v>
      </c>
    </row>
    <row r="3947" spans="1:6" x14ac:dyDescent="0.15">
      <c r="A3947" s="2">
        <v>46089</v>
      </c>
      <c r="B3947" s="1" t="s">
        <v>7451</v>
      </c>
      <c r="C3947" s="1" t="s">
        <v>7452</v>
      </c>
      <c r="D3947" t="b">
        <f ca="1">IF(A3947="","",[1]!s_techanal_rcnthigh(B3947,$B$2,1,3))</f>
        <v>0</v>
      </c>
      <c r="E3947">
        <f ca="1">IF(A3947="","",COUNTIF(D$6:D3947,"True"))</f>
        <v>36</v>
      </c>
      <c r="F3947" t="str">
        <f t="shared" si="61"/>
        <v>603088.SH</v>
      </c>
    </row>
    <row r="3948" spans="1:6" x14ac:dyDescent="0.15">
      <c r="A3948" s="2">
        <v>46089</v>
      </c>
      <c r="B3948" s="1" t="s">
        <v>7453</v>
      </c>
      <c r="C3948" s="1" t="s">
        <v>7454</v>
      </c>
      <c r="D3948" t="b">
        <f ca="1">IF(A3948="","",[1]!s_techanal_rcnthigh(B3948,$B$2,1,3))</f>
        <v>0</v>
      </c>
      <c r="E3948">
        <f ca="1">IF(A3948="","",COUNTIF(D$6:D3948,"True"))</f>
        <v>36</v>
      </c>
      <c r="F3948" t="str">
        <f t="shared" si="61"/>
        <v>603089.SH</v>
      </c>
    </row>
    <row r="3949" spans="1:6" x14ac:dyDescent="0.15">
      <c r="A3949" s="2">
        <v>46089</v>
      </c>
      <c r="B3949" s="1" t="s">
        <v>7455</v>
      </c>
      <c r="C3949" s="1" t="s">
        <v>7456</v>
      </c>
      <c r="D3949" t="b">
        <f ca="1">IF(A3949="","",[1]!s_techanal_rcnthigh(B3949,$B$2,1,3))</f>
        <v>0</v>
      </c>
      <c r="E3949">
        <f ca="1">IF(A3949="","",COUNTIF(D$6:D3949,"True"))</f>
        <v>36</v>
      </c>
      <c r="F3949" t="str">
        <f t="shared" si="61"/>
        <v>603090.SH</v>
      </c>
    </row>
    <row r="3950" spans="1:6" x14ac:dyDescent="0.15">
      <c r="A3950" s="2">
        <v>46089</v>
      </c>
      <c r="B3950" s="1" t="s">
        <v>10469</v>
      </c>
      <c r="C3950" s="1" t="s">
        <v>10470</v>
      </c>
      <c r="D3950" t="b">
        <f ca="1">IF(A3950="","",[1]!s_techanal_rcnthigh(B3950,$B$2,1,3))</f>
        <v>0</v>
      </c>
      <c r="E3950">
        <f ca="1">IF(A3950="","",COUNTIF(D$6:D3950,"True"))</f>
        <v>36</v>
      </c>
      <c r="F3950" t="str">
        <f t="shared" si="61"/>
        <v>603091.SH</v>
      </c>
    </row>
    <row r="3951" spans="1:6" x14ac:dyDescent="0.15">
      <c r="A3951" s="2">
        <v>46089</v>
      </c>
      <c r="B3951" s="1" t="s">
        <v>10471</v>
      </c>
      <c r="C3951" s="1" t="s">
        <v>10472</v>
      </c>
      <c r="D3951" t="b">
        <f ca="1">IF(A3951="","",[1]!s_techanal_rcnthigh(B3951,$B$2,1,3))</f>
        <v>0</v>
      </c>
      <c r="E3951">
        <f ca="1">IF(A3951="","",COUNTIF(D$6:D3951,"True"))</f>
        <v>36</v>
      </c>
      <c r="F3951" t="str">
        <f t="shared" si="61"/>
        <v>603092.SH</v>
      </c>
    </row>
    <row r="3952" spans="1:6" x14ac:dyDescent="0.15">
      <c r="A3952" s="2">
        <v>46089</v>
      </c>
      <c r="B3952" s="1" t="s">
        <v>7457</v>
      </c>
      <c r="C3952" s="1" t="s">
        <v>7458</v>
      </c>
      <c r="D3952" t="b">
        <f ca="1">IF(A3952="","",[1]!s_techanal_rcnthigh(B3952,$B$2,1,3))</f>
        <v>0</v>
      </c>
      <c r="E3952">
        <f ca="1">IF(A3952="","",COUNTIF(D$6:D3952,"True"))</f>
        <v>36</v>
      </c>
      <c r="F3952" t="str">
        <f t="shared" si="61"/>
        <v>603093.SH</v>
      </c>
    </row>
    <row r="3953" spans="1:6" x14ac:dyDescent="0.15">
      <c r="A3953" s="2">
        <v>46089</v>
      </c>
      <c r="B3953" s="1" t="s">
        <v>7459</v>
      </c>
      <c r="C3953" s="1" t="s">
        <v>7460</v>
      </c>
      <c r="D3953" t="b">
        <f ca="1">IF(A3953="","",[1]!s_techanal_rcnthigh(B3953,$B$2,1,3))</f>
        <v>0</v>
      </c>
      <c r="E3953">
        <f ca="1">IF(A3953="","",COUNTIF(D$6:D3953,"True"))</f>
        <v>36</v>
      </c>
      <c r="F3953" t="str">
        <f t="shared" si="61"/>
        <v>603095.SH</v>
      </c>
    </row>
    <row r="3954" spans="1:6" x14ac:dyDescent="0.15">
      <c r="A3954" s="2">
        <v>46089</v>
      </c>
      <c r="B3954" s="1" t="s">
        <v>7461</v>
      </c>
      <c r="C3954" s="1" t="s">
        <v>7462</v>
      </c>
      <c r="D3954" t="b">
        <f ca="1">IF(A3954="","",[1]!s_techanal_rcnthigh(B3954,$B$2,1,3))</f>
        <v>0</v>
      </c>
      <c r="E3954">
        <f ca="1">IF(A3954="","",COUNTIF(D$6:D3954,"True"))</f>
        <v>36</v>
      </c>
      <c r="F3954" t="str">
        <f t="shared" si="61"/>
        <v>603096.SH</v>
      </c>
    </row>
    <row r="3955" spans="1:6" x14ac:dyDescent="0.15">
      <c r="A3955" s="2">
        <v>46089</v>
      </c>
      <c r="B3955" s="1" t="s">
        <v>7463</v>
      </c>
      <c r="C3955" s="1" t="s">
        <v>7464</v>
      </c>
      <c r="D3955" t="b">
        <f ca="1">IF(A3955="","",[1]!s_techanal_rcnthigh(B3955,$B$2,1,3))</f>
        <v>0</v>
      </c>
      <c r="E3955">
        <f ca="1">IF(A3955="","",COUNTIF(D$6:D3955,"True"))</f>
        <v>36</v>
      </c>
      <c r="F3955" t="str">
        <f t="shared" si="61"/>
        <v>603097.SH</v>
      </c>
    </row>
    <row r="3956" spans="1:6" x14ac:dyDescent="0.15">
      <c r="A3956" s="2">
        <v>46089</v>
      </c>
      <c r="B3956" s="1" t="s">
        <v>7465</v>
      </c>
      <c r="C3956" s="1" t="s">
        <v>7466</v>
      </c>
      <c r="D3956" t="b">
        <f ca="1">IF(A3956="","",[1]!s_techanal_rcnthigh(B3956,$B$2,1,3))</f>
        <v>0</v>
      </c>
      <c r="E3956">
        <f ca="1">IF(A3956="","",COUNTIF(D$6:D3956,"True"))</f>
        <v>36</v>
      </c>
      <c r="F3956" t="str">
        <f t="shared" si="61"/>
        <v>603098.SH</v>
      </c>
    </row>
    <row r="3957" spans="1:6" x14ac:dyDescent="0.15">
      <c r="A3957" s="2">
        <v>46089</v>
      </c>
      <c r="B3957" s="1" t="s">
        <v>7467</v>
      </c>
      <c r="C3957" s="1" t="s">
        <v>7468</v>
      </c>
      <c r="D3957" t="b">
        <f ca="1">IF(A3957="","",[1]!s_techanal_rcnthigh(B3957,$B$2,1,3))</f>
        <v>0</v>
      </c>
      <c r="E3957">
        <f ca="1">IF(A3957="","",COUNTIF(D$6:D3957,"True"))</f>
        <v>36</v>
      </c>
      <c r="F3957" t="str">
        <f t="shared" si="61"/>
        <v>603099.SH</v>
      </c>
    </row>
    <row r="3958" spans="1:6" x14ac:dyDescent="0.15">
      <c r="A3958" s="2">
        <v>46089</v>
      </c>
      <c r="B3958" s="1" t="s">
        <v>7469</v>
      </c>
      <c r="C3958" s="1" t="s">
        <v>7470</v>
      </c>
      <c r="D3958" t="b">
        <f ca="1">IF(A3958="","",[1]!s_techanal_rcnthigh(B3958,$B$2,1,3))</f>
        <v>0</v>
      </c>
      <c r="E3958">
        <f ca="1">IF(A3958="","",COUNTIF(D$6:D3958,"True"))</f>
        <v>36</v>
      </c>
      <c r="F3958" t="str">
        <f t="shared" si="61"/>
        <v>603100.SH</v>
      </c>
    </row>
    <row r="3959" spans="1:6" x14ac:dyDescent="0.15">
      <c r="A3959" s="2">
        <v>46089</v>
      </c>
      <c r="B3959" s="1" t="s">
        <v>7471</v>
      </c>
      <c r="C3959" s="1" t="s">
        <v>7472</v>
      </c>
      <c r="D3959" t="b">
        <f ca="1">IF(A3959="","",[1]!s_techanal_rcnthigh(B3959,$B$2,1,3))</f>
        <v>0</v>
      </c>
      <c r="E3959">
        <f ca="1">IF(A3959="","",COUNTIF(D$6:D3959,"True"))</f>
        <v>36</v>
      </c>
      <c r="F3959" t="str">
        <f t="shared" si="61"/>
        <v>603101.SH</v>
      </c>
    </row>
    <row r="3960" spans="1:6" x14ac:dyDescent="0.15">
      <c r="A3960" s="2">
        <v>46089</v>
      </c>
      <c r="B3960" s="1" t="s">
        <v>7473</v>
      </c>
      <c r="C3960" s="1" t="s">
        <v>7474</v>
      </c>
      <c r="D3960" t="b">
        <f ca="1">IF(A3960="","",[1]!s_techanal_rcnthigh(B3960,$B$2,1,3))</f>
        <v>0</v>
      </c>
      <c r="E3960">
        <f ca="1">IF(A3960="","",COUNTIF(D$6:D3960,"True"))</f>
        <v>36</v>
      </c>
      <c r="F3960" t="str">
        <f t="shared" si="61"/>
        <v>603102.SH</v>
      </c>
    </row>
    <row r="3961" spans="1:6" x14ac:dyDescent="0.15">
      <c r="A3961" s="2">
        <v>46089</v>
      </c>
      <c r="B3961" s="1" t="s">
        <v>7475</v>
      </c>
      <c r="C3961" s="1" t="s">
        <v>7476</v>
      </c>
      <c r="D3961" t="b">
        <f ca="1">IF(A3961="","",[1]!s_techanal_rcnthigh(B3961,$B$2,1,3))</f>
        <v>0</v>
      </c>
      <c r="E3961">
        <f ca="1">IF(A3961="","",COUNTIF(D$6:D3961,"True"))</f>
        <v>36</v>
      </c>
      <c r="F3961" t="str">
        <f t="shared" si="61"/>
        <v>603103.SH</v>
      </c>
    </row>
    <row r="3962" spans="1:6" x14ac:dyDescent="0.15">
      <c r="A3962" s="2">
        <v>46089</v>
      </c>
      <c r="B3962" s="1" t="s">
        <v>7477</v>
      </c>
      <c r="C3962" s="1" t="s">
        <v>7478</v>
      </c>
      <c r="D3962" t="b">
        <f ca="1">IF(A3962="","",[1]!s_techanal_rcnthigh(B3962,$B$2,1,3))</f>
        <v>0</v>
      </c>
      <c r="E3962">
        <f ca="1">IF(A3962="","",COUNTIF(D$6:D3962,"True"))</f>
        <v>36</v>
      </c>
      <c r="F3962" t="str">
        <f t="shared" si="61"/>
        <v>603105.SH</v>
      </c>
    </row>
    <row r="3963" spans="1:6" x14ac:dyDescent="0.15">
      <c r="A3963" s="2">
        <v>46089</v>
      </c>
      <c r="B3963" s="1" t="s">
        <v>7479</v>
      </c>
      <c r="C3963" s="1" t="s">
        <v>7480</v>
      </c>
      <c r="D3963" t="b">
        <f ca="1">IF(A3963="","",[1]!s_techanal_rcnthigh(B3963,$B$2,1,3))</f>
        <v>0</v>
      </c>
      <c r="E3963">
        <f ca="1">IF(A3963="","",COUNTIF(D$6:D3963,"True"))</f>
        <v>36</v>
      </c>
      <c r="F3963" t="str">
        <f t="shared" si="61"/>
        <v>603106.SH</v>
      </c>
    </row>
    <row r="3964" spans="1:6" x14ac:dyDescent="0.15">
      <c r="A3964" s="2">
        <v>46089</v>
      </c>
      <c r="B3964" s="1" t="s">
        <v>7481</v>
      </c>
      <c r="C3964" s="1" t="s">
        <v>7482</v>
      </c>
      <c r="D3964" t="b">
        <f ca="1">IF(A3964="","",[1]!s_techanal_rcnthigh(B3964,$B$2,1,3))</f>
        <v>0</v>
      </c>
      <c r="E3964">
        <f ca="1">IF(A3964="","",COUNTIF(D$6:D3964,"True"))</f>
        <v>36</v>
      </c>
      <c r="F3964" t="str">
        <f t="shared" si="61"/>
        <v>603107.SH</v>
      </c>
    </row>
    <row r="3965" spans="1:6" x14ac:dyDescent="0.15">
      <c r="A3965" s="2">
        <v>46089</v>
      </c>
      <c r="B3965" s="1" t="s">
        <v>7483</v>
      </c>
      <c r="C3965" s="1" t="s">
        <v>7484</v>
      </c>
      <c r="D3965" t="b">
        <f ca="1">IF(A3965="","",[1]!s_techanal_rcnthigh(B3965,$B$2,1,3))</f>
        <v>0</v>
      </c>
      <c r="E3965">
        <f ca="1">IF(A3965="","",COUNTIF(D$6:D3965,"True"))</f>
        <v>36</v>
      </c>
      <c r="F3965" t="str">
        <f t="shared" si="61"/>
        <v>603108.SH</v>
      </c>
    </row>
    <row r="3966" spans="1:6" x14ac:dyDescent="0.15">
      <c r="A3966" s="2">
        <v>46089</v>
      </c>
      <c r="B3966" s="1" t="s">
        <v>7485</v>
      </c>
      <c r="C3966" s="1" t="s">
        <v>7486</v>
      </c>
      <c r="D3966" t="b">
        <f ca="1">IF(A3966="","",[1]!s_techanal_rcnthigh(B3966,$B$2,1,3))</f>
        <v>0</v>
      </c>
      <c r="E3966">
        <f ca="1">IF(A3966="","",COUNTIF(D$6:D3966,"True"))</f>
        <v>36</v>
      </c>
      <c r="F3966" t="str">
        <f t="shared" si="61"/>
        <v>603109.SH</v>
      </c>
    </row>
    <row r="3967" spans="1:6" x14ac:dyDescent="0.15">
      <c r="A3967" s="2">
        <v>46089</v>
      </c>
      <c r="B3967" s="1" t="s">
        <v>7487</v>
      </c>
      <c r="C3967" s="1" t="s">
        <v>7488</v>
      </c>
      <c r="D3967" t="b">
        <f ca="1">IF(A3967="","",[1]!s_techanal_rcnthigh(B3967,$B$2,1,3))</f>
        <v>0</v>
      </c>
      <c r="E3967">
        <f ca="1">IF(A3967="","",COUNTIF(D$6:D3967,"True"))</f>
        <v>36</v>
      </c>
      <c r="F3967" t="str">
        <f t="shared" si="61"/>
        <v>603110.SH</v>
      </c>
    </row>
    <row r="3968" spans="1:6" x14ac:dyDescent="0.15">
      <c r="A3968" s="2">
        <v>46089</v>
      </c>
      <c r="B3968" s="1" t="s">
        <v>7489</v>
      </c>
      <c r="C3968" s="1" t="s">
        <v>7490</v>
      </c>
      <c r="D3968" t="b">
        <f ca="1">IF(A3968="","",[1]!s_techanal_rcnthigh(B3968,$B$2,1,3))</f>
        <v>0</v>
      </c>
      <c r="E3968">
        <f ca="1">IF(A3968="","",COUNTIF(D$6:D3968,"True"))</f>
        <v>36</v>
      </c>
      <c r="F3968" t="str">
        <f t="shared" si="61"/>
        <v>603111.SH</v>
      </c>
    </row>
    <row r="3969" spans="1:6" x14ac:dyDescent="0.15">
      <c r="A3969" s="2">
        <v>46089</v>
      </c>
      <c r="B3969" s="1" t="s">
        <v>7491</v>
      </c>
      <c r="C3969" s="1" t="s">
        <v>7492</v>
      </c>
      <c r="D3969" t="b">
        <f ca="1">IF(A3969="","",[1]!s_techanal_rcnthigh(B3969,$B$2,1,3))</f>
        <v>0</v>
      </c>
      <c r="E3969">
        <f ca="1">IF(A3969="","",COUNTIF(D$6:D3969,"True"))</f>
        <v>36</v>
      </c>
      <c r="F3969" t="str">
        <f t="shared" si="61"/>
        <v>603112.SH</v>
      </c>
    </row>
    <row r="3970" spans="1:6" x14ac:dyDescent="0.15">
      <c r="A3970" s="2">
        <v>46089</v>
      </c>
      <c r="B3970" s="1" t="s">
        <v>7493</v>
      </c>
      <c r="C3970" s="1" t="s">
        <v>7494</v>
      </c>
      <c r="D3970" t="b">
        <f ca="1">IF(A3970="","",[1]!s_techanal_rcnthigh(B3970,$B$2,1,3))</f>
        <v>0</v>
      </c>
      <c r="E3970">
        <f ca="1">IF(A3970="","",COUNTIF(D$6:D3970,"True"))</f>
        <v>36</v>
      </c>
      <c r="F3970" t="str">
        <f t="shared" si="61"/>
        <v>603113.SH</v>
      </c>
    </row>
    <row r="3971" spans="1:6" x14ac:dyDescent="0.15">
      <c r="A3971" s="2">
        <v>46089</v>
      </c>
      <c r="B3971" s="1" t="s">
        <v>7495</v>
      </c>
      <c r="C3971" s="1" t="s">
        <v>7496</v>
      </c>
      <c r="D3971" t="b">
        <f ca="1">IF(A3971="","",[1]!s_techanal_rcnthigh(B3971,$B$2,1,3))</f>
        <v>0</v>
      </c>
      <c r="E3971">
        <f ca="1">IF(A3971="","",COUNTIF(D$6:D3971,"True"))</f>
        <v>36</v>
      </c>
      <c r="F3971" t="str">
        <f t="shared" si="61"/>
        <v>603115.SH</v>
      </c>
    </row>
    <row r="3972" spans="1:6" x14ac:dyDescent="0.15">
      <c r="A3972" s="2">
        <v>46089</v>
      </c>
      <c r="B3972" s="1" t="s">
        <v>7497</v>
      </c>
      <c r="C3972" s="1" t="s">
        <v>7498</v>
      </c>
      <c r="D3972" t="b">
        <f ca="1">IF(A3972="","",[1]!s_techanal_rcnthigh(B3972,$B$2,1,3))</f>
        <v>0</v>
      </c>
      <c r="E3972">
        <f ca="1">IF(A3972="","",COUNTIF(D$6:D3972,"True"))</f>
        <v>36</v>
      </c>
      <c r="F3972" t="str">
        <f t="shared" si="61"/>
        <v>603116.SH</v>
      </c>
    </row>
    <row r="3973" spans="1:6" x14ac:dyDescent="0.15">
      <c r="A3973" s="2">
        <v>46089</v>
      </c>
      <c r="B3973" s="1" t="s">
        <v>7499</v>
      </c>
      <c r="C3973" s="1" t="s">
        <v>10473</v>
      </c>
      <c r="D3973" t="b">
        <f ca="1">IF(A3973="","",[1]!s_techanal_rcnthigh(B3973,$B$2,1,3))</f>
        <v>0</v>
      </c>
      <c r="E3973">
        <f ca="1">IF(A3973="","",COUNTIF(D$6:D3973,"True"))</f>
        <v>36</v>
      </c>
      <c r="F3973" t="str">
        <f t="shared" si="61"/>
        <v>603117.SH</v>
      </c>
    </row>
    <row r="3974" spans="1:6" x14ac:dyDescent="0.15">
      <c r="A3974" s="2">
        <v>46089</v>
      </c>
      <c r="B3974" s="1" t="s">
        <v>7500</v>
      </c>
      <c r="C3974" s="1" t="s">
        <v>7501</v>
      </c>
      <c r="D3974" t="b">
        <f ca="1">IF(A3974="","",[1]!s_techanal_rcnthigh(B3974,$B$2,1,3))</f>
        <v>0</v>
      </c>
      <c r="E3974">
        <f ca="1">IF(A3974="","",COUNTIF(D$6:D3974,"True"))</f>
        <v>36</v>
      </c>
      <c r="F3974" t="str">
        <f t="shared" ref="F3974:F4037" si="62">IF(B3974="","",B3974)</f>
        <v>603118.SH</v>
      </c>
    </row>
    <row r="3975" spans="1:6" x14ac:dyDescent="0.15">
      <c r="A3975" s="2">
        <v>46089</v>
      </c>
      <c r="B3975" s="1" t="s">
        <v>7502</v>
      </c>
      <c r="C3975" s="1" t="s">
        <v>7503</v>
      </c>
      <c r="D3975" t="b">
        <f ca="1">IF(A3975="","",[1]!s_techanal_rcnthigh(B3975,$B$2,1,3))</f>
        <v>0</v>
      </c>
      <c r="E3975">
        <f ca="1">IF(A3975="","",COUNTIF(D$6:D3975,"True"))</f>
        <v>36</v>
      </c>
      <c r="F3975" t="str">
        <f t="shared" si="62"/>
        <v>603119.SH</v>
      </c>
    </row>
    <row r="3976" spans="1:6" x14ac:dyDescent="0.15">
      <c r="A3976" s="2">
        <v>46089</v>
      </c>
      <c r="B3976" s="1" t="s">
        <v>10474</v>
      </c>
      <c r="C3976" s="1" t="s">
        <v>10475</v>
      </c>
      <c r="D3976" t="b">
        <f ca="1">IF(A3976="","",[1]!s_techanal_rcnthigh(B3976,$B$2,1,3))</f>
        <v>0</v>
      </c>
      <c r="E3976">
        <f ca="1">IF(A3976="","",COUNTIF(D$6:D3976,"True"))</f>
        <v>36</v>
      </c>
      <c r="F3976" t="str">
        <f t="shared" si="62"/>
        <v>603120.SH</v>
      </c>
    </row>
    <row r="3977" spans="1:6" x14ac:dyDescent="0.15">
      <c r="A3977" s="2">
        <v>46089</v>
      </c>
      <c r="B3977" s="1" t="s">
        <v>7504</v>
      </c>
      <c r="C3977" s="1" t="s">
        <v>7505</v>
      </c>
      <c r="D3977" t="b">
        <f ca="1">IF(A3977="","",[1]!s_techanal_rcnthigh(B3977,$B$2,1,3))</f>
        <v>0</v>
      </c>
      <c r="E3977">
        <f ca="1">IF(A3977="","",COUNTIF(D$6:D3977,"True"))</f>
        <v>36</v>
      </c>
      <c r="F3977" t="str">
        <f t="shared" si="62"/>
        <v>603121.SH</v>
      </c>
    </row>
    <row r="3978" spans="1:6" x14ac:dyDescent="0.15">
      <c r="A3978" s="2">
        <v>46089</v>
      </c>
      <c r="B3978" s="1" t="s">
        <v>7506</v>
      </c>
      <c r="C3978" s="1" t="s">
        <v>7507</v>
      </c>
      <c r="D3978" t="b">
        <f ca="1">IF(A3978="","",[1]!s_techanal_rcnthigh(B3978,$B$2,1,3))</f>
        <v>0</v>
      </c>
      <c r="E3978">
        <f ca="1">IF(A3978="","",COUNTIF(D$6:D3978,"True"))</f>
        <v>36</v>
      </c>
      <c r="F3978" t="str">
        <f t="shared" si="62"/>
        <v>603122.SH</v>
      </c>
    </row>
    <row r="3979" spans="1:6" x14ac:dyDescent="0.15">
      <c r="A3979" s="2">
        <v>46089</v>
      </c>
      <c r="B3979" s="1" t="s">
        <v>7508</v>
      </c>
      <c r="C3979" s="1" t="s">
        <v>7509</v>
      </c>
      <c r="D3979" t="b">
        <f ca="1">IF(A3979="","",[1]!s_techanal_rcnthigh(B3979,$B$2,1,3))</f>
        <v>0</v>
      </c>
      <c r="E3979">
        <f ca="1">IF(A3979="","",COUNTIF(D$6:D3979,"True"))</f>
        <v>36</v>
      </c>
      <c r="F3979" t="str">
        <f t="shared" si="62"/>
        <v>603123.SH</v>
      </c>
    </row>
    <row r="3980" spans="1:6" x14ac:dyDescent="0.15">
      <c r="A3980" s="2">
        <v>46089</v>
      </c>
      <c r="B3980" s="1" t="s">
        <v>10476</v>
      </c>
      <c r="C3980" s="1" t="s">
        <v>10477</v>
      </c>
      <c r="D3980" t="b">
        <f ca="1">IF(A3980="","",[1]!s_techanal_rcnthigh(B3980,$B$2,1,3))</f>
        <v>0</v>
      </c>
      <c r="E3980">
        <f ca="1">IF(A3980="","",COUNTIF(D$6:D3980,"True"))</f>
        <v>36</v>
      </c>
      <c r="F3980" t="str">
        <f t="shared" si="62"/>
        <v>603124.SH</v>
      </c>
    </row>
    <row r="3981" spans="1:6" x14ac:dyDescent="0.15">
      <c r="A3981" s="2">
        <v>46089</v>
      </c>
      <c r="B3981" s="1" t="s">
        <v>7510</v>
      </c>
      <c r="C3981" s="1" t="s">
        <v>7511</v>
      </c>
      <c r="D3981" t="b">
        <f ca="1">IF(A3981="","",[1]!s_techanal_rcnthigh(B3981,$B$2,1,3))</f>
        <v>0</v>
      </c>
      <c r="E3981">
        <f ca="1">IF(A3981="","",COUNTIF(D$6:D3981,"True"))</f>
        <v>36</v>
      </c>
      <c r="F3981" t="str">
        <f t="shared" si="62"/>
        <v>603125.SH</v>
      </c>
    </row>
    <row r="3982" spans="1:6" x14ac:dyDescent="0.15">
      <c r="A3982" s="2">
        <v>46089</v>
      </c>
      <c r="B3982" s="1" t="s">
        <v>7512</v>
      </c>
      <c r="C3982" s="1" t="s">
        <v>7513</v>
      </c>
      <c r="D3982" t="b">
        <f ca="1">IF(A3982="","",[1]!s_techanal_rcnthigh(B3982,$B$2,1,3))</f>
        <v>0</v>
      </c>
      <c r="E3982">
        <f ca="1">IF(A3982="","",COUNTIF(D$6:D3982,"True"))</f>
        <v>36</v>
      </c>
      <c r="F3982" t="str">
        <f t="shared" si="62"/>
        <v>603126.SH</v>
      </c>
    </row>
    <row r="3983" spans="1:6" x14ac:dyDescent="0.15">
      <c r="A3983" s="2">
        <v>46089</v>
      </c>
      <c r="B3983" s="1" t="s">
        <v>7514</v>
      </c>
      <c r="C3983" s="1" t="s">
        <v>7515</v>
      </c>
      <c r="D3983" t="b">
        <f ca="1">IF(A3983="","",[1]!s_techanal_rcnthigh(B3983,$B$2,1,3))</f>
        <v>0</v>
      </c>
      <c r="E3983">
        <f ca="1">IF(A3983="","",COUNTIF(D$6:D3983,"True"))</f>
        <v>36</v>
      </c>
      <c r="F3983" t="str">
        <f t="shared" si="62"/>
        <v>603127.SH</v>
      </c>
    </row>
    <row r="3984" spans="1:6" x14ac:dyDescent="0.15">
      <c r="A3984" s="2">
        <v>46089</v>
      </c>
      <c r="B3984" s="1" t="s">
        <v>7516</v>
      </c>
      <c r="C3984" s="1" t="s">
        <v>7517</v>
      </c>
      <c r="D3984" t="b">
        <f ca="1">IF(A3984="","",[1]!s_techanal_rcnthigh(B3984,$B$2,1,3))</f>
        <v>0</v>
      </c>
      <c r="E3984">
        <f ca="1">IF(A3984="","",COUNTIF(D$6:D3984,"True"))</f>
        <v>36</v>
      </c>
      <c r="F3984" t="str">
        <f t="shared" si="62"/>
        <v>603128.SH</v>
      </c>
    </row>
    <row r="3985" spans="1:6" x14ac:dyDescent="0.15">
      <c r="A3985" s="2">
        <v>46089</v>
      </c>
      <c r="B3985" s="1" t="s">
        <v>7518</v>
      </c>
      <c r="C3985" s="1" t="s">
        <v>7519</v>
      </c>
      <c r="D3985" t="b">
        <f ca="1">IF(A3985="","",[1]!s_techanal_rcnthigh(B3985,$B$2,1,3))</f>
        <v>0</v>
      </c>
      <c r="E3985">
        <f ca="1">IF(A3985="","",COUNTIF(D$6:D3985,"True"))</f>
        <v>36</v>
      </c>
      <c r="F3985" t="str">
        <f t="shared" si="62"/>
        <v>603129.SH</v>
      </c>
    </row>
    <row r="3986" spans="1:6" x14ac:dyDescent="0.15">
      <c r="A3986" s="2">
        <v>46089</v>
      </c>
      <c r="B3986" s="1" t="s">
        <v>7520</v>
      </c>
      <c r="C3986" s="1" t="s">
        <v>7521</v>
      </c>
      <c r="D3986" t="b">
        <f ca="1">IF(A3986="","",[1]!s_techanal_rcnthigh(B3986,$B$2,1,3))</f>
        <v>0</v>
      </c>
      <c r="E3986">
        <f ca="1">IF(A3986="","",COUNTIF(D$6:D3986,"True"))</f>
        <v>36</v>
      </c>
      <c r="F3986" t="str">
        <f t="shared" si="62"/>
        <v>603130.SH</v>
      </c>
    </row>
    <row r="3987" spans="1:6" x14ac:dyDescent="0.15">
      <c r="A3987" s="2">
        <v>46089</v>
      </c>
      <c r="B3987" s="1" t="s">
        <v>7522</v>
      </c>
      <c r="C3987" s="1" t="s">
        <v>7523</v>
      </c>
      <c r="D3987" t="b">
        <f ca="1">IF(A3987="","",[1]!s_techanal_rcnthigh(B3987,$B$2,1,3))</f>
        <v>0</v>
      </c>
      <c r="E3987">
        <f ca="1">IF(A3987="","",COUNTIF(D$6:D3987,"True"))</f>
        <v>36</v>
      </c>
      <c r="F3987" t="str">
        <f t="shared" si="62"/>
        <v>603131.SH</v>
      </c>
    </row>
    <row r="3988" spans="1:6" x14ac:dyDescent="0.15">
      <c r="A3988" s="2">
        <v>46089</v>
      </c>
      <c r="B3988" s="1" t="s">
        <v>7524</v>
      </c>
      <c r="C3988" s="1" t="s">
        <v>7525</v>
      </c>
      <c r="D3988" t="b">
        <f ca="1">IF(A3988="","",[1]!s_techanal_rcnthigh(B3988,$B$2,1,3))</f>
        <v>0</v>
      </c>
      <c r="E3988">
        <f ca="1">IF(A3988="","",COUNTIF(D$6:D3988,"True"))</f>
        <v>36</v>
      </c>
      <c r="F3988" t="str">
        <f t="shared" si="62"/>
        <v>603132.SH</v>
      </c>
    </row>
    <row r="3989" spans="1:6" x14ac:dyDescent="0.15">
      <c r="A3989" s="2">
        <v>46089</v>
      </c>
      <c r="B3989" s="1" t="s">
        <v>7526</v>
      </c>
      <c r="C3989" s="1" t="s">
        <v>7527</v>
      </c>
      <c r="D3989" t="b">
        <f ca="1">IF(A3989="","",[1]!s_techanal_rcnthigh(B3989,$B$2,1,3))</f>
        <v>0</v>
      </c>
      <c r="E3989">
        <f ca="1">IF(A3989="","",COUNTIF(D$6:D3989,"True"))</f>
        <v>36</v>
      </c>
      <c r="F3989" t="str">
        <f t="shared" si="62"/>
        <v>603135.SH</v>
      </c>
    </row>
    <row r="3990" spans="1:6" x14ac:dyDescent="0.15">
      <c r="A3990" s="2">
        <v>46089</v>
      </c>
      <c r="B3990" s="1" t="s">
        <v>7528</v>
      </c>
      <c r="C3990" s="1" t="s">
        <v>7529</v>
      </c>
      <c r="D3990" t="b">
        <f ca="1">IF(A3990="","",[1]!s_techanal_rcnthigh(B3990,$B$2,1,3))</f>
        <v>0</v>
      </c>
      <c r="E3990">
        <f ca="1">IF(A3990="","",COUNTIF(D$6:D3990,"True"))</f>
        <v>36</v>
      </c>
      <c r="F3990" t="str">
        <f t="shared" si="62"/>
        <v>603136.SH</v>
      </c>
    </row>
    <row r="3991" spans="1:6" x14ac:dyDescent="0.15">
      <c r="A3991" s="2">
        <v>46089</v>
      </c>
      <c r="B3991" s="1" t="s">
        <v>7530</v>
      </c>
      <c r="C3991" s="1" t="s">
        <v>7531</v>
      </c>
      <c r="D3991" t="b">
        <f ca="1">IF(A3991="","",[1]!s_techanal_rcnthigh(B3991,$B$2,1,3))</f>
        <v>0</v>
      </c>
      <c r="E3991">
        <f ca="1">IF(A3991="","",COUNTIF(D$6:D3991,"True"))</f>
        <v>36</v>
      </c>
      <c r="F3991" t="str">
        <f t="shared" si="62"/>
        <v>603137.SH</v>
      </c>
    </row>
    <row r="3992" spans="1:6" x14ac:dyDescent="0.15">
      <c r="A3992" s="2">
        <v>46089</v>
      </c>
      <c r="B3992" s="1" t="s">
        <v>7532</v>
      </c>
      <c r="C3992" s="1" t="s">
        <v>7533</v>
      </c>
      <c r="D3992" t="b">
        <f ca="1">IF(A3992="","",[1]!s_techanal_rcnthigh(B3992,$B$2,1,3))</f>
        <v>0</v>
      </c>
      <c r="E3992">
        <f ca="1">IF(A3992="","",COUNTIF(D$6:D3992,"True"))</f>
        <v>36</v>
      </c>
      <c r="F3992" t="str">
        <f t="shared" si="62"/>
        <v>603138.SH</v>
      </c>
    </row>
    <row r="3993" spans="1:6" x14ac:dyDescent="0.15">
      <c r="A3993" s="2">
        <v>46089</v>
      </c>
      <c r="B3993" s="1" t="s">
        <v>7534</v>
      </c>
      <c r="C3993" s="1" t="s">
        <v>10478</v>
      </c>
      <c r="D3993" t="b">
        <f ca="1">IF(A3993="","",[1]!s_techanal_rcnthigh(B3993,$B$2,1,3))</f>
        <v>0</v>
      </c>
      <c r="E3993">
        <f ca="1">IF(A3993="","",COUNTIF(D$6:D3993,"True"))</f>
        <v>36</v>
      </c>
      <c r="F3993" t="str">
        <f t="shared" si="62"/>
        <v>603139.SH</v>
      </c>
    </row>
    <row r="3994" spans="1:6" x14ac:dyDescent="0.15">
      <c r="A3994" s="2">
        <v>46089</v>
      </c>
      <c r="B3994" s="1" t="s">
        <v>7535</v>
      </c>
      <c r="C3994" s="1" t="s">
        <v>7536</v>
      </c>
      <c r="D3994" t="b">
        <f ca="1">IF(A3994="","",[1]!s_techanal_rcnthigh(B3994,$B$2,1,3))</f>
        <v>0</v>
      </c>
      <c r="E3994">
        <f ca="1">IF(A3994="","",COUNTIF(D$6:D3994,"True"))</f>
        <v>36</v>
      </c>
      <c r="F3994" t="str">
        <f t="shared" si="62"/>
        <v>603150.SH</v>
      </c>
    </row>
    <row r="3995" spans="1:6" x14ac:dyDescent="0.15">
      <c r="A3995" s="2">
        <v>46089</v>
      </c>
      <c r="B3995" s="1" t="s">
        <v>7537</v>
      </c>
      <c r="C3995" s="1" t="s">
        <v>7538</v>
      </c>
      <c r="D3995" t="b">
        <f ca="1">IF(A3995="","",[1]!s_techanal_rcnthigh(B3995,$B$2,1,3))</f>
        <v>0</v>
      </c>
      <c r="E3995">
        <f ca="1">IF(A3995="","",COUNTIF(D$6:D3995,"True"))</f>
        <v>36</v>
      </c>
      <c r="F3995" t="str">
        <f t="shared" si="62"/>
        <v>603151.SH</v>
      </c>
    </row>
    <row r="3996" spans="1:6" x14ac:dyDescent="0.15">
      <c r="A3996" s="2">
        <v>46089</v>
      </c>
      <c r="B3996" s="1" t="s">
        <v>7539</v>
      </c>
      <c r="C3996" s="1" t="s">
        <v>7540</v>
      </c>
      <c r="D3996" t="b">
        <f ca="1">IF(A3996="","",[1]!s_techanal_rcnthigh(B3996,$B$2,1,3))</f>
        <v>0</v>
      </c>
      <c r="E3996">
        <f ca="1">IF(A3996="","",COUNTIF(D$6:D3996,"True"))</f>
        <v>36</v>
      </c>
      <c r="F3996" t="str">
        <f t="shared" si="62"/>
        <v>603153.SH</v>
      </c>
    </row>
    <row r="3997" spans="1:6" x14ac:dyDescent="0.15">
      <c r="A3997" s="2">
        <v>46089</v>
      </c>
      <c r="B3997" s="1" t="s">
        <v>7541</v>
      </c>
      <c r="C3997" s="1" t="s">
        <v>7542</v>
      </c>
      <c r="D3997" t="b">
        <f ca="1">IF(A3997="","",[1]!s_techanal_rcnthigh(B3997,$B$2,1,3))</f>
        <v>0</v>
      </c>
      <c r="E3997">
        <f ca="1">IF(A3997="","",COUNTIF(D$6:D3997,"True"))</f>
        <v>36</v>
      </c>
      <c r="F3997" t="str">
        <f t="shared" si="62"/>
        <v>603155.SH</v>
      </c>
    </row>
    <row r="3998" spans="1:6" x14ac:dyDescent="0.15">
      <c r="A3998" s="2">
        <v>46089</v>
      </c>
      <c r="B3998" s="1" t="s">
        <v>7543</v>
      </c>
      <c r="C3998" s="1" t="s">
        <v>7544</v>
      </c>
      <c r="D3998" t="b">
        <f ca="1">IF(A3998="","",[1]!s_techanal_rcnthigh(B3998,$B$2,1,3))</f>
        <v>0</v>
      </c>
      <c r="E3998">
        <f ca="1">IF(A3998="","",COUNTIF(D$6:D3998,"True"))</f>
        <v>36</v>
      </c>
      <c r="F3998" t="str">
        <f t="shared" si="62"/>
        <v>603156.SH</v>
      </c>
    </row>
    <row r="3999" spans="1:6" x14ac:dyDescent="0.15">
      <c r="A3999" s="2">
        <v>46089</v>
      </c>
      <c r="B3999" s="1" t="s">
        <v>7545</v>
      </c>
      <c r="C3999" s="1" t="s">
        <v>7546</v>
      </c>
      <c r="D3999" t="b">
        <f ca="1">IF(A3999="","",[1]!s_techanal_rcnthigh(B3999,$B$2,1,3))</f>
        <v>0</v>
      </c>
      <c r="E3999">
        <f ca="1">IF(A3999="","",COUNTIF(D$6:D3999,"True"))</f>
        <v>36</v>
      </c>
      <c r="F3999" t="str">
        <f t="shared" si="62"/>
        <v>603158.SH</v>
      </c>
    </row>
    <row r="4000" spans="1:6" x14ac:dyDescent="0.15">
      <c r="A4000" s="2">
        <v>46089</v>
      </c>
      <c r="B4000" s="1" t="s">
        <v>7547</v>
      </c>
      <c r="C4000" s="1" t="s">
        <v>7548</v>
      </c>
      <c r="D4000" t="b">
        <f ca="1">IF(A4000="","",[1]!s_techanal_rcnthigh(B4000,$B$2,1,3))</f>
        <v>0</v>
      </c>
      <c r="E4000">
        <f ca="1">IF(A4000="","",COUNTIF(D$6:D4000,"True"))</f>
        <v>36</v>
      </c>
      <c r="F4000" t="str">
        <f t="shared" si="62"/>
        <v>603159.SH</v>
      </c>
    </row>
    <row r="4001" spans="1:6" x14ac:dyDescent="0.15">
      <c r="A4001" s="2">
        <v>46089</v>
      </c>
      <c r="B4001" s="1" t="s">
        <v>7549</v>
      </c>
      <c r="C4001" s="1" t="s">
        <v>7550</v>
      </c>
      <c r="D4001" t="b">
        <f ca="1">IF(A4001="","",[1]!s_techanal_rcnthigh(B4001,$B$2,1,3))</f>
        <v>0</v>
      </c>
      <c r="E4001">
        <f ca="1">IF(A4001="","",COUNTIF(D$6:D4001,"True"))</f>
        <v>36</v>
      </c>
      <c r="F4001" t="str">
        <f t="shared" si="62"/>
        <v>603160.SH</v>
      </c>
    </row>
    <row r="4002" spans="1:6" x14ac:dyDescent="0.15">
      <c r="A4002" s="2">
        <v>46089</v>
      </c>
      <c r="B4002" s="1" t="s">
        <v>7551</v>
      </c>
      <c r="C4002" s="1" t="s">
        <v>7552</v>
      </c>
      <c r="D4002" t="b">
        <f ca="1">IF(A4002="","",[1]!s_techanal_rcnthigh(B4002,$B$2,1,3))</f>
        <v>0</v>
      </c>
      <c r="E4002">
        <f ca="1">IF(A4002="","",COUNTIF(D$6:D4002,"True"))</f>
        <v>36</v>
      </c>
      <c r="F4002" t="str">
        <f t="shared" si="62"/>
        <v>603161.SH</v>
      </c>
    </row>
    <row r="4003" spans="1:6" x14ac:dyDescent="0.15">
      <c r="A4003" s="2">
        <v>46089</v>
      </c>
      <c r="B4003" s="1" t="s">
        <v>7553</v>
      </c>
      <c r="C4003" s="1" t="s">
        <v>7554</v>
      </c>
      <c r="D4003" t="b">
        <f ca="1">IF(A4003="","",[1]!s_techanal_rcnthigh(B4003,$B$2,1,3))</f>
        <v>0</v>
      </c>
      <c r="E4003">
        <f ca="1">IF(A4003="","",COUNTIF(D$6:D4003,"True"))</f>
        <v>36</v>
      </c>
      <c r="F4003" t="str">
        <f t="shared" si="62"/>
        <v>603162.SH</v>
      </c>
    </row>
    <row r="4004" spans="1:6" x14ac:dyDescent="0.15">
      <c r="A4004" s="2">
        <v>46089</v>
      </c>
      <c r="B4004" s="1" t="s">
        <v>7555</v>
      </c>
      <c r="C4004" s="1" t="s">
        <v>7556</v>
      </c>
      <c r="D4004" t="b">
        <f ca="1">IF(A4004="","",[1]!s_techanal_rcnthigh(B4004,$B$2,1,3))</f>
        <v>0</v>
      </c>
      <c r="E4004">
        <f ca="1">IF(A4004="","",COUNTIF(D$6:D4004,"True"))</f>
        <v>36</v>
      </c>
      <c r="F4004" t="str">
        <f t="shared" si="62"/>
        <v>603163.SH</v>
      </c>
    </row>
    <row r="4005" spans="1:6" x14ac:dyDescent="0.15">
      <c r="A4005" s="2">
        <v>46089</v>
      </c>
      <c r="B4005" s="1" t="s">
        <v>7557</v>
      </c>
      <c r="C4005" s="1" t="s">
        <v>7558</v>
      </c>
      <c r="D4005" t="b">
        <f ca="1">IF(A4005="","",[1]!s_techanal_rcnthigh(B4005,$B$2,1,3))</f>
        <v>0</v>
      </c>
      <c r="E4005">
        <f ca="1">IF(A4005="","",COUNTIF(D$6:D4005,"True"))</f>
        <v>36</v>
      </c>
      <c r="F4005" t="str">
        <f t="shared" si="62"/>
        <v>603165.SH</v>
      </c>
    </row>
    <row r="4006" spans="1:6" x14ac:dyDescent="0.15">
      <c r="A4006" s="2">
        <v>46089</v>
      </c>
      <c r="B4006" s="1" t="s">
        <v>7559</v>
      </c>
      <c r="C4006" s="1" t="s">
        <v>7560</v>
      </c>
      <c r="D4006" t="b">
        <f ca="1">IF(A4006="","",[1]!s_techanal_rcnthigh(B4006,$B$2,1,3))</f>
        <v>0</v>
      </c>
      <c r="E4006">
        <f ca="1">IF(A4006="","",COUNTIF(D$6:D4006,"True"))</f>
        <v>36</v>
      </c>
      <c r="F4006" t="str">
        <f t="shared" si="62"/>
        <v>603166.SH</v>
      </c>
    </row>
    <row r="4007" spans="1:6" x14ac:dyDescent="0.15">
      <c r="A4007" s="2">
        <v>46089</v>
      </c>
      <c r="B4007" s="1" t="s">
        <v>7561</v>
      </c>
      <c r="C4007" s="1" t="s">
        <v>7562</v>
      </c>
      <c r="D4007" t="b">
        <f ca="1">IF(A4007="","",[1]!s_techanal_rcnthigh(B4007,$B$2,1,3))</f>
        <v>0</v>
      </c>
      <c r="E4007">
        <f ca="1">IF(A4007="","",COUNTIF(D$6:D4007,"True"))</f>
        <v>36</v>
      </c>
      <c r="F4007" t="str">
        <f t="shared" si="62"/>
        <v>603167.SH</v>
      </c>
    </row>
    <row r="4008" spans="1:6" x14ac:dyDescent="0.15">
      <c r="A4008" s="2">
        <v>46089</v>
      </c>
      <c r="B4008" s="1" t="s">
        <v>7563</v>
      </c>
      <c r="C4008" s="1" t="s">
        <v>7564</v>
      </c>
      <c r="D4008" t="b">
        <f ca="1">IF(A4008="","",[1]!s_techanal_rcnthigh(B4008,$B$2,1,3))</f>
        <v>0</v>
      </c>
      <c r="E4008">
        <f ca="1">IF(A4008="","",COUNTIF(D$6:D4008,"True"))</f>
        <v>36</v>
      </c>
      <c r="F4008" t="str">
        <f t="shared" si="62"/>
        <v>603168.SH</v>
      </c>
    </row>
    <row r="4009" spans="1:6" x14ac:dyDescent="0.15">
      <c r="A4009" s="2">
        <v>46089</v>
      </c>
      <c r="B4009" s="1" t="s">
        <v>7565</v>
      </c>
      <c r="C4009" s="1" t="s">
        <v>7566</v>
      </c>
      <c r="D4009" t="b">
        <f ca="1">IF(A4009="","",[1]!s_techanal_rcnthigh(B4009,$B$2,1,3))</f>
        <v>0</v>
      </c>
      <c r="E4009">
        <f ca="1">IF(A4009="","",COUNTIF(D$6:D4009,"True"))</f>
        <v>36</v>
      </c>
      <c r="F4009" t="str">
        <f t="shared" si="62"/>
        <v>603169.SH</v>
      </c>
    </row>
    <row r="4010" spans="1:6" x14ac:dyDescent="0.15">
      <c r="A4010" s="2">
        <v>46089</v>
      </c>
      <c r="B4010" s="1" t="s">
        <v>7567</v>
      </c>
      <c r="C4010" s="1" t="s">
        <v>7568</v>
      </c>
      <c r="D4010" t="b">
        <f ca="1">IF(A4010="","",[1]!s_techanal_rcnthigh(B4010,$B$2,1,3))</f>
        <v>0</v>
      </c>
      <c r="E4010">
        <f ca="1">IF(A4010="","",COUNTIF(D$6:D4010,"True"))</f>
        <v>36</v>
      </c>
      <c r="F4010" t="str">
        <f t="shared" si="62"/>
        <v>603170.SH</v>
      </c>
    </row>
    <row r="4011" spans="1:6" x14ac:dyDescent="0.15">
      <c r="A4011" s="2">
        <v>46089</v>
      </c>
      <c r="B4011" s="1" t="s">
        <v>7569</v>
      </c>
      <c r="C4011" s="1" t="s">
        <v>7570</v>
      </c>
      <c r="D4011" t="b">
        <f ca="1">IF(A4011="","",[1]!s_techanal_rcnthigh(B4011,$B$2,1,3))</f>
        <v>0</v>
      </c>
      <c r="E4011">
        <f ca="1">IF(A4011="","",COUNTIF(D$6:D4011,"True"))</f>
        <v>36</v>
      </c>
      <c r="F4011" t="str">
        <f t="shared" si="62"/>
        <v>603171.SH</v>
      </c>
    </row>
    <row r="4012" spans="1:6" x14ac:dyDescent="0.15">
      <c r="A4012" s="2">
        <v>46089</v>
      </c>
      <c r="B4012" s="1" t="s">
        <v>7571</v>
      </c>
      <c r="C4012" s="1" t="s">
        <v>7572</v>
      </c>
      <c r="D4012" t="b">
        <f ca="1">IF(A4012="","",[1]!s_techanal_rcnthigh(B4012,$B$2,1,3))</f>
        <v>0</v>
      </c>
      <c r="E4012">
        <f ca="1">IF(A4012="","",COUNTIF(D$6:D4012,"True"))</f>
        <v>36</v>
      </c>
      <c r="F4012" t="str">
        <f t="shared" si="62"/>
        <v>603172.SH</v>
      </c>
    </row>
    <row r="4013" spans="1:6" x14ac:dyDescent="0.15">
      <c r="A4013" s="2">
        <v>46089</v>
      </c>
      <c r="B4013" s="1" t="s">
        <v>7573</v>
      </c>
      <c r="C4013" s="1" t="s">
        <v>7574</v>
      </c>
      <c r="D4013" t="b">
        <f ca="1">IF(A4013="","",[1]!s_techanal_rcnthigh(B4013,$B$2,1,3))</f>
        <v>0</v>
      </c>
      <c r="E4013">
        <f ca="1">IF(A4013="","",COUNTIF(D$6:D4013,"True"))</f>
        <v>36</v>
      </c>
      <c r="F4013" t="str">
        <f t="shared" si="62"/>
        <v>603173.SH</v>
      </c>
    </row>
    <row r="4014" spans="1:6" x14ac:dyDescent="0.15">
      <c r="A4014" s="2">
        <v>46089</v>
      </c>
      <c r="B4014" s="1" t="s">
        <v>10479</v>
      </c>
      <c r="C4014" s="1" t="s">
        <v>10480</v>
      </c>
      <c r="D4014" t="b">
        <f ca="1">IF(A4014="","",[1]!s_techanal_rcnthigh(B4014,$B$2,1,3))</f>
        <v>0</v>
      </c>
      <c r="E4014">
        <f ca="1">IF(A4014="","",COUNTIF(D$6:D4014,"True"))</f>
        <v>36</v>
      </c>
      <c r="F4014" t="str">
        <f t="shared" si="62"/>
        <v>603175.SH</v>
      </c>
    </row>
    <row r="4015" spans="1:6" x14ac:dyDescent="0.15">
      <c r="A4015" s="2">
        <v>46089</v>
      </c>
      <c r="B4015" s="1" t="s">
        <v>7575</v>
      </c>
      <c r="C4015" s="1" t="s">
        <v>7576</v>
      </c>
      <c r="D4015" t="b">
        <f ca="1">IF(A4015="","",[1]!s_techanal_rcnthigh(B4015,$B$2,1,3))</f>
        <v>0</v>
      </c>
      <c r="E4015">
        <f ca="1">IF(A4015="","",COUNTIF(D$6:D4015,"True"))</f>
        <v>36</v>
      </c>
      <c r="F4015" t="str">
        <f t="shared" si="62"/>
        <v>603176.SH</v>
      </c>
    </row>
    <row r="4016" spans="1:6" x14ac:dyDescent="0.15">
      <c r="A4016" s="2">
        <v>46089</v>
      </c>
      <c r="B4016" s="1" t="s">
        <v>7577</v>
      </c>
      <c r="C4016" s="1" t="s">
        <v>7578</v>
      </c>
      <c r="D4016" t="b">
        <f ca="1">IF(A4016="","",[1]!s_techanal_rcnthigh(B4016,$B$2,1,3))</f>
        <v>0</v>
      </c>
      <c r="E4016">
        <f ca="1">IF(A4016="","",COUNTIF(D$6:D4016,"True"))</f>
        <v>36</v>
      </c>
      <c r="F4016" t="str">
        <f t="shared" si="62"/>
        <v>603177.SH</v>
      </c>
    </row>
    <row r="4017" spans="1:6" x14ac:dyDescent="0.15">
      <c r="A4017" s="2">
        <v>46089</v>
      </c>
      <c r="B4017" s="1" t="s">
        <v>7579</v>
      </c>
      <c r="C4017" s="1" t="s">
        <v>7580</v>
      </c>
      <c r="D4017" t="b">
        <f ca="1">IF(A4017="","",[1]!s_techanal_rcnthigh(B4017,$B$2,1,3))</f>
        <v>0</v>
      </c>
      <c r="E4017">
        <f ca="1">IF(A4017="","",COUNTIF(D$6:D4017,"True"))</f>
        <v>36</v>
      </c>
      <c r="F4017" t="str">
        <f t="shared" si="62"/>
        <v>603178.SH</v>
      </c>
    </row>
    <row r="4018" spans="1:6" x14ac:dyDescent="0.15">
      <c r="A4018" s="2">
        <v>46089</v>
      </c>
      <c r="B4018" s="1" t="s">
        <v>7581</v>
      </c>
      <c r="C4018" s="1" t="s">
        <v>7582</v>
      </c>
      <c r="D4018" t="b">
        <f ca="1">IF(A4018="","",[1]!s_techanal_rcnthigh(B4018,$B$2,1,3))</f>
        <v>0</v>
      </c>
      <c r="E4018">
        <f ca="1">IF(A4018="","",COUNTIF(D$6:D4018,"True"))</f>
        <v>36</v>
      </c>
      <c r="F4018" t="str">
        <f t="shared" si="62"/>
        <v>603179.SH</v>
      </c>
    </row>
    <row r="4019" spans="1:6" x14ac:dyDescent="0.15">
      <c r="A4019" s="2">
        <v>46089</v>
      </c>
      <c r="B4019" s="1" t="s">
        <v>7583</v>
      </c>
      <c r="C4019" s="1" t="s">
        <v>10481</v>
      </c>
      <c r="D4019" t="b">
        <f ca="1">IF(A4019="","",[1]!s_techanal_rcnthigh(B4019,$B$2,1,3))</f>
        <v>0</v>
      </c>
      <c r="E4019">
        <f ca="1">IF(A4019="","",COUNTIF(D$6:D4019,"True"))</f>
        <v>36</v>
      </c>
      <c r="F4019" t="str">
        <f t="shared" si="62"/>
        <v>603180.SH</v>
      </c>
    </row>
    <row r="4020" spans="1:6" x14ac:dyDescent="0.15">
      <c r="A4020" s="2">
        <v>46089</v>
      </c>
      <c r="B4020" s="1" t="s">
        <v>7584</v>
      </c>
      <c r="C4020" s="1" t="s">
        <v>7585</v>
      </c>
      <c r="D4020" t="b">
        <f ca="1">IF(A4020="","",[1]!s_techanal_rcnthigh(B4020,$B$2,1,3))</f>
        <v>0</v>
      </c>
      <c r="E4020">
        <f ca="1">IF(A4020="","",COUNTIF(D$6:D4020,"True"))</f>
        <v>36</v>
      </c>
      <c r="F4020" t="str">
        <f t="shared" si="62"/>
        <v>603181.SH</v>
      </c>
    </row>
    <row r="4021" spans="1:6" x14ac:dyDescent="0.15">
      <c r="A4021" s="2">
        <v>46089</v>
      </c>
      <c r="B4021" s="1" t="s">
        <v>7586</v>
      </c>
      <c r="C4021" s="1" t="s">
        <v>7587</v>
      </c>
      <c r="D4021" t="b">
        <f ca="1">IF(A4021="","",[1]!s_techanal_rcnthigh(B4021,$B$2,1,3))</f>
        <v>0</v>
      </c>
      <c r="E4021">
        <f ca="1">IF(A4021="","",COUNTIF(D$6:D4021,"True"))</f>
        <v>36</v>
      </c>
      <c r="F4021" t="str">
        <f t="shared" si="62"/>
        <v>603182.SH</v>
      </c>
    </row>
    <row r="4022" spans="1:6" x14ac:dyDescent="0.15">
      <c r="A4022" s="2">
        <v>46089</v>
      </c>
      <c r="B4022" s="1" t="s">
        <v>7588</v>
      </c>
      <c r="C4022" s="1" t="s">
        <v>7589</v>
      </c>
      <c r="D4022" t="b">
        <f ca="1">IF(A4022="","",[1]!s_techanal_rcnthigh(B4022,$B$2,1,3))</f>
        <v>0</v>
      </c>
      <c r="E4022">
        <f ca="1">IF(A4022="","",COUNTIF(D$6:D4022,"True"))</f>
        <v>36</v>
      </c>
      <c r="F4022" t="str">
        <f t="shared" si="62"/>
        <v>603183.SH</v>
      </c>
    </row>
    <row r="4023" spans="1:6" x14ac:dyDescent="0.15">
      <c r="A4023" s="2">
        <v>46089</v>
      </c>
      <c r="B4023" s="1" t="s">
        <v>7590</v>
      </c>
      <c r="C4023" s="1" t="s">
        <v>7591</v>
      </c>
      <c r="D4023" t="b">
        <f ca="1">IF(A4023="","",[1]!s_techanal_rcnthigh(B4023,$B$2,1,3))</f>
        <v>0</v>
      </c>
      <c r="E4023">
        <f ca="1">IF(A4023="","",COUNTIF(D$6:D4023,"True"))</f>
        <v>36</v>
      </c>
      <c r="F4023" t="str">
        <f t="shared" si="62"/>
        <v>603185.SH</v>
      </c>
    </row>
    <row r="4024" spans="1:6" x14ac:dyDescent="0.15">
      <c r="A4024" s="2">
        <v>46089</v>
      </c>
      <c r="B4024" s="1" t="s">
        <v>7592</v>
      </c>
      <c r="C4024" s="1" t="s">
        <v>7593</v>
      </c>
      <c r="D4024" t="b">
        <f ca="1">IF(A4024="","",[1]!s_techanal_rcnthigh(B4024,$B$2,1,3))</f>
        <v>0</v>
      </c>
      <c r="E4024">
        <f ca="1">IF(A4024="","",COUNTIF(D$6:D4024,"True"))</f>
        <v>36</v>
      </c>
      <c r="F4024" t="str">
        <f t="shared" si="62"/>
        <v>603186.SH</v>
      </c>
    </row>
    <row r="4025" spans="1:6" x14ac:dyDescent="0.15">
      <c r="A4025" s="2">
        <v>46089</v>
      </c>
      <c r="B4025" s="1" t="s">
        <v>7594</v>
      </c>
      <c r="C4025" s="1" t="s">
        <v>7595</v>
      </c>
      <c r="D4025" t="b">
        <f ca="1">IF(A4025="","",[1]!s_techanal_rcnthigh(B4025,$B$2,1,3))</f>
        <v>0</v>
      </c>
      <c r="E4025">
        <f ca="1">IF(A4025="","",COUNTIF(D$6:D4025,"True"))</f>
        <v>36</v>
      </c>
      <c r="F4025" t="str">
        <f t="shared" si="62"/>
        <v>603187.SH</v>
      </c>
    </row>
    <row r="4026" spans="1:6" x14ac:dyDescent="0.15">
      <c r="A4026" s="2">
        <v>46089</v>
      </c>
      <c r="B4026" s="1" t="s">
        <v>7596</v>
      </c>
      <c r="C4026" s="1" t="s">
        <v>7597</v>
      </c>
      <c r="D4026" t="b">
        <f ca="1">IF(A4026="","",[1]!s_techanal_rcnthigh(B4026,$B$2,1,3))</f>
        <v>0</v>
      </c>
      <c r="E4026">
        <f ca="1">IF(A4026="","",COUNTIF(D$6:D4026,"True"))</f>
        <v>36</v>
      </c>
      <c r="F4026" t="str">
        <f t="shared" si="62"/>
        <v>603188.SH</v>
      </c>
    </row>
    <row r="4027" spans="1:6" x14ac:dyDescent="0.15">
      <c r="A4027" s="2">
        <v>46089</v>
      </c>
      <c r="B4027" s="1" t="s">
        <v>7598</v>
      </c>
      <c r="C4027" s="1" t="s">
        <v>7599</v>
      </c>
      <c r="D4027" t="b">
        <f ca="1">IF(A4027="","",[1]!s_techanal_rcnthigh(B4027,$B$2,1,3))</f>
        <v>0</v>
      </c>
      <c r="E4027">
        <f ca="1">IF(A4027="","",COUNTIF(D$6:D4027,"True"))</f>
        <v>36</v>
      </c>
      <c r="F4027" t="str">
        <f t="shared" si="62"/>
        <v>603189.SH</v>
      </c>
    </row>
    <row r="4028" spans="1:6" x14ac:dyDescent="0.15">
      <c r="A4028" s="2">
        <v>46089</v>
      </c>
      <c r="B4028" s="1" t="s">
        <v>7600</v>
      </c>
      <c r="C4028" s="1" t="s">
        <v>7601</v>
      </c>
      <c r="D4028" t="b">
        <f ca="1">IF(A4028="","",[1]!s_techanal_rcnthigh(B4028,$B$2,1,3))</f>
        <v>0</v>
      </c>
      <c r="E4028">
        <f ca="1">IF(A4028="","",COUNTIF(D$6:D4028,"True"))</f>
        <v>36</v>
      </c>
      <c r="F4028" t="str">
        <f t="shared" si="62"/>
        <v>603190.SH</v>
      </c>
    </row>
    <row r="4029" spans="1:6" x14ac:dyDescent="0.15">
      <c r="A4029" s="2">
        <v>46089</v>
      </c>
      <c r="B4029" s="1" t="s">
        <v>7602</v>
      </c>
      <c r="C4029" s="1" t="s">
        <v>7603</v>
      </c>
      <c r="D4029" t="b">
        <f ca="1">IF(A4029="","",[1]!s_techanal_rcnthigh(B4029,$B$2,1,3))</f>
        <v>0</v>
      </c>
      <c r="E4029">
        <f ca="1">IF(A4029="","",COUNTIF(D$6:D4029,"True"))</f>
        <v>36</v>
      </c>
      <c r="F4029" t="str">
        <f t="shared" si="62"/>
        <v>603191.SH</v>
      </c>
    </row>
    <row r="4030" spans="1:6" x14ac:dyDescent="0.15">
      <c r="A4030" s="2">
        <v>46089</v>
      </c>
      <c r="B4030" s="1" t="s">
        <v>7604</v>
      </c>
      <c r="C4030" s="1" t="s">
        <v>7605</v>
      </c>
      <c r="D4030" t="b">
        <f ca="1">IF(A4030="","",[1]!s_techanal_rcnthigh(B4030,$B$2,1,3))</f>
        <v>0</v>
      </c>
      <c r="E4030">
        <f ca="1">IF(A4030="","",COUNTIF(D$6:D4030,"True"))</f>
        <v>36</v>
      </c>
      <c r="F4030" t="str">
        <f t="shared" si="62"/>
        <v>603192.SH</v>
      </c>
    </row>
    <row r="4031" spans="1:6" x14ac:dyDescent="0.15">
      <c r="A4031" s="2">
        <v>46089</v>
      </c>
      <c r="B4031" s="1" t="s">
        <v>7606</v>
      </c>
      <c r="C4031" s="1" t="s">
        <v>7607</v>
      </c>
      <c r="D4031" t="b">
        <f ca="1">IF(A4031="","",[1]!s_techanal_rcnthigh(B4031,$B$2,1,3))</f>
        <v>0</v>
      </c>
      <c r="E4031">
        <f ca="1">IF(A4031="","",COUNTIF(D$6:D4031,"True"))</f>
        <v>36</v>
      </c>
      <c r="F4031" t="str">
        <f t="shared" si="62"/>
        <v>603193.SH</v>
      </c>
    </row>
    <row r="4032" spans="1:6" x14ac:dyDescent="0.15">
      <c r="A4032" s="2">
        <v>46089</v>
      </c>
      <c r="B4032" s="1" t="s">
        <v>10482</v>
      </c>
      <c r="C4032" s="1" t="s">
        <v>10483</v>
      </c>
      <c r="D4032" t="b">
        <f ca="1">IF(A4032="","",[1]!s_techanal_rcnthigh(B4032,$B$2,1,3))</f>
        <v>0</v>
      </c>
      <c r="E4032">
        <f ca="1">IF(A4032="","",COUNTIF(D$6:D4032,"True"))</f>
        <v>36</v>
      </c>
      <c r="F4032" t="str">
        <f t="shared" si="62"/>
        <v>603194.SH</v>
      </c>
    </row>
    <row r="4033" spans="1:6" x14ac:dyDescent="0.15">
      <c r="A4033" s="2">
        <v>46089</v>
      </c>
      <c r="B4033" s="1" t="s">
        <v>7608</v>
      </c>
      <c r="C4033" s="1" t="s">
        <v>7609</v>
      </c>
      <c r="D4033" t="b">
        <f ca="1">IF(A4033="","",[1]!s_techanal_rcnthigh(B4033,$B$2,1,3))</f>
        <v>0</v>
      </c>
      <c r="E4033">
        <f ca="1">IF(A4033="","",COUNTIF(D$6:D4033,"True"))</f>
        <v>36</v>
      </c>
      <c r="F4033" t="str">
        <f t="shared" si="62"/>
        <v>603195.SH</v>
      </c>
    </row>
    <row r="4034" spans="1:6" x14ac:dyDescent="0.15">
      <c r="A4034" s="2">
        <v>46089</v>
      </c>
      <c r="B4034" s="1" t="s">
        <v>7610</v>
      </c>
      <c r="C4034" s="1" t="s">
        <v>7611</v>
      </c>
      <c r="D4034" t="b">
        <f ca="1">IF(A4034="","",[1]!s_techanal_rcnthigh(B4034,$B$2,1,3))</f>
        <v>0</v>
      </c>
      <c r="E4034">
        <f ca="1">IF(A4034="","",COUNTIF(D$6:D4034,"True"))</f>
        <v>36</v>
      </c>
      <c r="F4034" t="str">
        <f t="shared" si="62"/>
        <v>603196.SH</v>
      </c>
    </row>
    <row r="4035" spans="1:6" x14ac:dyDescent="0.15">
      <c r="A4035" s="2">
        <v>46089</v>
      </c>
      <c r="B4035" s="1" t="s">
        <v>7612</v>
      </c>
      <c r="C4035" s="1" t="s">
        <v>7613</v>
      </c>
      <c r="D4035" t="b">
        <f ca="1">IF(A4035="","",[1]!s_techanal_rcnthigh(B4035,$B$2,1,3))</f>
        <v>0</v>
      </c>
      <c r="E4035">
        <f ca="1">IF(A4035="","",COUNTIF(D$6:D4035,"True"))</f>
        <v>36</v>
      </c>
      <c r="F4035" t="str">
        <f t="shared" si="62"/>
        <v>603197.SH</v>
      </c>
    </row>
    <row r="4036" spans="1:6" x14ac:dyDescent="0.15">
      <c r="A4036" s="2">
        <v>46089</v>
      </c>
      <c r="B4036" s="1" t="s">
        <v>7614</v>
      </c>
      <c r="C4036" s="1" t="s">
        <v>7615</v>
      </c>
      <c r="D4036" t="b">
        <f ca="1">IF(A4036="","",[1]!s_techanal_rcnthigh(B4036,$B$2,1,3))</f>
        <v>0</v>
      </c>
      <c r="E4036">
        <f ca="1">IF(A4036="","",COUNTIF(D$6:D4036,"True"))</f>
        <v>36</v>
      </c>
      <c r="F4036" t="str">
        <f t="shared" si="62"/>
        <v>603198.SH</v>
      </c>
    </row>
    <row r="4037" spans="1:6" x14ac:dyDescent="0.15">
      <c r="A4037" s="2">
        <v>46089</v>
      </c>
      <c r="B4037" s="1" t="s">
        <v>7616</v>
      </c>
      <c r="C4037" s="1" t="s">
        <v>7617</v>
      </c>
      <c r="D4037" t="b">
        <f ca="1">IF(A4037="","",[1]!s_techanal_rcnthigh(B4037,$B$2,1,3))</f>
        <v>0</v>
      </c>
      <c r="E4037">
        <f ca="1">IF(A4037="","",COUNTIF(D$6:D4037,"True"))</f>
        <v>36</v>
      </c>
      <c r="F4037" t="str">
        <f t="shared" si="62"/>
        <v>603199.SH</v>
      </c>
    </row>
    <row r="4038" spans="1:6" x14ac:dyDescent="0.15">
      <c r="A4038" s="2">
        <v>46089</v>
      </c>
      <c r="B4038" s="1" t="s">
        <v>7618</v>
      </c>
      <c r="C4038" s="1" t="s">
        <v>7619</v>
      </c>
      <c r="D4038" t="b">
        <f ca="1">IF(A4038="","",[1]!s_techanal_rcnthigh(B4038,$B$2,1,3))</f>
        <v>0</v>
      </c>
      <c r="E4038">
        <f ca="1">IF(A4038="","",COUNTIF(D$6:D4038,"True"))</f>
        <v>36</v>
      </c>
      <c r="F4038" t="str">
        <f t="shared" ref="F4038:F4101" si="63">IF(B4038="","",B4038)</f>
        <v>603200.SH</v>
      </c>
    </row>
    <row r="4039" spans="1:6" x14ac:dyDescent="0.15">
      <c r="A4039" s="2">
        <v>46089</v>
      </c>
      <c r="B4039" s="1" t="s">
        <v>7620</v>
      </c>
      <c r="C4039" s="1" t="s">
        <v>7621</v>
      </c>
      <c r="D4039" t="b">
        <f ca="1">IF(A4039="","",[1]!s_techanal_rcnthigh(B4039,$B$2,1,3))</f>
        <v>0</v>
      </c>
      <c r="E4039">
        <f ca="1">IF(A4039="","",COUNTIF(D$6:D4039,"True"))</f>
        <v>36</v>
      </c>
      <c r="F4039" t="str">
        <f t="shared" si="63"/>
        <v>603201.SH</v>
      </c>
    </row>
    <row r="4040" spans="1:6" x14ac:dyDescent="0.15">
      <c r="A4040" s="2">
        <v>46089</v>
      </c>
      <c r="B4040" s="1" t="s">
        <v>10484</v>
      </c>
      <c r="C4040" s="1" t="s">
        <v>10485</v>
      </c>
      <c r="D4040" t="b">
        <f ca="1">IF(A4040="","",[1]!s_techanal_rcnthigh(B4040,$B$2,1,3))</f>
        <v>0</v>
      </c>
      <c r="E4040">
        <f ca="1">IF(A4040="","",COUNTIF(D$6:D4040,"True"))</f>
        <v>36</v>
      </c>
      <c r="F4040" t="str">
        <f t="shared" si="63"/>
        <v>603202.SH</v>
      </c>
    </row>
    <row r="4041" spans="1:6" x14ac:dyDescent="0.15">
      <c r="A4041" s="2">
        <v>46089</v>
      </c>
      <c r="B4041" s="1" t="s">
        <v>7622</v>
      </c>
      <c r="C4041" s="1" t="s">
        <v>7623</v>
      </c>
      <c r="D4041" t="b">
        <f ca="1">IF(A4041="","",[1]!s_techanal_rcnthigh(B4041,$B$2,1,3))</f>
        <v>0</v>
      </c>
      <c r="E4041">
        <f ca="1">IF(A4041="","",COUNTIF(D$6:D4041,"True"))</f>
        <v>36</v>
      </c>
      <c r="F4041" t="str">
        <f t="shared" si="63"/>
        <v>603203.SH</v>
      </c>
    </row>
    <row r="4042" spans="1:6" x14ac:dyDescent="0.15">
      <c r="A4042" s="2">
        <v>46089</v>
      </c>
      <c r="B4042" s="1" t="s">
        <v>10486</v>
      </c>
      <c r="C4042" s="1" t="s">
        <v>10487</v>
      </c>
      <c r="D4042" t="b">
        <f ca="1">IF(A4042="","",[1]!s_techanal_rcnthigh(B4042,$B$2,1,3))</f>
        <v>0</v>
      </c>
      <c r="E4042">
        <f ca="1">IF(A4042="","",COUNTIF(D$6:D4042,"True"))</f>
        <v>36</v>
      </c>
      <c r="F4042" t="str">
        <f t="shared" si="63"/>
        <v>603205.SH</v>
      </c>
    </row>
    <row r="4043" spans="1:6" x14ac:dyDescent="0.15">
      <c r="A4043" s="2">
        <v>46089</v>
      </c>
      <c r="B4043" s="1" t="s">
        <v>7624</v>
      </c>
      <c r="C4043" s="1" t="s">
        <v>7625</v>
      </c>
      <c r="D4043" t="b">
        <f ca="1">IF(A4043="","",[1]!s_techanal_rcnthigh(B4043,$B$2,1,3))</f>
        <v>0</v>
      </c>
      <c r="E4043">
        <f ca="1">IF(A4043="","",COUNTIF(D$6:D4043,"True"))</f>
        <v>36</v>
      </c>
      <c r="F4043" t="str">
        <f t="shared" si="63"/>
        <v>603206.SH</v>
      </c>
    </row>
    <row r="4044" spans="1:6" x14ac:dyDescent="0.15">
      <c r="A4044" s="2">
        <v>46089</v>
      </c>
      <c r="B4044" s="1" t="s">
        <v>10488</v>
      </c>
      <c r="C4044" s="1" t="s">
        <v>10489</v>
      </c>
      <c r="D4044" t="b">
        <f ca="1">IF(A4044="","",[1]!s_techanal_rcnthigh(B4044,$B$2,1,3))</f>
        <v>0</v>
      </c>
      <c r="E4044">
        <f ca="1">IF(A4044="","",COUNTIF(D$6:D4044,"True"))</f>
        <v>36</v>
      </c>
      <c r="F4044" t="str">
        <f t="shared" si="63"/>
        <v>603207.SH</v>
      </c>
    </row>
    <row r="4045" spans="1:6" x14ac:dyDescent="0.15">
      <c r="A4045" s="2">
        <v>46089</v>
      </c>
      <c r="B4045" s="1" t="s">
        <v>7626</v>
      </c>
      <c r="C4045" s="1" t="s">
        <v>7627</v>
      </c>
      <c r="D4045" t="b">
        <f ca="1">IF(A4045="","",[1]!s_techanal_rcnthigh(B4045,$B$2,1,3))</f>
        <v>0</v>
      </c>
      <c r="E4045">
        <f ca="1">IF(A4045="","",COUNTIF(D$6:D4045,"True"))</f>
        <v>36</v>
      </c>
      <c r="F4045" t="str">
        <f t="shared" si="63"/>
        <v>603208.SH</v>
      </c>
    </row>
    <row r="4046" spans="1:6" x14ac:dyDescent="0.15">
      <c r="A4046" s="2">
        <v>46089</v>
      </c>
      <c r="B4046" s="1" t="s">
        <v>7628</v>
      </c>
      <c r="C4046" s="1" t="s">
        <v>7629</v>
      </c>
      <c r="D4046" t="b">
        <f ca="1">IF(A4046="","",[1]!s_techanal_rcnthigh(B4046,$B$2,1,3))</f>
        <v>0</v>
      </c>
      <c r="E4046">
        <f ca="1">IF(A4046="","",COUNTIF(D$6:D4046,"True"))</f>
        <v>36</v>
      </c>
      <c r="F4046" t="str">
        <f t="shared" si="63"/>
        <v>603209.SH</v>
      </c>
    </row>
    <row r="4047" spans="1:6" x14ac:dyDescent="0.15">
      <c r="A4047" s="2">
        <v>46089</v>
      </c>
      <c r="B4047" s="1" t="s">
        <v>10490</v>
      </c>
      <c r="C4047" s="1" t="s">
        <v>10491</v>
      </c>
      <c r="D4047" t="b">
        <f ca="1">IF(A4047="","",[1]!s_techanal_rcnthigh(B4047,$B$2,1,3))</f>
        <v>0</v>
      </c>
      <c r="E4047">
        <f ca="1">IF(A4047="","",COUNTIF(D$6:D4047,"True"))</f>
        <v>36</v>
      </c>
      <c r="F4047" t="str">
        <f t="shared" si="63"/>
        <v>603210.SH</v>
      </c>
    </row>
    <row r="4048" spans="1:6" x14ac:dyDescent="0.15">
      <c r="A4048" s="2">
        <v>46089</v>
      </c>
      <c r="B4048" s="1" t="s">
        <v>7630</v>
      </c>
      <c r="C4048" s="1" t="s">
        <v>7631</v>
      </c>
      <c r="D4048" t="b">
        <f ca="1">IF(A4048="","",[1]!s_techanal_rcnthigh(B4048,$B$2,1,3))</f>
        <v>0</v>
      </c>
      <c r="E4048">
        <f ca="1">IF(A4048="","",COUNTIF(D$6:D4048,"True"))</f>
        <v>36</v>
      </c>
      <c r="F4048" t="str">
        <f t="shared" si="63"/>
        <v>603211.SH</v>
      </c>
    </row>
    <row r="4049" spans="1:6" x14ac:dyDescent="0.15">
      <c r="A4049" s="2">
        <v>46089</v>
      </c>
      <c r="B4049" s="1" t="s">
        <v>7632</v>
      </c>
      <c r="C4049" s="1" t="s">
        <v>7633</v>
      </c>
      <c r="D4049" t="b">
        <f ca="1">IF(A4049="","",[1]!s_techanal_rcnthigh(B4049,$B$2,1,3))</f>
        <v>0</v>
      </c>
      <c r="E4049">
        <f ca="1">IF(A4049="","",COUNTIF(D$6:D4049,"True"))</f>
        <v>36</v>
      </c>
      <c r="F4049" t="str">
        <f t="shared" si="63"/>
        <v>603212.SH</v>
      </c>
    </row>
    <row r="4050" spans="1:6" x14ac:dyDescent="0.15">
      <c r="A4050" s="2">
        <v>46089</v>
      </c>
      <c r="B4050" s="1" t="s">
        <v>7634</v>
      </c>
      <c r="C4050" s="1" t="s">
        <v>7635</v>
      </c>
      <c r="D4050" t="b">
        <f ca="1">IF(A4050="","",[1]!s_techanal_rcnthigh(B4050,$B$2,1,3))</f>
        <v>0</v>
      </c>
      <c r="E4050">
        <f ca="1">IF(A4050="","",COUNTIF(D$6:D4050,"True"))</f>
        <v>36</v>
      </c>
      <c r="F4050" t="str">
        <f t="shared" si="63"/>
        <v>603213.SH</v>
      </c>
    </row>
    <row r="4051" spans="1:6" x14ac:dyDescent="0.15">
      <c r="A4051" s="2">
        <v>46089</v>
      </c>
      <c r="B4051" s="1" t="s">
        <v>7636</v>
      </c>
      <c r="C4051" s="1" t="s">
        <v>7637</v>
      </c>
      <c r="D4051" t="b">
        <f ca="1">IF(A4051="","",[1]!s_techanal_rcnthigh(B4051,$B$2,1,3))</f>
        <v>0</v>
      </c>
      <c r="E4051">
        <f ca="1">IF(A4051="","",COUNTIF(D$6:D4051,"True"))</f>
        <v>36</v>
      </c>
      <c r="F4051" t="str">
        <f t="shared" si="63"/>
        <v>603214.SH</v>
      </c>
    </row>
    <row r="4052" spans="1:6" x14ac:dyDescent="0.15">
      <c r="A4052" s="2">
        <v>46089</v>
      </c>
      <c r="B4052" s="1" t="s">
        <v>7638</v>
      </c>
      <c r="C4052" s="1" t="s">
        <v>7639</v>
      </c>
      <c r="D4052" t="b">
        <f ca="1">IF(A4052="","",[1]!s_techanal_rcnthigh(B4052,$B$2,1,3))</f>
        <v>0</v>
      </c>
      <c r="E4052">
        <f ca="1">IF(A4052="","",COUNTIF(D$6:D4052,"True"))</f>
        <v>36</v>
      </c>
      <c r="F4052" t="str">
        <f t="shared" si="63"/>
        <v>603215.SH</v>
      </c>
    </row>
    <row r="4053" spans="1:6" x14ac:dyDescent="0.15">
      <c r="A4053" s="2">
        <v>46089</v>
      </c>
      <c r="B4053" s="1" t="s">
        <v>7640</v>
      </c>
      <c r="C4053" s="1" t="s">
        <v>7641</v>
      </c>
      <c r="D4053" t="b">
        <f ca="1">IF(A4053="","",[1]!s_techanal_rcnthigh(B4053,$B$2,1,3))</f>
        <v>0</v>
      </c>
      <c r="E4053">
        <f ca="1">IF(A4053="","",COUNTIF(D$6:D4053,"True"))</f>
        <v>36</v>
      </c>
      <c r="F4053" t="str">
        <f t="shared" si="63"/>
        <v>603216.SH</v>
      </c>
    </row>
    <row r="4054" spans="1:6" x14ac:dyDescent="0.15">
      <c r="A4054" s="2">
        <v>46089</v>
      </c>
      <c r="B4054" s="1" t="s">
        <v>7642</v>
      </c>
      <c r="C4054" s="1" t="s">
        <v>7643</v>
      </c>
      <c r="D4054" t="b">
        <f ca="1">IF(A4054="","",[1]!s_techanal_rcnthigh(B4054,$B$2,1,3))</f>
        <v>0</v>
      </c>
      <c r="E4054">
        <f ca="1">IF(A4054="","",COUNTIF(D$6:D4054,"True"))</f>
        <v>36</v>
      </c>
      <c r="F4054" t="str">
        <f t="shared" si="63"/>
        <v>603217.SH</v>
      </c>
    </row>
    <row r="4055" spans="1:6" x14ac:dyDescent="0.15">
      <c r="A4055" s="2">
        <v>46089</v>
      </c>
      <c r="B4055" s="1" t="s">
        <v>7644</v>
      </c>
      <c r="C4055" s="1" t="s">
        <v>7645</v>
      </c>
      <c r="D4055" t="b">
        <f ca="1">IF(A4055="","",[1]!s_techanal_rcnthigh(B4055,$B$2,1,3))</f>
        <v>0</v>
      </c>
      <c r="E4055">
        <f ca="1">IF(A4055="","",COUNTIF(D$6:D4055,"True"))</f>
        <v>36</v>
      </c>
      <c r="F4055" t="str">
        <f t="shared" si="63"/>
        <v>603218.SH</v>
      </c>
    </row>
    <row r="4056" spans="1:6" x14ac:dyDescent="0.15">
      <c r="A4056" s="2">
        <v>46089</v>
      </c>
      <c r="B4056" s="1" t="s">
        <v>7646</v>
      </c>
      <c r="C4056" s="1" t="s">
        <v>7647</v>
      </c>
      <c r="D4056" t="b">
        <f ca="1">IF(A4056="","",[1]!s_techanal_rcnthigh(B4056,$B$2,1,3))</f>
        <v>0</v>
      </c>
      <c r="E4056">
        <f ca="1">IF(A4056="","",COUNTIF(D$6:D4056,"True"))</f>
        <v>36</v>
      </c>
      <c r="F4056" t="str">
        <f t="shared" si="63"/>
        <v>603219.SH</v>
      </c>
    </row>
    <row r="4057" spans="1:6" x14ac:dyDescent="0.15">
      <c r="A4057" s="2">
        <v>46089</v>
      </c>
      <c r="B4057" s="1" t="s">
        <v>7648</v>
      </c>
      <c r="C4057" s="1" t="s">
        <v>7649</v>
      </c>
      <c r="D4057" t="b">
        <f ca="1">IF(A4057="","",[1]!s_techanal_rcnthigh(B4057,$B$2,1,3))</f>
        <v>0</v>
      </c>
      <c r="E4057">
        <f ca="1">IF(A4057="","",COUNTIF(D$6:D4057,"True"))</f>
        <v>36</v>
      </c>
      <c r="F4057" t="str">
        <f t="shared" si="63"/>
        <v>603220.SH</v>
      </c>
    </row>
    <row r="4058" spans="1:6" x14ac:dyDescent="0.15">
      <c r="A4058" s="2">
        <v>46089</v>
      </c>
      <c r="B4058" s="1" t="s">
        <v>7650</v>
      </c>
      <c r="C4058" s="1" t="s">
        <v>7651</v>
      </c>
      <c r="D4058" t="b">
        <f ca="1">IF(A4058="","",[1]!s_techanal_rcnthigh(B4058,$B$2,1,3))</f>
        <v>0</v>
      </c>
      <c r="E4058">
        <f ca="1">IF(A4058="","",COUNTIF(D$6:D4058,"True"))</f>
        <v>36</v>
      </c>
      <c r="F4058" t="str">
        <f t="shared" si="63"/>
        <v>603221.SH</v>
      </c>
    </row>
    <row r="4059" spans="1:6" x14ac:dyDescent="0.15">
      <c r="A4059" s="2">
        <v>46089</v>
      </c>
      <c r="B4059" s="1" t="s">
        <v>7652</v>
      </c>
      <c r="C4059" s="1" t="s">
        <v>10492</v>
      </c>
      <c r="D4059" t="b">
        <f ca="1">IF(A4059="","",[1]!s_techanal_rcnthigh(B4059,$B$2,1,3))</f>
        <v>0</v>
      </c>
      <c r="E4059">
        <f ca="1">IF(A4059="","",COUNTIF(D$6:D4059,"True"))</f>
        <v>36</v>
      </c>
      <c r="F4059" t="str">
        <f t="shared" si="63"/>
        <v>603222.SH</v>
      </c>
    </row>
    <row r="4060" spans="1:6" x14ac:dyDescent="0.15">
      <c r="A4060" s="2">
        <v>46089</v>
      </c>
      <c r="B4060" s="1" t="s">
        <v>7653</v>
      </c>
      <c r="C4060" s="1" t="s">
        <v>7654</v>
      </c>
      <c r="D4060" t="b">
        <f ca="1">IF(A4060="","",[1]!s_techanal_rcnthigh(B4060,$B$2,1,3))</f>
        <v>0</v>
      </c>
      <c r="E4060">
        <f ca="1">IF(A4060="","",COUNTIF(D$6:D4060,"True"))</f>
        <v>36</v>
      </c>
      <c r="F4060" t="str">
        <f t="shared" si="63"/>
        <v>603223.SH</v>
      </c>
    </row>
    <row r="4061" spans="1:6" x14ac:dyDescent="0.15">
      <c r="A4061" s="2">
        <v>46089</v>
      </c>
      <c r="B4061" s="1" t="s">
        <v>7655</v>
      </c>
      <c r="C4061" s="1" t="s">
        <v>7656</v>
      </c>
      <c r="D4061" t="b">
        <f ca="1">IF(A4061="","",[1]!s_techanal_rcnthigh(B4061,$B$2,1,3))</f>
        <v>0</v>
      </c>
      <c r="E4061">
        <f ca="1">IF(A4061="","",COUNTIF(D$6:D4061,"True"))</f>
        <v>36</v>
      </c>
      <c r="F4061" t="str">
        <f t="shared" si="63"/>
        <v>603225.SH</v>
      </c>
    </row>
    <row r="4062" spans="1:6" x14ac:dyDescent="0.15">
      <c r="A4062" s="2">
        <v>46089</v>
      </c>
      <c r="B4062" s="1" t="s">
        <v>7657</v>
      </c>
      <c r="C4062" s="1" t="s">
        <v>7658</v>
      </c>
      <c r="D4062" t="b">
        <f ca="1">IF(A4062="","",[1]!s_techanal_rcnthigh(B4062,$B$2,1,3))</f>
        <v>0</v>
      </c>
      <c r="E4062">
        <f ca="1">IF(A4062="","",COUNTIF(D$6:D4062,"True"))</f>
        <v>36</v>
      </c>
      <c r="F4062" t="str">
        <f t="shared" si="63"/>
        <v>603226.SH</v>
      </c>
    </row>
    <row r="4063" spans="1:6" x14ac:dyDescent="0.15">
      <c r="A4063" s="2">
        <v>46089</v>
      </c>
      <c r="B4063" s="1" t="s">
        <v>7659</v>
      </c>
      <c r="C4063" s="1" t="s">
        <v>7660</v>
      </c>
      <c r="D4063" t="b">
        <f ca="1">IF(A4063="","",[1]!s_techanal_rcnthigh(B4063,$B$2,1,3))</f>
        <v>0</v>
      </c>
      <c r="E4063">
        <f ca="1">IF(A4063="","",COUNTIF(D$6:D4063,"True"))</f>
        <v>36</v>
      </c>
      <c r="F4063" t="str">
        <f t="shared" si="63"/>
        <v>603227.SH</v>
      </c>
    </row>
    <row r="4064" spans="1:6" x14ac:dyDescent="0.15">
      <c r="A4064" s="2">
        <v>46089</v>
      </c>
      <c r="B4064" s="1" t="s">
        <v>7661</v>
      </c>
      <c r="C4064" s="1" t="s">
        <v>7662</v>
      </c>
      <c r="D4064" t="b">
        <f ca="1">IF(A4064="","",[1]!s_techanal_rcnthigh(B4064,$B$2,1,3))</f>
        <v>0</v>
      </c>
      <c r="E4064">
        <f ca="1">IF(A4064="","",COUNTIF(D$6:D4064,"True"))</f>
        <v>36</v>
      </c>
      <c r="F4064" t="str">
        <f t="shared" si="63"/>
        <v>603228.SH</v>
      </c>
    </row>
    <row r="4065" spans="1:6" x14ac:dyDescent="0.15">
      <c r="A4065" s="2">
        <v>46089</v>
      </c>
      <c r="B4065" s="1" t="s">
        <v>7663</v>
      </c>
      <c r="C4065" s="1" t="s">
        <v>7664</v>
      </c>
      <c r="D4065" t="b">
        <f ca="1">IF(A4065="","",[1]!s_techanal_rcnthigh(B4065,$B$2,1,3))</f>
        <v>0</v>
      </c>
      <c r="E4065">
        <f ca="1">IF(A4065="","",COUNTIF(D$6:D4065,"True"))</f>
        <v>36</v>
      </c>
      <c r="F4065" t="str">
        <f t="shared" si="63"/>
        <v>603229.SH</v>
      </c>
    </row>
    <row r="4066" spans="1:6" x14ac:dyDescent="0.15">
      <c r="A4066" s="2">
        <v>46089</v>
      </c>
      <c r="B4066" s="1" t="s">
        <v>7665</v>
      </c>
      <c r="C4066" s="1" t="s">
        <v>7666</v>
      </c>
      <c r="D4066" t="b">
        <f ca="1">IF(A4066="","",[1]!s_techanal_rcnthigh(B4066,$B$2,1,3))</f>
        <v>0</v>
      </c>
      <c r="E4066">
        <f ca="1">IF(A4066="","",COUNTIF(D$6:D4066,"True"))</f>
        <v>36</v>
      </c>
      <c r="F4066" t="str">
        <f t="shared" si="63"/>
        <v>603230.SH</v>
      </c>
    </row>
    <row r="4067" spans="1:6" x14ac:dyDescent="0.15">
      <c r="A4067" s="2">
        <v>46089</v>
      </c>
      <c r="B4067" s="1" t="s">
        <v>7667</v>
      </c>
      <c r="C4067" s="1" t="s">
        <v>7668</v>
      </c>
      <c r="D4067" t="b">
        <f ca="1">IF(A4067="","",[1]!s_techanal_rcnthigh(B4067,$B$2,1,3))</f>
        <v>0</v>
      </c>
      <c r="E4067">
        <f ca="1">IF(A4067="","",COUNTIF(D$6:D4067,"True"))</f>
        <v>36</v>
      </c>
      <c r="F4067" t="str">
        <f t="shared" si="63"/>
        <v>603231.SH</v>
      </c>
    </row>
    <row r="4068" spans="1:6" x14ac:dyDescent="0.15">
      <c r="A4068" s="2">
        <v>46089</v>
      </c>
      <c r="B4068" s="1" t="s">
        <v>7669</v>
      </c>
      <c r="C4068" s="1" t="s">
        <v>7670</v>
      </c>
      <c r="D4068" t="b">
        <f ca="1">IF(A4068="","",[1]!s_techanal_rcnthigh(B4068,$B$2,1,3))</f>
        <v>0</v>
      </c>
      <c r="E4068">
        <f ca="1">IF(A4068="","",COUNTIF(D$6:D4068,"True"))</f>
        <v>36</v>
      </c>
      <c r="F4068" t="str">
        <f t="shared" si="63"/>
        <v>603232.SH</v>
      </c>
    </row>
    <row r="4069" spans="1:6" x14ac:dyDescent="0.15">
      <c r="A4069" s="2">
        <v>46089</v>
      </c>
      <c r="B4069" s="1" t="s">
        <v>7671</v>
      </c>
      <c r="C4069" s="1" t="s">
        <v>7672</v>
      </c>
      <c r="D4069" t="b">
        <f ca="1">IF(A4069="","",[1]!s_techanal_rcnthigh(B4069,$B$2,1,3))</f>
        <v>0</v>
      </c>
      <c r="E4069">
        <f ca="1">IF(A4069="","",COUNTIF(D$6:D4069,"True"))</f>
        <v>36</v>
      </c>
      <c r="F4069" t="str">
        <f t="shared" si="63"/>
        <v>603233.SH</v>
      </c>
    </row>
    <row r="4070" spans="1:6" x14ac:dyDescent="0.15">
      <c r="A4070" s="2">
        <v>46089</v>
      </c>
      <c r="B4070" s="1" t="s">
        <v>7673</v>
      </c>
      <c r="C4070" s="1" t="s">
        <v>7674</v>
      </c>
      <c r="D4070" t="b">
        <f ca="1">IF(A4070="","",[1]!s_techanal_rcnthigh(B4070,$B$2,1,3))</f>
        <v>0</v>
      </c>
      <c r="E4070">
        <f ca="1">IF(A4070="","",COUNTIF(D$6:D4070,"True"))</f>
        <v>36</v>
      </c>
      <c r="F4070" t="str">
        <f t="shared" si="63"/>
        <v>603235.SH</v>
      </c>
    </row>
    <row r="4071" spans="1:6" x14ac:dyDescent="0.15">
      <c r="A4071" s="2">
        <v>46089</v>
      </c>
      <c r="B4071" s="1" t="s">
        <v>7675</v>
      </c>
      <c r="C4071" s="1" t="s">
        <v>7676</v>
      </c>
      <c r="D4071" t="b">
        <f ca="1">IF(A4071="","",[1]!s_techanal_rcnthigh(B4071,$B$2,1,3))</f>
        <v>0</v>
      </c>
      <c r="E4071">
        <f ca="1">IF(A4071="","",COUNTIF(D$6:D4071,"True"))</f>
        <v>36</v>
      </c>
      <c r="F4071" t="str">
        <f t="shared" si="63"/>
        <v>603236.SH</v>
      </c>
    </row>
    <row r="4072" spans="1:6" x14ac:dyDescent="0.15">
      <c r="A4072" s="2">
        <v>46089</v>
      </c>
      <c r="B4072" s="1" t="s">
        <v>7677</v>
      </c>
      <c r="C4072" s="1" t="s">
        <v>7678</v>
      </c>
      <c r="D4072" t="b">
        <f ca="1">IF(A4072="","",[1]!s_techanal_rcnthigh(B4072,$B$2,1,3))</f>
        <v>0</v>
      </c>
      <c r="E4072">
        <f ca="1">IF(A4072="","",COUNTIF(D$6:D4072,"True"))</f>
        <v>36</v>
      </c>
      <c r="F4072" t="str">
        <f t="shared" si="63"/>
        <v>603237.SH</v>
      </c>
    </row>
    <row r="4073" spans="1:6" x14ac:dyDescent="0.15">
      <c r="A4073" s="2">
        <v>46089</v>
      </c>
      <c r="B4073" s="1" t="s">
        <v>7679</v>
      </c>
      <c r="C4073" s="1" t="s">
        <v>7680</v>
      </c>
      <c r="D4073" t="b">
        <f ca="1">IF(A4073="","",[1]!s_techanal_rcnthigh(B4073,$B$2,1,3))</f>
        <v>0</v>
      </c>
      <c r="E4073">
        <f ca="1">IF(A4073="","",COUNTIF(D$6:D4073,"True"))</f>
        <v>36</v>
      </c>
      <c r="F4073" t="str">
        <f t="shared" si="63"/>
        <v>603238.SH</v>
      </c>
    </row>
    <row r="4074" spans="1:6" x14ac:dyDescent="0.15">
      <c r="A4074" s="2">
        <v>46089</v>
      </c>
      <c r="B4074" s="1" t="s">
        <v>7681</v>
      </c>
      <c r="C4074" s="1" t="s">
        <v>7682</v>
      </c>
      <c r="D4074" t="b">
        <f ca="1">IF(A4074="","",[1]!s_techanal_rcnthigh(B4074,$B$2,1,3))</f>
        <v>0</v>
      </c>
      <c r="E4074">
        <f ca="1">IF(A4074="","",COUNTIF(D$6:D4074,"True"))</f>
        <v>36</v>
      </c>
      <c r="F4074" t="str">
        <f t="shared" si="63"/>
        <v>603239.SH</v>
      </c>
    </row>
    <row r="4075" spans="1:6" x14ac:dyDescent="0.15">
      <c r="A4075" s="2">
        <v>46089</v>
      </c>
      <c r="B4075" s="1" t="s">
        <v>10493</v>
      </c>
      <c r="C4075" s="1" t="s">
        <v>10494</v>
      </c>
      <c r="D4075" t="b">
        <f ca="1">IF(A4075="","",[1]!s_techanal_rcnthigh(B4075,$B$2,1,3))</f>
        <v>0</v>
      </c>
      <c r="E4075">
        <f ca="1">IF(A4075="","",COUNTIF(D$6:D4075,"True"))</f>
        <v>36</v>
      </c>
      <c r="F4075" t="str">
        <f t="shared" si="63"/>
        <v>603248.SH</v>
      </c>
    </row>
    <row r="4076" spans="1:6" x14ac:dyDescent="0.15">
      <c r="A4076" s="2">
        <v>46089</v>
      </c>
      <c r="B4076" s="1" t="s">
        <v>7683</v>
      </c>
      <c r="C4076" s="1" t="s">
        <v>7684</v>
      </c>
      <c r="D4076" t="b">
        <f ca="1">IF(A4076="","",[1]!s_techanal_rcnthigh(B4076,$B$2,1,3))</f>
        <v>0</v>
      </c>
      <c r="E4076">
        <f ca="1">IF(A4076="","",COUNTIF(D$6:D4076,"True"))</f>
        <v>36</v>
      </c>
      <c r="F4076" t="str">
        <f t="shared" si="63"/>
        <v>603255.SH</v>
      </c>
    </row>
    <row r="4077" spans="1:6" x14ac:dyDescent="0.15">
      <c r="A4077" s="2">
        <v>46089</v>
      </c>
      <c r="B4077" s="1" t="s">
        <v>7685</v>
      </c>
      <c r="C4077" s="1" t="s">
        <v>7686</v>
      </c>
      <c r="D4077" t="b">
        <f ca="1">IF(A4077="","",[1]!s_techanal_rcnthigh(B4077,$B$2,1,3))</f>
        <v>0</v>
      </c>
      <c r="E4077">
        <f ca="1">IF(A4077="","",COUNTIF(D$6:D4077,"True"))</f>
        <v>36</v>
      </c>
      <c r="F4077" t="str">
        <f t="shared" si="63"/>
        <v>603256.SH</v>
      </c>
    </row>
    <row r="4078" spans="1:6" x14ac:dyDescent="0.15">
      <c r="A4078" s="2">
        <v>46089</v>
      </c>
      <c r="B4078" s="1" t="s">
        <v>10495</v>
      </c>
      <c r="C4078" s="1" t="s">
        <v>10496</v>
      </c>
      <c r="D4078" t="b">
        <f ca="1">IF(A4078="","",[1]!s_techanal_rcnthigh(B4078,$B$2,1,3))</f>
        <v>0</v>
      </c>
      <c r="E4078">
        <f ca="1">IF(A4078="","",COUNTIF(D$6:D4078,"True"))</f>
        <v>36</v>
      </c>
      <c r="F4078" t="str">
        <f t="shared" si="63"/>
        <v>603257.SH</v>
      </c>
    </row>
    <row r="4079" spans="1:6" x14ac:dyDescent="0.15">
      <c r="A4079" s="2">
        <v>46089</v>
      </c>
      <c r="B4079" s="1" t="s">
        <v>7687</v>
      </c>
      <c r="C4079" s="1" t="s">
        <v>7688</v>
      </c>
      <c r="D4079" t="b">
        <f ca="1">IF(A4079="","",[1]!s_techanal_rcnthigh(B4079,$B$2,1,3))</f>
        <v>0</v>
      </c>
      <c r="E4079">
        <f ca="1">IF(A4079="","",COUNTIF(D$6:D4079,"True"))</f>
        <v>36</v>
      </c>
      <c r="F4079" t="str">
        <f t="shared" si="63"/>
        <v>603258.SH</v>
      </c>
    </row>
    <row r="4080" spans="1:6" x14ac:dyDescent="0.15">
      <c r="A4080" s="2">
        <v>46089</v>
      </c>
      <c r="B4080" s="1" t="s">
        <v>7689</v>
      </c>
      <c r="C4080" s="1" t="s">
        <v>7690</v>
      </c>
      <c r="D4080" t="b">
        <f ca="1">IF(A4080="","",[1]!s_techanal_rcnthigh(B4080,$B$2,1,3))</f>
        <v>0</v>
      </c>
      <c r="E4080">
        <f ca="1">IF(A4080="","",COUNTIF(D$6:D4080,"True"))</f>
        <v>36</v>
      </c>
      <c r="F4080" t="str">
        <f t="shared" si="63"/>
        <v>603259.SH</v>
      </c>
    </row>
    <row r="4081" spans="1:6" x14ac:dyDescent="0.15">
      <c r="A4081" s="2">
        <v>46089</v>
      </c>
      <c r="B4081" s="1" t="s">
        <v>7691</v>
      </c>
      <c r="C4081" s="1" t="s">
        <v>7692</v>
      </c>
      <c r="D4081" t="b">
        <f ca="1">IF(A4081="","",[1]!s_techanal_rcnthigh(B4081,$B$2,1,3))</f>
        <v>0</v>
      </c>
      <c r="E4081">
        <f ca="1">IF(A4081="","",COUNTIF(D$6:D4081,"True"))</f>
        <v>36</v>
      </c>
      <c r="F4081" t="str">
        <f t="shared" si="63"/>
        <v>603260.SH</v>
      </c>
    </row>
    <row r="4082" spans="1:6" x14ac:dyDescent="0.15">
      <c r="A4082" s="2">
        <v>46089</v>
      </c>
      <c r="B4082" s="1" t="s">
        <v>7693</v>
      </c>
      <c r="C4082" s="1" t="s">
        <v>10497</v>
      </c>
      <c r="D4082" t="b">
        <f ca="1">IF(A4082="","",[1]!s_techanal_rcnthigh(B4082,$B$2,1,3))</f>
        <v>0</v>
      </c>
      <c r="E4082">
        <f ca="1">IF(A4082="","",COUNTIF(D$6:D4082,"True"))</f>
        <v>36</v>
      </c>
      <c r="F4082" t="str">
        <f t="shared" si="63"/>
        <v>603261.SH</v>
      </c>
    </row>
    <row r="4083" spans="1:6" x14ac:dyDescent="0.15">
      <c r="A4083" s="2">
        <v>46089</v>
      </c>
      <c r="B4083" s="1" t="s">
        <v>10498</v>
      </c>
      <c r="C4083" s="1" t="s">
        <v>10499</v>
      </c>
      <c r="D4083" t="b">
        <f ca="1">IF(A4083="","",[1]!s_techanal_rcnthigh(B4083,$B$2,1,3))</f>
        <v>0</v>
      </c>
      <c r="E4083">
        <f ca="1">IF(A4083="","",COUNTIF(D$6:D4083,"True"))</f>
        <v>36</v>
      </c>
      <c r="F4083" t="str">
        <f t="shared" si="63"/>
        <v>603262.SH</v>
      </c>
    </row>
    <row r="4084" spans="1:6" x14ac:dyDescent="0.15">
      <c r="A4084" s="2">
        <v>46089</v>
      </c>
      <c r="B4084" s="1" t="s">
        <v>7694</v>
      </c>
      <c r="C4084" s="1" t="s">
        <v>7695</v>
      </c>
      <c r="D4084" t="b">
        <f ca="1">IF(A4084="","",[1]!s_techanal_rcnthigh(B4084,$B$2,1,3))</f>
        <v>0</v>
      </c>
      <c r="E4084">
        <f ca="1">IF(A4084="","",COUNTIF(D$6:D4084,"True"))</f>
        <v>36</v>
      </c>
      <c r="F4084" t="str">
        <f t="shared" si="63"/>
        <v>603266.SH</v>
      </c>
    </row>
    <row r="4085" spans="1:6" x14ac:dyDescent="0.15">
      <c r="A4085" s="2">
        <v>46089</v>
      </c>
      <c r="B4085" s="1" t="s">
        <v>7696</v>
      </c>
      <c r="C4085" s="1" t="s">
        <v>7697</v>
      </c>
      <c r="D4085" t="b">
        <f ca="1">IF(A4085="","",[1]!s_techanal_rcnthigh(B4085,$B$2,1,3))</f>
        <v>0</v>
      </c>
      <c r="E4085">
        <f ca="1">IF(A4085="","",COUNTIF(D$6:D4085,"True"))</f>
        <v>36</v>
      </c>
      <c r="F4085" t="str">
        <f t="shared" si="63"/>
        <v>603267.SH</v>
      </c>
    </row>
    <row r="4086" spans="1:6" x14ac:dyDescent="0.15">
      <c r="A4086" s="2">
        <v>46089</v>
      </c>
      <c r="B4086" s="1" t="s">
        <v>7698</v>
      </c>
      <c r="C4086" s="1" t="s">
        <v>10500</v>
      </c>
      <c r="D4086" t="b">
        <f ca="1">IF(A4086="","",[1]!s_techanal_rcnthigh(B4086,$B$2,1,3))</f>
        <v>1</v>
      </c>
      <c r="E4086">
        <f ca="1">IF(A4086="","",COUNTIF(D$6:D4086,"True"))</f>
        <v>37</v>
      </c>
      <c r="F4086" t="str">
        <f t="shared" si="63"/>
        <v>603268.SH</v>
      </c>
    </row>
    <row r="4087" spans="1:6" x14ac:dyDescent="0.15">
      <c r="A4087" s="2">
        <v>46089</v>
      </c>
      <c r="B4087" s="1" t="s">
        <v>7699</v>
      </c>
      <c r="C4087" s="1" t="s">
        <v>7700</v>
      </c>
      <c r="D4087" t="b">
        <f ca="1">IF(A4087="","",[1]!s_techanal_rcnthigh(B4087,$B$2,1,3))</f>
        <v>1</v>
      </c>
      <c r="E4087">
        <f ca="1">IF(A4087="","",COUNTIF(D$6:D4087,"True"))</f>
        <v>38</v>
      </c>
      <c r="F4087" t="str">
        <f t="shared" si="63"/>
        <v>603269.SH</v>
      </c>
    </row>
    <row r="4088" spans="1:6" x14ac:dyDescent="0.15">
      <c r="A4088" s="2">
        <v>46089</v>
      </c>
      <c r="B4088" s="1" t="s">
        <v>7701</v>
      </c>
      <c r="C4088" s="1" t="s">
        <v>7702</v>
      </c>
      <c r="D4088" t="b">
        <f ca="1">IF(A4088="","",[1]!s_techanal_rcnthigh(B4088,$B$2,1,3))</f>
        <v>0</v>
      </c>
      <c r="E4088">
        <f ca="1">IF(A4088="","",COUNTIF(D$6:D4088,"True"))</f>
        <v>38</v>
      </c>
      <c r="F4088" t="str">
        <f t="shared" si="63"/>
        <v>603270.SH</v>
      </c>
    </row>
    <row r="4089" spans="1:6" x14ac:dyDescent="0.15">
      <c r="A4089" s="2">
        <v>46089</v>
      </c>
      <c r="B4089" s="1" t="s">
        <v>10501</v>
      </c>
      <c r="C4089" s="1" t="s">
        <v>10502</v>
      </c>
      <c r="D4089" t="b">
        <f ca="1">IF(A4089="","",[1]!s_techanal_rcnthigh(B4089,$B$2,1,3))</f>
        <v>0</v>
      </c>
      <c r="E4089">
        <f ca="1">IF(A4089="","",COUNTIF(D$6:D4089,"True"))</f>
        <v>38</v>
      </c>
      <c r="F4089" t="str">
        <f t="shared" si="63"/>
        <v>603271.SH</v>
      </c>
    </row>
    <row r="4090" spans="1:6" x14ac:dyDescent="0.15">
      <c r="A4090" s="2">
        <v>46089</v>
      </c>
      <c r="B4090" s="1" t="s">
        <v>7703</v>
      </c>
      <c r="C4090" s="1" t="s">
        <v>7704</v>
      </c>
      <c r="D4090" t="b">
        <f ca="1">IF(A4090="","",[1]!s_techanal_rcnthigh(B4090,$B$2,1,3))</f>
        <v>0</v>
      </c>
      <c r="E4090">
        <f ca="1">IF(A4090="","",COUNTIF(D$6:D4090,"True"))</f>
        <v>38</v>
      </c>
      <c r="F4090" t="str">
        <f t="shared" si="63"/>
        <v>603272.SH</v>
      </c>
    </row>
    <row r="4091" spans="1:6" x14ac:dyDescent="0.15">
      <c r="A4091" s="2">
        <v>46089</v>
      </c>
      <c r="B4091" s="1" t="s">
        <v>7705</v>
      </c>
      <c r="C4091" s="1" t="s">
        <v>7706</v>
      </c>
      <c r="D4091" t="b">
        <f ca="1">IF(A4091="","",[1]!s_techanal_rcnthigh(B4091,$B$2,1,3))</f>
        <v>0</v>
      </c>
      <c r="E4091">
        <f ca="1">IF(A4091="","",COUNTIF(D$6:D4091,"True"))</f>
        <v>38</v>
      </c>
      <c r="F4091" t="str">
        <f t="shared" si="63"/>
        <v>603273.SH</v>
      </c>
    </row>
    <row r="4092" spans="1:6" x14ac:dyDescent="0.15">
      <c r="A4092" s="2">
        <v>46089</v>
      </c>
      <c r="B4092" s="1" t="s">
        <v>7707</v>
      </c>
      <c r="C4092" s="1" t="s">
        <v>7708</v>
      </c>
      <c r="D4092" t="b">
        <f ca="1">IF(A4092="","",[1]!s_techanal_rcnthigh(B4092,$B$2,1,3))</f>
        <v>0</v>
      </c>
      <c r="E4092">
        <f ca="1">IF(A4092="","",COUNTIF(D$6:D4092,"True"))</f>
        <v>38</v>
      </c>
      <c r="F4092" t="str">
        <f t="shared" si="63"/>
        <v>603275.SH</v>
      </c>
    </row>
    <row r="4093" spans="1:6" x14ac:dyDescent="0.15">
      <c r="A4093" s="2">
        <v>46089</v>
      </c>
      <c r="B4093" s="1" t="s">
        <v>7709</v>
      </c>
      <c r="C4093" s="1" t="s">
        <v>7710</v>
      </c>
      <c r="D4093" t="b">
        <f ca="1">IF(A4093="","",[1]!s_techanal_rcnthigh(B4093,$B$2,1,3))</f>
        <v>0</v>
      </c>
      <c r="E4093">
        <f ca="1">IF(A4093="","",COUNTIF(D$6:D4093,"True"))</f>
        <v>38</v>
      </c>
      <c r="F4093" t="str">
        <f t="shared" si="63"/>
        <v>603276.SH</v>
      </c>
    </row>
    <row r="4094" spans="1:6" x14ac:dyDescent="0.15">
      <c r="A4094" s="2">
        <v>46089</v>
      </c>
      <c r="B4094" s="1" t="s">
        <v>7711</v>
      </c>
      <c r="C4094" s="1" t="s">
        <v>7712</v>
      </c>
      <c r="D4094" t="b">
        <f ca="1">IF(A4094="","",[1]!s_techanal_rcnthigh(B4094,$B$2,1,3))</f>
        <v>0</v>
      </c>
      <c r="E4094">
        <f ca="1">IF(A4094="","",COUNTIF(D$6:D4094,"True"))</f>
        <v>38</v>
      </c>
      <c r="F4094" t="str">
        <f t="shared" si="63"/>
        <v>603277.SH</v>
      </c>
    </row>
    <row r="4095" spans="1:6" x14ac:dyDescent="0.15">
      <c r="A4095" s="2">
        <v>46089</v>
      </c>
      <c r="B4095" s="1" t="s">
        <v>7713</v>
      </c>
      <c r="C4095" s="1" t="s">
        <v>7714</v>
      </c>
      <c r="D4095" t="b">
        <f ca="1">IF(A4095="","",[1]!s_techanal_rcnthigh(B4095,$B$2,1,3))</f>
        <v>0</v>
      </c>
      <c r="E4095">
        <f ca="1">IF(A4095="","",COUNTIF(D$6:D4095,"True"))</f>
        <v>38</v>
      </c>
      <c r="F4095" t="str">
        <f t="shared" si="63"/>
        <v>603278.SH</v>
      </c>
    </row>
    <row r="4096" spans="1:6" x14ac:dyDescent="0.15">
      <c r="A4096" s="2">
        <v>46089</v>
      </c>
      <c r="B4096" s="1" t="s">
        <v>7715</v>
      </c>
      <c r="C4096" s="1" t="s">
        <v>7716</v>
      </c>
      <c r="D4096" t="b">
        <f ca="1">IF(A4096="","",[1]!s_techanal_rcnthigh(B4096,$B$2,1,3))</f>
        <v>0</v>
      </c>
      <c r="E4096">
        <f ca="1">IF(A4096="","",COUNTIF(D$6:D4096,"True"))</f>
        <v>38</v>
      </c>
      <c r="F4096" t="str">
        <f t="shared" si="63"/>
        <v>603279.SH</v>
      </c>
    </row>
    <row r="4097" spans="1:6" x14ac:dyDescent="0.15">
      <c r="A4097" s="2">
        <v>46089</v>
      </c>
      <c r="B4097" s="1" t="s">
        <v>7717</v>
      </c>
      <c r="C4097" s="1" t="s">
        <v>7718</v>
      </c>
      <c r="D4097" t="b">
        <f ca="1">IF(A4097="","",[1]!s_techanal_rcnthigh(B4097,$B$2,1,3))</f>
        <v>0</v>
      </c>
      <c r="E4097">
        <f ca="1">IF(A4097="","",COUNTIF(D$6:D4097,"True"))</f>
        <v>38</v>
      </c>
      <c r="F4097" t="str">
        <f t="shared" si="63"/>
        <v>603280.SH</v>
      </c>
    </row>
    <row r="4098" spans="1:6" x14ac:dyDescent="0.15">
      <c r="A4098" s="2">
        <v>46089</v>
      </c>
      <c r="B4098" s="1" t="s">
        <v>7719</v>
      </c>
      <c r="C4098" s="1" t="s">
        <v>7720</v>
      </c>
      <c r="D4098" t="b">
        <f ca="1">IF(A4098="","",[1]!s_techanal_rcnthigh(B4098,$B$2,1,3))</f>
        <v>0</v>
      </c>
      <c r="E4098">
        <f ca="1">IF(A4098="","",COUNTIF(D$6:D4098,"True"))</f>
        <v>38</v>
      </c>
      <c r="F4098" t="str">
        <f t="shared" si="63"/>
        <v>603281.SH</v>
      </c>
    </row>
    <row r="4099" spans="1:6" x14ac:dyDescent="0.15">
      <c r="A4099" s="2">
        <v>46089</v>
      </c>
      <c r="B4099" s="1" t="s">
        <v>7721</v>
      </c>
      <c r="C4099" s="1" t="s">
        <v>7722</v>
      </c>
      <c r="D4099" t="b">
        <f ca="1">IF(A4099="","",[1]!s_techanal_rcnthigh(B4099,$B$2,1,3))</f>
        <v>0</v>
      </c>
      <c r="E4099">
        <f ca="1">IF(A4099="","",COUNTIF(D$6:D4099,"True"))</f>
        <v>38</v>
      </c>
      <c r="F4099" t="str">
        <f t="shared" si="63"/>
        <v>603282.SH</v>
      </c>
    </row>
    <row r="4100" spans="1:6" x14ac:dyDescent="0.15">
      <c r="A4100" s="2">
        <v>46089</v>
      </c>
      <c r="B4100" s="1" t="s">
        <v>7723</v>
      </c>
      <c r="C4100" s="1" t="s">
        <v>7724</v>
      </c>
      <c r="D4100" t="b">
        <f ca="1">IF(A4100="","",[1]!s_techanal_rcnthigh(B4100,$B$2,1,3))</f>
        <v>0</v>
      </c>
      <c r="E4100">
        <f ca="1">IF(A4100="","",COUNTIF(D$6:D4100,"True"))</f>
        <v>38</v>
      </c>
      <c r="F4100" t="str">
        <f t="shared" si="63"/>
        <v>603283.SH</v>
      </c>
    </row>
    <row r="4101" spans="1:6" x14ac:dyDescent="0.15">
      <c r="A4101" s="2">
        <v>46089</v>
      </c>
      <c r="B4101" s="1" t="s">
        <v>10503</v>
      </c>
      <c r="C4101" s="1" t="s">
        <v>10504</v>
      </c>
      <c r="D4101" t="b">
        <f ca="1">IF(A4101="","",[1]!s_techanal_rcnthigh(B4101,$B$2,1,3))</f>
        <v>0</v>
      </c>
      <c r="E4101">
        <f ca="1">IF(A4101="","",COUNTIF(D$6:D4101,"True"))</f>
        <v>38</v>
      </c>
      <c r="F4101" t="str">
        <f t="shared" si="63"/>
        <v>603284.SH</v>
      </c>
    </row>
    <row r="4102" spans="1:6" x14ac:dyDescent="0.15">
      <c r="A4102" s="2">
        <v>46089</v>
      </c>
      <c r="B4102" s="1" t="s">
        <v>10505</v>
      </c>
      <c r="C4102" s="1" t="s">
        <v>10506</v>
      </c>
      <c r="D4102" t="b">
        <f ca="1">IF(A4102="","",[1]!s_techanal_rcnthigh(B4102,$B$2,1,3))</f>
        <v>0</v>
      </c>
      <c r="E4102">
        <f ca="1">IF(A4102="","",COUNTIF(D$6:D4102,"True"))</f>
        <v>38</v>
      </c>
      <c r="F4102" t="str">
        <f t="shared" ref="F4102:F4165" si="64">IF(B4102="","",B4102)</f>
        <v>603285.SH</v>
      </c>
    </row>
    <row r="4103" spans="1:6" x14ac:dyDescent="0.15">
      <c r="A4103" s="2">
        <v>46089</v>
      </c>
      <c r="B4103" s="1" t="s">
        <v>7725</v>
      </c>
      <c r="C4103" s="1" t="s">
        <v>7726</v>
      </c>
      <c r="D4103" t="b">
        <f ca="1">IF(A4103="","",[1]!s_techanal_rcnthigh(B4103,$B$2,1,3))</f>
        <v>0</v>
      </c>
      <c r="E4103">
        <f ca="1">IF(A4103="","",COUNTIF(D$6:D4103,"True"))</f>
        <v>38</v>
      </c>
      <c r="F4103" t="str">
        <f t="shared" si="64"/>
        <v>603286.SH</v>
      </c>
    </row>
    <row r="4104" spans="1:6" x14ac:dyDescent="0.15">
      <c r="A4104" s="2">
        <v>46089</v>
      </c>
      <c r="B4104" s="1" t="s">
        <v>7727</v>
      </c>
      <c r="C4104" s="1" t="s">
        <v>7728</v>
      </c>
      <c r="D4104" t="b">
        <f ca="1">IF(A4104="","",[1]!s_techanal_rcnthigh(B4104,$B$2,1,3))</f>
        <v>0</v>
      </c>
      <c r="E4104">
        <f ca="1">IF(A4104="","",COUNTIF(D$6:D4104,"True"))</f>
        <v>38</v>
      </c>
      <c r="F4104" t="str">
        <f t="shared" si="64"/>
        <v>603288.SH</v>
      </c>
    </row>
    <row r="4105" spans="1:6" x14ac:dyDescent="0.15">
      <c r="A4105" s="2">
        <v>46089</v>
      </c>
      <c r="B4105" s="1" t="s">
        <v>7729</v>
      </c>
      <c r="C4105" s="1" t="s">
        <v>7730</v>
      </c>
      <c r="D4105" t="b">
        <f ca="1">IF(A4105="","",[1]!s_techanal_rcnthigh(B4105,$B$2,1,3))</f>
        <v>0</v>
      </c>
      <c r="E4105">
        <f ca="1">IF(A4105="","",COUNTIF(D$6:D4105,"True"))</f>
        <v>38</v>
      </c>
      <c r="F4105" t="str">
        <f t="shared" si="64"/>
        <v>603289.SH</v>
      </c>
    </row>
    <row r="4106" spans="1:6" x14ac:dyDescent="0.15">
      <c r="A4106" s="2">
        <v>46089</v>
      </c>
      <c r="B4106" s="1" t="s">
        <v>7731</v>
      </c>
      <c r="C4106" s="1" t="s">
        <v>7732</v>
      </c>
      <c r="D4106" t="b">
        <f ca="1">IF(A4106="","",[1]!s_techanal_rcnthigh(B4106,$B$2,1,3))</f>
        <v>0</v>
      </c>
      <c r="E4106">
        <f ca="1">IF(A4106="","",COUNTIF(D$6:D4106,"True"))</f>
        <v>38</v>
      </c>
      <c r="F4106" t="str">
        <f t="shared" si="64"/>
        <v>603290.SH</v>
      </c>
    </row>
    <row r="4107" spans="1:6" x14ac:dyDescent="0.15">
      <c r="A4107" s="2">
        <v>46089</v>
      </c>
      <c r="B4107" s="1" t="s">
        <v>7733</v>
      </c>
      <c r="C4107" s="1" t="s">
        <v>7734</v>
      </c>
      <c r="D4107" t="b">
        <f ca="1">IF(A4107="","",[1]!s_techanal_rcnthigh(B4107,$B$2,1,3))</f>
        <v>0</v>
      </c>
      <c r="E4107">
        <f ca="1">IF(A4107="","",COUNTIF(D$6:D4107,"True"))</f>
        <v>38</v>
      </c>
      <c r="F4107" t="str">
        <f t="shared" si="64"/>
        <v>603291.SH</v>
      </c>
    </row>
    <row r="4108" spans="1:6" x14ac:dyDescent="0.15">
      <c r="A4108" s="2">
        <v>46089</v>
      </c>
      <c r="B4108" s="1" t="s">
        <v>7735</v>
      </c>
      <c r="C4108" s="1" t="s">
        <v>7736</v>
      </c>
      <c r="D4108" t="b">
        <f ca="1">IF(A4108="","",[1]!s_techanal_rcnthigh(B4108,$B$2,1,3))</f>
        <v>0</v>
      </c>
      <c r="E4108">
        <f ca="1">IF(A4108="","",COUNTIF(D$6:D4108,"True"))</f>
        <v>38</v>
      </c>
      <c r="F4108" t="str">
        <f t="shared" si="64"/>
        <v>603296.SH</v>
      </c>
    </row>
    <row r="4109" spans="1:6" x14ac:dyDescent="0.15">
      <c r="A4109" s="2">
        <v>46089</v>
      </c>
      <c r="B4109" s="1" t="s">
        <v>7737</v>
      </c>
      <c r="C4109" s="1" t="s">
        <v>7738</v>
      </c>
      <c r="D4109" t="b">
        <f ca="1">IF(A4109="","",[1]!s_techanal_rcnthigh(B4109,$B$2,1,3))</f>
        <v>0</v>
      </c>
      <c r="E4109">
        <f ca="1">IF(A4109="","",COUNTIF(D$6:D4109,"True"))</f>
        <v>38</v>
      </c>
      <c r="F4109" t="str">
        <f t="shared" si="64"/>
        <v>603297.SH</v>
      </c>
    </row>
    <row r="4110" spans="1:6" x14ac:dyDescent="0.15">
      <c r="A4110" s="2">
        <v>46089</v>
      </c>
      <c r="B4110" s="1" t="s">
        <v>7739</v>
      </c>
      <c r="C4110" s="1" t="s">
        <v>7740</v>
      </c>
      <c r="D4110" t="b">
        <f ca="1">IF(A4110="","",[1]!s_techanal_rcnthigh(B4110,$B$2,1,3))</f>
        <v>0</v>
      </c>
      <c r="E4110">
        <f ca="1">IF(A4110="","",COUNTIF(D$6:D4110,"True"))</f>
        <v>38</v>
      </c>
      <c r="F4110" t="str">
        <f t="shared" si="64"/>
        <v>603298.SH</v>
      </c>
    </row>
    <row r="4111" spans="1:6" x14ac:dyDescent="0.15">
      <c r="A4111" s="2">
        <v>46089</v>
      </c>
      <c r="B4111" s="1" t="s">
        <v>7741</v>
      </c>
      <c r="C4111" s="1" t="s">
        <v>7742</v>
      </c>
      <c r="D4111" t="b">
        <f ca="1">IF(A4111="","",[1]!s_techanal_rcnthigh(B4111,$B$2,1,3))</f>
        <v>0</v>
      </c>
      <c r="E4111">
        <f ca="1">IF(A4111="","",COUNTIF(D$6:D4111,"True"))</f>
        <v>38</v>
      </c>
      <c r="F4111" t="str">
        <f t="shared" si="64"/>
        <v>603299.SH</v>
      </c>
    </row>
    <row r="4112" spans="1:6" x14ac:dyDescent="0.15">
      <c r="A4112" s="2">
        <v>46089</v>
      </c>
      <c r="B4112" s="1" t="s">
        <v>7743</v>
      </c>
      <c r="C4112" s="1" t="s">
        <v>10507</v>
      </c>
      <c r="D4112" t="b">
        <f ca="1">IF(A4112="","",[1]!s_techanal_rcnthigh(B4112,$B$2,1,3))</f>
        <v>0</v>
      </c>
      <c r="E4112">
        <f ca="1">IF(A4112="","",COUNTIF(D$6:D4112,"True"))</f>
        <v>38</v>
      </c>
      <c r="F4112" t="str">
        <f t="shared" si="64"/>
        <v>603300.SH</v>
      </c>
    </row>
    <row r="4113" spans="1:6" x14ac:dyDescent="0.15">
      <c r="A4113" s="2">
        <v>46089</v>
      </c>
      <c r="B4113" s="1" t="s">
        <v>7744</v>
      </c>
      <c r="C4113" s="1" t="s">
        <v>7745</v>
      </c>
      <c r="D4113" t="b">
        <f ca="1">IF(A4113="","",[1]!s_techanal_rcnthigh(B4113,$B$2,1,3))</f>
        <v>0</v>
      </c>
      <c r="E4113">
        <f ca="1">IF(A4113="","",COUNTIF(D$6:D4113,"True"))</f>
        <v>38</v>
      </c>
      <c r="F4113" t="str">
        <f t="shared" si="64"/>
        <v>603301.SH</v>
      </c>
    </row>
    <row r="4114" spans="1:6" x14ac:dyDescent="0.15">
      <c r="A4114" s="2">
        <v>46089</v>
      </c>
      <c r="B4114" s="1" t="s">
        <v>7746</v>
      </c>
      <c r="C4114" s="1" t="s">
        <v>7747</v>
      </c>
      <c r="D4114" t="b">
        <f ca="1">IF(A4114="","",[1]!s_techanal_rcnthigh(B4114,$B$2,1,3))</f>
        <v>0</v>
      </c>
      <c r="E4114">
        <f ca="1">IF(A4114="","",COUNTIF(D$6:D4114,"True"))</f>
        <v>38</v>
      </c>
      <c r="F4114" t="str">
        <f t="shared" si="64"/>
        <v>603303.SH</v>
      </c>
    </row>
    <row r="4115" spans="1:6" x14ac:dyDescent="0.15">
      <c r="A4115" s="2">
        <v>46089</v>
      </c>
      <c r="B4115" s="1" t="s">
        <v>7748</v>
      </c>
      <c r="C4115" s="1" t="s">
        <v>7749</v>
      </c>
      <c r="D4115" t="b">
        <f ca="1">IF(A4115="","",[1]!s_techanal_rcnthigh(B4115,$B$2,1,3))</f>
        <v>0</v>
      </c>
      <c r="E4115">
        <f ca="1">IF(A4115="","",COUNTIF(D$6:D4115,"True"))</f>
        <v>38</v>
      </c>
      <c r="F4115" t="str">
        <f t="shared" si="64"/>
        <v>603305.SH</v>
      </c>
    </row>
    <row r="4116" spans="1:6" x14ac:dyDescent="0.15">
      <c r="A4116" s="2">
        <v>46089</v>
      </c>
      <c r="B4116" s="1" t="s">
        <v>7750</v>
      </c>
      <c r="C4116" s="1" t="s">
        <v>7751</v>
      </c>
      <c r="D4116" t="b">
        <f ca="1">IF(A4116="","",[1]!s_techanal_rcnthigh(B4116,$B$2,1,3))</f>
        <v>0</v>
      </c>
      <c r="E4116">
        <f ca="1">IF(A4116="","",COUNTIF(D$6:D4116,"True"))</f>
        <v>38</v>
      </c>
      <c r="F4116" t="str">
        <f t="shared" si="64"/>
        <v>603306.SH</v>
      </c>
    </row>
    <row r="4117" spans="1:6" x14ac:dyDescent="0.15">
      <c r="A4117" s="2">
        <v>46089</v>
      </c>
      <c r="B4117" s="1" t="s">
        <v>7752</v>
      </c>
      <c r="C4117" s="1" t="s">
        <v>7753</v>
      </c>
      <c r="D4117" t="b">
        <f ca="1">IF(A4117="","",[1]!s_techanal_rcnthigh(B4117,$B$2,1,3))</f>
        <v>0</v>
      </c>
      <c r="E4117">
        <f ca="1">IF(A4117="","",COUNTIF(D$6:D4117,"True"))</f>
        <v>38</v>
      </c>
      <c r="F4117" t="str">
        <f t="shared" si="64"/>
        <v>603307.SH</v>
      </c>
    </row>
    <row r="4118" spans="1:6" x14ac:dyDescent="0.15">
      <c r="A4118" s="2">
        <v>46089</v>
      </c>
      <c r="B4118" s="1" t="s">
        <v>7754</v>
      </c>
      <c r="C4118" s="1" t="s">
        <v>7755</v>
      </c>
      <c r="D4118" t="b">
        <f ca="1">IF(A4118="","",[1]!s_techanal_rcnthigh(B4118,$B$2,1,3))</f>
        <v>0</v>
      </c>
      <c r="E4118">
        <f ca="1">IF(A4118="","",COUNTIF(D$6:D4118,"True"))</f>
        <v>38</v>
      </c>
      <c r="F4118" t="str">
        <f t="shared" si="64"/>
        <v>603308.SH</v>
      </c>
    </row>
    <row r="4119" spans="1:6" x14ac:dyDescent="0.15">
      <c r="A4119" s="2">
        <v>46089</v>
      </c>
      <c r="B4119" s="1" t="s">
        <v>7756</v>
      </c>
      <c r="C4119" s="1" t="s">
        <v>7757</v>
      </c>
      <c r="D4119" t="b">
        <f ca="1">IF(A4119="","",[1]!s_techanal_rcnthigh(B4119,$B$2,1,3))</f>
        <v>0</v>
      </c>
      <c r="E4119">
        <f ca="1">IF(A4119="","",COUNTIF(D$6:D4119,"True"))</f>
        <v>38</v>
      </c>
      <c r="F4119" t="str">
        <f t="shared" si="64"/>
        <v>603309.SH</v>
      </c>
    </row>
    <row r="4120" spans="1:6" x14ac:dyDescent="0.15">
      <c r="A4120" s="2">
        <v>46089</v>
      </c>
      <c r="B4120" s="1" t="s">
        <v>10508</v>
      </c>
      <c r="C4120" s="1" t="s">
        <v>10509</v>
      </c>
      <c r="D4120" t="b">
        <f ca="1">IF(A4120="","",[1]!s_techanal_rcnthigh(B4120,$B$2,1,3))</f>
        <v>0</v>
      </c>
      <c r="E4120">
        <f ca="1">IF(A4120="","",COUNTIF(D$6:D4120,"True"))</f>
        <v>38</v>
      </c>
      <c r="F4120" t="str">
        <f t="shared" si="64"/>
        <v>603310.SH</v>
      </c>
    </row>
    <row r="4121" spans="1:6" x14ac:dyDescent="0.15">
      <c r="A4121" s="2">
        <v>46089</v>
      </c>
      <c r="B4121" s="1" t="s">
        <v>7758</v>
      </c>
      <c r="C4121" s="1" t="s">
        <v>7759</v>
      </c>
      <c r="D4121" t="b">
        <f ca="1">IF(A4121="","",[1]!s_techanal_rcnthigh(B4121,$B$2,1,3))</f>
        <v>0</v>
      </c>
      <c r="E4121">
        <f ca="1">IF(A4121="","",COUNTIF(D$6:D4121,"True"))</f>
        <v>38</v>
      </c>
      <c r="F4121" t="str">
        <f t="shared" si="64"/>
        <v>603311.SH</v>
      </c>
    </row>
    <row r="4122" spans="1:6" x14ac:dyDescent="0.15">
      <c r="A4122" s="2">
        <v>46089</v>
      </c>
      <c r="B4122" s="1" t="s">
        <v>7760</v>
      </c>
      <c r="C4122" s="1" t="s">
        <v>7761</v>
      </c>
      <c r="D4122" t="b">
        <f ca="1">IF(A4122="","",[1]!s_techanal_rcnthigh(B4122,$B$2,1,3))</f>
        <v>0</v>
      </c>
      <c r="E4122">
        <f ca="1">IF(A4122="","",COUNTIF(D$6:D4122,"True"))</f>
        <v>38</v>
      </c>
      <c r="F4122" t="str">
        <f t="shared" si="64"/>
        <v>603312.SH</v>
      </c>
    </row>
    <row r="4123" spans="1:6" x14ac:dyDescent="0.15">
      <c r="A4123" s="2">
        <v>46089</v>
      </c>
      <c r="B4123" s="1" t="s">
        <v>7762</v>
      </c>
      <c r="C4123" s="1" t="s">
        <v>7763</v>
      </c>
      <c r="D4123" t="b">
        <f ca="1">IF(A4123="","",[1]!s_techanal_rcnthigh(B4123,$B$2,1,3))</f>
        <v>0</v>
      </c>
      <c r="E4123">
        <f ca="1">IF(A4123="","",COUNTIF(D$6:D4123,"True"))</f>
        <v>38</v>
      </c>
      <c r="F4123" t="str">
        <f t="shared" si="64"/>
        <v>603313.SH</v>
      </c>
    </row>
    <row r="4124" spans="1:6" x14ac:dyDescent="0.15">
      <c r="A4124" s="2">
        <v>46089</v>
      </c>
      <c r="B4124" s="1" t="s">
        <v>7764</v>
      </c>
      <c r="C4124" s="1" t="s">
        <v>7765</v>
      </c>
      <c r="D4124" t="b">
        <f ca="1">IF(A4124="","",[1]!s_techanal_rcnthigh(B4124,$B$2,1,3))</f>
        <v>0</v>
      </c>
      <c r="E4124">
        <f ca="1">IF(A4124="","",COUNTIF(D$6:D4124,"True"))</f>
        <v>38</v>
      </c>
      <c r="F4124" t="str">
        <f t="shared" si="64"/>
        <v>603315.SH</v>
      </c>
    </row>
    <row r="4125" spans="1:6" x14ac:dyDescent="0.15">
      <c r="A4125" s="2">
        <v>46089</v>
      </c>
      <c r="B4125" s="1" t="s">
        <v>7766</v>
      </c>
      <c r="C4125" s="1" t="s">
        <v>7767</v>
      </c>
      <c r="D4125" t="b">
        <f ca="1">IF(A4125="","",[1]!s_techanal_rcnthigh(B4125,$B$2,1,3))</f>
        <v>0</v>
      </c>
      <c r="E4125">
        <f ca="1">IF(A4125="","",COUNTIF(D$6:D4125,"True"))</f>
        <v>38</v>
      </c>
      <c r="F4125" t="str">
        <f t="shared" si="64"/>
        <v>603316.SH</v>
      </c>
    </row>
    <row r="4126" spans="1:6" x14ac:dyDescent="0.15">
      <c r="A4126" s="2">
        <v>46089</v>
      </c>
      <c r="B4126" s="1" t="s">
        <v>7768</v>
      </c>
      <c r="C4126" s="1" t="s">
        <v>7769</v>
      </c>
      <c r="D4126" t="b">
        <f ca="1">IF(A4126="","",[1]!s_techanal_rcnthigh(B4126,$B$2,1,3))</f>
        <v>0</v>
      </c>
      <c r="E4126">
        <f ca="1">IF(A4126="","",COUNTIF(D$6:D4126,"True"))</f>
        <v>38</v>
      </c>
      <c r="F4126" t="str">
        <f t="shared" si="64"/>
        <v>603317.SH</v>
      </c>
    </row>
    <row r="4127" spans="1:6" x14ac:dyDescent="0.15">
      <c r="A4127" s="2">
        <v>46089</v>
      </c>
      <c r="B4127" s="1" t="s">
        <v>7770</v>
      </c>
      <c r="C4127" s="1" t="s">
        <v>7771</v>
      </c>
      <c r="D4127" t="b">
        <f ca="1">IF(A4127="","",[1]!s_techanal_rcnthigh(B4127,$B$2,1,3))</f>
        <v>0</v>
      </c>
      <c r="E4127">
        <f ca="1">IF(A4127="","",COUNTIF(D$6:D4127,"True"))</f>
        <v>38</v>
      </c>
      <c r="F4127" t="str">
        <f t="shared" si="64"/>
        <v>603318.SH</v>
      </c>
    </row>
    <row r="4128" spans="1:6" x14ac:dyDescent="0.15">
      <c r="A4128" s="2">
        <v>46089</v>
      </c>
      <c r="B4128" s="1" t="s">
        <v>7772</v>
      </c>
      <c r="C4128" s="1" t="s">
        <v>10510</v>
      </c>
      <c r="D4128" t="b">
        <f ca="1">IF(A4128="","",[1]!s_techanal_rcnthigh(B4128,$B$2,1,3))</f>
        <v>0</v>
      </c>
      <c r="E4128">
        <f ca="1">IF(A4128="","",COUNTIF(D$6:D4128,"True"))</f>
        <v>38</v>
      </c>
      <c r="F4128" t="str">
        <f t="shared" si="64"/>
        <v>603319.SH</v>
      </c>
    </row>
    <row r="4129" spans="1:6" x14ac:dyDescent="0.15">
      <c r="A4129" s="2">
        <v>46089</v>
      </c>
      <c r="B4129" s="1" t="s">
        <v>7773</v>
      </c>
      <c r="C4129" s="1" t="s">
        <v>7774</v>
      </c>
      <c r="D4129" t="b">
        <f ca="1">IF(A4129="","",[1]!s_techanal_rcnthigh(B4129,$B$2,1,3))</f>
        <v>0</v>
      </c>
      <c r="E4129">
        <f ca="1">IF(A4129="","",COUNTIF(D$6:D4129,"True"))</f>
        <v>38</v>
      </c>
      <c r="F4129" t="str">
        <f t="shared" si="64"/>
        <v>603320.SH</v>
      </c>
    </row>
    <row r="4130" spans="1:6" x14ac:dyDescent="0.15">
      <c r="A4130" s="2">
        <v>46089</v>
      </c>
      <c r="B4130" s="1" t="s">
        <v>7775</v>
      </c>
      <c r="C4130" s="1" t="s">
        <v>7776</v>
      </c>
      <c r="D4130" t="b">
        <f ca="1">IF(A4130="","",[1]!s_techanal_rcnthigh(B4130,$B$2,1,3))</f>
        <v>0</v>
      </c>
      <c r="E4130">
        <f ca="1">IF(A4130="","",COUNTIF(D$6:D4130,"True"))</f>
        <v>38</v>
      </c>
      <c r="F4130" t="str">
        <f t="shared" si="64"/>
        <v>603321.SH</v>
      </c>
    </row>
    <row r="4131" spans="1:6" x14ac:dyDescent="0.15">
      <c r="A4131" s="2">
        <v>46089</v>
      </c>
      <c r="B4131" s="1" t="s">
        <v>7777</v>
      </c>
      <c r="C4131" s="1" t="s">
        <v>7778</v>
      </c>
      <c r="D4131" t="b">
        <f ca="1">IF(A4131="","",[1]!s_techanal_rcnthigh(B4131,$B$2,1,3))</f>
        <v>0</v>
      </c>
      <c r="E4131">
        <f ca="1">IF(A4131="","",COUNTIF(D$6:D4131,"True"))</f>
        <v>38</v>
      </c>
      <c r="F4131" t="str">
        <f t="shared" si="64"/>
        <v>603322.SH</v>
      </c>
    </row>
    <row r="4132" spans="1:6" x14ac:dyDescent="0.15">
      <c r="A4132" s="2">
        <v>46089</v>
      </c>
      <c r="B4132" s="1" t="s">
        <v>7779</v>
      </c>
      <c r="C4132" s="1" t="s">
        <v>7780</v>
      </c>
      <c r="D4132" t="b">
        <f ca="1">IF(A4132="","",[1]!s_techanal_rcnthigh(B4132,$B$2,1,3))</f>
        <v>0</v>
      </c>
      <c r="E4132">
        <f ca="1">IF(A4132="","",COUNTIF(D$6:D4132,"True"))</f>
        <v>38</v>
      </c>
      <c r="F4132" t="str">
        <f t="shared" si="64"/>
        <v>603323.SH</v>
      </c>
    </row>
    <row r="4133" spans="1:6" x14ac:dyDescent="0.15">
      <c r="A4133" s="2">
        <v>46089</v>
      </c>
      <c r="B4133" s="1" t="s">
        <v>7781</v>
      </c>
      <c r="C4133" s="1" t="s">
        <v>10511</v>
      </c>
      <c r="D4133" t="b">
        <f ca="1">IF(A4133="","",[1]!s_techanal_rcnthigh(B4133,$B$2,1,3))</f>
        <v>0</v>
      </c>
      <c r="E4133">
        <f ca="1">IF(A4133="","",COUNTIF(D$6:D4133,"True"))</f>
        <v>38</v>
      </c>
      <c r="F4133" t="str">
        <f t="shared" si="64"/>
        <v>603324.SH</v>
      </c>
    </row>
    <row r="4134" spans="1:6" x14ac:dyDescent="0.15">
      <c r="A4134" s="2">
        <v>46089</v>
      </c>
      <c r="B4134" s="1" t="s">
        <v>7782</v>
      </c>
      <c r="C4134" s="1" t="s">
        <v>7783</v>
      </c>
      <c r="D4134" t="b">
        <f ca="1">IF(A4134="","",[1]!s_techanal_rcnthigh(B4134,$B$2,1,3))</f>
        <v>0</v>
      </c>
      <c r="E4134">
        <f ca="1">IF(A4134="","",COUNTIF(D$6:D4134,"True"))</f>
        <v>38</v>
      </c>
      <c r="F4134" t="str">
        <f t="shared" si="64"/>
        <v>603325.SH</v>
      </c>
    </row>
    <row r="4135" spans="1:6" x14ac:dyDescent="0.15">
      <c r="A4135" s="2">
        <v>46089</v>
      </c>
      <c r="B4135" s="1" t="s">
        <v>7784</v>
      </c>
      <c r="C4135" s="1" t="s">
        <v>7785</v>
      </c>
      <c r="D4135" t="b">
        <f ca="1">IF(A4135="","",[1]!s_techanal_rcnthigh(B4135,$B$2,1,3))</f>
        <v>0</v>
      </c>
      <c r="E4135">
        <f ca="1">IF(A4135="","",COUNTIF(D$6:D4135,"True"))</f>
        <v>38</v>
      </c>
      <c r="F4135" t="str">
        <f t="shared" si="64"/>
        <v>603326.SH</v>
      </c>
    </row>
    <row r="4136" spans="1:6" x14ac:dyDescent="0.15">
      <c r="A4136" s="2">
        <v>46089</v>
      </c>
      <c r="B4136" s="1" t="s">
        <v>7786</v>
      </c>
      <c r="C4136" s="1" t="s">
        <v>7787</v>
      </c>
      <c r="D4136" t="b">
        <f ca="1">IF(A4136="","",[1]!s_techanal_rcnthigh(B4136,$B$2,1,3))</f>
        <v>0</v>
      </c>
      <c r="E4136">
        <f ca="1">IF(A4136="","",COUNTIF(D$6:D4136,"True"))</f>
        <v>38</v>
      </c>
      <c r="F4136" t="str">
        <f t="shared" si="64"/>
        <v>603327.SH</v>
      </c>
    </row>
    <row r="4137" spans="1:6" x14ac:dyDescent="0.15">
      <c r="A4137" s="2">
        <v>46089</v>
      </c>
      <c r="B4137" s="1" t="s">
        <v>7788</v>
      </c>
      <c r="C4137" s="1" t="s">
        <v>7789</v>
      </c>
      <c r="D4137" t="b">
        <f ca="1">IF(A4137="","",[1]!s_techanal_rcnthigh(B4137,$B$2,1,3))</f>
        <v>0</v>
      </c>
      <c r="E4137">
        <f ca="1">IF(A4137="","",COUNTIF(D$6:D4137,"True"))</f>
        <v>38</v>
      </c>
      <c r="F4137" t="str">
        <f t="shared" si="64"/>
        <v>603328.SH</v>
      </c>
    </row>
    <row r="4138" spans="1:6" x14ac:dyDescent="0.15">
      <c r="A4138" s="2">
        <v>46089</v>
      </c>
      <c r="B4138" s="1" t="s">
        <v>7790</v>
      </c>
      <c r="C4138" s="1" t="s">
        <v>7791</v>
      </c>
      <c r="D4138" t="b">
        <f ca="1">IF(A4138="","",[1]!s_techanal_rcnthigh(B4138,$B$2,1,3))</f>
        <v>0</v>
      </c>
      <c r="E4138">
        <f ca="1">IF(A4138="","",COUNTIF(D$6:D4138,"True"))</f>
        <v>38</v>
      </c>
      <c r="F4138" t="str">
        <f t="shared" si="64"/>
        <v>603329.SH</v>
      </c>
    </row>
    <row r="4139" spans="1:6" x14ac:dyDescent="0.15">
      <c r="A4139" s="2">
        <v>46089</v>
      </c>
      <c r="B4139" s="1" t="s">
        <v>7792</v>
      </c>
      <c r="C4139" s="1" t="s">
        <v>7793</v>
      </c>
      <c r="D4139" t="b">
        <f ca="1">IF(A4139="","",[1]!s_techanal_rcnthigh(B4139,$B$2,1,3))</f>
        <v>0</v>
      </c>
      <c r="E4139">
        <f ca="1">IF(A4139="","",COUNTIF(D$6:D4139,"True"))</f>
        <v>38</v>
      </c>
      <c r="F4139" t="str">
        <f t="shared" si="64"/>
        <v>603330.SH</v>
      </c>
    </row>
    <row r="4140" spans="1:6" x14ac:dyDescent="0.15">
      <c r="A4140" s="2">
        <v>46089</v>
      </c>
      <c r="B4140" s="1" t="s">
        <v>7794</v>
      </c>
      <c r="C4140" s="1" t="s">
        <v>7795</v>
      </c>
      <c r="D4140" t="b">
        <f ca="1">IF(A4140="","",[1]!s_techanal_rcnthigh(B4140,$B$2,1,3))</f>
        <v>0</v>
      </c>
      <c r="E4140">
        <f ca="1">IF(A4140="","",COUNTIF(D$6:D4140,"True"))</f>
        <v>38</v>
      </c>
      <c r="F4140" t="str">
        <f t="shared" si="64"/>
        <v>603331.SH</v>
      </c>
    </row>
    <row r="4141" spans="1:6" x14ac:dyDescent="0.15">
      <c r="A4141" s="2">
        <v>46089</v>
      </c>
      <c r="B4141" s="1" t="s">
        <v>7796</v>
      </c>
      <c r="C4141" s="1" t="s">
        <v>7797</v>
      </c>
      <c r="D4141" t="b">
        <f ca="1">IF(A4141="","",[1]!s_techanal_rcnthigh(B4141,$B$2,1,3))</f>
        <v>0</v>
      </c>
      <c r="E4141">
        <f ca="1">IF(A4141="","",COUNTIF(D$6:D4141,"True"))</f>
        <v>38</v>
      </c>
      <c r="F4141" t="str">
        <f t="shared" si="64"/>
        <v>603332.SH</v>
      </c>
    </row>
    <row r="4142" spans="1:6" x14ac:dyDescent="0.15">
      <c r="A4142" s="2">
        <v>46089</v>
      </c>
      <c r="B4142" s="1" t="s">
        <v>7798</v>
      </c>
      <c r="C4142" s="1" t="s">
        <v>7799</v>
      </c>
      <c r="D4142" t="b">
        <f ca="1">IF(A4142="","",[1]!s_techanal_rcnthigh(B4142,$B$2,1,3))</f>
        <v>0</v>
      </c>
      <c r="E4142">
        <f ca="1">IF(A4142="","",COUNTIF(D$6:D4142,"True"))</f>
        <v>38</v>
      </c>
      <c r="F4142" t="str">
        <f t="shared" si="64"/>
        <v>603333.SH</v>
      </c>
    </row>
    <row r="4143" spans="1:6" x14ac:dyDescent="0.15">
      <c r="A4143" s="2">
        <v>46089</v>
      </c>
      <c r="B4143" s="1" t="s">
        <v>10512</v>
      </c>
      <c r="C4143" s="1" t="s">
        <v>10513</v>
      </c>
      <c r="D4143" t="b">
        <f ca="1">IF(A4143="","",[1]!s_techanal_rcnthigh(B4143,$B$2,1,3))</f>
        <v>0</v>
      </c>
      <c r="E4143">
        <f ca="1">IF(A4143="","",COUNTIF(D$6:D4143,"True"))</f>
        <v>38</v>
      </c>
      <c r="F4143" t="str">
        <f t="shared" si="64"/>
        <v>603334.SH</v>
      </c>
    </row>
    <row r="4144" spans="1:6" x14ac:dyDescent="0.15">
      <c r="A4144" s="2">
        <v>46089</v>
      </c>
      <c r="B4144" s="1" t="s">
        <v>7800</v>
      </c>
      <c r="C4144" s="1" t="s">
        <v>7801</v>
      </c>
      <c r="D4144" t="b">
        <f ca="1">IF(A4144="","",[1]!s_techanal_rcnthigh(B4144,$B$2,1,3))</f>
        <v>0</v>
      </c>
      <c r="E4144">
        <f ca="1">IF(A4144="","",COUNTIF(D$6:D4144,"True"))</f>
        <v>38</v>
      </c>
      <c r="F4144" t="str">
        <f t="shared" si="64"/>
        <v>603335.SH</v>
      </c>
    </row>
    <row r="4145" spans="1:6" x14ac:dyDescent="0.15">
      <c r="A4145" s="2">
        <v>46089</v>
      </c>
      <c r="B4145" s="1" t="s">
        <v>7802</v>
      </c>
      <c r="C4145" s="1" t="s">
        <v>7803</v>
      </c>
      <c r="D4145" t="b">
        <f ca="1">IF(A4145="","",[1]!s_techanal_rcnthigh(B4145,$B$2,1,3))</f>
        <v>0</v>
      </c>
      <c r="E4145">
        <f ca="1">IF(A4145="","",COUNTIF(D$6:D4145,"True"))</f>
        <v>38</v>
      </c>
      <c r="F4145" t="str">
        <f t="shared" si="64"/>
        <v>603336.SH</v>
      </c>
    </row>
    <row r="4146" spans="1:6" x14ac:dyDescent="0.15">
      <c r="A4146" s="2">
        <v>46089</v>
      </c>
      <c r="B4146" s="1" t="s">
        <v>7804</v>
      </c>
      <c r="C4146" s="1" t="s">
        <v>10514</v>
      </c>
      <c r="D4146" t="b">
        <f ca="1">IF(A4146="","",[1]!s_techanal_rcnthigh(B4146,$B$2,1,3))</f>
        <v>0</v>
      </c>
      <c r="E4146">
        <f ca="1">IF(A4146="","",COUNTIF(D$6:D4146,"True"))</f>
        <v>38</v>
      </c>
      <c r="F4146" t="str">
        <f t="shared" si="64"/>
        <v>603337.SH</v>
      </c>
    </row>
    <row r="4147" spans="1:6" x14ac:dyDescent="0.15">
      <c r="A4147" s="2">
        <v>46089</v>
      </c>
      <c r="B4147" s="1" t="s">
        <v>7805</v>
      </c>
      <c r="C4147" s="1" t="s">
        <v>7806</v>
      </c>
      <c r="D4147" t="b">
        <f ca="1">IF(A4147="","",[1]!s_techanal_rcnthigh(B4147,$B$2,1,3))</f>
        <v>0</v>
      </c>
      <c r="E4147">
        <f ca="1">IF(A4147="","",COUNTIF(D$6:D4147,"True"))</f>
        <v>38</v>
      </c>
      <c r="F4147" t="str">
        <f t="shared" si="64"/>
        <v>603338.SH</v>
      </c>
    </row>
    <row r="4148" spans="1:6" x14ac:dyDescent="0.15">
      <c r="A4148" s="2">
        <v>46089</v>
      </c>
      <c r="B4148" s="1" t="s">
        <v>7807</v>
      </c>
      <c r="C4148" s="1" t="s">
        <v>7808</v>
      </c>
      <c r="D4148" t="b">
        <f ca="1">IF(A4148="","",[1]!s_techanal_rcnthigh(B4148,$B$2,1,3))</f>
        <v>0</v>
      </c>
      <c r="E4148">
        <f ca="1">IF(A4148="","",COUNTIF(D$6:D4148,"True"))</f>
        <v>38</v>
      </c>
      <c r="F4148" t="str">
        <f t="shared" si="64"/>
        <v>603339.SH</v>
      </c>
    </row>
    <row r="4149" spans="1:6" x14ac:dyDescent="0.15">
      <c r="A4149" s="2">
        <v>46089</v>
      </c>
      <c r="B4149" s="1" t="s">
        <v>7809</v>
      </c>
      <c r="C4149" s="1" t="s">
        <v>7810</v>
      </c>
      <c r="D4149" t="b">
        <f ca="1">IF(A4149="","",[1]!s_techanal_rcnthigh(B4149,$B$2,1,3))</f>
        <v>0</v>
      </c>
      <c r="E4149">
        <f ca="1">IF(A4149="","",COUNTIF(D$6:D4149,"True"))</f>
        <v>38</v>
      </c>
      <c r="F4149" t="str">
        <f t="shared" si="64"/>
        <v>603341.SH</v>
      </c>
    </row>
    <row r="4150" spans="1:6" x14ac:dyDescent="0.15">
      <c r="A4150" s="2">
        <v>46089</v>
      </c>
      <c r="B4150" s="1" t="s">
        <v>7811</v>
      </c>
      <c r="C4150" s="1" t="s">
        <v>10014</v>
      </c>
      <c r="D4150" t="b">
        <f ca="1">IF(A4150="","",[1]!s_techanal_rcnthigh(B4150,$B$2,1,3))</f>
        <v>0</v>
      </c>
      <c r="E4150">
        <f ca="1">IF(A4150="","",COUNTIF(D$6:D4150,"True"))</f>
        <v>38</v>
      </c>
      <c r="F4150" t="str">
        <f t="shared" si="64"/>
        <v>603344.SH</v>
      </c>
    </row>
    <row r="4151" spans="1:6" x14ac:dyDescent="0.15">
      <c r="A4151" s="2">
        <v>46089</v>
      </c>
      <c r="B4151" s="1" t="s">
        <v>7812</v>
      </c>
      <c r="C4151" s="1" t="s">
        <v>7813</v>
      </c>
      <c r="D4151" t="b">
        <f ca="1">IF(A4151="","",[1]!s_techanal_rcnthigh(B4151,$B$2,1,3))</f>
        <v>0</v>
      </c>
      <c r="E4151">
        <f ca="1">IF(A4151="","",COUNTIF(D$6:D4151,"True"))</f>
        <v>38</v>
      </c>
      <c r="F4151" t="str">
        <f t="shared" si="64"/>
        <v>603345.SH</v>
      </c>
    </row>
    <row r="4152" spans="1:6" x14ac:dyDescent="0.15">
      <c r="A4152" s="2">
        <v>46089</v>
      </c>
      <c r="B4152" s="1" t="s">
        <v>7814</v>
      </c>
      <c r="C4152" s="1" t="s">
        <v>7815</v>
      </c>
      <c r="D4152" t="b">
        <f ca="1">IF(A4152="","",[1]!s_techanal_rcnthigh(B4152,$B$2,1,3))</f>
        <v>0</v>
      </c>
      <c r="E4152">
        <f ca="1">IF(A4152="","",COUNTIF(D$6:D4152,"True"))</f>
        <v>38</v>
      </c>
      <c r="F4152" t="str">
        <f t="shared" si="64"/>
        <v>603348.SH</v>
      </c>
    </row>
    <row r="4153" spans="1:6" x14ac:dyDescent="0.15">
      <c r="A4153" s="2">
        <v>46089</v>
      </c>
      <c r="B4153" s="1" t="s">
        <v>10515</v>
      </c>
      <c r="C4153" s="1" t="s">
        <v>10516</v>
      </c>
      <c r="D4153" t="b">
        <f ca="1">IF(A4153="","",[1]!s_techanal_rcnthigh(B4153,$B$2,1,3))</f>
        <v>0</v>
      </c>
      <c r="E4153">
        <f ca="1">IF(A4153="","",COUNTIF(D$6:D4153,"True"))</f>
        <v>38</v>
      </c>
      <c r="F4153" t="str">
        <f t="shared" si="64"/>
        <v>603350.SH</v>
      </c>
    </row>
    <row r="4154" spans="1:6" x14ac:dyDescent="0.15">
      <c r="A4154" s="2">
        <v>46089</v>
      </c>
      <c r="B4154" s="1" t="s">
        <v>7816</v>
      </c>
      <c r="C4154" s="1" t="s">
        <v>7817</v>
      </c>
      <c r="D4154" t="b">
        <f ca="1">IF(A4154="","",[1]!s_techanal_rcnthigh(B4154,$B$2,1,3))</f>
        <v>0</v>
      </c>
      <c r="E4154">
        <f ca="1">IF(A4154="","",COUNTIF(D$6:D4154,"True"))</f>
        <v>38</v>
      </c>
      <c r="F4154" t="str">
        <f t="shared" si="64"/>
        <v>603351.SH</v>
      </c>
    </row>
    <row r="4155" spans="1:6" x14ac:dyDescent="0.15">
      <c r="A4155" s="2">
        <v>46089</v>
      </c>
      <c r="B4155" s="1" t="s">
        <v>10517</v>
      </c>
      <c r="C4155" s="1" t="s">
        <v>10518</v>
      </c>
      <c r="D4155" t="b">
        <f ca="1">IF(A4155="","",[1]!s_techanal_rcnthigh(B4155,$B$2,1,3))</f>
        <v>0</v>
      </c>
      <c r="E4155">
        <f ca="1">IF(A4155="","",COUNTIF(D$6:D4155,"True"))</f>
        <v>38</v>
      </c>
      <c r="F4155" t="str">
        <f t="shared" si="64"/>
        <v>603352.SH</v>
      </c>
    </row>
    <row r="4156" spans="1:6" x14ac:dyDescent="0.15">
      <c r="A4156" s="2">
        <v>46089</v>
      </c>
      <c r="B4156" s="1" t="s">
        <v>7818</v>
      </c>
      <c r="C4156" s="1" t="s">
        <v>7819</v>
      </c>
      <c r="D4156" t="b">
        <f ca="1">IF(A4156="","",[1]!s_techanal_rcnthigh(B4156,$B$2,1,3))</f>
        <v>0</v>
      </c>
      <c r="E4156">
        <f ca="1">IF(A4156="","",COUNTIF(D$6:D4156,"True"))</f>
        <v>38</v>
      </c>
      <c r="F4156" t="str">
        <f t="shared" si="64"/>
        <v>603353.SH</v>
      </c>
    </row>
    <row r="4157" spans="1:6" x14ac:dyDescent="0.15">
      <c r="A4157" s="2">
        <v>46089</v>
      </c>
      <c r="B4157" s="1" t="s">
        <v>7820</v>
      </c>
      <c r="C4157" s="1" t="s">
        <v>7821</v>
      </c>
      <c r="D4157" t="b">
        <f ca="1">IF(A4157="","",[1]!s_techanal_rcnthigh(B4157,$B$2,1,3))</f>
        <v>0</v>
      </c>
      <c r="E4157">
        <f ca="1">IF(A4157="","",COUNTIF(D$6:D4157,"True"))</f>
        <v>38</v>
      </c>
      <c r="F4157" t="str">
        <f t="shared" si="64"/>
        <v>603355.SH</v>
      </c>
    </row>
    <row r="4158" spans="1:6" x14ac:dyDescent="0.15">
      <c r="A4158" s="2">
        <v>46089</v>
      </c>
      <c r="B4158" s="1" t="s">
        <v>7822</v>
      </c>
      <c r="C4158" s="1" t="s">
        <v>7823</v>
      </c>
      <c r="D4158" t="b">
        <f ca="1">IF(A4158="","",[1]!s_techanal_rcnthigh(B4158,$B$2,1,3))</f>
        <v>0</v>
      </c>
      <c r="E4158">
        <f ca="1">IF(A4158="","",COUNTIF(D$6:D4158,"True"))</f>
        <v>38</v>
      </c>
      <c r="F4158" t="str">
        <f t="shared" si="64"/>
        <v>603356.SH</v>
      </c>
    </row>
    <row r="4159" spans="1:6" x14ac:dyDescent="0.15">
      <c r="A4159" s="2">
        <v>46089</v>
      </c>
      <c r="B4159" s="1" t="s">
        <v>7824</v>
      </c>
      <c r="C4159" s="1" t="s">
        <v>7825</v>
      </c>
      <c r="D4159" t="b">
        <f ca="1">IF(A4159="","",[1]!s_techanal_rcnthigh(B4159,$B$2,1,3))</f>
        <v>0</v>
      </c>
      <c r="E4159">
        <f ca="1">IF(A4159="","",COUNTIF(D$6:D4159,"True"))</f>
        <v>38</v>
      </c>
      <c r="F4159" t="str">
        <f t="shared" si="64"/>
        <v>603357.SH</v>
      </c>
    </row>
    <row r="4160" spans="1:6" x14ac:dyDescent="0.15">
      <c r="A4160" s="2">
        <v>46089</v>
      </c>
      <c r="B4160" s="1" t="s">
        <v>7826</v>
      </c>
      <c r="C4160" s="1" t="s">
        <v>7827</v>
      </c>
      <c r="D4160" t="b">
        <f ca="1">IF(A4160="","",[1]!s_techanal_rcnthigh(B4160,$B$2,1,3))</f>
        <v>0</v>
      </c>
      <c r="E4160">
        <f ca="1">IF(A4160="","",COUNTIF(D$6:D4160,"True"))</f>
        <v>38</v>
      </c>
      <c r="F4160" t="str">
        <f t="shared" si="64"/>
        <v>603358.SH</v>
      </c>
    </row>
    <row r="4161" spans="1:6" x14ac:dyDescent="0.15">
      <c r="A4161" s="2">
        <v>46089</v>
      </c>
      <c r="B4161" s="1" t="s">
        <v>7828</v>
      </c>
      <c r="C4161" s="1" t="s">
        <v>7829</v>
      </c>
      <c r="D4161" t="b">
        <f ca="1">IF(A4161="","",[1]!s_techanal_rcnthigh(B4161,$B$2,1,3))</f>
        <v>0</v>
      </c>
      <c r="E4161">
        <f ca="1">IF(A4161="","",COUNTIF(D$6:D4161,"True"))</f>
        <v>38</v>
      </c>
      <c r="F4161" t="str">
        <f t="shared" si="64"/>
        <v>603359.SH</v>
      </c>
    </row>
    <row r="4162" spans="1:6" x14ac:dyDescent="0.15">
      <c r="A4162" s="2">
        <v>46089</v>
      </c>
      <c r="B4162" s="1" t="s">
        <v>7830</v>
      </c>
      <c r="C4162" s="1" t="s">
        <v>7831</v>
      </c>
      <c r="D4162" t="b">
        <f ca="1">IF(A4162="","",[1]!s_techanal_rcnthigh(B4162,$B$2,1,3))</f>
        <v>0</v>
      </c>
      <c r="E4162">
        <f ca="1">IF(A4162="","",COUNTIF(D$6:D4162,"True"))</f>
        <v>38</v>
      </c>
      <c r="F4162" t="str">
        <f t="shared" si="64"/>
        <v>603360.SH</v>
      </c>
    </row>
    <row r="4163" spans="1:6" x14ac:dyDescent="0.15">
      <c r="A4163" s="2">
        <v>46089</v>
      </c>
      <c r="B4163" s="1" t="s">
        <v>7832</v>
      </c>
      <c r="C4163" s="1" t="s">
        <v>7833</v>
      </c>
      <c r="D4163" t="b">
        <f ca="1">IF(A4163="","",[1]!s_techanal_rcnthigh(B4163,$B$2,1,3))</f>
        <v>0</v>
      </c>
      <c r="E4163">
        <f ca="1">IF(A4163="","",COUNTIF(D$6:D4163,"True"))</f>
        <v>38</v>
      </c>
      <c r="F4163" t="str">
        <f t="shared" si="64"/>
        <v>603363.SH</v>
      </c>
    </row>
    <row r="4164" spans="1:6" x14ac:dyDescent="0.15">
      <c r="A4164" s="2">
        <v>46089</v>
      </c>
      <c r="B4164" s="1" t="s">
        <v>7834</v>
      </c>
      <c r="C4164" s="1" t="s">
        <v>7835</v>
      </c>
      <c r="D4164" t="b">
        <f ca="1">IF(A4164="","",[1]!s_techanal_rcnthigh(B4164,$B$2,1,3))</f>
        <v>0</v>
      </c>
      <c r="E4164">
        <f ca="1">IF(A4164="","",COUNTIF(D$6:D4164,"True"))</f>
        <v>38</v>
      </c>
      <c r="F4164" t="str">
        <f t="shared" si="64"/>
        <v>603365.SH</v>
      </c>
    </row>
    <row r="4165" spans="1:6" x14ac:dyDescent="0.15">
      <c r="A4165" s="2">
        <v>46089</v>
      </c>
      <c r="B4165" s="1" t="s">
        <v>7836</v>
      </c>
      <c r="C4165" s="1" t="s">
        <v>7837</v>
      </c>
      <c r="D4165" t="b">
        <f ca="1">IF(A4165="","",[1]!s_techanal_rcnthigh(B4165,$B$2,1,3))</f>
        <v>0</v>
      </c>
      <c r="E4165">
        <f ca="1">IF(A4165="","",COUNTIF(D$6:D4165,"True"))</f>
        <v>38</v>
      </c>
      <c r="F4165" t="str">
        <f t="shared" si="64"/>
        <v>603366.SH</v>
      </c>
    </row>
    <row r="4166" spans="1:6" x14ac:dyDescent="0.15">
      <c r="A4166" s="2">
        <v>46089</v>
      </c>
      <c r="B4166" s="1" t="s">
        <v>7838</v>
      </c>
      <c r="C4166" s="1" t="s">
        <v>7839</v>
      </c>
      <c r="D4166" t="b">
        <f ca="1">IF(A4166="","",[1]!s_techanal_rcnthigh(B4166,$B$2,1,3))</f>
        <v>0</v>
      </c>
      <c r="E4166">
        <f ca="1">IF(A4166="","",COUNTIF(D$6:D4166,"True"))</f>
        <v>38</v>
      </c>
      <c r="F4166" t="str">
        <f t="shared" ref="F4166:F4229" si="65">IF(B4166="","",B4166)</f>
        <v>603367.SH</v>
      </c>
    </row>
    <row r="4167" spans="1:6" x14ac:dyDescent="0.15">
      <c r="A4167" s="2">
        <v>46089</v>
      </c>
      <c r="B4167" s="1" t="s">
        <v>7840</v>
      </c>
      <c r="C4167" s="1" t="s">
        <v>7841</v>
      </c>
      <c r="D4167" t="b">
        <f ca="1">IF(A4167="","",[1]!s_techanal_rcnthigh(B4167,$B$2,1,3))</f>
        <v>0</v>
      </c>
      <c r="E4167">
        <f ca="1">IF(A4167="","",COUNTIF(D$6:D4167,"True"))</f>
        <v>38</v>
      </c>
      <c r="F4167" t="str">
        <f t="shared" si="65"/>
        <v>603368.SH</v>
      </c>
    </row>
    <row r="4168" spans="1:6" x14ac:dyDescent="0.15">
      <c r="A4168" s="2">
        <v>46089</v>
      </c>
      <c r="B4168" s="1" t="s">
        <v>7842</v>
      </c>
      <c r="C4168" s="1" t="s">
        <v>7843</v>
      </c>
      <c r="D4168" t="b">
        <f ca="1">IF(A4168="","",[1]!s_techanal_rcnthigh(B4168,$B$2,1,3))</f>
        <v>0</v>
      </c>
      <c r="E4168">
        <f ca="1">IF(A4168="","",COUNTIF(D$6:D4168,"True"))</f>
        <v>38</v>
      </c>
      <c r="F4168" t="str">
        <f t="shared" si="65"/>
        <v>603369.SH</v>
      </c>
    </row>
    <row r="4169" spans="1:6" x14ac:dyDescent="0.15">
      <c r="A4169" s="2">
        <v>46089</v>
      </c>
      <c r="B4169" s="1" t="s">
        <v>10519</v>
      </c>
      <c r="C4169" s="1" t="s">
        <v>10520</v>
      </c>
      <c r="D4169" t="b">
        <f ca="1">IF(A4169="","",[1]!s_techanal_rcnthigh(B4169,$B$2,1,3))</f>
        <v>0</v>
      </c>
      <c r="E4169">
        <f ca="1">IF(A4169="","",COUNTIF(D$6:D4169,"True"))</f>
        <v>38</v>
      </c>
      <c r="F4169" t="str">
        <f t="shared" si="65"/>
        <v>603370.SH</v>
      </c>
    </row>
    <row r="4170" spans="1:6" x14ac:dyDescent="0.15">
      <c r="A4170" s="2">
        <v>46089</v>
      </c>
      <c r="B4170" s="1" t="s">
        <v>7844</v>
      </c>
      <c r="C4170" s="1" t="s">
        <v>7845</v>
      </c>
      <c r="D4170" t="b">
        <f ca="1">IF(A4170="","",[1]!s_techanal_rcnthigh(B4170,$B$2,1,3))</f>
        <v>0</v>
      </c>
      <c r="E4170">
        <f ca="1">IF(A4170="","",COUNTIF(D$6:D4170,"True"))</f>
        <v>38</v>
      </c>
      <c r="F4170" t="str">
        <f t="shared" si="65"/>
        <v>603373.SH</v>
      </c>
    </row>
    <row r="4171" spans="1:6" x14ac:dyDescent="0.15">
      <c r="A4171" s="2">
        <v>46089</v>
      </c>
      <c r="B4171" s="1" t="s">
        <v>7846</v>
      </c>
      <c r="C4171" s="1" t="s">
        <v>7847</v>
      </c>
      <c r="D4171" t="b">
        <f ca="1">IF(A4171="","",[1]!s_techanal_rcnthigh(B4171,$B$2,1,3))</f>
        <v>0</v>
      </c>
      <c r="E4171">
        <f ca="1">IF(A4171="","",COUNTIF(D$6:D4171,"True"))</f>
        <v>38</v>
      </c>
      <c r="F4171" t="str">
        <f t="shared" si="65"/>
        <v>603375.SH</v>
      </c>
    </row>
    <row r="4172" spans="1:6" x14ac:dyDescent="0.15">
      <c r="A4172" s="2">
        <v>46089</v>
      </c>
      <c r="B4172" s="1" t="s">
        <v>10521</v>
      </c>
      <c r="C4172" s="1" t="s">
        <v>10522</v>
      </c>
      <c r="D4172" t="b">
        <f ca="1">IF(A4172="","",[1]!s_techanal_rcnthigh(B4172,$B$2,1,3))</f>
        <v>0</v>
      </c>
      <c r="E4172">
        <f ca="1">IF(A4172="","",COUNTIF(D$6:D4172,"True"))</f>
        <v>38</v>
      </c>
      <c r="F4172" t="str">
        <f t="shared" si="65"/>
        <v>603376.SH</v>
      </c>
    </row>
    <row r="4173" spans="1:6" x14ac:dyDescent="0.15">
      <c r="A4173" s="2">
        <v>46089</v>
      </c>
      <c r="B4173" s="1" t="s">
        <v>7848</v>
      </c>
      <c r="C4173" s="1" t="s">
        <v>10523</v>
      </c>
      <c r="D4173" t="b">
        <f ca="1">IF(A4173="","",[1]!s_techanal_rcnthigh(B4173,$B$2,1,3))</f>
        <v>0</v>
      </c>
      <c r="E4173">
        <f ca="1">IF(A4173="","",COUNTIF(D$6:D4173,"True"))</f>
        <v>38</v>
      </c>
      <c r="F4173" t="str">
        <f t="shared" si="65"/>
        <v>603377.SH</v>
      </c>
    </row>
    <row r="4174" spans="1:6" x14ac:dyDescent="0.15">
      <c r="A4174" s="2">
        <v>46089</v>
      </c>
      <c r="B4174" s="1" t="s">
        <v>7849</v>
      </c>
      <c r="C4174" s="1" t="s">
        <v>7850</v>
      </c>
      <c r="D4174" t="b">
        <f ca="1">IF(A4174="","",[1]!s_techanal_rcnthigh(B4174,$B$2,1,3))</f>
        <v>0</v>
      </c>
      <c r="E4174">
        <f ca="1">IF(A4174="","",COUNTIF(D$6:D4174,"True"))</f>
        <v>38</v>
      </c>
      <c r="F4174" t="str">
        <f t="shared" si="65"/>
        <v>603378.SH</v>
      </c>
    </row>
    <row r="4175" spans="1:6" x14ac:dyDescent="0.15">
      <c r="A4175" s="2">
        <v>46089</v>
      </c>
      <c r="B4175" s="1" t="s">
        <v>7851</v>
      </c>
      <c r="C4175" s="1" t="s">
        <v>7852</v>
      </c>
      <c r="D4175" t="b">
        <f ca="1">IF(A4175="","",[1]!s_techanal_rcnthigh(B4175,$B$2,1,3))</f>
        <v>0</v>
      </c>
      <c r="E4175">
        <f ca="1">IF(A4175="","",COUNTIF(D$6:D4175,"True"))</f>
        <v>38</v>
      </c>
      <c r="F4175" t="str">
        <f t="shared" si="65"/>
        <v>603379.SH</v>
      </c>
    </row>
    <row r="4176" spans="1:6" x14ac:dyDescent="0.15">
      <c r="A4176" s="2">
        <v>46089</v>
      </c>
      <c r="B4176" s="1" t="s">
        <v>7853</v>
      </c>
      <c r="C4176" s="1" t="s">
        <v>7854</v>
      </c>
      <c r="D4176" t="b">
        <f ca="1">IF(A4176="","",[1]!s_techanal_rcnthigh(B4176,$B$2,1,3))</f>
        <v>0</v>
      </c>
      <c r="E4176">
        <f ca="1">IF(A4176="","",COUNTIF(D$6:D4176,"True"))</f>
        <v>38</v>
      </c>
      <c r="F4176" t="str">
        <f t="shared" si="65"/>
        <v>603380.SH</v>
      </c>
    </row>
    <row r="4177" spans="1:6" x14ac:dyDescent="0.15">
      <c r="A4177" s="2">
        <v>46089</v>
      </c>
      <c r="B4177" s="1" t="s">
        <v>10524</v>
      </c>
      <c r="C4177" s="1" t="s">
        <v>10525</v>
      </c>
      <c r="D4177" t="b">
        <f ca="1">IF(A4177="","",[1]!s_techanal_rcnthigh(B4177,$B$2,1,3))</f>
        <v>0</v>
      </c>
      <c r="E4177">
        <f ca="1">IF(A4177="","",COUNTIF(D$6:D4177,"True"))</f>
        <v>38</v>
      </c>
      <c r="F4177" t="str">
        <f t="shared" si="65"/>
        <v>603381.SH</v>
      </c>
    </row>
    <row r="4178" spans="1:6" x14ac:dyDescent="0.15">
      <c r="A4178" s="2">
        <v>46089</v>
      </c>
      <c r="B4178" s="1" t="s">
        <v>10526</v>
      </c>
      <c r="C4178" s="1" t="s">
        <v>10527</v>
      </c>
      <c r="D4178" t="b">
        <f ca="1">IF(A4178="","",[1]!s_techanal_rcnthigh(B4178,$B$2,1,3))</f>
        <v>0</v>
      </c>
      <c r="E4178">
        <f ca="1">IF(A4178="","",COUNTIF(D$6:D4178,"True"))</f>
        <v>38</v>
      </c>
      <c r="F4178" t="str">
        <f t="shared" si="65"/>
        <v>603382.SH</v>
      </c>
    </row>
    <row r="4179" spans="1:6" x14ac:dyDescent="0.15">
      <c r="A4179" s="2">
        <v>46089</v>
      </c>
      <c r="B4179" s="1" t="s">
        <v>7855</v>
      </c>
      <c r="C4179" s="1" t="s">
        <v>7856</v>
      </c>
      <c r="D4179" t="b">
        <f ca="1">IF(A4179="","",[1]!s_techanal_rcnthigh(B4179,$B$2,1,3))</f>
        <v>0</v>
      </c>
      <c r="E4179">
        <f ca="1">IF(A4179="","",COUNTIF(D$6:D4179,"True"))</f>
        <v>38</v>
      </c>
      <c r="F4179" t="str">
        <f t="shared" si="65"/>
        <v>603383.SH</v>
      </c>
    </row>
    <row r="4180" spans="1:6" x14ac:dyDescent="0.15">
      <c r="A4180" s="2">
        <v>46089</v>
      </c>
      <c r="B4180" s="1" t="s">
        <v>7857</v>
      </c>
      <c r="C4180" s="1" t="s">
        <v>7858</v>
      </c>
      <c r="D4180" t="b">
        <f ca="1">IF(A4180="","",[1]!s_techanal_rcnthigh(B4180,$B$2,1,3))</f>
        <v>0</v>
      </c>
      <c r="E4180">
        <f ca="1">IF(A4180="","",COUNTIF(D$6:D4180,"True"))</f>
        <v>38</v>
      </c>
      <c r="F4180" t="str">
        <f t="shared" si="65"/>
        <v>603385.SH</v>
      </c>
    </row>
    <row r="4181" spans="1:6" x14ac:dyDescent="0.15">
      <c r="A4181" s="2">
        <v>46089</v>
      </c>
      <c r="B4181" s="1" t="s">
        <v>7859</v>
      </c>
      <c r="C4181" s="1" t="s">
        <v>7860</v>
      </c>
      <c r="D4181" t="b">
        <f ca="1">IF(A4181="","",[1]!s_techanal_rcnthigh(B4181,$B$2,1,3))</f>
        <v>0</v>
      </c>
      <c r="E4181">
        <f ca="1">IF(A4181="","",COUNTIF(D$6:D4181,"True"))</f>
        <v>38</v>
      </c>
      <c r="F4181" t="str">
        <f t="shared" si="65"/>
        <v>603386.SH</v>
      </c>
    </row>
    <row r="4182" spans="1:6" x14ac:dyDescent="0.15">
      <c r="A4182" s="2">
        <v>46089</v>
      </c>
      <c r="B4182" s="1" t="s">
        <v>7861</v>
      </c>
      <c r="C4182" s="1" t="s">
        <v>7862</v>
      </c>
      <c r="D4182" t="b">
        <f ca="1">IF(A4182="","",[1]!s_techanal_rcnthigh(B4182,$B$2,1,3))</f>
        <v>0</v>
      </c>
      <c r="E4182">
        <f ca="1">IF(A4182="","",COUNTIF(D$6:D4182,"True"))</f>
        <v>38</v>
      </c>
      <c r="F4182" t="str">
        <f t="shared" si="65"/>
        <v>603387.SH</v>
      </c>
    </row>
    <row r="4183" spans="1:6" x14ac:dyDescent="0.15">
      <c r="A4183" s="2">
        <v>46089</v>
      </c>
      <c r="B4183" s="1" t="s">
        <v>7863</v>
      </c>
      <c r="C4183" s="1" t="s">
        <v>10528</v>
      </c>
      <c r="D4183" t="b">
        <f ca="1">IF(A4183="","",[1]!s_techanal_rcnthigh(B4183,$B$2,1,3))</f>
        <v>0</v>
      </c>
      <c r="E4183">
        <f ca="1">IF(A4183="","",COUNTIF(D$6:D4183,"True"))</f>
        <v>38</v>
      </c>
      <c r="F4183" t="str">
        <f t="shared" si="65"/>
        <v>603389.SH</v>
      </c>
    </row>
    <row r="4184" spans="1:6" x14ac:dyDescent="0.15">
      <c r="A4184" s="2">
        <v>46089</v>
      </c>
      <c r="B4184" s="1" t="s">
        <v>7864</v>
      </c>
      <c r="C4184" s="1" t="s">
        <v>7865</v>
      </c>
      <c r="D4184" t="b">
        <f ca="1">IF(A4184="","",[1]!s_techanal_rcnthigh(B4184,$B$2,1,3))</f>
        <v>0</v>
      </c>
      <c r="E4184">
        <f ca="1">IF(A4184="","",COUNTIF(D$6:D4184,"True"))</f>
        <v>38</v>
      </c>
      <c r="F4184" t="str">
        <f t="shared" si="65"/>
        <v>603390.SH</v>
      </c>
    </row>
    <row r="4185" spans="1:6" x14ac:dyDescent="0.15">
      <c r="A4185" s="2">
        <v>46089</v>
      </c>
      <c r="B4185" s="1" t="s">
        <v>10529</v>
      </c>
      <c r="C4185" s="1" t="s">
        <v>10530</v>
      </c>
      <c r="D4185" t="b">
        <f ca="1">IF(A4185="","",[1]!s_techanal_rcnthigh(B4185,$B$2,1,3))</f>
        <v>0</v>
      </c>
      <c r="E4185">
        <f ca="1">IF(A4185="","",COUNTIF(D$6:D4185,"True"))</f>
        <v>38</v>
      </c>
      <c r="F4185" t="str">
        <f t="shared" si="65"/>
        <v>603391.SH</v>
      </c>
    </row>
    <row r="4186" spans="1:6" x14ac:dyDescent="0.15">
      <c r="A4186" s="2">
        <v>46089</v>
      </c>
      <c r="B4186" s="1" t="s">
        <v>7866</v>
      </c>
      <c r="C4186" s="1" t="s">
        <v>7867</v>
      </c>
      <c r="D4186" t="b">
        <f ca="1">IF(A4186="","",[1]!s_techanal_rcnthigh(B4186,$B$2,1,3))</f>
        <v>0</v>
      </c>
      <c r="E4186">
        <f ca="1">IF(A4186="","",COUNTIF(D$6:D4186,"True"))</f>
        <v>38</v>
      </c>
      <c r="F4186" t="str">
        <f t="shared" si="65"/>
        <v>603392.SH</v>
      </c>
    </row>
    <row r="4187" spans="1:6" x14ac:dyDescent="0.15">
      <c r="A4187" s="2">
        <v>46089</v>
      </c>
      <c r="B4187" s="1" t="s">
        <v>7868</v>
      </c>
      <c r="C4187" s="1" t="s">
        <v>7869</v>
      </c>
      <c r="D4187" t="b">
        <f ca="1">IF(A4187="","",[1]!s_techanal_rcnthigh(B4187,$B$2,1,3))</f>
        <v>0</v>
      </c>
      <c r="E4187">
        <f ca="1">IF(A4187="","",COUNTIF(D$6:D4187,"True"))</f>
        <v>38</v>
      </c>
      <c r="F4187" t="str">
        <f t="shared" si="65"/>
        <v>603393.SH</v>
      </c>
    </row>
    <row r="4188" spans="1:6" x14ac:dyDescent="0.15">
      <c r="A4188" s="2">
        <v>46089</v>
      </c>
      <c r="B4188" s="1" t="s">
        <v>10531</v>
      </c>
      <c r="C4188" s="1" t="s">
        <v>10532</v>
      </c>
      <c r="D4188" t="b">
        <f ca="1">IF(A4188="","",[1]!s_techanal_rcnthigh(B4188,$B$2,1,3))</f>
        <v>0</v>
      </c>
      <c r="E4188">
        <f ca="1">IF(A4188="","",COUNTIF(D$6:D4188,"True"))</f>
        <v>38</v>
      </c>
      <c r="F4188" t="str">
        <f t="shared" si="65"/>
        <v>603395.SH</v>
      </c>
    </row>
    <row r="4189" spans="1:6" x14ac:dyDescent="0.15">
      <c r="A4189" s="2">
        <v>46089</v>
      </c>
      <c r="B4189" s="1" t="s">
        <v>7870</v>
      </c>
      <c r="C4189" s="1" t="s">
        <v>7871</v>
      </c>
      <c r="D4189" t="b">
        <f ca="1">IF(A4189="","",[1]!s_techanal_rcnthigh(B4189,$B$2,1,3))</f>
        <v>0</v>
      </c>
      <c r="E4189">
        <f ca="1">IF(A4189="","",COUNTIF(D$6:D4189,"True"))</f>
        <v>38</v>
      </c>
      <c r="F4189" t="str">
        <f t="shared" si="65"/>
        <v>603396.SH</v>
      </c>
    </row>
    <row r="4190" spans="1:6" x14ac:dyDescent="0.15">
      <c r="A4190" s="2">
        <v>46089</v>
      </c>
      <c r="B4190" s="1" t="s">
        <v>7872</v>
      </c>
      <c r="C4190" s="1" t="s">
        <v>10533</v>
      </c>
      <c r="D4190" t="b">
        <f ca="1">IF(A4190="","",[1]!s_techanal_rcnthigh(B4190,$B$2,1,3))</f>
        <v>0</v>
      </c>
      <c r="E4190">
        <f ca="1">IF(A4190="","",COUNTIF(D$6:D4190,"True"))</f>
        <v>38</v>
      </c>
      <c r="F4190" t="str">
        <f t="shared" si="65"/>
        <v>603398.SH</v>
      </c>
    </row>
    <row r="4191" spans="1:6" x14ac:dyDescent="0.15">
      <c r="A4191" s="2">
        <v>46089</v>
      </c>
      <c r="B4191" s="1" t="s">
        <v>7873</v>
      </c>
      <c r="C4191" s="1" t="s">
        <v>10534</v>
      </c>
      <c r="D4191" t="b">
        <f ca="1">IF(A4191="","",[1]!s_techanal_rcnthigh(B4191,$B$2,1,3))</f>
        <v>0</v>
      </c>
      <c r="E4191">
        <f ca="1">IF(A4191="","",COUNTIF(D$6:D4191,"True"))</f>
        <v>38</v>
      </c>
      <c r="F4191" t="str">
        <f t="shared" si="65"/>
        <v>603399.SH</v>
      </c>
    </row>
    <row r="4192" spans="1:6" x14ac:dyDescent="0.15">
      <c r="A4192" s="2">
        <v>46089</v>
      </c>
      <c r="B4192" s="1" t="s">
        <v>10535</v>
      </c>
      <c r="C4192" s="1" t="s">
        <v>10536</v>
      </c>
      <c r="D4192" t="b">
        <f ca="1">IF(A4192="","",[1]!s_techanal_rcnthigh(B4192,$B$2,1,3))</f>
        <v>0</v>
      </c>
      <c r="E4192">
        <f ca="1">IF(A4192="","",COUNTIF(D$6:D4192,"True"))</f>
        <v>38</v>
      </c>
      <c r="F4192" t="str">
        <f t="shared" si="65"/>
        <v>603400.SH</v>
      </c>
    </row>
    <row r="4193" spans="1:6" x14ac:dyDescent="0.15">
      <c r="A4193" s="2">
        <v>46089</v>
      </c>
      <c r="B4193" s="1" t="s">
        <v>10537</v>
      </c>
      <c r="C4193" s="1" t="s">
        <v>10538</v>
      </c>
      <c r="D4193" t="b">
        <f ca="1">IF(A4193="","",[1]!s_techanal_rcnthigh(B4193,$B$2,1,3))</f>
        <v>0</v>
      </c>
      <c r="E4193">
        <f ca="1">IF(A4193="","",COUNTIF(D$6:D4193,"True"))</f>
        <v>38</v>
      </c>
      <c r="F4193" t="str">
        <f t="shared" si="65"/>
        <v>603402.SH</v>
      </c>
    </row>
    <row r="4194" spans="1:6" x14ac:dyDescent="0.15">
      <c r="A4194" s="2">
        <v>46089</v>
      </c>
      <c r="B4194" s="1" t="s">
        <v>10539</v>
      </c>
      <c r="C4194" s="1" t="s">
        <v>10540</v>
      </c>
      <c r="D4194" t="b">
        <f ca="1">IF(A4194="","",[1]!s_techanal_rcnthigh(B4194,$B$2,1,3))</f>
        <v>0</v>
      </c>
      <c r="E4194">
        <f ca="1">IF(A4194="","",COUNTIF(D$6:D4194,"True"))</f>
        <v>38</v>
      </c>
      <c r="F4194" t="str">
        <f t="shared" si="65"/>
        <v>603406.SH</v>
      </c>
    </row>
    <row r="4195" spans="1:6" x14ac:dyDescent="0.15">
      <c r="A4195" s="2">
        <v>46089</v>
      </c>
      <c r="B4195" s="1" t="s">
        <v>7874</v>
      </c>
      <c r="C4195" s="1" t="s">
        <v>7875</v>
      </c>
      <c r="D4195" t="b">
        <f ca="1">IF(A4195="","",[1]!s_techanal_rcnthigh(B4195,$B$2,1,3))</f>
        <v>0</v>
      </c>
      <c r="E4195">
        <f ca="1">IF(A4195="","",COUNTIF(D$6:D4195,"True"))</f>
        <v>38</v>
      </c>
      <c r="F4195" t="str">
        <f t="shared" si="65"/>
        <v>603408.SH</v>
      </c>
    </row>
    <row r="4196" spans="1:6" x14ac:dyDescent="0.15">
      <c r="A4196" s="2">
        <v>46089</v>
      </c>
      <c r="B4196" s="1" t="s">
        <v>10541</v>
      </c>
      <c r="C4196" s="1" t="s">
        <v>10542</v>
      </c>
      <c r="D4196" t="b">
        <f ca="1">IF(A4196="","",[1]!s_techanal_rcnthigh(B4196,$B$2,1,3))</f>
        <v>0</v>
      </c>
      <c r="E4196">
        <f ca="1">IF(A4196="","",COUNTIF(D$6:D4196,"True"))</f>
        <v>38</v>
      </c>
      <c r="F4196" t="str">
        <f t="shared" si="65"/>
        <v>603409.SH</v>
      </c>
    </row>
    <row r="4197" spans="1:6" x14ac:dyDescent="0.15">
      <c r="A4197" s="2">
        <v>46089</v>
      </c>
      <c r="B4197" s="1" t="s">
        <v>7876</v>
      </c>
      <c r="C4197" s="1" t="s">
        <v>7877</v>
      </c>
      <c r="D4197" t="b">
        <f ca="1">IF(A4197="","",[1]!s_techanal_rcnthigh(B4197,$B$2,1,3))</f>
        <v>0</v>
      </c>
      <c r="E4197">
        <f ca="1">IF(A4197="","",COUNTIF(D$6:D4197,"True"))</f>
        <v>38</v>
      </c>
      <c r="F4197" t="str">
        <f t="shared" si="65"/>
        <v>603416.SH</v>
      </c>
    </row>
    <row r="4198" spans="1:6" x14ac:dyDescent="0.15">
      <c r="A4198" s="2">
        <v>46089</v>
      </c>
      <c r="B4198" s="1" t="s">
        <v>10543</v>
      </c>
      <c r="C4198" s="1" t="s">
        <v>10544</v>
      </c>
      <c r="D4198" t="b">
        <f ca="1">IF(A4198="","",[1]!s_techanal_rcnthigh(B4198,$B$2,1,3))</f>
        <v>0</v>
      </c>
      <c r="E4198">
        <f ca="1">IF(A4198="","",COUNTIF(D$6:D4198,"True"))</f>
        <v>38</v>
      </c>
      <c r="F4198" t="str">
        <f t="shared" si="65"/>
        <v>603418.SH</v>
      </c>
    </row>
    <row r="4199" spans="1:6" x14ac:dyDescent="0.15">
      <c r="A4199" s="2">
        <v>46089</v>
      </c>
      <c r="B4199" s="1" t="s">
        <v>7878</v>
      </c>
      <c r="C4199" s="1" t="s">
        <v>7879</v>
      </c>
      <c r="D4199" t="b">
        <f ca="1">IF(A4199="","",[1]!s_techanal_rcnthigh(B4199,$B$2,1,3))</f>
        <v>0</v>
      </c>
      <c r="E4199">
        <f ca="1">IF(A4199="","",COUNTIF(D$6:D4199,"True"))</f>
        <v>38</v>
      </c>
      <c r="F4199" t="str">
        <f t="shared" si="65"/>
        <v>603421.SH</v>
      </c>
    </row>
    <row r="4200" spans="1:6" x14ac:dyDescent="0.15">
      <c r="A4200" s="2">
        <v>46089</v>
      </c>
      <c r="B4200" s="1" t="s">
        <v>7880</v>
      </c>
      <c r="C4200" s="1" t="s">
        <v>7881</v>
      </c>
      <c r="D4200" t="b">
        <f ca="1">IF(A4200="","",[1]!s_techanal_rcnthigh(B4200,$B$2,1,3))</f>
        <v>0</v>
      </c>
      <c r="E4200">
        <f ca="1">IF(A4200="","",COUNTIF(D$6:D4200,"True"))</f>
        <v>38</v>
      </c>
      <c r="F4200" t="str">
        <f t="shared" si="65"/>
        <v>603429.SH</v>
      </c>
    </row>
    <row r="4201" spans="1:6" x14ac:dyDescent="0.15">
      <c r="A4201" s="2">
        <v>46089</v>
      </c>
      <c r="B4201" s="1" t="s">
        <v>7882</v>
      </c>
      <c r="C4201" s="1" t="s">
        <v>10545</v>
      </c>
      <c r="D4201" t="b">
        <f ca="1">IF(A4201="","",[1]!s_techanal_rcnthigh(B4201,$B$2,1,3))</f>
        <v>0</v>
      </c>
      <c r="E4201">
        <f ca="1">IF(A4201="","",COUNTIF(D$6:D4201,"True"))</f>
        <v>38</v>
      </c>
      <c r="F4201" t="str">
        <f t="shared" si="65"/>
        <v>603439.SH</v>
      </c>
    </row>
    <row r="4202" spans="1:6" x14ac:dyDescent="0.15">
      <c r="A4202" s="2">
        <v>46089</v>
      </c>
      <c r="B4202" s="1" t="s">
        <v>7883</v>
      </c>
      <c r="C4202" s="1" t="s">
        <v>7884</v>
      </c>
      <c r="D4202" t="b">
        <f ca="1">IF(A4202="","",[1]!s_techanal_rcnthigh(B4202,$B$2,1,3))</f>
        <v>0</v>
      </c>
      <c r="E4202">
        <f ca="1">IF(A4202="","",COUNTIF(D$6:D4202,"True"))</f>
        <v>38</v>
      </c>
      <c r="F4202" t="str">
        <f t="shared" si="65"/>
        <v>603444.SH</v>
      </c>
    </row>
    <row r="4203" spans="1:6" x14ac:dyDescent="0.15">
      <c r="A4203" s="2">
        <v>46089</v>
      </c>
      <c r="B4203" s="1" t="s">
        <v>7885</v>
      </c>
      <c r="C4203" s="1" t="s">
        <v>7886</v>
      </c>
      <c r="D4203" t="b">
        <f ca="1">IF(A4203="","",[1]!s_techanal_rcnthigh(B4203,$B$2,1,3))</f>
        <v>0</v>
      </c>
      <c r="E4203">
        <f ca="1">IF(A4203="","",COUNTIF(D$6:D4203,"True"))</f>
        <v>38</v>
      </c>
      <c r="F4203" t="str">
        <f t="shared" si="65"/>
        <v>603456.SH</v>
      </c>
    </row>
    <row r="4204" spans="1:6" x14ac:dyDescent="0.15">
      <c r="A4204" s="2">
        <v>46089</v>
      </c>
      <c r="B4204" s="1" t="s">
        <v>7887</v>
      </c>
      <c r="C4204" s="1" t="s">
        <v>7888</v>
      </c>
      <c r="D4204" t="b">
        <f ca="1">IF(A4204="","",[1]!s_techanal_rcnthigh(B4204,$B$2,1,3))</f>
        <v>0</v>
      </c>
      <c r="E4204">
        <f ca="1">IF(A4204="","",COUNTIF(D$6:D4204,"True"))</f>
        <v>38</v>
      </c>
      <c r="F4204" t="str">
        <f t="shared" si="65"/>
        <v>603458.SH</v>
      </c>
    </row>
    <row r="4205" spans="1:6" x14ac:dyDescent="0.15">
      <c r="A4205" s="2">
        <v>46089</v>
      </c>
      <c r="B4205" s="1" t="s">
        <v>7889</v>
      </c>
      <c r="C4205" s="1" t="s">
        <v>7890</v>
      </c>
      <c r="D4205" t="b">
        <f ca="1">IF(A4205="","",[1]!s_techanal_rcnthigh(B4205,$B$2,1,3))</f>
        <v>0</v>
      </c>
      <c r="E4205">
        <f ca="1">IF(A4205="","",COUNTIF(D$6:D4205,"True"))</f>
        <v>38</v>
      </c>
      <c r="F4205" t="str">
        <f t="shared" si="65"/>
        <v>603466.SH</v>
      </c>
    </row>
    <row r="4206" spans="1:6" x14ac:dyDescent="0.15">
      <c r="A4206" s="2">
        <v>46089</v>
      </c>
      <c r="B4206" s="1" t="s">
        <v>7891</v>
      </c>
      <c r="C4206" s="1" t="s">
        <v>7892</v>
      </c>
      <c r="D4206" t="b">
        <f ca="1">IF(A4206="","",[1]!s_techanal_rcnthigh(B4206,$B$2,1,3))</f>
        <v>0</v>
      </c>
      <c r="E4206">
        <f ca="1">IF(A4206="","",COUNTIF(D$6:D4206,"True"))</f>
        <v>38</v>
      </c>
      <c r="F4206" t="str">
        <f t="shared" si="65"/>
        <v>603477.SH</v>
      </c>
    </row>
    <row r="4207" spans="1:6" x14ac:dyDescent="0.15">
      <c r="A4207" s="2">
        <v>46089</v>
      </c>
      <c r="B4207" s="1" t="s">
        <v>7893</v>
      </c>
      <c r="C4207" s="1" t="s">
        <v>7894</v>
      </c>
      <c r="D4207" t="b">
        <f ca="1">IF(A4207="","",[1]!s_techanal_rcnthigh(B4207,$B$2,1,3))</f>
        <v>0</v>
      </c>
      <c r="E4207">
        <f ca="1">IF(A4207="","",COUNTIF(D$6:D4207,"True"))</f>
        <v>38</v>
      </c>
      <c r="F4207" t="str">
        <f t="shared" si="65"/>
        <v>603486.SH</v>
      </c>
    </row>
    <row r="4208" spans="1:6" x14ac:dyDescent="0.15">
      <c r="A4208" s="2">
        <v>46089</v>
      </c>
      <c r="B4208" s="1" t="s">
        <v>7895</v>
      </c>
      <c r="C4208" s="1" t="s">
        <v>7896</v>
      </c>
      <c r="D4208" t="b">
        <f ca="1">IF(A4208="","",[1]!s_techanal_rcnthigh(B4208,$B$2,1,3))</f>
        <v>0</v>
      </c>
      <c r="E4208">
        <f ca="1">IF(A4208="","",COUNTIF(D$6:D4208,"True"))</f>
        <v>38</v>
      </c>
      <c r="F4208" t="str">
        <f t="shared" si="65"/>
        <v>603488.SH</v>
      </c>
    </row>
    <row r="4209" spans="1:6" x14ac:dyDescent="0.15">
      <c r="A4209" s="2">
        <v>46089</v>
      </c>
      <c r="B4209" s="1" t="s">
        <v>7897</v>
      </c>
      <c r="C4209" s="1" t="s">
        <v>7898</v>
      </c>
      <c r="D4209" t="b">
        <f ca="1">IF(A4209="","",[1]!s_techanal_rcnthigh(B4209,$B$2,1,3))</f>
        <v>0</v>
      </c>
      <c r="E4209">
        <f ca="1">IF(A4209="","",COUNTIF(D$6:D4209,"True"))</f>
        <v>38</v>
      </c>
      <c r="F4209" t="str">
        <f t="shared" si="65"/>
        <v>603489.SH</v>
      </c>
    </row>
    <row r="4210" spans="1:6" x14ac:dyDescent="0.15">
      <c r="A4210" s="2">
        <v>46089</v>
      </c>
      <c r="B4210" s="1" t="s">
        <v>7899</v>
      </c>
      <c r="C4210" s="1" t="s">
        <v>7900</v>
      </c>
      <c r="D4210" t="b">
        <f ca="1">IF(A4210="","",[1]!s_techanal_rcnthigh(B4210,$B$2,1,3))</f>
        <v>0</v>
      </c>
      <c r="E4210">
        <f ca="1">IF(A4210="","",COUNTIF(D$6:D4210,"True"))</f>
        <v>38</v>
      </c>
      <c r="F4210" t="str">
        <f t="shared" si="65"/>
        <v>603496.SH</v>
      </c>
    </row>
    <row r="4211" spans="1:6" x14ac:dyDescent="0.15">
      <c r="A4211" s="2">
        <v>46089</v>
      </c>
      <c r="B4211" s="1" t="s">
        <v>7901</v>
      </c>
      <c r="C4211" s="1" t="s">
        <v>7902</v>
      </c>
      <c r="D4211" t="b">
        <f ca="1">IF(A4211="","",[1]!s_techanal_rcnthigh(B4211,$B$2,1,3))</f>
        <v>0</v>
      </c>
      <c r="E4211">
        <f ca="1">IF(A4211="","",COUNTIF(D$6:D4211,"True"))</f>
        <v>38</v>
      </c>
      <c r="F4211" t="str">
        <f t="shared" si="65"/>
        <v>603499.SH</v>
      </c>
    </row>
    <row r="4212" spans="1:6" x14ac:dyDescent="0.15">
      <c r="A4212" s="2">
        <v>46089</v>
      </c>
      <c r="B4212" s="1" t="s">
        <v>7903</v>
      </c>
      <c r="C4212" s="1" t="s">
        <v>7904</v>
      </c>
      <c r="D4212" t="b">
        <f ca="1">IF(A4212="","",[1]!s_techanal_rcnthigh(B4212,$B$2,1,3))</f>
        <v>0</v>
      </c>
      <c r="E4212">
        <f ca="1">IF(A4212="","",COUNTIF(D$6:D4212,"True"))</f>
        <v>38</v>
      </c>
      <c r="F4212" t="str">
        <f t="shared" si="65"/>
        <v>603500.SH</v>
      </c>
    </row>
    <row r="4213" spans="1:6" x14ac:dyDescent="0.15">
      <c r="A4213" s="2">
        <v>46089</v>
      </c>
      <c r="B4213" s="1" t="s">
        <v>7905</v>
      </c>
      <c r="C4213" s="1" t="s">
        <v>10546</v>
      </c>
      <c r="D4213" t="b">
        <f ca="1">IF(A4213="","",[1]!s_techanal_rcnthigh(B4213,$B$2,1,3))</f>
        <v>0</v>
      </c>
      <c r="E4213">
        <f ca="1">IF(A4213="","",COUNTIF(D$6:D4213,"True"))</f>
        <v>38</v>
      </c>
      <c r="F4213" t="str">
        <f t="shared" si="65"/>
        <v>603501.SH</v>
      </c>
    </row>
    <row r="4214" spans="1:6" x14ac:dyDescent="0.15">
      <c r="A4214" s="2">
        <v>46089</v>
      </c>
      <c r="B4214" s="1" t="s">
        <v>7906</v>
      </c>
      <c r="C4214" s="1" t="s">
        <v>7907</v>
      </c>
      <c r="D4214" t="b">
        <f ca="1">IF(A4214="","",[1]!s_techanal_rcnthigh(B4214,$B$2,1,3))</f>
        <v>0</v>
      </c>
      <c r="E4214">
        <f ca="1">IF(A4214="","",COUNTIF(D$6:D4214,"True"))</f>
        <v>38</v>
      </c>
      <c r="F4214" t="str">
        <f t="shared" si="65"/>
        <v>603505.SH</v>
      </c>
    </row>
    <row r="4215" spans="1:6" x14ac:dyDescent="0.15">
      <c r="A4215" s="2">
        <v>46089</v>
      </c>
      <c r="B4215" s="1" t="s">
        <v>7908</v>
      </c>
      <c r="C4215" s="1" t="s">
        <v>7909</v>
      </c>
      <c r="D4215" t="b">
        <f ca="1">IF(A4215="","",[1]!s_techanal_rcnthigh(B4215,$B$2,1,3))</f>
        <v>0</v>
      </c>
      <c r="E4215">
        <f ca="1">IF(A4215="","",COUNTIF(D$6:D4215,"True"))</f>
        <v>38</v>
      </c>
      <c r="F4215" t="str">
        <f t="shared" si="65"/>
        <v>603506.SH</v>
      </c>
    </row>
    <row r="4216" spans="1:6" x14ac:dyDescent="0.15">
      <c r="A4216" s="2">
        <v>46089</v>
      </c>
      <c r="B4216" s="1" t="s">
        <v>7910</v>
      </c>
      <c r="C4216" s="1" t="s">
        <v>7911</v>
      </c>
      <c r="D4216" t="b">
        <f ca="1">IF(A4216="","",[1]!s_techanal_rcnthigh(B4216,$B$2,1,3))</f>
        <v>0</v>
      </c>
      <c r="E4216">
        <f ca="1">IF(A4216="","",COUNTIF(D$6:D4216,"True"))</f>
        <v>38</v>
      </c>
      <c r="F4216" t="str">
        <f t="shared" si="65"/>
        <v>603507.SH</v>
      </c>
    </row>
    <row r="4217" spans="1:6" x14ac:dyDescent="0.15">
      <c r="A4217" s="2">
        <v>46089</v>
      </c>
      <c r="B4217" s="1" t="s">
        <v>7912</v>
      </c>
      <c r="C4217" s="1" t="s">
        <v>7913</v>
      </c>
      <c r="D4217" t="b">
        <f ca="1">IF(A4217="","",[1]!s_techanal_rcnthigh(B4217,$B$2,1,3))</f>
        <v>0</v>
      </c>
      <c r="E4217">
        <f ca="1">IF(A4217="","",COUNTIF(D$6:D4217,"True"))</f>
        <v>38</v>
      </c>
      <c r="F4217" t="str">
        <f t="shared" si="65"/>
        <v>603508.SH</v>
      </c>
    </row>
    <row r="4218" spans="1:6" x14ac:dyDescent="0.15">
      <c r="A4218" s="2">
        <v>46089</v>
      </c>
      <c r="B4218" s="1" t="s">
        <v>7914</v>
      </c>
      <c r="C4218" s="1" t="s">
        <v>7915</v>
      </c>
      <c r="D4218" t="b">
        <f ca="1">IF(A4218="","",[1]!s_techanal_rcnthigh(B4218,$B$2,1,3))</f>
        <v>0</v>
      </c>
      <c r="E4218">
        <f ca="1">IF(A4218="","",COUNTIF(D$6:D4218,"True"))</f>
        <v>38</v>
      </c>
      <c r="F4218" t="str">
        <f t="shared" si="65"/>
        <v>603511.SH</v>
      </c>
    </row>
    <row r="4219" spans="1:6" x14ac:dyDescent="0.15">
      <c r="A4219" s="2">
        <v>46089</v>
      </c>
      <c r="B4219" s="1" t="s">
        <v>7916</v>
      </c>
      <c r="C4219" s="1" t="s">
        <v>7917</v>
      </c>
      <c r="D4219" t="b">
        <f ca="1">IF(A4219="","",[1]!s_techanal_rcnthigh(B4219,$B$2,1,3))</f>
        <v>0</v>
      </c>
      <c r="E4219">
        <f ca="1">IF(A4219="","",COUNTIF(D$6:D4219,"True"))</f>
        <v>38</v>
      </c>
      <c r="F4219" t="str">
        <f t="shared" si="65"/>
        <v>603515.SH</v>
      </c>
    </row>
    <row r="4220" spans="1:6" x14ac:dyDescent="0.15">
      <c r="A4220" s="2">
        <v>46089</v>
      </c>
      <c r="B4220" s="1" t="s">
        <v>7918</v>
      </c>
      <c r="C4220" s="1" t="s">
        <v>7919</v>
      </c>
      <c r="D4220" t="b">
        <f ca="1">IF(A4220="","",[1]!s_techanal_rcnthigh(B4220,$B$2,1,3))</f>
        <v>0</v>
      </c>
      <c r="E4220">
        <f ca="1">IF(A4220="","",COUNTIF(D$6:D4220,"True"))</f>
        <v>38</v>
      </c>
      <c r="F4220" t="str">
        <f t="shared" si="65"/>
        <v>603516.SH</v>
      </c>
    </row>
    <row r="4221" spans="1:6" x14ac:dyDescent="0.15">
      <c r="A4221" s="2">
        <v>46089</v>
      </c>
      <c r="B4221" s="1" t="s">
        <v>7920</v>
      </c>
      <c r="C4221" s="1" t="s">
        <v>10547</v>
      </c>
      <c r="D4221" t="b">
        <f ca="1">IF(A4221="","",[1]!s_techanal_rcnthigh(B4221,$B$2,1,3))</f>
        <v>0</v>
      </c>
      <c r="E4221">
        <f ca="1">IF(A4221="","",COUNTIF(D$6:D4221,"True"))</f>
        <v>38</v>
      </c>
      <c r="F4221" t="str">
        <f t="shared" si="65"/>
        <v>603517.SH</v>
      </c>
    </row>
    <row r="4222" spans="1:6" x14ac:dyDescent="0.15">
      <c r="A4222" s="2">
        <v>46089</v>
      </c>
      <c r="B4222" s="1" t="s">
        <v>7921</v>
      </c>
      <c r="C4222" s="1" t="s">
        <v>7922</v>
      </c>
      <c r="D4222" t="b">
        <f ca="1">IF(A4222="","",[1]!s_techanal_rcnthigh(B4222,$B$2,1,3))</f>
        <v>0</v>
      </c>
      <c r="E4222">
        <f ca="1">IF(A4222="","",COUNTIF(D$6:D4222,"True"))</f>
        <v>38</v>
      </c>
      <c r="F4222" t="str">
        <f t="shared" si="65"/>
        <v>603518.SH</v>
      </c>
    </row>
    <row r="4223" spans="1:6" x14ac:dyDescent="0.15">
      <c r="A4223" s="2">
        <v>46089</v>
      </c>
      <c r="B4223" s="1" t="s">
        <v>7923</v>
      </c>
      <c r="C4223" s="1" t="s">
        <v>7924</v>
      </c>
      <c r="D4223" t="b">
        <f ca="1">IF(A4223="","",[1]!s_techanal_rcnthigh(B4223,$B$2,1,3))</f>
        <v>0</v>
      </c>
      <c r="E4223">
        <f ca="1">IF(A4223="","",COUNTIF(D$6:D4223,"True"))</f>
        <v>38</v>
      </c>
      <c r="F4223" t="str">
        <f t="shared" si="65"/>
        <v>603519.SH</v>
      </c>
    </row>
    <row r="4224" spans="1:6" x14ac:dyDescent="0.15">
      <c r="A4224" s="2">
        <v>46089</v>
      </c>
      <c r="B4224" s="1" t="s">
        <v>7925</v>
      </c>
      <c r="C4224" s="1" t="s">
        <v>7926</v>
      </c>
      <c r="D4224" t="b">
        <f ca="1">IF(A4224="","",[1]!s_techanal_rcnthigh(B4224,$B$2,1,3))</f>
        <v>0</v>
      </c>
      <c r="E4224">
        <f ca="1">IF(A4224="","",COUNTIF(D$6:D4224,"True"))</f>
        <v>38</v>
      </c>
      <c r="F4224" t="str">
        <f t="shared" si="65"/>
        <v>603520.SH</v>
      </c>
    </row>
    <row r="4225" spans="1:6" x14ac:dyDescent="0.15">
      <c r="A4225" s="2">
        <v>46089</v>
      </c>
      <c r="B4225" s="1" t="s">
        <v>7927</v>
      </c>
      <c r="C4225" s="1" t="s">
        <v>7928</v>
      </c>
      <c r="D4225" t="b">
        <f ca="1">IF(A4225="","",[1]!s_techanal_rcnthigh(B4225,$B$2,1,3))</f>
        <v>0</v>
      </c>
      <c r="E4225">
        <f ca="1">IF(A4225="","",COUNTIF(D$6:D4225,"True"))</f>
        <v>38</v>
      </c>
      <c r="F4225" t="str">
        <f t="shared" si="65"/>
        <v>603527.SH</v>
      </c>
    </row>
    <row r="4226" spans="1:6" x14ac:dyDescent="0.15">
      <c r="A4226" s="2">
        <v>46089</v>
      </c>
      <c r="B4226" s="1" t="s">
        <v>7929</v>
      </c>
      <c r="C4226" s="1" t="s">
        <v>7930</v>
      </c>
      <c r="D4226" t="b">
        <f ca="1">IF(A4226="","",[1]!s_techanal_rcnthigh(B4226,$B$2,1,3))</f>
        <v>0</v>
      </c>
      <c r="E4226">
        <f ca="1">IF(A4226="","",COUNTIF(D$6:D4226,"True"))</f>
        <v>38</v>
      </c>
      <c r="F4226" t="str">
        <f t="shared" si="65"/>
        <v>603528.SH</v>
      </c>
    </row>
    <row r="4227" spans="1:6" x14ac:dyDescent="0.15">
      <c r="A4227" s="2">
        <v>46089</v>
      </c>
      <c r="B4227" s="1" t="s">
        <v>7931</v>
      </c>
      <c r="C4227" s="1" t="s">
        <v>7932</v>
      </c>
      <c r="D4227" t="b">
        <f ca="1">IF(A4227="","",[1]!s_techanal_rcnthigh(B4227,$B$2,1,3))</f>
        <v>0</v>
      </c>
      <c r="E4227">
        <f ca="1">IF(A4227="","",COUNTIF(D$6:D4227,"True"))</f>
        <v>38</v>
      </c>
      <c r="F4227" t="str">
        <f t="shared" si="65"/>
        <v>603529.SH</v>
      </c>
    </row>
    <row r="4228" spans="1:6" x14ac:dyDescent="0.15">
      <c r="A4228" s="2">
        <v>46089</v>
      </c>
      <c r="B4228" s="1" t="s">
        <v>7933</v>
      </c>
      <c r="C4228" s="1" t="s">
        <v>7934</v>
      </c>
      <c r="D4228" t="b">
        <f ca="1">IF(A4228="","",[1]!s_techanal_rcnthigh(B4228,$B$2,1,3))</f>
        <v>1</v>
      </c>
      <c r="E4228">
        <f ca="1">IF(A4228="","",COUNTIF(D$6:D4228,"True"))</f>
        <v>39</v>
      </c>
      <c r="F4228" t="str">
        <f t="shared" si="65"/>
        <v>603530.SH</v>
      </c>
    </row>
    <row r="4229" spans="1:6" x14ac:dyDescent="0.15">
      <c r="A4229" s="2">
        <v>46089</v>
      </c>
      <c r="B4229" s="1" t="s">
        <v>7935</v>
      </c>
      <c r="C4229" s="1" t="s">
        <v>7936</v>
      </c>
      <c r="D4229" t="b">
        <f ca="1">IF(A4229="","",[1]!s_techanal_rcnthigh(B4229,$B$2,1,3))</f>
        <v>0</v>
      </c>
      <c r="E4229">
        <f ca="1">IF(A4229="","",COUNTIF(D$6:D4229,"True"))</f>
        <v>39</v>
      </c>
      <c r="F4229" t="str">
        <f t="shared" si="65"/>
        <v>603533.SH</v>
      </c>
    </row>
    <row r="4230" spans="1:6" x14ac:dyDescent="0.15">
      <c r="A4230" s="2">
        <v>46089</v>
      </c>
      <c r="B4230" s="1" t="s">
        <v>7937</v>
      </c>
      <c r="C4230" s="1" t="s">
        <v>7938</v>
      </c>
      <c r="D4230" t="b">
        <f ca="1">IF(A4230="","",[1]!s_techanal_rcnthigh(B4230,$B$2,1,3))</f>
        <v>0</v>
      </c>
      <c r="E4230">
        <f ca="1">IF(A4230="","",COUNTIF(D$6:D4230,"True"))</f>
        <v>39</v>
      </c>
      <c r="F4230" t="str">
        <f t="shared" ref="F4230:F4293" si="66">IF(B4230="","",B4230)</f>
        <v>603535.SH</v>
      </c>
    </row>
    <row r="4231" spans="1:6" x14ac:dyDescent="0.15">
      <c r="A4231" s="2">
        <v>46089</v>
      </c>
      <c r="B4231" s="1" t="s">
        <v>7939</v>
      </c>
      <c r="C4231" s="1" t="s">
        <v>7940</v>
      </c>
      <c r="D4231" t="b">
        <f ca="1">IF(A4231="","",[1]!s_techanal_rcnthigh(B4231,$B$2,1,3))</f>
        <v>0</v>
      </c>
      <c r="E4231">
        <f ca="1">IF(A4231="","",COUNTIF(D$6:D4231,"True"))</f>
        <v>39</v>
      </c>
      <c r="F4231" t="str">
        <f t="shared" si="66"/>
        <v>603536.SH</v>
      </c>
    </row>
    <row r="4232" spans="1:6" x14ac:dyDescent="0.15">
      <c r="A4232" s="2">
        <v>46089</v>
      </c>
      <c r="B4232" s="1" t="s">
        <v>7941</v>
      </c>
      <c r="C4232" s="1" t="s">
        <v>7942</v>
      </c>
      <c r="D4232" t="b">
        <f ca="1">IF(A4232="","",[1]!s_techanal_rcnthigh(B4232,$B$2,1,3))</f>
        <v>0</v>
      </c>
      <c r="E4232">
        <f ca="1">IF(A4232="","",COUNTIF(D$6:D4232,"True"))</f>
        <v>39</v>
      </c>
      <c r="F4232" t="str">
        <f t="shared" si="66"/>
        <v>603538.SH</v>
      </c>
    </row>
    <row r="4233" spans="1:6" x14ac:dyDescent="0.15">
      <c r="A4233" s="2">
        <v>46089</v>
      </c>
      <c r="B4233" s="1" t="s">
        <v>7943</v>
      </c>
      <c r="C4233" s="1" t="s">
        <v>10548</v>
      </c>
      <c r="D4233" t="b">
        <f ca="1">IF(A4233="","",[1]!s_techanal_rcnthigh(B4233,$B$2,1,3))</f>
        <v>0</v>
      </c>
      <c r="E4233">
        <f ca="1">IF(A4233="","",COUNTIF(D$6:D4233,"True"))</f>
        <v>39</v>
      </c>
      <c r="F4233" t="str">
        <f t="shared" si="66"/>
        <v>603551.SH</v>
      </c>
    </row>
    <row r="4234" spans="1:6" x14ac:dyDescent="0.15">
      <c r="A4234" s="2">
        <v>46089</v>
      </c>
      <c r="B4234" s="1" t="s">
        <v>7944</v>
      </c>
      <c r="C4234" s="1" t="s">
        <v>7945</v>
      </c>
      <c r="D4234" t="b">
        <f ca="1">IF(A4234="","",[1]!s_techanal_rcnthigh(B4234,$B$2,1,3))</f>
        <v>0</v>
      </c>
      <c r="E4234">
        <f ca="1">IF(A4234="","",COUNTIF(D$6:D4234,"True"))</f>
        <v>39</v>
      </c>
      <c r="F4234" t="str">
        <f t="shared" si="66"/>
        <v>603556.SH</v>
      </c>
    </row>
    <row r="4235" spans="1:6" x14ac:dyDescent="0.15">
      <c r="A4235" s="2">
        <v>46089</v>
      </c>
      <c r="B4235" s="1" t="s">
        <v>7946</v>
      </c>
      <c r="C4235" s="1" t="s">
        <v>7947</v>
      </c>
      <c r="D4235" t="b">
        <f ca="1">IF(A4235="","",[1]!s_techanal_rcnthigh(B4235,$B$2,1,3))</f>
        <v>0</v>
      </c>
      <c r="E4235">
        <f ca="1">IF(A4235="","",COUNTIF(D$6:D4235,"True"))</f>
        <v>39</v>
      </c>
      <c r="F4235" t="str">
        <f t="shared" si="66"/>
        <v>603557.SH</v>
      </c>
    </row>
    <row r="4236" spans="1:6" x14ac:dyDescent="0.15">
      <c r="A4236" s="2">
        <v>46089</v>
      </c>
      <c r="B4236" s="1" t="s">
        <v>7948</v>
      </c>
      <c r="C4236" s="1" t="s">
        <v>7949</v>
      </c>
      <c r="D4236" t="b">
        <f ca="1">IF(A4236="","",[1]!s_techanal_rcnthigh(B4236,$B$2,1,3))</f>
        <v>0</v>
      </c>
      <c r="E4236">
        <f ca="1">IF(A4236="","",COUNTIF(D$6:D4236,"True"))</f>
        <v>39</v>
      </c>
      <c r="F4236" t="str">
        <f t="shared" si="66"/>
        <v>603558.SH</v>
      </c>
    </row>
    <row r="4237" spans="1:6" x14ac:dyDescent="0.15">
      <c r="A4237" s="2">
        <v>46089</v>
      </c>
      <c r="B4237" s="1" t="s">
        <v>7950</v>
      </c>
      <c r="C4237" s="1" t="s">
        <v>7951</v>
      </c>
      <c r="D4237" t="b">
        <f ca="1">IF(A4237="","",[1]!s_techanal_rcnthigh(B4237,$B$2,1,3))</f>
        <v>0</v>
      </c>
      <c r="E4237">
        <f ca="1">IF(A4237="","",COUNTIF(D$6:D4237,"True"))</f>
        <v>39</v>
      </c>
      <c r="F4237" t="str">
        <f t="shared" si="66"/>
        <v>603559.SH</v>
      </c>
    </row>
    <row r="4238" spans="1:6" x14ac:dyDescent="0.15">
      <c r="A4238" s="2">
        <v>46089</v>
      </c>
      <c r="B4238" s="1" t="s">
        <v>7952</v>
      </c>
      <c r="C4238" s="1" t="s">
        <v>7953</v>
      </c>
      <c r="D4238" t="b">
        <f ca="1">IF(A4238="","",[1]!s_techanal_rcnthigh(B4238,$B$2,1,3))</f>
        <v>0</v>
      </c>
      <c r="E4238">
        <f ca="1">IF(A4238="","",COUNTIF(D$6:D4238,"True"))</f>
        <v>39</v>
      </c>
      <c r="F4238" t="str">
        <f t="shared" si="66"/>
        <v>603565.SH</v>
      </c>
    </row>
    <row r="4239" spans="1:6" x14ac:dyDescent="0.15">
      <c r="A4239" s="2">
        <v>46089</v>
      </c>
      <c r="B4239" s="1" t="s">
        <v>7954</v>
      </c>
      <c r="C4239" s="1" t="s">
        <v>7955</v>
      </c>
      <c r="D4239" t="b">
        <f ca="1">IF(A4239="","",[1]!s_techanal_rcnthigh(B4239,$B$2,1,3))</f>
        <v>0</v>
      </c>
      <c r="E4239">
        <f ca="1">IF(A4239="","",COUNTIF(D$6:D4239,"True"))</f>
        <v>39</v>
      </c>
      <c r="F4239" t="str">
        <f t="shared" si="66"/>
        <v>603566.SH</v>
      </c>
    </row>
    <row r="4240" spans="1:6" x14ac:dyDescent="0.15">
      <c r="A4240" s="2">
        <v>46089</v>
      </c>
      <c r="B4240" s="1" t="s">
        <v>7956</v>
      </c>
      <c r="C4240" s="1" t="s">
        <v>7957</v>
      </c>
      <c r="D4240" t="b">
        <f ca="1">IF(A4240="","",[1]!s_techanal_rcnthigh(B4240,$B$2,1,3))</f>
        <v>0</v>
      </c>
      <c r="E4240">
        <f ca="1">IF(A4240="","",COUNTIF(D$6:D4240,"True"))</f>
        <v>39</v>
      </c>
      <c r="F4240" t="str">
        <f t="shared" si="66"/>
        <v>603567.SH</v>
      </c>
    </row>
    <row r="4241" spans="1:6" x14ac:dyDescent="0.15">
      <c r="A4241" s="2">
        <v>46089</v>
      </c>
      <c r="B4241" s="1" t="s">
        <v>7958</v>
      </c>
      <c r="C4241" s="1" t="s">
        <v>7959</v>
      </c>
      <c r="D4241" t="b">
        <f ca="1">IF(A4241="","",[1]!s_techanal_rcnthigh(B4241,$B$2,1,3))</f>
        <v>0</v>
      </c>
      <c r="E4241">
        <f ca="1">IF(A4241="","",COUNTIF(D$6:D4241,"True"))</f>
        <v>39</v>
      </c>
      <c r="F4241" t="str">
        <f t="shared" si="66"/>
        <v>603568.SH</v>
      </c>
    </row>
    <row r="4242" spans="1:6" x14ac:dyDescent="0.15">
      <c r="A4242" s="2">
        <v>46089</v>
      </c>
      <c r="B4242" s="1" t="s">
        <v>7960</v>
      </c>
      <c r="C4242" s="1" t="s">
        <v>7961</v>
      </c>
      <c r="D4242" t="b">
        <f ca="1">IF(A4242="","",[1]!s_techanal_rcnthigh(B4242,$B$2,1,3))</f>
        <v>0</v>
      </c>
      <c r="E4242">
        <f ca="1">IF(A4242="","",COUNTIF(D$6:D4242,"True"))</f>
        <v>39</v>
      </c>
      <c r="F4242" t="str">
        <f t="shared" si="66"/>
        <v>603569.SH</v>
      </c>
    </row>
    <row r="4243" spans="1:6" x14ac:dyDescent="0.15">
      <c r="A4243" s="2">
        <v>46089</v>
      </c>
      <c r="B4243" s="1" t="s">
        <v>7962</v>
      </c>
      <c r="C4243" s="1" t="s">
        <v>7963</v>
      </c>
      <c r="D4243" t="b">
        <f ca="1">IF(A4243="","",[1]!s_techanal_rcnthigh(B4243,$B$2,1,3))</f>
        <v>0</v>
      </c>
      <c r="E4243">
        <f ca="1">IF(A4243="","",COUNTIF(D$6:D4243,"True"))</f>
        <v>39</v>
      </c>
      <c r="F4243" t="str">
        <f t="shared" si="66"/>
        <v>603577.SH</v>
      </c>
    </row>
    <row r="4244" spans="1:6" x14ac:dyDescent="0.15">
      <c r="A4244" s="2">
        <v>46089</v>
      </c>
      <c r="B4244" s="1" t="s">
        <v>7964</v>
      </c>
      <c r="C4244" s="1" t="s">
        <v>7965</v>
      </c>
      <c r="D4244" t="b">
        <f ca="1">IF(A4244="","",[1]!s_techanal_rcnthigh(B4244,$B$2,1,3))</f>
        <v>0</v>
      </c>
      <c r="E4244">
        <f ca="1">IF(A4244="","",COUNTIF(D$6:D4244,"True"))</f>
        <v>39</v>
      </c>
      <c r="F4244" t="str">
        <f t="shared" si="66"/>
        <v>603578.SH</v>
      </c>
    </row>
    <row r="4245" spans="1:6" x14ac:dyDescent="0.15">
      <c r="A4245" s="2">
        <v>46089</v>
      </c>
      <c r="B4245" s="1" t="s">
        <v>7966</v>
      </c>
      <c r="C4245" s="1" t="s">
        <v>7967</v>
      </c>
      <c r="D4245" t="b">
        <f ca="1">IF(A4245="","",[1]!s_techanal_rcnthigh(B4245,$B$2,1,3))</f>
        <v>0</v>
      </c>
      <c r="E4245">
        <f ca="1">IF(A4245="","",COUNTIF(D$6:D4245,"True"))</f>
        <v>39</v>
      </c>
      <c r="F4245" t="str">
        <f t="shared" si="66"/>
        <v>603579.SH</v>
      </c>
    </row>
    <row r="4246" spans="1:6" x14ac:dyDescent="0.15">
      <c r="A4246" s="2">
        <v>46089</v>
      </c>
      <c r="B4246" s="1" t="s">
        <v>7968</v>
      </c>
      <c r="C4246" s="1" t="s">
        <v>10549</v>
      </c>
      <c r="D4246" t="b">
        <f ca="1">IF(A4246="","",[1]!s_techanal_rcnthigh(B4246,$B$2,1,3))</f>
        <v>0</v>
      </c>
      <c r="E4246">
        <f ca="1">IF(A4246="","",COUNTIF(D$6:D4246,"True"))</f>
        <v>39</v>
      </c>
      <c r="F4246" t="str">
        <f t="shared" si="66"/>
        <v>603580.SH</v>
      </c>
    </row>
    <row r="4247" spans="1:6" x14ac:dyDescent="0.15">
      <c r="A4247" s="2">
        <v>46089</v>
      </c>
      <c r="B4247" s="1" t="s">
        <v>7969</v>
      </c>
      <c r="C4247" s="1" t="s">
        <v>7970</v>
      </c>
      <c r="D4247" t="b">
        <f ca="1">IF(A4247="","",[1]!s_techanal_rcnthigh(B4247,$B$2,1,3))</f>
        <v>0</v>
      </c>
      <c r="E4247">
        <f ca="1">IF(A4247="","",COUNTIF(D$6:D4247,"True"))</f>
        <v>39</v>
      </c>
      <c r="F4247" t="str">
        <f t="shared" si="66"/>
        <v>603583.SH</v>
      </c>
    </row>
    <row r="4248" spans="1:6" x14ac:dyDescent="0.15">
      <c r="A4248" s="2">
        <v>46089</v>
      </c>
      <c r="B4248" s="1" t="s">
        <v>7971</v>
      </c>
      <c r="C4248" s="1" t="s">
        <v>7972</v>
      </c>
      <c r="D4248" t="b">
        <f ca="1">IF(A4248="","",[1]!s_techanal_rcnthigh(B4248,$B$2,1,3))</f>
        <v>0</v>
      </c>
      <c r="E4248">
        <f ca="1">IF(A4248="","",COUNTIF(D$6:D4248,"True"))</f>
        <v>39</v>
      </c>
      <c r="F4248" t="str">
        <f t="shared" si="66"/>
        <v>603585.SH</v>
      </c>
    </row>
    <row r="4249" spans="1:6" x14ac:dyDescent="0.15">
      <c r="A4249" s="2">
        <v>46089</v>
      </c>
      <c r="B4249" s="1" t="s">
        <v>7973</v>
      </c>
      <c r="C4249" s="1" t="s">
        <v>7974</v>
      </c>
      <c r="D4249" t="b">
        <f ca="1">IF(A4249="","",[1]!s_techanal_rcnthigh(B4249,$B$2,1,3))</f>
        <v>0</v>
      </c>
      <c r="E4249">
        <f ca="1">IF(A4249="","",COUNTIF(D$6:D4249,"True"))</f>
        <v>39</v>
      </c>
      <c r="F4249" t="str">
        <f t="shared" si="66"/>
        <v>603586.SH</v>
      </c>
    </row>
    <row r="4250" spans="1:6" x14ac:dyDescent="0.15">
      <c r="A4250" s="2">
        <v>46089</v>
      </c>
      <c r="B4250" s="1" t="s">
        <v>7975</v>
      </c>
      <c r="C4250" s="1" t="s">
        <v>7976</v>
      </c>
      <c r="D4250" t="b">
        <f ca="1">IF(A4250="","",[1]!s_techanal_rcnthigh(B4250,$B$2,1,3))</f>
        <v>0</v>
      </c>
      <c r="E4250">
        <f ca="1">IF(A4250="","",COUNTIF(D$6:D4250,"True"))</f>
        <v>39</v>
      </c>
      <c r="F4250" t="str">
        <f t="shared" si="66"/>
        <v>603587.SH</v>
      </c>
    </row>
    <row r="4251" spans="1:6" x14ac:dyDescent="0.15">
      <c r="A4251" s="2">
        <v>46089</v>
      </c>
      <c r="B4251" s="1" t="s">
        <v>7977</v>
      </c>
      <c r="C4251" s="1" t="s">
        <v>7978</v>
      </c>
      <c r="D4251" t="b">
        <f ca="1">IF(A4251="","",[1]!s_techanal_rcnthigh(B4251,$B$2,1,3))</f>
        <v>0</v>
      </c>
      <c r="E4251">
        <f ca="1">IF(A4251="","",COUNTIF(D$6:D4251,"True"))</f>
        <v>39</v>
      </c>
      <c r="F4251" t="str">
        <f t="shared" si="66"/>
        <v>603588.SH</v>
      </c>
    </row>
    <row r="4252" spans="1:6" x14ac:dyDescent="0.15">
      <c r="A4252" s="2">
        <v>46089</v>
      </c>
      <c r="B4252" s="1" t="s">
        <v>7979</v>
      </c>
      <c r="C4252" s="1" t="s">
        <v>7980</v>
      </c>
      <c r="D4252" t="b">
        <f ca="1">IF(A4252="","",[1]!s_techanal_rcnthigh(B4252,$B$2,1,3))</f>
        <v>0</v>
      </c>
      <c r="E4252">
        <f ca="1">IF(A4252="","",COUNTIF(D$6:D4252,"True"))</f>
        <v>39</v>
      </c>
      <c r="F4252" t="str">
        <f t="shared" si="66"/>
        <v>603589.SH</v>
      </c>
    </row>
    <row r="4253" spans="1:6" x14ac:dyDescent="0.15">
      <c r="A4253" s="2">
        <v>46089</v>
      </c>
      <c r="B4253" s="1" t="s">
        <v>7981</v>
      </c>
      <c r="C4253" s="1" t="s">
        <v>7982</v>
      </c>
      <c r="D4253" t="b">
        <f ca="1">IF(A4253="","",[1]!s_techanal_rcnthigh(B4253,$B$2,1,3))</f>
        <v>0</v>
      </c>
      <c r="E4253">
        <f ca="1">IF(A4253="","",COUNTIF(D$6:D4253,"True"))</f>
        <v>39</v>
      </c>
      <c r="F4253" t="str">
        <f t="shared" si="66"/>
        <v>603590.SH</v>
      </c>
    </row>
    <row r="4254" spans="1:6" x14ac:dyDescent="0.15">
      <c r="A4254" s="2">
        <v>46089</v>
      </c>
      <c r="B4254" s="1" t="s">
        <v>7983</v>
      </c>
      <c r="C4254" s="1" t="s">
        <v>10550</v>
      </c>
      <c r="D4254" t="b">
        <f ca="1">IF(A4254="","",[1]!s_techanal_rcnthigh(B4254,$B$2,1,3))</f>
        <v>0</v>
      </c>
      <c r="E4254">
        <f ca="1">IF(A4254="","",COUNTIF(D$6:D4254,"True"))</f>
        <v>39</v>
      </c>
      <c r="F4254" t="str">
        <f t="shared" si="66"/>
        <v>603595.SH</v>
      </c>
    </row>
    <row r="4255" spans="1:6" x14ac:dyDescent="0.15">
      <c r="A4255" s="2">
        <v>46089</v>
      </c>
      <c r="B4255" s="1" t="s">
        <v>7984</v>
      </c>
      <c r="C4255" s="1" t="s">
        <v>7985</v>
      </c>
      <c r="D4255" t="b">
        <f ca="1">IF(A4255="","",[1]!s_techanal_rcnthigh(B4255,$B$2,1,3))</f>
        <v>0</v>
      </c>
      <c r="E4255">
        <f ca="1">IF(A4255="","",COUNTIF(D$6:D4255,"True"))</f>
        <v>39</v>
      </c>
      <c r="F4255" t="str">
        <f t="shared" si="66"/>
        <v>603596.SH</v>
      </c>
    </row>
    <row r="4256" spans="1:6" x14ac:dyDescent="0.15">
      <c r="A4256" s="2">
        <v>46089</v>
      </c>
      <c r="B4256" s="1" t="s">
        <v>7986</v>
      </c>
      <c r="C4256" s="1" t="s">
        <v>7987</v>
      </c>
      <c r="D4256" t="b">
        <f ca="1">IF(A4256="","",[1]!s_techanal_rcnthigh(B4256,$B$2,1,3))</f>
        <v>0</v>
      </c>
      <c r="E4256">
        <f ca="1">IF(A4256="","",COUNTIF(D$6:D4256,"True"))</f>
        <v>39</v>
      </c>
      <c r="F4256" t="str">
        <f t="shared" si="66"/>
        <v>603598.SH</v>
      </c>
    </row>
    <row r="4257" spans="1:6" x14ac:dyDescent="0.15">
      <c r="A4257" s="2">
        <v>46089</v>
      </c>
      <c r="B4257" s="1" t="s">
        <v>7988</v>
      </c>
      <c r="C4257" s="1" t="s">
        <v>7989</v>
      </c>
      <c r="D4257" t="b">
        <f ca="1">IF(A4257="","",[1]!s_techanal_rcnthigh(B4257,$B$2,1,3))</f>
        <v>0</v>
      </c>
      <c r="E4257">
        <f ca="1">IF(A4257="","",COUNTIF(D$6:D4257,"True"))</f>
        <v>39</v>
      </c>
      <c r="F4257" t="str">
        <f t="shared" si="66"/>
        <v>603599.SH</v>
      </c>
    </row>
    <row r="4258" spans="1:6" x14ac:dyDescent="0.15">
      <c r="A4258" s="2">
        <v>46089</v>
      </c>
      <c r="B4258" s="1" t="s">
        <v>7990</v>
      </c>
      <c r="C4258" s="1" t="s">
        <v>7991</v>
      </c>
      <c r="D4258" t="b">
        <f ca="1">IF(A4258="","",[1]!s_techanal_rcnthigh(B4258,$B$2,1,3))</f>
        <v>0</v>
      </c>
      <c r="E4258">
        <f ca="1">IF(A4258="","",COUNTIF(D$6:D4258,"True"))</f>
        <v>39</v>
      </c>
      <c r="F4258" t="str">
        <f t="shared" si="66"/>
        <v>603600.SH</v>
      </c>
    </row>
    <row r="4259" spans="1:6" x14ac:dyDescent="0.15">
      <c r="A4259" s="2">
        <v>46089</v>
      </c>
      <c r="B4259" s="1" t="s">
        <v>7992</v>
      </c>
      <c r="C4259" s="1" t="s">
        <v>7993</v>
      </c>
      <c r="D4259" t="b">
        <f ca="1">IF(A4259="","",[1]!s_techanal_rcnthigh(B4259,$B$2,1,3))</f>
        <v>0</v>
      </c>
      <c r="E4259">
        <f ca="1">IF(A4259="","",COUNTIF(D$6:D4259,"True"))</f>
        <v>39</v>
      </c>
      <c r="F4259" t="str">
        <f t="shared" si="66"/>
        <v>603601.SH</v>
      </c>
    </row>
    <row r="4260" spans="1:6" x14ac:dyDescent="0.15">
      <c r="A4260" s="2">
        <v>46089</v>
      </c>
      <c r="B4260" s="1" t="s">
        <v>7994</v>
      </c>
      <c r="C4260" s="1" t="s">
        <v>7995</v>
      </c>
      <c r="D4260" t="b">
        <f ca="1">IF(A4260="","",[1]!s_techanal_rcnthigh(B4260,$B$2,1,3))</f>
        <v>0</v>
      </c>
      <c r="E4260">
        <f ca="1">IF(A4260="","",COUNTIF(D$6:D4260,"True"))</f>
        <v>39</v>
      </c>
      <c r="F4260" t="str">
        <f t="shared" si="66"/>
        <v>603602.SH</v>
      </c>
    </row>
    <row r="4261" spans="1:6" x14ac:dyDescent="0.15">
      <c r="A4261" s="2">
        <v>46089</v>
      </c>
      <c r="B4261" s="1" t="s">
        <v>7996</v>
      </c>
      <c r="C4261" s="1" t="s">
        <v>7997</v>
      </c>
      <c r="D4261" t="b">
        <f ca="1">IF(A4261="","",[1]!s_techanal_rcnthigh(B4261,$B$2,1,3))</f>
        <v>0</v>
      </c>
      <c r="E4261">
        <f ca="1">IF(A4261="","",COUNTIF(D$6:D4261,"True"))</f>
        <v>39</v>
      </c>
      <c r="F4261" t="str">
        <f t="shared" si="66"/>
        <v>603605.SH</v>
      </c>
    </row>
    <row r="4262" spans="1:6" x14ac:dyDescent="0.15">
      <c r="A4262" s="2">
        <v>46089</v>
      </c>
      <c r="B4262" s="1" t="s">
        <v>7998</v>
      </c>
      <c r="C4262" s="1" t="s">
        <v>7999</v>
      </c>
      <c r="D4262" t="b">
        <f ca="1">IF(A4262="","",[1]!s_techanal_rcnthigh(B4262,$B$2,1,3))</f>
        <v>0</v>
      </c>
      <c r="E4262">
        <f ca="1">IF(A4262="","",COUNTIF(D$6:D4262,"True"))</f>
        <v>39</v>
      </c>
      <c r="F4262" t="str">
        <f t="shared" si="66"/>
        <v>603606.SH</v>
      </c>
    </row>
    <row r="4263" spans="1:6" x14ac:dyDescent="0.15">
      <c r="A4263" s="2">
        <v>46089</v>
      </c>
      <c r="B4263" s="1" t="s">
        <v>8000</v>
      </c>
      <c r="C4263" s="1" t="s">
        <v>8001</v>
      </c>
      <c r="D4263" t="b">
        <f ca="1">IF(A4263="","",[1]!s_techanal_rcnthigh(B4263,$B$2,1,3))</f>
        <v>0</v>
      </c>
      <c r="E4263">
        <f ca="1">IF(A4263="","",COUNTIF(D$6:D4263,"True"))</f>
        <v>39</v>
      </c>
      <c r="F4263" t="str">
        <f t="shared" si="66"/>
        <v>603607.SH</v>
      </c>
    </row>
    <row r="4264" spans="1:6" x14ac:dyDescent="0.15">
      <c r="A4264" s="2">
        <v>46089</v>
      </c>
      <c r="B4264" s="1" t="s">
        <v>8002</v>
      </c>
      <c r="C4264" s="1" t="s">
        <v>8003</v>
      </c>
      <c r="D4264" t="b">
        <f ca="1">IF(A4264="","",[1]!s_techanal_rcnthigh(B4264,$B$2,1,3))</f>
        <v>0</v>
      </c>
      <c r="E4264">
        <f ca="1">IF(A4264="","",COUNTIF(D$6:D4264,"True"))</f>
        <v>39</v>
      </c>
      <c r="F4264" t="str">
        <f t="shared" si="66"/>
        <v>603608.SH</v>
      </c>
    </row>
    <row r="4265" spans="1:6" x14ac:dyDescent="0.15">
      <c r="A4265" s="2">
        <v>46089</v>
      </c>
      <c r="B4265" s="1" t="s">
        <v>8004</v>
      </c>
      <c r="C4265" s="1" t="s">
        <v>8005</v>
      </c>
      <c r="D4265" t="b">
        <f ca="1">IF(A4265="","",[1]!s_techanal_rcnthigh(B4265,$B$2,1,3))</f>
        <v>0</v>
      </c>
      <c r="E4265">
        <f ca="1">IF(A4265="","",COUNTIF(D$6:D4265,"True"))</f>
        <v>39</v>
      </c>
      <c r="F4265" t="str">
        <f t="shared" si="66"/>
        <v>603609.SH</v>
      </c>
    </row>
    <row r="4266" spans="1:6" x14ac:dyDescent="0.15">
      <c r="A4266" s="2">
        <v>46089</v>
      </c>
      <c r="B4266" s="1" t="s">
        <v>8006</v>
      </c>
      <c r="C4266" s="1" t="s">
        <v>8007</v>
      </c>
      <c r="D4266" t="b">
        <f ca="1">IF(A4266="","",[1]!s_techanal_rcnthigh(B4266,$B$2,1,3))</f>
        <v>0</v>
      </c>
      <c r="E4266">
        <f ca="1">IF(A4266="","",COUNTIF(D$6:D4266,"True"))</f>
        <v>39</v>
      </c>
      <c r="F4266" t="str">
        <f t="shared" si="66"/>
        <v>603610.SH</v>
      </c>
    </row>
    <row r="4267" spans="1:6" x14ac:dyDescent="0.15">
      <c r="A4267" s="2">
        <v>46089</v>
      </c>
      <c r="B4267" s="1" t="s">
        <v>8008</v>
      </c>
      <c r="C4267" s="1" t="s">
        <v>8009</v>
      </c>
      <c r="D4267" t="b">
        <f ca="1">IF(A4267="","",[1]!s_techanal_rcnthigh(B4267,$B$2,1,3))</f>
        <v>0</v>
      </c>
      <c r="E4267">
        <f ca="1">IF(A4267="","",COUNTIF(D$6:D4267,"True"))</f>
        <v>39</v>
      </c>
      <c r="F4267" t="str">
        <f t="shared" si="66"/>
        <v>603611.SH</v>
      </c>
    </row>
    <row r="4268" spans="1:6" x14ac:dyDescent="0.15">
      <c r="A4268" s="2">
        <v>46089</v>
      </c>
      <c r="B4268" s="1" t="s">
        <v>8010</v>
      </c>
      <c r="C4268" s="1" t="s">
        <v>8011</v>
      </c>
      <c r="D4268" t="b">
        <f ca="1">IF(A4268="","",[1]!s_techanal_rcnthigh(B4268,$B$2,1,3))</f>
        <v>0</v>
      </c>
      <c r="E4268">
        <f ca="1">IF(A4268="","",COUNTIF(D$6:D4268,"True"))</f>
        <v>39</v>
      </c>
      <c r="F4268" t="str">
        <f t="shared" si="66"/>
        <v>603612.SH</v>
      </c>
    </row>
    <row r="4269" spans="1:6" x14ac:dyDescent="0.15">
      <c r="A4269" s="2">
        <v>46089</v>
      </c>
      <c r="B4269" s="1" t="s">
        <v>8012</v>
      </c>
      <c r="C4269" s="1" t="s">
        <v>8013</v>
      </c>
      <c r="D4269" t="b">
        <f ca="1">IF(A4269="","",[1]!s_techanal_rcnthigh(B4269,$B$2,1,3))</f>
        <v>0</v>
      </c>
      <c r="E4269">
        <f ca="1">IF(A4269="","",COUNTIF(D$6:D4269,"True"))</f>
        <v>39</v>
      </c>
      <c r="F4269" t="str">
        <f t="shared" si="66"/>
        <v>603613.SH</v>
      </c>
    </row>
    <row r="4270" spans="1:6" x14ac:dyDescent="0.15">
      <c r="A4270" s="2">
        <v>46089</v>
      </c>
      <c r="B4270" s="1" t="s">
        <v>8014</v>
      </c>
      <c r="C4270" s="1" t="s">
        <v>8015</v>
      </c>
      <c r="D4270" t="b">
        <f ca="1">IF(A4270="","",[1]!s_techanal_rcnthigh(B4270,$B$2,1,3))</f>
        <v>0</v>
      </c>
      <c r="E4270">
        <f ca="1">IF(A4270="","",COUNTIF(D$6:D4270,"True"))</f>
        <v>39</v>
      </c>
      <c r="F4270" t="str">
        <f t="shared" si="66"/>
        <v>603615.SH</v>
      </c>
    </row>
    <row r="4271" spans="1:6" x14ac:dyDescent="0.15">
      <c r="A4271" s="2">
        <v>46089</v>
      </c>
      <c r="B4271" s="1" t="s">
        <v>8016</v>
      </c>
      <c r="C4271" s="1" t="s">
        <v>8017</v>
      </c>
      <c r="D4271" t="b">
        <f ca="1">IF(A4271="","",[1]!s_techanal_rcnthigh(B4271,$B$2,1,3))</f>
        <v>0</v>
      </c>
      <c r="E4271">
        <f ca="1">IF(A4271="","",COUNTIF(D$6:D4271,"True"))</f>
        <v>39</v>
      </c>
      <c r="F4271" t="str">
        <f t="shared" si="66"/>
        <v>603616.SH</v>
      </c>
    </row>
    <row r="4272" spans="1:6" x14ac:dyDescent="0.15">
      <c r="A4272" s="2">
        <v>46089</v>
      </c>
      <c r="B4272" s="1" t="s">
        <v>8018</v>
      </c>
      <c r="C4272" s="1" t="s">
        <v>8019</v>
      </c>
      <c r="D4272" t="b">
        <f ca="1">IF(A4272="","",[1]!s_techanal_rcnthigh(B4272,$B$2,1,3))</f>
        <v>0</v>
      </c>
      <c r="E4272">
        <f ca="1">IF(A4272="","",COUNTIF(D$6:D4272,"True"))</f>
        <v>39</v>
      </c>
      <c r="F4272" t="str">
        <f t="shared" si="66"/>
        <v>603617.SH</v>
      </c>
    </row>
    <row r="4273" spans="1:6" x14ac:dyDescent="0.15">
      <c r="A4273" s="2">
        <v>46089</v>
      </c>
      <c r="B4273" s="1" t="s">
        <v>8020</v>
      </c>
      <c r="C4273" s="1" t="s">
        <v>8021</v>
      </c>
      <c r="D4273" t="b">
        <f ca="1">IF(A4273="","",[1]!s_techanal_rcnthigh(B4273,$B$2,1,3))</f>
        <v>1</v>
      </c>
      <c r="E4273">
        <f ca="1">IF(A4273="","",COUNTIF(D$6:D4273,"True"))</f>
        <v>40</v>
      </c>
      <c r="F4273" t="str">
        <f t="shared" si="66"/>
        <v>603618.SH</v>
      </c>
    </row>
    <row r="4274" spans="1:6" x14ac:dyDescent="0.15">
      <c r="A4274" s="2">
        <v>46089</v>
      </c>
      <c r="B4274" s="1" t="s">
        <v>8022</v>
      </c>
      <c r="C4274" s="1" t="s">
        <v>8023</v>
      </c>
      <c r="D4274" t="b">
        <f ca="1">IF(A4274="","",[1]!s_techanal_rcnthigh(B4274,$B$2,1,3))</f>
        <v>0</v>
      </c>
      <c r="E4274">
        <f ca="1">IF(A4274="","",COUNTIF(D$6:D4274,"True"))</f>
        <v>40</v>
      </c>
      <c r="F4274" t="str">
        <f t="shared" si="66"/>
        <v>603619.SH</v>
      </c>
    </row>
    <row r="4275" spans="1:6" x14ac:dyDescent="0.15">
      <c r="A4275" s="2">
        <v>46089</v>
      </c>
      <c r="B4275" s="1" t="s">
        <v>8024</v>
      </c>
      <c r="C4275" s="1" t="s">
        <v>8025</v>
      </c>
      <c r="D4275" t="b">
        <f ca="1">IF(A4275="","",[1]!s_techanal_rcnthigh(B4275,$B$2,1,3))</f>
        <v>0</v>
      </c>
      <c r="E4275">
        <f ca="1">IF(A4275="","",COUNTIF(D$6:D4275,"True"))</f>
        <v>40</v>
      </c>
      <c r="F4275" t="str">
        <f t="shared" si="66"/>
        <v>603626.SH</v>
      </c>
    </row>
    <row r="4276" spans="1:6" x14ac:dyDescent="0.15">
      <c r="A4276" s="2">
        <v>46089</v>
      </c>
      <c r="B4276" s="1" t="s">
        <v>8026</v>
      </c>
      <c r="C4276" s="1" t="s">
        <v>8027</v>
      </c>
      <c r="D4276" t="b">
        <f ca="1">IF(A4276="","",[1]!s_techanal_rcnthigh(B4276,$B$2,1,3))</f>
        <v>0</v>
      </c>
      <c r="E4276">
        <f ca="1">IF(A4276="","",COUNTIF(D$6:D4276,"True"))</f>
        <v>40</v>
      </c>
      <c r="F4276" t="str">
        <f t="shared" si="66"/>
        <v>603628.SH</v>
      </c>
    </row>
    <row r="4277" spans="1:6" x14ac:dyDescent="0.15">
      <c r="A4277" s="2">
        <v>46089</v>
      </c>
      <c r="B4277" s="1" t="s">
        <v>8028</v>
      </c>
      <c r="C4277" s="1" t="s">
        <v>8029</v>
      </c>
      <c r="D4277" t="b">
        <f ca="1">IF(A4277="","",[1]!s_techanal_rcnthigh(B4277,$B$2,1,3))</f>
        <v>0</v>
      </c>
      <c r="E4277">
        <f ca="1">IF(A4277="","",COUNTIF(D$6:D4277,"True"))</f>
        <v>40</v>
      </c>
      <c r="F4277" t="str">
        <f t="shared" si="66"/>
        <v>603629.SH</v>
      </c>
    </row>
    <row r="4278" spans="1:6" x14ac:dyDescent="0.15">
      <c r="A4278" s="2">
        <v>46089</v>
      </c>
      <c r="B4278" s="1" t="s">
        <v>8030</v>
      </c>
      <c r="C4278" s="1" t="s">
        <v>8031</v>
      </c>
      <c r="D4278" t="b">
        <f ca="1">IF(A4278="","",[1]!s_techanal_rcnthigh(B4278,$B$2,1,3))</f>
        <v>0</v>
      </c>
      <c r="E4278">
        <f ca="1">IF(A4278="","",COUNTIF(D$6:D4278,"True"))</f>
        <v>40</v>
      </c>
      <c r="F4278" t="str">
        <f t="shared" si="66"/>
        <v>603630.SH</v>
      </c>
    </row>
    <row r="4279" spans="1:6" x14ac:dyDescent="0.15">
      <c r="A4279" s="2">
        <v>46089</v>
      </c>
      <c r="B4279" s="1" t="s">
        <v>8032</v>
      </c>
      <c r="C4279" s="1" t="s">
        <v>8033</v>
      </c>
      <c r="D4279" t="b">
        <f ca="1">IF(A4279="","",[1]!s_techanal_rcnthigh(B4279,$B$2,1,3))</f>
        <v>0</v>
      </c>
      <c r="E4279">
        <f ca="1">IF(A4279="","",COUNTIF(D$6:D4279,"True"))</f>
        <v>40</v>
      </c>
      <c r="F4279" t="str">
        <f t="shared" si="66"/>
        <v>603633.SH</v>
      </c>
    </row>
    <row r="4280" spans="1:6" x14ac:dyDescent="0.15">
      <c r="A4280" s="2">
        <v>46089</v>
      </c>
      <c r="B4280" s="1" t="s">
        <v>8034</v>
      </c>
      <c r="C4280" s="1" t="s">
        <v>8035</v>
      </c>
      <c r="D4280" t="b">
        <f ca="1">IF(A4280="","",[1]!s_techanal_rcnthigh(B4280,$B$2,1,3))</f>
        <v>0</v>
      </c>
      <c r="E4280">
        <f ca="1">IF(A4280="","",COUNTIF(D$6:D4280,"True"))</f>
        <v>40</v>
      </c>
      <c r="F4280" t="str">
        <f t="shared" si="66"/>
        <v>603636.SH</v>
      </c>
    </row>
    <row r="4281" spans="1:6" x14ac:dyDescent="0.15">
      <c r="A4281" s="2">
        <v>46089</v>
      </c>
      <c r="B4281" s="1" t="s">
        <v>8036</v>
      </c>
      <c r="C4281" s="1" t="s">
        <v>8037</v>
      </c>
      <c r="D4281" t="b">
        <f ca="1">IF(A4281="","",[1]!s_techanal_rcnthigh(B4281,$B$2,1,3))</f>
        <v>0</v>
      </c>
      <c r="E4281">
        <f ca="1">IF(A4281="","",COUNTIF(D$6:D4281,"True"))</f>
        <v>40</v>
      </c>
      <c r="F4281" t="str">
        <f t="shared" si="66"/>
        <v>603637.SH</v>
      </c>
    </row>
    <row r="4282" spans="1:6" x14ac:dyDescent="0.15">
      <c r="A4282" s="2">
        <v>46089</v>
      </c>
      <c r="B4282" s="1" t="s">
        <v>8038</v>
      </c>
      <c r="C4282" s="1" t="s">
        <v>8039</v>
      </c>
      <c r="D4282" t="b">
        <f ca="1">IF(A4282="","",[1]!s_techanal_rcnthigh(B4282,$B$2,1,3))</f>
        <v>0</v>
      </c>
      <c r="E4282">
        <f ca="1">IF(A4282="","",COUNTIF(D$6:D4282,"True"))</f>
        <v>40</v>
      </c>
      <c r="F4282" t="str">
        <f t="shared" si="66"/>
        <v>603638.SH</v>
      </c>
    </row>
    <row r="4283" spans="1:6" x14ac:dyDescent="0.15">
      <c r="A4283" s="2">
        <v>46089</v>
      </c>
      <c r="B4283" s="1" t="s">
        <v>8040</v>
      </c>
      <c r="C4283" s="1" t="s">
        <v>8041</v>
      </c>
      <c r="D4283" t="b">
        <f ca="1">IF(A4283="","",[1]!s_techanal_rcnthigh(B4283,$B$2,1,3))</f>
        <v>0</v>
      </c>
      <c r="E4283">
        <f ca="1">IF(A4283="","",COUNTIF(D$6:D4283,"True"))</f>
        <v>40</v>
      </c>
      <c r="F4283" t="str">
        <f t="shared" si="66"/>
        <v>603639.SH</v>
      </c>
    </row>
    <row r="4284" spans="1:6" x14ac:dyDescent="0.15">
      <c r="A4284" s="2">
        <v>46089</v>
      </c>
      <c r="B4284" s="1" t="s">
        <v>8042</v>
      </c>
      <c r="C4284" s="1" t="s">
        <v>8043</v>
      </c>
      <c r="D4284" t="b">
        <f ca="1">IF(A4284="","",[1]!s_techanal_rcnthigh(B4284,$B$2,1,3))</f>
        <v>0</v>
      </c>
      <c r="E4284">
        <f ca="1">IF(A4284="","",COUNTIF(D$6:D4284,"True"))</f>
        <v>40</v>
      </c>
      <c r="F4284" t="str">
        <f t="shared" si="66"/>
        <v>603648.SH</v>
      </c>
    </row>
    <row r="4285" spans="1:6" x14ac:dyDescent="0.15">
      <c r="A4285" s="2">
        <v>46089</v>
      </c>
      <c r="B4285" s="1" t="s">
        <v>8044</v>
      </c>
      <c r="C4285" s="1" t="s">
        <v>8045</v>
      </c>
      <c r="D4285" t="b">
        <f ca="1">IF(A4285="","",[1]!s_techanal_rcnthigh(B4285,$B$2,1,3))</f>
        <v>0</v>
      </c>
      <c r="E4285">
        <f ca="1">IF(A4285="","",COUNTIF(D$6:D4285,"True"))</f>
        <v>40</v>
      </c>
      <c r="F4285" t="str">
        <f t="shared" si="66"/>
        <v>603650.SH</v>
      </c>
    </row>
    <row r="4286" spans="1:6" x14ac:dyDescent="0.15">
      <c r="A4286" s="2">
        <v>46089</v>
      </c>
      <c r="B4286" s="1" t="s">
        <v>8046</v>
      </c>
      <c r="C4286" s="1" t="s">
        <v>8047</v>
      </c>
      <c r="D4286" t="b">
        <f ca="1">IF(A4286="","",[1]!s_techanal_rcnthigh(B4286,$B$2,1,3))</f>
        <v>0</v>
      </c>
      <c r="E4286">
        <f ca="1">IF(A4286="","",COUNTIF(D$6:D4286,"True"))</f>
        <v>40</v>
      </c>
      <c r="F4286" t="str">
        <f t="shared" si="66"/>
        <v>603655.SH</v>
      </c>
    </row>
    <row r="4287" spans="1:6" x14ac:dyDescent="0.15">
      <c r="A4287" s="2">
        <v>46089</v>
      </c>
      <c r="B4287" s="1" t="s">
        <v>8048</v>
      </c>
      <c r="C4287" s="1" t="s">
        <v>8049</v>
      </c>
      <c r="D4287" t="b">
        <f ca="1">IF(A4287="","",[1]!s_techanal_rcnthigh(B4287,$B$2,1,3))</f>
        <v>0</v>
      </c>
      <c r="E4287">
        <f ca="1">IF(A4287="","",COUNTIF(D$6:D4287,"True"))</f>
        <v>40</v>
      </c>
      <c r="F4287" t="str">
        <f t="shared" si="66"/>
        <v>603656.SH</v>
      </c>
    </row>
    <row r="4288" spans="1:6" x14ac:dyDescent="0.15">
      <c r="A4288" s="2">
        <v>46089</v>
      </c>
      <c r="B4288" s="1" t="s">
        <v>8050</v>
      </c>
      <c r="C4288" s="1" t="s">
        <v>8051</v>
      </c>
      <c r="D4288" t="b">
        <f ca="1">IF(A4288="","",[1]!s_techanal_rcnthigh(B4288,$B$2,1,3))</f>
        <v>0</v>
      </c>
      <c r="E4288">
        <f ca="1">IF(A4288="","",COUNTIF(D$6:D4288,"True"))</f>
        <v>40</v>
      </c>
      <c r="F4288" t="str">
        <f t="shared" si="66"/>
        <v>603657.SH</v>
      </c>
    </row>
    <row r="4289" spans="1:6" x14ac:dyDescent="0.15">
      <c r="A4289" s="2">
        <v>46089</v>
      </c>
      <c r="B4289" s="1" t="s">
        <v>8052</v>
      </c>
      <c r="C4289" s="1" t="s">
        <v>8053</v>
      </c>
      <c r="D4289" t="b">
        <f ca="1">IF(A4289="","",[1]!s_techanal_rcnthigh(B4289,$B$2,1,3))</f>
        <v>0</v>
      </c>
      <c r="E4289">
        <f ca="1">IF(A4289="","",COUNTIF(D$6:D4289,"True"))</f>
        <v>40</v>
      </c>
      <c r="F4289" t="str">
        <f t="shared" si="66"/>
        <v>603658.SH</v>
      </c>
    </row>
    <row r="4290" spans="1:6" x14ac:dyDescent="0.15">
      <c r="A4290" s="2">
        <v>46089</v>
      </c>
      <c r="B4290" s="1" t="s">
        <v>8054</v>
      </c>
      <c r="C4290" s="1" t="s">
        <v>8055</v>
      </c>
      <c r="D4290" t="b">
        <f ca="1">IF(A4290="","",[1]!s_techanal_rcnthigh(B4290,$B$2,1,3))</f>
        <v>0</v>
      </c>
      <c r="E4290">
        <f ca="1">IF(A4290="","",COUNTIF(D$6:D4290,"True"))</f>
        <v>40</v>
      </c>
      <c r="F4290" t="str">
        <f t="shared" si="66"/>
        <v>603659.SH</v>
      </c>
    </row>
    <row r="4291" spans="1:6" x14ac:dyDescent="0.15">
      <c r="A4291" s="2">
        <v>46089</v>
      </c>
      <c r="B4291" s="1" t="s">
        <v>8056</v>
      </c>
      <c r="C4291" s="1" t="s">
        <v>8057</v>
      </c>
      <c r="D4291" t="b">
        <f ca="1">IF(A4291="","",[1]!s_techanal_rcnthigh(B4291,$B$2,1,3))</f>
        <v>0</v>
      </c>
      <c r="E4291">
        <f ca="1">IF(A4291="","",COUNTIF(D$6:D4291,"True"))</f>
        <v>40</v>
      </c>
      <c r="F4291" t="str">
        <f t="shared" si="66"/>
        <v>603660.SH</v>
      </c>
    </row>
    <row r="4292" spans="1:6" x14ac:dyDescent="0.15">
      <c r="A4292" s="2">
        <v>46089</v>
      </c>
      <c r="B4292" s="1" t="s">
        <v>8058</v>
      </c>
      <c r="C4292" s="1" t="s">
        <v>8059</v>
      </c>
      <c r="D4292" t="b">
        <f ca="1">IF(A4292="","",[1]!s_techanal_rcnthigh(B4292,$B$2,1,3))</f>
        <v>0</v>
      </c>
      <c r="E4292">
        <f ca="1">IF(A4292="","",COUNTIF(D$6:D4292,"True"))</f>
        <v>40</v>
      </c>
      <c r="F4292" t="str">
        <f t="shared" si="66"/>
        <v>603661.SH</v>
      </c>
    </row>
    <row r="4293" spans="1:6" x14ac:dyDescent="0.15">
      <c r="A4293" s="2">
        <v>46089</v>
      </c>
      <c r="B4293" s="1" t="s">
        <v>8060</v>
      </c>
      <c r="C4293" s="1" t="s">
        <v>8061</v>
      </c>
      <c r="D4293" t="b">
        <f ca="1">IF(A4293="","",[1]!s_techanal_rcnthigh(B4293,$B$2,1,3))</f>
        <v>0</v>
      </c>
      <c r="E4293">
        <f ca="1">IF(A4293="","",COUNTIF(D$6:D4293,"True"))</f>
        <v>40</v>
      </c>
      <c r="F4293" t="str">
        <f t="shared" si="66"/>
        <v>603662.SH</v>
      </c>
    </row>
    <row r="4294" spans="1:6" x14ac:dyDescent="0.15">
      <c r="A4294" s="2">
        <v>46089</v>
      </c>
      <c r="B4294" s="1" t="s">
        <v>8062</v>
      </c>
      <c r="C4294" s="1" t="s">
        <v>8063</v>
      </c>
      <c r="D4294" t="b">
        <f ca="1">IF(A4294="","",[1]!s_techanal_rcnthigh(B4294,$B$2,1,3))</f>
        <v>0</v>
      </c>
      <c r="E4294">
        <f ca="1">IF(A4294="","",COUNTIF(D$6:D4294,"True"))</f>
        <v>40</v>
      </c>
      <c r="F4294" t="str">
        <f t="shared" ref="F4294:F4357" si="67">IF(B4294="","",B4294)</f>
        <v>603663.SH</v>
      </c>
    </row>
    <row r="4295" spans="1:6" x14ac:dyDescent="0.15">
      <c r="A4295" s="2">
        <v>46089</v>
      </c>
      <c r="B4295" s="1" t="s">
        <v>8064</v>
      </c>
      <c r="C4295" s="1" t="s">
        <v>8065</v>
      </c>
      <c r="D4295" t="b">
        <f ca="1">IF(A4295="","",[1]!s_techanal_rcnthigh(B4295,$B$2,1,3))</f>
        <v>0</v>
      </c>
      <c r="E4295">
        <f ca="1">IF(A4295="","",COUNTIF(D$6:D4295,"True"))</f>
        <v>40</v>
      </c>
      <c r="F4295" t="str">
        <f t="shared" si="67"/>
        <v>603665.SH</v>
      </c>
    </row>
    <row r="4296" spans="1:6" x14ac:dyDescent="0.15">
      <c r="A4296" s="2">
        <v>46089</v>
      </c>
      <c r="B4296" s="1" t="s">
        <v>8066</v>
      </c>
      <c r="C4296" s="1" t="s">
        <v>8067</v>
      </c>
      <c r="D4296" t="b">
        <f ca="1">IF(A4296="","",[1]!s_techanal_rcnthigh(B4296,$B$2,1,3))</f>
        <v>0</v>
      </c>
      <c r="E4296">
        <f ca="1">IF(A4296="","",COUNTIF(D$6:D4296,"True"))</f>
        <v>40</v>
      </c>
      <c r="F4296" t="str">
        <f t="shared" si="67"/>
        <v>603666.SH</v>
      </c>
    </row>
    <row r="4297" spans="1:6" x14ac:dyDescent="0.15">
      <c r="A4297" s="2">
        <v>46089</v>
      </c>
      <c r="B4297" s="1" t="s">
        <v>8068</v>
      </c>
      <c r="C4297" s="1" t="s">
        <v>8069</v>
      </c>
      <c r="D4297" t="b">
        <f ca="1">IF(A4297="","",[1]!s_techanal_rcnthigh(B4297,$B$2,1,3))</f>
        <v>0</v>
      </c>
      <c r="E4297">
        <f ca="1">IF(A4297="","",COUNTIF(D$6:D4297,"True"))</f>
        <v>40</v>
      </c>
      <c r="F4297" t="str">
        <f t="shared" si="67"/>
        <v>603667.SH</v>
      </c>
    </row>
    <row r="4298" spans="1:6" x14ac:dyDescent="0.15">
      <c r="A4298" s="2">
        <v>46089</v>
      </c>
      <c r="B4298" s="1" t="s">
        <v>8070</v>
      </c>
      <c r="C4298" s="1" t="s">
        <v>8071</v>
      </c>
      <c r="D4298" t="b">
        <f ca="1">IF(A4298="","",[1]!s_techanal_rcnthigh(B4298,$B$2,1,3))</f>
        <v>0</v>
      </c>
      <c r="E4298">
        <f ca="1">IF(A4298="","",COUNTIF(D$6:D4298,"True"))</f>
        <v>40</v>
      </c>
      <c r="F4298" t="str">
        <f t="shared" si="67"/>
        <v>603668.SH</v>
      </c>
    </row>
    <row r="4299" spans="1:6" x14ac:dyDescent="0.15">
      <c r="A4299" s="2">
        <v>46089</v>
      </c>
      <c r="B4299" s="1" t="s">
        <v>8072</v>
      </c>
      <c r="C4299" s="1" t="s">
        <v>8073</v>
      </c>
      <c r="D4299" t="b">
        <f ca="1">IF(A4299="","",[1]!s_techanal_rcnthigh(B4299,$B$2,1,3))</f>
        <v>0</v>
      </c>
      <c r="E4299">
        <f ca="1">IF(A4299="","",COUNTIF(D$6:D4299,"True"))</f>
        <v>40</v>
      </c>
      <c r="F4299" t="str">
        <f t="shared" si="67"/>
        <v>603669.SH</v>
      </c>
    </row>
    <row r="4300" spans="1:6" x14ac:dyDescent="0.15">
      <c r="A4300" s="2">
        <v>46089</v>
      </c>
      <c r="B4300" s="1" t="s">
        <v>8074</v>
      </c>
      <c r="C4300" s="1" t="s">
        <v>8075</v>
      </c>
      <c r="D4300" t="b">
        <f ca="1">IF(A4300="","",[1]!s_techanal_rcnthigh(B4300,$B$2,1,3))</f>
        <v>0</v>
      </c>
      <c r="E4300">
        <f ca="1">IF(A4300="","",COUNTIF(D$6:D4300,"True"))</f>
        <v>40</v>
      </c>
      <c r="F4300" t="str">
        <f t="shared" si="67"/>
        <v>603676.SH</v>
      </c>
    </row>
    <row r="4301" spans="1:6" x14ac:dyDescent="0.15">
      <c r="A4301" s="2">
        <v>46089</v>
      </c>
      <c r="B4301" s="1" t="s">
        <v>8076</v>
      </c>
      <c r="C4301" s="1" t="s">
        <v>8077</v>
      </c>
      <c r="D4301" t="b">
        <f ca="1">IF(A4301="","",[1]!s_techanal_rcnthigh(B4301,$B$2,1,3))</f>
        <v>0</v>
      </c>
      <c r="E4301">
        <f ca="1">IF(A4301="","",COUNTIF(D$6:D4301,"True"))</f>
        <v>40</v>
      </c>
      <c r="F4301" t="str">
        <f t="shared" si="67"/>
        <v>603677.SH</v>
      </c>
    </row>
    <row r="4302" spans="1:6" x14ac:dyDescent="0.15">
      <c r="A4302" s="2">
        <v>46089</v>
      </c>
      <c r="B4302" s="1" t="s">
        <v>8078</v>
      </c>
      <c r="C4302" s="1" t="s">
        <v>8079</v>
      </c>
      <c r="D4302" t="b">
        <f ca="1">IF(A4302="","",[1]!s_techanal_rcnthigh(B4302,$B$2,1,3))</f>
        <v>0</v>
      </c>
      <c r="E4302">
        <f ca="1">IF(A4302="","",COUNTIF(D$6:D4302,"True"))</f>
        <v>40</v>
      </c>
      <c r="F4302" t="str">
        <f t="shared" si="67"/>
        <v>603678.SH</v>
      </c>
    </row>
    <row r="4303" spans="1:6" x14ac:dyDescent="0.15">
      <c r="A4303" s="2">
        <v>46089</v>
      </c>
      <c r="B4303" s="1" t="s">
        <v>8080</v>
      </c>
      <c r="C4303" s="1" t="s">
        <v>8081</v>
      </c>
      <c r="D4303" t="b">
        <f ca="1">IF(A4303="","",[1]!s_techanal_rcnthigh(B4303,$B$2,1,3))</f>
        <v>0</v>
      </c>
      <c r="E4303">
        <f ca="1">IF(A4303="","",COUNTIF(D$6:D4303,"True"))</f>
        <v>40</v>
      </c>
      <c r="F4303" t="str">
        <f t="shared" si="67"/>
        <v>603679.SH</v>
      </c>
    </row>
    <row r="4304" spans="1:6" x14ac:dyDescent="0.15">
      <c r="A4304" s="2">
        <v>46089</v>
      </c>
      <c r="B4304" s="1" t="s">
        <v>8082</v>
      </c>
      <c r="C4304" s="1" t="s">
        <v>8083</v>
      </c>
      <c r="D4304" t="b">
        <f ca="1">IF(A4304="","",[1]!s_techanal_rcnthigh(B4304,$B$2,1,3))</f>
        <v>0</v>
      </c>
      <c r="E4304">
        <f ca="1">IF(A4304="","",COUNTIF(D$6:D4304,"True"))</f>
        <v>40</v>
      </c>
      <c r="F4304" t="str">
        <f t="shared" si="67"/>
        <v>603680.SH</v>
      </c>
    </row>
    <row r="4305" spans="1:6" x14ac:dyDescent="0.15">
      <c r="A4305" s="2">
        <v>46089</v>
      </c>
      <c r="B4305" s="1" t="s">
        <v>8084</v>
      </c>
      <c r="C4305" s="1" t="s">
        <v>8085</v>
      </c>
      <c r="D4305" t="b">
        <f ca="1">IF(A4305="","",[1]!s_techanal_rcnthigh(B4305,$B$2,1,3))</f>
        <v>0</v>
      </c>
      <c r="E4305">
        <f ca="1">IF(A4305="","",COUNTIF(D$6:D4305,"True"))</f>
        <v>40</v>
      </c>
      <c r="F4305" t="str">
        <f t="shared" si="67"/>
        <v>603681.SH</v>
      </c>
    </row>
    <row r="4306" spans="1:6" x14ac:dyDescent="0.15">
      <c r="A4306" s="2">
        <v>46089</v>
      </c>
      <c r="B4306" s="1" t="s">
        <v>8086</v>
      </c>
      <c r="C4306" s="1" t="s">
        <v>8087</v>
      </c>
      <c r="D4306" t="b">
        <f ca="1">IF(A4306="","",[1]!s_techanal_rcnthigh(B4306,$B$2,1,3))</f>
        <v>0</v>
      </c>
      <c r="E4306">
        <f ca="1">IF(A4306="","",COUNTIF(D$6:D4306,"True"))</f>
        <v>40</v>
      </c>
      <c r="F4306" t="str">
        <f t="shared" si="67"/>
        <v>603682.SH</v>
      </c>
    </row>
    <row r="4307" spans="1:6" x14ac:dyDescent="0.15">
      <c r="A4307" s="2">
        <v>46089</v>
      </c>
      <c r="B4307" s="1" t="s">
        <v>8088</v>
      </c>
      <c r="C4307" s="1" t="s">
        <v>8089</v>
      </c>
      <c r="D4307" t="b">
        <f ca="1">IF(A4307="","",[1]!s_techanal_rcnthigh(B4307,$B$2,1,3))</f>
        <v>0</v>
      </c>
      <c r="E4307">
        <f ca="1">IF(A4307="","",COUNTIF(D$6:D4307,"True"))</f>
        <v>40</v>
      </c>
      <c r="F4307" t="str">
        <f t="shared" si="67"/>
        <v>603683.SH</v>
      </c>
    </row>
    <row r="4308" spans="1:6" x14ac:dyDescent="0.15">
      <c r="A4308" s="2">
        <v>46089</v>
      </c>
      <c r="B4308" s="1" t="s">
        <v>8090</v>
      </c>
      <c r="C4308" s="1" t="s">
        <v>8091</v>
      </c>
      <c r="D4308" t="b">
        <f ca="1">IF(A4308="","",[1]!s_techanal_rcnthigh(B4308,$B$2,1,3))</f>
        <v>1</v>
      </c>
      <c r="E4308">
        <f ca="1">IF(A4308="","",COUNTIF(D$6:D4308,"True"))</f>
        <v>41</v>
      </c>
      <c r="F4308" t="str">
        <f t="shared" si="67"/>
        <v>603685.SH</v>
      </c>
    </row>
    <row r="4309" spans="1:6" x14ac:dyDescent="0.15">
      <c r="A4309" s="2">
        <v>46089</v>
      </c>
      <c r="B4309" s="1" t="s">
        <v>8092</v>
      </c>
      <c r="C4309" s="1" t="s">
        <v>8093</v>
      </c>
      <c r="D4309" t="b">
        <f ca="1">IF(A4309="","",[1]!s_techanal_rcnthigh(B4309,$B$2,1,3))</f>
        <v>0</v>
      </c>
      <c r="E4309">
        <f ca="1">IF(A4309="","",COUNTIF(D$6:D4309,"True"))</f>
        <v>41</v>
      </c>
      <c r="F4309" t="str">
        <f t="shared" si="67"/>
        <v>603686.SH</v>
      </c>
    </row>
    <row r="4310" spans="1:6" x14ac:dyDescent="0.15">
      <c r="A4310" s="2">
        <v>46089</v>
      </c>
      <c r="B4310" s="1" t="s">
        <v>8094</v>
      </c>
      <c r="C4310" s="1" t="s">
        <v>8095</v>
      </c>
      <c r="D4310" t="b">
        <f ca="1">IF(A4310="","",[1]!s_techanal_rcnthigh(B4310,$B$2,1,3))</f>
        <v>0</v>
      </c>
      <c r="E4310">
        <f ca="1">IF(A4310="","",COUNTIF(D$6:D4310,"True"))</f>
        <v>41</v>
      </c>
      <c r="F4310" t="str">
        <f t="shared" si="67"/>
        <v>603687.SH</v>
      </c>
    </row>
    <row r="4311" spans="1:6" x14ac:dyDescent="0.15">
      <c r="A4311" s="2">
        <v>46089</v>
      </c>
      <c r="B4311" s="1" t="s">
        <v>8096</v>
      </c>
      <c r="C4311" s="1" t="s">
        <v>8097</v>
      </c>
      <c r="D4311" t="b">
        <f ca="1">IF(A4311="","",[1]!s_techanal_rcnthigh(B4311,$B$2,1,3))</f>
        <v>0</v>
      </c>
      <c r="E4311">
        <f ca="1">IF(A4311="","",COUNTIF(D$6:D4311,"True"))</f>
        <v>41</v>
      </c>
      <c r="F4311" t="str">
        <f t="shared" si="67"/>
        <v>603688.SH</v>
      </c>
    </row>
    <row r="4312" spans="1:6" x14ac:dyDescent="0.15">
      <c r="A4312" s="2">
        <v>46089</v>
      </c>
      <c r="B4312" s="1" t="s">
        <v>8098</v>
      </c>
      <c r="C4312" s="1" t="s">
        <v>8099</v>
      </c>
      <c r="D4312" t="b">
        <f ca="1">IF(A4312="","",[1]!s_techanal_rcnthigh(B4312,$B$2,1,3))</f>
        <v>0</v>
      </c>
      <c r="E4312">
        <f ca="1">IF(A4312="","",COUNTIF(D$6:D4312,"True"))</f>
        <v>41</v>
      </c>
      <c r="F4312" t="str">
        <f t="shared" si="67"/>
        <v>603689.SH</v>
      </c>
    </row>
    <row r="4313" spans="1:6" x14ac:dyDescent="0.15">
      <c r="A4313" s="2">
        <v>46089</v>
      </c>
      <c r="B4313" s="1" t="s">
        <v>8100</v>
      </c>
      <c r="C4313" s="1" t="s">
        <v>8101</v>
      </c>
      <c r="D4313" t="b">
        <f ca="1">IF(A4313="","",[1]!s_techanal_rcnthigh(B4313,$B$2,1,3))</f>
        <v>0</v>
      </c>
      <c r="E4313">
        <f ca="1">IF(A4313="","",COUNTIF(D$6:D4313,"True"))</f>
        <v>41</v>
      </c>
      <c r="F4313" t="str">
        <f t="shared" si="67"/>
        <v>603690.SH</v>
      </c>
    </row>
    <row r="4314" spans="1:6" x14ac:dyDescent="0.15">
      <c r="A4314" s="2">
        <v>46089</v>
      </c>
      <c r="B4314" s="1" t="s">
        <v>8102</v>
      </c>
      <c r="C4314" s="1" t="s">
        <v>8103</v>
      </c>
      <c r="D4314" t="b">
        <f ca="1">IF(A4314="","",[1]!s_techanal_rcnthigh(B4314,$B$2,1,3))</f>
        <v>0</v>
      </c>
      <c r="E4314">
        <f ca="1">IF(A4314="","",COUNTIF(D$6:D4314,"True"))</f>
        <v>41</v>
      </c>
      <c r="F4314" t="str">
        <f t="shared" si="67"/>
        <v>603693.SH</v>
      </c>
    </row>
    <row r="4315" spans="1:6" x14ac:dyDescent="0.15">
      <c r="A4315" s="2">
        <v>46089</v>
      </c>
      <c r="B4315" s="1" t="s">
        <v>8104</v>
      </c>
      <c r="C4315" s="1" t="s">
        <v>8105</v>
      </c>
      <c r="D4315" t="b">
        <f ca="1">IF(A4315="","",[1]!s_techanal_rcnthigh(B4315,$B$2,1,3))</f>
        <v>0</v>
      </c>
      <c r="E4315">
        <f ca="1">IF(A4315="","",COUNTIF(D$6:D4315,"True"))</f>
        <v>41</v>
      </c>
      <c r="F4315" t="str">
        <f t="shared" si="67"/>
        <v>603696.SH</v>
      </c>
    </row>
    <row r="4316" spans="1:6" x14ac:dyDescent="0.15">
      <c r="A4316" s="2">
        <v>46089</v>
      </c>
      <c r="B4316" s="1" t="s">
        <v>8106</v>
      </c>
      <c r="C4316" s="1" t="s">
        <v>8107</v>
      </c>
      <c r="D4316" t="b">
        <f ca="1">IF(A4316="","",[1]!s_techanal_rcnthigh(B4316,$B$2,1,3))</f>
        <v>0</v>
      </c>
      <c r="E4316">
        <f ca="1">IF(A4316="","",COUNTIF(D$6:D4316,"True"))</f>
        <v>41</v>
      </c>
      <c r="F4316" t="str">
        <f t="shared" si="67"/>
        <v>603697.SH</v>
      </c>
    </row>
    <row r="4317" spans="1:6" x14ac:dyDescent="0.15">
      <c r="A4317" s="2">
        <v>46089</v>
      </c>
      <c r="B4317" s="1" t="s">
        <v>8108</v>
      </c>
      <c r="C4317" s="1" t="s">
        <v>8109</v>
      </c>
      <c r="D4317" t="b">
        <f ca="1">IF(A4317="","",[1]!s_techanal_rcnthigh(B4317,$B$2,1,3))</f>
        <v>0</v>
      </c>
      <c r="E4317">
        <f ca="1">IF(A4317="","",COUNTIF(D$6:D4317,"True"))</f>
        <v>41</v>
      </c>
      <c r="F4317" t="str">
        <f t="shared" si="67"/>
        <v>603698.SH</v>
      </c>
    </row>
    <row r="4318" spans="1:6" x14ac:dyDescent="0.15">
      <c r="A4318" s="2">
        <v>46089</v>
      </c>
      <c r="B4318" s="1" t="s">
        <v>8110</v>
      </c>
      <c r="C4318" s="1" t="s">
        <v>8111</v>
      </c>
      <c r="D4318" t="b">
        <f ca="1">IF(A4318="","",[1]!s_techanal_rcnthigh(B4318,$B$2,1,3))</f>
        <v>0</v>
      </c>
      <c r="E4318">
        <f ca="1">IF(A4318="","",COUNTIF(D$6:D4318,"True"))</f>
        <v>41</v>
      </c>
      <c r="F4318" t="str">
        <f t="shared" si="67"/>
        <v>603699.SH</v>
      </c>
    </row>
    <row r="4319" spans="1:6" x14ac:dyDescent="0.15">
      <c r="A4319" s="2">
        <v>46089</v>
      </c>
      <c r="B4319" s="1" t="s">
        <v>8112</v>
      </c>
      <c r="C4319" s="1" t="s">
        <v>8113</v>
      </c>
      <c r="D4319" t="b">
        <f ca="1">IF(A4319="","",[1]!s_techanal_rcnthigh(B4319,$B$2,1,3))</f>
        <v>0</v>
      </c>
      <c r="E4319">
        <f ca="1">IF(A4319="","",COUNTIF(D$6:D4319,"True"))</f>
        <v>41</v>
      </c>
      <c r="F4319" t="str">
        <f t="shared" si="67"/>
        <v>603700.SH</v>
      </c>
    </row>
    <row r="4320" spans="1:6" x14ac:dyDescent="0.15">
      <c r="A4320" s="2">
        <v>46089</v>
      </c>
      <c r="B4320" s="1" t="s">
        <v>8114</v>
      </c>
      <c r="C4320" s="1" t="s">
        <v>8115</v>
      </c>
      <c r="D4320" t="b">
        <f ca="1">IF(A4320="","",[1]!s_techanal_rcnthigh(B4320,$B$2,1,3))</f>
        <v>0</v>
      </c>
      <c r="E4320">
        <f ca="1">IF(A4320="","",COUNTIF(D$6:D4320,"True"))</f>
        <v>41</v>
      </c>
      <c r="F4320" t="str">
        <f t="shared" si="67"/>
        <v>603701.SH</v>
      </c>
    </row>
    <row r="4321" spans="1:6" x14ac:dyDescent="0.15">
      <c r="A4321" s="2">
        <v>46089</v>
      </c>
      <c r="B4321" s="1" t="s">
        <v>8116</v>
      </c>
      <c r="C4321" s="1" t="s">
        <v>8117</v>
      </c>
      <c r="D4321" t="b">
        <f ca="1">IF(A4321="","",[1]!s_techanal_rcnthigh(B4321,$B$2,1,3))</f>
        <v>0</v>
      </c>
      <c r="E4321">
        <f ca="1">IF(A4321="","",COUNTIF(D$6:D4321,"True"))</f>
        <v>41</v>
      </c>
      <c r="F4321" t="str">
        <f t="shared" si="67"/>
        <v>603703.SH</v>
      </c>
    </row>
    <row r="4322" spans="1:6" x14ac:dyDescent="0.15">
      <c r="A4322" s="2">
        <v>46089</v>
      </c>
      <c r="B4322" s="1" t="s">
        <v>8118</v>
      </c>
      <c r="C4322" s="1" t="s">
        <v>8119</v>
      </c>
      <c r="D4322" t="b">
        <f ca="1">IF(A4322="","",[1]!s_techanal_rcnthigh(B4322,$B$2,1,3))</f>
        <v>0</v>
      </c>
      <c r="E4322">
        <f ca="1">IF(A4322="","",COUNTIF(D$6:D4322,"True"))</f>
        <v>41</v>
      </c>
      <c r="F4322" t="str">
        <f t="shared" si="67"/>
        <v>603706.SH</v>
      </c>
    </row>
    <row r="4323" spans="1:6" x14ac:dyDescent="0.15">
      <c r="A4323" s="2">
        <v>46089</v>
      </c>
      <c r="B4323" s="1" t="s">
        <v>8120</v>
      </c>
      <c r="C4323" s="1" t="s">
        <v>8121</v>
      </c>
      <c r="D4323" t="b">
        <f ca="1">IF(A4323="","",[1]!s_techanal_rcnthigh(B4323,$B$2,1,3))</f>
        <v>0</v>
      </c>
      <c r="E4323">
        <f ca="1">IF(A4323="","",COUNTIF(D$6:D4323,"True"))</f>
        <v>41</v>
      </c>
      <c r="F4323" t="str">
        <f t="shared" si="67"/>
        <v>603707.SH</v>
      </c>
    </row>
    <row r="4324" spans="1:6" x14ac:dyDescent="0.15">
      <c r="A4324" s="2">
        <v>46089</v>
      </c>
      <c r="B4324" s="1" t="s">
        <v>8122</v>
      </c>
      <c r="C4324" s="1" t="s">
        <v>8123</v>
      </c>
      <c r="D4324" t="b">
        <f ca="1">IF(A4324="","",[1]!s_techanal_rcnthigh(B4324,$B$2,1,3))</f>
        <v>0</v>
      </c>
      <c r="E4324">
        <f ca="1">IF(A4324="","",COUNTIF(D$6:D4324,"True"))</f>
        <v>41</v>
      </c>
      <c r="F4324" t="str">
        <f t="shared" si="67"/>
        <v>603708.SH</v>
      </c>
    </row>
    <row r="4325" spans="1:6" x14ac:dyDescent="0.15">
      <c r="A4325" s="2">
        <v>46089</v>
      </c>
      <c r="B4325" s="1" t="s">
        <v>8124</v>
      </c>
      <c r="C4325" s="1" t="s">
        <v>8125</v>
      </c>
      <c r="D4325" t="b">
        <f ca="1">IF(A4325="","",[1]!s_techanal_rcnthigh(B4325,$B$2,1,3))</f>
        <v>0</v>
      </c>
      <c r="E4325">
        <f ca="1">IF(A4325="","",COUNTIF(D$6:D4325,"True"))</f>
        <v>41</v>
      </c>
      <c r="F4325" t="str">
        <f t="shared" si="67"/>
        <v>603709.SH</v>
      </c>
    </row>
    <row r="4326" spans="1:6" x14ac:dyDescent="0.15">
      <c r="A4326" s="2">
        <v>46089</v>
      </c>
      <c r="B4326" s="1" t="s">
        <v>8126</v>
      </c>
      <c r="C4326" s="1" t="s">
        <v>8127</v>
      </c>
      <c r="D4326" t="b">
        <f ca="1">IF(A4326="","",[1]!s_techanal_rcnthigh(B4326,$B$2,1,3))</f>
        <v>0</v>
      </c>
      <c r="E4326">
        <f ca="1">IF(A4326="","",COUNTIF(D$6:D4326,"True"))</f>
        <v>41</v>
      </c>
      <c r="F4326" t="str">
        <f t="shared" si="67"/>
        <v>603711.SH</v>
      </c>
    </row>
    <row r="4327" spans="1:6" x14ac:dyDescent="0.15">
      <c r="A4327" s="2">
        <v>46089</v>
      </c>
      <c r="B4327" s="1" t="s">
        <v>8128</v>
      </c>
      <c r="C4327" s="1" t="s">
        <v>8129</v>
      </c>
      <c r="D4327" t="b">
        <f ca="1">IF(A4327="","",[1]!s_techanal_rcnthigh(B4327,$B$2,1,3))</f>
        <v>0</v>
      </c>
      <c r="E4327">
        <f ca="1">IF(A4327="","",COUNTIF(D$6:D4327,"True"))</f>
        <v>41</v>
      </c>
      <c r="F4327" t="str">
        <f t="shared" si="67"/>
        <v>603712.SH</v>
      </c>
    </row>
    <row r="4328" spans="1:6" x14ac:dyDescent="0.15">
      <c r="A4328" s="2">
        <v>46089</v>
      </c>
      <c r="B4328" s="1" t="s">
        <v>8130</v>
      </c>
      <c r="C4328" s="1" t="s">
        <v>8131</v>
      </c>
      <c r="D4328" t="b">
        <f ca="1">IF(A4328="","",[1]!s_techanal_rcnthigh(B4328,$B$2,1,3))</f>
        <v>0</v>
      </c>
      <c r="E4328">
        <f ca="1">IF(A4328="","",COUNTIF(D$6:D4328,"True"))</f>
        <v>41</v>
      </c>
      <c r="F4328" t="str">
        <f t="shared" si="67"/>
        <v>603713.SH</v>
      </c>
    </row>
    <row r="4329" spans="1:6" x14ac:dyDescent="0.15">
      <c r="A4329" s="2">
        <v>46089</v>
      </c>
      <c r="B4329" s="1" t="s">
        <v>8132</v>
      </c>
      <c r="C4329" s="1" t="s">
        <v>8133</v>
      </c>
      <c r="D4329" t="b">
        <f ca="1">IF(A4329="","",[1]!s_techanal_rcnthigh(B4329,$B$2,1,3))</f>
        <v>0</v>
      </c>
      <c r="E4329">
        <f ca="1">IF(A4329="","",COUNTIF(D$6:D4329,"True"))</f>
        <v>41</v>
      </c>
      <c r="F4329" t="str">
        <f t="shared" si="67"/>
        <v>603716.SH</v>
      </c>
    </row>
    <row r="4330" spans="1:6" x14ac:dyDescent="0.15">
      <c r="A4330" s="2">
        <v>46089</v>
      </c>
      <c r="B4330" s="1" t="s">
        <v>8134</v>
      </c>
      <c r="C4330" s="1" t="s">
        <v>10551</v>
      </c>
      <c r="D4330" t="b">
        <f ca="1">IF(A4330="","",[1]!s_techanal_rcnthigh(B4330,$B$2,1,3))</f>
        <v>0</v>
      </c>
      <c r="E4330">
        <f ca="1">IF(A4330="","",COUNTIF(D$6:D4330,"True"))</f>
        <v>41</v>
      </c>
      <c r="F4330" t="str">
        <f t="shared" si="67"/>
        <v>603717.SH</v>
      </c>
    </row>
    <row r="4331" spans="1:6" x14ac:dyDescent="0.15">
      <c r="A4331" s="2">
        <v>46089</v>
      </c>
      <c r="B4331" s="1" t="s">
        <v>8135</v>
      </c>
      <c r="C4331" s="1" t="s">
        <v>8136</v>
      </c>
      <c r="D4331" t="b">
        <f ca="1">IF(A4331="","",[1]!s_techanal_rcnthigh(B4331,$B$2,1,3))</f>
        <v>0</v>
      </c>
      <c r="E4331">
        <f ca="1">IF(A4331="","",COUNTIF(D$6:D4331,"True"))</f>
        <v>41</v>
      </c>
      <c r="F4331" t="str">
        <f t="shared" si="67"/>
        <v>603718.SH</v>
      </c>
    </row>
    <row r="4332" spans="1:6" x14ac:dyDescent="0.15">
      <c r="A4332" s="2">
        <v>46089</v>
      </c>
      <c r="B4332" s="1" t="s">
        <v>8137</v>
      </c>
      <c r="C4332" s="1" t="s">
        <v>8138</v>
      </c>
      <c r="D4332" t="b">
        <f ca="1">IF(A4332="","",[1]!s_techanal_rcnthigh(B4332,$B$2,1,3))</f>
        <v>0</v>
      </c>
      <c r="E4332">
        <f ca="1">IF(A4332="","",COUNTIF(D$6:D4332,"True"))</f>
        <v>41</v>
      </c>
      <c r="F4332" t="str">
        <f t="shared" si="67"/>
        <v>603719.SH</v>
      </c>
    </row>
    <row r="4333" spans="1:6" x14ac:dyDescent="0.15">
      <c r="A4333" s="2">
        <v>46089</v>
      </c>
      <c r="B4333" s="1" t="s">
        <v>8139</v>
      </c>
      <c r="C4333" s="1" t="s">
        <v>10552</v>
      </c>
      <c r="D4333" t="b">
        <f ca="1">IF(A4333="","",[1]!s_techanal_rcnthigh(B4333,$B$2,1,3))</f>
        <v>0</v>
      </c>
      <c r="E4333">
        <f ca="1">IF(A4333="","",COUNTIF(D$6:D4333,"True"))</f>
        <v>41</v>
      </c>
      <c r="F4333" t="str">
        <f t="shared" si="67"/>
        <v>603721.SH</v>
      </c>
    </row>
    <row r="4334" spans="1:6" x14ac:dyDescent="0.15">
      <c r="A4334" s="2">
        <v>46089</v>
      </c>
      <c r="B4334" s="1" t="s">
        <v>8140</v>
      </c>
      <c r="C4334" s="1" t="s">
        <v>8141</v>
      </c>
      <c r="D4334" t="b">
        <f ca="1">IF(A4334="","",[1]!s_techanal_rcnthigh(B4334,$B$2,1,3))</f>
        <v>0</v>
      </c>
      <c r="E4334">
        <f ca="1">IF(A4334="","",COUNTIF(D$6:D4334,"True"))</f>
        <v>41</v>
      </c>
      <c r="F4334" t="str">
        <f t="shared" si="67"/>
        <v>603722.SH</v>
      </c>
    </row>
    <row r="4335" spans="1:6" x14ac:dyDescent="0.15">
      <c r="A4335" s="2">
        <v>46089</v>
      </c>
      <c r="B4335" s="1" t="s">
        <v>8142</v>
      </c>
      <c r="C4335" s="1" t="s">
        <v>8143</v>
      </c>
      <c r="D4335" t="b">
        <f ca="1">IF(A4335="","",[1]!s_techanal_rcnthigh(B4335,$B$2,1,3))</f>
        <v>0</v>
      </c>
      <c r="E4335">
        <f ca="1">IF(A4335="","",COUNTIF(D$6:D4335,"True"))</f>
        <v>41</v>
      </c>
      <c r="F4335" t="str">
        <f t="shared" si="67"/>
        <v>603725.SH</v>
      </c>
    </row>
    <row r="4336" spans="1:6" x14ac:dyDescent="0.15">
      <c r="A4336" s="2">
        <v>46089</v>
      </c>
      <c r="B4336" s="1" t="s">
        <v>8144</v>
      </c>
      <c r="C4336" s="1" t="s">
        <v>8145</v>
      </c>
      <c r="D4336" t="b">
        <f ca="1">IF(A4336="","",[1]!s_techanal_rcnthigh(B4336,$B$2,1,3))</f>
        <v>0</v>
      </c>
      <c r="E4336">
        <f ca="1">IF(A4336="","",COUNTIF(D$6:D4336,"True"))</f>
        <v>41</v>
      </c>
      <c r="F4336" t="str">
        <f t="shared" si="67"/>
        <v>603726.SH</v>
      </c>
    </row>
    <row r="4337" spans="1:6" x14ac:dyDescent="0.15">
      <c r="A4337" s="2">
        <v>46089</v>
      </c>
      <c r="B4337" s="1" t="s">
        <v>8146</v>
      </c>
      <c r="C4337" s="1" t="s">
        <v>8147</v>
      </c>
      <c r="D4337" t="b">
        <f ca="1">IF(A4337="","",[1]!s_techanal_rcnthigh(B4337,$B$2,1,3))</f>
        <v>0</v>
      </c>
      <c r="E4337">
        <f ca="1">IF(A4337="","",COUNTIF(D$6:D4337,"True"))</f>
        <v>41</v>
      </c>
      <c r="F4337" t="str">
        <f t="shared" si="67"/>
        <v>603727.SH</v>
      </c>
    </row>
    <row r="4338" spans="1:6" x14ac:dyDescent="0.15">
      <c r="A4338" s="2">
        <v>46089</v>
      </c>
      <c r="B4338" s="1" t="s">
        <v>8148</v>
      </c>
      <c r="C4338" s="1" t="s">
        <v>8149</v>
      </c>
      <c r="D4338" t="b">
        <f ca="1">IF(A4338="","",[1]!s_techanal_rcnthigh(B4338,$B$2,1,3))</f>
        <v>0</v>
      </c>
      <c r="E4338">
        <f ca="1">IF(A4338="","",COUNTIF(D$6:D4338,"True"))</f>
        <v>41</v>
      </c>
      <c r="F4338" t="str">
        <f t="shared" si="67"/>
        <v>603728.SH</v>
      </c>
    </row>
    <row r="4339" spans="1:6" x14ac:dyDescent="0.15">
      <c r="A4339" s="2">
        <v>46089</v>
      </c>
      <c r="B4339" s="1" t="s">
        <v>8150</v>
      </c>
      <c r="C4339" s="1" t="s">
        <v>8151</v>
      </c>
      <c r="D4339" t="b">
        <f ca="1">IF(A4339="","",[1]!s_techanal_rcnthigh(B4339,$B$2,1,3))</f>
        <v>0</v>
      </c>
      <c r="E4339">
        <f ca="1">IF(A4339="","",COUNTIF(D$6:D4339,"True"))</f>
        <v>41</v>
      </c>
      <c r="F4339" t="str">
        <f t="shared" si="67"/>
        <v>603729.SH</v>
      </c>
    </row>
    <row r="4340" spans="1:6" x14ac:dyDescent="0.15">
      <c r="A4340" s="2">
        <v>46089</v>
      </c>
      <c r="B4340" s="1" t="s">
        <v>8152</v>
      </c>
      <c r="C4340" s="1" t="s">
        <v>8153</v>
      </c>
      <c r="D4340" t="b">
        <f ca="1">IF(A4340="","",[1]!s_techanal_rcnthigh(B4340,$B$2,1,3))</f>
        <v>0</v>
      </c>
      <c r="E4340">
        <f ca="1">IF(A4340="","",COUNTIF(D$6:D4340,"True"))</f>
        <v>41</v>
      </c>
      <c r="F4340" t="str">
        <f t="shared" si="67"/>
        <v>603730.SH</v>
      </c>
    </row>
    <row r="4341" spans="1:6" x14ac:dyDescent="0.15">
      <c r="A4341" s="2">
        <v>46089</v>
      </c>
      <c r="B4341" s="1" t="s">
        <v>8154</v>
      </c>
      <c r="C4341" s="1" t="s">
        <v>8155</v>
      </c>
      <c r="D4341" t="b">
        <f ca="1">IF(A4341="","",[1]!s_techanal_rcnthigh(B4341,$B$2,1,3))</f>
        <v>0</v>
      </c>
      <c r="E4341">
        <f ca="1">IF(A4341="","",COUNTIF(D$6:D4341,"True"))</f>
        <v>41</v>
      </c>
      <c r="F4341" t="str">
        <f t="shared" si="67"/>
        <v>603733.SH</v>
      </c>
    </row>
    <row r="4342" spans="1:6" x14ac:dyDescent="0.15">
      <c r="A4342" s="2">
        <v>46089</v>
      </c>
      <c r="B4342" s="1" t="s">
        <v>8156</v>
      </c>
      <c r="C4342" s="1" t="s">
        <v>8157</v>
      </c>
      <c r="D4342" t="b">
        <f ca="1">IF(A4342="","",[1]!s_techanal_rcnthigh(B4342,$B$2,1,3))</f>
        <v>0</v>
      </c>
      <c r="E4342">
        <f ca="1">IF(A4342="","",COUNTIF(D$6:D4342,"True"))</f>
        <v>41</v>
      </c>
      <c r="F4342" t="str">
        <f t="shared" si="67"/>
        <v>603737.SH</v>
      </c>
    </row>
    <row r="4343" spans="1:6" x14ac:dyDescent="0.15">
      <c r="A4343" s="2">
        <v>46089</v>
      </c>
      <c r="B4343" s="1" t="s">
        <v>8158</v>
      </c>
      <c r="C4343" s="1" t="s">
        <v>8159</v>
      </c>
      <c r="D4343" t="b">
        <f ca="1">IF(A4343="","",[1]!s_techanal_rcnthigh(B4343,$B$2,1,3))</f>
        <v>0</v>
      </c>
      <c r="E4343">
        <f ca="1">IF(A4343="","",COUNTIF(D$6:D4343,"True"))</f>
        <v>41</v>
      </c>
      <c r="F4343" t="str">
        <f t="shared" si="67"/>
        <v>603738.SH</v>
      </c>
    </row>
    <row r="4344" spans="1:6" x14ac:dyDescent="0.15">
      <c r="A4344" s="2">
        <v>46089</v>
      </c>
      <c r="B4344" s="1" t="s">
        <v>8160</v>
      </c>
      <c r="C4344" s="1" t="s">
        <v>8161</v>
      </c>
      <c r="D4344" t="b">
        <f ca="1">IF(A4344="","",[1]!s_techanal_rcnthigh(B4344,$B$2,1,3))</f>
        <v>0</v>
      </c>
      <c r="E4344">
        <f ca="1">IF(A4344="","",COUNTIF(D$6:D4344,"True"))</f>
        <v>41</v>
      </c>
      <c r="F4344" t="str">
        <f t="shared" si="67"/>
        <v>603739.SH</v>
      </c>
    </row>
    <row r="4345" spans="1:6" x14ac:dyDescent="0.15">
      <c r="A4345" s="2">
        <v>46089</v>
      </c>
      <c r="B4345" s="1" t="s">
        <v>8162</v>
      </c>
      <c r="C4345" s="1" t="s">
        <v>8163</v>
      </c>
      <c r="D4345" t="b">
        <f ca="1">IF(A4345="","",[1]!s_techanal_rcnthigh(B4345,$B$2,1,3))</f>
        <v>0</v>
      </c>
      <c r="E4345">
        <f ca="1">IF(A4345="","",COUNTIF(D$6:D4345,"True"))</f>
        <v>41</v>
      </c>
      <c r="F4345" t="str">
        <f t="shared" si="67"/>
        <v>603755.SH</v>
      </c>
    </row>
    <row r="4346" spans="1:6" x14ac:dyDescent="0.15">
      <c r="A4346" s="2">
        <v>46089</v>
      </c>
      <c r="B4346" s="1" t="s">
        <v>8164</v>
      </c>
      <c r="C4346" s="1" t="s">
        <v>8165</v>
      </c>
      <c r="D4346" t="b">
        <f ca="1">IF(A4346="","",[1]!s_techanal_rcnthigh(B4346,$B$2,1,3))</f>
        <v>0</v>
      </c>
      <c r="E4346">
        <f ca="1">IF(A4346="","",COUNTIF(D$6:D4346,"True"))</f>
        <v>41</v>
      </c>
      <c r="F4346" t="str">
        <f t="shared" si="67"/>
        <v>603757.SH</v>
      </c>
    </row>
    <row r="4347" spans="1:6" x14ac:dyDescent="0.15">
      <c r="A4347" s="2">
        <v>46089</v>
      </c>
      <c r="B4347" s="1" t="s">
        <v>8166</v>
      </c>
      <c r="C4347" s="1" t="s">
        <v>8167</v>
      </c>
      <c r="D4347" t="b">
        <f ca="1">IF(A4347="","",[1]!s_techanal_rcnthigh(B4347,$B$2,1,3))</f>
        <v>0</v>
      </c>
      <c r="E4347">
        <f ca="1">IF(A4347="","",COUNTIF(D$6:D4347,"True"))</f>
        <v>41</v>
      </c>
      <c r="F4347" t="str">
        <f t="shared" si="67"/>
        <v>603758.SH</v>
      </c>
    </row>
    <row r="4348" spans="1:6" x14ac:dyDescent="0.15">
      <c r="A4348" s="2">
        <v>46089</v>
      </c>
      <c r="B4348" s="1" t="s">
        <v>8168</v>
      </c>
      <c r="C4348" s="1" t="s">
        <v>8169</v>
      </c>
      <c r="D4348" t="b">
        <f ca="1">IF(A4348="","",[1]!s_techanal_rcnthigh(B4348,$B$2,1,3))</f>
        <v>0</v>
      </c>
      <c r="E4348">
        <f ca="1">IF(A4348="","",COUNTIF(D$6:D4348,"True"))</f>
        <v>41</v>
      </c>
      <c r="F4348" t="str">
        <f t="shared" si="67"/>
        <v>603759.SH</v>
      </c>
    </row>
    <row r="4349" spans="1:6" x14ac:dyDescent="0.15">
      <c r="A4349" s="2">
        <v>46089</v>
      </c>
      <c r="B4349" s="1" t="s">
        <v>8170</v>
      </c>
      <c r="C4349" s="1" t="s">
        <v>8171</v>
      </c>
      <c r="D4349" t="b">
        <f ca="1">IF(A4349="","",[1]!s_techanal_rcnthigh(B4349,$B$2,1,3))</f>
        <v>0</v>
      </c>
      <c r="E4349">
        <f ca="1">IF(A4349="","",COUNTIF(D$6:D4349,"True"))</f>
        <v>41</v>
      </c>
      <c r="F4349" t="str">
        <f t="shared" si="67"/>
        <v>603766.SH</v>
      </c>
    </row>
    <row r="4350" spans="1:6" x14ac:dyDescent="0.15">
      <c r="A4350" s="2">
        <v>46089</v>
      </c>
      <c r="B4350" s="1" t="s">
        <v>8172</v>
      </c>
      <c r="C4350" s="1" t="s">
        <v>8173</v>
      </c>
      <c r="D4350" t="b">
        <f ca="1">IF(A4350="","",[1]!s_techanal_rcnthigh(B4350,$B$2,1,3))</f>
        <v>0</v>
      </c>
      <c r="E4350">
        <f ca="1">IF(A4350="","",COUNTIF(D$6:D4350,"True"))</f>
        <v>41</v>
      </c>
      <c r="F4350" t="str">
        <f t="shared" si="67"/>
        <v>603767.SH</v>
      </c>
    </row>
    <row r="4351" spans="1:6" x14ac:dyDescent="0.15">
      <c r="A4351" s="2">
        <v>46089</v>
      </c>
      <c r="B4351" s="1" t="s">
        <v>8174</v>
      </c>
      <c r="C4351" s="1" t="s">
        <v>8175</v>
      </c>
      <c r="D4351" t="b">
        <f ca="1">IF(A4351="","",[1]!s_techanal_rcnthigh(B4351,$B$2,1,3))</f>
        <v>0</v>
      </c>
      <c r="E4351">
        <f ca="1">IF(A4351="","",COUNTIF(D$6:D4351,"True"))</f>
        <v>41</v>
      </c>
      <c r="F4351" t="str">
        <f t="shared" si="67"/>
        <v>603768.SH</v>
      </c>
    </row>
    <row r="4352" spans="1:6" x14ac:dyDescent="0.15">
      <c r="A4352" s="2">
        <v>46089</v>
      </c>
      <c r="B4352" s="1" t="s">
        <v>8176</v>
      </c>
      <c r="C4352" s="1" t="s">
        <v>8177</v>
      </c>
      <c r="D4352" t="b">
        <f ca="1">IF(A4352="","",[1]!s_techanal_rcnthigh(B4352,$B$2,1,3))</f>
        <v>0</v>
      </c>
      <c r="E4352">
        <f ca="1">IF(A4352="","",COUNTIF(D$6:D4352,"True"))</f>
        <v>41</v>
      </c>
      <c r="F4352" t="str">
        <f t="shared" si="67"/>
        <v>603773.SH</v>
      </c>
    </row>
    <row r="4353" spans="1:6" x14ac:dyDescent="0.15">
      <c r="A4353" s="2">
        <v>46089</v>
      </c>
      <c r="B4353" s="1" t="s">
        <v>8178</v>
      </c>
      <c r="C4353" s="1" t="s">
        <v>8179</v>
      </c>
      <c r="D4353" t="b">
        <f ca="1">IF(A4353="","",[1]!s_techanal_rcnthigh(B4353,$B$2,1,3))</f>
        <v>0</v>
      </c>
      <c r="E4353">
        <f ca="1">IF(A4353="","",COUNTIF(D$6:D4353,"True"))</f>
        <v>41</v>
      </c>
      <c r="F4353" t="str">
        <f t="shared" si="67"/>
        <v>603776.SH</v>
      </c>
    </row>
    <row r="4354" spans="1:6" x14ac:dyDescent="0.15">
      <c r="A4354" s="2">
        <v>46089</v>
      </c>
      <c r="B4354" s="1" t="s">
        <v>8180</v>
      </c>
      <c r="C4354" s="1" t="s">
        <v>8181</v>
      </c>
      <c r="D4354" t="b">
        <f ca="1">IF(A4354="","",[1]!s_techanal_rcnthigh(B4354,$B$2,1,3))</f>
        <v>0</v>
      </c>
      <c r="E4354">
        <f ca="1">IF(A4354="","",COUNTIF(D$6:D4354,"True"))</f>
        <v>41</v>
      </c>
      <c r="F4354" t="str">
        <f t="shared" si="67"/>
        <v>603777.SH</v>
      </c>
    </row>
    <row r="4355" spans="1:6" x14ac:dyDescent="0.15">
      <c r="A4355" s="2">
        <v>46089</v>
      </c>
      <c r="B4355" s="1" t="s">
        <v>8182</v>
      </c>
      <c r="C4355" s="1" t="s">
        <v>8183</v>
      </c>
      <c r="D4355" t="b">
        <f ca="1">IF(A4355="","",[1]!s_techanal_rcnthigh(B4355,$B$2,1,3))</f>
        <v>0</v>
      </c>
      <c r="E4355">
        <f ca="1">IF(A4355="","",COUNTIF(D$6:D4355,"True"))</f>
        <v>41</v>
      </c>
      <c r="F4355" t="str">
        <f t="shared" si="67"/>
        <v>603778.SH</v>
      </c>
    </row>
    <row r="4356" spans="1:6" x14ac:dyDescent="0.15">
      <c r="A4356" s="2">
        <v>46089</v>
      </c>
      <c r="B4356" s="1" t="s">
        <v>8184</v>
      </c>
      <c r="C4356" s="1" t="s">
        <v>8185</v>
      </c>
      <c r="D4356" t="b">
        <f ca="1">IF(A4356="","",[1]!s_techanal_rcnthigh(B4356,$B$2,1,3))</f>
        <v>0</v>
      </c>
      <c r="E4356">
        <f ca="1">IF(A4356="","",COUNTIF(D$6:D4356,"True"))</f>
        <v>41</v>
      </c>
      <c r="F4356" t="str">
        <f t="shared" si="67"/>
        <v>603779.SH</v>
      </c>
    </row>
    <row r="4357" spans="1:6" x14ac:dyDescent="0.15">
      <c r="A4357" s="2">
        <v>46089</v>
      </c>
      <c r="B4357" s="1" t="s">
        <v>8186</v>
      </c>
      <c r="C4357" s="1" t="s">
        <v>8187</v>
      </c>
      <c r="D4357" t="b">
        <f ca="1">IF(A4357="","",[1]!s_techanal_rcnthigh(B4357,$B$2,1,3))</f>
        <v>0</v>
      </c>
      <c r="E4357">
        <f ca="1">IF(A4357="","",COUNTIF(D$6:D4357,"True"))</f>
        <v>41</v>
      </c>
      <c r="F4357" t="str">
        <f t="shared" si="67"/>
        <v>603786.SH</v>
      </c>
    </row>
    <row r="4358" spans="1:6" x14ac:dyDescent="0.15">
      <c r="A4358" s="2">
        <v>46089</v>
      </c>
      <c r="B4358" s="1" t="s">
        <v>8188</v>
      </c>
      <c r="C4358" s="1" t="s">
        <v>8189</v>
      </c>
      <c r="D4358" t="b">
        <f ca="1">IF(A4358="","",[1]!s_techanal_rcnthigh(B4358,$B$2,1,3))</f>
        <v>0</v>
      </c>
      <c r="E4358">
        <f ca="1">IF(A4358="","",COUNTIF(D$6:D4358,"True"))</f>
        <v>41</v>
      </c>
      <c r="F4358" t="str">
        <f t="shared" ref="F4358:F4421" si="68">IF(B4358="","",B4358)</f>
        <v>603787.SH</v>
      </c>
    </row>
    <row r="4359" spans="1:6" x14ac:dyDescent="0.15">
      <c r="A4359" s="2">
        <v>46089</v>
      </c>
      <c r="B4359" s="1" t="s">
        <v>8190</v>
      </c>
      <c r="C4359" s="1" t="s">
        <v>8191</v>
      </c>
      <c r="D4359" t="b">
        <f ca="1">IF(A4359="","",[1]!s_techanal_rcnthigh(B4359,$B$2,1,3))</f>
        <v>0</v>
      </c>
      <c r="E4359">
        <f ca="1">IF(A4359="","",COUNTIF(D$6:D4359,"True"))</f>
        <v>41</v>
      </c>
      <c r="F4359" t="str">
        <f t="shared" si="68"/>
        <v>603788.SH</v>
      </c>
    </row>
    <row r="4360" spans="1:6" x14ac:dyDescent="0.15">
      <c r="A4360" s="2">
        <v>46089</v>
      </c>
      <c r="B4360" s="1" t="s">
        <v>8192</v>
      </c>
      <c r="C4360" s="1" t="s">
        <v>10553</v>
      </c>
      <c r="D4360" t="b">
        <f ca="1">IF(A4360="","",[1]!s_techanal_rcnthigh(B4360,$B$2,1,3))</f>
        <v>0</v>
      </c>
      <c r="E4360">
        <f ca="1">IF(A4360="","",COUNTIF(D$6:D4360,"True"))</f>
        <v>41</v>
      </c>
      <c r="F4360" t="str">
        <f t="shared" si="68"/>
        <v>603789.SH</v>
      </c>
    </row>
    <row r="4361" spans="1:6" x14ac:dyDescent="0.15">
      <c r="A4361" s="2">
        <v>46089</v>
      </c>
      <c r="B4361" s="1" t="s">
        <v>8193</v>
      </c>
      <c r="C4361" s="1" t="s">
        <v>8194</v>
      </c>
      <c r="D4361" t="b">
        <f ca="1">IF(A4361="","",[1]!s_techanal_rcnthigh(B4361,$B$2,1,3))</f>
        <v>1</v>
      </c>
      <c r="E4361">
        <f ca="1">IF(A4361="","",COUNTIF(D$6:D4361,"True"))</f>
        <v>42</v>
      </c>
      <c r="F4361" t="str">
        <f t="shared" si="68"/>
        <v>603790.SH</v>
      </c>
    </row>
    <row r="4362" spans="1:6" x14ac:dyDescent="0.15">
      <c r="A4362" s="2">
        <v>46089</v>
      </c>
      <c r="B4362" s="1" t="s">
        <v>8195</v>
      </c>
      <c r="C4362" s="1" t="s">
        <v>8196</v>
      </c>
      <c r="D4362" t="b">
        <f ca="1">IF(A4362="","",[1]!s_techanal_rcnthigh(B4362,$B$2,1,3))</f>
        <v>0</v>
      </c>
      <c r="E4362">
        <f ca="1">IF(A4362="","",COUNTIF(D$6:D4362,"True"))</f>
        <v>42</v>
      </c>
      <c r="F4362" t="str">
        <f t="shared" si="68"/>
        <v>603797.SH</v>
      </c>
    </row>
    <row r="4363" spans="1:6" x14ac:dyDescent="0.15">
      <c r="A4363" s="2">
        <v>46089</v>
      </c>
      <c r="B4363" s="1" t="s">
        <v>8197</v>
      </c>
      <c r="C4363" s="1" t="s">
        <v>8198</v>
      </c>
      <c r="D4363" t="b">
        <f ca="1">IF(A4363="","",[1]!s_techanal_rcnthigh(B4363,$B$2,1,3))</f>
        <v>0</v>
      </c>
      <c r="E4363">
        <f ca="1">IF(A4363="","",COUNTIF(D$6:D4363,"True"))</f>
        <v>42</v>
      </c>
      <c r="F4363" t="str">
        <f t="shared" si="68"/>
        <v>603798.SH</v>
      </c>
    </row>
    <row r="4364" spans="1:6" x14ac:dyDescent="0.15">
      <c r="A4364" s="2">
        <v>46089</v>
      </c>
      <c r="B4364" s="1" t="s">
        <v>8199</v>
      </c>
      <c r="C4364" s="1" t="s">
        <v>8200</v>
      </c>
      <c r="D4364" t="b">
        <f ca="1">IF(A4364="","",[1]!s_techanal_rcnthigh(B4364,$B$2,1,3))</f>
        <v>0</v>
      </c>
      <c r="E4364">
        <f ca="1">IF(A4364="","",COUNTIF(D$6:D4364,"True"))</f>
        <v>42</v>
      </c>
      <c r="F4364" t="str">
        <f t="shared" si="68"/>
        <v>603799.SH</v>
      </c>
    </row>
    <row r="4365" spans="1:6" x14ac:dyDescent="0.15">
      <c r="A4365" s="2">
        <v>46089</v>
      </c>
      <c r="B4365" s="1" t="s">
        <v>8201</v>
      </c>
      <c r="C4365" s="1" t="s">
        <v>10554</v>
      </c>
      <c r="D4365" t="b">
        <f ca="1">IF(A4365="","",[1]!s_techanal_rcnthigh(B4365,$B$2,1,3))</f>
        <v>0</v>
      </c>
      <c r="E4365">
        <f ca="1">IF(A4365="","",COUNTIF(D$6:D4365,"True"))</f>
        <v>42</v>
      </c>
      <c r="F4365" t="str">
        <f t="shared" si="68"/>
        <v>603800.SH</v>
      </c>
    </row>
    <row r="4366" spans="1:6" x14ac:dyDescent="0.15">
      <c r="A4366" s="2">
        <v>46089</v>
      </c>
      <c r="B4366" s="1" t="s">
        <v>8202</v>
      </c>
      <c r="C4366" s="1" t="s">
        <v>8203</v>
      </c>
      <c r="D4366" t="b">
        <f ca="1">IF(A4366="","",[1]!s_techanal_rcnthigh(B4366,$B$2,1,3))</f>
        <v>0</v>
      </c>
      <c r="E4366">
        <f ca="1">IF(A4366="","",COUNTIF(D$6:D4366,"True"))</f>
        <v>42</v>
      </c>
      <c r="F4366" t="str">
        <f t="shared" si="68"/>
        <v>603801.SH</v>
      </c>
    </row>
    <row r="4367" spans="1:6" x14ac:dyDescent="0.15">
      <c r="A4367" s="2">
        <v>46089</v>
      </c>
      <c r="B4367" s="1" t="s">
        <v>8204</v>
      </c>
      <c r="C4367" s="1" t="s">
        <v>8205</v>
      </c>
      <c r="D4367" t="b">
        <f ca="1">IF(A4367="","",[1]!s_techanal_rcnthigh(B4367,$B$2,1,3))</f>
        <v>0</v>
      </c>
      <c r="E4367">
        <f ca="1">IF(A4367="","",COUNTIF(D$6:D4367,"True"))</f>
        <v>42</v>
      </c>
      <c r="F4367" t="str">
        <f t="shared" si="68"/>
        <v>603803.SH</v>
      </c>
    </row>
    <row r="4368" spans="1:6" x14ac:dyDescent="0.15">
      <c r="A4368" s="2">
        <v>46089</v>
      </c>
      <c r="B4368" s="1" t="s">
        <v>8206</v>
      </c>
      <c r="C4368" s="1" t="s">
        <v>8207</v>
      </c>
      <c r="D4368" t="b">
        <f ca="1">IF(A4368="","",[1]!s_techanal_rcnthigh(B4368,$B$2,1,3))</f>
        <v>0</v>
      </c>
      <c r="E4368">
        <f ca="1">IF(A4368="","",COUNTIF(D$6:D4368,"True"))</f>
        <v>42</v>
      </c>
      <c r="F4368" t="str">
        <f t="shared" si="68"/>
        <v>603806.SH</v>
      </c>
    </row>
    <row r="4369" spans="1:6" x14ac:dyDescent="0.15">
      <c r="A4369" s="2">
        <v>46089</v>
      </c>
      <c r="B4369" s="1" t="s">
        <v>8208</v>
      </c>
      <c r="C4369" s="1" t="s">
        <v>8209</v>
      </c>
      <c r="D4369" t="b">
        <f ca="1">IF(A4369="","",[1]!s_techanal_rcnthigh(B4369,$B$2,1,3))</f>
        <v>0</v>
      </c>
      <c r="E4369">
        <f ca="1">IF(A4369="","",COUNTIF(D$6:D4369,"True"))</f>
        <v>42</v>
      </c>
      <c r="F4369" t="str">
        <f t="shared" si="68"/>
        <v>603808.SH</v>
      </c>
    </row>
    <row r="4370" spans="1:6" x14ac:dyDescent="0.15">
      <c r="A4370" s="2">
        <v>46089</v>
      </c>
      <c r="B4370" s="1" t="s">
        <v>8210</v>
      </c>
      <c r="C4370" s="1" t="s">
        <v>8211</v>
      </c>
      <c r="D4370" t="b">
        <f ca="1">IF(A4370="","",[1]!s_techanal_rcnthigh(B4370,$B$2,1,3))</f>
        <v>0</v>
      </c>
      <c r="E4370">
        <f ca="1">IF(A4370="","",COUNTIF(D$6:D4370,"True"))</f>
        <v>42</v>
      </c>
      <c r="F4370" t="str">
        <f t="shared" si="68"/>
        <v>603809.SH</v>
      </c>
    </row>
    <row r="4371" spans="1:6" x14ac:dyDescent="0.15">
      <c r="A4371" s="2">
        <v>46089</v>
      </c>
      <c r="B4371" s="1" t="s">
        <v>8212</v>
      </c>
      <c r="C4371" s="1" t="s">
        <v>8213</v>
      </c>
      <c r="D4371" t="b">
        <f ca="1">IF(A4371="","",[1]!s_techanal_rcnthigh(B4371,$B$2,1,3))</f>
        <v>0</v>
      </c>
      <c r="E4371">
        <f ca="1">IF(A4371="","",COUNTIF(D$6:D4371,"True"))</f>
        <v>42</v>
      </c>
      <c r="F4371" t="str">
        <f t="shared" si="68"/>
        <v>603810.SH</v>
      </c>
    </row>
    <row r="4372" spans="1:6" x14ac:dyDescent="0.15">
      <c r="A4372" s="2">
        <v>46089</v>
      </c>
      <c r="B4372" s="1" t="s">
        <v>8214</v>
      </c>
      <c r="C4372" s="1" t="s">
        <v>8215</v>
      </c>
      <c r="D4372" t="b">
        <f ca="1">IF(A4372="","",[1]!s_techanal_rcnthigh(B4372,$B$2,1,3))</f>
        <v>0</v>
      </c>
      <c r="E4372">
        <f ca="1">IF(A4372="","",COUNTIF(D$6:D4372,"True"))</f>
        <v>42</v>
      </c>
      <c r="F4372" t="str">
        <f t="shared" si="68"/>
        <v>603811.SH</v>
      </c>
    </row>
    <row r="4373" spans="1:6" x14ac:dyDescent="0.15">
      <c r="A4373" s="2">
        <v>46089</v>
      </c>
      <c r="B4373" s="1" t="s">
        <v>8216</v>
      </c>
      <c r="C4373" s="1" t="s">
        <v>10555</v>
      </c>
      <c r="D4373" t="b">
        <f ca="1">IF(A4373="","",[1]!s_techanal_rcnthigh(B4373,$B$2,1,3))</f>
        <v>0</v>
      </c>
      <c r="E4373">
        <f ca="1">IF(A4373="","",COUNTIF(D$6:D4373,"True"))</f>
        <v>42</v>
      </c>
      <c r="F4373" t="str">
        <f t="shared" si="68"/>
        <v>603813.SH</v>
      </c>
    </row>
    <row r="4374" spans="1:6" x14ac:dyDescent="0.15">
      <c r="A4374" s="2">
        <v>46089</v>
      </c>
      <c r="B4374" s="1" t="s">
        <v>8217</v>
      </c>
      <c r="C4374" s="1" t="s">
        <v>8218</v>
      </c>
      <c r="D4374" t="b">
        <f ca="1">IF(A4374="","",[1]!s_techanal_rcnthigh(B4374,$B$2,1,3))</f>
        <v>0</v>
      </c>
      <c r="E4374">
        <f ca="1">IF(A4374="","",COUNTIF(D$6:D4374,"True"))</f>
        <v>42</v>
      </c>
      <c r="F4374" t="str">
        <f t="shared" si="68"/>
        <v>603815.SH</v>
      </c>
    </row>
    <row r="4375" spans="1:6" x14ac:dyDescent="0.15">
      <c r="A4375" s="2">
        <v>46089</v>
      </c>
      <c r="B4375" s="1" t="s">
        <v>8219</v>
      </c>
      <c r="C4375" s="1" t="s">
        <v>8220</v>
      </c>
      <c r="D4375" t="b">
        <f ca="1">IF(A4375="","",[1]!s_techanal_rcnthigh(B4375,$B$2,1,3))</f>
        <v>0</v>
      </c>
      <c r="E4375">
        <f ca="1">IF(A4375="","",COUNTIF(D$6:D4375,"True"))</f>
        <v>42</v>
      </c>
      <c r="F4375" t="str">
        <f t="shared" si="68"/>
        <v>603816.SH</v>
      </c>
    </row>
    <row r="4376" spans="1:6" x14ac:dyDescent="0.15">
      <c r="A4376" s="2">
        <v>46089</v>
      </c>
      <c r="B4376" s="1" t="s">
        <v>8221</v>
      </c>
      <c r="C4376" s="1" t="s">
        <v>8222</v>
      </c>
      <c r="D4376" t="b">
        <f ca="1">IF(A4376="","",[1]!s_techanal_rcnthigh(B4376,$B$2,1,3))</f>
        <v>0</v>
      </c>
      <c r="E4376">
        <f ca="1">IF(A4376="","",COUNTIF(D$6:D4376,"True"))</f>
        <v>42</v>
      </c>
      <c r="F4376" t="str">
        <f t="shared" si="68"/>
        <v>603817.SH</v>
      </c>
    </row>
    <row r="4377" spans="1:6" x14ac:dyDescent="0.15">
      <c r="A4377" s="2">
        <v>46089</v>
      </c>
      <c r="B4377" s="1" t="s">
        <v>8223</v>
      </c>
      <c r="C4377" s="1" t="s">
        <v>8224</v>
      </c>
      <c r="D4377" t="b">
        <f ca="1">IF(A4377="","",[1]!s_techanal_rcnthigh(B4377,$B$2,1,3))</f>
        <v>0</v>
      </c>
      <c r="E4377">
        <f ca="1">IF(A4377="","",COUNTIF(D$6:D4377,"True"))</f>
        <v>42</v>
      </c>
      <c r="F4377" t="str">
        <f t="shared" si="68"/>
        <v>603818.SH</v>
      </c>
    </row>
    <row r="4378" spans="1:6" x14ac:dyDescent="0.15">
      <c r="A4378" s="2">
        <v>46089</v>
      </c>
      <c r="B4378" s="1" t="s">
        <v>8225</v>
      </c>
      <c r="C4378" s="1" t="s">
        <v>8226</v>
      </c>
      <c r="D4378" t="b">
        <f ca="1">IF(A4378="","",[1]!s_techanal_rcnthigh(B4378,$B$2,1,3))</f>
        <v>0</v>
      </c>
      <c r="E4378">
        <f ca="1">IF(A4378="","",COUNTIF(D$6:D4378,"True"))</f>
        <v>42</v>
      </c>
      <c r="F4378" t="str">
        <f t="shared" si="68"/>
        <v>603819.SH</v>
      </c>
    </row>
    <row r="4379" spans="1:6" x14ac:dyDescent="0.15">
      <c r="A4379" s="2">
        <v>46089</v>
      </c>
      <c r="B4379" s="1" t="s">
        <v>8227</v>
      </c>
      <c r="C4379" s="1" t="s">
        <v>10556</v>
      </c>
      <c r="D4379" t="b">
        <f ca="1">IF(A4379="","",[1]!s_techanal_rcnthigh(B4379,$B$2,1,3))</f>
        <v>0</v>
      </c>
      <c r="E4379">
        <f ca="1">IF(A4379="","",COUNTIF(D$6:D4379,"True"))</f>
        <v>42</v>
      </c>
      <c r="F4379" t="str">
        <f t="shared" si="68"/>
        <v>603822.SH</v>
      </c>
    </row>
    <row r="4380" spans="1:6" x14ac:dyDescent="0.15">
      <c r="A4380" s="2">
        <v>46089</v>
      </c>
      <c r="B4380" s="1" t="s">
        <v>8228</v>
      </c>
      <c r="C4380" s="1" t="s">
        <v>8229</v>
      </c>
      <c r="D4380" t="b">
        <f ca="1">IF(A4380="","",[1]!s_techanal_rcnthigh(B4380,$B$2,1,3))</f>
        <v>0</v>
      </c>
      <c r="E4380">
        <f ca="1">IF(A4380="","",COUNTIF(D$6:D4380,"True"))</f>
        <v>42</v>
      </c>
      <c r="F4380" t="str">
        <f t="shared" si="68"/>
        <v>603823.SH</v>
      </c>
    </row>
    <row r="4381" spans="1:6" x14ac:dyDescent="0.15">
      <c r="A4381" s="2">
        <v>46089</v>
      </c>
      <c r="B4381" s="1" t="s">
        <v>8230</v>
      </c>
      <c r="C4381" s="1" t="s">
        <v>10557</v>
      </c>
      <c r="D4381" t="b">
        <f ca="1">IF(A4381="","",[1]!s_techanal_rcnthigh(B4381,$B$2,1,3))</f>
        <v>0</v>
      </c>
      <c r="E4381">
        <f ca="1">IF(A4381="","",COUNTIF(D$6:D4381,"True"))</f>
        <v>42</v>
      </c>
      <c r="F4381" t="str">
        <f t="shared" si="68"/>
        <v>603825.SH</v>
      </c>
    </row>
    <row r="4382" spans="1:6" x14ac:dyDescent="0.15">
      <c r="A4382" s="2">
        <v>46089</v>
      </c>
      <c r="B4382" s="1" t="s">
        <v>8231</v>
      </c>
      <c r="C4382" s="1" t="s">
        <v>8232</v>
      </c>
      <c r="D4382" t="b">
        <f ca="1">IF(A4382="","",[1]!s_techanal_rcnthigh(B4382,$B$2,1,3))</f>
        <v>0</v>
      </c>
      <c r="E4382">
        <f ca="1">IF(A4382="","",COUNTIF(D$6:D4382,"True"))</f>
        <v>42</v>
      </c>
      <c r="F4382" t="str">
        <f t="shared" si="68"/>
        <v>603826.SH</v>
      </c>
    </row>
    <row r="4383" spans="1:6" x14ac:dyDescent="0.15">
      <c r="A4383" s="2">
        <v>46089</v>
      </c>
      <c r="B4383" s="1" t="s">
        <v>8233</v>
      </c>
      <c r="C4383" s="1" t="s">
        <v>10558</v>
      </c>
      <c r="D4383" t="b">
        <f ca="1">IF(A4383="","",[1]!s_techanal_rcnthigh(B4383,$B$2,1,3))</f>
        <v>0</v>
      </c>
      <c r="E4383">
        <f ca="1">IF(A4383="","",COUNTIF(D$6:D4383,"True"))</f>
        <v>42</v>
      </c>
      <c r="F4383" t="str">
        <f t="shared" si="68"/>
        <v>603828.SH</v>
      </c>
    </row>
    <row r="4384" spans="1:6" x14ac:dyDescent="0.15">
      <c r="A4384" s="2">
        <v>46089</v>
      </c>
      <c r="B4384" s="1" t="s">
        <v>8234</v>
      </c>
      <c r="C4384" s="1" t="s">
        <v>8235</v>
      </c>
      <c r="D4384" t="b">
        <f ca="1">IF(A4384="","",[1]!s_techanal_rcnthigh(B4384,$B$2,1,3))</f>
        <v>0</v>
      </c>
      <c r="E4384">
        <f ca="1">IF(A4384="","",COUNTIF(D$6:D4384,"True"))</f>
        <v>42</v>
      </c>
      <c r="F4384" t="str">
        <f t="shared" si="68"/>
        <v>603829.SH</v>
      </c>
    </row>
    <row r="4385" spans="1:6" x14ac:dyDescent="0.15">
      <c r="A4385" s="2">
        <v>46089</v>
      </c>
      <c r="B4385" s="1" t="s">
        <v>8236</v>
      </c>
      <c r="C4385" s="1" t="s">
        <v>8237</v>
      </c>
      <c r="D4385" t="b">
        <f ca="1">IF(A4385="","",[1]!s_techanal_rcnthigh(B4385,$B$2,1,3))</f>
        <v>0</v>
      </c>
      <c r="E4385">
        <f ca="1">IF(A4385="","",COUNTIF(D$6:D4385,"True"))</f>
        <v>42</v>
      </c>
      <c r="F4385" t="str">
        <f t="shared" si="68"/>
        <v>603833.SH</v>
      </c>
    </row>
    <row r="4386" spans="1:6" x14ac:dyDescent="0.15">
      <c r="A4386" s="2">
        <v>46089</v>
      </c>
      <c r="B4386" s="1" t="s">
        <v>8238</v>
      </c>
      <c r="C4386" s="1" t="s">
        <v>8239</v>
      </c>
      <c r="D4386" t="b">
        <f ca="1">IF(A4386="","",[1]!s_techanal_rcnthigh(B4386,$B$2,1,3))</f>
        <v>0</v>
      </c>
      <c r="E4386">
        <f ca="1">IF(A4386="","",COUNTIF(D$6:D4386,"True"))</f>
        <v>42</v>
      </c>
      <c r="F4386" t="str">
        <f t="shared" si="68"/>
        <v>603836.SH</v>
      </c>
    </row>
    <row r="4387" spans="1:6" x14ac:dyDescent="0.15">
      <c r="A4387" s="2">
        <v>46089</v>
      </c>
      <c r="B4387" s="1" t="s">
        <v>8240</v>
      </c>
      <c r="C4387" s="1" t="s">
        <v>10559</v>
      </c>
      <c r="D4387" t="b">
        <f ca="1">IF(A4387="","",[1]!s_techanal_rcnthigh(B4387,$B$2,1,3))</f>
        <v>0</v>
      </c>
      <c r="E4387">
        <f ca="1">IF(A4387="","",COUNTIF(D$6:D4387,"True"))</f>
        <v>42</v>
      </c>
      <c r="F4387" t="str">
        <f t="shared" si="68"/>
        <v>603838.SH</v>
      </c>
    </row>
    <row r="4388" spans="1:6" x14ac:dyDescent="0.15">
      <c r="A4388" s="2">
        <v>46089</v>
      </c>
      <c r="B4388" s="1" t="s">
        <v>8241</v>
      </c>
      <c r="C4388" s="1" t="s">
        <v>8242</v>
      </c>
      <c r="D4388" t="b">
        <f ca="1">IF(A4388="","",[1]!s_techanal_rcnthigh(B4388,$B$2,1,3))</f>
        <v>0</v>
      </c>
      <c r="E4388">
        <f ca="1">IF(A4388="","",COUNTIF(D$6:D4388,"True"))</f>
        <v>42</v>
      </c>
      <c r="F4388" t="str">
        <f t="shared" si="68"/>
        <v>603839.SH</v>
      </c>
    </row>
    <row r="4389" spans="1:6" x14ac:dyDescent="0.15">
      <c r="A4389" s="2">
        <v>46089</v>
      </c>
      <c r="B4389" s="1" t="s">
        <v>8243</v>
      </c>
      <c r="C4389" s="1" t="s">
        <v>10560</v>
      </c>
      <c r="D4389" t="b">
        <f ca="1">IF(A4389="","",[1]!s_techanal_rcnthigh(B4389,$B$2,1,3))</f>
        <v>0</v>
      </c>
      <c r="E4389">
        <f ca="1">IF(A4389="","",COUNTIF(D$6:D4389,"True"))</f>
        <v>42</v>
      </c>
      <c r="F4389" t="str">
        <f t="shared" si="68"/>
        <v>603843.SH</v>
      </c>
    </row>
    <row r="4390" spans="1:6" x14ac:dyDescent="0.15">
      <c r="A4390" s="2">
        <v>46089</v>
      </c>
      <c r="B4390" s="1" t="s">
        <v>8244</v>
      </c>
      <c r="C4390" s="1" t="s">
        <v>8245</v>
      </c>
      <c r="D4390" t="b">
        <f ca="1">IF(A4390="","",[1]!s_techanal_rcnthigh(B4390,$B$2,1,3))</f>
        <v>0</v>
      </c>
      <c r="E4390">
        <f ca="1">IF(A4390="","",COUNTIF(D$6:D4390,"True"))</f>
        <v>42</v>
      </c>
      <c r="F4390" t="str">
        <f t="shared" si="68"/>
        <v>603848.SH</v>
      </c>
    </row>
    <row r="4391" spans="1:6" x14ac:dyDescent="0.15">
      <c r="A4391" s="2">
        <v>46089</v>
      </c>
      <c r="B4391" s="1" t="s">
        <v>8246</v>
      </c>
      <c r="C4391" s="1" t="s">
        <v>8247</v>
      </c>
      <c r="D4391" t="b">
        <f ca="1">IF(A4391="","",[1]!s_techanal_rcnthigh(B4391,$B$2,1,3))</f>
        <v>0</v>
      </c>
      <c r="E4391">
        <f ca="1">IF(A4391="","",COUNTIF(D$6:D4391,"True"))</f>
        <v>42</v>
      </c>
      <c r="F4391" t="str">
        <f t="shared" si="68"/>
        <v>603855.SH</v>
      </c>
    </row>
    <row r="4392" spans="1:6" x14ac:dyDescent="0.15">
      <c r="A4392" s="2">
        <v>46089</v>
      </c>
      <c r="B4392" s="1" t="s">
        <v>8248</v>
      </c>
      <c r="C4392" s="1" t="s">
        <v>8249</v>
      </c>
      <c r="D4392" t="b">
        <f ca="1">IF(A4392="","",[1]!s_techanal_rcnthigh(B4392,$B$2,1,3))</f>
        <v>0</v>
      </c>
      <c r="E4392">
        <f ca="1">IF(A4392="","",COUNTIF(D$6:D4392,"True"))</f>
        <v>42</v>
      </c>
      <c r="F4392" t="str">
        <f t="shared" si="68"/>
        <v>603856.SH</v>
      </c>
    </row>
    <row r="4393" spans="1:6" x14ac:dyDescent="0.15">
      <c r="A4393" s="2">
        <v>46089</v>
      </c>
      <c r="B4393" s="1" t="s">
        <v>8250</v>
      </c>
      <c r="C4393" s="1" t="s">
        <v>8251</v>
      </c>
      <c r="D4393" t="b">
        <f ca="1">IF(A4393="","",[1]!s_techanal_rcnthigh(B4393,$B$2,1,3))</f>
        <v>0</v>
      </c>
      <c r="E4393">
        <f ca="1">IF(A4393="","",COUNTIF(D$6:D4393,"True"))</f>
        <v>42</v>
      </c>
      <c r="F4393" t="str">
        <f t="shared" si="68"/>
        <v>603858.SH</v>
      </c>
    </row>
    <row r="4394" spans="1:6" x14ac:dyDescent="0.15">
      <c r="A4394" s="2">
        <v>46089</v>
      </c>
      <c r="B4394" s="1" t="s">
        <v>8252</v>
      </c>
      <c r="C4394" s="1" t="s">
        <v>8253</v>
      </c>
      <c r="D4394" t="b">
        <f ca="1">IF(A4394="","",[1]!s_techanal_rcnthigh(B4394,$B$2,1,3))</f>
        <v>0</v>
      </c>
      <c r="E4394">
        <f ca="1">IF(A4394="","",COUNTIF(D$6:D4394,"True"))</f>
        <v>42</v>
      </c>
      <c r="F4394" t="str">
        <f t="shared" si="68"/>
        <v>603859.SH</v>
      </c>
    </row>
    <row r="4395" spans="1:6" x14ac:dyDescent="0.15">
      <c r="A4395" s="2">
        <v>46089</v>
      </c>
      <c r="B4395" s="1" t="s">
        <v>8254</v>
      </c>
      <c r="C4395" s="1" t="s">
        <v>8255</v>
      </c>
      <c r="D4395" t="b">
        <f ca="1">IF(A4395="","",[1]!s_techanal_rcnthigh(B4395,$B$2,1,3))</f>
        <v>0</v>
      </c>
      <c r="E4395">
        <f ca="1">IF(A4395="","",COUNTIF(D$6:D4395,"True"))</f>
        <v>42</v>
      </c>
      <c r="F4395" t="str">
        <f t="shared" si="68"/>
        <v>603860.SH</v>
      </c>
    </row>
    <row r="4396" spans="1:6" x14ac:dyDescent="0.15">
      <c r="A4396" s="2">
        <v>46089</v>
      </c>
      <c r="B4396" s="1" t="s">
        <v>8256</v>
      </c>
      <c r="C4396" s="1" t="s">
        <v>8257</v>
      </c>
      <c r="D4396" t="b">
        <f ca="1">IF(A4396="","",[1]!s_techanal_rcnthigh(B4396,$B$2,1,3))</f>
        <v>0</v>
      </c>
      <c r="E4396">
        <f ca="1">IF(A4396="","",COUNTIF(D$6:D4396,"True"))</f>
        <v>42</v>
      </c>
      <c r="F4396" t="str">
        <f t="shared" si="68"/>
        <v>603861.SH</v>
      </c>
    </row>
    <row r="4397" spans="1:6" x14ac:dyDescent="0.15">
      <c r="A4397" s="2">
        <v>46089</v>
      </c>
      <c r="B4397" s="1" t="s">
        <v>8258</v>
      </c>
      <c r="C4397" s="1" t="s">
        <v>8259</v>
      </c>
      <c r="D4397" t="b">
        <f ca="1">IF(A4397="","",[1]!s_techanal_rcnthigh(B4397,$B$2,1,3))</f>
        <v>0</v>
      </c>
      <c r="E4397">
        <f ca="1">IF(A4397="","",COUNTIF(D$6:D4397,"True"))</f>
        <v>42</v>
      </c>
      <c r="F4397" t="str">
        <f t="shared" si="68"/>
        <v>603863.SH</v>
      </c>
    </row>
    <row r="4398" spans="1:6" x14ac:dyDescent="0.15">
      <c r="A4398" s="2">
        <v>46089</v>
      </c>
      <c r="B4398" s="1" t="s">
        <v>8260</v>
      </c>
      <c r="C4398" s="1" t="s">
        <v>8261</v>
      </c>
      <c r="D4398" t="b">
        <f ca="1">IF(A4398="","",[1]!s_techanal_rcnthigh(B4398,$B$2,1,3))</f>
        <v>0</v>
      </c>
      <c r="E4398">
        <f ca="1">IF(A4398="","",COUNTIF(D$6:D4398,"True"))</f>
        <v>42</v>
      </c>
      <c r="F4398" t="str">
        <f t="shared" si="68"/>
        <v>603866.SH</v>
      </c>
    </row>
    <row r="4399" spans="1:6" x14ac:dyDescent="0.15">
      <c r="A4399" s="2">
        <v>46089</v>
      </c>
      <c r="B4399" s="1" t="s">
        <v>8262</v>
      </c>
      <c r="C4399" s="1" t="s">
        <v>8263</v>
      </c>
      <c r="D4399" t="b">
        <f ca="1">IF(A4399="","",[1]!s_techanal_rcnthigh(B4399,$B$2,1,3))</f>
        <v>0</v>
      </c>
      <c r="E4399">
        <f ca="1">IF(A4399="","",COUNTIF(D$6:D4399,"True"))</f>
        <v>42</v>
      </c>
      <c r="F4399" t="str">
        <f t="shared" si="68"/>
        <v>603867.SH</v>
      </c>
    </row>
    <row r="4400" spans="1:6" x14ac:dyDescent="0.15">
      <c r="A4400" s="2">
        <v>46089</v>
      </c>
      <c r="B4400" s="1" t="s">
        <v>8264</v>
      </c>
      <c r="C4400" s="1" t="s">
        <v>8265</v>
      </c>
      <c r="D4400" t="b">
        <f ca="1">IF(A4400="","",[1]!s_techanal_rcnthigh(B4400,$B$2,1,3))</f>
        <v>0</v>
      </c>
      <c r="E4400">
        <f ca="1">IF(A4400="","",COUNTIF(D$6:D4400,"True"))</f>
        <v>42</v>
      </c>
      <c r="F4400" t="str">
        <f t="shared" si="68"/>
        <v>603868.SH</v>
      </c>
    </row>
    <row r="4401" spans="1:6" x14ac:dyDescent="0.15">
      <c r="A4401" s="2">
        <v>46089</v>
      </c>
      <c r="B4401" s="1" t="s">
        <v>8266</v>
      </c>
      <c r="C4401" s="1" t="s">
        <v>10561</v>
      </c>
      <c r="D4401" t="b">
        <f ca="1">IF(A4401="","",[1]!s_techanal_rcnthigh(B4401,$B$2,1,3))</f>
        <v>0</v>
      </c>
      <c r="E4401">
        <f ca="1">IF(A4401="","",COUNTIF(D$6:D4401,"True"))</f>
        <v>42</v>
      </c>
      <c r="F4401" t="str">
        <f t="shared" si="68"/>
        <v>603869.SH</v>
      </c>
    </row>
    <row r="4402" spans="1:6" x14ac:dyDescent="0.15">
      <c r="A4402" s="2">
        <v>46089</v>
      </c>
      <c r="B4402" s="1" t="s">
        <v>8267</v>
      </c>
      <c r="C4402" s="1" t="s">
        <v>8268</v>
      </c>
      <c r="D4402" t="b">
        <f ca="1">IF(A4402="","",[1]!s_techanal_rcnthigh(B4402,$B$2,1,3))</f>
        <v>0</v>
      </c>
      <c r="E4402">
        <f ca="1">IF(A4402="","",COUNTIF(D$6:D4402,"True"))</f>
        <v>42</v>
      </c>
      <c r="F4402" t="str">
        <f t="shared" si="68"/>
        <v>603871.SH</v>
      </c>
    </row>
    <row r="4403" spans="1:6" x14ac:dyDescent="0.15">
      <c r="A4403" s="2">
        <v>46089</v>
      </c>
      <c r="B4403" s="1" t="s">
        <v>8269</v>
      </c>
      <c r="C4403" s="1" t="s">
        <v>8270</v>
      </c>
      <c r="D4403" t="b">
        <f ca="1">IF(A4403="","",[1]!s_techanal_rcnthigh(B4403,$B$2,1,3))</f>
        <v>0</v>
      </c>
      <c r="E4403">
        <f ca="1">IF(A4403="","",COUNTIF(D$6:D4403,"True"))</f>
        <v>42</v>
      </c>
      <c r="F4403" t="str">
        <f t="shared" si="68"/>
        <v>603876.SH</v>
      </c>
    </row>
    <row r="4404" spans="1:6" x14ac:dyDescent="0.15">
      <c r="A4404" s="2">
        <v>46089</v>
      </c>
      <c r="B4404" s="1" t="s">
        <v>8271</v>
      </c>
      <c r="C4404" s="1" t="s">
        <v>8272</v>
      </c>
      <c r="D4404" t="b">
        <f ca="1">IF(A4404="","",[1]!s_techanal_rcnthigh(B4404,$B$2,1,3))</f>
        <v>0</v>
      </c>
      <c r="E4404">
        <f ca="1">IF(A4404="","",COUNTIF(D$6:D4404,"True"))</f>
        <v>42</v>
      </c>
      <c r="F4404" t="str">
        <f t="shared" si="68"/>
        <v>603877.SH</v>
      </c>
    </row>
    <row r="4405" spans="1:6" x14ac:dyDescent="0.15">
      <c r="A4405" s="2">
        <v>46089</v>
      </c>
      <c r="B4405" s="1" t="s">
        <v>8273</v>
      </c>
      <c r="C4405" s="1" t="s">
        <v>8274</v>
      </c>
      <c r="D4405" t="b">
        <f ca="1">IF(A4405="","",[1]!s_techanal_rcnthigh(B4405,$B$2,1,3))</f>
        <v>0</v>
      </c>
      <c r="E4405">
        <f ca="1">IF(A4405="","",COUNTIF(D$6:D4405,"True"))</f>
        <v>42</v>
      </c>
      <c r="F4405" t="str">
        <f t="shared" si="68"/>
        <v>603878.SH</v>
      </c>
    </row>
    <row r="4406" spans="1:6" x14ac:dyDescent="0.15">
      <c r="A4406" s="2">
        <v>46089</v>
      </c>
      <c r="B4406" s="1" t="s">
        <v>8275</v>
      </c>
      <c r="C4406" s="1" t="s">
        <v>8276</v>
      </c>
      <c r="D4406" t="b">
        <f ca="1">IF(A4406="","",[1]!s_techanal_rcnthigh(B4406,$B$2,1,3))</f>
        <v>0</v>
      </c>
      <c r="E4406">
        <f ca="1">IF(A4406="","",COUNTIF(D$6:D4406,"True"))</f>
        <v>42</v>
      </c>
      <c r="F4406" t="str">
        <f t="shared" si="68"/>
        <v>603879.SH</v>
      </c>
    </row>
    <row r="4407" spans="1:6" x14ac:dyDescent="0.15">
      <c r="A4407" s="2">
        <v>46089</v>
      </c>
      <c r="B4407" s="1" t="s">
        <v>8277</v>
      </c>
      <c r="C4407" s="1" t="s">
        <v>10562</v>
      </c>
      <c r="D4407" t="b">
        <f ca="1">IF(A4407="","",[1]!s_techanal_rcnthigh(B4407,$B$2,1,3))</f>
        <v>0</v>
      </c>
      <c r="E4407">
        <f ca="1">IF(A4407="","",COUNTIF(D$6:D4407,"True"))</f>
        <v>42</v>
      </c>
      <c r="F4407" t="str">
        <f t="shared" si="68"/>
        <v>603880.SH</v>
      </c>
    </row>
    <row r="4408" spans="1:6" x14ac:dyDescent="0.15">
      <c r="A4408" s="2">
        <v>46089</v>
      </c>
      <c r="B4408" s="1" t="s">
        <v>8278</v>
      </c>
      <c r="C4408" s="1" t="s">
        <v>8279</v>
      </c>
      <c r="D4408" t="b">
        <f ca="1">IF(A4408="","",[1]!s_techanal_rcnthigh(B4408,$B$2,1,3))</f>
        <v>0</v>
      </c>
      <c r="E4408">
        <f ca="1">IF(A4408="","",COUNTIF(D$6:D4408,"True"))</f>
        <v>42</v>
      </c>
      <c r="F4408" t="str">
        <f t="shared" si="68"/>
        <v>603881.SH</v>
      </c>
    </row>
    <row r="4409" spans="1:6" x14ac:dyDescent="0.15">
      <c r="A4409" s="2">
        <v>46089</v>
      </c>
      <c r="B4409" s="1" t="s">
        <v>8280</v>
      </c>
      <c r="C4409" s="1" t="s">
        <v>8281</v>
      </c>
      <c r="D4409" t="b">
        <f ca="1">IF(A4409="","",[1]!s_techanal_rcnthigh(B4409,$B$2,1,3))</f>
        <v>0</v>
      </c>
      <c r="E4409">
        <f ca="1">IF(A4409="","",COUNTIF(D$6:D4409,"True"))</f>
        <v>42</v>
      </c>
      <c r="F4409" t="str">
        <f t="shared" si="68"/>
        <v>603882.SH</v>
      </c>
    </row>
    <row r="4410" spans="1:6" x14ac:dyDescent="0.15">
      <c r="A4410" s="2">
        <v>46089</v>
      </c>
      <c r="B4410" s="1" t="s">
        <v>8282</v>
      </c>
      <c r="C4410" s="1" t="s">
        <v>8283</v>
      </c>
      <c r="D4410" t="b">
        <f ca="1">IF(A4410="","",[1]!s_techanal_rcnthigh(B4410,$B$2,1,3))</f>
        <v>0</v>
      </c>
      <c r="E4410">
        <f ca="1">IF(A4410="","",COUNTIF(D$6:D4410,"True"))</f>
        <v>42</v>
      </c>
      <c r="F4410" t="str">
        <f t="shared" si="68"/>
        <v>603883.SH</v>
      </c>
    </row>
    <row r="4411" spans="1:6" x14ac:dyDescent="0.15">
      <c r="A4411" s="2">
        <v>46089</v>
      </c>
      <c r="B4411" s="1" t="s">
        <v>8284</v>
      </c>
      <c r="C4411" s="1" t="s">
        <v>8285</v>
      </c>
      <c r="D4411" t="b">
        <f ca="1">IF(A4411="","",[1]!s_techanal_rcnthigh(B4411,$B$2,1,3))</f>
        <v>0</v>
      </c>
      <c r="E4411">
        <f ca="1">IF(A4411="","",COUNTIF(D$6:D4411,"True"))</f>
        <v>42</v>
      </c>
      <c r="F4411" t="str">
        <f t="shared" si="68"/>
        <v>603885.SH</v>
      </c>
    </row>
    <row r="4412" spans="1:6" x14ac:dyDescent="0.15">
      <c r="A4412" s="2">
        <v>46089</v>
      </c>
      <c r="B4412" s="1" t="s">
        <v>8286</v>
      </c>
      <c r="C4412" s="1" t="s">
        <v>8287</v>
      </c>
      <c r="D4412" t="b">
        <f ca="1">IF(A4412="","",[1]!s_techanal_rcnthigh(B4412,$B$2,1,3))</f>
        <v>0</v>
      </c>
      <c r="E4412">
        <f ca="1">IF(A4412="","",COUNTIF(D$6:D4412,"True"))</f>
        <v>42</v>
      </c>
      <c r="F4412" t="str">
        <f t="shared" si="68"/>
        <v>603886.SH</v>
      </c>
    </row>
    <row r="4413" spans="1:6" x14ac:dyDescent="0.15">
      <c r="A4413" s="2">
        <v>46089</v>
      </c>
      <c r="B4413" s="1" t="s">
        <v>8288</v>
      </c>
      <c r="C4413" s="1" t="s">
        <v>8289</v>
      </c>
      <c r="D4413" t="b">
        <f ca="1">IF(A4413="","",[1]!s_techanal_rcnthigh(B4413,$B$2,1,3))</f>
        <v>0</v>
      </c>
      <c r="E4413">
        <f ca="1">IF(A4413="","",COUNTIF(D$6:D4413,"True"))</f>
        <v>42</v>
      </c>
      <c r="F4413" t="str">
        <f t="shared" si="68"/>
        <v>603887.SH</v>
      </c>
    </row>
    <row r="4414" spans="1:6" x14ac:dyDescent="0.15">
      <c r="A4414" s="2">
        <v>46089</v>
      </c>
      <c r="B4414" s="1" t="s">
        <v>8290</v>
      </c>
      <c r="C4414" s="1" t="s">
        <v>8291</v>
      </c>
      <c r="D4414" t="b">
        <f ca="1">IF(A4414="","",[1]!s_techanal_rcnthigh(B4414,$B$2,1,3))</f>
        <v>0</v>
      </c>
      <c r="E4414">
        <f ca="1">IF(A4414="","",COUNTIF(D$6:D4414,"True"))</f>
        <v>42</v>
      </c>
      <c r="F4414" t="str">
        <f t="shared" si="68"/>
        <v>603888.SH</v>
      </c>
    </row>
    <row r="4415" spans="1:6" x14ac:dyDescent="0.15">
      <c r="A4415" s="2">
        <v>46089</v>
      </c>
      <c r="B4415" s="1" t="s">
        <v>8292</v>
      </c>
      <c r="C4415" s="1" t="s">
        <v>8293</v>
      </c>
      <c r="D4415" t="b">
        <f ca="1">IF(A4415="","",[1]!s_techanal_rcnthigh(B4415,$B$2,1,3))</f>
        <v>0</v>
      </c>
      <c r="E4415">
        <f ca="1">IF(A4415="","",COUNTIF(D$6:D4415,"True"))</f>
        <v>42</v>
      </c>
      <c r="F4415" t="str">
        <f t="shared" si="68"/>
        <v>603889.SH</v>
      </c>
    </row>
    <row r="4416" spans="1:6" x14ac:dyDescent="0.15">
      <c r="A4416" s="2">
        <v>46089</v>
      </c>
      <c r="B4416" s="1" t="s">
        <v>8294</v>
      </c>
      <c r="C4416" s="1" t="s">
        <v>8295</v>
      </c>
      <c r="D4416" t="b">
        <f ca="1">IF(A4416="","",[1]!s_techanal_rcnthigh(B4416,$B$2,1,3))</f>
        <v>0</v>
      </c>
      <c r="E4416">
        <f ca="1">IF(A4416="","",COUNTIF(D$6:D4416,"True"))</f>
        <v>42</v>
      </c>
      <c r="F4416" t="str">
        <f t="shared" si="68"/>
        <v>603890.SH</v>
      </c>
    </row>
    <row r="4417" spans="1:6" x14ac:dyDescent="0.15">
      <c r="A4417" s="2">
        <v>46089</v>
      </c>
      <c r="B4417" s="1" t="s">
        <v>8296</v>
      </c>
      <c r="C4417" s="1" t="s">
        <v>8297</v>
      </c>
      <c r="D4417" t="b">
        <f ca="1">IF(A4417="","",[1]!s_techanal_rcnthigh(B4417,$B$2,1,3))</f>
        <v>0</v>
      </c>
      <c r="E4417">
        <f ca="1">IF(A4417="","",COUNTIF(D$6:D4417,"True"))</f>
        <v>42</v>
      </c>
      <c r="F4417" t="str">
        <f t="shared" si="68"/>
        <v>603893.SH</v>
      </c>
    </row>
    <row r="4418" spans="1:6" x14ac:dyDescent="0.15">
      <c r="A4418" s="2">
        <v>46089</v>
      </c>
      <c r="B4418" s="1" t="s">
        <v>8298</v>
      </c>
      <c r="C4418" s="1" t="s">
        <v>8299</v>
      </c>
      <c r="D4418" t="b">
        <f ca="1">IF(A4418="","",[1]!s_techanal_rcnthigh(B4418,$B$2,1,3))</f>
        <v>0</v>
      </c>
      <c r="E4418">
        <f ca="1">IF(A4418="","",COUNTIF(D$6:D4418,"True"))</f>
        <v>42</v>
      </c>
      <c r="F4418" t="str">
        <f t="shared" si="68"/>
        <v>603895.SH</v>
      </c>
    </row>
    <row r="4419" spans="1:6" x14ac:dyDescent="0.15">
      <c r="A4419" s="2">
        <v>46089</v>
      </c>
      <c r="B4419" s="1" t="s">
        <v>8300</v>
      </c>
      <c r="C4419" s="1" t="s">
        <v>8301</v>
      </c>
      <c r="D4419" t="b">
        <f ca="1">IF(A4419="","",[1]!s_techanal_rcnthigh(B4419,$B$2,1,3))</f>
        <v>0</v>
      </c>
      <c r="E4419">
        <f ca="1">IF(A4419="","",COUNTIF(D$6:D4419,"True"))</f>
        <v>42</v>
      </c>
      <c r="F4419" t="str">
        <f t="shared" si="68"/>
        <v>603896.SH</v>
      </c>
    </row>
    <row r="4420" spans="1:6" x14ac:dyDescent="0.15">
      <c r="A4420" s="2">
        <v>46089</v>
      </c>
      <c r="B4420" s="1" t="s">
        <v>8302</v>
      </c>
      <c r="C4420" s="1" t="s">
        <v>8303</v>
      </c>
      <c r="D4420" t="b">
        <f ca="1">IF(A4420="","",[1]!s_techanal_rcnthigh(B4420,$B$2,1,3))</f>
        <v>0</v>
      </c>
      <c r="E4420">
        <f ca="1">IF(A4420="","",COUNTIF(D$6:D4420,"True"))</f>
        <v>42</v>
      </c>
      <c r="F4420" t="str">
        <f t="shared" si="68"/>
        <v>603897.SH</v>
      </c>
    </row>
    <row r="4421" spans="1:6" x14ac:dyDescent="0.15">
      <c r="A4421" s="2">
        <v>46089</v>
      </c>
      <c r="B4421" s="1" t="s">
        <v>8304</v>
      </c>
      <c r="C4421" s="1" t="s">
        <v>8305</v>
      </c>
      <c r="D4421" t="b">
        <f ca="1">IF(A4421="","",[1]!s_techanal_rcnthigh(B4421,$B$2,1,3))</f>
        <v>0</v>
      </c>
      <c r="E4421">
        <f ca="1">IF(A4421="","",COUNTIF(D$6:D4421,"True"))</f>
        <v>42</v>
      </c>
      <c r="F4421" t="str">
        <f t="shared" si="68"/>
        <v>603898.SH</v>
      </c>
    </row>
    <row r="4422" spans="1:6" x14ac:dyDescent="0.15">
      <c r="A4422" s="2">
        <v>46089</v>
      </c>
      <c r="B4422" s="1" t="s">
        <v>8306</v>
      </c>
      <c r="C4422" s="1" t="s">
        <v>8307</v>
      </c>
      <c r="D4422" t="b">
        <f ca="1">IF(A4422="","",[1]!s_techanal_rcnthigh(B4422,$B$2,1,3))</f>
        <v>0</v>
      </c>
      <c r="E4422">
        <f ca="1">IF(A4422="","",COUNTIF(D$6:D4422,"True"))</f>
        <v>42</v>
      </c>
      <c r="F4422" t="str">
        <f t="shared" ref="F4422:F4485" si="69">IF(B4422="","",B4422)</f>
        <v>603899.SH</v>
      </c>
    </row>
    <row r="4423" spans="1:6" x14ac:dyDescent="0.15">
      <c r="A4423" s="2">
        <v>46089</v>
      </c>
      <c r="B4423" s="1" t="s">
        <v>8308</v>
      </c>
      <c r="C4423" s="1" t="s">
        <v>8309</v>
      </c>
      <c r="D4423" t="b">
        <f ca="1">IF(A4423="","",[1]!s_techanal_rcnthigh(B4423,$B$2,1,3))</f>
        <v>0</v>
      </c>
      <c r="E4423">
        <f ca="1">IF(A4423="","",COUNTIF(D$6:D4423,"True"))</f>
        <v>42</v>
      </c>
      <c r="F4423" t="str">
        <f t="shared" si="69"/>
        <v>603900.SH</v>
      </c>
    </row>
    <row r="4424" spans="1:6" x14ac:dyDescent="0.15">
      <c r="A4424" s="2">
        <v>46089</v>
      </c>
      <c r="B4424" s="1" t="s">
        <v>8310</v>
      </c>
      <c r="C4424" s="1" t="s">
        <v>8311</v>
      </c>
      <c r="D4424" t="b">
        <f ca="1">IF(A4424="","",[1]!s_techanal_rcnthigh(B4424,$B$2,1,3))</f>
        <v>0</v>
      </c>
      <c r="E4424">
        <f ca="1">IF(A4424="","",COUNTIF(D$6:D4424,"True"))</f>
        <v>42</v>
      </c>
      <c r="F4424" t="str">
        <f t="shared" si="69"/>
        <v>603901.SH</v>
      </c>
    </row>
    <row r="4425" spans="1:6" x14ac:dyDescent="0.15">
      <c r="A4425" s="2">
        <v>46089</v>
      </c>
      <c r="B4425" s="1" t="s">
        <v>8312</v>
      </c>
      <c r="C4425" s="1" t="s">
        <v>8313</v>
      </c>
      <c r="D4425" t="b">
        <f ca="1">IF(A4425="","",[1]!s_techanal_rcnthigh(B4425,$B$2,1,3))</f>
        <v>0</v>
      </c>
      <c r="E4425">
        <f ca="1">IF(A4425="","",COUNTIF(D$6:D4425,"True"))</f>
        <v>42</v>
      </c>
      <c r="F4425" t="str">
        <f t="shared" si="69"/>
        <v>603903.SH</v>
      </c>
    </row>
    <row r="4426" spans="1:6" x14ac:dyDescent="0.15">
      <c r="A4426" s="2">
        <v>46089</v>
      </c>
      <c r="B4426" s="1" t="s">
        <v>8314</v>
      </c>
      <c r="C4426" s="1" t="s">
        <v>8315</v>
      </c>
      <c r="D4426" t="b">
        <f ca="1">IF(A4426="","",[1]!s_techanal_rcnthigh(B4426,$B$2,1,3))</f>
        <v>0</v>
      </c>
      <c r="E4426">
        <f ca="1">IF(A4426="","",COUNTIF(D$6:D4426,"True"))</f>
        <v>42</v>
      </c>
      <c r="F4426" t="str">
        <f t="shared" si="69"/>
        <v>603906.SH</v>
      </c>
    </row>
    <row r="4427" spans="1:6" x14ac:dyDescent="0.15">
      <c r="A4427" s="2">
        <v>46089</v>
      </c>
      <c r="B4427" s="1" t="s">
        <v>8316</v>
      </c>
      <c r="C4427" s="1" t="s">
        <v>8317</v>
      </c>
      <c r="D4427" t="b">
        <f ca="1">IF(A4427="","",[1]!s_techanal_rcnthigh(B4427,$B$2,1,3))</f>
        <v>0</v>
      </c>
      <c r="E4427">
        <f ca="1">IF(A4427="","",COUNTIF(D$6:D4427,"True"))</f>
        <v>42</v>
      </c>
      <c r="F4427" t="str">
        <f t="shared" si="69"/>
        <v>603908.SH</v>
      </c>
    </row>
    <row r="4428" spans="1:6" x14ac:dyDescent="0.15">
      <c r="A4428" s="2">
        <v>46089</v>
      </c>
      <c r="B4428" s="1" t="s">
        <v>8318</v>
      </c>
      <c r="C4428" s="1" t="s">
        <v>8319</v>
      </c>
      <c r="D4428" t="b">
        <f ca="1">IF(A4428="","",[1]!s_techanal_rcnthigh(B4428,$B$2,1,3))</f>
        <v>0</v>
      </c>
      <c r="E4428">
        <f ca="1">IF(A4428="","",COUNTIF(D$6:D4428,"True"))</f>
        <v>42</v>
      </c>
      <c r="F4428" t="str">
        <f t="shared" si="69"/>
        <v>603909.SH</v>
      </c>
    </row>
    <row r="4429" spans="1:6" x14ac:dyDescent="0.15">
      <c r="A4429" s="2">
        <v>46089</v>
      </c>
      <c r="B4429" s="1" t="s">
        <v>8320</v>
      </c>
      <c r="C4429" s="1" t="s">
        <v>8321</v>
      </c>
      <c r="D4429" t="b">
        <f ca="1">IF(A4429="","",[1]!s_techanal_rcnthigh(B4429,$B$2,1,3))</f>
        <v>0</v>
      </c>
      <c r="E4429">
        <f ca="1">IF(A4429="","",COUNTIF(D$6:D4429,"True"))</f>
        <v>42</v>
      </c>
      <c r="F4429" t="str">
        <f t="shared" si="69"/>
        <v>603912.SH</v>
      </c>
    </row>
    <row r="4430" spans="1:6" x14ac:dyDescent="0.15">
      <c r="A4430" s="2">
        <v>46089</v>
      </c>
      <c r="B4430" s="1" t="s">
        <v>8322</v>
      </c>
      <c r="C4430" s="1" t="s">
        <v>8323</v>
      </c>
      <c r="D4430" t="b">
        <f ca="1">IF(A4430="","",[1]!s_techanal_rcnthigh(B4430,$B$2,1,3))</f>
        <v>0</v>
      </c>
      <c r="E4430">
        <f ca="1">IF(A4430="","",COUNTIF(D$6:D4430,"True"))</f>
        <v>42</v>
      </c>
      <c r="F4430" t="str">
        <f t="shared" si="69"/>
        <v>603915.SH</v>
      </c>
    </row>
    <row r="4431" spans="1:6" x14ac:dyDescent="0.15">
      <c r="A4431" s="2">
        <v>46089</v>
      </c>
      <c r="B4431" s="1" t="s">
        <v>8324</v>
      </c>
      <c r="C4431" s="1" t="s">
        <v>8325</v>
      </c>
      <c r="D4431" t="b">
        <f ca="1">IF(A4431="","",[1]!s_techanal_rcnthigh(B4431,$B$2,1,3))</f>
        <v>0</v>
      </c>
      <c r="E4431">
        <f ca="1">IF(A4431="","",COUNTIF(D$6:D4431,"True"))</f>
        <v>42</v>
      </c>
      <c r="F4431" t="str">
        <f t="shared" si="69"/>
        <v>603916.SH</v>
      </c>
    </row>
    <row r="4432" spans="1:6" x14ac:dyDescent="0.15">
      <c r="A4432" s="2">
        <v>46089</v>
      </c>
      <c r="B4432" s="1" t="s">
        <v>8326</v>
      </c>
      <c r="C4432" s="1" t="s">
        <v>8327</v>
      </c>
      <c r="D4432" t="b">
        <f ca="1">IF(A4432="","",[1]!s_techanal_rcnthigh(B4432,$B$2,1,3))</f>
        <v>0</v>
      </c>
      <c r="E4432">
        <f ca="1">IF(A4432="","",COUNTIF(D$6:D4432,"True"))</f>
        <v>42</v>
      </c>
      <c r="F4432" t="str">
        <f t="shared" si="69"/>
        <v>603917.SH</v>
      </c>
    </row>
    <row r="4433" spans="1:6" x14ac:dyDescent="0.15">
      <c r="A4433" s="2">
        <v>46089</v>
      </c>
      <c r="B4433" s="1" t="s">
        <v>8328</v>
      </c>
      <c r="C4433" s="1" t="s">
        <v>8329</v>
      </c>
      <c r="D4433" t="b">
        <f ca="1">IF(A4433="","",[1]!s_techanal_rcnthigh(B4433,$B$2,1,3))</f>
        <v>0</v>
      </c>
      <c r="E4433">
        <f ca="1">IF(A4433="","",COUNTIF(D$6:D4433,"True"))</f>
        <v>42</v>
      </c>
      <c r="F4433" t="str">
        <f t="shared" si="69"/>
        <v>603918.SH</v>
      </c>
    </row>
    <row r="4434" spans="1:6" x14ac:dyDescent="0.15">
      <c r="A4434" s="2">
        <v>46089</v>
      </c>
      <c r="B4434" s="1" t="s">
        <v>8330</v>
      </c>
      <c r="C4434" s="1" t="s">
        <v>8331</v>
      </c>
      <c r="D4434" t="b">
        <f ca="1">IF(A4434="","",[1]!s_techanal_rcnthigh(B4434,$B$2,1,3))</f>
        <v>0</v>
      </c>
      <c r="E4434">
        <f ca="1">IF(A4434="","",COUNTIF(D$6:D4434,"True"))</f>
        <v>42</v>
      </c>
      <c r="F4434" t="str">
        <f t="shared" si="69"/>
        <v>603919.SH</v>
      </c>
    </row>
    <row r="4435" spans="1:6" x14ac:dyDescent="0.15">
      <c r="A4435" s="2">
        <v>46089</v>
      </c>
      <c r="B4435" s="1" t="s">
        <v>8332</v>
      </c>
      <c r="C4435" s="1" t="s">
        <v>8333</v>
      </c>
      <c r="D4435" t="b">
        <f ca="1">IF(A4435="","",[1]!s_techanal_rcnthigh(B4435,$B$2,1,3))</f>
        <v>0</v>
      </c>
      <c r="E4435">
        <f ca="1">IF(A4435="","",COUNTIF(D$6:D4435,"True"))</f>
        <v>42</v>
      </c>
      <c r="F4435" t="str">
        <f t="shared" si="69"/>
        <v>603920.SH</v>
      </c>
    </row>
    <row r="4436" spans="1:6" x14ac:dyDescent="0.15">
      <c r="A4436" s="2">
        <v>46089</v>
      </c>
      <c r="B4436" s="1" t="s">
        <v>8334</v>
      </c>
      <c r="C4436" s="1" t="s">
        <v>8335</v>
      </c>
      <c r="D4436" t="b">
        <f ca="1">IF(A4436="","",[1]!s_techanal_rcnthigh(B4436,$B$2,1,3))</f>
        <v>0</v>
      </c>
      <c r="E4436">
        <f ca="1">IF(A4436="","",COUNTIF(D$6:D4436,"True"))</f>
        <v>42</v>
      </c>
      <c r="F4436" t="str">
        <f t="shared" si="69"/>
        <v>603922.SH</v>
      </c>
    </row>
    <row r="4437" spans="1:6" x14ac:dyDescent="0.15">
      <c r="A4437" s="2">
        <v>46089</v>
      </c>
      <c r="B4437" s="1" t="s">
        <v>8336</v>
      </c>
      <c r="C4437" s="1" t="s">
        <v>8337</v>
      </c>
      <c r="D4437" t="b">
        <f ca="1">IF(A4437="","",[1]!s_techanal_rcnthigh(B4437,$B$2,1,3))</f>
        <v>0</v>
      </c>
      <c r="E4437">
        <f ca="1">IF(A4437="","",COUNTIF(D$6:D4437,"True"))</f>
        <v>42</v>
      </c>
      <c r="F4437" t="str">
        <f t="shared" si="69"/>
        <v>603926.SH</v>
      </c>
    </row>
    <row r="4438" spans="1:6" x14ac:dyDescent="0.15">
      <c r="A4438" s="2">
        <v>46089</v>
      </c>
      <c r="B4438" s="1" t="s">
        <v>8338</v>
      </c>
      <c r="C4438" s="1" t="s">
        <v>8339</v>
      </c>
      <c r="D4438" t="b">
        <f ca="1">IF(A4438="","",[1]!s_techanal_rcnthigh(B4438,$B$2,1,3))</f>
        <v>0</v>
      </c>
      <c r="E4438">
        <f ca="1">IF(A4438="","",COUNTIF(D$6:D4438,"True"))</f>
        <v>42</v>
      </c>
      <c r="F4438" t="str">
        <f t="shared" si="69"/>
        <v>603927.SH</v>
      </c>
    </row>
    <row r="4439" spans="1:6" x14ac:dyDescent="0.15">
      <c r="A4439" s="2">
        <v>46089</v>
      </c>
      <c r="B4439" s="1" t="s">
        <v>8340</v>
      </c>
      <c r="C4439" s="1" t="s">
        <v>8341</v>
      </c>
      <c r="D4439" t="b">
        <f ca="1">IF(A4439="","",[1]!s_techanal_rcnthigh(B4439,$B$2,1,3))</f>
        <v>0</v>
      </c>
      <c r="E4439">
        <f ca="1">IF(A4439="","",COUNTIF(D$6:D4439,"True"))</f>
        <v>42</v>
      </c>
      <c r="F4439" t="str">
        <f t="shared" si="69"/>
        <v>603928.SH</v>
      </c>
    </row>
    <row r="4440" spans="1:6" x14ac:dyDescent="0.15">
      <c r="A4440" s="2">
        <v>46089</v>
      </c>
      <c r="B4440" s="1" t="s">
        <v>8342</v>
      </c>
      <c r="C4440" s="1" t="s">
        <v>8343</v>
      </c>
      <c r="D4440" t="b">
        <f ca="1">IF(A4440="","",[1]!s_techanal_rcnthigh(B4440,$B$2,1,3))</f>
        <v>0</v>
      </c>
      <c r="E4440">
        <f ca="1">IF(A4440="","",COUNTIF(D$6:D4440,"True"))</f>
        <v>42</v>
      </c>
      <c r="F4440" t="str">
        <f t="shared" si="69"/>
        <v>603929.SH</v>
      </c>
    </row>
    <row r="4441" spans="1:6" x14ac:dyDescent="0.15">
      <c r="A4441" s="2">
        <v>46089</v>
      </c>
      <c r="B4441" s="1" t="s">
        <v>8344</v>
      </c>
      <c r="C4441" s="1" t="s">
        <v>8345</v>
      </c>
      <c r="D4441" t="b">
        <f ca="1">IF(A4441="","",[1]!s_techanal_rcnthigh(B4441,$B$2,1,3))</f>
        <v>0</v>
      </c>
      <c r="E4441">
        <f ca="1">IF(A4441="","",COUNTIF(D$6:D4441,"True"))</f>
        <v>42</v>
      </c>
      <c r="F4441" t="str">
        <f t="shared" si="69"/>
        <v>603931.SH</v>
      </c>
    </row>
    <row r="4442" spans="1:6" x14ac:dyDescent="0.15">
      <c r="A4442" s="2">
        <v>46089</v>
      </c>
      <c r="B4442" s="1" t="s">
        <v>8346</v>
      </c>
      <c r="C4442" s="1" t="s">
        <v>8347</v>
      </c>
      <c r="D4442" t="b">
        <f ca="1">IF(A4442="","",[1]!s_techanal_rcnthigh(B4442,$B$2,1,3))</f>
        <v>0</v>
      </c>
      <c r="E4442">
        <f ca="1">IF(A4442="","",COUNTIF(D$6:D4442,"True"))</f>
        <v>42</v>
      </c>
      <c r="F4442" t="str">
        <f t="shared" si="69"/>
        <v>603933.SH</v>
      </c>
    </row>
    <row r="4443" spans="1:6" x14ac:dyDescent="0.15">
      <c r="A4443" s="2">
        <v>46089</v>
      </c>
      <c r="B4443" s="1" t="s">
        <v>8348</v>
      </c>
      <c r="C4443" s="1" t="s">
        <v>8349</v>
      </c>
      <c r="D4443" t="b">
        <f ca="1">IF(A4443="","",[1]!s_techanal_rcnthigh(B4443,$B$2,1,3))</f>
        <v>0</v>
      </c>
      <c r="E4443">
        <f ca="1">IF(A4443="","",COUNTIF(D$6:D4443,"True"))</f>
        <v>42</v>
      </c>
      <c r="F4443" t="str">
        <f t="shared" si="69"/>
        <v>603936.SH</v>
      </c>
    </row>
    <row r="4444" spans="1:6" x14ac:dyDescent="0.15">
      <c r="A4444" s="2">
        <v>46089</v>
      </c>
      <c r="B4444" s="1" t="s">
        <v>8350</v>
      </c>
      <c r="C4444" s="1" t="s">
        <v>8351</v>
      </c>
      <c r="D4444" t="b">
        <f ca="1">IF(A4444="","",[1]!s_techanal_rcnthigh(B4444,$B$2,1,3))</f>
        <v>0</v>
      </c>
      <c r="E4444">
        <f ca="1">IF(A4444="","",COUNTIF(D$6:D4444,"True"))</f>
        <v>42</v>
      </c>
      <c r="F4444" t="str">
        <f t="shared" si="69"/>
        <v>603937.SH</v>
      </c>
    </row>
    <row r="4445" spans="1:6" x14ac:dyDescent="0.15">
      <c r="A4445" s="2">
        <v>46089</v>
      </c>
      <c r="B4445" s="1" t="s">
        <v>8352</v>
      </c>
      <c r="C4445" s="1" t="s">
        <v>8353</v>
      </c>
      <c r="D4445" t="b">
        <f ca="1">IF(A4445="","",[1]!s_techanal_rcnthigh(B4445,$B$2,1,3))</f>
        <v>0</v>
      </c>
      <c r="E4445">
        <f ca="1">IF(A4445="","",COUNTIF(D$6:D4445,"True"))</f>
        <v>42</v>
      </c>
      <c r="F4445" t="str">
        <f t="shared" si="69"/>
        <v>603938.SH</v>
      </c>
    </row>
    <row r="4446" spans="1:6" x14ac:dyDescent="0.15">
      <c r="A4446" s="2">
        <v>46089</v>
      </c>
      <c r="B4446" s="1" t="s">
        <v>8354</v>
      </c>
      <c r="C4446" s="1" t="s">
        <v>8355</v>
      </c>
      <c r="D4446" t="b">
        <f ca="1">IF(A4446="","",[1]!s_techanal_rcnthigh(B4446,$B$2,1,3))</f>
        <v>0</v>
      </c>
      <c r="E4446">
        <f ca="1">IF(A4446="","",COUNTIF(D$6:D4446,"True"))</f>
        <v>42</v>
      </c>
      <c r="F4446" t="str">
        <f t="shared" si="69"/>
        <v>603939.SH</v>
      </c>
    </row>
    <row r="4447" spans="1:6" x14ac:dyDescent="0.15">
      <c r="A4447" s="2">
        <v>46089</v>
      </c>
      <c r="B4447" s="1" t="s">
        <v>8356</v>
      </c>
      <c r="C4447" s="1" t="s">
        <v>8357</v>
      </c>
      <c r="D4447" t="b">
        <f ca="1">IF(A4447="","",[1]!s_techanal_rcnthigh(B4447,$B$2,1,3))</f>
        <v>0</v>
      </c>
      <c r="E4447">
        <f ca="1">IF(A4447="","",COUNTIF(D$6:D4447,"True"))</f>
        <v>42</v>
      </c>
      <c r="F4447" t="str">
        <f t="shared" si="69"/>
        <v>603948.SH</v>
      </c>
    </row>
    <row r="4448" spans="1:6" x14ac:dyDescent="0.15">
      <c r="A4448" s="2">
        <v>46089</v>
      </c>
      <c r="B4448" s="1" t="s">
        <v>8358</v>
      </c>
      <c r="C4448" s="1" t="s">
        <v>8359</v>
      </c>
      <c r="D4448" t="b">
        <f ca="1">IF(A4448="","",[1]!s_techanal_rcnthigh(B4448,$B$2,1,3))</f>
        <v>0</v>
      </c>
      <c r="E4448">
        <f ca="1">IF(A4448="","",COUNTIF(D$6:D4448,"True"))</f>
        <v>42</v>
      </c>
      <c r="F4448" t="str">
        <f t="shared" si="69"/>
        <v>603949.SH</v>
      </c>
    </row>
    <row r="4449" spans="1:6" x14ac:dyDescent="0.15">
      <c r="A4449" s="2">
        <v>46089</v>
      </c>
      <c r="B4449" s="1" t="s">
        <v>8360</v>
      </c>
      <c r="C4449" s="1" t="s">
        <v>8361</v>
      </c>
      <c r="D4449" t="b">
        <f ca="1">IF(A4449="","",[1]!s_techanal_rcnthigh(B4449,$B$2,1,3))</f>
        <v>0</v>
      </c>
      <c r="E4449">
        <f ca="1">IF(A4449="","",COUNTIF(D$6:D4449,"True"))</f>
        <v>42</v>
      </c>
      <c r="F4449" t="str">
        <f t="shared" si="69"/>
        <v>603950.SH</v>
      </c>
    </row>
    <row r="4450" spans="1:6" x14ac:dyDescent="0.15">
      <c r="A4450" s="2">
        <v>46089</v>
      </c>
      <c r="B4450" s="1" t="s">
        <v>8362</v>
      </c>
      <c r="C4450" s="1" t="s">
        <v>8363</v>
      </c>
      <c r="D4450" t="b">
        <f ca="1">IF(A4450="","",[1]!s_techanal_rcnthigh(B4450,$B$2,1,3))</f>
        <v>0</v>
      </c>
      <c r="E4450">
        <f ca="1">IF(A4450="","",COUNTIF(D$6:D4450,"True"))</f>
        <v>42</v>
      </c>
      <c r="F4450" t="str">
        <f t="shared" si="69"/>
        <v>603955.SH</v>
      </c>
    </row>
    <row r="4451" spans="1:6" x14ac:dyDescent="0.15">
      <c r="A4451" s="2">
        <v>46089</v>
      </c>
      <c r="B4451" s="1" t="s">
        <v>8364</v>
      </c>
      <c r="C4451" s="1" t="s">
        <v>8365</v>
      </c>
      <c r="D4451" t="b">
        <f ca="1">IF(A4451="","",[1]!s_techanal_rcnthigh(B4451,$B$2,1,3))</f>
        <v>0</v>
      </c>
      <c r="E4451">
        <f ca="1">IF(A4451="","",COUNTIF(D$6:D4451,"True"))</f>
        <v>42</v>
      </c>
      <c r="F4451" t="str">
        <f t="shared" si="69"/>
        <v>603956.SH</v>
      </c>
    </row>
    <row r="4452" spans="1:6" x14ac:dyDescent="0.15">
      <c r="A4452" s="2">
        <v>46089</v>
      </c>
      <c r="B4452" s="1" t="s">
        <v>8366</v>
      </c>
      <c r="C4452" s="1" t="s">
        <v>8367</v>
      </c>
      <c r="D4452" t="b">
        <f ca="1">IF(A4452="","",[1]!s_techanal_rcnthigh(B4452,$B$2,1,3))</f>
        <v>0</v>
      </c>
      <c r="E4452">
        <f ca="1">IF(A4452="","",COUNTIF(D$6:D4452,"True"))</f>
        <v>42</v>
      </c>
      <c r="F4452" t="str">
        <f t="shared" si="69"/>
        <v>603958.SH</v>
      </c>
    </row>
    <row r="4453" spans="1:6" x14ac:dyDescent="0.15">
      <c r="A4453" s="2">
        <v>46089</v>
      </c>
      <c r="B4453" s="1" t="s">
        <v>8368</v>
      </c>
      <c r="C4453" s="1" t="s">
        <v>8369</v>
      </c>
      <c r="D4453" t="b">
        <f ca="1">IF(A4453="","",[1]!s_techanal_rcnthigh(B4453,$B$2,1,3))</f>
        <v>0</v>
      </c>
      <c r="E4453">
        <f ca="1">IF(A4453="","",COUNTIF(D$6:D4453,"True"))</f>
        <v>42</v>
      </c>
      <c r="F4453" t="str">
        <f t="shared" si="69"/>
        <v>603959.SH</v>
      </c>
    </row>
    <row r="4454" spans="1:6" x14ac:dyDescent="0.15">
      <c r="A4454" s="2">
        <v>46089</v>
      </c>
      <c r="B4454" s="1" t="s">
        <v>8370</v>
      </c>
      <c r="C4454" s="1" t="s">
        <v>8371</v>
      </c>
      <c r="D4454" t="b">
        <f ca="1">IF(A4454="","",[1]!s_techanal_rcnthigh(B4454,$B$2,1,3))</f>
        <v>0</v>
      </c>
      <c r="E4454">
        <f ca="1">IF(A4454="","",COUNTIF(D$6:D4454,"True"))</f>
        <v>42</v>
      </c>
      <c r="F4454" t="str">
        <f t="shared" si="69"/>
        <v>603960.SH</v>
      </c>
    </row>
    <row r="4455" spans="1:6" x14ac:dyDescent="0.15">
      <c r="A4455" s="2">
        <v>46089</v>
      </c>
      <c r="B4455" s="1" t="s">
        <v>8372</v>
      </c>
      <c r="C4455" s="1" t="s">
        <v>8373</v>
      </c>
      <c r="D4455" t="b">
        <f ca="1">IF(A4455="","",[1]!s_techanal_rcnthigh(B4455,$B$2,1,3))</f>
        <v>0</v>
      </c>
      <c r="E4455">
        <f ca="1">IF(A4455="","",COUNTIF(D$6:D4455,"True"))</f>
        <v>42</v>
      </c>
      <c r="F4455" t="str">
        <f t="shared" si="69"/>
        <v>603966.SH</v>
      </c>
    </row>
    <row r="4456" spans="1:6" x14ac:dyDescent="0.15">
      <c r="A4456" s="2">
        <v>46089</v>
      </c>
      <c r="B4456" s="1" t="s">
        <v>8374</v>
      </c>
      <c r="C4456" s="1" t="s">
        <v>8375</v>
      </c>
      <c r="D4456" t="b">
        <f ca="1">IF(A4456="","",[1]!s_techanal_rcnthigh(B4456,$B$2,1,3))</f>
        <v>0</v>
      </c>
      <c r="E4456">
        <f ca="1">IF(A4456="","",COUNTIF(D$6:D4456,"True"))</f>
        <v>42</v>
      </c>
      <c r="F4456" t="str">
        <f t="shared" si="69"/>
        <v>603967.SH</v>
      </c>
    </row>
    <row r="4457" spans="1:6" x14ac:dyDescent="0.15">
      <c r="A4457" s="2">
        <v>46089</v>
      </c>
      <c r="B4457" s="1" t="s">
        <v>8376</v>
      </c>
      <c r="C4457" s="1" t="s">
        <v>8377</v>
      </c>
      <c r="D4457" t="b">
        <f ca="1">IF(A4457="","",[1]!s_techanal_rcnthigh(B4457,$B$2,1,3))</f>
        <v>0</v>
      </c>
      <c r="E4457">
        <f ca="1">IF(A4457="","",COUNTIF(D$6:D4457,"True"))</f>
        <v>42</v>
      </c>
      <c r="F4457" t="str">
        <f t="shared" si="69"/>
        <v>603968.SH</v>
      </c>
    </row>
    <row r="4458" spans="1:6" x14ac:dyDescent="0.15">
      <c r="A4458" s="2">
        <v>46089</v>
      </c>
      <c r="B4458" s="1" t="s">
        <v>8378</v>
      </c>
      <c r="C4458" s="1" t="s">
        <v>8379</v>
      </c>
      <c r="D4458" t="b">
        <f ca="1">IF(A4458="","",[1]!s_techanal_rcnthigh(B4458,$B$2,1,3))</f>
        <v>0</v>
      </c>
      <c r="E4458">
        <f ca="1">IF(A4458="","",COUNTIF(D$6:D4458,"True"))</f>
        <v>42</v>
      </c>
      <c r="F4458" t="str">
        <f t="shared" si="69"/>
        <v>603969.SH</v>
      </c>
    </row>
    <row r="4459" spans="1:6" x14ac:dyDescent="0.15">
      <c r="A4459" s="2">
        <v>46089</v>
      </c>
      <c r="B4459" s="1" t="s">
        <v>8380</v>
      </c>
      <c r="C4459" s="1" t="s">
        <v>8381</v>
      </c>
      <c r="D4459" t="b">
        <f ca="1">IF(A4459="","",[1]!s_techanal_rcnthigh(B4459,$B$2,1,3))</f>
        <v>0</v>
      </c>
      <c r="E4459">
        <f ca="1">IF(A4459="","",COUNTIF(D$6:D4459,"True"))</f>
        <v>42</v>
      </c>
      <c r="F4459" t="str">
        <f t="shared" si="69"/>
        <v>603970.SH</v>
      </c>
    </row>
    <row r="4460" spans="1:6" x14ac:dyDescent="0.15">
      <c r="A4460" s="2">
        <v>46089</v>
      </c>
      <c r="B4460" s="1" t="s">
        <v>8382</v>
      </c>
      <c r="C4460" s="1" t="s">
        <v>8383</v>
      </c>
      <c r="D4460" t="b">
        <f ca="1">IF(A4460="","",[1]!s_techanal_rcnthigh(B4460,$B$2,1,3))</f>
        <v>0</v>
      </c>
      <c r="E4460">
        <f ca="1">IF(A4460="","",COUNTIF(D$6:D4460,"True"))</f>
        <v>42</v>
      </c>
      <c r="F4460" t="str">
        <f t="shared" si="69"/>
        <v>603976.SH</v>
      </c>
    </row>
    <row r="4461" spans="1:6" x14ac:dyDescent="0.15">
      <c r="A4461" s="2">
        <v>46089</v>
      </c>
      <c r="B4461" s="1" t="s">
        <v>8384</v>
      </c>
      <c r="C4461" s="1" t="s">
        <v>8385</v>
      </c>
      <c r="D4461" t="b">
        <f ca="1">IF(A4461="","",[1]!s_techanal_rcnthigh(B4461,$B$2,1,3))</f>
        <v>0</v>
      </c>
      <c r="E4461">
        <f ca="1">IF(A4461="","",COUNTIF(D$6:D4461,"True"))</f>
        <v>42</v>
      </c>
      <c r="F4461" t="str">
        <f t="shared" si="69"/>
        <v>603977.SH</v>
      </c>
    </row>
    <row r="4462" spans="1:6" x14ac:dyDescent="0.15">
      <c r="A4462" s="2">
        <v>46089</v>
      </c>
      <c r="B4462" s="1" t="s">
        <v>8386</v>
      </c>
      <c r="C4462" s="1" t="s">
        <v>8387</v>
      </c>
      <c r="D4462" t="b">
        <f ca="1">IF(A4462="","",[1]!s_techanal_rcnthigh(B4462,$B$2,1,3))</f>
        <v>0</v>
      </c>
      <c r="E4462">
        <f ca="1">IF(A4462="","",COUNTIF(D$6:D4462,"True"))</f>
        <v>42</v>
      </c>
      <c r="F4462" t="str">
        <f t="shared" si="69"/>
        <v>603978.SH</v>
      </c>
    </row>
    <row r="4463" spans="1:6" x14ac:dyDescent="0.15">
      <c r="A4463" s="2">
        <v>46089</v>
      </c>
      <c r="B4463" s="1" t="s">
        <v>8388</v>
      </c>
      <c r="C4463" s="1" t="s">
        <v>8389</v>
      </c>
      <c r="D4463" t="b">
        <f ca="1">IF(A4463="","",[1]!s_techanal_rcnthigh(B4463,$B$2,1,3))</f>
        <v>0</v>
      </c>
      <c r="E4463">
        <f ca="1">IF(A4463="","",COUNTIF(D$6:D4463,"True"))</f>
        <v>42</v>
      </c>
      <c r="F4463" t="str">
        <f t="shared" si="69"/>
        <v>603979.SH</v>
      </c>
    </row>
    <row r="4464" spans="1:6" x14ac:dyDescent="0.15">
      <c r="A4464" s="2">
        <v>46089</v>
      </c>
      <c r="B4464" s="1" t="s">
        <v>8390</v>
      </c>
      <c r="C4464" s="1" t="s">
        <v>8391</v>
      </c>
      <c r="D4464" t="b">
        <f ca="1">IF(A4464="","",[1]!s_techanal_rcnthigh(B4464,$B$2,1,3))</f>
        <v>0</v>
      </c>
      <c r="E4464">
        <f ca="1">IF(A4464="","",COUNTIF(D$6:D4464,"True"))</f>
        <v>42</v>
      </c>
      <c r="F4464" t="str">
        <f t="shared" si="69"/>
        <v>603980.SH</v>
      </c>
    </row>
    <row r="4465" spans="1:6" x14ac:dyDescent="0.15">
      <c r="A4465" s="2">
        <v>46089</v>
      </c>
      <c r="B4465" s="1" t="s">
        <v>8392</v>
      </c>
      <c r="C4465" s="1" t="s">
        <v>8393</v>
      </c>
      <c r="D4465" t="b">
        <f ca="1">IF(A4465="","",[1]!s_techanal_rcnthigh(B4465,$B$2,1,3))</f>
        <v>0</v>
      </c>
      <c r="E4465">
        <f ca="1">IF(A4465="","",COUNTIF(D$6:D4465,"True"))</f>
        <v>42</v>
      </c>
      <c r="F4465" t="str">
        <f t="shared" si="69"/>
        <v>603982.SH</v>
      </c>
    </row>
    <row r="4466" spans="1:6" x14ac:dyDescent="0.15">
      <c r="A4466" s="2">
        <v>46089</v>
      </c>
      <c r="B4466" s="1" t="s">
        <v>8394</v>
      </c>
      <c r="C4466" s="1" t="s">
        <v>10563</v>
      </c>
      <c r="D4466" t="b">
        <f ca="1">IF(A4466="","",[1]!s_techanal_rcnthigh(B4466,$B$2,1,3))</f>
        <v>0</v>
      </c>
      <c r="E4466">
        <f ca="1">IF(A4466="","",COUNTIF(D$6:D4466,"True"))</f>
        <v>42</v>
      </c>
      <c r="F4466" t="str">
        <f t="shared" si="69"/>
        <v>603983.SH</v>
      </c>
    </row>
    <row r="4467" spans="1:6" x14ac:dyDescent="0.15">
      <c r="A4467" s="2">
        <v>46089</v>
      </c>
      <c r="B4467" s="1" t="s">
        <v>8395</v>
      </c>
      <c r="C4467" s="1" t="s">
        <v>8396</v>
      </c>
      <c r="D4467" t="b">
        <f ca="1">IF(A4467="","",[1]!s_techanal_rcnthigh(B4467,$B$2,1,3))</f>
        <v>0</v>
      </c>
      <c r="E4467">
        <f ca="1">IF(A4467="","",COUNTIF(D$6:D4467,"True"))</f>
        <v>42</v>
      </c>
      <c r="F4467" t="str">
        <f t="shared" si="69"/>
        <v>603985.SH</v>
      </c>
    </row>
    <row r="4468" spans="1:6" x14ac:dyDescent="0.15">
      <c r="A4468" s="2">
        <v>46089</v>
      </c>
      <c r="B4468" s="1" t="s">
        <v>8397</v>
      </c>
      <c r="C4468" s="1" t="s">
        <v>8398</v>
      </c>
      <c r="D4468" t="b">
        <f ca="1">IF(A4468="","",[1]!s_techanal_rcnthigh(B4468,$B$2,1,3))</f>
        <v>0</v>
      </c>
      <c r="E4468">
        <f ca="1">IF(A4468="","",COUNTIF(D$6:D4468,"True"))</f>
        <v>42</v>
      </c>
      <c r="F4468" t="str">
        <f t="shared" si="69"/>
        <v>603986.SH</v>
      </c>
    </row>
    <row r="4469" spans="1:6" x14ac:dyDescent="0.15">
      <c r="A4469" s="2">
        <v>46089</v>
      </c>
      <c r="B4469" s="1" t="s">
        <v>8399</v>
      </c>
      <c r="C4469" s="1" t="s">
        <v>8400</v>
      </c>
      <c r="D4469" t="b">
        <f ca="1">IF(A4469="","",[1]!s_techanal_rcnthigh(B4469,$B$2,1,3))</f>
        <v>0</v>
      </c>
      <c r="E4469">
        <f ca="1">IF(A4469="","",COUNTIF(D$6:D4469,"True"))</f>
        <v>42</v>
      </c>
      <c r="F4469" t="str">
        <f t="shared" si="69"/>
        <v>603987.SH</v>
      </c>
    </row>
    <row r="4470" spans="1:6" x14ac:dyDescent="0.15">
      <c r="A4470" s="2">
        <v>46089</v>
      </c>
      <c r="B4470" s="1" t="s">
        <v>8401</v>
      </c>
      <c r="C4470" s="1" t="s">
        <v>8402</v>
      </c>
      <c r="D4470" t="b">
        <f ca="1">IF(A4470="","",[1]!s_techanal_rcnthigh(B4470,$B$2,1,3))</f>
        <v>0</v>
      </c>
      <c r="E4470">
        <f ca="1">IF(A4470="","",COUNTIF(D$6:D4470,"True"))</f>
        <v>42</v>
      </c>
      <c r="F4470" t="str">
        <f t="shared" si="69"/>
        <v>603988.SH</v>
      </c>
    </row>
    <row r="4471" spans="1:6" x14ac:dyDescent="0.15">
      <c r="A4471" s="2">
        <v>46089</v>
      </c>
      <c r="B4471" s="1" t="s">
        <v>8403</v>
      </c>
      <c r="C4471" s="1" t="s">
        <v>8404</v>
      </c>
      <c r="D4471" t="b">
        <f ca="1">IF(A4471="","",[1]!s_techanal_rcnthigh(B4471,$B$2,1,3))</f>
        <v>0</v>
      </c>
      <c r="E4471">
        <f ca="1">IF(A4471="","",COUNTIF(D$6:D4471,"True"))</f>
        <v>42</v>
      </c>
      <c r="F4471" t="str">
        <f t="shared" si="69"/>
        <v>603989.SH</v>
      </c>
    </row>
    <row r="4472" spans="1:6" x14ac:dyDescent="0.15">
      <c r="A4472" s="2">
        <v>46089</v>
      </c>
      <c r="B4472" s="1" t="s">
        <v>8405</v>
      </c>
      <c r="C4472" s="1" t="s">
        <v>8406</v>
      </c>
      <c r="D4472" t="b">
        <f ca="1">IF(A4472="","",[1]!s_techanal_rcnthigh(B4472,$B$2,1,3))</f>
        <v>0</v>
      </c>
      <c r="E4472">
        <f ca="1">IF(A4472="","",COUNTIF(D$6:D4472,"True"))</f>
        <v>42</v>
      </c>
      <c r="F4472" t="str">
        <f t="shared" si="69"/>
        <v>603990.SH</v>
      </c>
    </row>
    <row r="4473" spans="1:6" x14ac:dyDescent="0.15">
      <c r="A4473" s="2">
        <v>46089</v>
      </c>
      <c r="B4473" s="1" t="s">
        <v>8407</v>
      </c>
      <c r="C4473" s="1" t="s">
        <v>8408</v>
      </c>
      <c r="D4473" t="b">
        <f ca="1">IF(A4473="","",[1]!s_techanal_rcnthigh(B4473,$B$2,1,3))</f>
        <v>0</v>
      </c>
      <c r="E4473">
        <f ca="1">IF(A4473="","",COUNTIF(D$6:D4473,"True"))</f>
        <v>42</v>
      </c>
      <c r="F4473" t="str">
        <f t="shared" si="69"/>
        <v>603991.SH</v>
      </c>
    </row>
    <row r="4474" spans="1:6" x14ac:dyDescent="0.15">
      <c r="A4474" s="2">
        <v>46089</v>
      </c>
      <c r="B4474" s="1" t="s">
        <v>8409</v>
      </c>
      <c r="C4474" s="1" t="s">
        <v>8410</v>
      </c>
      <c r="D4474" t="b">
        <f ca="1">IF(A4474="","",[1]!s_techanal_rcnthigh(B4474,$B$2,1,3))</f>
        <v>0</v>
      </c>
      <c r="E4474">
        <f ca="1">IF(A4474="","",COUNTIF(D$6:D4474,"True"))</f>
        <v>42</v>
      </c>
      <c r="F4474" t="str">
        <f t="shared" si="69"/>
        <v>603992.SH</v>
      </c>
    </row>
    <row r="4475" spans="1:6" x14ac:dyDescent="0.15">
      <c r="A4475" s="2">
        <v>46089</v>
      </c>
      <c r="B4475" s="1" t="s">
        <v>8411</v>
      </c>
      <c r="C4475" s="1" t="s">
        <v>8412</v>
      </c>
      <c r="D4475" t="b">
        <f ca="1">IF(A4475="","",[1]!s_techanal_rcnthigh(B4475,$B$2,1,3))</f>
        <v>0</v>
      </c>
      <c r="E4475">
        <f ca="1">IF(A4475="","",COUNTIF(D$6:D4475,"True"))</f>
        <v>42</v>
      </c>
      <c r="F4475" t="str">
        <f t="shared" si="69"/>
        <v>603993.SH</v>
      </c>
    </row>
    <row r="4476" spans="1:6" x14ac:dyDescent="0.15">
      <c r="A4476" s="2">
        <v>46089</v>
      </c>
      <c r="B4476" s="1" t="s">
        <v>8413</v>
      </c>
      <c r="C4476" s="1" t="s">
        <v>8414</v>
      </c>
      <c r="D4476" t="b">
        <f ca="1">IF(A4476="","",[1]!s_techanal_rcnthigh(B4476,$B$2,1,3))</f>
        <v>0</v>
      </c>
      <c r="E4476">
        <f ca="1">IF(A4476="","",COUNTIF(D$6:D4476,"True"))</f>
        <v>42</v>
      </c>
      <c r="F4476" t="str">
        <f t="shared" si="69"/>
        <v>603995.SH</v>
      </c>
    </row>
    <row r="4477" spans="1:6" x14ac:dyDescent="0.15">
      <c r="A4477" s="2">
        <v>46089</v>
      </c>
      <c r="B4477" s="1" t="s">
        <v>8415</v>
      </c>
      <c r="C4477" s="1" t="s">
        <v>8416</v>
      </c>
      <c r="D4477" t="b">
        <f ca="1">IF(A4477="","",[1]!s_techanal_rcnthigh(B4477,$B$2,1,3))</f>
        <v>0</v>
      </c>
      <c r="E4477">
        <f ca="1">IF(A4477="","",COUNTIF(D$6:D4477,"True"))</f>
        <v>42</v>
      </c>
      <c r="F4477" t="str">
        <f t="shared" si="69"/>
        <v>603997.SH</v>
      </c>
    </row>
    <row r="4478" spans="1:6" x14ac:dyDescent="0.15">
      <c r="A4478" s="2">
        <v>46089</v>
      </c>
      <c r="B4478" s="1" t="s">
        <v>8417</v>
      </c>
      <c r="C4478" s="1" t="s">
        <v>8418</v>
      </c>
      <c r="D4478" t="b">
        <f ca="1">IF(A4478="","",[1]!s_techanal_rcnthigh(B4478,$B$2,1,3))</f>
        <v>0</v>
      </c>
      <c r="E4478">
        <f ca="1">IF(A4478="","",COUNTIF(D$6:D4478,"True"))</f>
        <v>42</v>
      </c>
      <c r="F4478" t="str">
        <f t="shared" si="69"/>
        <v>603998.SH</v>
      </c>
    </row>
    <row r="4479" spans="1:6" x14ac:dyDescent="0.15">
      <c r="A4479" s="2">
        <v>46089</v>
      </c>
      <c r="B4479" s="1" t="s">
        <v>8419</v>
      </c>
      <c r="C4479" s="1" t="s">
        <v>8420</v>
      </c>
      <c r="D4479" t="b">
        <f ca="1">IF(A4479="","",[1]!s_techanal_rcnthigh(B4479,$B$2,1,3))</f>
        <v>0</v>
      </c>
      <c r="E4479">
        <f ca="1">IF(A4479="","",COUNTIF(D$6:D4479,"True"))</f>
        <v>42</v>
      </c>
      <c r="F4479" t="str">
        <f t="shared" si="69"/>
        <v>603999.SH</v>
      </c>
    </row>
    <row r="4480" spans="1:6" x14ac:dyDescent="0.15">
      <c r="A4480" s="2">
        <v>46089</v>
      </c>
      <c r="B4480" s="1" t="s">
        <v>8421</v>
      </c>
      <c r="C4480" s="1" t="s">
        <v>8422</v>
      </c>
      <c r="D4480" t="b">
        <f ca="1">IF(A4480="","",[1]!s_techanal_rcnthigh(B4480,$B$2,1,3))</f>
        <v>0</v>
      </c>
      <c r="E4480">
        <f ca="1">IF(A4480="","",COUNTIF(D$6:D4480,"True"))</f>
        <v>42</v>
      </c>
      <c r="F4480" t="str">
        <f t="shared" si="69"/>
        <v>605001.SH</v>
      </c>
    </row>
    <row r="4481" spans="1:6" x14ac:dyDescent="0.15">
      <c r="A4481" s="2">
        <v>46089</v>
      </c>
      <c r="B4481" s="1" t="s">
        <v>8423</v>
      </c>
      <c r="C4481" s="1" t="s">
        <v>8424</v>
      </c>
      <c r="D4481" t="b">
        <f ca="1">IF(A4481="","",[1]!s_techanal_rcnthigh(B4481,$B$2,1,3))</f>
        <v>0</v>
      </c>
      <c r="E4481">
        <f ca="1">IF(A4481="","",COUNTIF(D$6:D4481,"True"))</f>
        <v>42</v>
      </c>
      <c r="F4481" t="str">
        <f t="shared" si="69"/>
        <v>605003.SH</v>
      </c>
    </row>
    <row r="4482" spans="1:6" x14ac:dyDescent="0.15">
      <c r="A4482" s="2">
        <v>46089</v>
      </c>
      <c r="B4482" s="1" t="s">
        <v>8425</v>
      </c>
      <c r="C4482" s="1" t="s">
        <v>8426</v>
      </c>
      <c r="D4482" t="b">
        <f ca="1">IF(A4482="","",[1]!s_techanal_rcnthigh(B4482,$B$2,1,3))</f>
        <v>0</v>
      </c>
      <c r="E4482">
        <f ca="1">IF(A4482="","",COUNTIF(D$6:D4482,"True"))</f>
        <v>42</v>
      </c>
      <c r="F4482" t="str">
        <f t="shared" si="69"/>
        <v>605005.SH</v>
      </c>
    </row>
    <row r="4483" spans="1:6" x14ac:dyDescent="0.15">
      <c r="A4483" s="2">
        <v>46089</v>
      </c>
      <c r="B4483" s="1" t="s">
        <v>8427</v>
      </c>
      <c r="C4483" s="1" t="s">
        <v>8428</v>
      </c>
      <c r="D4483" t="b">
        <f ca="1">IF(A4483="","",[1]!s_techanal_rcnthigh(B4483,$B$2,1,3))</f>
        <v>0</v>
      </c>
      <c r="E4483">
        <f ca="1">IF(A4483="","",COUNTIF(D$6:D4483,"True"))</f>
        <v>42</v>
      </c>
      <c r="F4483" t="str">
        <f t="shared" si="69"/>
        <v>605006.SH</v>
      </c>
    </row>
    <row r="4484" spans="1:6" x14ac:dyDescent="0.15">
      <c r="A4484" s="2">
        <v>46089</v>
      </c>
      <c r="B4484" s="1" t="s">
        <v>8429</v>
      </c>
      <c r="C4484" s="1" t="s">
        <v>8430</v>
      </c>
      <c r="D4484" t="b">
        <f ca="1">IF(A4484="","",[1]!s_techanal_rcnthigh(B4484,$B$2,1,3))</f>
        <v>0</v>
      </c>
      <c r="E4484">
        <f ca="1">IF(A4484="","",COUNTIF(D$6:D4484,"True"))</f>
        <v>42</v>
      </c>
      <c r="F4484" t="str">
        <f t="shared" si="69"/>
        <v>605007.SH</v>
      </c>
    </row>
    <row r="4485" spans="1:6" x14ac:dyDescent="0.15">
      <c r="A4485" s="2">
        <v>46089</v>
      </c>
      <c r="B4485" s="1" t="s">
        <v>8431</v>
      </c>
      <c r="C4485" s="1" t="s">
        <v>8432</v>
      </c>
      <c r="D4485" t="b">
        <f ca="1">IF(A4485="","",[1]!s_techanal_rcnthigh(B4485,$B$2,1,3))</f>
        <v>0</v>
      </c>
      <c r="E4485">
        <f ca="1">IF(A4485="","",COUNTIF(D$6:D4485,"True"))</f>
        <v>42</v>
      </c>
      <c r="F4485" t="str">
        <f t="shared" si="69"/>
        <v>605008.SH</v>
      </c>
    </row>
    <row r="4486" spans="1:6" x14ac:dyDescent="0.15">
      <c r="A4486" s="2">
        <v>46089</v>
      </c>
      <c r="B4486" s="1" t="s">
        <v>8433</v>
      </c>
      <c r="C4486" s="1" t="s">
        <v>8434</v>
      </c>
      <c r="D4486" t="b">
        <f ca="1">IF(A4486="","",[1]!s_techanal_rcnthigh(B4486,$B$2,1,3))</f>
        <v>0</v>
      </c>
      <c r="E4486">
        <f ca="1">IF(A4486="","",COUNTIF(D$6:D4486,"True"))</f>
        <v>42</v>
      </c>
      <c r="F4486" t="str">
        <f t="shared" ref="F4486:F4549" si="70">IF(B4486="","",B4486)</f>
        <v>605009.SH</v>
      </c>
    </row>
    <row r="4487" spans="1:6" x14ac:dyDescent="0.15">
      <c r="A4487" s="2">
        <v>46089</v>
      </c>
      <c r="B4487" s="1" t="s">
        <v>8435</v>
      </c>
      <c r="C4487" s="1" t="s">
        <v>8436</v>
      </c>
      <c r="D4487" t="b">
        <f ca="1">IF(A4487="","",[1]!s_techanal_rcnthigh(B4487,$B$2,1,3))</f>
        <v>0</v>
      </c>
      <c r="E4487">
        <f ca="1">IF(A4487="","",COUNTIF(D$6:D4487,"True"))</f>
        <v>42</v>
      </c>
      <c r="F4487" t="str">
        <f t="shared" si="70"/>
        <v>605011.SH</v>
      </c>
    </row>
    <row r="4488" spans="1:6" x14ac:dyDescent="0.15">
      <c r="A4488" s="2">
        <v>46089</v>
      </c>
      <c r="B4488" s="1" t="s">
        <v>8437</v>
      </c>
      <c r="C4488" s="1" t="s">
        <v>8438</v>
      </c>
      <c r="D4488" t="b">
        <f ca="1">IF(A4488="","",[1]!s_techanal_rcnthigh(B4488,$B$2,1,3))</f>
        <v>0</v>
      </c>
      <c r="E4488">
        <f ca="1">IF(A4488="","",COUNTIF(D$6:D4488,"True"))</f>
        <v>42</v>
      </c>
      <c r="F4488" t="str">
        <f t="shared" si="70"/>
        <v>605016.SH</v>
      </c>
    </row>
    <row r="4489" spans="1:6" x14ac:dyDescent="0.15">
      <c r="A4489" s="2">
        <v>46089</v>
      </c>
      <c r="B4489" s="1" t="s">
        <v>8439</v>
      </c>
      <c r="C4489" s="1" t="s">
        <v>8440</v>
      </c>
      <c r="D4489" t="b">
        <f ca="1">IF(A4489="","",[1]!s_techanal_rcnthigh(B4489,$B$2,1,3))</f>
        <v>0</v>
      </c>
      <c r="E4489">
        <f ca="1">IF(A4489="","",COUNTIF(D$6:D4489,"True"))</f>
        <v>42</v>
      </c>
      <c r="F4489" t="str">
        <f t="shared" si="70"/>
        <v>605018.SH</v>
      </c>
    </row>
    <row r="4490" spans="1:6" x14ac:dyDescent="0.15">
      <c r="A4490" s="2">
        <v>46089</v>
      </c>
      <c r="B4490" s="1" t="s">
        <v>8441</v>
      </c>
      <c r="C4490" s="1" t="s">
        <v>8442</v>
      </c>
      <c r="D4490" t="b">
        <f ca="1">IF(A4490="","",[1]!s_techanal_rcnthigh(B4490,$B$2,1,3))</f>
        <v>0</v>
      </c>
      <c r="E4490">
        <f ca="1">IF(A4490="","",COUNTIF(D$6:D4490,"True"))</f>
        <v>42</v>
      </c>
      <c r="F4490" t="str">
        <f t="shared" si="70"/>
        <v>605020.SH</v>
      </c>
    </row>
    <row r="4491" spans="1:6" x14ac:dyDescent="0.15">
      <c r="A4491" s="2">
        <v>46089</v>
      </c>
      <c r="B4491" s="1" t="s">
        <v>8443</v>
      </c>
      <c r="C4491" s="1" t="s">
        <v>8444</v>
      </c>
      <c r="D4491" t="b">
        <f ca="1">IF(A4491="","",[1]!s_techanal_rcnthigh(B4491,$B$2,1,3))</f>
        <v>0</v>
      </c>
      <c r="E4491">
        <f ca="1">IF(A4491="","",COUNTIF(D$6:D4491,"True"))</f>
        <v>42</v>
      </c>
      <c r="F4491" t="str">
        <f t="shared" si="70"/>
        <v>605028.SH</v>
      </c>
    </row>
    <row r="4492" spans="1:6" x14ac:dyDescent="0.15">
      <c r="A4492" s="2">
        <v>46089</v>
      </c>
      <c r="B4492" s="1" t="s">
        <v>8445</v>
      </c>
      <c r="C4492" s="1" t="s">
        <v>8446</v>
      </c>
      <c r="D4492" t="b">
        <f ca="1">IF(A4492="","",[1]!s_techanal_rcnthigh(B4492,$B$2,1,3))</f>
        <v>0</v>
      </c>
      <c r="E4492">
        <f ca="1">IF(A4492="","",COUNTIF(D$6:D4492,"True"))</f>
        <v>42</v>
      </c>
      <c r="F4492" t="str">
        <f t="shared" si="70"/>
        <v>605033.SH</v>
      </c>
    </row>
    <row r="4493" spans="1:6" x14ac:dyDescent="0.15">
      <c r="A4493" s="2">
        <v>46089</v>
      </c>
      <c r="B4493" s="1" t="s">
        <v>8447</v>
      </c>
      <c r="C4493" s="1" t="s">
        <v>8448</v>
      </c>
      <c r="D4493" t="b">
        <f ca="1">IF(A4493="","",[1]!s_techanal_rcnthigh(B4493,$B$2,1,3))</f>
        <v>0</v>
      </c>
      <c r="E4493">
        <f ca="1">IF(A4493="","",COUNTIF(D$6:D4493,"True"))</f>
        <v>42</v>
      </c>
      <c r="F4493" t="str">
        <f t="shared" si="70"/>
        <v>605050.SH</v>
      </c>
    </row>
    <row r="4494" spans="1:6" x14ac:dyDescent="0.15">
      <c r="A4494" s="2">
        <v>46089</v>
      </c>
      <c r="B4494" s="1" t="s">
        <v>8449</v>
      </c>
      <c r="C4494" s="1" t="s">
        <v>8450</v>
      </c>
      <c r="D4494" t="b">
        <f ca="1">IF(A4494="","",[1]!s_techanal_rcnthigh(B4494,$B$2,1,3))</f>
        <v>0</v>
      </c>
      <c r="E4494">
        <f ca="1">IF(A4494="","",COUNTIF(D$6:D4494,"True"))</f>
        <v>42</v>
      </c>
      <c r="F4494" t="str">
        <f t="shared" si="70"/>
        <v>605055.SH</v>
      </c>
    </row>
    <row r="4495" spans="1:6" x14ac:dyDescent="0.15">
      <c r="A4495" s="2">
        <v>46089</v>
      </c>
      <c r="B4495" s="1" t="s">
        <v>8451</v>
      </c>
      <c r="C4495" s="1" t="s">
        <v>8452</v>
      </c>
      <c r="D4495" t="b">
        <f ca="1">IF(A4495="","",[1]!s_techanal_rcnthigh(B4495,$B$2,1,3))</f>
        <v>0</v>
      </c>
      <c r="E4495">
        <f ca="1">IF(A4495="","",COUNTIF(D$6:D4495,"True"))</f>
        <v>42</v>
      </c>
      <c r="F4495" t="str">
        <f t="shared" si="70"/>
        <v>605056.SH</v>
      </c>
    </row>
    <row r="4496" spans="1:6" x14ac:dyDescent="0.15">
      <c r="A4496" s="2">
        <v>46089</v>
      </c>
      <c r="B4496" s="1" t="s">
        <v>8453</v>
      </c>
      <c r="C4496" s="1" t="s">
        <v>8454</v>
      </c>
      <c r="D4496" t="b">
        <f ca="1">IF(A4496="","",[1]!s_techanal_rcnthigh(B4496,$B$2,1,3))</f>
        <v>0</v>
      </c>
      <c r="E4496">
        <f ca="1">IF(A4496="","",COUNTIF(D$6:D4496,"True"))</f>
        <v>42</v>
      </c>
      <c r="F4496" t="str">
        <f t="shared" si="70"/>
        <v>605058.SH</v>
      </c>
    </row>
    <row r="4497" spans="1:6" x14ac:dyDescent="0.15">
      <c r="A4497" s="2">
        <v>46089</v>
      </c>
      <c r="B4497" s="1" t="s">
        <v>8455</v>
      </c>
      <c r="C4497" s="1" t="s">
        <v>8456</v>
      </c>
      <c r="D4497" t="b">
        <f ca="1">IF(A4497="","",[1]!s_techanal_rcnthigh(B4497,$B$2,1,3))</f>
        <v>0</v>
      </c>
      <c r="E4497">
        <f ca="1">IF(A4497="","",COUNTIF(D$6:D4497,"True"))</f>
        <v>42</v>
      </c>
      <c r="F4497" t="str">
        <f t="shared" si="70"/>
        <v>605060.SH</v>
      </c>
    </row>
    <row r="4498" spans="1:6" x14ac:dyDescent="0.15">
      <c r="A4498" s="2">
        <v>46089</v>
      </c>
      <c r="B4498" s="1" t="s">
        <v>8457</v>
      </c>
      <c r="C4498" s="1" t="s">
        <v>8458</v>
      </c>
      <c r="D4498" t="b">
        <f ca="1">IF(A4498="","",[1]!s_techanal_rcnthigh(B4498,$B$2,1,3))</f>
        <v>0</v>
      </c>
      <c r="E4498">
        <f ca="1">IF(A4498="","",COUNTIF(D$6:D4498,"True"))</f>
        <v>42</v>
      </c>
      <c r="F4498" t="str">
        <f t="shared" si="70"/>
        <v>605066.SH</v>
      </c>
    </row>
    <row r="4499" spans="1:6" x14ac:dyDescent="0.15">
      <c r="A4499" s="2">
        <v>46089</v>
      </c>
      <c r="B4499" s="1" t="s">
        <v>8459</v>
      </c>
      <c r="C4499" s="1" t="s">
        <v>8460</v>
      </c>
      <c r="D4499" t="b">
        <f ca="1">IF(A4499="","",[1]!s_techanal_rcnthigh(B4499,$B$2,1,3))</f>
        <v>0</v>
      </c>
      <c r="E4499">
        <f ca="1">IF(A4499="","",COUNTIF(D$6:D4499,"True"))</f>
        <v>42</v>
      </c>
      <c r="F4499" t="str">
        <f t="shared" si="70"/>
        <v>605068.SH</v>
      </c>
    </row>
    <row r="4500" spans="1:6" x14ac:dyDescent="0.15">
      <c r="A4500" s="2">
        <v>46089</v>
      </c>
      <c r="B4500" s="1" t="s">
        <v>8461</v>
      </c>
      <c r="C4500" s="1" t="s">
        <v>8462</v>
      </c>
      <c r="D4500" t="b">
        <f ca="1">IF(A4500="","",[1]!s_techanal_rcnthigh(B4500,$B$2,1,3))</f>
        <v>0</v>
      </c>
      <c r="E4500">
        <f ca="1">IF(A4500="","",COUNTIF(D$6:D4500,"True"))</f>
        <v>42</v>
      </c>
      <c r="F4500" t="str">
        <f t="shared" si="70"/>
        <v>605069.SH</v>
      </c>
    </row>
    <row r="4501" spans="1:6" x14ac:dyDescent="0.15">
      <c r="A4501" s="2">
        <v>46089</v>
      </c>
      <c r="B4501" s="1" t="s">
        <v>8463</v>
      </c>
      <c r="C4501" s="1" t="s">
        <v>8464</v>
      </c>
      <c r="D4501" t="b">
        <f ca="1">IF(A4501="","",[1]!s_techanal_rcnthigh(B4501,$B$2,1,3))</f>
        <v>0</v>
      </c>
      <c r="E4501">
        <f ca="1">IF(A4501="","",COUNTIF(D$6:D4501,"True"))</f>
        <v>42</v>
      </c>
      <c r="F4501" t="str">
        <f t="shared" si="70"/>
        <v>605077.SH</v>
      </c>
    </row>
    <row r="4502" spans="1:6" x14ac:dyDescent="0.15">
      <c r="A4502" s="2">
        <v>46089</v>
      </c>
      <c r="B4502" s="1" t="s">
        <v>8465</v>
      </c>
      <c r="C4502" s="1" t="s">
        <v>8466</v>
      </c>
      <c r="D4502" t="b">
        <f ca="1">IF(A4502="","",[1]!s_techanal_rcnthigh(B4502,$B$2,1,3))</f>
        <v>0</v>
      </c>
      <c r="E4502">
        <f ca="1">IF(A4502="","",COUNTIF(D$6:D4502,"True"))</f>
        <v>42</v>
      </c>
      <c r="F4502" t="str">
        <f t="shared" si="70"/>
        <v>605080.SH</v>
      </c>
    </row>
    <row r="4503" spans="1:6" x14ac:dyDescent="0.15">
      <c r="A4503" s="2">
        <v>46089</v>
      </c>
      <c r="B4503" s="1" t="s">
        <v>8467</v>
      </c>
      <c r="C4503" s="1" t="s">
        <v>10564</v>
      </c>
      <c r="D4503" t="b">
        <f ca="1">IF(A4503="","",[1]!s_techanal_rcnthigh(B4503,$B$2,1,3))</f>
        <v>0</v>
      </c>
      <c r="E4503">
        <f ca="1">IF(A4503="","",COUNTIF(D$6:D4503,"True"))</f>
        <v>42</v>
      </c>
      <c r="F4503" t="str">
        <f t="shared" si="70"/>
        <v>605081.SH</v>
      </c>
    </row>
    <row r="4504" spans="1:6" x14ac:dyDescent="0.15">
      <c r="A4504" s="2">
        <v>46089</v>
      </c>
      <c r="B4504" s="1" t="s">
        <v>8468</v>
      </c>
      <c r="C4504" s="1" t="s">
        <v>8469</v>
      </c>
      <c r="D4504" t="b">
        <f ca="1">IF(A4504="","",[1]!s_techanal_rcnthigh(B4504,$B$2,1,3))</f>
        <v>0</v>
      </c>
      <c r="E4504">
        <f ca="1">IF(A4504="","",COUNTIF(D$6:D4504,"True"))</f>
        <v>42</v>
      </c>
      <c r="F4504" t="str">
        <f t="shared" si="70"/>
        <v>605086.SH</v>
      </c>
    </row>
    <row r="4505" spans="1:6" x14ac:dyDescent="0.15">
      <c r="A4505" s="2">
        <v>46089</v>
      </c>
      <c r="B4505" s="1" t="s">
        <v>8470</v>
      </c>
      <c r="C4505" s="1" t="s">
        <v>8471</v>
      </c>
      <c r="D4505" t="b">
        <f ca="1">IF(A4505="","",[1]!s_techanal_rcnthigh(B4505,$B$2,1,3))</f>
        <v>0</v>
      </c>
      <c r="E4505">
        <f ca="1">IF(A4505="","",COUNTIF(D$6:D4505,"True"))</f>
        <v>42</v>
      </c>
      <c r="F4505" t="str">
        <f t="shared" si="70"/>
        <v>605088.SH</v>
      </c>
    </row>
    <row r="4506" spans="1:6" x14ac:dyDescent="0.15">
      <c r="A4506" s="2">
        <v>46089</v>
      </c>
      <c r="B4506" s="1" t="s">
        <v>8472</v>
      </c>
      <c r="C4506" s="1" t="s">
        <v>8473</v>
      </c>
      <c r="D4506" t="b">
        <f ca="1">IF(A4506="","",[1]!s_techanal_rcnthigh(B4506,$B$2,1,3))</f>
        <v>0</v>
      </c>
      <c r="E4506">
        <f ca="1">IF(A4506="","",COUNTIF(D$6:D4506,"True"))</f>
        <v>42</v>
      </c>
      <c r="F4506" t="str">
        <f t="shared" si="70"/>
        <v>605089.SH</v>
      </c>
    </row>
    <row r="4507" spans="1:6" x14ac:dyDescent="0.15">
      <c r="A4507" s="2">
        <v>46089</v>
      </c>
      <c r="B4507" s="1" t="s">
        <v>8474</v>
      </c>
      <c r="C4507" s="1" t="s">
        <v>8475</v>
      </c>
      <c r="D4507" t="b">
        <f ca="1">IF(A4507="","",[1]!s_techanal_rcnthigh(B4507,$B$2,1,3))</f>
        <v>0</v>
      </c>
      <c r="E4507">
        <f ca="1">IF(A4507="","",COUNTIF(D$6:D4507,"True"))</f>
        <v>42</v>
      </c>
      <c r="F4507" t="str">
        <f t="shared" si="70"/>
        <v>605090.SH</v>
      </c>
    </row>
    <row r="4508" spans="1:6" x14ac:dyDescent="0.15">
      <c r="A4508" s="2">
        <v>46089</v>
      </c>
      <c r="B4508" s="1" t="s">
        <v>8476</v>
      </c>
      <c r="C4508" s="1" t="s">
        <v>8477</v>
      </c>
      <c r="D4508" t="b">
        <f ca="1">IF(A4508="","",[1]!s_techanal_rcnthigh(B4508,$B$2,1,3))</f>
        <v>1</v>
      </c>
      <c r="E4508">
        <f ca="1">IF(A4508="","",COUNTIF(D$6:D4508,"True"))</f>
        <v>43</v>
      </c>
      <c r="F4508" t="str">
        <f t="shared" si="70"/>
        <v>605098.SH</v>
      </c>
    </row>
    <row r="4509" spans="1:6" x14ac:dyDescent="0.15">
      <c r="A4509" s="2">
        <v>46089</v>
      </c>
      <c r="B4509" s="1" t="s">
        <v>8478</v>
      </c>
      <c r="C4509" s="1" t="s">
        <v>8479</v>
      </c>
      <c r="D4509" t="b">
        <f ca="1">IF(A4509="","",[1]!s_techanal_rcnthigh(B4509,$B$2,1,3))</f>
        <v>0</v>
      </c>
      <c r="E4509">
        <f ca="1">IF(A4509="","",COUNTIF(D$6:D4509,"True"))</f>
        <v>43</v>
      </c>
      <c r="F4509" t="str">
        <f t="shared" si="70"/>
        <v>605099.SH</v>
      </c>
    </row>
    <row r="4510" spans="1:6" x14ac:dyDescent="0.15">
      <c r="A4510" s="2">
        <v>46089</v>
      </c>
      <c r="B4510" s="1" t="s">
        <v>8480</v>
      </c>
      <c r="C4510" s="1" t="s">
        <v>8481</v>
      </c>
      <c r="D4510" t="b">
        <f ca="1">IF(A4510="","",[1]!s_techanal_rcnthigh(B4510,$B$2,1,3))</f>
        <v>0</v>
      </c>
      <c r="E4510">
        <f ca="1">IF(A4510="","",COUNTIF(D$6:D4510,"True"))</f>
        <v>43</v>
      </c>
      <c r="F4510" t="str">
        <f t="shared" si="70"/>
        <v>605100.SH</v>
      </c>
    </row>
    <row r="4511" spans="1:6" x14ac:dyDescent="0.15">
      <c r="A4511" s="2">
        <v>46089</v>
      </c>
      <c r="B4511" s="1" t="s">
        <v>8482</v>
      </c>
      <c r="C4511" s="1" t="s">
        <v>8483</v>
      </c>
      <c r="D4511" t="b">
        <f ca="1">IF(A4511="","",[1]!s_techanal_rcnthigh(B4511,$B$2,1,3))</f>
        <v>0</v>
      </c>
      <c r="E4511">
        <f ca="1">IF(A4511="","",COUNTIF(D$6:D4511,"True"))</f>
        <v>43</v>
      </c>
      <c r="F4511" t="str">
        <f t="shared" si="70"/>
        <v>605108.SH</v>
      </c>
    </row>
    <row r="4512" spans="1:6" x14ac:dyDescent="0.15">
      <c r="A4512" s="2">
        <v>46089</v>
      </c>
      <c r="B4512" s="1" t="s">
        <v>8484</v>
      </c>
      <c r="C4512" s="1" t="s">
        <v>8485</v>
      </c>
      <c r="D4512" t="b">
        <f ca="1">IF(A4512="","",[1]!s_techanal_rcnthigh(B4512,$B$2,1,3))</f>
        <v>0</v>
      </c>
      <c r="E4512">
        <f ca="1">IF(A4512="","",COUNTIF(D$6:D4512,"True"))</f>
        <v>43</v>
      </c>
      <c r="F4512" t="str">
        <f t="shared" si="70"/>
        <v>605111.SH</v>
      </c>
    </row>
    <row r="4513" spans="1:6" x14ac:dyDescent="0.15">
      <c r="A4513" s="2">
        <v>46089</v>
      </c>
      <c r="B4513" s="1" t="s">
        <v>8486</v>
      </c>
      <c r="C4513" s="1" t="s">
        <v>8487</v>
      </c>
      <c r="D4513" t="b">
        <f ca="1">IF(A4513="","",[1]!s_techanal_rcnthigh(B4513,$B$2,1,3))</f>
        <v>0</v>
      </c>
      <c r="E4513">
        <f ca="1">IF(A4513="","",COUNTIF(D$6:D4513,"True"))</f>
        <v>43</v>
      </c>
      <c r="F4513" t="str">
        <f t="shared" si="70"/>
        <v>605116.SH</v>
      </c>
    </row>
    <row r="4514" spans="1:6" x14ac:dyDescent="0.15">
      <c r="A4514" s="2">
        <v>46089</v>
      </c>
      <c r="B4514" s="1" t="s">
        <v>8488</v>
      </c>
      <c r="C4514" s="1" t="s">
        <v>8489</v>
      </c>
      <c r="D4514" t="b">
        <f ca="1">IF(A4514="","",[1]!s_techanal_rcnthigh(B4514,$B$2,1,3))</f>
        <v>0</v>
      </c>
      <c r="E4514">
        <f ca="1">IF(A4514="","",COUNTIF(D$6:D4514,"True"))</f>
        <v>43</v>
      </c>
      <c r="F4514" t="str">
        <f t="shared" si="70"/>
        <v>605117.SH</v>
      </c>
    </row>
    <row r="4515" spans="1:6" x14ac:dyDescent="0.15">
      <c r="A4515" s="2">
        <v>46089</v>
      </c>
      <c r="B4515" s="1" t="s">
        <v>8490</v>
      </c>
      <c r="C4515" s="1" t="s">
        <v>8491</v>
      </c>
      <c r="D4515" t="b">
        <f ca="1">IF(A4515="","",[1]!s_techanal_rcnthigh(B4515,$B$2,1,3))</f>
        <v>0</v>
      </c>
      <c r="E4515">
        <f ca="1">IF(A4515="","",COUNTIF(D$6:D4515,"True"))</f>
        <v>43</v>
      </c>
      <c r="F4515" t="str">
        <f t="shared" si="70"/>
        <v>605118.SH</v>
      </c>
    </row>
    <row r="4516" spans="1:6" x14ac:dyDescent="0.15">
      <c r="A4516" s="2">
        <v>46089</v>
      </c>
      <c r="B4516" s="1" t="s">
        <v>8492</v>
      </c>
      <c r="C4516" s="1" t="s">
        <v>8493</v>
      </c>
      <c r="D4516" t="b">
        <f ca="1">IF(A4516="","",[1]!s_techanal_rcnthigh(B4516,$B$2,1,3))</f>
        <v>0</v>
      </c>
      <c r="E4516">
        <f ca="1">IF(A4516="","",COUNTIF(D$6:D4516,"True"))</f>
        <v>43</v>
      </c>
      <c r="F4516" t="str">
        <f t="shared" si="70"/>
        <v>605122.SH</v>
      </c>
    </row>
    <row r="4517" spans="1:6" x14ac:dyDescent="0.15">
      <c r="A4517" s="2">
        <v>46089</v>
      </c>
      <c r="B4517" s="1" t="s">
        <v>8494</v>
      </c>
      <c r="C4517" s="1" t="s">
        <v>8495</v>
      </c>
      <c r="D4517" t="b">
        <f ca="1">IF(A4517="","",[1]!s_techanal_rcnthigh(B4517,$B$2,1,3))</f>
        <v>0</v>
      </c>
      <c r="E4517">
        <f ca="1">IF(A4517="","",COUNTIF(D$6:D4517,"True"))</f>
        <v>43</v>
      </c>
      <c r="F4517" t="str">
        <f t="shared" si="70"/>
        <v>605123.SH</v>
      </c>
    </row>
    <row r="4518" spans="1:6" x14ac:dyDescent="0.15">
      <c r="A4518" s="2">
        <v>46089</v>
      </c>
      <c r="B4518" s="1" t="s">
        <v>8496</v>
      </c>
      <c r="C4518" s="1" t="s">
        <v>8497</v>
      </c>
      <c r="D4518" t="b">
        <f ca="1">IF(A4518="","",[1]!s_techanal_rcnthigh(B4518,$B$2,1,3))</f>
        <v>0</v>
      </c>
      <c r="E4518">
        <f ca="1">IF(A4518="","",COUNTIF(D$6:D4518,"True"))</f>
        <v>43</v>
      </c>
      <c r="F4518" t="str">
        <f t="shared" si="70"/>
        <v>605128.SH</v>
      </c>
    </row>
    <row r="4519" spans="1:6" x14ac:dyDescent="0.15">
      <c r="A4519" s="2">
        <v>46089</v>
      </c>
      <c r="B4519" s="1" t="s">
        <v>8498</v>
      </c>
      <c r="C4519" s="1" t="s">
        <v>8499</v>
      </c>
      <c r="D4519" t="b">
        <f ca="1">IF(A4519="","",[1]!s_techanal_rcnthigh(B4519,$B$2,1,3))</f>
        <v>0</v>
      </c>
      <c r="E4519">
        <f ca="1">IF(A4519="","",COUNTIF(D$6:D4519,"True"))</f>
        <v>43</v>
      </c>
      <c r="F4519" t="str">
        <f t="shared" si="70"/>
        <v>605133.SH</v>
      </c>
    </row>
    <row r="4520" spans="1:6" x14ac:dyDescent="0.15">
      <c r="A4520" s="2">
        <v>46089</v>
      </c>
      <c r="B4520" s="1" t="s">
        <v>8500</v>
      </c>
      <c r="C4520" s="1" t="s">
        <v>8501</v>
      </c>
      <c r="D4520" t="b">
        <f ca="1">IF(A4520="","",[1]!s_techanal_rcnthigh(B4520,$B$2,1,3))</f>
        <v>0</v>
      </c>
      <c r="E4520">
        <f ca="1">IF(A4520="","",COUNTIF(D$6:D4520,"True"))</f>
        <v>43</v>
      </c>
      <c r="F4520" t="str">
        <f t="shared" si="70"/>
        <v>605136.SH</v>
      </c>
    </row>
    <row r="4521" spans="1:6" x14ac:dyDescent="0.15">
      <c r="A4521" s="2">
        <v>46089</v>
      </c>
      <c r="B4521" s="1" t="s">
        <v>8502</v>
      </c>
      <c r="C4521" s="1" t="s">
        <v>8503</v>
      </c>
      <c r="D4521" t="b">
        <f ca="1">IF(A4521="","",[1]!s_techanal_rcnthigh(B4521,$B$2,1,3))</f>
        <v>0</v>
      </c>
      <c r="E4521">
        <f ca="1">IF(A4521="","",COUNTIF(D$6:D4521,"True"))</f>
        <v>43</v>
      </c>
      <c r="F4521" t="str">
        <f t="shared" si="70"/>
        <v>605138.SH</v>
      </c>
    </row>
    <row r="4522" spans="1:6" x14ac:dyDescent="0.15">
      <c r="A4522" s="2">
        <v>46089</v>
      </c>
      <c r="B4522" s="1" t="s">
        <v>8504</v>
      </c>
      <c r="C4522" s="1" t="s">
        <v>8505</v>
      </c>
      <c r="D4522" t="b">
        <f ca="1">IF(A4522="","",[1]!s_techanal_rcnthigh(B4522,$B$2,1,3))</f>
        <v>0</v>
      </c>
      <c r="E4522">
        <f ca="1">IF(A4522="","",COUNTIF(D$6:D4522,"True"))</f>
        <v>43</v>
      </c>
      <c r="F4522" t="str">
        <f t="shared" si="70"/>
        <v>605151.SH</v>
      </c>
    </row>
    <row r="4523" spans="1:6" x14ac:dyDescent="0.15">
      <c r="A4523" s="2">
        <v>46089</v>
      </c>
      <c r="B4523" s="1" t="s">
        <v>8506</v>
      </c>
      <c r="C4523" s="1" t="s">
        <v>8507</v>
      </c>
      <c r="D4523" t="b">
        <f ca="1">IF(A4523="","",[1]!s_techanal_rcnthigh(B4523,$B$2,1,3))</f>
        <v>0</v>
      </c>
      <c r="E4523">
        <f ca="1">IF(A4523="","",COUNTIF(D$6:D4523,"True"))</f>
        <v>43</v>
      </c>
      <c r="F4523" t="str">
        <f t="shared" si="70"/>
        <v>605155.SH</v>
      </c>
    </row>
    <row r="4524" spans="1:6" x14ac:dyDescent="0.15">
      <c r="A4524" s="2">
        <v>46089</v>
      </c>
      <c r="B4524" s="1" t="s">
        <v>8508</v>
      </c>
      <c r="C4524" s="1" t="s">
        <v>8509</v>
      </c>
      <c r="D4524" t="b">
        <f ca="1">IF(A4524="","",[1]!s_techanal_rcnthigh(B4524,$B$2,1,3))</f>
        <v>0</v>
      </c>
      <c r="E4524">
        <f ca="1">IF(A4524="","",COUNTIF(D$6:D4524,"True"))</f>
        <v>43</v>
      </c>
      <c r="F4524" t="str">
        <f t="shared" si="70"/>
        <v>605158.SH</v>
      </c>
    </row>
    <row r="4525" spans="1:6" x14ac:dyDescent="0.15">
      <c r="A4525" s="2">
        <v>46089</v>
      </c>
      <c r="B4525" s="1" t="s">
        <v>8510</v>
      </c>
      <c r="C4525" s="1" t="s">
        <v>8511</v>
      </c>
      <c r="D4525" t="b">
        <f ca="1">IF(A4525="","",[1]!s_techanal_rcnthigh(B4525,$B$2,1,3))</f>
        <v>0</v>
      </c>
      <c r="E4525">
        <f ca="1">IF(A4525="","",COUNTIF(D$6:D4525,"True"))</f>
        <v>43</v>
      </c>
      <c r="F4525" t="str">
        <f t="shared" si="70"/>
        <v>605162.SH</v>
      </c>
    </row>
    <row r="4526" spans="1:6" x14ac:dyDescent="0.15">
      <c r="A4526" s="2">
        <v>46089</v>
      </c>
      <c r="B4526" s="1" t="s">
        <v>8512</v>
      </c>
      <c r="C4526" s="1" t="s">
        <v>8513</v>
      </c>
      <c r="D4526" t="b">
        <f ca="1">IF(A4526="","",[1]!s_techanal_rcnthigh(B4526,$B$2,1,3))</f>
        <v>0</v>
      </c>
      <c r="E4526">
        <f ca="1">IF(A4526="","",COUNTIF(D$6:D4526,"True"))</f>
        <v>43</v>
      </c>
      <c r="F4526" t="str">
        <f t="shared" si="70"/>
        <v>605166.SH</v>
      </c>
    </row>
    <row r="4527" spans="1:6" x14ac:dyDescent="0.15">
      <c r="A4527" s="2">
        <v>46089</v>
      </c>
      <c r="B4527" s="1" t="s">
        <v>8514</v>
      </c>
      <c r="C4527" s="1" t="s">
        <v>8515</v>
      </c>
      <c r="D4527" t="b">
        <f ca="1">IF(A4527="","",[1]!s_techanal_rcnthigh(B4527,$B$2,1,3))</f>
        <v>0</v>
      </c>
      <c r="E4527">
        <f ca="1">IF(A4527="","",COUNTIF(D$6:D4527,"True"))</f>
        <v>43</v>
      </c>
      <c r="F4527" t="str">
        <f t="shared" si="70"/>
        <v>605167.SH</v>
      </c>
    </row>
    <row r="4528" spans="1:6" x14ac:dyDescent="0.15">
      <c r="A4528" s="2">
        <v>46089</v>
      </c>
      <c r="B4528" s="1" t="s">
        <v>8516</v>
      </c>
      <c r="C4528" s="1" t="s">
        <v>8517</v>
      </c>
      <c r="D4528" t="b">
        <f ca="1">IF(A4528="","",[1]!s_techanal_rcnthigh(B4528,$B$2,1,3))</f>
        <v>0</v>
      </c>
      <c r="E4528">
        <f ca="1">IF(A4528="","",COUNTIF(D$6:D4528,"True"))</f>
        <v>43</v>
      </c>
      <c r="F4528" t="str">
        <f t="shared" si="70"/>
        <v>605168.SH</v>
      </c>
    </row>
    <row r="4529" spans="1:6" x14ac:dyDescent="0.15">
      <c r="A4529" s="2">
        <v>46089</v>
      </c>
      <c r="B4529" s="1" t="s">
        <v>8518</v>
      </c>
      <c r="C4529" s="1" t="s">
        <v>8519</v>
      </c>
      <c r="D4529" t="b">
        <f ca="1">IF(A4529="","",[1]!s_techanal_rcnthigh(B4529,$B$2,1,3))</f>
        <v>0</v>
      </c>
      <c r="E4529">
        <f ca="1">IF(A4529="","",COUNTIF(D$6:D4529,"True"))</f>
        <v>43</v>
      </c>
      <c r="F4529" t="str">
        <f t="shared" si="70"/>
        <v>605169.SH</v>
      </c>
    </row>
    <row r="4530" spans="1:6" x14ac:dyDescent="0.15">
      <c r="A4530" s="2">
        <v>46089</v>
      </c>
      <c r="B4530" s="1" t="s">
        <v>8520</v>
      </c>
      <c r="C4530" s="1" t="s">
        <v>8521</v>
      </c>
      <c r="D4530" t="b">
        <f ca="1">IF(A4530="","",[1]!s_techanal_rcnthigh(B4530,$B$2,1,3))</f>
        <v>0</v>
      </c>
      <c r="E4530">
        <f ca="1">IF(A4530="","",COUNTIF(D$6:D4530,"True"))</f>
        <v>43</v>
      </c>
      <c r="F4530" t="str">
        <f t="shared" si="70"/>
        <v>605177.SH</v>
      </c>
    </row>
    <row r="4531" spans="1:6" x14ac:dyDescent="0.15">
      <c r="A4531" s="2">
        <v>46089</v>
      </c>
      <c r="B4531" s="1" t="s">
        <v>8522</v>
      </c>
      <c r="C4531" s="1" t="s">
        <v>8523</v>
      </c>
      <c r="D4531" t="b">
        <f ca="1">IF(A4531="","",[1]!s_techanal_rcnthigh(B4531,$B$2,1,3))</f>
        <v>0</v>
      </c>
      <c r="E4531">
        <f ca="1">IF(A4531="","",COUNTIF(D$6:D4531,"True"))</f>
        <v>43</v>
      </c>
      <c r="F4531" t="str">
        <f t="shared" si="70"/>
        <v>605178.SH</v>
      </c>
    </row>
    <row r="4532" spans="1:6" x14ac:dyDescent="0.15">
      <c r="A4532" s="2">
        <v>46089</v>
      </c>
      <c r="B4532" s="1" t="s">
        <v>8524</v>
      </c>
      <c r="C4532" s="1" t="s">
        <v>8525</v>
      </c>
      <c r="D4532" t="b">
        <f ca="1">IF(A4532="","",[1]!s_techanal_rcnthigh(B4532,$B$2,1,3))</f>
        <v>0</v>
      </c>
      <c r="E4532">
        <f ca="1">IF(A4532="","",COUNTIF(D$6:D4532,"True"))</f>
        <v>43</v>
      </c>
      <c r="F4532" t="str">
        <f t="shared" si="70"/>
        <v>605179.SH</v>
      </c>
    </row>
    <row r="4533" spans="1:6" x14ac:dyDescent="0.15">
      <c r="A4533" s="2">
        <v>46089</v>
      </c>
      <c r="B4533" s="1" t="s">
        <v>8526</v>
      </c>
      <c r="C4533" s="1" t="s">
        <v>8527</v>
      </c>
      <c r="D4533" t="b">
        <f ca="1">IF(A4533="","",[1]!s_techanal_rcnthigh(B4533,$B$2,1,3))</f>
        <v>0</v>
      </c>
      <c r="E4533">
        <f ca="1">IF(A4533="","",COUNTIF(D$6:D4533,"True"))</f>
        <v>43</v>
      </c>
      <c r="F4533" t="str">
        <f t="shared" si="70"/>
        <v>605180.SH</v>
      </c>
    </row>
    <row r="4534" spans="1:6" x14ac:dyDescent="0.15">
      <c r="A4534" s="2">
        <v>46089</v>
      </c>
      <c r="B4534" s="1" t="s">
        <v>8528</v>
      </c>
      <c r="C4534" s="1" t="s">
        <v>8529</v>
      </c>
      <c r="D4534" t="b">
        <f ca="1">IF(A4534="","",[1]!s_techanal_rcnthigh(B4534,$B$2,1,3))</f>
        <v>0</v>
      </c>
      <c r="E4534">
        <f ca="1">IF(A4534="","",COUNTIF(D$6:D4534,"True"))</f>
        <v>43</v>
      </c>
      <c r="F4534" t="str">
        <f t="shared" si="70"/>
        <v>605183.SH</v>
      </c>
    </row>
    <row r="4535" spans="1:6" x14ac:dyDescent="0.15">
      <c r="A4535" s="2">
        <v>46089</v>
      </c>
      <c r="B4535" s="1" t="s">
        <v>8530</v>
      </c>
      <c r="C4535" s="1" t="s">
        <v>8531</v>
      </c>
      <c r="D4535" t="b">
        <f ca="1">IF(A4535="","",[1]!s_techanal_rcnthigh(B4535,$B$2,1,3))</f>
        <v>0</v>
      </c>
      <c r="E4535">
        <f ca="1">IF(A4535="","",COUNTIF(D$6:D4535,"True"))</f>
        <v>43</v>
      </c>
      <c r="F4535" t="str">
        <f t="shared" si="70"/>
        <v>605186.SH</v>
      </c>
    </row>
    <row r="4536" spans="1:6" x14ac:dyDescent="0.15">
      <c r="A4536" s="2">
        <v>46089</v>
      </c>
      <c r="B4536" s="1" t="s">
        <v>8532</v>
      </c>
      <c r="C4536" s="1" t="s">
        <v>8533</v>
      </c>
      <c r="D4536" t="b">
        <f ca="1">IF(A4536="","",[1]!s_techanal_rcnthigh(B4536,$B$2,1,3))</f>
        <v>0</v>
      </c>
      <c r="E4536">
        <f ca="1">IF(A4536="","",COUNTIF(D$6:D4536,"True"))</f>
        <v>43</v>
      </c>
      <c r="F4536" t="str">
        <f t="shared" si="70"/>
        <v>605188.SH</v>
      </c>
    </row>
    <row r="4537" spans="1:6" x14ac:dyDescent="0.15">
      <c r="A4537" s="2">
        <v>46089</v>
      </c>
      <c r="B4537" s="1" t="s">
        <v>8534</v>
      </c>
      <c r="C4537" s="1" t="s">
        <v>8535</v>
      </c>
      <c r="D4537" t="b">
        <f ca="1">IF(A4537="","",[1]!s_techanal_rcnthigh(B4537,$B$2,1,3))</f>
        <v>0</v>
      </c>
      <c r="E4537">
        <f ca="1">IF(A4537="","",COUNTIF(D$6:D4537,"True"))</f>
        <v>43</v>
      </c>
      <c r="F4537" t="str">
        <f t="shared" si="70"/>
        <v>605189.SH</v>
      </c>
    </row>
    <row r="4538" spans="1:6" x14ac:dyDescent="0.15">
      <c r="A4538" s="2">
        <v>46089</v>
      </c>
      <c r="B4538" s="1" t="s">
        <v>8536</v>
      </c>
      <c r="C4538" s="1" t="s">
        <v>8537</v>
      </c>
      <c r="D4538" t="b">
        <f ca="1">IF(A4538="","",[1]!s_techanal_rcnthigh(B4538,$B$2,1,3))</f>
        <v>1</v>
      </c>
      <c r="E4538">
        <f ca="1">IF(A4538="","",COUNTIF(D$6:D4538,"True"))</f>
        <v>44</v>
      </c>
      <c r="F4538" t="str">
        <f t="shared" si="70"/>
        <v>605196.SH</v>
      </c>
    </row>
    <row r="4539" spans="1:6" x14ac:dyDescent="0.15">
      <c r="A4539" s="2">
        <v>46089</v>
      </c>
      <c r="B4539" s="1" t="s">
        <v>8538</v>
      </c>
      <c r="C4539" s="1" t="s">
        <v>8539</v>
      </c>
      <c r="D4539" t="b">
        <f ca="1">IF(A4539="","",[1]!s_techanal_rcnthigh(B4539,$B$2,1,3))</f>
        <v>0</v>
      </c>
      <c r="E4539">
        <f ca="1">IF(A4539="","",COUNTIF(D$6:D4539,"True"))</f>
        <v>44</v>
      </c>
      <c r="F4539" t="str">
        <f t="shared" si="70"/>
        <v>605198.SH</v>
      </c>
    </row>
    <row r="4540" spans="1:6" x14ac:dyDescent="0.15">
      <c r="A4540" s="2">
        <v>46089</v>
      </c>
      <c r="B4540" s="1" t="s">
        <v>8540</v>
      </c>
      <c r="C4540" s="1" t="s">
        <v>10565</v>
      </c>
      <c r="D4540" t="b">
        <f ca="1">IF(A4540="","",[1]!s_techanal_rcnthigh(B4540,$B$2,1,3))</f>
        <v>0</v>
      </c>
      <c r="E4540">
        <f ca="1">IF(A4540="","",COUNTIF(D$6:D4540,"True"))</f>
        <v>44</v>
      </c>
      <c r="F4540" t="str">
        <f t="shared" si="70"/>
        <v>605199.SH</v>
      </c>
    </row>
    <row r="4541" spans="1:6" x14ac:dyDescent="0.15">
      <c r="A4541" s="2">
        <v>46089</v>
      </c>
      <c r="B4541" s="1" t="s">
        <v>8541</v>
      </c>
      <c r="C4541" s="1" t="s">
        <v>8542</v>
      </c>
      <c r="D4541" t="b">
        <f ca="1">IF(A4541="","",[1]!s_techanal_rcnthigh(B4541,$B$2,1,3))</f>
        <v>0</v>
      </c>
      <c r="E4541">
        <f ca="1">IF(A4541="","",COUNTIF(D$6:D4541,"True"))</f>
        <v>44</v>
      </c>
      <c r="F4541" t="str">
        <f t="shared" si="70"/>
        <v>605208.SH</v>
      </c>
    </row>
    <row r="4542" spans="1:6" x14ac:dyDescent="0.15">
      <c r="A4542" s="2">
        <v>46089</v>
      </c>
      <c r="B4542" s="1" t="s">
        <v>8543</v>
      </c>
      <c r="C4542" s="1" t="s">
        <v>8544</v>
      </c>
      <c r="D4542" t="b">
        <f ca="1">IF(A4542="","",[1]!s_techanal_rcnthigh(B4542,$B$2,1,3))</f>
        <v>0</v>
      </c>
      <c r="E4542">
        <f ca="1">IF(A4542="","",COUNTIF(D$6:D4542,"True"))</f>
        <v>44</v>
      </c>
      <c r="F4542" t="str">
        <f t="shared" si="70"/>
        <v>605218.SH</v>
      </c>
    </row>
    <row r="4543" spans="1:6" x14ac:dyDescent="0.15">
      <c r="A4543" s="2">
        <v>46089</v>
      </c>
      <c r="B4543" s="1" t="s">
        <v>8545</v>
      </c>
      <c r="C4543" s="1" t="s">
        <v>8546</v>
      </c>
      <c r="D4543" t="b">
        <f ca="1">IF(A4543="","",[1]!s_techanal_rcnthigh(B4543,$B$2,1,3))</f>
        <v>0</v>
      </c>
      <c r="E4543">
        <f ca="1">IF(A4543="","",COUNTIF(D$6:D4543,"True"))</f>
        <v>44</v>
      </c>
      <c r="F4543" t="str">
        <f t="shared" si="70"/>
        <v>605222.SH</v>
      </c>
    </row>
    <row r="4544" spans="1:6" x14ac:dyDescent="0.15">
      <c r="A4544" s="2">
        <v>46089</v>
      </c>
      <c r="B4544" s="1" t="s">
        <v>8547</v>
      </c>
      <c r="C4544" s="1" t="s">
        <v>8548</v>
      </c>
      <c r="D4544" t="b">
        <f ca="1">IF(A4544="","",[1]!s_techanal_rcnthigh(B4544,$B$2,1,3))</f>
        <v>0</v>
      </c>
      <c r="E4544">
        <f ca="1">IF(A4544="","",COUNTIF(D$6:D4544,"True"))</f>
        <v>44</v>
      </c>
      <c r="F4544" t="str">
        <f t="shared" si="70"/>
        <v>605228.SH</v>
      </c>
    </row>
    <row r="4545" spans="1:6" x14ac:dyDescent="0.15">
      <c r="A4545" s="2">
        <v>46089</v>
      </c>
      <c r="B4545" s="1" t="s">
        <v>8549</v>
      </c>
      <c r="C4545" s="1" t="s">
        <v>8550</v>
      </c>
      <c r="D4545" t="b">
        <f ca="1">IF(A4545="","",[1]!s_techanal_rcnthigh(B4545,$B$2,1,3))</f>
        <v>0</v>
      </c>
      <c r="E4545">
        <f ca="1">IF(A4545="","",COUNTIF(D$6:D4545,"True"))</f>
        <v>44</v>
      </c>
      <c r="F4545" t="str">
        <f t="shared" si="70"/>
        <v>605255.SH</v>
      </c>
    </row>
    <row r="4546" spans="1:6" x14ac:dyDescent="0.15">
      <c r="A4546" s="2">
        <v>46089</v>
      </c>
      <c r="B4546" s="1" t="s">
        <v>8551</v>
      </c>
      <c r="C4546" s="1" t="s">
        <v>8552</v>
      </c>
      <c r="D4546" t="b">
        <f ca="1">IF(A4546="","",[1]!s_techanal_rcnthigh(B4546,$B$2,1,3))</f>
        <v>0</v>
      </c>
      <c r="E4546">
        <f ca="1">IF(A4546="","",COUNTIF(D$6:D4546,"True"))</f>
        <v>44</v>
      </c>
      <c r="F4546" t="str">
        <f t="shared" si="70"/>
        <v>605258.SH</v>
      </c>
    </row>
    <row r="4547" spans="1:6" x14ac:dyDescent="0.15">
      <c r="A4547" s="2">
        <v>46089</v>
      </c>
      <c r="B4547" s="1" t="s">
        <v>8553</v>
      </c>
      <c r="C4547" s="1" t="s">
        <v>8554</v>
      </c>
      <c r="D4547" t="b">
        <f ca="1">IF(A4547="","",[1]!s_techanal_rcnthigh(B4547,$B$2,1,3))</f>
        <v>0</v>
      </c>
      <c r="E4547">
        <f ca="1">IF(A4547="","",COUNTIF(D$6:D4547,"True"))</f>
        <v>44</v>
      </c>
      <c r="F4547" t="str">
        <f t="shared" si="70"/>
        <v>605259.SH</v>
      </c>
    </row>
    <row r="4548" spans="1:6" x14ac:dyDescent="0.15">
      <c r="A4548" s="2">
        <v>46089</v>
      </c>
      <c r="B4548" s="1" t="s">
        <v>8555</v>
      </c>
      <c r="C4548" s="1" t="s">
        <v>8556</v>
      </c>
      <c r="D4548" t="b">
        <f ca="1">IF(A4548="","",[1]!s_techanal_rcnthigh(B4548,$B$2,1,3))</f>
        <v>0</v>
      </c>
      <c r="E4548">
        <f ca="1">IF(A4548="","",COUNTIF(D$6:D4548,"True"))</f>
        <v>44</v>
      </c>
      <c r="F4548" t="str">
        <f t="shared" si="70"/>
        <v>605266.SH</v>
      </c>
    </row>
    <row r="4549" spans="1:6" x14ac:dyDescent="0.15">
      <c r="A4549" s="2">
        <v>46089</v>
      </c>
      <c r="B4549" s="1" t="s">
        <v>8557</v>
      </c>
      <c r="C4549" s="1" t="s">
        <v>8558</v>
      </c>
      <c r="D4549" t="b">
        <f ca="1">IF(A4549="","",[1]!s_techanal_rcnthigh(B4549,$B$2,1,3))</f>
        <v>0</v>
      </c>
      <c r="E4549">
        <f ca="1">IF(A4549="","",COUNTIF(D$6:D4549,"True"))</f>
        <v>44</v>
      </c>
      <c r="F4549" t="str">
        <f t="shared" si="70"/>
        <v>605268.SH</v>
      </c>
    </row>
    <row r="4550" spans="1:6" x14ac:dyDescent="0.15">
      <c r="A4550" s="2">
        <v>46089</v>
      </c>
      <c r="B4550" s="1" t="s">
        <v>8559</v>
      </c>
      <c r="C4550" s="1" t="s">
        <v>8560</v>
      </c>
      <c r="D4550" t="b">
        <f ca="1">IF(A4550="","",[1]!s_techanal_rcnthigh(B4550,$B$2,1,3))</f>
        <v>0</v>
      </c>
      <c r="E4550">
        <f ca="1">IF(A4550="","",COUNTIF(D$6:D4550,"True"))</f>
        <v>44</v>
      </c>
      <c r="F4550" t="str">
        <f t="shared" ref="F4550:F4613" si="71">IF(B4550="","",B4550)</f>
        <v>605277.SH</v>
      </c>
    </row>
    <row r="4551" spans="1:6" x14ac:dyDescent="0.15">
      <c r="A4551" s="2">
        <v>46089</v>
      </c>
      <c r="B4551" s="1" t="s">
        <v>8561</v>
      </c>
      <c r="C4551" s="1" t="s">
        <v>10566</v>
      </c>
      <c r="D4551" t="b">
        <f ca="1">IF(A4551="","",[1]!s_techanal_rcnthigh(B4551,$B$2,1,3))</f>
        <v>0</v>
      </c>
      <c r="E4551">
        <f ca="1">IF(A4551="","",COUNTIF(D$6:D4551,"True"))</f>
        <v>44</v>
      </c>
      <c r="F4551" t="str">
        <f t="shared" si="71"/>
        <v>605286.SH</v>
      </c>
    </row>
    <row r="4552" spans="1:6" x14ac:dyDescent="0.15">
      <c r="A4552" s="2">
        <v>46089</v>
      </c>
      <c r="B4552" s="1" t="s">
        <v>8562</v>
      </c>
      <c r="C4552" s="1" t="s">
        <v>8563</v>
      </c>
      <c r="D4552" t="b">
        <f ca="1">IF(A4552="","",[1]!s_techanal_rcnthigh(B4552,$B$2,1,3))</f>
        <v>0</v>
      </c>
      <c r="E4552">
        <f ca="1">IF(A4552="","",COUNTIF(D$6:D4552,"True"))</f>
        <v>44</v>
      </c>
      <c r="F4552" t="str">
        <f t="shared" si="71"/>
        <v>605287.SH</v>
      </c>
    </row>
    <row r="4553" spans="1:6" x14ac:dyDescent="0.15">
      <c r="A4553" s="2">
        <v>46089</v>
      </c>
      <c r="B4553" s="1" t="s">
        <v>8564</v>
      </c>
      <c r="C4553" s="1" t="s">
        <v>8565</v>
      </c>
      <c r="D4553" t="b">
        <f ca="1">IF(A4553="","",[1]!s_techanal_rcnthigh(B4553,$B$2,1,3))</f>
        <v>0</v>
      </c>
      <c r="E4553">
        <f ca="1">IF(A4553="","",COUNTIF(D$6:D4553,"True"))</f>
        <v>44</v>
      </c>
      <c r="F4553" t="str">
        <f t="shared" si="71"/>
        <v>605288.SH</v>
      </c>
    </row>
    <row r="4554" spans="1:6" x14ac:dyDescent="0.15">
      <c r="A4554" s="2">
        <v>46089</v>
      </c>
      <c r="B4554" s="1" t="s">
        <v>8566</v>
      </c>
      <c r="C4554" s="1" t="s">
        <v>8567</v>
      </c>
      <c r="D4554" t="b">
        <f ca="1">IF(A4554="","",[1]!s_techanal_rcnthigh(B4554,$B$2,1,3))</f>
        <v>1</v>
      </c>
      <c r="E4554">
        <f ca="1">IF(A4554="","",COUNTIF(D$6:D4554,"True"))</f>
        <v>45</v>
      </c>
      <c r="F4554" t="str">
        <f t="shared" si="71"/>
        <v>605289.SH</v>
      </c>
    </row>
    <row r="4555" spans="1:6" x14ac:dyDescent="0.15">
      <c r="A4555" s="2">
        <v>46089</v>
      </c>
      <c r="B4555" s="1" t="s">
        <v>8568</v>
      </c>
      <c r="C4555" s="1" t="s">
        <v>8569</v>
      </c>
      <c r="D4555" t="b">
        <f ca="1">IF(A4555="","",[1]!s_techanal_rcnthigh(B4555,$B$2,1,3))</f>
        <v>0</v>
      </c>
      <c r="E4555">
        <f ca="1">IF(A4555="","",COUNTIF(D$6:D4555,"True"))</f>
        <v>45</v>
      </c>
      <c r="F4555" t="str">
        <f t="shared" si="71"/>
        <v>605296.SH</v>
      </c>
    </row>
    <row r="4556" spans="1:6" x14ac:dyDescent="0.15">
      <c r="A4556" s="2">
        <v>46089</v>
      </c>
      <c r="B4556" s="1" t="s">
        <v>8570</v>
      </c>
      <c r="C4556" s="1" t="s">
        <v>8571</v>
      </c>
      <c r="D4556" t="b">
        <f ca="1">IF(A4556="","",[1]!s_techanal_rcnthigh(B4556,$B$2,1,3))</f>
        <v>0</v>
      </c>
      <c r="E4556">
        <f ca="1">IF(A4556="","",COUNTIF(D$6:D4556,"True"))</f>
        <v>45</v>
      </c>
      <c r="F4556" t="str">
        <f t="shared" si="71"/>
        <v>605298.SH</v>
      </c>
    </row>
    <row r="4557" spans="1:6" x14ac:dyDescent="0.15">
      <c r="A4557" s="2">
        <v>46089</v>
      </c>
      <c r="B4557" s="1" t="s">
        <v>8572</v>
      </c>
      <c r="C4557" s="1" t="s">
        <v>8573</v>
      </c>
      <c r="D4557" t="b">
        <f ca="1">IF(A4557="","",[1]!s_techanal_rcnthigh(B4557,$B$2,1,3))</f>
        <v>0</v>
      </c>
      <c r="E4557">
        <f ca="1">IF(A4557="","",COUNTIF(D$6:D4557,"True"))</f>
        <v>45</v>
      </c>
      <c r="F4557" t="str">
        <f t="shared" si="71"/>
        <v>605299.SH</v>
      </c>
    </row>
    <row r="4558" spans="1:6" x14ac:dyDescent="0.15">
      <c r="A4558" s="2">
        <v>46089</v>
      </c>
      <c r="B4558" s="1" t="s">
        <v>8574</v>
      </c>
      <c r="C4558" s="1" t="s">
        <v>8575</v>
      </c>
      <c r="D4558" t="b">
        <f ca="1">IF(A4558="","",[1]!s_techanal_rcnthigh(B4558,$B$2,1,3))</f>
        <v>0</v>
      </c>
      <c r="E4558">
        <f ca="1">IF(A4558="","",COUNTIF(D$6:D4558,"True"))</f>
        <v>45</v>
      </c>
      <c r="F4558" t="str">
        <f t="shared" si="71"/>
        <v>605300.SH</v>
      </c>
    </row>
    <row r="4559" spans="1:6" x14ac:dyDescent="0.15">
      <c r="A4559" s="2">
        <v>46089</v>
      </c>
      <c r="B4559" s="1" t="s">
        <v>8576</v>
      </c>
      <c r="C4559" s="1" t="s">
        <v>8577</v>
      </c>
      <c r="D4559" t="b">
        <f ca="1">IF(A4559="","",[1]!s_techanal_rcnthigh(B4559,$B$2,1,3))</f>
        <v>0</v>
      </c>
      <c r="E4559">
        <f ca="1">IF(A4559="","",COUNTIF(D$6:D4559,"True"))</f>
        <v>45</v>
      </c>
      <c r="F4559" t="str">
        <f t="shared" si="71"/>
        <v>605303.SH</v>
      </c>
    </row>
    <row r="4560" spans="1:6" x14ac:dyDescent="0.15">
      <c r="A4560" s="2">
        <v>46089</v>
      </c>
      <c r="B4560" s="1" t="s">
        <v>8578</v>
      </c>
      <c r="C4560" s="1" t="s">
        <v>8579</v>
      </c>
      <c r="D4560" t="b">
        <f ca="1">IF(A4560="","",[1]!s_techanal_rcnthigh(B4560,$B$2,1,3))</f>
        <v>0</v>
      </c>
      <c r="E4560">
        <f ca="1">IF(A4560="","",COUNTIF(D$6:D4560,"True"))</f>
        <v>45</v>
      </c>
      <c r="F4560" t="str">
        <f t="shared" si="71"/>
        <v>605305.SH</v>
      </c>
    </row>
    <row r="4561" spans="1:6" x14ac:dyDescent="0.15">
      <c r="A4561" s="2">
        <v>46089</v>
      </c>
      <c r="B4561" s="1" t="s">
        <v>8580</v>
      </c>
      <c r="C4561" s="1" t="s">
        <v>8581</v>
      </c>
      <c r="D4561" t="b">
        <f ca="1">IF(A4561="","",[1]!s_techanal_rcnthigh(B4561,$B$2,1,3))</f>
        <v>0</v>
      </c>
      <c r="E4561">
        <f ca="1">IF(A4561="","",COUNTIF(D$6:D4561,"True"))</f>
        <v>45</v>
      </c>
      <c r="F4561" t="str">
        <f t="shared" si="71"/>
        <v>605318.SH</v>
      </c>
    </row>
    <row r="4562" spans="1:6" x14ac:dyDescent="0.15">
      <c r="A4562" s="2">
        <v>46089</v>
      </c>
      <c r="B4562" s="1" t="s">
        <v>8582</v>
      </c>
      <c r="C4562" s="1" t="s">
        <v>8583</v>
      </c>
      <c r="D4562" t="b">
        <f ca="1">IF(A4562="","",[1]!s_techanal_rcnthigh(B4562,$B$2,1,3))</f>
        <v>0</v>
      </c>
      <c r="E4562">
        <f ca="1">IF(A4562="","",COUNTIF(D$6:D4562,"True"))</f>
        <v>45</v>
      </c>
      <c r="F4562" t="str">
        <f t="shared" si="71"/>
        <v>605319.SH</v>
      </c>
    </row>
    <row r="4563" spans="1:6" x14ac:dyDescent="0.15">
      <c r="A4563" s="2">
        <v>46089</v>
      </c>
      <c r="B4563" s="1" t="s">
        <v>8584</v>
      </c>
      <c r="C4563" s="1" t="s">
        <v>8585</v>
      </c>
      <c r="D4563" t="b">
        <f ca="1">IF(A4563="","",[1]!s_techanal_rcnthigh(B4563,$B$2,1,3))</f>
        <v>0</v>
      </c>
      <c r="E4563">
        <f ca="1">IF(A4563="","",COUNTIF(D$6:D4563,"True"))</f>
        <v>45</v>
      </c>
      <c r="F4563" t="str">
        <f t="shared" si="71"/>
        <v>605333.SH</v>
      </c>
    </row>
    <row r="4564" spans="1:6" x14ac:dyDescent="0.15">
      <c r="A4564" s="2">
        <v>46089</v>
      </c>
      <c r="B4564" s="1" t="s">
        <v>8586</v>
      </c>
      <c r="C4564" s="1" t="s">
        <v>8587</v>
      </c>
      <c r="D4564" t="b">
        <f ca="1">IF(A4564="","",[1]!s_techanal_rcnthigh(B4564,$B$2,1,3))</f>
        <v>0</v>
      </c>
      <c r="E4564">
        <f ca="1">IF(A4564="","",COUNTIF(D$6:D4564,"True"))</f>
        <v>45</v>
      </c>
      <c r="F4564" t="str">
        <f t="shared" si="71"/>
        <v>605336.SH</v>
      </c>
    </row>
    <row r="4565" spans="1:6" x14ac:dyDescent="0.15">
      <c r="A4565" s="2">
        <v>46089</v>
      </c>
      <c r="B4565" s="1" t="s">
        <v>8588</v>
      </c>
      <c r="C4565" s="1" t="s">
        <v>8589</v>
      </c>
      <c r="D4565" t="b">
        <f ca="1">IF(A4565="","",[1]!s_techanal_rcnthigh(B4565,$B$2,1,3))</f>
        <v>0</v>
      </c>
      <c r="E4565">
        <f ca="1">IF(A4565="","",COUNTIF(D$6:D4565,"True"))</f>
        <v>45</v>
      </c>
      <c r="F4565" t="str">
        <f t="shared" si="71"/>
        <v>605337.SH</v>
      </c>
    </row>
    <row r="4566" spans="1:6" x14ac:dyDescent="0.15">
      <c r="A4566" s="2">
        <v>46089</v>
      </c>
      <c r="B4566" s="1" t="s">
        <v>8590</v>
      </c>
      <c r="C4566" s="1" t="s">
        <v>8591</v>
      </c>
      <c r="D4566" t="b">
        <f ca="1">IF(A4566="","",[1]!s_techanal_rcnthigh(B4566,$B$2,1,3))</f>
        <v>0</v>
      </c>
      <c r="E4566">
        <f ca="1">IF(A4566="","",COUNTIF(D$6:D4566,"True"))</f>
        <v>45</v>
      </c>
      <c r="F4566" t="str">
        <f t="shared" si="71"/>
        <v>605338.SH</v>
      </c>
    </row>
    <row r="4567" spans="1:6" x14ac:dyDescent="0.15">
      <c r="A4567" s="2">
        <v>46089</v>
      </c>
      <c r="B4567" s="1" t="s">
        <v>8592</v>
      </c>
      <c r="C4567" s="1" t="s">
        <v>8593</v>
      </c>
      <c r="D4567" t="b">
        <f ca="1">IF(A4567="","",[1]!s_techanal_rcnthigh(B4567,$B$2,1,3))</f>
        <v>0</v>
      </c>
      <c r="E4567">
        <f ca="1">IF(A4567="","",COUNTIF(D$6:D4567,"True"))</f>
        <v>45</v>
      </c>
      <c r="F4567" t="str">
        <f t="shared" si="71"/>
        <v>605339.SH</v>
      </c>
    </row>
    <row r="4568" spans="1:6" x14ac:dyDescent="0.15">
      <c r="A4568" s="2">
        <v>46089</v>
      </c>
      <c r="B4568" s="1" t="s">
        <v>8594</v>
      </c>
      <c r="C4568" s="1" t="s">
        <v>8595</v>
      </c>
      <c r="D4568" t="b">
        <f ca="1">IF(A4568="","",[1]!s_techanal_rcnthigh(B4568,$B$2,1,3))</f>
        <v>0</v>
      </c>
      <c r="E4568">
        <f ca="1">IF(A4568="","",COUNTIF(D$6:D4568,"True"))</f>
        <v>45</v>
      </c>
      <c r="F4568" t="str">
        <f t="shared" si="71"/>
        <v>605358.SH</v>
      </c>
    </row>
    <row r="4569" spans="1:6" x14ac:dyDescent="0.15">
      <c r="A4569" s="2">
        <v>46089</v>
      </c>
      <c r="B4569" s="1" t="s">
        <v>8596</v>
      </c>
      <c r="C4569" s="1" t="s">
        <v>8597</v>
      </c>
      <c r="D4569" t="b">
        <f ca="1">IF(A4569="","",[1]!s_techanal_rcnthigh(B4569,$B$2,1,3))</f>
        <v>0</v>
      </c>
      <c r="E4569">
        <f ca="1">IF(A4569="","",COUNTIF(D$6:D4569,"True"))</f>
        <v>45</v>
      </c>
      <c r="F4569" t="str">
        <f t="shared" si="71"/>
        <v>605365.SH</v>
      </c>
    </row>
    <row r="4570" spans="1:6" x14ac:dyDescent="0.15">
      <c r="A4570" s="2">
        <v>46089</v>
      </c>
      <c r="B4570" s="1" t="s">
        <v>8598</v>
      </c>
      <c r="C4570" s="1" t="s">
        <v>8599</v>
      </c>
      <c r="D4570" t="b">
        <f ca="1">IF(A4570="","",[1]!s_techanal_rcnthigh(B4570,$B$2,1,3))</f>
        <v>0</v>
      </c>
      <c r="E4570">
        <f ca="1">IF(A4570="","",COUNTIF(D$6:D4570,"True"))</f>
        <v>45</v>
      </c>
      <c r="F4570" t="str">
        <f t="shared" si="71"/>
        <v>605366.SH</v>
      </c>
    </row>
    <row r="4571" spans="1:6" x14ac:dyDescent="0.15">
      <c r="A4571" s="2">
        <v>46089</v>
      </c>
      <c r="B4571" s="1" t="s">
        <v>8600</v>
      </c>
      <c r="C4571" s="1" t="s">
        <v>8601</v>
      </c>
      <c r="D4571" t="b">
        <f ca="1">IF(A4571="","",[1]!s_techanal_rcnthigh(B4571,$B$2,1,3))</f>
        <v>0</v>
      </c>
      <c r="E4571">
        <f ca="1">IF(A4571="","",COUNTIF(D$6:D4571,"True"))</f>
        <v>45</v>
      </c>
      <c r="F4571" t="str">
        <f t="shared" si="71"/>
        <v>605368.SH</v>
      </c>
    </row>
    <row r="4572" spans="1:6" x14ac:dyDescent="0.15">
      <c r="A4572" s="2">
        <v>46089</v>
      </c>
      <c r="B4572" s="1" t="s">
        <v>8602</v>
      </c>
      <c r="C4572" s="1" t="s">
        <v>8603</v>
      </c>
      <c r="D4572" t="b">
        <f ca="1">IF(A4572="","",[1]!s_techanal_rcnthigh(B4572,$B$2,1,3))</f>
        <v>0</v>
      </c>
      <c r="E4572">
        <f ca="1">IF(A4572="","",COUNTIF(D$6:D4572,"True"))</f>
        <v>45</v>
      </c>
      <c r="F4572" t="str">
        <f t="shared" si="71"/>
        <v>605369.SH</v>
      </c>
    </row>
    <row r="4573" spans="1:6" x14ac:dyDescent="0.15">
      <c r="A4573" s="2">
        <v>46089</v>
      </c>
      <c r="B4573" s="1" t="s">
        <v>8604</v>
      </c>
      <c r="C4573" s="1" t="s">
        <v>8605</v>
      </c>
      <c r="D4573" t="b">
        <f ca="1">IF(A4573="","",[1]!s_techanal_rcnthigh(B4573,$B$2,1,3))</f>
        <v>0</v>
      </c>
      <c r="E4573">
        <f ca="1">IF(A4573="","",COUNTIF(D$6:D4573,"True"))</f>
        <v>45</v>
      </c>
      <c r="F4573" t="str">
        <f t="shared" si="71"/>
        <v>605376.SH</v>
      </c>
    </row>
    <row r="4574" spans="1:6" x14ac:dyDescent="0.15">
      <c r="A4574" s="2">
        <v>46089</v>
      </c>
      <c r="B4574" s="1" t="s">
        <v>8606</v>
      </c>
      <c r="C4574" s="1" t="s">
        <v>8607</v>
      </c>
      <c r="D4574" t="b">
        <f ca="1">IF(A4574="","",[1]!s_techanal_rcnthigh(B4574,$B$2,1,3))</f>
        <v>0</v>
      </c>
      <c r="E4574">
        <f ca="1">IF(A4574="","",COUNTIF(D$6:D4574,"True"))</f>
        <v>45</v>
      </c>
      <c r="F4574" t="str">
        <f t="shared" si="71"/>
        <v>605377.SH</v>
      </c>
    </row>
    <row r="4575" spans="1:6" x14ac:dyDescent="0.15">
      <c r="A4575" s="2">
        <v>46089</v>
      </c>
      <c r="B4575" s="1" t="s">
        <v>8608</v>
      </c>
      <c r="C4575" s="1" t="s">
        <v>8609</v>
      </c>
      <c r="D4575" t="b">
        <f ca="1">IF(A4575="","",[1]!s_techanal_rcnthigh(B4575,$B$2,1,3))</f>
        <v>0</v>
      </c>
      <c r="E4575">
        <f ca="1">IF(A4575="","",COUNTIF(D$6:D4575,"True"))</f>
        <v>45</v>
      </c>
      <c r="F4575" t="str">
        <f t="shared" si="71"/>
        <v>605378.SH</v>
      </c>
    </row>
    <row r="4576" spans="1:6" x14ac:dyDescent="0.15">
      <c r="A4576" s="2">
        <v>46089</v>
      </c>
      <c r="B4576" s="1" t="s">
        <v>8610</v>
      </c>
      <c r="C4576" s="1" t="s">
        <v>8611</v>
      </c>
      <c r="D4576" t="b">
        <f ca="1">IF(A4576="","",[1]!s_techanal_rcnthigh(B4576,$B$2,1,3))</f>
        <v>0</v>
      </c>
      <c r="E4576">
        <f ca="1">IF(A4576="","",COUNTIF(D$6:D4576,"True"))</f>
        <v>45</v>
      </c>
      <c r="F4576" t="str">
        <f t="shared" si="71"/>
        <v>605388.SH</v>
      </c>
    </row>
    <row r="4577" spans="1:6" x14ac:dyDescent="0.15">
      <c r="A4577" s="2">
        <v>46089</v>
      </c>
      <c r="B4577" s="1" t="s">
        <v>8612</v>
      </c>
      <c r="C4577" s="1" t="s">
        <v>8613</v>
      </c>
      <c r="D4577" t="b">
        <f ca="1">IF(A4577="","",[1]!s_techanal_rcnthigh(B4577,$B$2,1,3))</f>
        <v>0</v>
      </c>
      <c r="E4577">
        <f ca="1">IF(A4577="","",COUNTIF(D$6:D4577,"True"))</f>
        <v>45</v>
      </c>
      <c r="F4577" t="str">
        <f t="shared" si="71"/>
        <v>605389.SH</v>
      </c>
    </row>
    <row r="4578" spans="1:6" x14ac:dyDescent="0.15">
      <c r="A4578" s="2">
        <v>46089</v>
      </c>
      <c r="B4578" s="1" t="s">
        <v>8614</v>
      </c>
      <c r="C4578" s="1" t="s">
        <v>8615</v>
      </c>
      <c r="D4578" t="b">
        <f ca="1">IF(A4578="","",[1]!s_techanal_rcnthigh(B4578,$B$2,1,3))</f>
        <v>0</v>
      </c>
      <c r="E4578">
        <f ca="1">IF(A4578="","",COUNTIF(D$6:D4578,"True"))</f>
        <v>45</v>
      </c>
      <c r="F4578" t="str">
        <f t="shared" si="71"/>
        <v>605398.SH</v>
      </c>
    </row>
    <row r="4579" spans="1:6" x14ac:dyDescent="0.15">
      <c r="A4579" s="2">
        <v>46089</v>
      </c>
      <c r="B4579" s="1" t="s">
        <v>8616</v>
      </c>
      <c r="C4579" s="1" t="s">
        <v>8617</v>
      </c>
      <c r="D4579" t="b">
        <f ca="1">IF(A4579="","",[1]!s_techanal_rcnthigh(B4579,$B$2,1,3))</f>
        <v>0</v>
      </c>
      <c r="E4579">
        <f ca="1">IF(A4579="","",COUNTIF(D$6:D4579,"True"))</f>
        <v>45</v>
      </c>
      <c r="F4579" t="str">
        <f t="shared" si="71"/>
        <v>605399.SH</v>
      </c>
    </row>
    <row r="4580" spans="1:6" x14ac:dyDescent="0.15">
      <c r="A4580" s="2">
        <v>46089</v>
      </c>
      <c r="B4580" s="1" t="s">
        <v>8618</v>
      </c>
      <c r="C4580" s="1" t="s">
        <v>8619</v>
      </c>
      <c r="D4580" t="b">
        <f ca="1">IF(A4580="","",[1]!s_techanal_rcnthigh(B4580,$B$2,1,3))</f>
        <v>0</v>
      </c>
      <c r="E4580">
        <f ca="1">IF(A4580="","",COUNTIF(D$6:D4580,"True"))</f>
        <v>45</v>
      </c>
      <c r="F4580" t="str">
        <f t="shared" si="71"/>
        <v>605488.SH</v>
      </c>
    </row>
    <row r="4581" spans="1:6" x14ac:dyDescent="0.15">
      <c r="A4581" s="2">
        <v>46089</v>
      </c>
      <c r="B4581" s="1" t="s">
        <v>8620</v>
      </c>
      <c r="C4581" s="1" t="s">
        <v>8621</v>
      </c>
      <c r="D4581" t="b">
        <f ca="1">IF(A4581="","",[1]!s_techanal_rcnthigh(B4581,$B$2,1,3))</f>
        <v>0</v>
      </c>
      <c r="E4581">
        <f ca="1">IF(A4581="","",COUNTIF(D$6:D4581,"True"))</f>
        <v>45</v>
      </c>
      <c r="F4581" t="str">
        <f t="shared" si="71"/>
        <v>605499.SH</v>
      </c>
    </row>
    <row r="4582" spans="1:6" x14ac:dyDescent="0.15">
      <c r="A4582" s="2">
        <v>46089</v>
      </c>
      <c r="B4582" s="1" t="s">
        <v>8622</v>
      </c>
      <c r="C4582" s="1" t="s">
        <v>8623</v>
      </c>
      <c r="D4582" t="b">
        <f ca="1">IF(A4582="","",[1]!s_techanal_rcnthigh(B4582,$B$2,1,3))</f>
        <v>0</v>
      </c>
      <c r="E4582">
        <f ca="1">IF(A4582="","",COUNTIF(D$6:D4582,"True"))</f>
        <v>45</v>
      </c>
      <c r="F4582" t="str">
        <f t="shared" si="71"/>
        <v>605500.SH</v>
      </c>
    </row>
    <row r="4583" spans="1:6" x14ac:dyDescent="0.15">
      <c r="A4583" s="2">
        <v>46089</v>
      </c>
      <c r="B4583" s="1" t="s">
        <v>8624</v>
      </c>
      <c r="C4583" s="1" t="s">
        <v>8625</v>
      </c>
      <c r="D4583" t="b">
        <f ca="1">IF(A4583="","",[1]!s_techanal_rcnthigh(B4583,$B$2,1,3))</f>
        <v>0</v>
      </c>
      <c r="E4583">
        <f ca="1">IF(A4583="","",COUNTIF(D$6:D4583,"True"))</f>
        <v>45</v>
      </c>
      <c r="F4583" t="str">
        <f t="shared" si="71"/>
        <v>605507.SH</v>
      </c>
    </row>
    <row r="4584" spans="1:6" x14ac:dyDescent="0.15">
      <c r="A4584" s="2">
        <v>46089</v>
      </c>
      <c r="B4584" s="1" t="s">
        <v>8626</v>
      </c>
      <c r="C4584" s="1" t="s">
        <v>8627</v>
      </c>
      <c r="D4584" t="b">
        <f ca="1">IF(A4584="","",[1]!s_techanal_rcnthigh(B4584,$B$2,1,3))</f>
        <v>0</v>
      </c>
      <c r="E4584">
        <f ca="1">IF(A4584="","",COUNTIF(D$6:D4584,"True"))</f>
        <v>45</v>
      </c>
      <c r="F4584" t="str">
        <f t="shared" si="71"/>
        <v>605555.SH</v>
      </c>
    </row>
    <row r="4585" spans="1:6" x14ac:dyDescent="0.15">
      <c r="A4585" s="2">
        <v>46089</v>
      </c>
      <c r="B4585" s="1" t="s">
        <v>8628</v>
      </c>
      <c r="C4585" s="1" t="s">
        <v>8629</v>
      </c>
      <c r="D4585" t="b">
        <f ca="1">IF(A4585="","",[1]!s_techanal_rcnthigh(B4585,$B$2,1,3))</f>
        <v>0</v>
      </c>
      <c r="E4585">
        <f ca="1">IF(A4585="","",COUNTIF(D$6:D4585,"True"))</f>
        <v>45</v>
      </c>
      <c r="F4585" t="str">
        <f t="shared" si="71"/>
        <v>605566.SH</v>
      </c>
    </row>
    <row r="4586" spans="1:6" x14ac:dyDescent="0.15">
      <c r="A4586" s="2">
        <v>46089</v>
      </c>
      <c r="B4586" s="1" t="s">
        <v>8630</v>
      </c>
      <c r="C4586" s="1" t="s">
        <v>8631</v>
      </c>
      <c r="D4586" t="b">
        <f ca="1">IF(A4586="","",[1]!s_techanal_rcnthigh(B4586,$B$2,1,3))</f>
        <v>0</v>
      </c>
      <c r="E4586">
        <f ca="1">IF(A4586="","",COUNTIF(D$6:D4586,"True"))</f>
        <v>45</v>
      </c>
      <c r="F4586" t="str">
        <f t="shared" si="71"/>
        <v>605567.SH</v>
      </c>
    </row>
    <row r="4587" spans="1:6" x14ac:dyDescent="0.15">
      <c r="A4587" s="2">
        <v>46089</v>
      </c>
      <c r="B4587" s="1" t="s">
        <v>8632</v>
      </c>
      <c r="C4587" s="1" t="s">
        <v>8633</v>
      </c>
      <c r="D4587" t="b">
        <f ca="1">IF(A4587="","",[1]!s_techanal_rcnthigh(B4587,$B$2,1,3))</f>
        <v>0</v>
      </c>
      <c r="E4587">
        <f ca="1">IF(A4587="","",COUNTIF(D$6:D4587,"True"))</f>
        <v>45</v>
      </c>
      <c r="F4587" t="str">
        <f t="shared" si="71"/>
        <v>605577.SH</v>
      </c>
    </row>
    <row r="4588" spans="1:6" x14ac:dyDescent="0.15">
      <c r="A4588" s="2">
        <v>46089</v>
      </c>
      <c r="B4588" s="1" t="s">
        <v>8634</v>
      </c>
      <c r="C4588" s="1" t="s">
        <v>8635</v>
      </c>
      <c r="D4588" t="b">
        <f ca="1">IF(A4588="","",[1]!s_techanal_rcnthigh(B4588,$B$2,1,3))</f>
        <v>0</v>
      </c>
      <c r="E4588">
        <f ca="1">IF(A4588="","",COUNTIF(D$6:D4588,"True"))</f>
        <v>45</v>
      </c>
      <c r="F4588" t="str">
        <f t="shared" si="71"/>
        <v>605580.SH</v>
      </c>
    </row>
    <row r="4589" spans="1:6" x14ac:dyDescent="0.15">
      <c r="A4589" s="2">
        <v>46089</v>
      </c>
      <c r="B4589" s="1" t="s">
        <v>8636</v>
      </c>
      <c r="C4589" s="1" t="s">
        <v>8637</v>
      </c>
      <c r="D4589" t="b">
        <f ca="1">IF(A4589="","",[1]!s_techanal_rcnthigh(B4589,$B$2,1,3))</f>
        <v>0</v>
      </c>
      <c r="E4589">
        <f ca="1">IF(A4589="","",COUNTIF(D$6:D4589,"True"))</f>
        <v>45</v>
      </c>
      <c r="F4589" t="str">
        <f t="shared" si="71"/>
        <v>605588.SH</v>
      </c>
    </row>
    <row r="4590" spans="1:6" x14ac:dyDescent="0.15">
      <c r="A4590" s="2">
        <v>46089</v>
      </c>
      <c r="B4590" s="1" t="s">
        <v>8638</v>
      </c>
      <c r="C4590" s="1" t="s">
        <v>8639</v>
      </c>
      <c r="D4590" t="b">
        <f ca="1">IF(A4590="","",[1]!s_techanal_rcnthigh(B4590,$B$2,1,3))</f>
        <v>0</v>
      </c>
      <c r="E4590">
        <f ca="1">IF(A4590="","",COUNTIF(D$6:D4590,"True"))</f>
        <v>45</v>
      </c>
      <c r="F4590" t="str">
        <f t="shared" si="71"/>
        <v>605589.SH</v>
      </c>
    </row>
    <row r="4591" spans="1:6" x14ac:dyDescent="0.15">
      <c r="A4591" s="2">
        <v>46089</v>
      </c>
      <c r="B4591" s="1" t="s">
        <v>8640</v>
      </c>
      <c r="C4591" s="1" t="s">
        <v>8641</v>
      </c>
      <c r="D4591" t="b">
        <f ca="1">IF(A4591="","",[1]!s_techanal_rcnthigh(B4591,$B$2,1,3))</f>
        <v>0</v>
      </c>
      <c r="E4591">
        <f ca="1">IF(A4591="","",COUNTIF(D$6:D4591,"True"))</f>
        <v>45</v>
      </c>
      <c r="F4591" t="str">
        <f t="shared" si="71"/>
        <v>605598.SH</v>
      </c>
    </row>
    <row r="4592" spans="1:6" x14ac:dyDescent="0.15">
      <c r="A4592" s="2">
        <v>46089</v>
      </c>
      <c r="B4592" s="1" t="s">
        <v>8642</v>
      </c>
      <c r="C4592" s="1" t="s">
        <v>8643</v>
      </c>
      <c r="D4592" t="b">
        <f ca="1">IF(A4592="","",[1]!s_techanal_rcnthigh(B4592,$B$2,1,3))</f>
        <v>0</v>
      </c>
      <c r="E4592">
        <f ca="1">IF(A4592="","",COUNTIF(D$6:D4592,"True"))</f>
        <v>45</v>
      </c>
      <c r="F4592" t="str">
        <f t="shared" si="71"/>
        <v>605599.SH</v>
      </c>
    </row>
    <row r="4593" spans="1:6" x14ac:dyDescent="0.15">
      <c r="A4593" s="2">
        <v>46089</v>
      </c>
      <c r="B4593" s="1" t="s">
        <v>8644</v>
      </c>
      <c r="C4593" s="1" t="s">
        <v>8645</v>
      </c>
      <c r="D4593" t="b">
        <f ca="1">IF(A4593="","",[1]!s_techanal_rcnthigh(B4593,$B$2,1,3))</f>
        <v>0</v>
      </c>
      <c r="E4593">
        <f ca="1">IF(A4593="","",COUNTIF(D$6:D4593,"True"))</f>
        <v>45</v>
      </c>
      <c r="F4593" t="str">
        <f t="shared" si="71"/>
        <v>688001.SH</v>
      </c>
    </row>
    <row r="4594" spans="1:6" x14ac:dyDescent="0.15">
      <c r="A4594" s="2">
        <v>46089</v>
      </c>
      <c r="B4594" s="1" t="s">
        <v>8646</v>
      </c>
      <c r="C4594" s="1" t="s">
        <v>8647</v>
      </c>
      <c r="D4594" t="b">
        <f ca="1">IF(A4594="","",[1]!s_techanal_rcnthigh(B4594,$B$2,1,3))</f>
        <v>0</v>
      </c>
      <c r="E4594">
        <f ca="1">IF(A4594="","",COUNTIF(D$6:D4594,"True"))</f>
        <v>45</v>
      </c>
      <c r="F4594" t="str">
        <f t="shared" si="71"/>
        <v>688002.SH</v>
      </c>
    </row>
    <row r="4595" spans="1:6" x14ac:dyDescent="0.15">
      <c r="A4595" s="2">
        <v>46089</v>
      </c>
      <c r="B4595" s="1" t="s">
        <v>8648</v>
      </c>
      <c r="C4595" s="1" t="s">
        <v>8649</v>
      </c>
      <c r="D4595" t="b">
        <f ca="1">IF(A4595="","",[1]!s_techanal_rcnthigh(B4595,$B$2,1,3))</f>
        <v>0</v>
      </c>
      <c r="E4595">
        <f ca="1">IF(A4595="","",COUNTIF(D$6:D4595,"True"))</f>
        <v>45</v>
      </c>
      <c r="F4595" t="str">
        <f t="shared" si="71"/>
        <v>688003.SH</v>
      </c>
    </row>
    <row r="4596" spans="1:6" x14ac:dyDescent="0.15">
      <c r="A4596" s="2">
        <v>46089</v>
      </c>
      <c r="B4596" s="1" t="s">
        <v>8650</v>
      </c>
      <c r="C4596" s="1" t="s">
        <v>8651</v>
      </c>
      <c r="D4596" t="b">
        <f ca="1">IF(A4596="","",[1]!s_techanal_rcnthigh(B4596,$B$2,1,3))</f>
        <v>0</v>
      </c>
      <c r="E4596">
        <f ca="1">IF(A4596="","",COUNTIF(D$6:D4596,"True"))</f>
        <v>45</v>
      </c>
      <c r="F4596" t="str">
        <f t="shared" si="71"/>
        <v>688004.SH</v>
      </c>
    </row>
    <row r="4597" spans="1:6" x14ac:dyDescent="0.15">
      <c r="A4597" s="2">
        <v>46089</v>
      </c>
      <c r="B4597" s="1" t="s">
        <v>8652</v>
      </c>
      <c r="C4597" s="1" t="s">
        <v>8653</v>
      </c>
      <c r="D4597" t="b">
        <f ca="1">IF(A4597="","",[1]!s_techanal_rcnthigh(B4597,$B$2,1,3))</f>
        <v>0</v>
      </c>
      <c r="E4597">
        <f ca="1">IF(A4597="","",COUNTIF(D$6:D4597,"True"))</f>
        <v>45</v>
      </c>
      <c r="F4597" t="str">
        <f t="shared" si="71"/>
        <v>688005.SH</v>
      </c>
    </row>
    <row r="4598" spans="1:6" x14ac:dyDescent="0.15">
      <c r="A4598" s="2">
        <v>46089</v>
      </c>
      <c r="B4598" s="1" t="s">
        <v>8654</v>
      </c>
      <c r="C4598" s="1" t="s">
        <v>8655</v>
      </c>
      <c r="D4598" t="b">
        <f ca="1">IF(A4598="","",[1]!s_techanal_rcnthigh(B4598,$B$2,1,3))</f>
        <v>0</v>
      </c>
      <c r="E4598">
        <f ca="1">IF(A4598="","",COUNTIF(D$6:D4598,"True"))</f>
        <v>45</v>
      </c>
      <c r="F4598" t="str">
        <f t="shared" si="71"/>
        <v>688006.SH</v>
      </c>
    </row>
    <row r="4599" spans="1:6" x14ac:dyDescent="0.15">
      <c r="A4599" s="2">
        <v>46089</v>
      </c>
      <c r="B4599" s="1" t="s">
        <v>8656</v>
      </c>
      <c r="C4599" s="1" t="s">
        <v>8657</v>
      </c>
      <c r="D4599" t="b">
        <f ca="1">IF(A4599="","",[1]!s_techanal_rcnthigh(B4599,$B$2,1,3))</f>
        <v>0</v>
      </c>
      <c r="E4599">
        <f ca="1">IF(A4599="","",COUNTIF(D$6:D4599,"True"))</f>
        <v>45</v>
      </c>
      <c r="F4599" t="str">
        <f t="shared" si="71"/>
        <v>688007.SH</v>
      </c>
    </row>
    <row r="4600" spans="1:6" x14ac:dyDescent="0.15">
      <c r="A4600" s="2">
        <v>46089</v>
      </c>
      <c r="B4600" s="1" t="s">
        <v>8658</v>
      </c>
      <c r="C4600" s="1" t="s">
        <v>8659</v>
      </c>
      <c r="D4600" t="b">
        <f ca="1">IF(A4600="","",[1]!s_techanal_rcnthigh(B4600,$B$2,1,3))</f>
        <v>0</v>
      </c>
      <c r="E4600">
        <f ca="1">IF(A4600="","",COUNTIF(D$6:D4600,"True"))</f>
        <v>45</v>
      </c>
      <c r="F4600" t="str">
        <f t="shared" si="71"/>
        <v>688008.SH</v>
      </c>
    </row>
    <row r="4601" spans="1:6" x14ac:dyDescent="0.15">
      <c r="A4601" s="2">
        <v>46089</v>
      </c>
      <c r="B4601" s="1" t="s">
        <v>8660</v>
      </c>
      <c r="C4601" s="1" t="s">
        <v>8661</v>
      </c>
      <c r="D4601" t="b">
        <f ca="1">IF(A4601="","",[1]!s_techanal_rcnthigh(B4601,$B$2,1,3))</f>
        <v>0</v>
      </c>
      <c r="E4601">
        <f ca="1">IF(A4601="","",COUNTIF(D$6:D4601,"True"))</f>
        <v>45</v>
      </c>
      <c r="F4601" t="str">
        <f t="shared" si="71"/>
        <v>688009.SH</v>
      </c>
    </row>
    <row r="4602" spans="1:6" x14ac:dyDescent="0.15">
      <c r="A4602" s="2">
        <v>46089</v>
      </c>
      <c r="B4602" s="1" t="s">
        <v>8662</v>
      </c>
      <c r="C4602" s="1" t="s">
        <v>8663</v>
      </c>
      <c r="D4602" t="b">
        <f ca="1">IF(A4602="","",[1]!s_techanal_rcnthigh(B4602,$B$2,1,3))</f>
        <v>0</v>
      </c>
      <c r="E4602">
        <f ca="1">IF(A4602="","",COUNTIF(D$6:D4602,"True"))</f>
        <v>45</v>
      </c>
      <c r="F4602" t="str">
        <f t="shared" si="71"/>
        <v>688010.SH</v>
      </c>
    </row>
    <row r="4603" spans="1:6" x14ac:dyDescent="0.15">
      <c r="A4603" s="2">
        <v>46089</v>
      </c>
      <c r="B4603" s="1" t="s">
        <v>8664</v>
      </c>
      <c r="C4603" s="1" t="s">
        <v>8665</v>
      </c>
      <c r="D4603" t="b">
        <f ca="1">IF(A4603="","",[1]!s_techanal_rcnthigh(B4603,$B$2,1,3))</f>
        <v>0</v>
      </c>
      <c r="E4603">
        <f ca="1">IF(A4603="","",COUNTIF(D$6:D4603,"True"))</f>
        <v>45</v>
      </c>
      <c r="F4603" t="str">
        <f t="shared" si="71"/>
        <v>688011.SH</v>
      </c>
    </row>
    <row r="4604" spans="1:6" x14ac:dyDescent="0.15">
      <c r="A4604" s="2">
        <v>46089</v>
      </c>
      <c r="B4604" s="1" t="s">
        <v>8666</v>
      </c>
      <c r="C4604" s="1" t="s">
        <v>8667</v>
      </c>
      <c r="D4604" t="b">
        <f ca="1">IF(A4604="","",[1]!s_techanal_rcnthigh(B4604,$B$2,1,3))</f>
        <v>0</v>
      </c>
      <c r="E4604">
        <f ca="1">IF(A4604="","",COUNTIF(D$6:D4604,"True"))</f>
        <v>45</v>
      </c>
      <c r="F4604" t="str">
        <f t="shared" si="71"/>
        <v>688012.SH</v>
      </c>
    </row>
    <row r="4605" spans="1:6" x14ac:dyDescent="0.15">
      <c r="A4605" s="2">
        <v>46089</v>
      </c>
      <c r="B4605" s="1" t="s">
        <v>8668</v>
      </c>
      <c r="C4605" s="1" t="s">
        <v>8669</v>
      </c>
      <c r="D4605" t="b">
        <f ca="1">IF(A4605="","",[1]!s_techanal_rcnthigh(B4605,$B$2,1,3))</f>
        <v>0</v>
      </c>
      <c r="E4605">
        <f ca="1">IF(A4605="","",COUNTIF(D$6:D4605,"True"))</f>
        <v>45</v>
      </c>
      <c r="F4605" t="str">
        <f t="shared" si="71"/>
        <v>688013.SH</v>
      </c>
    </row>
    <row r="4606" spans="1:6" x14ac:dyDescent="0.15">
      <c r="A4606" s="2">
        <v>46089</v>
      </c>
      <c r="B4606" s="1" t="s">
        <v>8670</v>
      </c>
      <c r="C4606" s="1" t="s">
        <v>8671</v>
      </c>
      <c r="D4606" t="b">
        <f ca="1">IF(A4606="","",[1]!s_techanal_rcnthigh(B4606,$B$2,1,3))</f>
        <v>0</v>
      </c>
      <c r="E4606">
        <f ca="1">IF(A4606="","",COUNTIF(D$6:D4606,"True"))</f>
        <v>45</v>
      </c>
      <c r="F4606" t="str">
        <f t="shared" si="71"/>
        <v>688015.SH</v>
      </c>
    </row>
    <row r="4607" spans="1:6" x14ac:dyDescent="0.15">
      <c r="A4607" s="2">
        <v>46089</v>
      </c>
      <c r="B4607" s="1" t="s">
        <v>8672</v>
      </c>
      <c r="C4607" s="1" t="s">
        <v>8673</v>
      </c>
      <c r="D4607" t="b">
        <f ca="1">IF(A4607="","",[1]!s_techanal_rcnthigh(B4607,$B$2,1,3))</f>
        <v>0</v>
      </c>
      <c r="E4607">
        <f ca="1">IF(A4607="","",COUNTIF(D$6:D4607,"True"))</f>
        <v>45</v>
      </c>
      <c r="F4607" t="str">
        <f t="shared" si="71"/>
        <v>688016.SH</v>
      </c>
    </row>
    <row r="4608" spans="1:6" x14ac:dyDescent="0.15">
      <c r="A4608" s="2">
        <v>46089</v>
      </c>
      <c r="B4608" s="1" t="s">
        <v>8674</v>
      </c>
      <c r="C4608" s="1" t="s">
        <v>8675</v>
      </c>
      <c r="D4608" t="b">
        <f ca="1">IF(A4608="","",[1]!s_techanal_rcnthigh(B4608,$B$2,1,3))</f>
        <v>0</v>
      </c>
      <c r="E4608">
        <f ca="1">IF(A4608="","",COUNTIF(D$6:D4608,"True"))</f>
        <v>45</v>
      </c>
      <c r="F4608" t="str">
        <f t="shared" si="71"/>
        <v>688017.SH</v>
      </c>
    </row>
    <row r="4609" spans="1:6" x14ac:dyDescent="0.15">
      <c r="A4609" s="2">
        <v>46089</v>
      </c>
      <c r="B4609" s="1" t="s">
        <v>8676</v>
      </c>
      <c r="C4609" s="1" t="s">
        <v>8677</v>
      </c>
      <c r="D4609" t="b">
        <f ca="1">IF(A4609="","",[1]!s_techanal_rcnthigh(B4609,$B$2,1,3))</f>
        <v>0</v>
      </c>
      <c r="E4609">
        <f ca="1">IF(A4609="","",COUNTIF(D$6:D4609,"True"))</f>
        <v>45</v>
      </c>
      <c r="F4609" t="str">
        <f t="shared" si="71"/>
        <v>688018.SH</v>
      </c>
    </row>
    <row r="4610" spans="1:6" x14ac:dyDescent="0.15">
      <c r="A4610" s="2">
        <v>46089</v>
      </c>
      <c r="B4610" s="1" t="s">
        <v>8678</v>
      </c>
      <c r="C4610" s="1" t="s">
        <v>8679</v>
      </c>
      <c r="D4610" t="b">
        <f ca="1">IF(A4610="","",[1]!s_techanal_rcnthigh(B4610,$B$2,1,3))</f>
        <v>0</v>
      </c>
      <c r="E4610">
        <f ca="1">IF(A4610="","",COUNTIF(D$6:D4610,"True"))</f>
        <v>45</v>
      </c>
      <c r="F4610" t="str">
        <f t="shared" si="71"/>
        <v>688019.SH</v>
      </c>
    </row>
    <row r="4611" spans="1:6" x14ac:dyDescent="0.15">
      <c r="A4611" s="2">
        <v>46089</v>
      </c>
      <c r="B4611" s="1" t="s">
        <v>8680</v>
      </c>
      <c r="C4611" s="1" t="s">
        <v>8681</v>
      </c>
      <c r="D4611" t="b">
        <f ca="1">IF(A4611="","",[1]!s_techanal_rcnthigh(B4611,$B$2,1,3))</f>
        <v>0</v>
      </c>
      <c r="E4611">
        <f ca="1">IF(A4611="","",COUNTIF(D$6:D4611,"True"))</f>
        <v>45</v>
      </c>
      <c r="F4611" t="str">
        <f t="shared" si="71"/>
        <v>688020.SH</v>
      </c>
    </row>
    <row r="4612" spans="1:6" x14ac:dyDescent="0.15">
      <c r="A4612" s="2">
        <v>46089</v>
      </c>
      <c r="B4612" s="1" t="s">
        <v>8682</v>
      </c>
      <c r="C4612" s="1" t="s">
        <v>10567</v>
      </c>
      <c r="D4612" t="b">
        <f ca="1">IF(A4612="","",[1]!s_techanal_rcnthigh(B4612,$B$2,1,3))</f>
        <v>0</v>
      </c>
      <c r="E4612">
        <f ca="1">IF(A4612="","",COUNTIF(D$6:D4612,"True"))</f>
        <v>45</v>
      </c>
      <c r="F4612" t="str">
        <f t="shared" si="71"/>
        <v>688021.SH</v>
      </c>
    </row>
    <row r="4613" spans="1:6" x14ac:dyDescent="0.15">
      <c r="A4613" s="2">
        <v>46089</v>
      </c>
      <c r="B4613" s="1" t="s">
        <v>8683</v>
      </c>
      <c r="C4613" s="1" t="s">
        <v>8684</v>
      </c>
      <c r="D4613" t="b">
        <f ca="1">IF(A4613="","",[1]!s_techanal_rcnthigh(B4613,$B$2,1,3))</f>
        <v>0</v>
      </c>
      <c r="E4613">
        <f ca="1">IF(A4613="","",COUNTIF(D$6:D4613,"True"))</f>
        <v>45</v>
      </c>
      <c r="F4613" t="str">
        <f t="shared" si="71"/>
        <v>688022.SH</v>
      </c>
    </row>
    <row r="4614" spans="1:6" x14ac:dyDescent="0.15">
      <c r="A4614" s="2">
        <v>46089</v>
      </c>
      <c r="B4614" s="1" t="s">
        <v>8685</v>
      </c>
      <c r="C4614" s="1" t="s">
        <v>8686</v>
      </c>
      <c r="D4614" t="b">
        <f ca="1">IF(A4614="","",[1]!s_techanal_rcnthigh(B4614,$B$2,1,3))</f>
        <v>0</v>
      </c>
      <c r="E4614">
        <f ca="1">IF(A4614="","",COUNTIF(D$6:D4614,"True"))</f>
        <v>45</v>
      </c>
      <c r="F4614" t="str">
        <f t="shared" ref="F4614:F4677" si="72">IF(B4614="","",B4614)</f>
        <v>688023.SH</v>
      </c>
    </row>
    <row r="4615" spans="1:6" x14ac:dyDescent="0.15">
      <c r="A4615" s="2">
        <v>46089</v>
      </c>
      <c r="B4615" s="1" t="s">
        <v>8687</v>
      </c>
      <c r="C4615" s="1" t="s">
        <v>8688</v>
      </c>
      <c r="D4615" t="b">
        <f ca="1">IF(A4615="","",[1]!s_techanal_rcnthigh(B4615,$B$2,1,3))</f>
        <v>0</v>
      </c>
      <c r="E4615">
        <f ca="1">IF(A4615="","",COUNTIF(D$6:D4615,"True"))</f>
        <v>45</v>
      </c>
      <c r="F4615" t="str">
        <f t="shared" si="72"/>
        <v>688025.SH</v>
      </c>
    </row>
    <row r="4616" spans="1:6" x14ac:dyDescent="0.15">
      <c r="A4616" s="2">
        <v>46089</v>
      </c>
      <c r="B4616" s="1" t="s">
        <v>8689</v>
      </c>
      <c r="C4616" s="1" t="s">
        <v>8690</v>
      </c>
      <c r="D4616" t="b">
        <f ca="1">IF(A4616="","",[1]!s_techanal_rcnthigh(B4616,$B$2,1,3))</f>
        <v>0</v>
      </c>
      <c r="E4616">
        <f ca="1">IF(A4616="","",COUNTIF(D$6:D4616,"True"))</f>
        <v>45</v>
      </c>
      <c r="F4616" t="str">
        <f t="shared" si="72"/>
        <v>688026.SH</v>
      </c>
    </row>
    <row r="4617" spans="1:6" x14ac:dyDescent="0.15">
      <c r="A4617" s="2">
        <v>46089</v>
      </c>
      <c r="B4617" s="1" t="s">
        <v>8691</v>
      </c>
      <c r="C4617" s="1" t="s">
        <v>8692</v>
      </c>
      <c r="D4617" t="b">
        <f ca="1">IF(A4617="","",[1]!s_techanal_rcnthigh(B4617,$B$2,1,3))</f>
        <v>0</v>
      </c>
      <c r="E4617">
        <f ca="1">IF(A4617="","",COUNTIF(D$6:D4617,"True"))</f>
        <v>45</v>
      </c>
      <c r="F4617" t="str">
        <f t="shared" si="72"/>
        <v>688027.SH</v>
      </c>
    </row>
    <row r="4618" spans="1:6" x14ac:dyDescent="0.15">
      <c r="A4618" s="2">
        <v>46089</v>
      </c>
      <c r="B4618" s="1" t="s">
        <v>8693</v>
      </c>
      <c r="C4618" s="1" t="s">
        <v>8694</v>
      </c>
      <c r="D4618" t="b">
        <f ca="1">IF(A4618="","",[1]!s_techanal_rcnthigh(B4618,$B$2,1,3))</f>
        <v>1</v>
      </c>
      <c r="E4618">
        <f ca="1">IF(A4618="","",COUNTIF(D$6:D4618,"True"))</f>
        <v>46</v>
      </c>
      <c r="F4618" t="str">
        <f t="shared" si="72"/>
        <v>688028.SH</v>
      </c>
    </row>
    <row r="4619" spans="1:6" x14ac:dyDescent="0.15">
      <c r="A4619" s="2">
        <v>46089</v>
      </c>
      <c r="B4619" s="1" t="s">
        <v>8695</v>
      </c>
      <c r="C4619" s="1" t="s">
        <v>8696</v>
      </c>
      <c r="D4619" t="b">
        <f ca="1">IF(A4619="","",[1]!s_techanal_rcnthigh(B4619,$B$2,1,3))</f>
        <v>0</v>
      </c>
      <c r="E4619">
        <f ca="1">IF(A4619="","",COUNTIF(D$6:D4619,"True"))</f>
        <v>46</v>
      </c>
      <c r="F4619" t="str">
        <f t="shared" si="72"/>
        <v>688029.SH</v>
      </c>
    </row>
    <row r="4620" spans="1:6" x14ac:dyDescent="0.15">
      <c r="A4620" s="2">
        <v>46089</v>
      </c>
      <c r="B4620" s="1" t="s">
        <v>8697</v>
      </c>
      <c r="C4620" s="1" t="s">
        <v>8698</v>
      </c>
      <c r="D4620" t="b">
        <f ca="1">IF(A4620="","",[1]!s_techanal_rcnthigh(B4620,$B$2,1,3))</f>
        <v>0</v>
      </c>
      <c r="E4620">
        <f ca="1">IF(A4620="","",COUNTIF(D$6:D4620,"True"))</f>
        <v>46</v>
      </c>
      <c r="F4620" t="str">
        <f t="shared" si="72"/>
        <v>688030.SH</v>
      </c>
    </row>
    <row r="4621" spans="1:6" x14ac:dyDescent="0.15">
      <c r="A4621" s="2">
        <v>46089</v>
      </c>
      <c r="B4621" s="1" t="s">
        <v>8699</v>
      </c>
      <c r="C4621" s="1" t="s">
        <v>8700</v>
      </c>
      <c r="D4621" t="b">
        <f ca="1">IF(A4621="","",[1]!s_techanal_rcnthigh(B4621,$B$2,1,3))</f>
        <v>0</v>
      </c>
      <c r="E4621">
        <f ca="1">IF(A4621="","",COUNTIF(D$6:D4621,"True"))</f>
        <v>46</v>
      </c>
      <c r="F4621" t="str">
        <f t="shared" si="72"/>
        <v>688031.SH</v>
      </c>
    </row>
    <row r="4622" spans="1:6" x14ac:dyDescent="0.15">
      <c r="A4622" s="2">
        <v>46089</v>
      </c>
      <c r="B4622" s="1" t="s">
        <v>8701</v>
      </c>
      <c r="C4622" s="1" t="s">
        <v>8702</v>
      </c>
      <c r="D4622" t="b">
        <f ca="1">IF(A4622="","",[1]!s_techanal_rcnthigh(B4622,$B$2,1,3))</f>
        <v>0</v>
      </c>
      <c r="E4622">
        <f ca="1">IF(A4622="","",COUNTIF(D$6:D4622,"True"))</f>
        <v>46</v>
      </c>
      <c r="F4622" t="str">
        <f t="shared" si="72"/>
        <v>688032.SH</v>
      </c>
    </row>
    <row r="4623" spans="1:6" x14ac:dyDescent="0.15">
      <c r="A4623" s="2">
        <v>46089</v>
      </c>
      <c r="B4623" s="1" t="s">
        <v>8703</v>
      </c>
      <c r="C4623" s="1" t="s">
        <v>10568</v>
      </c>
      <c r="D4623" t="b">
        <f ca="1">IF(A4623="","",[1]!s_techanal_rcnthigh(B4623,$B$2,1,3))</f>
        <v>0</v>
      </c>
      <c r="E4623">
        <f ca="1">IF(A4623="","",COUNTIF(D$6:D4623,"True"))</f>
        <v>46</v>
      </c>
      <c r="F4623" t="str">
        <f t="shared" si="72"/>
        <v>688033.SH</v>
      </c>
    </row>
    <row r="4624" spans="1:6" x14ac:dyDescent="0.15">
      <c r="A4624" s="2">
        <v>46089</v>
      </c>
      <c r="B4624" s="1" t="s">
        <v>8704</v>
      </c>
      <c r="C4624" s="1" t="s">
        <v>8705</v>
      </c>
      <c r="D4624" t="b">
        <f ca="1">IF(A4624="","",[1]!s_techanal_rcnthigh(B4624,$B$2,1,3))</f>
        <v>0</v>
      </c>
      <c r="E4624">
        <f ca="1">IF(A4624="","",COUNTIF(D$6:D4624,"True"))</f>
        <v>46</v>
      </c>
      <c r="F4624" t="str">
        <f t="shared" si="72"/>
        <v>688035.SH</v>
      </c>
    </row>
    <row r="4625" spans="1:6" x14ac:dyDescent="0.15">
      <c r="A4625" s="2">
        <v>46089</v>
      </c>
      <c r="B4625" s="1" t="s">
        <v>8706</v>
      </c>
      <c r="C4625" s="1" t="s">
        <v>8707</v>
      </c>
      <c r="D4625" t="b">
        <f ca="1">IF(A4625="","",[1]!s_techanal_rcnthigh(B4625,$B$2,1,3))</f>
        <v>0</v>
      </c>
      <c r="E4625">
        <f ca="1">IF(A4625="","",COUNTIF(D$6:D4625,"True"))</f>
        <v>46</v>
      </c>
      <c r="F4625" t="str">
        <f t="shared" si="72"/>
        <v>688036.SH</v>
      </c>
    </row>
    <row r="4626" spans="1:6" x14ac:dyDescent="0.15">
      <c r="A4626" s="2">
        <v>46089</v>
      </c>
      <c r="B4626" s="1" t="s">
        <v>8708</v>
      </c>
      <c r="C4626" s="1" t="s">
        <v>8709</v>
      </c>
      <c r="D4626" t="b">
        <f ca="1">IF(A4626="","",[1]!s_techanal_rcnthigh(B4626,$B$2,1,3))</f>
        <v>0</v>
      </c>
      <c r="E4626">
        <f ca="1">IF(A4626="","",COUNTIF(D$6:D4626,"True"))</f>
        <v>46</v>
      </c>
      <c r="F4626" t="str">
        <f t="shared" si="72"/>
        <v>688037.SH</v>
      </c>
    </row>
    <row r="4627" spans="1:6" x14ac:dyDescent="0.15">
      <c r="A4627" s="2">
        <v>46089</v>
      </c>
      <c r="B4627" s="1" t="s">
        <v>8710</v>
      </c>
      <c r="C4627" s="1" t="s">
        <v>8711</v>
      </c>
      <c r="D4627" t="b">
        <f ca="1">IF(A4627="","",[1]!s_techanal_rcnthigh(B4627,$B$2,1,3))</f>
        <v>0</v>
      </c>
      <c r="E4627">
        <f ca="1">IF(A4627="","",COUNTIF(D$6:D4627,"True"))</f>
        <v>46</v>
      </c>
      <c r="F4627" t="str">
        <f t="shared" si="72"/>
        <v>688038.SH</v>
      </c>
    </row>
    <row r="4628" spans="1:6" x14ac:dyDescent="0.15">
      <c r="A4628" s="2">
        <v>46089</v>
      </c>
      <c r="B4628" s="1" t="s">
        <v>8712</v>
      </c>
      <c r="C4628" s="1" t="s">
        <v>8713</v>
      </c>
      <c r="D4628" t="b">
        <f ca="1">IF(A4628="","",[1]!s_techanal_rcnthigh(B4628,$B$2,1,3))</f>
        <v>0</v>
      </c>
      <c r="E4628">
        <f ca="1">IF(A4628="","",COUNTIF(D$6:D4628,"True"))</f>
        <v>46</v>
      </c>
      <c r="F4628" t="str">
        <f t="shared" si="72"/>
        <v>688039.SH</v>
      </c>
    </row>
    <row r="4629" spans="1:6" x14ac:dyDescent="0.15">
      <c r="A4629" s="2">
        <v>46089</v>
      </c>
      <c r="B4629" s="1" t="s">
        <v>8714</v>
      </c>
      <c r="C4629" s="1" t="s">
        <v>8715</v>
      </c>
      <c r="D4629" t="b">
        <f ca="1">IF(A4629="","",[1]!s_techanal_rcnthigh(B4629,$B$2,1,3))</f>
        <v>0</v>
      </c>
      <c r="E4629">
        <f ca="1">IF(A4629="","",COUNTIF(D$6:D4629,"True"))</f>
        <v>46</v>
      </c>
      <c r="F4629" t="str">
        <f t="shared" si="72"/>
        <v>688041.SH</v>
      </c>
    </row>
    <row r="4630" spans="1:6" x14ac:dyDescent="0.15">
      <c r="A4630" s="2">
        <v>46089</v>
      </c>
      <c r="B4630" s="1" t="s">
        <v>8716</v>
      </c>
      <c r="C4630" s="1" t="s">
        <v>8717</v>
      </c>
      <c r="D4630" t="b">
        <f ca="1">IF(A4630="","",[1]!s_techanal_rcnthigh(B4630,$B$2,1,3))</f>
        <v>0</v>
      </c>
      <c r="E4630">
        <f ca="1">IF(A4630="","",COUNTIF(D$6:D4630,"True"))</f>
        <v>46</v>
      </c>
      <c r="F4630" t="str">
        <f t="shared" si="72"/>
        <v>688045.SH</v>
      </c>
    </row>
    <row r="4631" spans="1:6" x14ac:dyDescent="0.15">
      <c r="A4631" s="2">
        <v>46089</v>
      </c>
      <c r="B4631" s="1" t="s">
        <v>8718</v>
      </c>
      <c r="C4631" s="1" t="s">
        <v>8719</v>
      </c>
      <c r="D4631" t="b">
        <f ca="1">IF(A4631="","",[1]!s_techanal_rcnthigh(B4631,$B$2,1,3))</f>
        <v>0</v>
      </c>
      <c r="E4631">
        <f ca="1">IF(A4631="","",COUNTIF(D$6:D4631,"True"))</f>
        <v>46</v>
      </c>
      <c r="F4631" t="str">
        <f t="shared" si="72"/>
        <v>688046.SH</v>
      </c>
    </row>
    <row r="4632" spans="1:6" x14ac:dyDescent="0.15">
      <c r="A4632" s="2">
        <v>46089</v>
      </c>
      <c r="B4632" s="1" t="s">
        <v>8720</v>
      </c>
      <c r="C4632" s="1" t="s">
        <v>8721</v>
      </c>
      <c r="D4632" t="b">
        <f ca="1">IF(A4632="","",[1]!s_techanal_rcnthigh(B4632,$B$2,1,3))</f>
        <v>0</v>
      </c>
      <c r="E4632">
        <f ca="1">IF(A4632="","",COUNTIF(D$6:D4632,"True"))</f>
        <v>46</v>
      </c>
      <c r="F4632" t="str">
        <f t="shared" si="72"/>
        <v>688047.SH</v>
      </c>
    </row>
    <row r="4633" spans="1:6" x14ac:dyDescent="0.15">
      <c r="A4633" s="2">
        <v>46089</v>
      </c>
      <c r="B4633" s="1" t="s">
        <v>8722</v>
      </c>
      <c r="C4633" s="1" t="s">
        <v>8723</v>
      </c>
      <c r="D4633" t="b">
        <f ca="1">IF(A4633="","",[1]!s_techanal_rcnthigh(B4633,$B$2,1,3))</f>
        <v>0</v>
      </c>
      <c r="E4633">
        <f ca="1">IF(A4633="","",COUNTIF(D$6:D4633,"True"))</f>
        <v>46</v>
      </c>
      <c r="F4633" t="str">
        <f t="shared" si="72"/>
        <v>688048.SH</v>
      </c>
    </row>
    <row r="4634" spans="1:6" x14ac:dyDescent="0.15">
      <c r="A4634" s="2">
        <v>46089</v>
      </c>
      <c r="B4634" s="1" t="s">
        <v>8724</v>
      </c>
      <c r="C4634" s="1" t="s">
        <v>8725</v>
      </c>
      <c r="D4634" t="b">
        <f ca="1">IF(A4634="","",[1]!s_techanal_rcnthigh(B4634,$B$2,1,3))</f>
        <v>0</v>
      </c>
      <c r="E4634">
        <f ca="1">IF(A4634="","",COUNTIF(D$6:D4634,"True"))</f>
        <v>46</v>
      </c>
      <c r="F4634" t="str">
        <f t="shared" si="72"/>
        <v>688049.SH</v>
      </c>
    </row>
    <row r="4635" spans="1:6" x14ac:dyDescent="0.15">
      <c r="A4635" s="2">
        <v>46089</v>
      </c>
      <c r="B4635" s="1" t="s">
        <v>8726</v>
      </c>
      <c r="C4635" s="1" t="s">
        <v>8727</v>
      </c>
      <c r="D4635" t="b">
        <f ca="1">IF(A4635="","",[1]!s_techanal_rcnthigh(B4635,$B$2,1,3))</f>
        <v>0</v>
      </c>
      <c r="E4635">
        <f ca="1">IF(A4635="","",COUNTIF(D$6:D4635,"True"))</f>
        <v>46</v>
      </c>
      <c r="F4635" t="str">
        <f t="shared" si="72"/>
        <v>688050.SH</v>
      </c>
    </row>
    <row r="4636" spans="1:6" x14ac:dyDescent="0.15">
      <c r="A4636" s="2">
        <v>46089</v>
      </c>
      <c r="B4636" s="1" t="s">
        <v>8728</v>
      </c>
      <c r="C4636" s="1" t="s">
        <v>8729</v>
      </c>
      <c r="D4636" t="b">
        <f ca="1">IF(A4636="","",[1]!s_techanal_rcnthigh(B4636,$B$2,1,3))</f>
        <v>0</v>
      </c>
      <c r="E4636">
        <f ca="1">IF(A4636="","",COUNTIF(D$6:D4636,"True"))</f>
        <v>46</v>
      </c>
      <c r="F4636" t="str">
        <f t="shared" si="72"/>
        <v>688051.SH</v>
      </c>
    </row>
    <row r="4637" spans="1:6" x14ac:dyDescent="0.15">
      <c r="A4637" s="2">
        <v>46089</v>
      </c>
      <c r="B4637" s="1" t="s">
        <v>8730</v>
      </c>
      <c r="C4637" s="1" t="s">
        <v>8731</v>
      </c>
      <c r="D4637" t="b">
        <f ca="1">IF(A4637="","",[1]!s_techanal_rcnthigh(B4637,$B$2,1,3))</f>
        <v>0</v>
      </c>
      <c r="E4637">
        <f ca="1">IF(A4637="","",COUNTIF(D$6:D4637,"True"))</f>
        <v>46</v>
      </c>
      <c r="F4637" t="str">
        <f t="shared" si="72"/>
        <v>688052.SH</v>
      </c>
    </row>
    <row r="4638" spans="1:6" x14ac:dyDescent="0.15">
      <c r="A4638" s="2">
        <v>46089</v>
      </c>
      <c r="B4638" s="1" t="s">
        <v>8732</v>
      </c>
      <c r="C4638" s="1" t="s">
        <v>10569</v>
      </c>
      <c r="D4638" t="b">
        <f ca="1">IF(A4638="","",[1]!s_techanal_rcnthigh(B4638,$B$2,1,3))</f>
        <v>0</v>
      </c>
      <c r="E4638">
        <f ca="1">IF(A4638="","",COUNTIF(D$6:D4638,"True"))</f>
        <v>46</v>
      </c>
      <c r="F4638" t="str">
        <f t="shared" si="72"/>
        <v>688053.SH</v>
      </c>
    </row>
    <row r="4639" spans="1:6" x14ac:dyDescent="0.15">
      <c r="A4639" s="2">
        <v>46089</v>
      </c>
      <c r="B4639" s="1" t="s">
        <v>8733</v>
      </c>
      <c r="C4639" s="1" t="s">
        <v>8734</v>
      </c>
      <c r="D4639" t="b">
        <f ca="1">IF(A4639="","",[1]!s_techanal_rcnthigh(B4639,$B$2,1,3))</f>
        <v>0</v>
      </c>
      <c r="E4639">
        <f ca="1">IF(A4639="","",COUNTIF(D$6:D4639,"True"))</f>
        <v>46</v>
      </c>
      <c r="F4639" t="str">
        <f t="shared" si="72"/>
        <v>688055.SH</v>
      </c>
    </row>
    <row r="4640" spans="1:6" x14ac:dyDescent="0.15">
      <c r="A4640" s="2">
        <v>46089</v>
      </c>
      <c r="B4640" s="1" t="s">
        <v>8735</v>
      </c>
      <c r="C4640" s="1" t="s">
        <v>8736</v>
      </c>
      <c r="D4640" t="b">
        <f ca="1">IF(A4640="","",[1]!s_techanal_rcnthigh(B4640,$B$2,1,3))</f>
        <v>0</v>
      </c>
      <c r="E4640">
        <f ca="1">IF(A4640="","",COUNTIF(D$6:D4640,"True"))</f>
        <v>46</v>
      </c>
      <c r="F4640" t="str">
        <f t="shared" si="72"/>
        <v>688056.SH</v>
      </c>
    </row>
    <row r="4641" spans="1:6" x14ac:dyDescent="0.15">
      <c r="A4641" s="2">
        <v>46089</v>
      </c>
      <c r="B4641" s="1" t="s">
        <v>8737</v>
      </c>
      <c r="C4641" s="1" t="s">
        <v>8738</v>
      </c>
      <c r="D4641" t="b">
        <f ca="1">IF(A4641="","",[1]!s_techanal_rcnthigh(B4641,$B$2,1,3))</f>
        <v>0</v>
      </c>
      <c r="E4641">
        <f ca="1">IF(A4641="","",COUNTIF(D$6:D4641,"True"))</f>
        <v>46</v>
      </c>
      <c r="F4641" t="str">
        <f t="shared" si="72"/>
        <v>688057.SH</v>
      </c>
    </row>
    <row r="4642" spans="1:6" x14ac:dyDescent="0.15">
      <c r="A4642" s="2">
        <v>46089</v>
      </c>
      <c r="B4642" s="1" t="s">
        <v>8739</v>
      </c>
      <c r="C4642" s="1" t="s">
        <v>8740</v>
      </c>
      <c r="D4642" t="b">
        <f ca="1">IF(A4642="","",[1]!s_techanal_rcnthigh(B4642,$B$2,1,3))</f>
        <v>0</v>
      </c>
      <c r="E4642">
        <f ca="1">IF(A4642="","",COUNTIF(D$6:D4642,"True"))</f>
        <v>46</v>
      </c>
      <c r="F4642" t="str">
        <f t="shared" si="72"/>
        <v>688058.SH</v>
      </c>
    </row>
    <row r="4643" spans="1:6" x14ac:dyDescent="0.15">
      <c r="A4643" s="2">
        <v>46089</v>
      </c>
      <c r="B4643" s="1" t="s">
        <v>8741</v>
      </c>
      <c r="C4643" s="1" t="s">
        <v>8742</v>
      </c>
      <c r="D4643" t="b">
        <f ca="1">IF(A4643="","",[1]!s_techanal_rcnthigh(B4643,$B$2,1,3))</f>
        <v>0</v>
      </c>
      <c r="E4643">
        <f ca="1">IF(A4643="","",COUNTIF(D$6:D4643,"True"))</f>
        <v>46</v>
      </c>
      <c r="F4643" t="str">
        <f t="shared" si="72"/>
        <v>688059.SH</v>
      </c>
    </row>
    <row r="4644" spans="1:6" x14ac:dyDescent="0.15">
      <c r="A4644" s="2">
        <v>46089</v>
      </c>
      <c r="B4644" s="1" t="s">
        <v>8743</v>
      </c>
      <c r="C4644" s="1" t="s">
        <v>8744</v>
      </c>
      <c r="D4644" t="b">
        <f ca="1">IF(A4644="","",[1]!s_techanal_rcnthigh(B4644,$B$2,1,3))</f>
        <v>0</v>
      </c>
      <c r="E4644">
        <f ca="1">IF(A4644="","",COUNTIF(D$6:D4644,"True"))</f>
        <v>46</v>
      </c>
      <c r="F4644" t="str">
        <f t="shared" si="72"/>
        <v>688060.SH</v>
      </c>
    </row>
    <row r="4645" spans="1:6" x14ac:dyDescent="0.15">
      <c r="A4645" s="2">
        <v>46089</v>
      </c>
      <c r="B4645" s="1" t="s">
        <v>8745</v>
      </c>
      <c r="C4645" s="1" t="s">
        <v>8746</v>
      </c>
      <c r="D4645" t="b">
        <f ca="1">IF(A4645="","",[1]!s_techanal_rcnthigh(B4645,$B$2,1,3))</f>
        <v>0</v>
      </c>
      <c r="E4645">
        <f ca="1">IF(A4645="","",COUNTIF(D$6:D4645,"True"))</f>
        <v>46</v>
      </c>
      <c r="F4645" t="str">
        <f t="shared" si="72"/>
        <v>688061.SH</v>
      </c>
    </row>
    <row r="4646" spans="1:6" x14ac:dyDescent="0.15">
      <c r="A4646" s="2">
        <v>46089</v>
      </c>
      <c r="B4646" s="1" t="s">
        <v>8747</v>
      </c>
      <c r="C4646" s="1" t="s">
        <v>8748</v>
      </c>
      <c r="D4646" t="b">
        <f ca="1">IF(A4646="","",[1]!s_techanal_rcnthigh(B4646,$B$2,1,3))</f>
        <v>0</v>
      </c>
      <c r="E4646">
        <f ca="1">IF(A4646="","",COUNTIF(D$6:D4646,"True"))</f>
        <v>46</v>
      </c>
      <c r="F4646" t="str">
        <f t="shared" si="72"/>
        <v>688062.SH</v>
      </c>
    </row>
    <row r="4647" spans="1:6" x14ac:dyDescent="0.15">
      <c r="A4647" s="2">
        <v>46089</v>
      </c>
      <c r="B4647" s="1" t="s">
        <v>8749</v>
      </c>
      <c r="C4647" s="1" t="s">
        <v>8750</v>
      </c>
      <c r="D4647" t="b">
        <f ca="1">IF(A4647="","",[1]!s_techanal_rcnthigh(B4647,$B$2,1,3))</f>
        <v>0</v>
      </c>
      <c r="E4647">
        <f ca="1">IF(A4647="","",COUNTIF(D$6:D4647,"True"))</f>
        <v>46</v>
      </c>
      <c r="F4647" t="str">
        <f t="shared" si="72"/>
        <v>688063.SH</v>
      </c>
    </row>
    <row r="4648" spans="1:6" x14ac:dyDescent="0.15">
      <c r="A4648" s="2">
        <v>46089</v>
      </c>
      <c r="B4648" s="1" t="s">
        <v>8751</v>
      </c>
      <c r="C4648" s="1" t="s">
        <v>8752</v>
      </c>
      <c r="D4648" t="b">
        <f ca="1">IF(A4648="","",[1]!s_techanal_rcnthigh(B4648,$B$2,1,3))</f>
        <v>0</v>
      </c>
      <c r="E4648">
        <f ca="1">IF(A4648="","",COUNTIF(D$6:D4648,"True"))</f>
        <v>46</v>
      </c>
      <c r="F4648" t="str">
        <f t="shared" si="72"/>
        <v>688065.SH</v>
      </c>
    </row>
    <row r="4649" spans="1:6" x14ac:dyDescent="0.15">
      <c r="A4649" s="2">
        <v>46089</v>
      </c>
      <c r="B4649" s="1" t="s">
        <v>8753</v>
      </c>
      <c r="C4649" s="1" t="s">
        <v>8754</v>
      </c>
      <c r="D4649" t="b">
        <f ca="1">IF(A4649="","",[1]!s_techanal_rcnthigh(B4649,$B$2,1,3))</f>
        <v>0</v>
      </c>
      <c r="E4649">
        <f ca="1">IF(A4649="","",COUNTIF(D$6:D4649,"True"))</f>
        <v>46</v>
      </c>
      <c r="F4649" t="str">
        <f t="shared" si="72"/>
        <v>688066.SH</v>
      </c>
    </row>
    <row r="4650" spans="1:6" x14ac:dyDescent="0.15">
      <c r="A4650" s="2">
        <v>46089</v>
      </c>
      <c r="B4650" s="1" t="s">
        <v>8755</v>
      </c>
      <c r="C4650" s="1" t="s">
        <v>8756</v>
      </c>
      <c r="D4650" t="b">
        <f ca="1">IF(A4650="","",[1]!s_techanal_rcnthigh(B4650,$B$2,1,3))</f>
        <v>0</v>
      </c>
      <c r="E4650">
        <f ca="1">IF(A4650="","",COUNTIF(D$6:D4650,"True"))</f>
        <v>46</v>
      </c>
      <c r="F4650" t="str">
        <f t="shared" si="72"/>
        <v>688067.SH</v>
      </c>
    </row>
    <row r="4651" spans="1:6" x14ac:dyDescent="0.15">
      <c r="A4651" s="2">
        <v>46089</v>
      </c>
      <c r="B4651" s="1" t="s">
        <v>8757</v>
      </c>
      <c r="C4651" s="1" t="s">
        <v>8758</v>
      </c>
      <c r="D4651" t="b">
        <f ca="1">IF(A4651="","",[1]!s_techanal_rcnthigh(B4651,$B$2,1,3))</f>
        <v>0</v>
      </c>
      <c r="E4651">
        <f ca="1">IF(A4651="","",COUNTIF(D$6:D4651,"True"))</f>
        <v>46</v>
      </c>
      <c r="F4651" t="str">
        <f t="shared" si="72"/>
        <v>688068.SH</v>
      </c>
    </row>
    <row r="4652" spans="1:6" x14ac:dyDescent="0.15">
      <c r="A4652" s="2">
        <v>46089</v>
      </c>
      <c r="B4652" s="1" t="s">
        <v>8759</v>
      </c>
      <c r="C4652" s="1" t="s">
        <v>8760</v>
      </c>
      <c r="D4652" t="b">
        <f ca="1">IF(A4652="","",[1]!s_techanal_rcnthigh(B4652,$B$2,1,3))</f>
        <v>0</v>
      </c>
      <c r="E4652">
        <f ca="1">IF(A4652="","",COUNTIF(D$6:D4652,"True"))</f>
        <v>46</v>
      </c>
      <c r="F4652" t="str">
        <f t="shared" si="72"/>
        <v>688069.SH</v>
      </c>
    </row>
    <row r="4653" spans="1:6" x14ac:dyDescent="0.15">
      <c r="A4653" s="2">
        <v>46089</v>
      </c>
      <c r="B4653" s="1" t="s">
        <v>8761</v>
      </c>
      <c r="C4653" s="1" t="s">
        <v>8762</v>
      </c>
      <c r="D4653" t="b">
        <f ca="1">IF(A4653="","",[1]!s_techanal_rcnthigh(B4653,$B$2,1,3))</f>
        <v>0</v>
      </c>
      <c r="E4653">
        <f ca="1">IF(A4653="","",COUNTIF(D$6:D4653,"True"))</f>
        <v>46</v>
      </c>
      <c r="F4653" t="str">
        <f t="shared" si="72"/>
        <v>688070.SH</v>
      </c>
    </row>
    <row r="4654" spans="1:6" x14ac:dyDescent="0.15">
      <c r="A4654" s="2">
        <v>46089</v>
      </c>
      <c r="B4654" s="1" t="s">
        <v>8763</v>
      </c>
      <c r="C4654" s="1" t="s">
        <v>8764</v>
      </c>
      <c r="D4654" t="b">
        <f ca="1">IF(A4654="","",[1]!s_techanal_rcnthigh(B4654,$B$2,1,3))</f>
        <v>0</v>
      </c>
      <c r="E4654">
        <f ca="1">IF(A4654="","",COUNTIF(D$6:D4654,"True"))</f>
        <v>46</v>
      </c>
      <c r="F4654" t="str">
        <f t="shared" si="72"/>
        <v>688071.SH</v>
      </c>
    </row>
    <row r="4655" spans="1:6" x14ac:dyDescent="0.15">
      <c r="A4655" s="2">
        <v>46089</v>
      </c>
      <c r="B4655" s="1" t="s">
        <v>8765</v>
      </c>
      <c r="C4655" s="1" t="s">
        <v>8766</v>
      </c>
      <c r="D4655" t="b">
        <f ca="1">IF(A4655="","",[1]!s_techanal_rcnthigh(B4655,$B$2,1,3))</f>
        <v>0</v>
      </c>
      <c r="E4655">
        <f ca="1">IF(A4655="","",COUNTIF(D$6:D4655,"True"))</f>
        <v>46</v>
      </c>
      <c r="F4655" t="str">
        <f t="shared" si="72"/>
        <v>688072.SH</v>
      </c>
    </row>
    <row r="4656" spans="1:6" x14ac:dyDescent="0.15">
      <c r="A4656" s="2">
        <v>46089</v>
      </c>
      <c r="B4656" s="1" t="s">
        <v>8767</v>
      </c>
      <c r="C4656" s="1" t="s">
        <v>8768</v>
      </c>
      <c r="D4656" t="b">
        <f ca="1">IF(A4656="","",[1]!s_techanal_rcnthigh(B4656,$B$2,1,3))</f>
        <v>0</v>
      </c>
      <c r="E4656">
        <f ca="1">IF(A4656="","",COUNTIF(D$6:D4656,"True"))</f>
        <v>46</v>
      </c>
      <c r="F4656" t="str">
        <f t="shared" si="72"/>
        <v>688073.SH</v>
      </c>
    </row>
    <row r="4657" spans="1:6" x14ac:dyDescent="0.15">
      <c r="A4657" s="2">
        <v>46089</v>
      </c>
      <c r="B4657" s="1" t="s">
        <v>8769</v>
      </c>
      <c r="C4657" s="1" t="s">
        <v>8770</v>
      </c>
      <c r="D4657" t="b">
        <f ca="1">IF(A4657="","",[1]!s_techanal_rcnthigh(B4657,$B$2,1,3))</f>
        <v>0</v>
      </c>
      <c r="E4657">
        <f ca="1">IF(A4657="","",COUNTIF(D$6:D4657,"True"))</f>
        <v>46</v>
      </c>
      <c r="F4657" t="str">
        <f t="shared" si="72"/>
        <v>688075.SH</v>
      </c>
    </row>
    <row r="4658" spans="1:6" x14ac:dyDescent="0.15">
      <c r="A4658" s="2">
        <v>46089</v>
      </c>
      <c r="B4658" s="1" t="s">
        <v>8771</v>
      </c>
      <c r="C4658" s="1" t="s">
        <v>10570</v>
      </c>
      <c r="D4658" t="b">
        <f ca="1">IF(A4658="","",[1]!s_techanal_rcnthigh(B4658,$B$2,1,3))</f>
        <v>0</v>
      </c>
      <c r="E4658">
        <f ca="1">IF(A4658="","",COUNTIF(D$6:D4658,"True"))</f>
        <v>46</v>
      </c>
      <c r="F4658" t="str">
        <f t="shared" si="72"/>
        <v>688076.SH</v>
      </c>
    </row>
    <row r="4659" spans="1:6" x14ac:dyDescent="0.15">
      <c r="A4659" s="2">
        <v>46089</v>
      </c>
      <c r="B4659" s="1" t="s">
        <v>8772</v>
      </c>
      <c r="C4659" s="1" t="s">
        <v>8773</v>
      </c>
      <c r="D4659" t="b">
        <f ca="1">IF(A4659="","",[1]!s_techanal_rcnthigh(B4659,$B$2,1,3))</f>
        <v>0</v>
      </c>
      <c r="E4659">
        <f ca="1">IF(A4659="","",COUNTIF(D$6:D4659,"True"))</f>
        <v>46</v>
      </c>
      <c r="F4659" t="str">
        <f t="shared" si="72"/>
        <v>688077.SH</v>
      </c>
    </row>
    <row r="4660" spans="1:6" x14ac:dyDescent="0.15">
      <c r="A4660" s="2">
        <v>46089</v>
      </c>
      <c r="B4660" s="1" t="s">
        <v>8774</v>
      </c>
      <c r="C4660" s="1" t="s">
        <v>8775</v>
      </c>
      <c r="D4660" t="b">
        <f ca="1">IF(A4660="","",[1]!s_techanal_rcnthigh(B4660,$B$2,1,3))</f>
        <v>0</v>
      </c>
      <c r="E4660">
        <f ca="1">IF(A4660="","",COUNTIF(D$6:D4660,"True"))</f>
        <v>46</v>
      </c>
      <c r="F4660" t="str">
        <f t="shared" si="72"/>
        <v>688078.SH</v>
      </c>
    </row>
    <row r="4661" spans="1:6" x14ac:dyDescent="0.15">
      <c r="A4661" s="2">
        <v>46089</v>
      </c>
      <c r="B4661" s="1" t="s">
        <v>8776</v>
      </c>
      <c r="C4661" s="1" t="s">
        <v>8777</v>
      </c>
      <c r="D4661" t="b">
        <f ca="1">IF(A4661="","",[1]!s_techanal_rcnthigh(B4661,$B$2,1,3))</f>
        <v>0</v>
      </c>
      <c r="E4661">
        <f ca="1">IF(A4661="","",COUNTIF(D$6:D4661,"True"))</f>
        <v>46</v>
      </c>
      <c r="F4661" t="str">
        <f t="shared" si="72"/>
        <v>688079.SH</v>
      </c>
    </row>
    <row r="4662" spans="1:6" x14ac:dyDescent="0.15">
      <c r="A4662" s="2">
        <v>46089</v>
      </c>
      <c r="B4662" s="1" t="s">
        <v>8778</v>
      </c>
      <c r="C4662" s="1" t="s">
        <v>8779</v>
      </c>
      <c r="D4662" t="b">
        <f ca="1">IF(A4662="","",[1]!s_techanal_rcnthigh(B4662,$B$2,1,3))</f>
        <v>0</v>
      </c>
      <c r="E4662">
        <f ca="1">IF(A4662="","",COUNTIF(D$6:D4662,"True"))</f>
        <v>46</v>
      </c>
      <c r="F4662" t="str">
        <f t="shared" si="72"/>
        <v>688080.SH</v>
      </c>
    </row>
    <row r="4663" spans="1:6" x14ac:dyDescent="0.15">
      <c r="A4663" s="2">
        <v>46089</v>
      </c>
      <c r="B4663" s="1" t="s">
        <v>8780</v>
      </c>
      <c r="C4663" s="1" t="s">
        <v>8781</v>
      </c>
      <c r="D4663" t="b">
        <f ca="1">IF(A4663="","",[1]!s_techanal_rcnthigh(B4663,$B$2,1,3))</f>
        <v>0</v>
      </c>
      <c r="E4663">
        <f ca="1">IF(A4663="","",COUNTIF(D$6:D4663,"True"))</f>
        <v>46</v>
      </c>
      <c r="F4663" t="str">
        <f t="shared" si="72"/>
        <v>688081.SH</v>
      </c>
    </row>
    <row r="4664" spans="1:6" x14ac:dyDescent="0.15">
      <c r="A4664" s="2">
        <v>46089</v>
      </c>
      <c r="B4664" s="1" t="s">
        <v>8782</v>
      </c>
      <c r="C4664" s="1" t="s">
        <v>8783</v>
      </c>
      <c r="D4664" t="b">
        <f ca="1">IF(A4664="","",[1]!s_techanal_rcnthigh(B4664,$B$2,1,3))</f>
        <v>0</v>
      </c>
      <c r="E4664">
        <f ca="1">IF(A4664="","",COUNTIF(D$6:D4664,"True"))</f>
        <v>46</v>
      </c>
      <c r="F4664" t="str">
        <f t="shared" si="72"/>
        <v>688082.SH</v>
      </c>
    </row>
    <row r="4665" spans="1:6" x14ac:dyDescent="0.15">
      <c r="A4665" s="2">
        <v>46089</v>
      </c>
      <c r="B4665" s="1" t="s">
        <v>8784</v>
      </c>
      <c r="C4665" s="1" t="s">
        <v>8785</v>
      </c>
      <c r="D4665" t="b">
        <f ca="1">IF(A4665="","",[1]!s_techanal_rcnthigh(B4665,$B$2,1,3))</f>
        <v>0</v>
      </c>
      <c r="E4665">
        <f ca="1">IF(A4665="","",COUNTIF(D$6:D4665,"True"))</f>
        <v>46</v>
      </c>
      <c r="F4665" t="str">
        <f t="shared" si="72"/>
        <v>688083.SH</v>
      </c>
    </row>
    <row r="4666" spans="1:6" x14ac:dyDescent="0.15">
      <c r="A4666" s="2">
        <v>46089</v>
      </c>
      <c r="B4666" s="1" t="s">
        <v>8786</v>
      </c>
      <c r="C4666" s="1" t="s">
        <v>8787</v>
      </c>
      <c r="D4666" t="b">
        <f ca="1">IF(A4666="","",[1]!s_techanal_rcnthigh(B4666,$B$2,1,3))</f>
        <v>0</v>
      </c>
      <c r="E4666">
        <f ca="1">IF(A4666="","",COUNTIF(D$6:D4666,"True"))</f>
        <v>46</v>
      </c>
      <c r="F4666" t="str">
        <f t="shared" si="72"/>
        <v>688084.SH</v>
      </c>
    </row>
    <row r="4667" spans="1:6" x14ac:dyDescent="0.15">
      <c r="A4667" s="2">
        <v>46089</v>
      </c>
      <c r="B4667" s="1" t="s">
        <v>8788</v>
      </c>
      <c r="C4667" s="1" t="s">
        <v>8789</v>
      </c>
      <c r="D4667" t="b">
        <f ca="1">IF(A4667="","",[1]!s_techanal_rcnthigh(B4667,$B$2,1,3))</f>
        <v>0</v>
      </c>
      <c r="E4667">
        <f ca="1">IF(A4667="","",COUNTIF(D$6:D4667,"True"))</f>
        <v>46</v>
      </c>
      <c r="F4667" t="str">
        <f t="shared" si="72"/>
        <v>688085.SH</v>
      </c>
    </row>
    <row r="4668" spans="1:6" x14ac:dyDescent="0.15">
      <c r="A4668" s="2">
        <v>46089</v>
      </c>
      <c r="B4668" s="1" t="s">
        <v>8790</v>
      </c>
      <c r="C4668" s="1" t="s">
        <v>8791</v>
      </c>
      <c r="D4668" t="b">
        <f ca="1">IF(A4668="","",[1]!s_techanal_rcnthigh(B4668,$B$2,1,3))</f>
        <v>0</v>
      </c>
      <c r="E4668">
        <f ca="1">IF(A4668="","",COUNTIF(D$6:D4668,"True"))</f>
        <v>46</v>
      </c>
      <c r="F4668" t="str">
        <f t="shared" si="72"/>
        <v>688087.SH</v>
      </c>
    </row>
    <row r="4669" spans="1:6" x14ac:dyDescent="0.15">
      <c r="A4669" s="2">
        <v>46089</v>
      </c>
      <c r="B4669" s="1" t="s">
        <v>8792</v>
      </c>
      <c r="C4669" s="1" t="s">
        <v>8793</v>
      </c>
      <c r="D4669" t="b">
        <f ca="1">IF(A4669="","",[1]!s_techanal_rcnthigh(B4669,$B$2,1,3))</f>
        <v>0</v>
      </c>
      <c r="E4669">
        <f ca="1">IF(A4669="","",COUNTIF(D$6:D4669,"True"))</f>
        <v>46</v>
      </c>
      <c r="F4669" t="str">
        <f t="shared" si="72"/>
        <v>688088.SH</v>
      </c>
    </row>
    <row r="4670" spans="1:6" x14ac:dyDescent="0.15">
      <c r="A4670" s="2">
        <v>46089</v>
      </c>
      <c r="B4670" s="1" t="s">
        <v>8794</v>
      </c>
      <c r="C4670" s="1" t="s">
        <v>8795</v>
      </c>
      <c r="D4670" t="b">
        <f ca="1">IF(A4670="","",[1]!s_techanal_rcnthigh(B4670,$B$2,1,3))</f>
        <v>0</v>
      </c>
      <c r="E4670">
        <f ca="1">IF(A4670="","",COUNTIF(D$6:D4670,"True"))</f>
        <v>46</v>
      </c>
      <c r="F4670" t="str">
        <f t="shared" si="72"/>
        <v>688089.SH</v>
      </c>
    </row>
    <row r="4671" spans="1:6" x14ac:dyDescent="0.15">
      <c r="A4671" s="2">
        <v>46089</v>
      </c>
      <c r="B4671" s="1" t="s">
        <v>8796</v>
      </c>
      <c r="C4671" s="1" t="s">
        <v>8797</v>
      </c>
      <c r="D4671" t="b">
        <f ca="1">IF(A4671="","",[1]!s_techanal_rcnthigh(B4671,$B$2,1,3))</f>
        <v>0</v>
      </c>
      <c r="E4671">
        <f ca="1">IF(A4671="","",COUNTIF(D$6:D4671,"True"))</f>
        <v>46</v>
      </c>
      <c r="F4671" t="str">
        <f t="shared" si="72"/>
        <v>688090.SH</v>
      </c>
    </row>
    <row r="4672" spans="1:6" x14ac:dyDescent="0.15">
      <c r="A4672" s="2">
        <v>46089</v>
      </c>
      <c r="B4672" s="1" t="s">
        <v>8798</v>
      </c>
      <c r="C4672" s="1" t="s">
        <v>8799</v>
      </c>
      <c r="D4672" t="b">
        <f ca="1">IF(A4672="","",[1]!s_techanal_rcnthigh(B4672,$B$2,1,3))</f>
        <v>0</v>
      </c>
      <c r="E4672">
        <f ca="1">IF(A4672="","",COUNTIF(D$6:D4672,"True"))</f>
        <v>46</v>
      </c>
      <c r="F4672" t="str">
        <f t="shared" si="72"/>
        <v>688091.SH</v>
      </c>
    </row>
    <row r="4673" spans="1:6" x14ac:dyDescent="0.15">
      <c r="A4673" s="2">
        <v>46089</v>
      </c>
      <c r="B4673" s="1" t="s">
        <v>8800</v>
      </c>
      <c r="C4673" s="1" t="s">
        <v>8801</v>
      </c>
      <c r="D4673" t="b">
        <f ca="1">IF(A4673="","",[1]!s_techanal_rcnthigh(B4673,$B$2,1,3))</f>
        <v>0</v>
      </c>
      <c r="E4673">
        <f ca="1">IF(A4673="","",COUNTIF(D$6:D4673,"True"))</f>
        <v>46</v>
      </c>
      <c r="F4673" t="str">
        <f t="shared" si="72"/>
        <v>688092.SH</v>
      </c>
    </row>
    <row r="4674" spans="1:6" x14ac:dyDescent="0.15">
      <c r="A4674" s="2">
        <v>46089</v>
      </c>
      <c r="B4674" s="1" t="s">
        <v>8802</v>
      </c>
      <c r="C4674" s="1" t="s">
        <v>8803</v>
      </c>
      <c r="D4674" t="b">
        <f ca="1">IF(A4674="","",[1]!s_techanal_rcnthigh(B4674,$B$2,1,3))</f>
        <v>0</v>
      </c>
      <c r="E4674">
        <f ca="1">IF(A4674="","",COUNTIF(D$6:D4674,"True"))</f>
        <v>46</v>
      </c>
      <c r="F4674" t="str">
        <f t="shared" si="72"/>
        <v>688093.SH</v>
      </c>
    </row>
    <row r="4675" spans="1:6" x14ac:dyDescent="0.15">
      <c r="A4675" s="2">
        <v>46089</v>
      </c>
      <c r="B4675" s="1" t="s">
        <v>8804</v>
      </c>
      <c r="C4675" s="1" t="s">
        <v>8805</v>
      </c>
      <c r="D4675" t="b">
        <f ca="1">IF(A4675="","",[1]!s_techanal_rcnthigh(B4675,$B$2,1,3))</f>
        <v>0</v>
      </c>
      <c r="E4675">
        <f ca="1">IF(A4675="","",COUNTIF(D$6:D4675,"True"))</f>
        <v>46</v>
      </c>
      <c r="F4675" t="str">
        <f t="shared" si="72"/>
        <v>688095.SH</v>
      </c>
    </row>
    <row r="4676" spans="1:6" x14ac:dyDescent="0.15">
      <c r="A4676" s="2">
        <v>46089</v>
      </c>
      <c r="B4676" s="1" t="s">
        <v>8806</v>
      </c>
      <c r="C4676" s="1" t="s">
        <v>8807</v>
      </c>
      <c r="D4676" t="b">
        <f ca="1">IF(A4676="","",[1]!s_techanal_rcnthigh(B4676,$B$2,1,3))</f>
        <v>0</v>
      </c>
      <c r="E4676">
        <f ca="1">IF(A4676="","",COUNTIF(D$6:D4676,"True"))</f>
        <v>46</v>
      </c>
      <c r="F4676" t="str">
        <f t="shared" si="72"/>
        <v>688096.SH</v>
      </c>
    </row>
    <row r="4677" spans="1:6" x14ac:dyDescent="0.15">
      <c r="A4677" s="2">
        <v>46089</v>
      </c>
      <c r="B4677" s="1" t="s">
        <v>8808</v>
      </c>
      <c r="C4677" s="1" t="s">
        <v>8809</v>
      </c>
      <c r="D4677" t="b">
        <f ca="1">IF(A4677="","",[1]!s_techanal_rcnthigh(B4677,$B$2,1,3))</f>
        <v>0</v>
      </c>
      <c r="E4677">
        <f ca="1">IF(A4677="","",COUNTIF(D$6:D4677,"True"))</f>
        <v>46</v>
      </c>
      <c r="F4677" t="str">
        <f t="shared" si="72"/>
        <v>688097.SH</v>
      </c>
    </row>
    <row r="4678" spans="1:6" x14ac:dyDescent="0.15">
      <c r="A4678" s="2">
        <v>46089</v>
      </c>
      <c r="B4678" s="1" t="s">
        <v>8810</v>
      </c>
      <c r="C4678" s="1" t="s">
        <v>8811</v>
      </c>
      <c r="D4678" t="b">
        <f ca="1">IF(A4678="","",[1]!s_techanal_rcnthigh(B4678,$B$2,1,3))</f>
        <v>0</v>
      </c>
      <c r="E4678">
        <f ca="1">IF(A4678="","",COUNTIF(D$6:D4678,"True"))</f>
        <v>46</v>
      </c>
      <c r="F4678" t="str">
        <f t="shared" ref="F4678:F4741" si="73">IF(B4678="","",B4678)</f>
        <v>688098.SH</v>
      </c>
    </row>
    <row r="4679" spans="1:6" x14ac:dyDescent="0.15">
      <c r="A4679" s="2">
        <v>46089</v>
      </c>
      <c r="B4679" s="1" t="s">
        <v>8812</v>
      </c>
      <c r="C4679" s="1" t="s">
        <v>8813</v>
      </c>
      <c r="D4679" t="b">
        <f ca="1">IF(A4679="","",[1]!s_techanal_rcnthigh(B4679,$B$2,1,3))</f>
        <v>0</v>
      </c>
      <c r="E4679">
        <f ca="1">IF(A4679="","",COUNTIF(D$6:D4679,"True"))</f>
        <v>46</v>
      </c>
      <c r="F4679" t="str">
        <f t="shared" si="73"/>
        <v>688099.SH</v>
      </c>
    </row>
    <row r="4680" spans="1:6" x14ac:dyDescent="0.15">
      <c r="A4680" s="2">
        <v>46089</v>
      </c>
      <c r="B4680" s="1" t="s">
        <v>8814</v>
      </c>
      <c r="C4680" s="1" t="s">
        <v>8815</v>
      </c>
      <c r="D4680" t="b">
        <f ca="1">IF(A4680="","",[1]!s_techanal_rcnthigh(B4680,$B$2,1,3))</f>
        <v>0</v>
      </c>
      <c r="E4680">
        <f ca="1">IF(A4680="","",COUNTIF(D$6:D4680,"True"))</f>
        <v>46</v>
      </c>
      <c r="F4680" t="str">
        <f t="shared" si="73"/>
        <v>688100.SH</v>
      </c>
    </row>
    <row r="4681" spans="1:6" x14ac:dyDescent="0.15">
      <c r="A4681" s="2">
        <v>46089</v>
      </c>
      <c r="B4681" s="1" t="s">
        <v>8816</v>
      </c>
      <c r="C4681" s="1" t="s">
        <v>8817</v>
      </c>
      <c r="D4681" t="b">
        <f ca="1">IF(A4681="","",[1]!s_techanal_rcnthigh(B4681,$B$2,1,3))</f>
        <v>0</v>
      </c>
      <c r="E4681">
        <f ca="1">IF(A4681="","",COUNTIF(D$6:D4681,"True"))</f>
        <v>46</v>
      </c>
      <c r="F4681" t="str">
        <f t="shared" si="73"/>
        <v>688101.SH</v>
      </c>
    </row>
    <row r="4682" spans="1:6" x14ac:dyDescent="0.15">
      <c r="A4682" s="2">
        <v>46089</v>
      </c>
      <c r="B4682" s="1" t="s">
        <v>8818</v>
      </c>
      <c r="C4682" s="1" t="s">
        <v>8819</v>
      </c>
      <c r="D4682" t="b">
        <f ca="1">IF(A4682="","",[1]!s_techanal_rcnthigh(B4682,$B$2,1,3))</f>
        <v>0</v>
      </c>
      <c r="E4682">
        <f ca="1">IF(A4682="","",COUNTIF(D$6:D4682,"True"))</f>
        <v>46</v>
      </c>
      <c r="F4682" t="str">
        <f t="shared" si="73"/>
        <v>688102.SH</v>
      </c>
    </row>
    <row r="4683" spans="1:6" x14ac:dyDescent="0.15">
      <c r="A4683" s="2">
        <v>46089</v>
      </c>
      <c r="B4683" s="1" t="s">
        <v>8820</v>
      </c>
      <c r="C4683" s="1" t="s">
        <v>10571</v>
      </c>
      <c r="D4683" t="b">
        <f ca="1">IF(A4683="","",[1]!s_techanal_rcnthigh(B4683,$B$2,1,3))</f>
        <v>0</v>
      </c>
      <c r="E4683">
        <f ca="1">IF(A4683="","",COUNTIF(D$6:D4683,"True"))</f>
        <v>46</v>
      </c>
      <c r="F4683" t="str">
        <f t="shared" si="73"/>
        <v>688103.SH</v>
      </c>
    </row>
    <row r="4684" spans="1:6" x14ac:dyDescent="0.15">
      <c r="A4684" s="2">
        <v>46089</v>
      </c>
      <c r="B4684" s="1" t="s">
        <v>8821</v>
      </c>
      <c r="C4684" s="1" t="s">
        <v>8822</v>
      </c>
      <c r="D4684" t="b">
        <f ca="1">IF(A4684="","",[1]!s_techanal_rcnthigh(B4684,$B$2,1,3))</f>
        <v>0</v>
      </c>
      <c r="E4684">
        <f ca="1">IF(A4684="","",COUNTIF(D$6:D4684,"True"))</f>
        <v>46</v>
      </c>
      <c r="F4684" t="str">
        <f t="shared" si="73"/>
        <v>688105.SH</v>
      </c>
    </row>
    <row r="4685" spans="1:6" x14ac:dyDescent="0.15">
      <c r="A4685" s="2">
        <v>46089</v>
      </c>
      <c r="B4685" s="1" t="s">
        <v>8823</v>
      </c>
      <c r="C4685" s="1" t="s">
        <v>8824</v>
      </c>
      <c r="D4685" t="b">
        <f ca="1">IF(A4685="","",[1]!s_techanal_rcnthigh(B4685,$B$2,1,3))</f>
        <v>0</v>
      </c>
      <c r="E4685">
        <f ca="1">IF(A4685="","",COUNTIF(D$6:D4685,"True"))</f>
        <v>46</v>
      </c>
      <c r="F4685" t="str">
        <f t="shared" si="73"/>
        <v>688106.SH</v>
      </c>
    </row>
    <row r="4686" spans="1:6" x14ac:dyDescent="0.15">
      <c r="A4686" s="2">
        <v>46089</v>
      </c>
      <c r="B4686" s="1" t="s">
        <v>8825</v>
      </c>
      <c r="C4686" s="1" t="s">
        <v>8826</v>
      </c>
      <c r="D4686" t="b">
        <f ca="1">IF(A4686="","",[1]!s_techanal_rcnthigh(B4686,$B$2,1,3))</f>
        <v>0</v>
      </c>
      <c r="E4686">
        <f ca="1">IF(A4686="","",COUNTIF(D$6:D4686,"True"))</f>
        <v>46</v>
      </c>
      <c r="F4686" t="str">
        <f t="shared" si="73"/>
        <v>688107.SH</v>
      </c>
    </row>
    <row r="4687" spans="1:6" x14ac:dyDescent="0.15">
      <c r="A4687" s="2">
        <v>46089</v>
      </c>
      <c r="B4687" s="1" t="s">
        <v>8827</v>
      </c>
      <c r="C4687" s="1" t="s">
        <v>8828</v>
      </c>
      <c r="D4687" t="b">
        <f ca="1">IF(A4687="","",[1]!s_techanal_rcnthigh(B4687,$B$2,1,3))</f>
        <v>0</v>
      </c>
      <c r="E4687">
        <f ca="1">IF(A4687="","",COUNTIF(D$6:D4687,"True"))</f>
        <v>46</v>
      </c>
      <c r="F4687" t="str">
        <f t="shared" si="73"/>
        <v>688108.SH</v>
      </c>
    </row>
    <row r="4688" spans="1:6" x14ac:dyDescent="0.15">
      <c r="A4688" s="2">
        <v>46089</v>
      </c>
      <c r="B4688" s="1" t="s">
        <v>8829</v>
      </c>
      <c r="C4688" s="1" t="s">
        <v>8830</v>
      </c>
      <c r="D4688" t="b">
        <f ca="1">IF(A4688="","",[1]!s_techanal_rcnthigh(B4688,$B$2,1,3))</f>
        <v>0</v>
      </c>
      <c r="E4688">
        <f ca="1">IF(A4688="","",COUNTIF(D$6:D4688,"True"))</f>
        <v>46</v>
      </c>
      <c r="F4688" t="str">
        <f t="shared" si="73"/>
        <v>688109.SH</v>
      </c>
    </row>
    <row r="4689" spans="1:6" x14ac:dyDescent="0.15">
      <c r="A4689" s="2">
        <v>46089</v>
      </c>
      <c r="B4689" s="1" t="s">
        <v>8831</v>
      </c>
      <c r="C4689" s="1" t="s">
        <v>8832</v>
      </c>
      <c r="D4689" t="b">
        <f ca="1">IF(A4689="","",[1]!s_techanal_rcnthigh(B4689,$B$2,1,3))</f>
        <v>0</v>
      </c>
      <c r="E4689">
        <f ca="1">IF(A4689="","",COUNTIF(D$6:D4689,"True"))</f>
        <v>46</v>
      </c>
      <c r="F4689" t="str">
        <f t="shared" si="73"/>
        <v>688110.SH</v>
      </c>
    </row>
    <row r="4690" spans="1:6" x14ac:dyDescent="0.15">
      <c r="A4690" s="2">
        <v>46089</v>
      </c>
      <c r="B4690" s="1" t="s">
        <v>8833</v>
      </c>
      <c r="C4690" s="1" t="s">
        <v>8834</v>
      </c>
      <c r="D4690" t="b">
        <f ca="1">IF(A4690="","",[1]!s_techanal_rcnthigh(B4690,$B$2,1,3))</f>
        <v>0</v>
      </c>
      <c r="E4690">
        <f ca="1">IF(A4690="","",COUNTIF(D$6:D4690,"True"))</f>
        <v>46</v>
      </c>
      <c r="F4690" t="str">
        <f t="shared" si="73"/>
        <v>688111.SH</v>
      </c>
    </row>
    <row r="4691" spans="1:6" x14ac:dyDescent="0.15">
      <c r="A4691" s="2">
        <v>46089</v>
      </c>
      <c r="B4691" s="1" t="s">
        <v>8835</v>
      </c>
      <c r="C4691" s="1" t="s">
        <v>8836</v>
      </c>
      <c r="D4691" t="b">
        <f ca="1">IF(A4691="","",[1]!s_techanal_rcnthigh(B4691,$B$2,1,3))</f>
        <v>0</v>
      </c>
      <c r="E4691">
        <f ca="1">IF(A4691="","",COUNTIF(D$6:D4691,"True"))</f>
        <v>46</v>
      </c>
      <c r="F4691" t="str">
        <f t="shared" si="73"/>
        <v>688112.SH</v>
      </c>
    </row>
    <row r="4692" spans="1:6" x14ac:dyDescent="0.15">
      <c r="A4692" s="2">
        <v>46089</v>
      </c>
      <c r="B4692" s="1" t="s">
        <v>8837</v>
      </c>
      <c r="C4692" s="1" t="s">
        <v>8838</v>
      </c>
      <c r="D4692" t="b">
        <f ca="1">IF(A4692="","",[1]!s_techanal_rcnthigh(B4692,$B$2,1,3))</f>
        <v>0</v>
      </c>
      <c r="E4692">
        <f ca="1">IF(A4692="","",COUNTIF(D$6:D4692,"True"))</f>
        <v>46</v>
      </c>
      <c r="F4692" t="str">
        <f t="shared" si="73"/>
        <v>688113.SH</v>
      </c>
    </row>
    <row r="4693" spans="1:6" x14ac:dyDescent="0.15">
      <c r="A4693" s="2">
        <v>46089</v>
      </c>
      <c r="B4693" s="1" t="s">
        <v>8839</v>
      </c>
      <c r="C4693" s="1" t="s">
        <v>8840</v>
      </c>
      <c r="D4693" t="b">
        <f ca="1">IF(A4693="","",[1]!s_techanal_rcnthigh(B4693,$B$2,1,3))</f>
        <v>0</v>
      </c>
      <c r="E4693">
        <f ca="1">IF(A4693="","",COUNTIF(D$6:D4693,"True"))</f>
        <v>46</v>
      </c>
      <c r="F4693" t="str">
        <f t="shared" si="73"/>
        <v>688114.SH</v>
      </c>
    </row>
    <row r="4694" spans="1:6" x14ac:dyDescent="0.15">
      <c r="A4694" s="2">
        <v>46089</v>
      </c>
      <c r="B4694" s="1" t="s">
        <v>8841</v>
      </c>
      <c r="C4694" s="1" t="s">
        <v>8842</v>
      </c>
      <c r="D4694" t="b">
        <f ca="1">IF(A4694="","",[1]!s_techanal_rcnthigh(B4694,$B$2,1,3))</f>
        <v>0</v>
      </c>
      <c r="E4694">
        <f ca="1">IF(A4694="","",COUNTIF(D$6:D4694,"True"))</f>
        <v>46</v>
      </c>
      <c r="F4694" t="str">
        <f t="shared" si="73"/>
        <v>688115.SH</v>
      </c>
    </row>
    <row r="4695" spans="1:6" x14ac:dyDescent="0.15">
      <c r="A4695" s="2">
        <v>46089</v>
      </c>
      <c r="B4695" s="1" t="s">
        <v>8843</v>
      </c>
      <c r="C4695" s="1" t="s">
        <v>8844</v>
      </c>
      <c r="D4695" t="b">
        <f ca="1">IF(A4695="","",[1]!s_techanal_rcnthigh(B4695,$B$2,1,3))</f>
        <v>0</v>
      </c>
      <c r="E4695">
        <f ca="1">IF(A4695="","",COUNTIF(D$6:D4695,"True"))</f>
        <v>46</v>
      </c>
      <c r="F4695" t="str">
        <f t="shared" si="73"/>
        <v>688116.SH</v>
      </c>
    </row>
    <row r="4696" spans="1:6" x14ac:dyDescent="0.15">
      <c r="A4696" s="2">
        <v>46089</v>
      </c>
      <c r="B4696" s="1" t="s">
        <v>8845</v>
      </c>
      <c r="C4696" s="1" t="s">
        <v>8846</v>
      </c>
      <c r="D4696" t="b">
        <f ca="1">IF(A4696="","",[1]!s_techanal_rcnthigh(B4696,$B$2,1,3))</f>
        <v>0</v>
      </c>
      <c r="E4696">
        <f ca="1">IF(A4696="","",COUNTIF(D$6:D4696,"True"))</f>
        <v>46</v>
      </c>
      <c r="F4696" t="str">
        <f t="shared" si="73"/>
        <v>688117.SH</v>
      </c>
    </row>
    <row r="4697" spans="1:6" x14ac:dyDescent="0.15">
      <c r="A4697" s="2">
        <v>46089</v>
      </c>
      <c r="B4697" s="1" t="s">
        <v>8847</v>
      </c>
      <c r="C4697" s="1" t="s">
        <v>8848</v>
      </c>
      <c r="D4697" t="b">
        <f ca="1">IF(A4697="","",[1]!s_techanal_rcnthigh(B4697,$B$2,1,3))</f>
        <v>0</v>
      </c>
      <c r="E4697">
        <f ca="1">IF(A4697="","",COUNTIF(D$6:D4697,"True"))</f>
        <v>46</v>
      </c>
      <c r="F4697" t="str">
        <f t="shared" si="73"/>
        <v>688118.SH</v>
      </c>
    </row>
    <row r="4698" spans="1:6" x14ac:dyDescent="0.15">
      <c r="A4698" s="2">
        <v>46089</v>
      </c>
      <c r="B4698" s="1" t="s">
        <v>8849</v>
      </c>
      <c r="C4698" s="1" t="s">
        <v>8850</v>
      </c>
      <c r="D4698" t="b">
        <f ca="1">IF(A4698="","",[1]!s_techanal_rcnthigh(B4698,$B$2,1,3))</f>
        <v>0</v>
      </c>
      <c r="E4698">
        <f ca="1">IF(A4698="","",COUNTIF(D$6:D4698,"True"))</f>
        <v>46</v>
      </c>
      <c r="F4698" t="str">
        <f t="shared" si="73"/>
        <v>688119.SH</v>
      </c>
    </row>
    <row r="4699" spans="1:6" x14ac:dyDescent="0.15">
      <c r="A4699" s="2">
        <v>46089</v>
      </c>
      <c r="B4699" s="1" t="s">
        <v>8851</v>
      </c>
      <c r="C4699" s="1" t="s">
        <v>8852</v>
      </c>
      <c r="D4699" t="b">
        <f ca="1">IF(A4699="","",[1]!s_techanal_rcnthigh(B4699,$B$2,1,3))</f>
        <v>0</v>
      </c>
      <c r="E4699">
        <f ca="1">IF(A4699="","",COUNTIF(D$6:D4699,"True"))</f>
        <v>46</v>
      </c>
      <c r="F4699" t="str">
        <f t="shared" si="73"/>
        <v>688120.SH</v>
      </c>
    </row>
    <row r="4700" spans="1:6" x14ac:dyDescent="0.15">
      <c r="A4700" s="2">
        <v>46089</v>
      </c>
      <c r="B4700" s="1" t="s">
        <v>8853</v>
      </c>
      <c r="C4700" s="1" t="s">
        <v>8854</v>
      </c>
      <c r="D4700" t="b">
        <f ca="1">IF(A4700="","",[1]!s_techanal_rcnthigh(B4700,$B$2,1,3))</f>
        <v>0</v>
      </c>
      <c r="E4700">
        <f ca="1">IF(A4700="","",COUNTIF(D$6:D4700,"True"))</f>
        <v>46</v>
      </c>
      <c r="F4700" t="str">
        <f t="shared" si="73"/>
        <v>688121.SH</v>
      </c>
    </row>
    <row r="4701" spans="1:6" x14ac:dyDescent="0.15">
      <c r="A4701" s="2">
        <v>46089</v>
      </c>
      <c r="B4701" s="1" t="s">
        <v>8855</v>
      </c>
      <c r="C4701" s="1" t="s">
        <v>8856</v>
      </c>
      <c r="D4701" t="b">
        <f ca="1">IF(A4701="","",[1]!s_techanal_rcnthigh(B4701,$B$2,1,3))</f>
        <v>0</v>
      </c>
      <c r="E4701">
        <f ca="1">IF(A4701="","",COUNTIF(D$6:D4701,"True"))</f>
        <v>46</v>
      </c>
      <c r="F4701" t="str">
        <f t="shared" si="73"/>
        <v>688122.SH</v>
      </c>
    </row>
    <row r="4702" spans="1:6" x14ac:dyDescent="0.15">
      <c r="A4702" s="2">
        <v>46089</v>
      </c>
      <c r="B4702" s="1" t="s">
        <v>8857</v>
      </c>
      <c r="C4702" s="1" t="s">
        <v>8858</v>
      </c>
      <c r="D4702" t="b">
        <f ca="1">IF(A4702="","",[1]!s_techanal_rcnthigh(B4702,$B$2,1,3))</f>
        <v>0</v>
      </c>
      <c r="E4702">
        <f ca="1">IF(A4702="","",COUNTIF(D$6:D4702,"True"))</f>
        <v>46</v>
      </c>
      <c r="F4702" t="str">
        <f t="shared" si="73"/>
        <v>688123.SH</v>
      </c>
    </row>
    <row r="4703" spans="1:6" x14ac:dyDescent="0.15">
      <c r="A4703" s="2">
        <v>46089</v>
      </c>
      <c r="B4703" s="1" t="s">
        <v>8859</v>
      </c>
      <c r="C4703" s="1" t="s">
        <v>8860</v>
      </c>
      <c r="D4703" t="b">
        <f ca="1">IF(A4703="","",[1]!s_techanal_rcnthigh(B4703,$B$2,1,3))</f>
        <v>0</v>
      </c>
      <c r="E4703">
        <f ca="1">IF(A4703="","",COUNTIF(D$6:D4703,"True"))</f>
        <v>46</v>
      </c>
      <c r="F4703" t="str">
        <f t="shared" si="73"/>
        <v>688125.SH</v>
      </c>
    </row>
    <row r="4704" spans="1:6" x14ac:dyDescent="0.15">
      <c r="A4704" s="2">
        <v>46089</v>
      </c>
      <c r="B4704" s="1" t="s">
        <v>8861</v>
      </c>
      <c r="C4704" s="1" t="s">
        <v>8862</v>
      </c>
      <c r="D4704" t="b">
        <f ca="1">IF(A4704="","",[1]!s_techanal_rcnthigh(B4704,$B$2,1,3))</f>
        <v>0</v>
      </c>
      <c r="E4704">
        <f ca="1">IF(A4704="","",COUNTIF(D$6:D4704,"True"))</f>
        <v>46</v>
      </c>
      <c r="F4704" t="str">
        <f t="shared" si="73"/>
        <v>688126.SH</v>
      </c>
    </row>
    <row r="4705" spans="1:6" x14ac:dyDescent="0.15">
      <c r="A4705" s="2">
        <v>46089</v>
      </c>
      <c r="B4705" s="1" t="s">
        <v>8863</v>
      </c>
      <c r="C4705" s="1" t="s">
        <v>8864</v>
      </c>
      <c r="D4705" t="b">
        <f ca="1">IF(A4705="","",[1]!s_techanal_rcnthigh(B4705,$B$2,1,3))</f>
        <v>1</v>
      </c>
      <c r="E4705">
        <f ca="1">IF(A4705="","",COUNTIF(D$6:D4705,"True"))</f>
        <v>47</v>
      </c>
      <c r="F4705" t="str">
        <f t="shared" si="73"/>
        <v>688127.SH</v>
      </c>
    </row>
    <row r="4706" spans="1:6" x14ac:dyDescent="0.15">
      <c r="A4706" s="2">
        <v>46089</v>
      </c>
      <c r="B4706" s="1" t="s">
        <v>8865</v>
      </c>
      <c r="C4706" s="1" t="s">
        <v>8866</v>
      </c>
      <c r="D4706" t="b">
        <f ca="1">IF(A4706="","",[1]!s_techanal_rcnthigh(B4706,$B$2,1,3))</f>
        <v>0</v>
      </c>
      <c r="E4706">
        <f ca="1">IF(A4706="","",COUNTIF(D$6:D4706,"True"))</f>
        <v>47</v>
      </c>
      <c r="F4706" t="str">
        <f t="shared" si="73"/>
        <v>688128.SH</v>
      </c>
    </row>
    <row r="4707" spans="1:6" x14ac:dyDescent="0.15">
      <c r="A4707" s="2">
        <v>46089</v>
      </c>
      <c r="B4707" s="1" t="s">
        <v>8867</v>
      </c>
      <c r="C4707" s="1" t="s">
        <v>8868</v>
      </c>
      <c r="D4707" t="b">
        <f ca="1">IF(A4707="","",[1]!s_techanal_rcnthigh(B4707,$B$2,1,3))</f>
        <v>0</v>
      </c>
      <c r="E4707">
        <f ca="1">IF(A4707="","",COUNTIF(D$6:D4707,"True"))</f>
        <v>47</v>
      </c>
      <c r="F4707" t="str">
        <f t="shared" si="73"/>
        <v>688129.SH</v>
      </c>
    </row>
    <row r="4708" spans="1:6" x14ac:dyDescent="0.15">
      <c r="A4708" s="2">
        <v>46089</v>
      </c>
      <c r="B4708" s="1" t="s">
        <v>8869</v>
      </c>
      <c r="C4708" s="1" t="s">
        <v>8870</v>
      </c>
      <c r="D4708" t="b">
        <f ca="1">IF(A4708="","",[1]!s_techanal_rcnthigh(B4708,$B$2,1,3))</f>
        <v>0</v>
      </c>
      <c r="E4708">
        <f ca="1">IF(A4708="","",COUNTIF(D$6:D4708,"True"))</f>
        <v>47</v>
      </c>
      <c r="F4708" t="str">
        <f t="shared" si="73"/>
        <v>688130.SH</v>
      </c>
    </row>
    <row r="4709" spans="1:6" x14ac:dyDescent="0.15">
      <c r="A4709" s="2">
        <v>46089</v>
      </c>
      <c r="B4709" s="1" t="s">
        <v>8871</v>
      </c>
      <c r="C4709" s="1" t="s">
        <v>8872</v>
      </c>
      <c r="D4709" t="b">
        <f ca="1">IF(A4709="","",[1]!s_techanal_rcnthigh(B4709,$B$2,1,3))</f>
        <v>0</v>
      </c>
      <c r="E4709">
        <f ca="1">IF(A4709="","",COUNTIF(D$6:D4709,"True"))</f>
        <v>47</v>
      </c>
      <c r="F4709" t="str">
        <f t="shared" si="73"/>
        <v>688131.SH</v>
      </c>
    </row>
    <row r="4710" spans="1:6" x14ac:dyDescent="0.15">
      <c r="A4710" s="2">
        <v>46089</v>
      </c>
      <c r="B4710" s="1" t="s">
        <v>8873</v>
      </c>
      <c r="C4710" s="1" t="s">
        <v>8874</v>
      </c>
      <c r="D4710" t="b">
        <f ca="1">IF(A4710="","",[1]!s_techanal_rcnthigh(B4710,$B$2,1,3))</f>
        <v>0</v>
      </c>
      <c r="E4710">
        <f ca="1">IF(A4710="","",COUNTIF(D$6:D4710,"True"))</f>
        <v>47</v>
      </c>
      <c r="F4710" t="str">
        <f t="shared" si="73"/>
        <v>688132.SH</v>
      </c>
    </row>
    <row r="4711" spans="1:6" x14ac:dyDescent="0.15">
      <c r="A4711" s="2">
        <v>46089</v>
      </c>
      <c r="B4711" s="1" t="s">
        <v>8875</v>
      </c>
      <c r="C4711" s="1" t="s">
        <v>8876</v>
      </c>
      <c r="D4711" t="b">
        <f ca="1">IF(A4711="","",[1]!s_techanal_rcnthigh(B4711,$B$2,1,3))</f>
        <v>0</v>
      </c>
      <c r="E4711">
        <f ca="1">IF(A4711="","",COUNTIF(D$6:D4711,"True"))</f>
        <v>47</v>
      </c>
      <c r="F4711" t="str">
        <f t="shared" si="73"/>
        <v>688133.SH</v>
      </c>
    </row>
    <row r="4712" spans="1:6" x14ac:dyDescent="0.15">
      <c r="A4712" s="2">
        <v>46089</v>
      </c>
      <c r="B4712" s="1" t="s">
        <v>8877</v>
      </c>
      <c r="C4712" s="1" t="s">
        <v>8878</v>
      </c>
      <c r="D4712" t="b">
        <f ca="1">IF(A4712="","",[1]!s_techanal_rcnthigh(B4712,$B$2,1,3))</f>
        <v>0</v>
      </c>
      <c r="E4712">
        <f ca="1">IF(A4712="","",COUNTIF(D$6:D4712,"True"))</f>
        <v>47</v>
      </c>
      <c r="F4712" t="str">
        <f t="shared" si="73"/>
        <v>688135.SH</v>
      </c>
    </row>
    <row r="4713" spans="1:6" x14ac:dyDescent="0.15">
      <c r="A4713" s="2">
        <v>46089</v>
      </c>
      <c r="B4713" s="1" t="s">
        <v>8879</v>
      </c>
      <c r="C4713" s="1" t="s">
        <v>8880</v>
      </c>
      <c r="D4713" t="b">
        <f ca="1">IF(A4713="","",[1]!s_techanal_rcnthigh(B4713,$B$2,1,3))</f>
        <v>0</v>
      </c>
      <c r="E4713">
        <f ca="1">IF(A4713="","",COUNTIF(D$6:D4713,"True"))</f>
        <v>47</v>
      </c>
      <c r="F4713" t="str">
        <f t="shared" si="73"/>
        <v>688136.SH</v>
      </c>
    </row>
    <row r="4714" spans="1:6" x14ac:dyDescent="0.15">
      <c r="A4714" s="2">
        <v>46089</v>
      </c>
      <c r="B4714" s="1" t="s">
        <v>8881</v>
      </c>
      <c r="C4714" s="1" t="s">
        <v>8882</v>
      </c>
      <c r="D4714" t="b">
        <f ca="1">IF(A4714="","",[1]!s_techanal_rcnthigh(B4714,$B$2,1,3))</f>
        <v>0</v>
      </c>
      <c r="E4714">
        <f ca="1">IF(A4714="","",COUNTIF(D$6:D4714,"True"))</f>
        <v>47</v>
      </c>
      <c r="F4714" t="str">
        <f t="shared" si="73"/>
        <v>688137.SH</v>
      </c>
    </row>
    <row r="4715" spans="1:6" x14ac:dyDescent="0.15">
      <c r="A4715" s="2">
        <v>46089</v>
      </c>
      <c r="B4715" s="1" t="s">
        <v>8883</v>
      </c>
      <c r="C4715" s="1" t="s">
        <v>8884</v>
      </c>
      <c r="D4715" t="b">
        <f ca="1">IF(A4715="","",[1]!s_techanal_rcnthigh(B4715,$B$2,1,3))</f>
        <v>0</v>
      </c>
      <c r="E4715">
        <f ca="1">IF(A4715="","",COUNTIF(D$6:D4715,"True"))</f>
        <v>47</v>
      </c>
      <c r="F4715" t="str">
        <f t="shared" si="73"/>
        <v>688138.SH</v>
      </c>
    </row>
    <row r="4716" spans="1:6" x14ac:dyDescent="0.15">
      <c r="A4716" s="2">
        <v>46089</v>
      </c>
      <c r="B4716" s="1" t="s">
        <v>8885</v>
      </c>
      <c r="C4716" s="1" t="s">
        <v>8886</v>
      </c>
      <c r="D4716" t="b">
        <f ca="1">IF(A4716="","",[1]!s_techanal_rcnthigh(B4716,$B$2,1,3))</f>
        <v>0</v>
      </c>
      <c r="E4716">
        <f ca="1">IF(A4716="","",COUNTIF(D$6:D4716,"True"))</f>
        <v>47</v>
      </c>
      <c r="F4716" t="str">
        <f t="shared" si="73"/>
        <v>688139.SH</v>
      </c>
    </row>
    <row r="4717" spans="1:6" x14ac:dyDescent="0.15">
      <c r="A4717" s="2">
        <v>46089</v>
      </c>
      <c r="B4717" s="1" t="s">
        <v>8887</v>
      </c>
      <c r="C4717" s="1" t="s">
        <v>8888</v>
      </c>
      <c r="D4717" t="b">
        <f ca="1">IF(A4717="","",[1]!s_techanal_rcnthigh(B4717,$B$2,1,3))</f>
        <v>0</v>
      </c>
      <c r="E4717">
        <f ca="1">IF(A4717="","",COUNTIF(D$6:D4717,"True"))</f>
        <v>47</v>
      </c>
      <c r="F4717" t="str">
        <f t="shared" si="73"/>
        <v>688141.SH</v>
      </c>
    </row>
    <row r="4718" spans="1:6" x14ac:dyDescent="0.15">
      <c r="A4718" s="2">
        <v>46089</v>
      </c>
      <c r="B4718" s="1" t="s">
        <v>8889</v>
      </c>
      <c r="C4718" s="1" t="s">
        <v>8890</v>
      </c>
      <c r="D4718" t="b">
        <f ca="1">IF(A4718="","",[1]!s_techanal_rcnthigh(B4718,$B$2,1,3))</f>
        <v>0</v>
      </c>
      <c r="E4718">
        <f ca="1">IF(A4718="","",COUNTIF(D$6:D4718,"True"))</f>
        <v>47</v>
      </c>
      <c r="F4718" t="str">
        <f t="shared" si="73"/>
        <v>688143.SH</v>
      </c>
    </row>
    <row r="4719" spans="1:6" x14ac:dyDescent="0.15">
      <c r="A4719" s="2">
        <v>46089</v>
      </c>
      <c r="B4719" s="1" t="s">
        <v>8891</v>
      </c>
      <c r="C4719" s="1" t="s">
        <v>8892</v>
      </c>
      <c r="D4719" t="b">
        <f ca="1">IF(A4719="","",[1]!s_techanal_rcnthigh(B4719,$B$2,1,3))</f>
        <v>0</v>
      </c>
      <c r="E4719">
        <f ca="1">IF(A4719="","",COUNTIF(D$6:D4719,"True"))</f>
        <v>47</v>
      </c>
      <c r="F4719" t="str">
        <f t="shared" si="73"/>
        <v>688146.SH</v>
      </c>
    </row>
    <row r="4720" spans="1:6" x14ac:dyDescent="0.15">
      <c r="A4720" s="2">
        <v>46089</v>
      </c>
      <c r="B4720" s="1" t="s">
        <v>8893</v>
      </c>
      <c r="C4720" s="1" t="s">
        <v>8894</v>
      </c>
      <c r="D4720" t="b">
        <f ca="1">IF(A4720="","",[1]!s_techanal_rcnthigh(B4720,$B$2,1,3))</f>
        <v>0</v>
      </c>
      <c r="E4720">
        <f ca="1">IF(A4720="","",COUNTIF(D$6:D4720,"True"))</f>
        <v>47</v>
      </c>
      <c r="F4720" t="str">
        <f t="shared" si="73"/>
        <v>688147.SH</v>
      </c>
    </row>
    <row r="4721" spans="1:6" x14ac:dyDescent="0.15">
      <c r="A4721" s="2">
        <v>46089</v>
      </c>
      <c r="B4721" s="1" t="s">
        <v>8895</v>
      </c>
      <c r="C4721" s="1" t="s">
        <v>8896</v>
      </c>
      <c r="D4721" t="b">
        <f ca="1">IF(A4721="","",[1]!s_techanal_rcnthigh(B4721,$B$2,1,3))</f>
        <v>0</v>
      </c>
      <c r="E4721">
        <f ca="1">IF(A4721="","",COUNTIF(D$6:D4721,"True"))</f>
        <v>47</v>
      </c>
      <c r="F4721" t="str">
        <f t="shared" si="73"/>
        <v>688148.SH</v>
      </c>
    </row>
    <row r="4722" spans="1:6" x14ac:dyDescent="0.15">
      <c r="A4722" s="2">
        <v>46089</v>
      </c>
      <c r="B4722" s="1" t="s">
        <v>8897</v>
      </c>
      <c r="C4722" s="1" t="s">
        <v>8898</v>
      </c>
      <c r="D4722" t="b">
        <f ca="1">IF(A4722="","",[1]!s_techanal_rcnthigh(B4722,$B$2,1,3))</f>
        <v>0</v>
      </c>
      <c r="E4722">
        <f ca="1">IF(A4722="","",COUNTIF(D$6:D4722,"True"))</f>
        <v>47</v>
      </c>
      <c r="F4722" t="str">
        <f t="shared" si="73"/>
        <v>688150.SH</v>
      </c>
    </row>
    <row r="4723" spans="1:6" x14ac:dyDescent="0.15">
      <c r="A4723" s="2">
        <v>46089</v>
      </c>
      <c r="B4723" s="1" t="s">
        <v>8899</v>
      </c>
      <c r="C4723" s="1" t="s">
        <v>8900</v>
      </c>
      <c r="D4723" t="b">
        <f ca="1">IF(A4723="","",[1]!s_techanal_rcnthigh(B4723,$B$2,1,3))</f>
        <v>0</v>
      </c>
      <c r="E4723">
        <f ca="1">IF(A4723="","",COUNTIF(D$6:D4723,"True"))</f>
        <v>47</v>
      </c>
      <c r="F4723" t="str">
        <f t="shared" si="73"/>
        <v>688151.SH</v>
      </c>
    </row>
    <row r="4724" spans="1:6" x14ac:dyDescent="0.15">
      <c r="A4724" s="2">
        <v>46089</v>
      </c>
      <c r="B4724" s="1" t="s">
        <v>8901</v>
      </c>
      <c r="C4724" s="1" t="s">
        <v>8902</v>
      </c>
      <c r="D4724" t="b">
        <f ca="1">IF(A4724="","",[1]!s_techanal_rcnthigh(B4724,$B$2,1,3))</f>
        <v>0</v>
      </c>
      <c r="E4724">
        <f ca="1">IF(A4724="","",COUNTIF(D$6:D4724,"True"))</f>
        <v>47</v>
      </c>
      <c r="F4724" t="str">
        <f t="shared" si="73"/>
        <v>688152.SH</v>
      </c>
    </row>
    <row r="4725" spans="1:6" x14ac:dyDescent="0.15">
      <c r="A4725" s="2">
        <v>46089</v>
      </c>
      <c r="B4725" s="1" t="s">
        <v>8903</v>
      </c>
      <c r="C4725" s="1" t="s">
        <v>8904</v>
      </c>
      <c r="D4725" t="b">
        <f ca="1">IF(A4725="","",[1]!s_techanal_rcnthigh(B4725,$B$2,1,3))</f>
        <v>0</v>
      </c>
      <c r="E4725">
        <f ca="1">IF(A4725="","",COUNTIF(D$6:D4725,"True"))</f>
        <v>47</v>
      </c>
      <c r="F4725" t="str">
        <f t="shared" si="73"/>
        <v>688153.SH</v>
      </c>
    </row>
    <row r="4726" spans="1:6" x14ac:dyDescent="0.15">
      <c r="A4726" s="2">
        <v>46089</v>
      </c>
      <c r="B4726" s="1" t="s">
        <v>8905</v>
      </c>
      <c r="C4726" s="1" t="s">
        <v>8906</v>
      </c>
      <c r="D4726" t="b">
        <f ca="1">IF(A4726="","",[1]!s_techanal_rcnthigh(B4726,$B$2,1,3))</f>
        <v>0</v>
      </c>
      <c r="E4726">
        <f ca="1">IF(A4726="","",COUNTIF(D$6:D4726,"True"))</f>
        <v>47</v>
      </c>
      <c r="F4726" t="str">
        <f t="shared" si="73"/>
        <v>688155.SH</v>
      </c>
    </row>
    <row r="4727" spans="1:6" x14ac:dyDescent="0.15">
      <c r="A4727" s="2">
        <v>46089</v>
      </c>
      <c r="B4727" s="1" t="s">
        <v>8907</v>
      </c>
      <c r="C4727" s="1" t="s">
        <v>10572</v>
      </c>
      <c r="D4727" t="b">
        <f ca="1">IF(A4727="","",[1]!s_techanal_rcnthigh(B4727,$B$2,1,3))</f>
        <v>0</v>
      </c>
      <c r="E4727">
        <f ca="1">IF(A4727="","",COUNTIF(D$6:D4727,"True"))</f>
        <v>47</v>
      </c>
      <c r="F4727" t="str">
        <f t="shared" si="73"/>
        <v>688156.SH</v>
      </c>
    </row>
    <row r="4728" spans="1:6" x14ac:dyDescent="0.15">
      <c r="A4728" s="2">
        <v>46089</v>
      </c>
      <c r="B4728" s="1" t="s">
        <v>8908</v>
      </c>
      <c r="C4728" s="1" t="s">
        <v>8909</v>
      </c>
      <c r="D4728" t="b">
        <f ca="1">IF(A4728="","",[1]!s_techanal_rcnthigh(B4728,$B$2,1,3))</f>
        <v>0</v>
      </c>
      <c r="E4728">
        <f ca="1">IF(A4728="","",COUNTIF(D$6:D4728,"True"))</f>
        <v>47</v>
      </c>
      <c r="F4728" t="str">
        <f t="shared" si="73"/>
        <v>688157.SH</v>
      </c>
    </row>
    <row r="4729" spans="1:6" x14ac:dyDescent="0.15">
      <c r="A4729" s="2">
        <v>46089</v>
      </c>
      <c r="B4729" s="1" t="s">
        <v>8910</v>
      </c>
      <c r="C4729" s="1" t="s">
        <v>8911</v>
      </c>
      <c r="D4729" t="b">
        <f ca="1">IF(A4729="","",[1]!s_techanal_rcnthigh(B4729,$B$2,1,3))</f>
        <v>0</v>
      </c>
      <c r="E4729">
        <f ca="1">IF(A4729="","",COUNTIF(D$6:D4729,"True"))</f>
        <v>47</v>
      </c>
      <c r="F4729" t="str">
        <f t="shared" si="73"/>
        <v>688158.SH</v>
      </c>
    </row>
    <row r="4730" spans="1:6" x14ac:dyDescent="0.15">
      <c r="A4730" s="2">
        <v>46089</v>
      </c>
      <c r="B4730" s="1" t="s">
        <v>8912</v>
      </c>
      <c r="C4730" s="1" t="s">
        <v>8913</v>
      </c>
      <c r="D4730" t="b">
        <f ca="1">IF(A4730="","",[1]!s_techanal_rcnthigh(B4730,$B$2,1,3))</f>
        <v>0</v>
      </c>
      <c r="E4730">
        <f ca="1">IF(A4730="","",COUNTIF(D$6:D4730,"True"))</f>
        <v>47</v>
      </c>
      <c r="F4730" t="str">
        <f t="shared" si="73"/>
        <v>688159.SH</v>
      </c>
    </row>
    <row r="4731" spans="1:6" x14ac:dyDescent="0.15">
      <c r="A4731" s="2">
        <v>46089</v>
      </c>
      <c r="B4731" s="1" t="s">
        <v>8914</v>
      </c>
      <c r="C4731" s="1" t="s">
        <v>8915</v>
      </c>
      <c r="D4731" t="b">
        <f ca="1">IF(A4731="","",[1]!s_techanal_rcnthigh(B4731,$B$2,1,3))</f>
        <v>0</v>
      </c>
      <c r="E4731">
        <f ca="1">IF(A4731="","",COUNTIF(D$6:D4731,"True"))</f>
        <v>47</v>
      </c>
      <c r="F4731" t="str">
        <f t="shared" si="73"/>
        <v>688160.SH</v>
      </c>
    </row>
    <row r="4732" spans="1:6" x14ac:dyDescent="0.15">
      <c r="A4732" s="2">
        <v>46089</v>
      </c>
      <c r="B4732" s="1" t="s">
        <v>8916</v>
      </c>
      <c r="C4732" s="1" t="s">
        <v>8917</v>
      </c>
      <c r="D4732" t="b">
        <f ca="1">IF(A4732="","",[1]!s_techanal_rcnthigh(B4732,$B$2,1,3))</f>
        <v>0</v>
      </c>
      <c r="E4732">
        <f ca="1">IF(A4732="","",COUNTIF(D$6:D4732,"True"))</f>
        <v>47</v>
      </c>
      <c r="F4732" t="str">
        <f t="shared" si="73"/>
        <v>688161.SH</v>
      </c>
    </row>
    <row r="4733" spans="1:6" x14ac:dyDescent="0.15">
      <c r="A4733" s="2">
        <v>46089</v>
      </c>
      <c r="B4733" s="1" t="s">
        <v>8918</v>
      </c>
      <c r="C4733" s="1" t="s">
        <v>8919</v>
      </c>
      <c r="D4733" t="b">
        <f ca="1">IF(A4733="","",[1]!s_techanal_rcnthigh(B4733,$B$2,1,3))</f>
        <v>0</v>
      </c>
      <c r="E4733">
        <f ca="1">IF(A4733="","",COUNTIF(D$6:D4733,"True"))</f>
        <v>47</v>
      </c>
      <c r="F4733" t="str">
        <f t="shared" si="73"/>
        <v>688162.SH</v>
      </c>
    </row>
    <row r="4734" spans="1:6" x14ac:dyDescent="0.15">
      <c r="A4734" s="2">
        <v>46089</v>
      </c>
      <c r="B4734" s="1" t="s">
        <v>8920</v>
      </c>
      <c r="C4734" s="1" t="s">
        <v>8921</v>
      </c>
      <c r="D4734" t="b">
        <f ca="1">IF(A4734="","",[1]!s_techanal_rcnthigh(B4734,$B$2,1,3))</f>
        <v>0</v>
      </c>
      <c r="E4734">
        <f ca="1">IF(A4734="","",COUNTIF(D$6:D4734,"True"))</f>
        <v>47</v>
      </c>
      <c r="F4734" t="str">
        <f t="shared" si="73"/>
        <v>688163.SH</v>
      </c>
    </row>
    <row r="4735" spans="1:6" x14ac:dyDescent="0.15">
      <c r="A4735" s="2">
        <v>46089</v>
      </c>
      <c r="B4735" s="1" t="s">
        <v>8922</v>
      </c>
      <c r="C4735" s="1" t="s">
        <v>8923</v>
      </c>
      <c r="D4735" t="b">
        <f ca="1">IF(A4735="","",[1]!s_techanal_rcnthigh(B4735,$B$2,1,3))</f>
        <v>0</v>
      </c>
      <c r="E4735">
        <f ca="1">IF(A4735="","",COUNTIF(D$6:D4735,"True"))</f>
        <v>47</v>
      </c>
      <c r="F4735" t="str">
        <f t="shared" si="73"/>
        <v>688165.SH</v>
      </c>
    </row>
    <row r="4736" spans="1:6" x14ac:dyDescent="0.15">
      <c r="A4736" s="2">
        <v>46089</v>
      </c>
      <c r="B4736" s="1" t="s">
        <v>8924</v>
      </c>
      <c r="C4736" s="1" t="s">
        <v>8925</v>
      </c>
      <c r="D4736" t="b">
        <f ca="1">IF(A4736="","",[1]!s_techanal_rcnthigh(B4736,$B$2,1,3))</f>
        <v>0</v>
      </c>
      <c r="E4736">
        <f ca="1">IF(A4736="","",COUNTIF(D$6:D4736,"True"))</f>
        <v>47</v>
      </c>
      <c r="F4736" t="str">
        <f t="shared" si="73"/>
        <v>688166.SH</v>
      </c>
    </row>
    <row r="4737" spans="1:6" x14ac:dyDescent="0.15">
      <c r="A4737" s="2">
        <v>46089</v>
      </c>
      <c r="B4737" s="1" t="s">
        <v>8926</v>
      </c>
      <c r="C4737" s="1" t="s">
        <v>8927</v>
      </c>
      <c r="D4737" t="b">
        <f ca="1">IF(A4737="","",[1]!s_techanal_rcnthigh(B4737,$B$2,1,3))</f>
        <v>0</v>
      </c>
      <c r="E4737">
        <f ca="1">IF(A4737="","",COUNTIF(D$6:D4737,"True"))</f>
        <v>47</v>
      </c>
      <c r="F4737" t="str">
        <f t="shared" si="73"/>
        <v>688167.SH</v>
      </c>
    </row>
    <row r="4738" spans="1:6" x14ac:dyDescent="0.15">
      <c r="A4738" s="2">
        <v>46089</v>
      </c>
      <c r="B4738" s="1" t="s">
        <v>8928</v>
      </c>
      <c r="C4738" s="1" t="s">
        <v>8929</v>
      </c>
      <c r="D4738" t="b">
        <f ca="1">IF(A4738="","",[1]!s_techanal_rcnthigh(B4738,$B$2,1,3))</f>
        <v>0</v>
      </c>
      <c r="E4738">
        <f ca="1">IF(A4738="","",COUNTIF(D$6:D4738,"True"))</f>
        <v>47</v>
      </c>
      <c r="F4738" t="str">
        <f t="shared" si="73"/>
        <v>688168.SH</v>
      </c>
    </row>
    <row r="4739" spans="1:6" x14ac:dyDescent="0.15">
      <c r="A4739" s="2">
        <v>46089</v>
      </c>
      <c r="B4739" s="1" t="s">
        <v>8930</v>
      </c>
      <c r="C4739" s="1" t="s">
        <v>8931</v>
      </c>
      <c r="D4739" t="b">
        <f ca="1">IF(A4739="","",[1]!s_techanal_rcnthigh(B4739,$B$2,1,3))</f>
        <v>0</v>
      </c>
      <c r="E4739">
        <f ca="1">IF(A4739="","",COUNTIF(D$6:D4739,"True"))</f>
        <v>47</v>
      </c>
      <c r="F4739" t="str">
        <f t="shared" si="73"/>
        <v>688169.SH</v>
      </c>
    </row>
    <row r="4740" spans="1:6" x14ac:dyDescent="0.15">
      <c r="A4740" s="2">
        <v>46089</v>
      </c>
      <c r="B4740" s="1" t="s">
        <v>8932</v>
      </c>
      <c r="C4740" s="1" t="s">
        <v>8933</v>
      </c>
      <c r="D4740" t="b">
        <f ca="1">IF(A4740="","",[1]!s_techanal_rcnthigh(B4740,$B$2,1,3))</f>
        <v>0</v>
      </c>
      <c r="E4740">
        <f ca="1">IF(A4740="","",COUNTIF(D$6:D4740,"True"))</f>
        <v>47</v>
      </c>
      <c r="F4740" t="str">
        <f t="shared" si="73"/>
        <v>688170.SH</v>
      </c>
    </row>
    <row r="4741" spans="1:6" x14ac:dyDescent="0.15">
      <c r="A4741" s="2">
        <v>46089</v>
      </c>
      <c r="B4741" s="1" t="s">
        <v>8934</v>
      </c>
      <c r="C4741" s="1" t="s">
        <v>8935</v>
      </c>
      <c r="D4741" t="b">
        <f ca="1">IF(A4741="","",[1]!s_techanal_rcnthigh(B4741,$B$2,1,3))</f>
        <v>0</v>
      </c>
      <c r="E4741">
        <f ca="1">IF(A4741="","",COUNTIF(D$6:D4741,"True"))</f>
        <v>47</v>
      </c>
      <c r="F4741" t="str">
        <f t="shared" si="73"/>
        <v>688171.SH</v>
      </c>
    </row>
    <row r="4742" spans="1:6" x14ac:dyDescent="0.15">
      <c r="A4742" s="2">
        <v>46089</v>
      </c>
      <c r="B4742" s="1" t="s">
        <v>8936</v>
      </c>
      <c r="C4742" s="1" t="s">
        <v>8937</v>
      </c>
      <c r="D4742" t="b">
        <f ca="1">IF(A4742="","",[1]!s_techanal_rcnthigh(B4742,$B$2,1,3))</f>
        <v>0</v>
      </c>
      <c r="E4742">
        <f ca="1">IF(A4742="","",COUNTIF(D$6:D4742,"True"))</f>
        <v>47</v>
      </c>
      <c r="F4742" t="str">
        <f t="shared" ref="F4742:F4805" si="74">IF(B4742="","",B4742)</f>
        <v>688172.SH</v>
      </c>
    </row>
    <row r="4743" spans="1:6" x14ac:dyDescent="0.15">
      <c r="A4743" s="2">
        <v>46089</v>
      </c>
      <c r="B4743" s="1" t="s">
        <v>8938</v>
      </c>
      <c r="C4743" s="1" t="s">
        <v>8939</v>
      </c>
      <c r="D4743" t="b">
        <f ca="1">IF(A4743="","",[1]!s_techanal_rcnthigh(B4743,$B$2,1,3))</f>
        <v>0</v>
      </c>
      <c r="E4743">
        <f ca="1">IF(A4743="","",COUNTIF(D$6:D4743,"True"))</f>
        <v>47</v>
      </c>
      <c r="F4743" t="str">
        <f t="shared" si="74"/>
        <v>688173.SH</v>
      </c>
    </row>
    <row r="4744" spans="1:6" x14ac:dyDescent="0.15">
      <c r="A4744" s="2">
        <v>46089</v>
      </c>
      <c r="B4744" s="1" t="s">
        <v>8940</v>
      </c>
      <c r="C4744" s="1" t="s">
        <v>8941</v>
      </c>
      <c r="D4744" t="b">
        <f ca="1">IF(A4744="","",[1]!s_techanal_rcnthigh(B4744,$B$2,1,3))</f>
        <v>0</v>
      </c>
      <c r="E4744">
        <f ca="1">IF(A4744="","",COUNTIF(D$6:D4744,"True"))</f>
        <v>47</v>
      </c>
      <c r="F4744" t="str">
        <f t="shared" si="74"/>
        <v>688175.SH</v>
      </c>
    </row>
    <row r="4745" spans="1:6" x14ac:dyDescent="0.15">
      <c r="A4745" s="2">
        <v>46089</v>
      </c>
      <c r="B4745" s="1" t="s">
        <v>8942</v>
      </c>
      <c r="C4745" s="1" t="s">
        <v>8943</v>
      </c>
      <c r="D4745" t="b">
        <f ca="1">IF(A4745="","",[1]!s_techanal_rcnthigh(B4745,$B$2,1,3))</f>
        <v>0</v>
      </c>
      <c r="E4745">
        <f ca="1">IF(A4745="","",COUNTIF(D$6:D4745,"True"))</f>
        <v>47</v>
      </c>
      <c r="F4745" t="str">
        <f t="shared" si="74"/>
        <v>688176.SH</v>
      </c>
    </row>
    <row r="4746" spans="1:6" x14ac:dyDescent="0.15">
      <c r="A4746" s="2">
        <v>46089</v>
      </c>
      <c r="B4746" s="1" t="s">
        <v>8944</v>
      </c>
      <c r="C4746" s="1" t="s">
        <v>8945</v>
      </c>
      <c r="D4746" t="b">
        <f ca="1">IF(A4746="","",[1]!s_techanal_rcnthigh(B4746,$B$2,1,3))</f>
        <v>0</v>
      </c>
      <c r="E4746">
        <f ca="1">IF(A4746="","",COUNTIF(D$6:D4746,"True"))</f>
        <v>47</v>
      </c>
      <c r="F4746" t="str">
        <f t="shared" si="74"/>
        <v>688177.SH</v>
      </c>
    </row>
    <row r="4747" spans="1:6" x14ac:dyDescent="0.15">
      <c r="A4747" s="2">
        <v>46089</v>
      </c>
      <c r="B4747" s="1" t="s">
        <v>8946</v>
      </c>
      <c r="C4747" s="1" t="s">
        <v>8947</v>
      </c>
      <c r="D4747" t="b">
        <f ca="1">IF(A4747="","",[1]!s_techanal_rcnthigh(B4747,$B$2,1,3))</f>
        <v>0</v>
      </c>
      <c r="E4747">
        <f ca="1">IF(A4747="","",COUNTIF(D$6:D4747,"True"))</f>
        <v>47</v>
      </c>
      <c r="F4747" t="str">
        <f t="shared" si="74"/>
        <v>688178.SH</v>
      </c>
    </row>
    <row r="4748" spans="1:6" x14ac:dyDescent="0.15">
      <c r="A4748" s="2">
        <v>46089</v>
      </c>
      <c r="B4748" s="1" t="s">
        <v>8948</v>
      </c>
      <c r="C4748" s="1" t="s">
        <v>8949</v>
      </c>
      <c r="D4748" t="b">
        <f ca="1">IF(A4748="","",[1]!s_techanal_rcnthigh(B4748,$B$2,1,3))</f>
        <v>0</v>
      </c>
      <c r="E4748">
        <f ca="1">IF(A4748="","",COUNTIF(D$6:D4748,"True"))</f>
        <v>47</v>
      </c>
      <c r="F4748" t="str">
        <f t="shared" si="74"/>
        <v>688179.SH</v>
      </c>
    </row>
    <row r="4749" spans="1:6" x14ac:dyDescent="0.15">
      <c r="A4749" s="2">
        <v>46089</v>
      </c>
      <c r="B4749" s="1" t="s">
        <v>8950</v>
      </c>
      <c r="C4749" s="1" t="s">
        <v>8951</v>
      </c>
      <c r="D4749" t="b">
        <f ca="1">IF(A4749="","",[1]!s_techanal_rcnthigh(B4749,$B$2,1,3))</f>
        <v>0</v>
      </c>
      <c r="E4749">
        <f ca="1">IF(A4749="","",COUNTIF(D$6:D4749,"True"))</f>
        <v>47</v>
      </c>
      <c r="F4749" t="str">
        <f t="shared" si="74"/>
        <v>688180.SH</v>
      </c>
    </row>
    <row r="4750" spans="1:6" x14ac:dyDescent="0.15">
      <c r="A4750" s="2">
        <v>46089</v>
      </c>
      <c r="B4750" s="1" t="s">
        <v>8952</v>
      </c>
      <c r="C4750" s="1" t="s">
        <v>8953</v>
      </c>
      <c r="D4750" t="b">
        <f ca="1">IF(A4750="","",[1]!s_techanal_rcnthigh(B4750,$B$2,1,3))</f>
        <v>0</v>
      </c>
      <c r="E4750">
        <f ca="1">IF(A4750="","",COUNTIF(D$6:D4750,"True"))</f>
        <v>47</v>
      </c>
      <c r="F4750" t="str">
        <f t="shared" si="74"/>
        <v>688181.SH</v>
      </c>
    </row>
    <row r="4751" spans="1:6" x14ac:dyDescent="0.15">
      <c r="A4751" s="2">
        <v>46089</v>
      </c>
      <c r="B4751" s="1" t="s">
        <v>8954</v>
      </c>
      <c r="C4751" s="1" t="s">
        <v>8955</v>
      </c>
      <c r="D4751" t="b">
        <f ca="1">IF(A4751="","",[1]!s_techanal_rcnthigh(B4751,$B$2,1,3))</f>
        <v>0</v>
      </c>
      <c r="E4751">
        <f ca="1">IF(A4751="","",COUNTIF(D$6:D4751,"True"))</f>
        <v>47</v>
      </c>
      <c r="F4751" t="str">
        <f t="shared" si="74"/>
        <v>688182.SH</v>
      </c>
    </row>
    <row r="4752" spans="1:6" x14ac:dyDescent="0.15">
      <c r="A4752" s="2">
        <v>46089</v>
      </c>
      <c r="B4752" s="1" t="s">
        <v>8956</v>
      </c>
      <c r="C4752" s="1" t="s">
        <v>8957</v>
      </c>
      <c r="D4752" t="b">
        <f ca="1">IF(A4752="","",[1]!s_techanal_rcnthigh(B4752,$B$2,1,3))</f>
        <v>0</v>
      </c>
      <c r="E4752">
        <f ca="1">IF(A4752="","",COUNTIF(D$6:D4752,"True"))</f>
        <v>47</v>
      </c>
      <c r="F4752" t="str">
        <f t="shared" si="74"/>
        <v>688183.SH</v>
      </c>
    </row>
    <row r="4753" spans="1:6" x14ac:dyDescent="0.15">
      <c r="A4753" s="2">
        <v>46089</v>
      </c>
      <c r="B4753" s="1" t="s">
        <v>8958</v>
      </c>
      <c r="C4753" s="1" t="s">
        <v>10573</v>
      </c>
      <c r="D4753" t="b">
        <f ca="1">IF(A4753="","",[1]!s_techanal_rcnthigh(B4753,$B$2,1,3))</f>
        <v>0</v>
      </c>
      <c r="E4753">
        <f ca="1">IF(A4753="","",COUNTIF(D$6:D4753,"True"))</f>
        <v>47</v>
      </c>
      <c r="F4753" t="str">
        <f t="shared" si="74"/>
        <v>688184.SH</v>
      </c>
    </row>
    <row r="4754" spans="1:6" x14ac:dyDescent="0.15">
      <c r="A4754" s="2">
        <v>46089</v>
      </c>
      <c r="B4754" s="1" t="s">
        <v>8959</v>
      </c>
      <c r="C4754" s="1" t="s">
        <v>8960</v>
      </c>
      <c r="D4754" t="b">
        <f ca="1">IF(A4754="","",[1]!s_techanal_rcnthigh(B4754,$B$2,1,3))</f>
        <v>0</v>
      </c>
      <c r="E4754">
        <f ca="1">IF(A4754="","",COUNTIF(D$6:D4754,"True"))</f>
        <v>47</v>
      </c>
      <c r="F4754" t="str">
        <f t="shared" si="74"/>
        <v>688185.SH</v>
      </c>
    </row>
    <row r="4755" spans="1:6" x14ac:dyDescent="0.15">
      <c r="A4755" s="2">
        <v>46089</v>
      </c>
      <c r="B4755" s="1" t="s">
        <v>8961</v>
      </c>
      <c r="C4755" s="1" t="s">
        <v>8962</v>
      </c>
      <c r="D4755" t="b">
        <f ca="1">IF(A4755="","",[1]!s_techanal_rcnthigh(B4755,$B$2,1,3))</f>
        <v>0</v>
      </c>
      <c r="E4755">
        <f ca="1">IF(A4755="","",COUNTIF(D$6:D4755,"True"))</f>
        <v>47</v>
      </c>
      <c r="F4755" t="str">
        <f t="shared" si="74"/>
        <v>688186.SH</v>
      </c>
    </row>
    <row r="4756" spans="1:6" x14ac:dyDescent="0.15">
      <c r="A4756" s="2">
        <v>46089</v>
      </c>
      <c r="B4756" s="1" t="s">
        <v>8963</v>
      </c>
      <c r="C4756" s="1" t="s">
        <v>8964</v>
      </c>
      <c r="D4756" t="b">
        <f ca="1">IF(A4756="","",[1]!s_techanal_rcnthigh(B4756,$B$2,1,3))</f>
        <v>0</v>
      </c>
      <c r="E4756">
        <f ca="1">IF(A4756="","",COUNTIF(D$6:D4756,"True"))</f>
        <v>47</v>
      </c>
      <c r="F4756" t="str">
        <f t="shared" si="74"/>
        <v>688187.SH</v>
      </c>
    </row>
    <row r="4757" spans="1:6" x14ac:dyDescent="0.15">
      <c r="A4757" s="2">
        <v>46089</v>
      </c>
      <c r="B4757" s="1" t="s">
        <v>8965</v>
      </c>
      <c r="C4757" s="1" t="s">
        <v>8966</v>
      </c>
      <c r="D4757" t="b">
        <f ca="1">IF(A4757="","",[1]!s_techanal_rcnthigh(B4757,$B$2,1,3))</f>
        <v>0</v>
      </c>
      <c r="E4757">
        <f ca="1">IF(A4757="","",COUNTIF(D$6:D4757,"True"))</f>
        <v>47</v>
      </c>
      <c r="F4757" t="str">
        <f t="shared" si="74"/>
        <v>688188.SH</v>
      </c>
    </row>
    <row r="4758" spans="1:6" x14ac:dyDescent="0.15">
      <c r="A4758" s="2">
        <v>46089</v>
      </c>
      <c r="B4758" s="1" t="s">
        <v>8967</v>
      </c>
      <c r="C4758" s="1" t="s">
        <v>8968</v>
      </c>
      <c r="D4758" t="b">
        <f ca="1">IF(A4758="","",[1]!s_techanal_rcnthigh(B4758,$B$2,1,3))</f>
        <v>0</v>
      </c>
      <c r="E4758">
        <f ca="1">IF(A4758="","",COUNTIF(D$6:D4758,"True"))</f>
        <v>47</v>
      </c>
      <c r="F4758" t="str">
        <f t="shared" si="74"/>
        <v>688189.SH</v>
      </c>
    </row>
    <row r="4759" spans="1:6" x14ac:dyDescent="0.15">
      <c r="A4759" s="2">
        <v>46089</v>
      </c>
      <c r="B4759" s="1" t="s">
        <v>8969</v>
      </c>
      <c r="C4759" s="1" t="s">
        <v>8970</v>
      </c>
      <c r="D4759" t="b">
        <f ca="1">IF(A4759="","",[1]!s_techanal_rcnthigh(B4759,$B$2,1,3))</f>
        <v>0</v>
      </c>
      <c r="E4759">
        <f ca="1">IF(A4759="","",COUNTIF(D$6:D4759,"True"))</f>
        <v>47</v>
      </c>
      <c r="F4759" t="str">
        <f t="shared" si="74"/>
        <v>688190.SH</v>
      </c>
    </row>
    <row r="4760" spans="1:6" x14ac:dyDescent="0.15">
      <c r="A4760" s="2">
        <v>46089</v>
      </c>
      <c r="B4760" s="1" t="s">
        <v>8971</v>
      </c>
      <c r="C4760" s="1" t="s">
        <v>8972</v>
      </c>
      <c r="D4760" t="b">
        <f ca="1">IF(A4760="","",[1]!s_techanal_rcnthigh(B4760,$B$2,1,3))</f>
        <v>1</v>
      </c>
      <c r="E4760">
        <f ca="1">IF(A4760="","",COUNTIF(D$6:D4760,"True"))</f>
        <v>48</v>
      </c>
      <c r="F4760" t="str">
        <f t="shared" si="74"/>
        <v>688191.SH</v>
      </c>
    </row>
    <row r="4761" spans="1:6" x14ac:dyDescent="0.15">
      <c r="A4761" s="2">
        <v>46089</v>
      </c>
      <c r="B4761" s="1" t="s">
        <v>8973</v>
      </c>
      <c r="C4761" s="1" t="s">
        <v>8974</v>
      </c>
      <c r="D4761" t="b">
        <f ca="1">IF(A4761="","",[1]!s_techanal_rcnthigh(B4761,$B$2,1,3))</f>
        <v>0</v>
      </c>
      <c r="E4761">
        <f ca="1">IF(A4761="","",COUNTIF(D$6:D4761,"True"))</f>
        <v>48</v>
      </c>
      <c r="F4761" t="str">
        <f t="shared" si="74"/>
        <v>688192.SH</v>
      </c>
    </row>
    <row r="4762" spans="1:6" x14ac:dyDescent="0.15">
      <c r="A4762" s="2">
        <v>46089</v>
      </c>
      <c r="B4762" s="1" t="s">
        <v>8975</v>
      </c>
      <c r="C4762" s="1" t="s">
        <v>8976</v>
      </c>
      <c r="D4762" t="b">
        <f ca="1">IF(A4762="","",[1]!s_techanal_rcnthigh(B4762,$B$2,1,3))</f>
        <v>0</v>
      </c>
      <c r="E4762">
        <f ca="1">IF(A4762="","",COUNTIF(D$6:D4762,"True"))</f>
        <v>48</v>
      </c>
      <c r="F4762" t="str">
        <f t="shared" si="74"/>
        <v>688193.SH</v>
      </c>
    </row>
    <row r="4763" spans="1:6" x14ac:dyDescent="0.15">
      <c r="A4763" s="2">
        <v>46089</v>
      </c>
      <c r="B4763" s="1" t="s">
        <v>8977</v>
      </c>
      <c r="C4763" s="1" t="s">
        <v>8978</v>
      </c>
      <c r="D4763" t="b">
        <f ca="1">IF(A4763="","",[1]!s_techanal_rcnthigh(B4763,$B$2,1,3))</f>
        <v>0</v>
      </c>
      <c r="E4763">
        <f ca="1">IF(A4763="","",COUNTIF(D$6:D4763,"True"))</f>
        <v>48</v>
      </c>
      <c r="F4763" t="str">
        <f t="shared" si="74"/>
        <v>688195.SH</v>
      </c>
    </row>
    <row r="4764" spans="1:6" x14ac:dyDescent="0.15">
      <c r="A4764" s="2">
        <v>46089</v>
      </c>
      <c r="B4764" s="1" t="s">
        <v>8979</v>
      </c>
      <c r="C4764" s="1" t="s">
        <v>8980</v>
      </c>
      <c r="D4764" t="b">
        <f ca="1">IF(A4764="","",[1]!s_techanal_rcnthigh(B4764,$B$2,1,3))</f>
        <v>1</v>
      </c>
      <c r="E4764">
        <f ca="1">IF(A4764="","",COUNTIF(D$6:D4764,"True"))</f>
        <v>49</v>
      </c>
      <c r="F4764" t="str">
        <f t="shared" si="74"/>
        <v>688196.SH</v>
      </c>
    </row>
    <row r="4765" spans="1:6" x14ac:dyDescent="0.15">
      <c r="A4765" s="2">
        <v>46089</v>
      </c>
      <c r="B4765" s="1" t="s">
        <v>8981</v>
      </c>
      <c r="C4765" s="1" t="s">
        <v>8982</v>
      </c>
      <c r="D4765" t="b">
        <f ca="1">IF(A4765="","",[1]!s_techanal_rcnthigh(B4765,$B$2,1,3))</f>
        <v>0</v>
      </c>
      <c r="E4765">
        <f ca="1">IF(A4765="","",COUNTIF(D$6:D4765,"True"))</f>
        <v>49</v>
      </c>
      <c r="F4765" t="str">
        <f t="shared" si="74"/>
        <v>688197.SH</v>
      </c>
    </row>
    <row r="4766" spans="1:6" x14ac:dyDescent="0.15">
      <c r="A4766" s="2">
        <v>46089</v>
      </c>
      <c r="B4766" s="1" t="s">
        <v>8983</v>
      </c>
      <c r="C4766" s="1" t="s">
        <v>8984</v>
      </c>
      <c r="D4766" t="b">
        <f ca="1">IF(A4766="","",[1]!s_techanal_rcnthigh(B4766,$B$2,1,3))</f>
        <v>0</v>
      </c>
      <c r="E4766">
        <f ca="1">IF(A4766="","",COUNTIF(D$6:D4766,"True"))</f>
        <v>49</v>
      </c>
      <c r="F4766" t="str">
        <f t="shared" si="74"/>
        <v>688198.SH</v>
      </c>
    </row>
    <row r="4767" spans="1:6" x14ac:dyDescent="0.15">
      <c r="A4767" s="2">
        <v>46089</v>
      </c>
      <c r="B4767" s="1" t="s">
        <v>8985</v>
      </c>
      <c r="C4767" s="1" t="s">
        <v>8986</v>
      </c>
      <c r="D4767" t="b">
        <f ca="1">IF(A4767="","",[1]!s_techanal_rcnthigh(B4767,$B$2,1,3))</f>
        <v>0</v>
      </c>
      <c r="E4767">
        <f ca="1">IF(A4767="","",COUNTIF(D$6:D4767,"True"))</f>
        <v>49</v>
      </c>
      <c r="F4767" t="str">
        <f t="shared" si="74"/>
        <v>688199.SH</v>
      </c>
    </row>
    <row r="4768" spans="1:6" x14ac:dyDescent="0.15">
      <c r="A4768" s="2">
        <v>46089</v>
      </c>
      <c r="B4768" s="1" t="s">
        <v>8987</v>
      </c>
      <c r="C4768" s="1" t="s">
        <v>8988</v>
      </c>
      <c r="D4768" t="b">
        <f ca="1">IF(A4768="","",[1]!s_techanal_rcnthigh(B4768,$B$2,1,3))</f>
        <v>0</v>
      </c>
      <c r="E4768">
        <f ca="1">IF(A4768="","",COUNTIF(D$6:D4768,"True"))</f>
        <v>49</v>
      </c>
      <c r="F4768" t="str">
        <f t="shared" si="74"/>
        <v>688200.SH</v>
      </c>
    </row>
    <row r="4769" spans="1:6" x14ac:dyDescent="0.15">
      <c r="A4769" s="2">
        <v>46089</v>
      </c>
      <c r="B4769" s="1" t="s">
        <v>8989</v>
      </c>
      <c r="C4769" s="1" t="s">
        <v>8990</v>
      </c>
      <c r="D4769" t="b">
        <f ca="1">IF(A4769="","",[1]!s_techanal_rcnthigh(B4769,$B$2,1,3))</f>
        <v>0</v>
      </c>
      <c r="E4769">
        <f ca="1">IF(A4769="","",COUNTIF(D$6:D4769,"True"))</f>
        <v>49</v>
      </c>
      <c r="F4769" t="str">
        <f t="shared" si="74"/>
        <v>688201.SH</v>
      </c>
    </row>
    <row r="4770" spans="1:6" x14ac:dyDescent="0.15">
      <c r="A4770" s="2">
        <v>46089</v>
      </c>
      <c r="B4770" s="1" t="s">
        <v>8991</v>
      </c>
      <c r="C4770" s="1" t="s">
        <v>8992</v>
      </c>
      <c r="D4770" t="b">
        <f ca="1">IF(A4770="","",[1]!s_techanal_rcnthigh(B4770,$B$2,1,3))</f>
        <v>0</v>
      </c>
      <c r="E4770">
        <f ca="1">IF(A4770="","",COUNTIF(D$6:D4770,"True"))</f>
        <v>49</v>
      </c>
      <c r="F4770" t="str">
        <f t="shared" si="74"/>
        <v>688202.SH</v>
      </c>
    </row>
    <row r="4771" spans="1:6" x14ac:dyDescent="0.15">
      <c r="A4771" s="2">
        <v>46089</v>
      </c>
      <c r="B4771" s="1" t="s">
        <v>8993</v>
      </c>
      <c r="C4771" s="1" t="s">
        <v>8994</v>
      </c>
      <c r="D4771" t="b">
        <f ca="1">IF(A4771="","",[1]!s_techanal_rcnthigh(B4771,$B$2,1,3))</f>
        <v>0</v>
      </c>
      <c r="E4771">
        <f ca="1">IF(A4771="","",COUNTIF(D$6:D4771,"True"))</f>
        <v>49</v>
      </c>
      <c r="F4771" t="str">
        <f t="shared" si="74"/>
        <v>688203.SH</v>
      </c>
    </row>
    <row r="4772" spans="1:6" x14ac:dyDescent="0.15">
      <c r="A4772" s="2">
        <v>46089</v>
      </c>
      <c r="B4772" s="1" t="s">
        <v>8995</v>
      </c>
      <c r="C4772" s="1" t="s">
        <v>8996</v>
      </c>
      <c r="D4772" t="b">
        <f ca="1">IF(A4772="","",[1]!s_techanal_rcnthigh(B4772,$B$2,1,3))</f>
        <v>0</v>
      </c>
      <c r="E4772">
        <f ca="1">IF(A4772="","",COUNTIF(D$6:D4772,"True"))</f>
        <v>49</v>
      </c>
      <c r="F4772" t="str">
        <f t="shared" si="74"/>
        <v>688205.SH</v>
      </c>
    </row>
    <row r="4773" spans="1:6" x14ac:dyDescent="0.15">
      <c r="A4773" s="2">
        <v>46089</v>
      </c>
      <c r="B4773" s="1" t="s">
        <v>8997</v>
      </c>
      <c r="C4773" s="1" t="s">
        <v>8998</v>
      </c>
      <c r="D4773" t="b">
        <f ca="1">IF(A4773="","",[1]!s_techanal_rcnthigh(B4773,$B$2,1,3))</f>
        <v>0</v>
      </c>
      <c r="E4773">
        <f ca="1">IF(A4773="","",COUNTIF(D$6:D4773,"True"))</f>
        <v>49</v>
      </c>
      <c r="F4773" t="str">
        <f t="shared" si="74"/>
        <v>688206.SH</v>
      </c>
    </row>
    <row r="4774" spans="1:6" x14ac:dyDescent="0.15">
      <c r="A4774" s="2">
        <v>46089</v>
      </c>
      <c r="B4774" s="1" t="s">
        <v>8999</v>
      </c>
      <c r="C4774" s="1" t="s">
        <v>9000</v>
      </c>
      <c r="D4774" t="b">
        <f ca="1">IF(A4774="","",[1]!s_techanal_rcnthigh(B4774,$B$2,1,3))</f>
        <v>0</v>
      </c>
      <c r="E4774">
        <f ca="1">IF(A4774="","",COUNTIF(D$6:D4774,"True"))</f>
        <v>49</v>
      </c>
      <c r="F4774" t="str">
        <f t="shared" si="74"/>
        <v>688207.SH</v>
      </c>
    </row>
    <row r="4775" spans="1:6" x14ac:dyDescent="0.15">
      <c r="A4775" s="2">
        <v>46089</v>
      </c>
      <c r="B4775" s="1" t="s">
        <v>9001</v>
      </c>
      <c r="C4775" s="1" t="s">
        <v>9002</v>
      </c>
      <c r="D4775" t="b">
        <f ca="1">IF(A4775="","",[1]!s_techanal_rcnthigh(B4775,$B$2,1,3))</f>
        <v>0</v>
      </c>
      <c r="E4775">
        <f ca="1">IF(A4775="","",COUNTIF(D$6:D4775,"True"))</f>
        <v>49</v>
      </c>
      <c r="F4775" t="str">
        <f t="shared" si="74"/>
        <v>688208.SH</v>
      </c>
    </row>
    <row r="4776" spans="1:6" x14ac:dyDescent="0.15">
      <c r="A4776" s="2">
        <v>46089</v>
      </c>
      <c r="B4776" s="1" t="s">
        <v>9003</v>
      </c>
      <c r="C4776" s="1" t="s">
        <v>9004</v>
      </c>
      <c r="D4776" t="b">
        <f ca="1">IF(A4776="","",[1]!s_techanal_rcnthigh(B4776,$B$2,1,3))</f>
        <v>0</v>
      </c>
      <c r="E4776">
        <f ca="1">IF(A4776="","",COUNTIF(D$6:D4776,"True"))</f>
        <v>49</v>
      </c>
      <c r="F4776" t="str">
        <f t="shared" si="74"/>
        <v>688209.SH</v>
      </c>
    </row>
    <row r="4777" spans="1:6" x14ac:dyDescent="0.15">
      <c r="A4777" s="2">
        <v>46089</v>
      </c>
      <c r="B4777" s="1" t="s">
        <v>9005</v>
      </c>
      <c r="C4777" s="1" t="s">
        <v>9006</v>
      </c>
      <c r="D4777" t="b">
        <f ca="1">IF(A4777="","",[1]!s_techanal_rcnthigh(B4777,$B$2,1,3))</f>
        <v>0</v>
      </c>
      <c r="E4777">
        <f ca="1">IF(A4777="","",COUNTIF(D$6:D4777,"True"))</f>
        <v>49</v>
      </c>
      <c r="F4777" t="str">
        <f t="shared" si="74"/>
        <v>688210.SH</v>
      </c>
    </row>
    <row r="4778" spans="1:6" x14ac:dyDescent="0.15">
      <c r="A4778" s="2">
        <v>46089</v>
      </c>
      <c r="B4778" s="1" t="s">
        <v>9007</v>
      </c>
      <c r="C4778" s="1" t="s">
        <v>9008</v>
      </c>
      <c r="D4778" t="b">
        <f ca="1">IF(A4778="","",[1]!s_techanal_rcnthigh(B4778,$B$2,1,3))</f>
        <v>0</v>
      </c>
      <c r="E4778">
        <f ca="1">IF(A4778="","",COUNTIF(D$6:D4778,"True"))</f>
        <v>49</v>
      </c>
      <c r="F4778" t="str">
        <f t="shared" si="74"/>
        <v>688211.SH</v>
      </c>
    </row>
    <row r="4779" spans="1:6" x14ac:dyDescent="0.15">
      <c r="A4779" s="2">
        <v>46089</v>
      </c>
      <c r="B4779" s="1" t="s">
        <v>9009</v>
      </c>
      <c r="C4779" s="1" t="s">
        <v>9010</v>
      </c>
      <c r="D4779" t="b">
        <f ca="1">IF(A4779="","",[1]!s_techanal_rcnthigh(B4779,$B$2,1,3))</f>
        <v>0</v>
      </c>
      <c r="E4779">
        <f ca="1">IF(A4779="","",COUNTIF(D$6:D4779,"True"))</f>
        <v>49</v>
      </c>
      <c r="F4779" t="str">
        <f t="shared" si="74"/>
        <v>688212.SH</v>
      </c>
    </row>
    <row r="4780" spans="1:6" x14ac:dyDescent="0.15">
      <c r="A4780" s="2">
        <v>46089</v>
      </c>
      <c r="B4780" s="1" t="s">
        <v>9011</v>
      </c>
      <c r="C4780" s="1" t="s">
        <v>9012</v>
      </c>
      <c r="D4780" t="b">
        <f ca="1">IF(A4780="","",[1]!s_techanal_rcnthigh(B4780,$B$2,1,3))</f>
        <v>0</v>
      </c>
      <c r="E4780">
        <f ca="1">IF(A4780="","",COUNTIF(D$6:D4780,"True"))</f>
        <v>49</v>
      </c>
      <c r="F4780" t="str">
        <f t="shared" si="74"/>
        <v>688213.SH</v>
      </c>
    </row>
    <row r="4781" spans="1:6" x14ac:dyDescent="0.15">
      <c r="A4781" s="2">
        <v>46089</v>
      </c>
      <c r="B4781" s="1" t="s">
        <v>9013</v>
      </c>
      <c r="C4781" s="1" t="s">
        <v>9014</v>
      </c>
      <c r="D4781" t="b">
        <f ca="1">IF(A4781="","",[1]!s_techanal_rcnthigh(B4781,$B$2,1,3))</f>
        <v>0</v>
      </c>
      <c r="E4781">
        <f ca="1">IF(A4781="","",COUNTIF(D$6:D4781,"True"))</f>
        <v>49</v>
      </c>
      <c r="F4781" t="str">
        <f t="shared" si="74"/>
        <v>688215.SH</v>
      </c>
    </row>
    <row r="4782" spans="1:6" x14ac:dyDescent="0.15">
      <c r="A4782" s="2">
        <v>46089</v>
      </c>
      <c r="B4782" s="1" t="s">
        <v>9015</v>
      </c>
      <c r="C4782" s="1" t="s">
        <v>9016</v>
      </c>
      <c r="D4782" t="b">
        <f ca="1">IF(A4782="","",[1]!s_techanal_rcnthigh(B4782,$B$2,1,3))</f>
        <v>0</v>
      </c>
      <c r="E4782">
        <f ca="1">IF(A4782="","",COUNTIF(D$6:D4782,"True"))</f>
        <v>49</v>
      </c>
      <c r="F4782" t="str">
        <f t="shared" si="74"/>
        <v>688216.SH</v>
      </c>
    </row>
    <row r="4783" spans="1:6" x14ac:dyDescent="0.15">
      <c r="A4783" s="2">
        <v>46089</v>
      </c>
      <c r="B4783" s="1" t="s">
        <v>9017</v>
      </c>
      <c r="C4783" s="1" t="s">
        <v>9018</v>
      </c>
      <c r="D4783" t="b">
        <f ca="1">IF(A4783="","",[1]!s_techanal_rcnthigh(B4783,$B$2,1,3))</f>
        <v>0</v>
      </c>
      <c r="E4783">
        <f ca="1">IF(A4783="","",COUNTIF(D$6:D4783,"True"))</f>
        <v>49</v>
      </c>
      <c r="F4783" t="str">
        <f t="shared" si="74"/>
        <v>688217.SH</v>
      </c>
    </row>
    <row r="4784" spans="1:6" x14ac:dyDescent="0.15">
      <c r="A4784" s="2">
        <v>46089</v>
      </c>
      <c r="B4784" s="1" t="s">
        <v>9019</v>
      </c>
      <c r="C4784" s="1" t="s">
        <v>9020</v>
      </c>
      <c r="D4784" t="b">
        <f ca="1">IF(A4784="","",[1]!s_techanal_rcnthigh(B4784,$B$2,1,3))</f>
        <v>0</v>
      </c>
      <c r="E4784">
        <f ca="1">IF(A4784="","",COUNTIF(D$6:D4784,"True"))</f>
        <v>49</v>
      </c>
      <c r="F4784" t="str">
        <f t="shared" si="74"/>
        <v>688218.SH</v>
      </c>
    </row>
    <row r="4785" spans="1:6" x14ac:dyDescent="0.15">
      <c r="A4785" s="2">
        <v>46089</v>
      </c>
      <c r="B4785" s="1" t="s">
        <v>9021</v>
      </c>
      <c r="C4785" s="1" t="s">
        <v>9022</v>
      </c>
      <c r="D4785" t="b">
        <f ca="1">IF(A4785="","",[1]!s_techanal_rcnthigh(B4785,$B$2,1,3))</f>
        <v>0</v>
      </c>
      <c r="E4785">
        <f ca="1">IF(A4785="","",COUNTIF(D$6:D4785,"True"))</f>
        <v>49</v>
      </c>
      <c r="F4785" t="str">
        <f t="shared" si="74"/>
        <v>688219.SH</v>
      </c>
    </row>
    <row r="4786" spans="1:6" x14ac:dyDescent="0.15">
      <c r="A4786" s="2">
        <v>46089</v>
      </c>
      <c r="B4786" s="1" t="s">
        <v>9023</v>
      </c>
      <c r="C4786" s="1" t="s">
        <v>9024</v>
      </c>
      <c r="D4786" t="b">
        <f ca="1">IF(A4786="","",[1]!s_techanal_rcnthigh(B4786,$B$2,1,3))</f>
        <v>0</v>
      </c>
      <c r="E4786">
        <f ca="1">IF(A4786="","",COUNTIF(D$6:D4786,"True"))</f>
        <v>49</v>
      </c>
      <c r="F4786" t="str">
        <f t="shared" si="74"/>
        <v>688220.SH</v>
      </c>
    </row>
    <row r="4787" spans="1:6" x14ac:dyDescent="0.15">
      <c r="A4787" s="2">
        <v>46089</v>
      </c>
      <c r="B4787" s="1" t="s">
        <v>9025</v>
      </c>
      <c r="C4787" s="1" t="s">
        <v>9026</v>
      </c>
      <c r="D4787" t="b">
        <f ca="1">IF(A4787="","",[1]!s_techanal_rcnthigh(B4787,$B$2,1,3))</f>
        <v>0</v>
      </c>
      <c r="E4787">
        <f ca="1">IF(A4787="","",COUNTIF(D$6:D4787,"True"))</f>
        <v>49</v>
      </c>
      <c r="F4787" t="str">
        <f t="shared" si="74"/>
        <v>688221.SH</v>
      </c>
    </row>
    <row r="4788" spans="1:6" x14ac:dyDescent="0.15">
      <c r="A4788" s="2">
        <v>46089</v>
      </c>
      <c r="B4788" s="1" t="s">
        <v>9027</v>
      </c>
      <c r="C4788" s="1" t="s">
        <v>9028</v>
      </c>
      <c r="D4788" t="b">
        <f ca="1">IF(A4788="","",[1]!s_techanal_rcnthigh(B4788,$B$2,1,3))</f>
        <v>0</v>
      </c>
      <c r="E4788">
        <f ca="1">IF(A4788="","",COUNTIF(D$6:D4788,"True"))</f>
        <v>49</v>
      </c>
      <c r="F4788" t="str">
        <f t="shared" si="74"/>
        <v>688222.SH</v>
      </c>
    </row>
    <row r="4789" spans="1:6" x14ac:dyDescent="0.15">
      <c r="A4789" s="2">
        <v>46089</v>
      </c>
      <c r="B4789" s="1" t="s">
        <v>9029</v>
      </c>
      <c r="C4789" s="1" t="s">
        <v>9030</v>
      </c>
      <c r="D4789" t="b">
        <f ca="1">IF(A4789="","",[1]!s_techanal_rcnthigh(B4789,$B$2,1,3))</f>
        <v>0</v>
      </c>
      <c r="E4789">
        <f ca="1">IF(A4789="","",COUNTIF(D$6:D4789,"True"))</f>
        <v>49</v>
      </c>
      <c r="F4789" t="str">
        <f t="shared" si="74"/>
        <v>688223.SH</v>
      </c>
    </row>
    <row r="4790" spans="1:6" x14ac:dyDescent="0.15">
      <c r="A4790" s="2">
        <v>46089</v>
      </c>
      <c r="B4790" s="1" t="s">
        <v>9031</v>
      </c>
      <c r="C4790" s="1" t="s">
        <v>9032</v>
      </c>
      <c r="D4790" t="b">
        <f ca="1">IF(A4790="","",[1]!s_techanal_rcnthigh(B4790,$B$2,1,3))</f>
        <v>0</v>
      </c>
      <c r="E4790">
        <f ca="1">IF(A4790="","",COUNTIF(D$6:D4790,"True"))</f>
        <v>49</v>
      </c>
      <c r="F4790" t="str">
        <f t="shared" si="74"/>
        <v>688225.SH</v>
      </c>
    </row>
    <row r="4791" spans="1:6" x14ac:dyDescent="0.15">
      <c r="A4791" s="2">
        <v>46089</v>
      </c>
      <c r="B4791" s="1" t="s">
        <v>9033</v>
      </c>
      <c r="C4791" s="1" t="s">
        <v>9034</v>
      </c>
      <c r="D4791" t="b">
        <f ca="1">IF(A4791="","",[1]!s_techanal_rcnthigh(B4791,$B$2,1,3))</f>
        <v>0</v>
      </c>
      <c r="E4791">
        <f ca="1">IF(A4791="","",COUNTIF(D$6:D4791,"True"))</f>
        <v>49</v>
      </c>
      <c r="F4791" t="str">
        <f t="shared" si="74"/>
        <v>688226.SH</v>
      </c>
    </row>
    <row r="4792" spans="1:6" x14ac:dyDescent="0.15">
      <c r="A4792" s="2">
        <v>46089</v>
      </c>
      <c r="B4792" s="1" t="s">
        <v>9035</v>
      </c>
      <c r="C4792" s="1" t="s">
        <v>9036</v>
      </c>
      <c r="D4792" t="b">
        <f ca="1">IF(A4792="","",[1]!s_techanal_rcnthigh(B4792,$B$2,1,3))</f>
        <v>0</v>
      </c>
      <c r="E4792">
        <f ca="1">IF(A4792="","",COUNTIF(D$6:D4792,"True"))</f>
        <v>49</v>
      </c>
      <c r="F4792" t="str">
        <f t="shared" si="74"/>
        <v>688227.SH</v>
      </c>
    </row>
    <row r="4793" spans="1:6" x14ac:dyDescent="0.15">
      <c r="A4793" s="2">
        <v>46089</v>
      </c>
      <c r="B4793" s="1" t="s">
        <v>9037</v>
      </c>
      <c r="C4793" s="1" t="s">
        <v>9038</v>
      </c>
      <c r="D4793" t="b">
        <f ca="1">IF(A4793="","",[1]!s_techanal_rcnthigh(B4793,$B$2,1,3))</f>
        <v>0</v>
      </c>
      <c r="E4793">
        <f ca="1">IF(A4793="","",COUNTIF(D$6:D4793,"True"))</f>
        <v>49</v>
      </c>
      <c r="F4793" t="str">
        <f t="shared" si="74"/>
        <v>688228.SH</v>
      </c>
    </row>
    <row r="4794" spans="1:6" x14ac:dyDescent="0.15">
      <c r="A4794" s="2">
        <v>46089</v>
      </c>
      <c r="B4794" s="1" t="s">
        <v>9039</v>
      </c>
      <c r="C4794" s="1" t="s">
        <v>9040</v>
      </c>
      <c r="D4794" t="b">
        <f ca="1">IF(A4794="","",[1]!s_techanal_rcnthigh(B4794,$B$2,1,3))</f>
        <v>0</v>
      </c>
      <c r="E4794">
        <f ca="1">IF(A4794="","",COUNTIF(D$6:D4794,"True"))</f>
        <v>49</v>
      </c>
      <c r="F4794" t="str">
        <f t="shared" si="74"/>
        <v>688229.SH</v>
      </c>
    </row>
    <row r="4795" spans="1:6" x14ac:dyDescent="0.15">
      <c r="A4795" s="2">
        <v>46089</v>
      </c>
      <c r="B4795" s="1" t="s">
        <v>9041</v>
      </c>
      <c r="C4795" s="1" t="s">
        <v>9042</v>
      </c>
      <c r="D4795" t="b">
        <f ca="1">IF(A4795="","",[1]!s_techanal_rcnthigh(B4795,$B$2,1,3))</f>
        <v>0</v>
      </c>
      <c r="E4795">
        <f ca="1">IF(A4795="","",COUNTIF(D$6:D4795,"True"))</f>
        <v>49</v>
      </c>
      <c r="F4795" t="str">
        <f t="shared" si="74"/>
        <v>688230.SH</v>
      </c>
    </row>
    <row r="4796" spans="1:6" x14ac:dyDescent="0.15">
      <c r="A4796" s="2">
        <v>46089</v>
      </c>
      <c r="B4796" s="1" t="s">
        <v>9043</v>
      </c>
      <c r="C4796" s="1" t="s">
        <v>9044</v>
      </c>
      <c r="D4796" t="b">
        <f ca="1">IF(A4796="","",[1]!s_techanal_rcnthigh(B4796,$B$2,1,3))</f>
        <v>0</v>
      </c>
      <c r="E4796">
        <f ca="1">IF(A4796="","",COUNTIF(D$6:D4796,"True"))</f>
        <v>49</v>
      </c>
      <c r="F4796" t="str">
        <f t="shared" si="74"/>
        <v>688231.SH</v>
      </c>
    </row>
    <row r="4797" spans="1:6" x14ac:dyDescent="0.15">
      <c r="A4797" s="2">
        <v>46089</v>
      </c>
      <c r="B4797" s="1" t="s">
        <v>9045</v>
      </c>
      <c r="C4797" s="1" t="s">
        <v>9046</v>
      </c>
      <c r="D4797" t="b">
        <f ca="1">IF(A4797="","",[1]!s_techanal_rcnthigh(B4797,$B$2,1,3))</f>
        <v>0</v>
      </c>
      <c r="E4797">
        <f ca="1">IF(A4797="","",COUNTIF(D$6:D4797,"True"))</f>
        <v>49</v>
      </c>
      <c r="F4797" t="str">
        <f t="shared" si="74"/>
        <v>688232.SH</v>
      </c>
    </row>
    <row r="4798" spans="1:6" x14ac:dyDescent="0.15">
      <c r="A4798" s="2">
        <v>46089</v>
      </c>
      <c r="B4798" s="1" t="s">
        <v>9047</v>
      </c>
      <c r="C4798" s="1" t="s">
        <v>9048</v>
      </c>
      <c r="D4798" t="b">
        <f ca="1">IF(A4798="","",[1]!s_techanal_rcnthigh(B4798,$B$2,1,3))</f>
        <v>0</v>
      </c>
      <c r="E4798">
        <f ca="1">IF(A4798="","",COUNTIF(D$6:D4798,"True"))</f>
        <v>49</v>
      </c>
      <c r="F4798" t="str">
        <f t="shared" si="74"/>
        <v>688233.SH</v>
      </c>
    </row>
    <row r="4799" spans="1:6" x14ac:dyDescent="0.15">
      <c r="A4799" s="2">
        <v>46089</v>
      </c>
      <c r="B4799" s="1" t="s">
        <v>9049</v>
      </c>
      <c r="C4799" s="1" t="s">
        <v>9050</v>
      </c>
      <c r="D4799" t="b">
        <f ca="1">IF(A4799="","",[1]!s_techanal_rcnthigh(B4799,$B$2,1,3))</f>
        <v>0</v>
      </c>
      <c r="E4799">
        <f ca="1">IF(A4799="","",COUNTIF(D$6:D4799,"True"))</f>
        <v>49</v>
      </c>
      <c r="F4799" t="str">
        <f t="shared" si="74"/>
        <v>688234.SH</v>
      </c>
    </row>
    <row r="4800" spans="1:6" x14ac:dyDescent="0.15">
      <c r="A4800" s="2">
        <v>46089</v>
      </c>
      <c r="B4800" s="1" t="s">
        <v>9051</v>
      </c>
      <c r="C4800" s="1" t="s">
        <v>9052</v>
      </c>
      <c r="D4800" t="b">
        <f ca="1">IF(A4800="","",[1]!s_techanal_rcnthigh(B4800,$B$2,1,3))</f>
        <v>0</v>
      </c>
      <c r="E4800">
        <f ca="1">IF(A4800="","",COUNTIF(D$6:D4800,"True"))</f>
        <v>49</v>
      </c>
      <c r="F4800" t="str">
        <f t="shared" si="74"/>
        <v>688235.SH</v>
      </c>
    </row>
    <row r="4801" spans="1:6" x14ac:dyDescent="0.15">
      <c r="A4801" s="2">
        <v>46089</v>
      </c>
      <c r="B4801" s="1" t="s">
        <v>9053</v>
      </c>
      <c r="C4801" s="1" t="s">
        <v>9054</v>
      </c>
      <c r="D4801" t="b">
        <f ca="1">IF(A4801="","",[1]!s_techanal_rcnthigh(B4801,$B$2,1,3))</f>
        <v>0</v>
      </c>
      <c r="E4801">
        <f ca="1">IF(A4801="","",COUNTIF(D$6:D4801,"True"))</f>
        <v>49</v>
      </c>
      <c r="F4801" t="str">
        <f t="shared" si="74"/>
        <v>688236.SH</v>
      </c>
    </row>
    <row r="4802" spans="1:6" x14ac:dyDescent="0.15">
      <c r="A4802" s="2">
        <v>46089</v>
      </c>
      <c r="B4802" s="1" t="s">
        <v>9055</v>
      </c>
      <c r="C4802" s="1" t="s">
        <v>9056</v>
      </c>
      <c r="D4802" t="b">
        <f ca="1">IF(A4802="","",[1]!s_techanal_rcnthigh(B4802,$B$2,1,3))</f>
        <v>0</v>
      </c>
      <c r="E4802">
        <f ca="1">IF(A4802="","",COUNTIF(D$6:D4802,"True"))</f>
        <v>49</v>
      </c>
      <c r="F4802" t="str">
        <f t="shared" si="74"/>
        <v>688237.SH</v>
      </c>
    </row>
    <row r="4803" spans="1:6" x14ac:dyDescent="0.15">
      <c r="A4803" s="2">
        <v>46089</v>
      </c>
      <c r="B4803" s="1" t="s">
        <v>9057</v>
      </c>
      <c r="C4803" s="1" t="s">
        <v>9058</v>
      </c>
      <c r="D4803" t="b">
        <f ca="1">IF(A4803="","",[1]!s_techanal_rcnthigh(B4803,$B$2,1,3))</f>
        <v>0</v>
      </c>
      <c r="E4803">
        <f ca="1">IF(A4803="","",COUNTIF(D$6:D4803,"True"))</f>
        <v>49</v>
      </c>
      <c r="F4803" t="str">
        <f t="shared" si="74"/>
        <v>688238.SH</v>
      </c>
    </row>
    <row r="4804" spans="1:6" x14ac:dyDescent="0.15">
      <c r="A4804" s="2">
        <v>46089</v>
      </c>
      <c r="B4804" s="1" t="s">
        <v>9059</v>
      </c>
      <c r="C4804" s="1" t="s">
        <v>9060</v>
      </c>
      <c r="D4804" t="b">
        <f ca="1">IF(A4804="","",[1]!s_techanal_rcnthigh(B4804,$B$2,1,3))</f>
        <v>0</v>
      </c>
      <c r="E4804">
        <f ca="1">IF(A4804="","",COUNTIF(D$6:D4804,"True"))</f>
        <v>49</v>
      </c>
      <c r="F4804" t="str">
        <f t="shared" si="74"/>
        <v>688239.SH</v>
      </c>
    </row>
    <row r="4805" spans="1:6" x14ac:dyDescent="0.15">
      <c r="A4805" s="2">
        <v>46089</v>
      </c>
      <c r="B4805" s="1" t="s">
        <v>9061</v>
      </c>
      <c r="C4805" s="1" t="s">
        <v>9062</v>
      </c>
      <c r="D4805" t="b">
        <f ca="1">IF(A4805="","",[1]!s_techanal_rcnthigh(B4805,$B$2,1,3))</f>
        <v>0</v>
      </c>
      <c r="E4805">
        <f ca="1">IF(A4805="","",COUNTIF(D$6:D4805,"True"))</f>
        <v>49</v>
      </c>
      <c r="F4805" t="str">
        <f t="shared" si="74"/>
        <v>688244.SH</v>
      </c>
    </row>
    <row r="4806" spans="1:6" x14ac:dyDescent="0.15">
      <c r="A4806" s="2">
        <v>46089</v>
      </c>
      <c r="B4806" s="1" t="s">
        <v>9063</v>
      </c>
      <c r="C4806" s="1" t="s">
        <v>9064</v>
      </c>
      <c r="D4806" t="b">
        <f ca="1">IF(A4806="","",[1]!s_techanal_rcnthigh(B4806,$B$2,1,3))</f>
        <v>0</v>
      </c>
      <c r="E4806">
        <f ca="1">IF(A4806="","",COUNTIF(D$6:D4806,"True"))</f>
        <v>49</v>
      </c>
      <c r="F4806" t="str">
        <f t="shared" ref="F4806:F4869" si="75">IF(B4806="","",B4806)</f>
        <v>688246.SH</v>
      </c>
    </row>
    <row r="4807" spans="1:6" x14ac:dyDescent="0.15">
      <c r="A4807" s="2">
        <v>46089</v>
      </c>
      <c r="B4807" s="1" t="s">
        <v>9065</v>
      </c>
      <c r="C4807" s="1" t="s">
        <v>9066</v>
      </c>
      <c r="D4807" t="b">
        <f ca="1">IF(A4807="","",[1]!s_techanal_rcnthigh(B4807,$B$2,1,3))</f>
        <v>0</v>
      </c>
      <c r="E4807">
        <f ca="1">IF(A4807="","",COUNTIF(D$6:D4807,"True"))</f>
        <v>49</v>
      </c>
      <c r="F4807" t="str">
        <f t="shared" si="75"/>
        <v>688247.SH</v>
      </c>
    </row>
    <row r="4808" spans="1:6" x14ac:dyDescent="0.15">
      <c r="A4808" s="2">
        <v>46089</v>
      </c>
      <c r="B4808" s="1" t="s">
        <v>9067</v>
      </c>
      <c r="C4808" s="1" t="s">
        <v>9068</v>
      </c>
      <c r="D4808" t="b">
        <f ca="1">IF(A4808="","",[1]!s_techanal_rcnthigh(B4808,$B$2,1,3))</f>
        <v>0</v>
      </c>
      <c r="E4808">
        <f ca="1">IF(A4808="","",COUNTIF(D$6:D4808,"True"))</f>
        <v>49</v>
      </c>
      <c r="F4808" t="str">
        <f t="shared" si="75"/>
        <v>688248.SH</v>
      </c>
    </row>
    <row r="4809" spans="1:6" x14ac:dyDescent="0.15">
      <c r="A4809" s="2">
        <v>46089</v>
      </c>
      <c r="B4809" s="1" t="s">
        <v>9069</v>
      </c>
      <c r="C4809" s="1" t="s">
        <v>9070</v>
      </c>
      <c r="D4809" t="b">
        <f ca="1">IF(A4809="","",[1]!s_techanal_rcnthigh(B4809,$B$2,1,3))</f>
        <v>0</v>
      </c>
      <c r="E4809">
        <f ca="1">IF(A4809="","",COUNTIF(D$6:D4809,"True"))</f>
        <v>49</v>
      </c>
      <c r="F4809" t="str">
        <f t="shared" si="75"/>
        <v>688249.SH</v>
      </c>
    </row>
    <row r="4810" spans="1:6" x14ac:dyDescent="0.15">
      <c r="A4810" s="2">
        <v>46089</v>
      </c>
      <c r="B4810" s="1" t="s">
        <v>9071</v>
      </c>
      <c r="C4810" s="1" t="s">
        <v>9072</v>
      </c>
      <c r="D4810" t="b">
        <f ca="1">IF(A4810="","",[1]!s_techanal_rcnthigh(B4810,$B$2,1,3))</f>
        <v>0</v>
      </c>
      <c r="E4810">
        <f ca="1">IF(A4810="","",COUNTIF(D$6:D4810,"True"))</f>
        <v>49</v>
      </c>
      <c r="F4810" t="str">
        <f t="shared" si="75"/>
        <v>688251.SH</v>
      </c>
    </row>
    <row r="4811" spans="1:6" x14ac:dyDescent="0.15">
      <c r="A4811" s="2">
        <v>46089</v>
      </c>
      <c r="B4811" s="1" t="s">
        <v>9073</v>
      </c>
      <c r="C4811" s="1" t="s">
        <v>9074</v>
      </c>
      <c r="D4811" t="b">
        <f ca="1">IF(A4811="","",[1]!s_techanal_rcnthigh(B4811,$B$2,1,3))</f>
        <v>0</v>
      </c>
      <c r="E4811">
        <f ca="1">IF(A4811="","",COUNTIF(D$6:D4811,"True"))</f>
        <v>49</v>
      </c>
      <c r="F4811" t="str">
        <f t="shared" si="75"/>
        <v>688252.SH</v>
      </c>
    </row>
    <row r="4812" spans="1:6" x14ac:dyDescent="0.15">
      <c r="A4812" s="2">
        <v>46089</v>
      </c>
      <c r="B4812" s="1" t="s">
        <v>9075</v>
      </c>
      <c r="C4812" s="1" t="s">
        <v>9076</v>
      </c>
      <c r="D4812" t="b">
        <f ca="1">IF(A4812="","",[1]!s_techanal_rcnthigh(B4812,$B$2,1,3))</f>
        <v>0</v>
      </c>
      <c r="E4812">
        <f ca="1">IF(A4812="","",COUNTIF(D$6:D4812,"True"))</f>
        <v>49</v>
      </c>
      <c r="F4812" t="str">
        <f t="shared" si="75"/>
        <v>688253.SH</v>
      </c>
    </row>
    <row r="4813" spans="1:6" x14ac:dyDescent="0.15">
      <c r="A4813" s="2">
        <v>46089</v>
      </c>
      <c r="B4813" s="1" t="s">
        <v>9077</v>
      </c>
      <c r="C4813" s="1" t="s">
        <v>9078</v>
      </c>
      <c r="D4813" t="b">
        <f ca="1">IF(A4813="","",[1]!s_techanal_rcnthigh(B4813,$B$2,1,3))</f>
        <v>0</v>
      </c>
      <c r="E4813">
        <f ca="1">IF(A4813="","",COUNTIF(D$6:D4813,"True"))</f>
        <v>49</v>
      </c>
      <c r="F4813" t="str">
        <f t="shared" si="75"/>
        <v>688255.SH</v>
      </c>
    </row>
    <row r="4814" spans="1:6" x14ac:dyDescent="0.15">
      <c r="A4814" s="2">
        <v>46089</v>
      </c>
      <c r="B4814" s="1" t="s">
        <v>9079</v>
      </c>
      <c r="C4814" s="1" t="s">
        <v>9080</v>
      </c>
      <c r="D4814" t="b">
        <f ca="1">IF(A4814="","",[1]!s_techanal_rcnthigh(B4814,$B$2,1,3))</f>
        <v>0</v>
      </c>
      <c r="E4814">
        <f ca="1">IF(A4814="","",COUNTIF(D$6:D4814,"True"))</f>
        <v>49</v>
      </c>
      <c r="F4814" t="str">
        <f t="shared" si="75"/>
        <v>688256.SH</v>
      </c>
    </row>
    <row r="4815" spans="1:6" x14ac:dyDescent="0.15">
      <c r="A4815" s="2">
        <v>46089</v>
      </c>
      <c r="B4815" s="1" t="s">
        <v>9081</v>
      </c>
      <c r="C4815" s="1" t="s">
        <v>9082</v>
      </c>
      <c r="D4815" t="b">
        <f ca="1">IF(A4815="","",[1]!s_techanal_rcnthigh(B4815,$B$2,1,3))</f>
        <v>1</v>
      </c>
      <c r="E4815">
        <f ca="1">IF(A4815="","",COUNTIF(D$6:D4815,"True"))</f>
        <v>50</v>
      </c>
      <c r="F4815" t="str">
        <f t="shared" si="75"/>
        <v>688257.SH</v>
      </c>
    </row>
    <row r="4816" spans="1:6" x14ac:dyDescent="0.15">
      <c r="A4816" s="2">
        <v>46089</v>
      </c>
      <c r="B4816" s="1" t="s">
        <v>9083</v>
      </c>
      <c r="C4816" s="1" t="s">
        <v>9084</v>
      </c>
      <c r="D4816" t="b">
        <f ca="1">IF(A4816="","",[1]!s_techanal_rcnthigh(B4816,$B$2,1,3))</f>
        <v>0</v>
      </c>
      <c r="E4816">
        <f ca="1">IF(A4816="","",COUNTIF(D$6:D4816,"True"))</f>
        <v>50</v>
      </c>
      <c r="F4816" t="str">
        <f t="shared" si="75"/>
        <v>688258.SH</v>
      </c>
    </row>
    <row r="4817" spans="1:6" x14ac:dyDescent="0.15">
      <c r="A4817" s="2">
        <v>46089</v>
      </c>
      <c r="B4817" s="1" t="s">
        <v>9085</v>
      </c>
      <c r="C4817" s="1" t="s">
        <v>9086</v>
      </c>
      <c r="D4817" t="b">
        <f ca="1">IF(A4817="","",[1]!s_techanal_rcnthigh(B4817,$B$2,1,3))</f>
        <v>0</v>
      </c>
      <c r="E4817">
        <f ca="1">IF(A4817="","",COUNTIF(D$6:D4817,"True"))</f>
        <v>50</v>
      </c>
      <c r="F4817" t="str">
        <f t="shared" si="75"/>
        <v>688259.SH</v>
      </c>
    </row>
    <row r="4818" spans="1:6" x14ac:dyDescent="0.15">
      <c r="A4818" s="2">
        <v>46089</v>
      </c>
      <c r="B4818" s="1" t="s">
        <v>9087</v>
      </c>
      <c r="C4818" s="1" t="s">
        <v>9088</v>
      </c>
      <c r="D4818" t="b">
        <f ca="1">IF(A4818="","",[1]!s_techanal_rcnthigh(B4818,$B$2,1,3))</f>
        <v>0</v>
      </c>
      <c r="E4818">
        <f ca="1">IF(A4818="","",COUNTIF(D$6:D4818,"True"))</f>
        <v>50</v>
      </c>
      <c r="F4818" t="str">
        <f t="shared" si="75"/>
        <v>688260.SH</v>
      </c>
    </row>
    <row r="4819" spans="1:6" x14ac:dyDescent="0.15">
      <c r="A4819" s="2">
        <v>46089</v>
      </c>
      <c r="B4819" s="1" t="s">
        <v>9089</v>
      </c>
      <c r="C4819" s="1" t="s">
        <v>9090</v>
      </c>
      <c r="D4819" t="b">
        <f ca="1">IF(A4819="","",[1]!s_techanal_rcnthigh(B4819,$B$2,1,3))</f>
        <v>0</v>
      </c>
      <c r="E4819">
        <f ca="1">IF(A4819="","",COUNTIF(D$6:D4819,"True"))</f>
        <v>50</v>
      </c>
      <c r="F4819" t="str">
        <f t="shared" si="75"/>
        <v>688261.SH</v>
      </c>
    </row>
    <row r="4820" spans="1:6" x14ac:dyDescent="0.15">
      <c r="A4820" s="2">
        <v>46089</v>
      </c>
      <c r="B4820" s="1" t="s">
        <v>9091</v>
      </c>
      <c r="C4820" s="1" t="s">
        <v>9092</v>
      </c>
      <c r="D4820" t="b">
        <f ca="1">IF(A4820="","",[1]!s_techanal_rcnthigh(B4820,$B$2,1,3))</f>
        <v>0</v>
      </c>
      <c r="E4820">
        <f ca="1">IF(A4820="","",COUNTIF(D$6:D4820,"True"))</f>
        <v>50</v>
      </c>
      <c r="F4820" t="str">
        <f t="shared" si="75"/>
        <v>688262.SH</v>
      </c>
    </row>
    <row r="4821" spans="1:6" x14ac:dyDescent="0.15">
      <c r="A4821" s="2">
        <v>46089</v>
      </c>
      <c r="B4821" s="1" t="s">
        <v>9093</v>
      </c>
      <c r="C4821" s="1" t="s">
        <v>9094</v>
      </c>
      <c r="D4821" t="b">
        <f ca="1">IF(A4821="","",[1]!s_techanal_rcnthigh(B4821,$B$2,1,3))</f>
        <v>0</v>
      </c>
      <c r="E4821">
        <f ca="1">IF(A4821="","",COUNTIF(D$6:D4821,"True"))</f>
        <v>50</v>
      </c>
      <c r="F4821" t="str">
        <f t="shared" si="75"/>
        <v>688265.SH</v>
      </c>
    </row>
    <row r="4822" spans="1:6" x14ac:dyDescent="0.15">
      <c r="A4822" s="2">
        <v>46089</v>
      </c>
      <c r="B4822" s="1" t="s">
        <v>9095</v>
      </c>
      <c r="C4822" s="1" t="s">
        <v>9096</v>
      </c>
      <c r="D4822" t="b">
        <f ca="1">IF(A4822="","",[1]!s_techanal_rcnthigh(B4822,$B$2,1,3))</f>
        <v>0</v>
      </c>
      <c r="E4822">
        <f ca="1">IF(A4822="","",COUNTIF(D$6:D4822,"True"))</f>
        <v>50</v>
      </c>
      <c r="F4822" t="str">
        <f t="shared" si="75"/>
        <v>688266.SH</v>
      </c>
    </row>
    <row r="4823" spans="1:6" x14ac:dyDescent="0.15">
      <c r="A4823" s="2">
        <v>46089</v>
      </c>
      <c r="B4823" s="1" t="s">
        <v>9097</v>
      </c>
      <c r="C4823" s="1" t="s">
        <v>9098</v>
      </c>
      <c r="D4823" t="b">
        <f ca="1">IF(A4823="","",[1]!s_techanal_rcnthigh(B4823,$B$2,1,3))</f>
        <v>0</v>
      </c>
      <c r="E4823">
        <f ca="1">IF(A4823="","",COUNTIF(D$6:D4823,"True"))</f>
        <v>50</v>
      </c>
      <c r="F4823" t="str">
        <f t="shared" si="75"/>
        <v>688267.SH</v>
      </c>
    </row>
    <row r="4824" spans="1:6" x14ac:dyDescent="0.15">
      <c r="A4824" s="2">
        <v>46089</v>
      </c>
      <c r="B4824" s="1" t="s">
        <v>9099</v>
      </c>
      <c r="C4824" s="1" t="s">
        <v>9100</v>
      </c>
      <c r="D4824" t="b">
        <f ca="1">IF(A4824="","",[1]!s_techanal_rcnthigh(B4824,$B$2,1,3))</f>
        <v>0</v>
      </c>
      <c r="E4824">
        <f ca="1">IF(A4824="","",COUNTIF(D$6:D4824,"True"))</f>
        <v>50</v>
      </c>
      <c r="F4824" t="str">
        <f t="shared" si="75"/>
        <v>688268.SH</v>
      </c>
    </row>
    <row r="4825" spans="1:6" x14ac:dyDescent="0.15">
      <c r="A4825" s="2">
        <v>46089</v>
      </c>
      <c r="B4825" s="1" t="s">
        <v>9101</v>
      </c>
      <c r="C4825" s="1" t="s">
        <v>9102</v>
      </c>
      <c r="D4825" t="b">
        <f ca="1">IF(A4825="","",[1]!s_techanal_rcnthigh(B4825,$B$2,1,3))</f>
        <v>0</v>
      </c>
      <c r="E4825">
        <f ca="1">IF(A4825="","",COUNTIF(D$6:D4825,"True"))</f>
        <v>50</v>
      </c>
      <c r="F4825" t="str">
        <f t="shared" si="75"/>
        <v>688269.SH</v>
      </c>
    </row>
    <row r="4826" spans="1:6" x14ac:dyDescent="0.15">
      <c r="A4826" s="2">
        <v>46089</v>
      </c>
      <c r="B4826" s="1" t="s">
        <v>9103</v>
      </c>
      <c r="C4826" s="1" t="s">
        <v>9104</v>
      </c>
      <c r="D4826" t="b">
        <f ca="1">IF(A4826="","",[1]!s_techanal_rcnthigh(B4826,$B$2,1,3))</f>
        <v>0</v>
      </c>
      <c r="E4826">
        <f ca="1">IF(A4826="","",COUNTIF(D$6:D4826,"True"))</f>
        <v>50</v>
      </c>
      <c r="F4826" t="str">
        <f t="shared" si="75"/>
        <v>688270.SH</v>
      </c>
    </row>
    <row r="4827" spans="1:6" x14ac:dyDescent="0.15">
      <c r="A4827" s="2">
        <v>46089</v>
      </c>
      <c r="B4827" s="1" t="s">
        <v>9105</v>
      </c>
      <c r="C4827" s="1" t="s">
        <v>9106</v>
      </c>
      <c r="D4827" t="b">
        <f ca="1">IF(A4827="","",[1]!s_techanal_rcnthigh(B4827,$B$2,1,3))</f>
        <v>0</v>
      </c>
      <c r="E4827">
        <f ca="1">IF(A4827="","",COUNTIF(D$6:D4827,"True"))</f>
        <v>50</v>
      </c>
      <c r="F4827" t="str">
        <f t="shared" si="75"/>
        <v>688271.SH</v>
      </c>
    </row>
    <row r="4828" spans="1:6" x14ac:dyDescent="0.15">
      <c r="A4828" s="2">
        <v>46089</v>
      </c>
      <c r="B4828" s="1" t="s">
        <v>9107</v>
      </c>
      <c r="C4828" s="1" t="s">
        <v>10574</v>
      </c>
      <c r="D4828" t="b">
        <f ca="1">IF(A4828="","",[1]!s_techanal_rcnthigh(B4828,$B$2,1,3))</f>
        <v>0</v>
      </c>
      <c r="E4828">
        <f ca="1">IF(A4828="","",COUNTIF(D$6:D4828,"True"))</f>
        <v>50</v>
      </c>
      <c r="F4828" t="str">
        <f t="shared" si="75"/>
        <v>688272.SH</v>
      </c>
    </row>
    <row r="4829" spans="1:6" x14ac:dyDescent="0.15">
      <c r="A4829" s="2">
        <v>46089</v>
      </c>
      <c r="B4829" s="1" t="s">
        <v>9108</v>
      </c>
      <c r="C4829" s="1" t="s">
        <v>9109</v>
      </c>
      <c r="D4829" t="b">
        <f ca="1">IF(A4829="","",[1]!s_techanal_rcnthigh(B4829,$B$2,1,3))</f>
        <v>0</v>
      </c>
      <c r="E4829">
        <f ca="1">IF(A4829="","",COUNTIF(D$6:D4829,"True"))</f>
        <v>50</v>
      </c>
      <c r="F4829" t="str">
        <f t="shared" si="75"/>
        <v>688273.SH</v>
      </c>
    </row>
    <row r="4830" spans="1:6" x14ac:dyDescent="0.15">
      <c r="A4830" s="2">
        <v>46089</v>
      </c>
      <c r="B4830" s="1" t="s">
        <v>9110</v>
      </c>
      <c r="C4830" s="1" t="s">
        <v>9111</v>
      </c>
      <c r="D4830" t="b">
        <f ca="1">IF(A4830="","",[1]!s_techanal_rcnthigh(B4830,$B$2,1,3))</f>
        <v>0</v>
      </c>
      <c r="E4830">
        <f ca="1">IF(A4830="","",COUNTIF(D$6:D4830,"True"))</f>
        <v>50</v>
      </c>
      <c r="F4830" t="str">
        <f t="shared" si="75"/>
        <v>688275.SH</v>
      </c>
    </row>
    <row r="4831" spans="1:6" x14ac:dyDescent="0.15">
      <c r="A4831" s="2">
        <v>46089</v>
      </c>
      <c r="B4831" s="1" t="s">
        <v>9112</v>
      </c>
      <c r="C4831" s="1" t="s">
        <v>9113</v>
      </c>
      <c r="D4831" t="b">
        <f ca="1">IF(A4831="","",[1]!s_techanal_rcnthigh(B4831,$B$2,1,3))</f>
        <v>0</v>
      </c>
      <c r="E4831">
        <f ca="1">IF(A4831="","",COUNTIF(D$6:D4831,"True"))</f>
        <v>50</v>
      </c>
      <c r="F4831" t="str">
        <f t="shared" si="75"/>
        <v>688276.SH</v>
      </c>
    </row>
    <row r="4832" spans="1:6" x14ac:dyDescent="0.15">
      <c r="A4832" s="2">
        <v>46089</v>
      </c>
      <c r="B4832" s="1" t="s">
        <v>9114</v>
      </c>
      <c r="C4832" s="1" t="s">
        <v>9115</v>
      </c>
      <c r="D4832" t="b">
        <f ca="1">IF(A4832="","",[1]!s_techanal_rcnthigh(B4832,$B$2,1,3))</f>
        <v>0</v>
      </c>
      <c r="E4832">
        <f ca="1">IF(A4832="","",COUNTIF(D$6:D4832,"True"))</f>
        <v>50</v>
      </c>
      <c r="F4832" t="str">
        <f t="shared" si="75"/>
        <v>688277.SH</v>
      </c>
    </row>
    <row r="4833" spans="1:6" x14ac:dyDescent="0.15">
      <c r="A4833" s="2">
        <v>46089</v>
      </c>
      <c r="B4833" s="1" t="s">
        <v>9116</v>
      </c>
      <c r="C4833" s="1" t="s">
        <v>9117</v>
      </c>
      <c r="D4833" t="b">
        <f ca="1">IF(A4833="","",[1]!s_techanal_rcnthigh(B4833,$B$2,1,3))</f>
        <v>0</v>
      </c>
      <c r="E4833">
        <f ca="1">IF(A4833="","",COUNTIF(D$6:D4833,"True"))</f>
        <v>50</v>
      </c>
      <c r="F4833" t="str">
        <f t="shared" si="75"/>
        <v>688278.SH</v>
      </c>
    </row>
    <row r="4834" spans="1:6" x14ac:dyDescent="0.15">
      <c r="A4834" s="2">
        <v>46089</v>
      </c>
      <c r="B4834" s="1" t="s">
        <v>9118</v>
      </c>
      <c r="C4834" s="1" t="s">
        <v>9119</v>
      </c>
      <c r="D4834" t="b">
        <f ca="1">IF(A4834="","",[1]!s_techanal_rcnthigh(B4834,$B$2,1,3))</f>
        <v>0</v>
      </c>
      <c r="E4834">
        <f ca="1">IF(A4834="","",COUNTIF(D$6:D4834,"True"))</f>
        <v>50</v>
      </c>
      <c r="F4834" t="str">
        <f t="shared" si="75"/>
        <v>688279.SH</v>
      </c>
    </row>
    <row r="4835" spans="1:6" x14ac:dyDescent="0.15">
      <c r="A4835" s="2">
        <v>46089</v>
      </c>
      <c r="B4835" s="1" t="s">
        <v>9120</v>
      </c>
      <c r="C4835" s="1" t="s">
        <v>9121</v>
      </c>
      <c r="D4835" t="b">
        <f ca="1">IF(A4835="","",[1]!s_techanal_rcnthigh(B4835,$B$2,1,3))</f>
        <v>0</v>
      </c>
      <c r="E4835">
        <f ca="1">IF(A4835="","",COUNTIF(D$6:D4835,"True"))</f>
        <v>50</v>
      </c>
      <c r="F4835" t="str">
        <f t="shared" si="75"/>
        <v>688280.SH</v>
      </c>
    </row>
    <row r="4836" spans="1:6" x14ac:dyDescent="0.15">
      <c r="A4836" s="2">
        <v>46089</v>
      </c>
      <c r="B4836" s="1" t="s">
        <v>9122</v>
      </c>
      <c r="C4836" s="1" t="s">
        <v>9123</v>
      </c>
      <c r="D4836" t="b">
        <f ca="1">IF(A4836="","",[1]!s_techanal_rcnthigh(B4836,$B$2,1,3))</f>
        <v>0</v>
      </c>
      <c r="E4836">
        <f ca="1">IF(A4836="","",COUNTIF(D$6:D4836,"True"))</f>
        <v>50</v>
      </c>
      <c r="F4836" t="str">
        <f t="shared" si="75"/>
        <v>688281.SH</v>
      </c>
    </row>
    <row r="4837" spans="1:6" x14ac:dyDescent="0.15">
      <c r="A4837" s="2">
        <v>46089</v>
      </c>
      <c r="B4837" s="1" t="s">
        <v>9124</v>
      </c>
      <c r="C4837" s="1" t="s">
        <v>9125</v>
      </c>
      <c r="D4837" t="b">
        <f ca="1">IF(A4837="","",[1]!s_techanal_rcnthigh(B4837,$B$2,1,3))</f>
        <v>0</v>
      </c>
      <c r="E4837">
        <f ca="1">IF(A4837="","",COUNTIF(D$6:D4837,"True"))</f>
        <v>50</v>
      </c>
      <c r="F4837" t="str">
        <f t="shared" si="75"/>
        <v>688282.SH</v>
      </c>
    </row>
    <row r="4838" spans="1:6" x14ac:dyDescent="0.15">
      <c r="A4838" s="2">
        <v>46089</v>
      </c>
      <c r="B4838" s="1" t="s">
        <v>9126</v>
      </c>
      <c r="C4838" s="1" t="s">
        <v>9127</v>
      </c>
      <c r="D4838" t="b">
        <f ca="1">IF(A4838="","",[1]!s_techanal_rcnthigh(B4838,$B$2,1,3))</f>
        <v>0</v>
      </c>
      <c r="E4838">
        <f ca="1">IF(A4838="","",COUNTIF(D$6:D4838,"True"))</f>
        <v>50</v>
      </c>
      <c r="F4838" t="str">
        <f t="shared" si="75"/>
        <v>688283.SH</v>
      </c>
    </row>
    <row r="4839" spans="1:6" x14ac:dyDescent="0.15">
      <c r="A4839" s="2">
        <v>46089</v>
      </c>
      <c r="B4839" s="1" t="s">
        <v>9128</v>
      </c>
      <c r="C4839" s="1" t="s">
        <v>9129</v>
      </c>
      <c r="D4839" t="b">
        <f ca="1">IF(A4839="","",[1]!s_techanal_rcnthigh(B4839,$B$2,1,3))</f>
        <v>0</v>
      </c>
      <c r="E4839">
        <f ca="1">IF(A4839="","",COUNTIF(D$6:D4839,"True"))</f>
        <v>50</v>
      </c>
      <c r="F4839" t="str">
        <f t="shared" si="75"/>
        <v>688285.SH</v>
      </c>
    </row>
    <row r="4840" spans="1:6" x14ac:dyDescent="0.15">
      <c r="A4840" s="2">
        <v>46089</v>
      </c>
      <c r="B4840" s="1" t="s">
        <v>9130</v>
      </c>
      <c r="C4840" s="1" t="s">
        <v>9131</v>
      </c>
      <c r="D4840" t="b">
        <f ca="1">IF(A4840="","",[1]!s_techanal_rcnthigh(B4840,$B$2,1,3))</f>
        <v>0</v>
      </c>
      <c r="E4840">
        <f ca="1">IF(A4840="","",COUNTIF(D$6:D4840,"True"))</f>
        <v>50</v>
      </c>
      <c r="F4840" t="str">
        <f t="shared" si="75"/>
        <v>688286.SH</v>
      </c>
    </row>
    <row r="4841" spans="1:6" x14ac:dyDescent="0.15">
      <c r="A4841" s="2">
        <v>46089</v>
      </c>
      <c r="B4841" s="1" t="s">
        <v>9132</v>
      </c>
      <c r="C4841" s="1" t="s">
        <v>10575</v>
      </c>
      <c r="D4841" t="b">
        <f ca="1">IF(A4841="","",[1]!s_techanal_rcnthigh(B4841,$B$2,1,3))</f>
        <v>0</v>
      </c>
      <c r="E4841">
        <f ca="1">IF(A4841="","",COUNTIF(D$6:D4841,"True"))</f>
        <v>50</v>
      </c>
      <c r="F4841" t="str">
        <f t="shared" si="75"/>
        <v>688287.SH</v>
      </c>
    </row>
    <row r="4842" spans="1:6" x14ac:dyDescent="0.15">
      <c r="A4842" s="2">
        <v>46089</v>
      </c>
      <c r="B4842" s="1" t="s">
        <v>9133</v>
      </c>
      <c r="C4842" s="1" t="s">
        <v>10576</v>
      </c>
      <c r="D4842" t="b">
        <f ca="1">IF(A4842="","",[1]!s_techanal_rcnthigh(B4842,$B$2,1,3))</f>
        <v>0</v>
      </c>
      <c r="E4842">
        <f ca="1">IF(A4842="","",COUNTIF(D$6:D4842,"True"))</f>
        <v>50</v>
      </c>
      <c r="F4842" t="str">
        <f t="shared" si="75"/>
        <v>688288.SH</v>
      </c>
    </row>
    <row r="4843" spans="1:6" x14ac:dyDescent="0.15">
      <c r="A4843" s="2">
        <v>46089</v>
      </c>
      <c r="B4843" s="1" t="s">
        <v>9134</v>
      </c>
      <c r="C4843" s="1" t="s">
        <v>9135</v>
      </c>
      <c r="D4843" t="b">
        <f ca="1">IF(A4843="","",[1]!s_techanal_rcnthigh(B4843,$B$2,1,3))</f>
        <v>0</v>
      </c>
      <c r="E4843">
        <f ca="1">IF(A4843="","",COUNTIF(D$6:D4843,"True"))</f>
        <v>50</v>
      </c>
      <c r="F4843" t="str">
        <f t="shared" si="75"/>
        <v>688289.SH</v>
      </c>
    </row>
    <row r="4844" spans="1:6" x14ac:dyDescent="0.15">
      <c r="A4844" s="2">
        <v>46089</v>
      </c>
      <c r="B4844" s="1" t="s">
        <v>9136</v>
      </c>
      <c r="C4844" s="1" t="s">
        <v>9137</v>
      </c>
      <c r="D4844" t="b">
        <f ca="1">IF(A4844="","",[1]!s_techanal_rcnthigh(B4844,$B$2,1,3))</f>
        <v>0</v>
      </c>
      <c r="E4844">
        <f ca="1">IF(A4844="","",COUNTIF(D$6:D4844,"True"))</f>
        <v>50</v>
      </c>
      <c r="F4844" t="str">
        <f t="shared" si="75"/>
        <v>688290.SH</v>
      </c>
    </row>
    <row r="4845" spans="1:6" x14ac:dyDescent="0.15">
      <c r="A4845" s="2">
        <v>46089</v>
      </c>
      <c r="B4845" s="1" t="s">
        <v>9138</v>
      </c>
      <c r="C4845" s="1" t="s">
        <v>9139</v>
      </c>
      <c r="D4845" t="b">
        <f ca="1">IF(A4845="","",[1]!s_techanal_rcnthigh(B4845,$B$2,1,3))</f>
        <v>0</v>
      </c>
      <c r="E4845">
        <f ca="1">IF(A4845="","",COUNTIF(D$6:D4845,"True"))</f>
        <v>50</v>
      </c>
      <c r="F4845" t="str">
        <f t="shared" si="75"/>
        <v>688291.SH</v>
      </c>
    </row>
    <row r="4846" spans="1:6" x14ac:dyDescent="0.15">
      <c r="A4846" s="2">
        <v>46089</v>
      </c>
      <c r="B4846" s="1" t="s">
        <v>9140</v>
      </c>
      <c r="C4846" s="1" t="s">
        <v>9141</v>
      </c>
      <c r="D4846" t="b">
        <f ca="1">IF(A4846="","",[1]!s_techanal_rcnthigh(B4846,$B$2,1,3))</f>
        <v>0</v>
      </c>
      <c r="E4846">
        <f ca="1">IF(A4846="","",COUNTIF(D$6:D4846,"True"))</f>
        <v>50</v>
      </c>
      <c r="F4846" t="str">
        <f t="shared" si="75"/>
        <v>688292.SH</v>
      </c>
    </row>
    <row r="4847" spans="1:6" x14ac:dyDescent="0.15">
      <c r="A4847" s="2">
        <v>46089</v>
      </c>
      <c r="B4847" s="1" t="s">
        <v>9142</v>
      </c>
      <c r="C4847" s="1" t="s">
        <v>9143</v>
      </c>
      <c r="D4847" t="b">
        <f ca="1">IF(A4847="","",[1]!s_techanal_rcnthigh(B4847,$B$2,1,3))</f>
        <v>0</v>
      </c>
      <c r="E4847">
        <f ca="1">IF(A4847="","",COUNTIF(D$6:D4847,"True"))</f>
        <v>50</v>
      </c>
      <c r="F4847" t="str">
        <f t="shared" si="75"/>
        <v>688293.SH</v>
      </c>
    </row>
    <row r="4848" spans="1:6" x14ac:dyDescent="0.15">
      <c r="A4848" s="2">
        <v>46089</v>
      </c>
      <c r="B4848" s="1" t="s">
        <v>9144</v>
      </c>
      <c r="C4848" s="1" t="s">
        <v>9145</v>
      </c>
      <c r="D4848" t="b">
        <f ca="1">IF(A4848="","",[1]!s_techanal_rcnthigh(B4848,$B$2,1,3))</f>
        <v>0</v>
      </c>
      <c r="E4848">
        <f ca="1">IF(A4848="","",COUNTIF(D$6:D4848,"True"))</f>
        <v>50</v>
      </c>
      <c r="F4848" t="str">
        <f t="shared" si="75"/>
        <v>688295.SH</v>
      </c>
    </row>
    <row r="4849" spans="1:6" x14ac:dyDescent="0.15">
      <c r="A4849" s="2">
        <v>46089</v>
      </c>
      <c r="B4849" s="1" t="s">
        <v>9146</v>
      </c>
      <c r="C4849" s="1" t="s">
        <v>9147</v>
      </c>
      <c r="D4849" t="b">
        <f ca="1">IF(A4849="","",[1]!s_techanal_rcnthigh(B4849,$B$2,1,3))</f>
        <v>0</v>
      </c>
      <c r="E4849">
        <f ca="1">IF(A4849="","",COUNTIF(D$6:D4849,"True"))</f>
        <v>50</v>
      </c>
      <c r="F4849" t="str">
        <f t="shared" si="75"/>
        <v>688296.SH</v>
      </c>
    </row>
    <row r="4850" spans="1:6" x14ac:dyDescent="0.15">
      <c r="A4850" s="2">
        <v>46089</v>
      </c>
      <c r="B4850" s="1" t="s">
        <v>9148</v>
      </c>
      <c r="C4850" s="1" t="s">
        <v>9149</v>
      </c>
      <c r="D4850" t="b">
        <f ca="1">IF(A4850="","",[1]!s_techanal_rcnthigh(B4850,$B$2,1,3))</f>
        <v>0</v>
      </c>
      <c r="E4850">
        <f ca="1">IF(A4850="","",COUNTIF(D$6:D4850,"True"))</f>
        <v>50</v>
      </c>
      <c r="F4850" t="str">
        <f t="shared" si="75"/>
        <v>688297.SH</v>
      </c>
    </row>
    <row r="4851" spans="1:6" x14ac:dyDescent="0.15">
      <c r="A4851" s="2">
        <v>46089</v>
      </c>
      <c r="B4851" s="1" t="s">
        <v>9150</v>
      </c>
      <c r="C4851" s="1" t="s">
        <v>9151</v>
      </c>
      <c r="D4851" t="b">
        <f ca="1">IF(A4851="","",[1]!s_techanal_rcnthigh(B4851,$B$2,1,3))</f>
        <v>0</v>
      </c>
      <c r="E4851">
        <f ca="1">IF(A4851="","",COUNTIF(D$6:D4851,"True"))</f>
        <v>50</v>
      </c>
      <c r="F4851" t="str">
        <f t="shared" si="75"/>
        <v>688298.SH</v>
      </c>
    </row>
    <row r="4852" spans="1:6" x14ac:dyDescent="0.15">
      <c r="A4852" s="2">
        <v>46089</v>
      </c>
      <c r="B4852" s="1" t="s">
        <v>9152</v>
      </c>
      <c r="C4852" s="1" t="s">
        <v>9153</v>
      </c>
      <c r="D4852" t="b">
        <f ca="1">IF(A4852="","",[1]!s_techanal_rcnthigh(B4852,$B$2,1,3))</f>
        <v>0</v>
      </c>
      <c r="E4852">
        <f ca="1">IF(A4852="","",COUNTIF(D$6:D4852,"True"))</f>
        <v>50</v>
      </c>
      <c r="F4852" t="str">
        <f t="shared" si="75"/>
        <v>688299.SH</v>
      </c>
    </row>
    <row r="4853" spans="1:6" x14ac:dyDescent="0.15">
      <c r="A4853" s="2">
        <v>46089</v>
      </c>
      <c r="B4853" s="1" t="s">
        <v>9154</v>
      </c>
      <c r="C4853" s="1" t="s">
        <v>9155</v>
      </c>
      <c r="D4853" t="b">
        <f ca="1">IF(A4853="","",[1]!s_techanal_rcnthigh(B4853,$B$2,1,3))</f>
        <v>0</v>
      </c>
      <c r="E4853">
        <f ca="1">IF(A4853="","",COUNTIF(D$6:D4853,"True"))</f>
        <v>50</v>
      </c>
      <c r="F4853" t="str">
        <f t="shared" si="75"/>
        <v>688300.SH</v>
      </c>
    </row>
    <row r="4854" spans="1:6" x14ac:dyDescent="0.15">
      <c r="A4854" s="2">
        <v>46089</v>
      </c>
      <c r="B4854" s="1" t="s">
        <v>9156</v>
      </c>
      <c r="C4854" s="1" t="s">
        <v>9157</v>
      </c>
      <c r="D4854" t="b">
        <f ca="1">IF(A4854="","",[1]!s_techanal_rcnthigh(B4854,$B$2,1,3))</f>
        <v>0</v>
      </c>
      <c r="E4854">
        <f ca="1">IF(A4854="","",COUNTIF(D$6:D4854,"True"))</f>
        <v>50</v>
      </c>
      <c r="F4854" t="str">
        <f t="shared" si="75"/>
        <v>688301.SH</v>
      </c>
    </row>
    <row r="4855" spans="1:6" x14ac:dyDescent="0.15">
      <c r="A4855" s="2">
        <v>46089</v>
      </c>
      <c r="B4855" s="1" t="s">
        <v>9158</v>
      </c>
      <c r="C4855" s="1" t="s">
        <v>9159</v>
      </c>
      <c r="D4855" t="b">
        <f ca="1">IF(A4855="","",[1]!s_techanal_rcnthigh(B4855,$B$2,1,3))</f>
        <v>0</v>
      </c>
      <c r="E4855">
        <f ca="1">IF(A4855="","",COUNTIF(D$6:D4855,"True"))</f>
        <v>50</v>
      </c>
      <c r="F4855" t="str">
        <f t="shared" si="75"/>
        <v>688302.SH</v>
      </c>
    </row>
    <row r="4856" spans="1:6" x14ac:dyDescent="0.15">
      <c r="A4856" s="2">
        <v>46089</v>
      </c>
      <c r="B4856" s="1" t="s">
        <v>9160</v>
      </c>
      <c r="C4856" s="1" t="s">
        <v>9161</v>
      </c>
      <c r="D4856" t="b">
        <f ca="1">IF(A4856="","",[1]!s_techanal_rcnthigh(B4856,$B$2,1,3))</f>
        <v>0</v>
      </c>
      <c r="E4856">
        <f ca="1">IF(A4856="","",COUNTIF(D$6:D4856,"True"))</f>
        <v>50</v>
      </c>
      <c r="F4856" t="str">
        <f t="shared" si="75"/>
        <v>688303.SH</v>
      </c>
    </row>
    <row r="4857" spans="1:6" x14ac:dyDescent="0.15">
      <c r="A4857" s="2">
        <v>46089</v>
      </c>
      <c r="B4857" s="1" t="s">
        <v>9162</v>
      </c>
      <c r="C4857" s="1" t="s">
        <v>9163</v>
      </c>
      <c r="D4857" t="b">
        <f ca="1">IF(A4857="","",[1]!s_techanal_rcnthigh(B4857,$B$2,1,3))</f>
        <v>0</v>
      </c>
      <c r="E4857">
        <f ca="1">IF(A4857="","",COUNTIF(D$6:D4857,"True"))</f>
        <v>50</v>
      </c>
      <c r="F4857" t="str">
        <f t="shared" si="75"/>
        <v>688305.SH</v>
      </c>
    </row>
    <row r="4858" spans="1:6" x14ac:dyDescent="0.15">
      <c r="A4858" s="2">
        <v>46089</v>
      </c>
      <c r="B4858" s="1" t="s">
        <v>9164</v>
      </c>
      <c r="C4858" s="1" t="s">
        <v>9165</v>
      </c>
      <c r="D4858" t="b">
        <f ca="1">IF(A4858="","",[1]!s_techanal_rcnthigh(B4858,$B$2,1,3))</f>
        <v>0</v>
      </c>
      <c r="E4858">
        <f ca="1">IF(A4858="","",COUNTIF(D$6:D4858,"True"))</f>
        <v>50</v>
      </c>
      <c r="F4858" t="str">
        <f t="shared" si="75"/>
        <v>688306.SH</v>
      </c>
    </row>
    <row r="4859" spans="1:6" x14ac:dyDescent="0.15">
      <c r="A4859" s="2">
        <v>46089</v>
      </c>
      <c r="B4859" s="1" t="s">
        <v>9166</v>
      </c>
      <c r="C4859" s="1" t="s">
        <v>9167</v>
      </c>
      <c r="D4859" t="b">
        <f ca="1">IF(A4859="","",[1]!s_techanal_rcnthigh(B4859,$B$2,1,3))</f>
        <v>0</v>
      </c>
      <c r="E4859">
        <f ca="1">IF(A4859="","",COUNTIF(D$6:D4859,"True"))</f>
        <v>50</v>
      </c>
      <c r="F4859" t="str">
        <f t="shared" si="75"/>
        <v>688307.SH</v>
      </c>
    </row>
    <row r="4860" spans="1:6" x14ac:dyDescent="0.15">
      <c r="A4860" s="2">
        <v>46089</v>
      </c>
      <c r="B4860" s="1" t="s">
        <v>9168</v>
      </c>
      <c r="C4860" s="1" t="s">
        <v>9169</v>
      </c>
      <c r="D4860" t="b">
        <f ca="1">IF(A4860="","",[1]!s_techanal_rcnthigh(B4860,$B$2,1,3))</f>
        <v>0</v>
      </c>
      <c r="E4860">
        <f ca="1">IF(A4860="","",COUNTIF(D$6:D4860,"True"))</f>
        <v>50</v>
      </c>
      <c r="F4860" t="str">
        <f t="shared" si="75"/>
        <v>688308.SH</v>
      </c>
    </row>
    <row r="4861" spans="1:6" x14ac:dyDescent="0.15">
      <c r="A4861" s="2">
        <v>46089</v>
      </c>
      <c r="B4861" s="1" t="s">
        <v>9170</v>
      </c>
      <c r="C4861" s="1" t="s">
        <v>9171</v>
      </c>
      <c r="D4861" t="b">
        <f ca="1">IF(A4861="","",[1]!s_techanal_rcnthigh(B4861,$B$2,1,3))</f>
        <v>0</v>
      </c>
      <c r="E4861">
        <f ca="1">IF(A4861="","",COUNTIF(D$6:D4861,"True"))</f>
        <v>50</v>
      </c>
      <c r="F4861" t="str">
        <f t="shared" si="75"/>
        <v>688309.SH</v>
      </c>
    </row>
    <row r="4862" spans="1:6" x14ac:dyDescent="0.15">
      <c r="A4862" s="2">
        <v>46089</v>
      </c>
      <c r="B4862" s="1" t="s">
        <v>9172</v>
      </c>
      <c r="C4862" s="1" t="s">
        <v>9173</v>
      </c>
      <c r="D4862" t="b">
        <f ca="1">IF(A4862="","",[1]!s_techanal_rcnthigh(B4862,$B$2,1,3))</f>
        <v>0</v>
      </c>
      <c r="E4862">
        <f ca="1">IF(A4862="","",COUNTIF(D$6:D4862,"True"))</f>
        <v>50</v>
      </c>
      <c r="F4862" t="str">
        <f t="shared" si="75"/>
        <v>688310.SH</v>
      </c>
    </row>
    <row r="4863" spans="1:6" x14ac:dyDescent="0.15">
      <c r="A4863" s="2">
        <v>46089</v>
      </c>
      <c r="B4863" s="1" t="s">
        <v>9174</v>
      </c>
      <c r="C4863" s="1" t="s">
        <v>9175</v>
      </c>
      <c r="D4863" t="b">
        <f ca="1">IF(A4863="","",[1]!s_techanal_rcnthigh(B4863,$B$2,1,3))</f>
        <v>0</v>
      </c>
      <c r="E4863">
        <f ca="1">IF(A4863="","",COUNTIF(D$6:D4863,"True"))</f>
        <v>50</v>
      </c>
      <c r="F4863" t="str">
        <f t="shared" si="75"/>
        <v>688311.SH</v>
      </c>
    </row>
    <row r="4864" spans="1:6" x14ac:dyDescent="0.15">
      <c r="A4864" s="2">
        <v>46089</v>
      </c>
      <c r="B4864" s="1" t="s">
        <v>9176</v>
      </c>
      <c r="C4864" s="1" t="s">
        <v>9177</v>
      </c>
      <c r="D4864" t="b">
        <f ca="1">IF(A4864="","",[1]!s_techanal_rcnthigh(B4864,$B$2,1,3))</f>
        <v>0</v>
      </c>
      <c r="E4864">
        <f ca="1">IF(A4864="","",COUNTIF(D$6:D4864,"True"))</f>
        <v>50</v>
      </c>
      <c r="F4864" t="str">
        <f t="shared" si="75"/>
        <v>688312.SH</v>
      </c>
    </row>
    <row r="4865" spans="1:6" x14ac:dyDescent="0.15">
      <c r="A4865" s="2">
        <v>46089</v>
      </c>
      <c r="B4865" s="1" t="s">
        <v>9178</v>
      </c>
      <c r="C4865" s="1" t="s">
        <v>9179</v>
      </c>
      <c r="D4865" t="b">
        <f ca="1">IF(A4865="","",[1]!s_techanal_rcnthigh(B4865,$B$2,1,3))</f>
        <v>0</v>
      </c>
      <c r="E4865">
        <f ca="1">IF(A4865="","",COUNTIF(D$6:D4865,"True"))</f>
        <v>50</v>
      </c>
      <c r="F4865" t="str">
        <f t="shared" si="75"/>
        <v>688313.SH</v>
      </c>
    </row>
    <row r="4866" spans="1:6" x14ac:dyDescent="0.15">
      <c r="A4866" s="2">
        <v>46089</v>
      </c>
      <c r="B4866" s="1" t="s">
        <v>9180</v>
      </c>
      <c r="C4866" s="1" t="s">
        <v>9181</v>
      </c>
      <c r="D4866" t="b">
        <f ca="1">IF(A4866="","",[1]!s_techanal_rcnthigh(B4866,$B$2,1,3))</f>
        <v>0</v>
      </c>
      <c r="E4866">
        <f ca="1">IF(A4866="","",COUNTIF(D$6:D4866,"True"))</f>
        <v>50</v>
      </c>
      <c r="F4866" t="str">
        <f t="shared" si="75"/>
        <v>688314.SH</v>
      </c>
    </row>
    <row r="4867" spans="1:6" x14ac:dyDescent="0.15">
      <c r="A4867" s="2">
        <v>46089</v>
      </c>
      <c r="B4867" s="1" t="s">
        <v>9182</v>
      </c>
      <c r="C4867" s="1" t="s">
        <v>9183</v>
      </c>
      <c r="D4867" t="b">
        <f ca="1">IF(A4867="","",[1]!s_techanal_rcnthigh(B4867,$B$2,1,3))</f>
        <v>0</v>
      </c>
      <c r="E4867">
        <f ca="1">IF(A4867="","",COUNTIF(D$6:D4867,"True"))</f>
        <v>50</v>
      </c>
      <c r="F4867" t="str">
        <f t="shared" si="75"/>
        <v>688315.SH</v>
      </c>
    </row>
    <row r="4868" spans="1:6" x14ac:dyDescent="0.15">
      <c r="A4868" s="2">
        <v>46089</v>
      </c>
      <c r="B4868" s="1" t="s">
        <v>9184</v>
      </c>
      <c r="C4868" s="1" t="s">
        <v>9185</v>
      </c>
      <c r="D4868" t="b">
        <f ca="1">IF(A4868="","",[1]!s_techanal_rcnthigh(B4868,$B$2,1,3))</f>
        <v>0</v>
      </c>
      <c r="E4868">
        <f ca="1">IF(A4868="","",COUNTIF(D$6:D4868,"True"))</f>
        <v>50</v>
      </c>
      <c r="F4868" t="str">
        <f t="shared" si="75"/>
        <v>688316.SH</v>
      </c>
    </row>
    <row r="4869" spans="1:6" x14ac:dyDescent="0.15">
      <c r="A4869" s="2">
        <v>46089</v>
      </c>
      <c r="B4869" s="1" t="s">
        <v>9186</v>
      </c>
      <c r="C4869" s="1" t="s">
        <v>9187</v>
      </c>
      <c r="D4869" t="b">
        <f ca="1">IF(A4869="","",[1]!s_techanal_rcnthigh(B4869,$B$2,1,3))</f>
        <v>0</v>
      </c>
      <c r="E4869">
        <f ca="1">IF(A4869="","",COUNTIF(D$6:D4869,"True"))</f>
        <v>50</v>
      </c>
      <c r="F4869" t="str">
        <f t="shared" si="75"/>
        <v>688317.SH</v>
      </c>
    </row>
    <row r="4870" spans="1:6" x14ac:dyDescent="0.15">
      <c r="A4870" s="2">
        <v>46089</v>
      </c>
      <c r="B4870" s="1" t="s">
        <v>9188</v>
      </c>
      <c r="C4870" s="1" t="s">
        <v>9189</v>
      </c>
      <c r="D4870" t="b">
        <f ca="1">IF(A4870="","",[1]!s_techanal_rcnthigh(B4870,$B$2,1,3))</f>
        <v>0</v>
      </c>
      <c r="E4870">
        <f ca="1">IF(A4870="","",COUNTIF(D$6:D4870,"True"))</f>
        <v>50</v>
      </c>
      <c r="F4870" t="str">
        <f t="shared" ref="F4870:F4933" si="76">IF(B4870="","",B4870)</f>
        <v>688318.SH</v>
      </c>
    </row>
    <row r="4871" spans="1:6" x14ac:dyDescent="0.15">
      <c r="A4871" s="2">
        <v>46089</v>
      </c>
      <c r="B4871" s="1" t="s">
        <v>9190</v>
      </c>
      <c r="C4871" s="1" t="s">
        <v>9191</v>
      </c>
      <c r="D4871" t="b">
        <f ca="1">IF(A4871="","",[1]!s_techanal_rcnthigh(B4871,$B$2,1,3))</f>
        <v>0</v>
      </c>
      <c r="E4871">
        <f ca="1">IF(A4871="","",COUNTIF(D$6:D4871,"True"))</f>
        <v>50</v>
      </c>
      <c r="F4871" t="str">
        <f t="shared" si="76"/>
        <v>688319.SH</v>
      </c>
    </row>
    <row r="4872" spans="1:6" x14ac:dyDescent="0.15">
      <c r="A4872" s="2">
        <v>46089</v>
      </c>
      <c r="B4872" s="1" t="s">
        <v>9192</v>
      </c>
      <c r="C4872" s="1" t="s">
        <v>9193</v>
      </c>
      <c r="D4872" t="b">
        <f ca="1">IF(A4872="","",[1]!s_techanal_rcnthigh(B4872,$B$2,1,3))</f>
        <v>0</v>
      </c>
      <c r="E4872">
        <f ca="1">IF(A4872="","",COUNTIF(D$6:D4872,"True"))</f>
        <v>50</v>
      </c>
      <c r="F4872" t="str">
        <f t="shared" si="76"/>
        <v>688320.SH</v>
      </c>
    </row>
    <row r="4873" spans="1:6" x14ac:dyDescent="0.15">
      <c r="A4873" s="2">
        <v>46089</v>
      </c>
      <c r="B4873" s="1" t="s">
        <v>9194</v>
      </c>
      <c r="C4873" s="1" t="s">
        <v>9195</v>
      </c>
      <c r="D4873" t="b">
        <f ca="1">IF(A4873="","",[1]!s_techanal_rcnthigh(B4873,$B$2,1,3))</f>
        <v>0</v>
      </c>
      <c r="E4873">
        <f ca="1">IF(A4873="","",COUNTIF(D$6:D4873,"True"))</f>
        <v>50</v>
      </c>
      <c r="F4873" t="str">
        <f t="shared" si="76"/>
        <v>688321.SH</v>
      </c>
    </row>
    <row r="4874" spans="1:6" x14ac:dyDescent="0.15">
      <c r="A4874" s="2">
        <v>46089</v>
      </c>
      <c r="B4874" s="1" t="s">
        <v>9196</v>
      </c>
      <c r="C4874" s="1" t="s">
        <v>9197</v>
      </c>
      <c r="D4874" t="b">
        <f ca="1">IF(A4874="","",[1]!s_techanal_rcnthigh(B4874,$B$2,1,3))</f>
        <v>0</v>
      </c>
      <c r="E4874">
        <f ca="1">IF(A4874="","",COUNTIF(D$6:D4874,"True"))</f>
        <v>50</v>
      </c>
      <c r="F4874" t="str">
        <f t="shared" si="76"/>
        <v>688322.SH</v>
      </c>
    </row>
    <row r="4875" spans="1:6" x14ac:dyDescent="0.15">
      <c r="A4875" s="2">
        <v>46089</v>
      </c>
      <c r="B4875" s="1" t="s">
        <v>9198</v>
      </c>
      <c r="C4875" s="1" t="s">
        <v>9199</v>
      </c>
      <c r="D4875" t="b">
        <f ca="1">IF(A4875="","",[1]!s_techanal_rcnthigh(B4875,$B$2,1,3))</f>
        <v>0</v>
      </c>
      <c r="E4875">
        <f ca="1">IF(A4875="","",COUNTIF(D$6:D4875,"True"))</f>
        <v>50</v>
      </c>
      <c r="F4875" t="str">
        <f t="shared" si="76"/>
        <v>688323.SH</v>
      </c>
    </row>
    <row r="4876" spans="1:6" x14ac:dyDescent="0.15">
      <c r="A4876" s="2">
        <v>46089</v>
      </c>
      <c r="B4876" s="1" t="s">
        <v>9200</v>
      </c>
      <c r="C4876" s="1" t="s">
        <v>9201</v>
      </c>
      <c r="D4876" t="b">
        <f ca="1">IF(A4876="","",[1]!s_techanal_rcnthigh(B4876,$B$2,1,3))</f>
        <v>0</v>
      </c>
      <c r="E4876">
        <f ca="1">IF(A4876="","",COUNTIF(D$6:D4876,"True"))</f>
        <v>50</v>
      </c>
      <c r="F4876" t="str">
        <f t="shared" si="76"/>
        <v>688325.SH</v>
      </c>
    </row>
    <row r="4877" spans="1:6" x14ac:dyDescent="0.15">
      <c r="A4877" s="2">
        <v>46089</v>
      </c>
      <c r="B4877" s="1" t="s">
        <v>9202</v>
      </c>
      <c r="C4877" s="1" t="s">
        <v>9203</v>
      </c>
      <c r="D4877" t="b">
        <f ca="1">IF(A4877="","",[1]!s_techanal_rcnthigh(B4877,$B$2,1,3))</f>
        <v>0</v>
      </c>
      <c r="E4877">
        <f ca="1">IF(A4877="","",COUNTIF(D$6:D4877,"True"))</f>
        <v>50</v>
      </c>
      <c r="F4877" t="str">
        <f t="shared" si="76"/>
        <v>688326.SH</v>
      </c>
    </row>
    <row r="4878" spans="1:6" x14ac:dyDescent="0.15">
      <c r="A4878" s="2">
        <v>46089</v>
      </c>
      <c r="B4878" s="1" t="s">
        <v>9204</v>
      </c>
      <c r="C4878" s="1" t="s">
        <v>9205</v>
      </c>
      <c r="D4878" t="b">
        <f ca="1">IF(A4878="","",[1]!s_techanal_rcnthigh(B4878,$B$2,1,3))</f>
        <v>0</v>
      </c>
      <c r="E4878">
        <f ca="1">IF(A4878="","",COUNTIF(D$6:D4878,"True"))</f>
        <v>50</v>
      </c>
      <c r="F4878" t="str">
        <f t="shared" si="76"/>
        <v>688327.SH</v>
      </c>
    </row>
    <row r="4879" spans="1:6" x14ac:dyDescent="0.15">
      <c r="A4879" s="2">
        <v>46089</v>
      </c>
      <c r="B4879" s="1" t="s">
        <v>9206</v>
      </c>
      <c r="C4879" s="1" t="s">
        <v>9207</v>
      </c>
      <c r="D4879" t="b">
        <f ca="1">IF(A4879="","",[1]!s_techanal_rcnthigh(B4879,$B$2,1,3))</f>
        <v>0</v>
      </c>
      <c r="E4879">
        <f ca="1">IF(A4879="","",COUNTIF(D$6:D4879,"True"))</f>
        <v>50</v>
      </c>
      <c r="F4879" t="str">
        <f t="shared" si="76"/>
        <v>688328.SH</v>
      </c>
    </row>
    <row r="4880" spans="1:6" x14ac:dyDescent="0.15">
      <c r="A4880" s="2">
        <v>46089</v>
      </c>
      <c r="B4880" s="1" t="s">
        <v>9208</v>
      </c>
      <c r="C4880" s="1" t="s">
        <v>9209</v>
      </c>
      <c r="D4880" t="b">
        <f ca="1">IF(A4880="","",[1]!s_techanal_rcnthigh(B4880,$B$2,1,3))</f>
        <v>0</v>
      </c>
      <c r="E4880">
        <f ca="1">IF(A4880="","",COUNTIF(D$6:D4880,"True"))</f>
        <v>50</v>
      </c>
      <c r="F4880" t="str">
        <f t="shared" si="76"/>
        <v>688329.SH</v>
      </c>
    </row>
    <row r="4881" spans="1:6" x14ac:dyDescent="0.15">
      <c r="A4881" s="2">
        <v>46089</v>
      </c>
      <c r="B4881" s="1" t="s">
        <v>9210</v>
      </c>
      <c r="C4881" s="1" t="s">
        <v>9211</v>
      </c>
      <c r="D4881" t="b">
        <f ca="1">IF(A4881="","",[1]!s_techanal_rcnthigh(B4881,$B$2,1,3))</f>
        <v>0</v>
      </c>
      <c r="E4881">
        <f ca="1">IF(A4881="","",COUNTIF(D$6:D4881,"True"))</f>
        <v>50</v>
      </c>
      <c r="F4881" t="str">
        <f t="shared" si="76"/>
        <v>688330.SH</v>
      </c>
    </row>
    <row r="4882" spans="1:6" x14ac:dyDescent="0.15">
      <c r="A4882" s="2">
        <v>46089</v>
      </c>
      <c r="B4882" s="1" t="s">
        <v>9212</v>
      </c>
      <c r="C4882" s="1" t="s">
        <v>9213</v>
      </c>
      <c r="D4882" t="b">
        <f ca="1">IF(A4882="","",[1]!s_techanal_rcnthigh(B4882,$B$2,1,3))</f>
        <v>0</v>
      </c>
      <c r="E4882">
        <f ca="1">IF(A4882="","",COUNTIF(D$6:D4882,"True"))</f>
        <v>50</v>
      </c>
      <c r="F4882" t="str">
        <f t="shared" si="76"/>
        <v>688331.SH</v>
      </c>
    </row>
    <row r="4883" spans="1:6" x14ac:dyDescent="0.15">
      <c r="A4883" s="2">
        <v>46089</v>
      </c>
      <c r="B4883" s="1" t="s">
        <v>9214</v>
      </c>
      <c r="C4883" s="1" t="s">
        <v>9215</v>
      </c>
      <c r="D4883" t="b">
        <f ca="1">IF(A4883="","",[1]!s_techanal_rcnthigh(B4883,$B$2,1,3))</f>
        <v>0</v>
      </c>
      <c r="E4883">
        <f ca="1">IF(A4883="","",COUNTIF(D$6:D4883,"True"))</f>
        <v>50</v>
      </c>
      <c r="F4883" t="str">
        <f t="shared" si="76"/>
        <v>688332.SH</v>
      </c>
    </row>
    <row r="4884" spans="1:6" x14ac:dyDescent="0.15">
      <c r="A4884" s="2">
        <v>46089</v>
      </c>
      <c r="B4884" s="1" t="s">
        <v>9216</v>
      </c>
      <c r="C4884" s="1" t="s">
        <v>9217</v>
      </c>
      <c r="D4884" t="b">
        <f ca="1">IF(A4884="","",[1]!s_techanal_rcnthigh(B4884,$B$2,1,3))</f>
        <v>0</v>
      </c>
      <c r="E4884">
        <f ca="1">IF(A4884="","",COUNTIF(D$6:D4884,"True"))</f>
        <v>50</v>
      </c>
      <c r="F4884" t="str">
        <f t="shared" si="76"/>
        <v>688333.SH</v>
      </c>
    </row>
    <row r="4885" spans="1:6" x14ac:dyDescent="0.15">
      <c r="A4885" s="2">
        <v>46089</v>
      </c>
      <c r="B4885" s="1" t="s">
        <v>9218</v>
      </c>
      <c r="C4885" s="1" t="s">
        <v>9219</v>
      </c>
      <c r="D4885" t="b">
        <f ca="1">IF(A4885="","",[1]!s_techanal_rcnthigh(B4885,$B$2,1,3))</f>
        <v>0</v>
      </c>
      <c r="E4885">
        <f ca="1">IF(A4885="","",COUNTIF(D$6:D4885,"True"))</f>
        <v>50</v>
      </c>
      <c r="F4885" t="str">
        <f t="shared" si="76"/>
        <v>688334.SH</v>
      </c>
    </row>
    <row r="4886" spans="1:6" x14ac:dyDescent="0.15">
      <c r="A4886" s="2">
        <v>46089</v>
      </c>
      <c r="B4886" s="1" t="s">
        <v>9220</v>
      </c>
      <c r="C4886" s="1" t="s">
        <v>10577</v>
      </c>
      <c r="D4886" t="b">
        <f ca="1">IF(A4886="","",[1]!s_techanal_rcnthigh(B4886,$B$2,1,3))</f>
        <v>0</v>
      </c>
      <c r="E4886">
        <f ca="1">IF(A4886="","",COUNTIF(D$6:D4886,"True"))</f>
        <v>50</v>
      </c>
      <c r="F4886" t="str">
        <f t="shared" si="76"/>
        <v>688335.SH</v>
      </c>
    </row>
    <row r="4887" spans="1:6" x14ac:dyDescent="0.15">
      <c r="A4887" s="2">
        <v>46089</v>
      </c>
      <c r="B4887" s="1" t="s">
        <v>9221</v>
      </c>
      <c r="C4887" s="1" t="s">
        <v>9222</v>
      </c>
      <c r="D4887" t="b">
        <f ca="1">IF(A4887="","",[1]!s_techanal_rcnthigh(B4887,$B$2,1,3))</f>
        <v>0</v>
      </c>
      <c r="E4887">
        <f ca="1">IF(A4887="","",COUNTIF(D$6:D4887,"True"))</f>
        <v>50</v>
      </c>
      <c r="F4887" t="str">
        <f t="shared" si="76"/>
        <v>688336.SH</v>
      </c>
    </row>
    <row r="4888" spans="1:6" x14ac:dyDescent="0.15">
      <c r="A4888" s="2">
        <v>46089</v>
      </c>
      <c r="B4888" s="1" t="s">
        <v>9223</v>
      </c>
      <c r="C4888" s="1" t="s">
        <v>9224</v>
      </c>
      <c r="D4888" t="b">
        <f ca="1">IF(A4888="","",[1]!s_techanal_rcnthigh(B4888,$B$2,1,3))</f>
        <v>0</v>
      </c>
      <c r="E4888">
        <f ca="1">IF(A4888="","",COUNTIF(D$6:D4888,"True"))</f>
        <v>50</v>
      </c>
      <c r="F4888" t="str">
        <f t="shared" si="76"/>
        <v>688337.SH</v>
      </c>
    </row>
    <row r="4889" spans="1:6" x14ac:dyDescent="0.15">
      <c r="A4889" s="2">
        <v>46089</v>
      </c>
      <c r="B4889" s="1" t="s">
        <v>9225</v>
      </c>
      <c r="C4889" s="1" t="s">
        <v>9226</v>
      </c>
      <c r="D4889" t="b">
        <f ca="1">IF(A4889="","",[1]!s_techanal_rcnthigh(B4889,$B$2,1,3))</f>
        <v>0</v>
      </c>
      <c r="E4889">
        <f ca="1">IF(A4889="","",COUNTIF(D$6:D4889,"True"))</f>
        <v>50</v>
      </c>
      <c r="F4889" t="str">
        <f t="shared" si="76"/>
        <v>688338.SH</v>
      </c>
    </row>
    <row r="4890" spans="1:6" x14ac:dyDescent="0.15">
      <c r="A4890" s="2">
        <v>46089</v>
      </c>
      <c r="B4890" s="1" t="s">
        <v>9227</v>
      </c>
      <c r="C4890" s="1" t="s">
        <v>9228</v>
      </c>
      <c r="D4890" t="b">
        <f ca="1">IF(A4890="","",[1]!s_techanal_rcnthigh(B4890,$B$2,1,3))</f>
        <v>0</v>
      </c>
      <c r="E4890">
        <f ca="1">IF(A4890="","",COUNTIF(D$6:D4890,"True"))</f>
        <v>50</v>
      </c>
      <c r="F4890" t="str">
        <f t="shared" si="76"/>
        <v>688339.SH</v>
      </c>
    </row>
    <row r="4891" spans="1:6" x14ac:dyDescent="0.15">
      <c r="A4891" s="2">
        <v>46089</v>
      </c>
      <c r="B4891" s="1" t="s">
        <v>9229</v>
      </c>
      <c r="C4891" s="1" t="s">
        <v>9230</v>
      </c>
      <c r="D4891" t="b">
        <f ca="1">IF(A4891="","",[1]!s_techanal_rcnthigh(B4891,$B$2,1,3))</f>
        <v>0</v>
      </c>
      <c r="E4891">
        <f ca="1">IF(A4891="","",COUNTIF(D$6:D4891,"True"))</f>
        <v>50</v>
      </c>
      <c r="F4891" t="str">
        <f t="shared" si="76"/>
        <v>688343.SH</v>
      </c>
    </row>
    <row r="4892" spans="1:6" x14ac:dyDescent="0.15">
      <c r="A4892" s="2">
        <v>46089</v>
      </c>
      <c r="B4892" s="1" t="s">
        <v>9231</v>
      </c>
      <c r="C4892" s="1" t="s">
        <v>9232</v>
      </c>
      <c r="D4892" t="b">
        <f ca="1">IF(A4892="","",[1]!s_techanal_rcnthigh(B4892,$B$2,1,3))</f>
        <v>0</v>
      </c>
      <c r="E4892">
        <f ca="1">IF(A4892="","",COUNTIF(D$6:D4892,"True"))</f>
        <v>50</v>
      </c>
      <c r="F4892" t="str">
        <f t="shared" si="76"/>
        <v>688345.SH</v>
      </c>
    </row>
    <row r="4893" spans="1:6" x14ac:dyDescent="0.15">
      <c r="A4893" s="2">
        <v>46089</v>
      </c>
      <c r="B4893" s="1" t="s">
        <v>9233</v>
      </c>
      <c r="C4893" s="1" t="s">
        <v>9234</v>
      </c>
      <c r="D4893" t="b">
        <f ca="1">IF(A4893="","",[1]!s_techanal_rcnthigh(B4893,$B$2,1,3))</f>
        <v>0</v>
      </c>
      <c r="E4893">
        <f ca="1">IF(A4893="","",COUNTIF(D$6:D4893,"True"))</f>
        <v>50</v>
      </c>
      <c r="F4893" t="str">
        <f t="shared" si="76"/>
        <v>688347.SH</v>
      </c>
    </row>
    <row r="4894" spans="1:6" x14ac:dyDescent="0.15">
      <c r="A4894" s="2">
        <v>46089</v>
      </c>
      <c r="B4894" s="1" t="s">
        <v>9235</v>
      </c>
      <c r="C4894" s="1" t="s">
        <v>9236</v>
      </c>
      <c r="D4894" t="b">
        <f ca="1">IF(A4894="","",[1]!s_techanal_rcnthigh(B4894,$B$2,1,3))</f>
        <v>0</v>
      </c>
      <c r="E4894">
        <f ca="1">IF(A4894="","",COUNTIF(D$6:D4894,"True"))</f>
        <v>50</v>
      </c>
      <c r="F4894" t="str">
        <f t="shared" si="76"/>
        <v>688348.SH</v>
      </c>
    </row>
    <row r="4895" spans="1:6" x14ac:dyDescent="0.15">
      <c r="A4895" s="2">
        <v>46089</v>
      </c>
      <c r="B4895" s="1" t="s">
        <v>9237</v>
      </c>
      <c r="C4895" s="1" t="s">
        <v>9238</v>
      </c>
      <c r="D4895" t="b">
        <f ca="1">IF(A4895="","",[1]!s_techanal_rcnthigh(B4895,$B$2,1,3))</f>
        <v>0</v>
      </c>
      <c r="E4895">
        <f ca="1">IF(A4895="","",COUNTIF(D$6:D4895,"True"))</f>
        <v>50</v>
      </c>
      <c r="F4895" t="str">
        <f t="shared" si="76"/>
        <v>688349.SH</v>
      </c>
    </row>
    <row r="4896" spans="1:6" x14ac:dyDescent="0.15">
      <c r="A4896" s="2">
        <v>46089</v>
      </c>
      <c r="B4896" s="1" t="s">
        <v>9239</v>
      </c>
      <c r="C4896" s="1" t="s">
        <v>9240</v>
      </c>
      <c r="D4896" t="b">
        <f ca="1">IF(A4896="","",[1]!s_techanal_rcnthigh(B4896,$B$2,1,3))</f>
        <v>0</v>
      </c>
      <c r="E4896">
        <f ca="1">IF(A4896="","",COUNTIF(D$6:D4896,"True"))</f>
        <v>50</v>
      </c>
      <c r="F4896" t="str">
        <f t="shared" si="76"/>
        <v>688350.SH</v>
      </c>
    </row>
    <row r="4897" spans="1:6" x14ac:dyDescent="0.15">
      <c r="A4897" s="2">
        <v>46089</v>
      </c>
      <c r="B4897" s="1" t="s">
        <v>9241</v>
      </c>
      <c r="C4897" s="1" t="s">
        <v>10578</v>
      </c>
      <c r="D4897" t="b">
        <f ca="1">IF(A4897="","",[1]!s_techanal_rcnthigh(B4897,$B$2,1,3))</f>
        <v>0</v>
      </c>
      <c r="E4897">
        <f ca="1">IF(A4897="","",COUNTIF(D$6:D4897,"True"))</f>
        <v>50</v>
      </c>
      <c r="F4897" t="str">
        <f t="shared" si="76"/>
        <v>688351.SH</v>
      </c>
    </row>
    <row r="4898" spans="1:6" x14ac:dyDescent="0.15">
      <c r="A4898" s="2">
        <v>46089</v>
      </c>
      <c r="B4898" s="1" t="s">
        <v>9242</v>
      </c>
      <c r="C4898" s="1" t="s">
        <v>9243</v>
      </c>
      <c r="D4898" t="b">
        <f ca="1">IF(A4898="","",[1]!s_techanal_rcnthigh(B4898,$B$2,1,3))</f>
        <v>0</v>
      </c>
      <c r="E4898">
        <f ca="1">IF(A4898="","",COUNTIF(D$6:D4898,"True"))</f>
        <v>50</v>
      </c>
      <c r="F4898" t="str">
        <f t="shared" si="76"/>
        <v>688352.SH</v>
      </c>
    </row>
    <row r="4899" spans="1:6" x14ac:dyDescent="0.15">
      <c r="A4899" s="2">
        <v>46089</v>
      </c>
      <c r="B4899" s="1" t="s">
        <v>9244</v>
      </c>
      <c r="C4899" s="1" t="s">
        <v>9245</v>
      </c>
      <c r="D4899" t="b">
        <f ca="1">IF(A4899="","",[1]!s_techanal_rcnthigh(B4899,$B$2,1,3))</f>
        <v>0</v>
      </c>
      <c r="E4899">
        <f ca="1">IF(A4899="","",COUNTIF(D$6:D4899,"True"))</f>
        <v>50</v>
      </c>
      <c r="F4899" t="str">
        <f t="shared" si="76"/>
        <v>688353.SH</v>
      </c>
    </row>
    <row r="4900" spans="1:6" x14ac:dyDescent="0.15">
      <c r="A4900" s="2">
        <v>46089</v>
      </c>
      <c r="B4900" s="1" t="s">
        <v>9246</v>
      </c>
      <c r="C4900" s="1" t="s">
        <v>9247</v>
      </c>
      <c r="D4900" t="b">
        <f ca="1">IF(A4900="","",[1]!s_techanal_rcnthigh(B4900,$B$2,1,3))</f>
        <v>0</v>
      </c>
      <c r="E4900">
        <f ca="1">IF(A4900="","",COUNTIF(D$6:D4900,"True"))</f>
        <v>50</v>
      </c>
      <c r="F4900" t="str">
        <f t="shared" si="76"/>
        <v>688355.SH</v>
      </c>
    </row>
    <row r="4901" spans="1:6" x14ac:dyDescent="0.15">
      <c r="A4901" s="2">
        <v>46089</v>
      </c>
      <c r="B4901" s="1" t="s">
        <v>9248</v>
      </c>
      <c r="C4901" s="1" t="s">
        <v>9249</v>
      </c>
      <c r="D4901" t="b">
        <f ca="1">IF(A4901="","",[1]!s_techanal_rcnthigh(B4901,$B$2,1,3))</f>
        <v>0</v>
      </c>
      <c r="E4901">
        <f ca="1">IF(A4901="","",COUNTIF(D$6:D4901,"True"))</f>
        <v>50</v>
      </c>
      <c r="F4901" t="str">
        <f t="shared" si="76"/>
        <v>688356.SH</v>
      </c>
    </row>
    <row r="4902" spans="1:6" x14ac:dyDescent="0.15">
      <c r="A4902" s="2">
        <v>46089</v>
      </c>
      <c r="B4902" s="1" t="s">
        <v>9250</v>
      </c>
      <c r="C4902" s="1" t="s">
        <v>9251</v>
      </c>
      <c r="D4902" t="b">
        <f ca="1">IF(A4902="","",[1]!s_techanal_rcnthigh(B4902,$B$2,1,3))</f>
        <v>0</v>
      </c>
      <c r="E4902">
        <f ca="1">IF(A4902="","",COUNTIF(D$6:D4902,"True"))</f>
        <v>50</v>
      </c>
      <c r="F4902" t="str">
        <f t="shared" si="76"/>
        <v>688357.SH</v>
      </c>
    </row>
    <row r="4903" spans="1:6" x14ac:dyDescent="0.15">
      <c r="A4903" s="2">
        <v>46089</v>
      </c>
      <c r="B4903" s="1" t="s">
        <v>9252</v>
      </c>
      <c r="C4903" s="1" t="s">
        <v>9253</v>
      </c>
      <c r="D4903" t="b">
        <f ca="1">IF(A4903="","",[1]!s_techanal_rcnthigh(B4903,$B$2,1,3))</f>
        <v>0</v>
      </c>
      <c r="E4903">
        <f ca="1">IF(A4903="","",COUNTIF(D$6:D4903,"True"))</f>
        <v>50</v>
      </c>
      <c r="F4903" t="str">
        <f t="shared" si="76"/>
        <v>688358.SH</v>
      </c>
    </row>
    <row r="4904" spans="1:6" x14ac:dyDescent="0.15">
      <c r="A4904" s="2">
        <v>46089</v>
      </c>
      <c r="B4904" s="1" t="s">
        <v>9254</v>
      </c>
      <c r="C4904" s="1" t="s">
        <v>9255</v>
      </c>
      <c r="D4904" t="b">
        <f ca="1">IF(A4904="","",[1]!s_techanal_rcnthigh(B4904,$B$2,1,3))</f>
        <v>0</v>
      </c>
      <c r="E4904">
        <f ca="1">IF(A4904="","",COUNTIF(D$6:D4904,"True"))</f>
        <v>50</v>
      </c>
      <c r="F4904" t="str">
        <f t="shared" si="76"/>
        <v>688359.SH</v>
      </c>
    </row>
    <row r="4905" spans="1:6" x14ac:dyDescent="0.15">
      <c r="A4905" s="2">
        <v>46089</v>
      </c>
      <c r="B4905" s="1" t="s">
        <v>9256</v>
      </c>
      <c r="C4905" s="1" t="s">
        <v>9257</v>
      </c>
      <c r="D4905" t="b">
        <f ca="1">IF(A4905="","",[1]!s_techanal_rcnthigh(B4905,$B$2,1,3))</f>
        <v>0</v>
      </c>
      <c r="E4905">
        <f ca="1">IF(A4905="","",COUNTIF(D$6:D4905,"True"))</f>
        <v>50</v>
      </c>
      <c r="F4905" t="str">
        <f t="shared" si="76"/>
        <v>688360.SH</v>
      </c>
    </row>
    <row r="4906" spans="1:6" x14ac:dyDescent="0.15">
      <c r="A4906" s="2">
        <v>46089</v>
      </c>
      <c r="B4906" s="1" t="s">
        <v>9258</v>
      </c>
      <c r="C4906" s="1" t="s">
        <v>10579</v>
      </c>
      <c r="D4906" t="b">
        <f ca="1">IF(A4906="","",[1]!s_techanal_rcnthigh(B4906,$B$2,1,3))</f>
        <v>0</v>
      </c>
      <c r="E4906">
        <f ca="1">IF(A4906="","",COUNTIF(D$6:D4906,"True"))</f>
        <v>50</v>
      </c>
      <c r="F4906" t="str">
        <f t="shared" si="76"/>
        <v>688361.SH</v>
      </c>
    </row>
    <row r="4907" spans="1:6" x14ac:dyDescent="0.15">
      <c r="A4907" s="2">
        <v>46089</v>
      </c>
      <c r="B4907" s="1" t="s">
        <v>9259</v>
      </c>
      <c r="C4907" s="1" t="s">
        <v>9260</v>
      </c>
      <c r="D4907" t="b">
        <f ca="1">IF(A4907="","",[1]!s_techanal_rcnthigh(B4907,$B$2,1,3))</f>
        <v>0</v>
      </c>
      <c r="E4907">
        <f ca="1">IF(A4907="","",COUNTIF(D$6:D4907,"True"))</f>
        <v>50</v>
      </c>
      <c r="F4907" t="str">
        <f t="shared" si="76"/>
        <v>688362.SH</v>
      </c>
    </row>
    <row r="4908" spans="1:6" x14ac:dyDescent="0.15">
      <c r="A4908" s="2">
        <v>46089</v>
      </c>
      <c r="B4908" s="1" t="s">
        <v>9261</v>
      </c>
      <c r="C4908" s="1" t="s">
        <v>9262</v>
      </c>
      <c r="D4908" t="b">
        <f ca="1">IF(A4908="","",[1]!s_techanal_rcnthigh(B4908,$B$2,1,3))</f>
        <v>0</v>
      </c>
      <c r="E4908">
        <f ca="1">IF(A4908="","",COUNTIF(D$6:D4908,"True"))</f>
        <v>50</v>
      </c>
      <c r="F4908" t="str">
        <f t="shared" si="76"/>
        <v>688363.SH</v>
      </c>
    </row>
    <row r="4909" spans="1:6" x14ac:dyDescent="0.15">
      <c r="A4909" s="2">
        <v>46089</v>
      </c>
      <c r="B4909" s="1" t="s">
        <v>9263</v>
      </c>
      <c r="C4909" s="1" t="s">
        <v>9264</v>
      </c>
      <c r="D4909" t="b">
        <f ca="1">IF(A4909="","",[1]!s_techanal_rcnthigh(B4909,$B$2,1,3))</f>
        <v>0</v>
      </c>
      <c r="E4909">
        <f ca="1">IF(A4909="","",COUNTIF(D$6:D4909,"True"))</f>
        <v>50</v>
      </c>
      <c r="F4909" t="str">
        <f t="shared" si="76"/>
        <v>688365.SH</v>
      </c>
    </row>
    <row r="4910" spans="1:6" x14ac:dyDescent="0.15">
      <c r="A4910" s="2">
        <v>46089</v>
      </c>
      <c r="B4910" s="1" t="s">
        <v>9265</v>
      </c>
      <c r="C4910" s="1" t="s">
        <v>9266</v>
      </c>
      <c r="D4910" t="b">
        <f ca="1">IF(A4910="","",[1]!s_techanal_rcnthigh(B4910,$B$2,1,3))</f>
        <v>0</v>
      </c>
      <c r="E4910">
        <f ca="1">IF(A4910="","",COUNTIF(D$6:D4910,"True"))</f>
        <v>50</v>
      </c>
      <c r="F4910" t="str">
        <f t="shared" si="76"/>
        <v>688366.SH</v>
      </c>
    </row>
    <row r="4911" spans="1:6" x14ac:dyDescent="0.15">
      <c r="A4911" s="2">
        <v>46089</v>
      </c>
      <c r="B4911" s="1" t="s">
        <v>9267</v>
      </c>
      <c r="C4911" s="1" t="s">
        <v>9268</v>
      </c>
      <c r="D4911" t="b">
        <f ca="1">IF(A4911="","",[1]!s_techanal_rcnthigh(B4911,$B$2,1,3))</f>
        <v>0</v>
      </c>
      <c r="E4911">
        <f ca="1">IF(A4911="","",COUNTIF(D$6:D4911,"True"))</f>
        <v>50</v>
      </c>
      <c r="F4911" t="str">
        <f t="shared" si="76"/>
        <v>688367.SH</v>
      </c>
    </row>
    <row r="4912" spans="1:6" x14ac:dyDescent="0.15">
      <c r="A4912" s="2">
        <v>46089</v>
      </c>
      <c r="B4912" s="1" t="s">
        <v>9269</v>
      </c>
      <c r="C4912" s="1" t="s">
        <v>9270</v>
      </c>
      <c r="D4912" t="b">
        <f ca="1">IF(A4912="","",[1]!s_techanal_rcnthigh(B4912,$B$2,1,3))</f>
        <v>0</v>
      </c>
      <c r="E4912">
        <f ca="1">IF(A4912="","",COUNTIF(D$6:D4912,"True"))</f>
        <v>50</v>
      </c>
      <c r="F4912" t="str">
        <f t="shared" si="76"/>
        <v>688368.SH</v>
      </c>
    </row>
    <row r="4913" spans="1:6" x14ac:dyDescent="0.15">
      <c r="A4913" s="2">
        <v>46089</v>
      </c>
      <c r="B4913" s="1" t="s">
        <v>9271</v>
      </c>
      <c r="C4913" s="1" t="s">
        <v>9272</v>
      </c>
      <c r="D4913" t="b">
        <f ca="1">IF(A4913="","",[1]!s_techanal_rcnthigh(B4913,$B$2,1,3))</f>
        <v>0</v>
      </c>
      <c r="E4913">
        <f ca="1">IF(A4913="","",COUNTIF(D$6:D4913,"True"))</f>
        <v>50</v>
      </c>
      <c r="F4913" t="str">
        <f t="shared" si="76"/>
        <v>688369.SH</v>
      </c>
    </row>
    <row r="4914" spans="1:6" x14ac:dyDescent="0.15">
      <c r="A4914" s="2">
        <v>46089</v>
      </c>
      <c r="B4914" s="1" t="s">
        <v>9273</v>
      </c>
      <c r="C4914" s="1" t="s">
        <v>9274</v>
      </c>
      <c r="D4914" t="b">
        <f ca="1">IF(A4914="","",[1]!s_techanal_rcnthigh(B4914,$B$2,1,3))</f>
        <v>0</v>
      </c>
      <c r="E4914">
        <f ca="1">IF(A4914="","",COUNTIF(D$6:D4914,"True"))</f>
        <v>50</v>
      </c>
      <c r="F4914" t="str">
        <f t="shared" si="76"/>
        <v>688370.SH</v>
      </c>
    </row>
    <row r="4915" spans="1:6" x14ac:dyDescent="0.15">
      <c r="A4915" s="2">
        <v>46089</v>
      </c>
      <c r="B4915" s="1" t="s">
        <v>9275</v>
      </c>
      <c r="C4915" s="1" t="s">
        <v>9276</v>
      </c>
      <c r="D4915" t="b">
        <f ca="1">IF(A4915="","",[1]!s_techanal_rcnthigh(B4915,$B$2,1,3))</f>
        <v>0</v>
      </c>
      <c r="E4915">
        <f ca="1">IF(A4915="","",COUNTIF(D$6:D4915,"True"))</f>
        <v>50</v>
      </c>
      <c r="F4915" t="str">
        <f t="shared" si="76"/>
        <v>688371.SH</v>
      </c>
    </row>
    <row r="4916" spans="1:6" x14ac:dyDescent="0.15">
      <c r="A4916" s="2">
        <v>46089</v>
      </c>
      <c r="B4916" s="1" t="s">
        <v>9277</v>
      </c>
      <c r="C4916" s="1" t="s">
        <v>9278</v>
      </c>
      <c r="D4916" t="b">
        <f ca="1">IF(A4916="","",[1]!s_techanal_rcnthigh(B4916,$B$2,1,3))</f>
        <v>1</v>
      </c>
      <c r="E4916">
        <f ca="1">IF(A4916="","",COUNTIF(D$6:D4916,"True"))</f>
        <v>51</v>
      </c>
      <c r="F4916" t="str">
        <f t="shared" si="76"/>
        <v>688372.SH</v>
      </c>
    </row>
    <row r="4917" spans="1:6" x14ac:dyDescent="0.15">
      <c r="A4917" s="2">
        <v>46089</v>
      </c>
      <c r="B4917" s="1" t="s">
        <v>9279</v>
      </c>
      <c r="C4917" s="1" t="s">
        <v>9280</v>
      </c>
      <c r="D4917" t="b">
        <f ca="1">IF(A4917="","",[1]!s_techanal_rcnthigh(B4917,$B$2,1,3))</f>
        <v>0</v>
      </c>
      <c r="E4917">
        <f ca="1">IF(A4917="","",COUNTIF(D$6:D4917,"True"))</f>
        <v>51</v>
      </c>
      <c r="F4917" t="str">
        <f t="shared" si="76"/>
        <v>688373.SH</v>
      </c>
    </row>
    <row r="4918" spans="1:6" x14ac:dyDescent="0.15">
      <c r="A4918" s="2">
        <v>46089</v>
      </c>
      <c r="B4918" s="1" t="s">
        <v>9281</v>
      </c>
      <c r="C4918" s="1" t="s">
        <v>9282</v>
      </c>
      <c r="D4918" t="b">
        <f ca="1">IF(A4918="","",[1]!s_techanal_rcnthigh(B4918,$B$2,1,3))</f>
        <v>0</v>
      </c>
      <c r="E4918">
        <f ca="1">IF(A4918="","",COUNTIF(D$6:D4918,"True"))</f>
        <v>51</v>
      </c>
      <c r="F4918" t="str">
        <f t="shared" si="76"/>
        <v>688375.SH</v>
      </c>
    </row>
    <row r="4919" spans="1:6" x14ac:dyDescent="0.15">
      <c r="A4919" s="2">
        <v>46089</v>
      </c>
      <c r="B4919" s="1" t="s">
        <v>9283</v>
      </c>
      <c r="C4919" s="1" t="s">
        <v>9284</v>
      </c>
      <c r="D4919" t="b">
        <f ca="1">IF(A4919="","",[1]!s_techanal_rcnthigh(B4919,$B$2,1,3))</f>
        <v>0</v>
      </c>
      <c r="E4919">
        <f ca="1">IF(A4919="","",COUNTIF(D$6:D4919,"True"))</f>
        <v>51</v>
      </c>
      <c r="F4919" t="str">
        <f t="shared" si="76"/>
        <v>688376.SH</v>
      </c>
    </row>
    <row r="4920" spans="1:6" x14ac:dyDescent="0.15">
      <c r="A4920" s="2">
        <v>46089</v>
      </c>
      <c r="B4920" s="1" t="s">
        <v>9285</v>
      </c>
      <c r="C4920" s="1" t="s">
        <v>9286</v>
      </c>
      <c r="D4920" t="b">
        <f ca="1">IF(A4920="","",[1]!s_techanal_rcnthigh(B4920,$B$2,1,3))</f>
        <v>0</v>
      </c>
      <c r="E4920">
        <f ca="1">IF(A4920="","",COUNTIF(D$6:D4920,"True"))</f>
        <v>51</v>
      </c>
      <c r="F4920" t="str">
        <f t="shared" si="76"/>
        <v>688377.SH</v>
      </c>
    </row>
    <row r="4921" spans="1:6" x14ac:dyDescent="0.15">
      <c r="A4921" s="2">
        <v>46089</v>
      </c>
      <c r="B4921" s="1" t="s">
        <v>9287</v>
      </c>
      <c r="C4921" s="1" t="s">
        <v>9288</v>
      </c>
      <c r="D4921" t="b">
        <f ca="1">IF(A4921="","",[1]!s_techanal_rcnthigh(B4921,$B$2,1,3))</f>
        <v>0</v>
      </c>
      <c r="E4921">
        <f ca="1">IF(A4921="","",COUNTIF(D$6:D4921,"True"))</f>
        <v>51</v>
      </c>
      <c r="F4921" t="str">
        <f t="shared" si="76"/>
        <v>688378.SH</v>
      </c>
    </row>
    <row r="4922" spans="1:6" x14ac:dyDescent="0.15">
      <c r="A4922" s="2">
        <v>46089</v>
      </c>
      <c r="B4922" s="1" t="s">
        <v>9289</v>
      </c>
      <c r="C4922" s="1" t="s">
        <v>9290</v>
      </c>
      <c r="D4922" t="b">
        <f ca="1">IF(A4922="","",[1]!s_techanal_rcnthigh(B4922,$B$2,1,3))</f>
        <v>0</v>
      </c>
      <c r="E4922">
        <f ca="1">IF(A4922="","",COUNTIF(D$6:D4922,"True"))</f>
        <v>51</v>
      </c>
      <c r="F4922" t="str">
        <f t="shared" si="76"/>
        <v>688379.SH</v>
      </c>
    </row>
    <row r="4923" spans="1:6" x14ac:dyDescent="0.15">
      <c r="A4923" s="2">
        <v>46089</v>
      </c>
      <c r="B4923" s="1" t="s">
        <v>9291</v>
      </c>
      <c r="C4923" s="1" t="s">
        <v>9292</v>
      </c>
      <c r="D4923" t="b">
        <f ca="1">IF(A4923="","",[1]!s_techanal_rcnthigh(B4923,$B$2,1,3))</f>
        <v>0</v>
      </c>
      <c r="E4923">
        <f ca="1">IF(A4923="","",COUNTIF(D$6:D4923,"True"))</f>
        <v>51</v>
      </c>
      <c r="F4923" t="str">
        <f t="shared" si="76"/>
        <v>688380.SH</v>
      </c>
    </row>
    <row r="4924" spans="1:6" x14ac:dyDescent="0.15">
      <c r="A4924" s="2">
        <v>46089</v>
      </c>
      <c r="B4924" s="1" t="s">
        <v>9293</v>
      </c>
      <c r="C4924" s="1" t="s">
        <v>9294</v>
      </c>
      <c r="D4924" t="b">
        <f ca="1">IF(A4924="","",[1]!s_techanal_rcnthigh(B4924,$B$2,1,3))</f>
        <v>0</v>
      </c>
      <c r="E4924">
        <f ca="1">IF(A4924="","",COUNTIF(D$6:D4924,"True"))</f>
        <v>51</v>
      </c>
      <c r="F4924" t="str">
        <f t="shared" si="76"/>
        <v>688381.SH</v>
      </c>
    </row>
    <row r="4925" spans="1:6" x14ac:dyDescent="0.15">
      <c r="A4925" s="2">
        <v>46089</v>
      </c>
      <c r="B4925" s="1" t="s">
        <v>9295</v>
      </c>
      <c r="C4925" s="1" t="s">
        <v>9296</v>
      </c>
      <c r="D4925" t="b">
        <f ca="1">IF(A4925="","",[1]!s_techanal_rcnthigh(B4925,$B$2,1,3))</f>
        <v>0</v>
      </c>
      <c r="E4925">
        <f ca="1">IF(A4925="","",COUNTIF(D$6:D4925,"True"))</f>
        <v>51</v>
      </c>
      <c r="F4925" t="str">
        <f t="shared" si="76"/>
        <v>688382.SH</v>
      </c>
    </row>
    <row r="4926" spans="1:6" x14ac:dyDescent="0.15">
      <c r="A4926" s="2">
        <v>46089</v>
      </c>
      <c r="B4926" s="1" t="s">
        <v>9297</v>
      </c>
      <c r="C4926" s="1" t="s">
        <v>9298</v>
      </c>
      <c r="D4926" t="b">
        <f ca="1">IF(A4926="","",[1]!s_techanal_rcnthigh(B4926,$B$2,1,3))</f>
        <v>0</v>
      </c>
      <c r="E4926">
        <f ca="1">IF(A4926="","",COUNTIF(D$6:D4926,"True"))</f>
        <v>51</v>
      </c>
      <c r="F4926" t="str">
        <f t="shared" si="76"/>
        <v>688383.SH</v>
      </c>
    </row>
    <row r="4927" spans="1:6" x14ac:dyDescent="0.15">
      <c r="A4927" s="2">
        <v>46089</v>
      </c>
      <c r="B4927" s="1" t="s">
        <v>9299</v>
      </c>
      <c r="C4927" s="1" t="s">
        <v>9300</v>
      </c>
      <c r="D4927" t="b">
        <f ca="1">IF(A4927="","",[1]!s_techanal_rcnthigh(B4927,$B$2,1,3))</f>
        <v>0</v>
      </c>
      <c r="E4927">
        <f ca="1">IF(A4927="","",COUNTIF(D$6:D4927,"True"))</f>
        <v>51</v>
      </c>
      <c r="F4927" t="str">
        <f t="shared" si="76"/>
        <v>688385.SH</v>
      </c>
    </row>
    <row r="4928" spans="1:6" x14ac:dyDescent="0.15">
      <c r="A4928" s="2">
        <v>46089</v>
      </c>
      <c r="B4928" s="1" t="s">
        <v>9301</v>
      </c>
      <c r="C4928" s="1" t="s">
        <v>9302</v>
      </c>
      <c r="D4928" t="b">
        <f ca="1">IF(A4928="","",[1]!s_techanal_rcnthigh(B4928,$B$2,1,3))</f>
        <v>0</v>
      </c>
      <c r="E4928">
        <f ca="1">IF(A4928="","",COUNTIF(D$6:D4928,"True"))</f>
        <v>51</v>
      </c>
      <c r="F4928" t="str">
        <f t="shared" si="76"/>
        <v>688386.SH</v>
      </c>
    </row>
    <row r="4929" spans="1:6" x14ac:dyDescent="0.15">
      <c r="A4929" s="2">
        <v>46089</v>
      </c>
      <c r="B4929" s="1" t="s">
        <v>9303</v>
      </c>
      <c r="C4929" s="1" t="s">
        <v>9304</v>
      </c>
      <c r="D4929" t="b">
        <f ca="1">IF(A4929="","",[1]!s_techanal_rcnthigh(B4929,$B$2,1,3))</f>
        <v>0</v>
      </c>
      <c r="E4929">
        <f ca="1">IF(A4929="","",COUNTIF(D$6:D4929,"True"))</f>
        <v>51</v>
      </c>
      <c r="F4929" t="str">
        <f t="shared" si="76"/>
        <v>688387.SH</v>
      </c>
    </row>
    <row r="4930" spans="1:6" x14ac:dyDescent="0.15">
      <c r="A4930" s="2">
        <v>46089</v>
      </c>
      <c r="B4930" s="1" t="s">
        <v>9305</v>
      </c>
      <c r="C4930" s="1" t="s">
        <v>9306</v>
      </c>
      <c r="D4930" t="b">
        <f ca="1">IF(A4930="","",[1]!s_techanal_rcnthigh(B4930,$B$2,1,3))</f>
        <v>0</v>
      </c>
      <c r="E4930">
        <f ca="1">IF(A4930="","",COUNTIF(D$6:D4930,"True"))</f>
        <v>51</v>
      </c>
      <c r="F4930" t="str">
        <f t="shared" si="76"/>
        <v>688388.SH</v>
      </c>
    </row>
    <row r="4931" spans="1:6" x14ac:dyDescent="0.15">
      <c r="A4931" s="2">
        <v>46089</v>
      </c>
      <c r="B4931" s="1" t="s">
        <v>9307</v>
      </c>
      <c r="C4931" s="1" t="s">
        <v>9308</v>
      </c>
      <c r="D4931" t="b">
        <f ca="1">IF(A4931="","",[1]!s_techanal_rcnthigh(B4931,$B$2,1,3))</f>
        <v>0</v>
      </c>
      <c r="E4931">
        <f ca="1">IF(A4931="","",COUNTIF(D$6:D4931,"True"))</f>
        <v>51</v>
      </c>
      <c r="F4931" t="str">
        <f t="shared" si="76"/>
        <v>688389.SH</v>
      </c>
    </row>
    <row r="4932" spans="1:6" x14ac:dyDescent="0.15">
      <c r="A4932" s="2">
        <v>46089</v>
      </c>
      <c r="B4932" s="1" t="s">
        <v>9309</v>
      </c>
      <c r="C4932" s="1" t="s">
        <v>9310</v>
      </c>
      <c r="D4932" t="b">
        <f ca="1">IF(A4932="","",[1]!s_techanal_rcnthigh(B4932,$B$2,1,3))</f>
        <v>0</v>
      </c>
      <c r="E4932">
        <f ca="1">IF(A4932="","",COUNTIF(D$6:D4932,"True"))</f>
        <v>51</v>
      </c>
      <c r="F4932" t="str">
        <f t="shared" si="76"/>
        <v>688390.SH</v>
      </c>
    </row>
    <row r="4933" spans="1:6" x14ac:dyDescent="0.15">
      <c r="A4933" s="2">
        <v>46089</v>
      </c>
      <c r="B4933" s="1" t="s">
        <v>9311</v>
      </c>
      <c r="C4933" s="1" t="s">
        <v>9312</v>
      </c>
      <c r="D4933" t="b">
        <f ca="1">IF(A4933="","",[1]!s_techanal_rcnthigh(B4933,$B$2,1,3))</f>
        <v>0</v>
      </c>
      <c r="E4933">
        <f ca="1">IF(A4933="","",COUNTIF(D$6:D4933,"True"))</f>
        <v>51</v>
      </c>
      <c r="F4933" t="str">
        <f t="shared" si="76"/>
        <v>688391.SH</v>
      </c>
    </row>
    <row r="4934" spans="1:6" x14ac:dyDescent="0.15">
      <c r="A4934" s="2">
        <v>46089</v>
      </c>
      <c r="B4934" s="1" t="s">
        <v>9313</v>
      </c>
      <c r="C4934" s="1" t="s">
        <v>9314</v>
      </c>
      <c r="D4934" t="b">
        <f ca="1">IF(A4934="","",[1]!s_techanal_rcnthigh(B4934,$B$2,1,3))</f>
        <v>0</v>
      </c>
      <c r="E4934">
        <f ca="1">IF(A4934="","",COUNTIF(D$6:D4934,"True"))</f>
        <v>51</v>
      </c>
      <c r="F4934" t="str">
        <f t="shared" ref="F4934:F4997" si="77">IF(B4934="","",B4934)</f>
        <v>688392.SH</v>
      </c>
    </row>
    <row r="4935" spans="1:6" x14ac:dyDescent="0.15">
      <c r="A4935" s="2">
        <v>46089</v>
      </c>
      <c r="B4935" s="1" t="s">
        <v>9315</v>
      </c>
      <c r="C4935" s="1" t="s">
        <v>9316</v>
      </c>
      <c r="D4935" t="b">
        <f ca="1">IF(A4935="","",[1]!s_techanal_rcnthigh(B4935,$B$2,1,3))</f>
        <v>0</v>
      </c>
      <c r="E4935">
        <f ca="1">IF(A4935="","",COUNTIF(D$6:D4935,"True"))</f>
        <v>51</v>
      </c>
      <c r="F4935" t="str">
        <f t="shared" si="77"/>
        <v>688393.SH</v>
      </c>
    </row>
    <row r="4936" spans="1:6" x14ac:dyDescent="0.15">
      <c r="A4936" s="2">
        <v>46089</v>
      </c>
      <c r="B4936" s="1" t="s">
        <v>9317</v>
      </c>
      <c r="C4936" s="1" t="s">
        <v>9318</v>
      </c>
      <c r="D4936" t="b">
        <f ca="1">IF(A4936="","",[1]!s_techanal_rcnthigh(B4936,$B$2,1,3))</f>
        <v>0</v>
      </c>
      <c r="E4936">
        <f ca="1">IF(A4936="","",COUNTIF(D$6:D4936,"True"))</f>
        <v>51</v>
      </c>
      <c r="F4936" t="str">
        <f t="shared" si="77"/>
        <v>688395.SH</v>
      </c>
    </row>
    <row r="4937" spans="1:6" x14ac:dyDescent="0.15">
      <c r="A4937" s="2">
        <v>46089</v>
      </c>
      <c r="B4937" s="1" t="s">
        <v>9319</v>
      </c>
      <c r="C4937" s="1" t="s">
        <v>9320</v>
      </c>
      <c r="D4937" t="b">
        <f ca="1">IF(A4937="","",[1]!s_techanal_rcnthigh(B4937,$B$2,1,3))</f>
        <v>0</v>
      </c>
      <c r="E4937">
        <f ca="1">IF(A4937="","",COUNTIF(D$6:D4937,"True"))</f>
        <v>51</v>
      </c>
      <c r="F4937" t="str">
        <f t="shared" si="77"/>
        <v>688396.SH</v>
      </c>
    </row>
    <row r="4938" spans="1:6" x14ac:dyDescent="0.15">
      <c r="A4938" s="2">
        <v>46089</v>
      </c>
      <c r="B4938" s="1" t="s">
        <v>9321</v>
      </c>
      <c r="C4938" s="1" t="s">
        <v>9322</v>
      </c>
      <c r="D4938" t="b">
        <f ca="1">IF(A4938="","",[1]!s_techanal_rcnthigh(B4938,$B$2,1,3))</f>
        <v>0</v>
      </c>
      <c r="E4938">
        <f ca="1">IF(A4938="","",COUNTIF(D$6:D4938,"True"))</f>
        <v>51</v>
      </c>
      <c r="F4938" t="str">
        <f t="shared" si="77"/>
        <v>688398.SH</v>
      </c>
    </row>
    <row r="4939" spans="1:6" x14ac:dyDescent="0.15">
      <c r="A4939" s="2">
        <v>46089</v>
      </c>
      <c r="B4939" s="1" t="s">
        <v>9323</v>
      </c>
      <c r="C4939" s="1" t="s">
        <v>9324</v>
      </c>
      <c r="D4939" t="b">
        <f ca="1">IF(A4939="","",[1]!s_techanal_rcnthigh(B4939,$B$2,1,3))</f>
        <v>0</v>
      </c>
      <c r="E4939">
        <f ca="1">IF(A4939="","",COUNTIF(D$6:D4939,"True"))</f>
        <v>51</v>
      </c>
      <c r="F4939" t="str">
        <f t="shared" si="77"/>
        <v>688399.SH</v>
      </c>
    </row>
    <row r="4940" spans="1:6" x14ac:dyDescent="0.15">
      <c r="A4940" s="2">
        <v>46089</v>
      </c>
      <c r="B4940" s="1" t="s">
        <v>9325</v>
      </c>
      <c r="C4940" s="1" t="s">
        <v>9326</v>
      </c>
      <c r="D4940" t="b">
        <f ca="1">IF(A4940="","",[1]!s_techanal_rcnthigh(B4940,$B$2,1,3))</f>
        <v>0</v>
      </c>
      <c r="E4940">
        <f ca="1">IF(A4940="","",COUNTIF(D$6:D4940,"True"))</f>
        <v>51</v>
      </c>
      <c r="F4940" t="str">
        <f t="shared" si="77"/>
        <v>688400.SH</v>
      </c>
    </row>
    <row r="4941" spans="1:6" x14ac:dyDescent="0.15">
      <c r="A4941" s="2">
        <v>46089</v>
      </c>
      <c r="B4941" s="1" t="s">
        <v>9327</v>
      </c>
      <c r="C4941" s="1" t="s">
        <v>9328</v>
      </c>
      <c r="D4941" t="b">
        <f ca="1">IF(A4941="","",[1]!s_techanal_rcnthigh(B4941,$B$2,1,3))</f>
        <v>0</v>
      </c>
      <c r="E4941">
        <f ca="1">IF(A4941="","",COUNTIF(D$6:D4941,"True"))</f>
        <v>51</v>
      </c>
      <c r="F4941" t="str">
        <f t="shared" si="77"/>
        <v>688401.SH</v>
      </c>
    </row>
    <row r="4942" spans="1:6" x14ac:dyDescent="0.15">
      <c r="A4942" s="2">
        <v>46089</v>
      </c>
      <c r="B4942" s="1" t="s">
        <v>9329</v>
      </c>
      <c r="C4942" s="1" t="s">
        <v>9330</v>
      </c>
      <c r="D4942" t="b">
        <f ca="1">IF(A4942="","",[1]!s_techanal_rcnthigh(B4942,$B$2,1,3))</f>
        <v>0</v>
      </c>
      <c r="E4942">
        <f ca="1">IF(A4942="","",COUNTIF(D$6:D4942,"True"))</f>
        <v>51</v>
      </c>
      <c r="F4942" t="str">
        <f t="shared" si="77"/>
        <v>688403.SH</v>
      </c>
    </row>
    <row r="4943" spans="1:6" x14ac:dyDescent="0.15">
      <c r="A4943" s="2">
        <v>46089</v>
      </c>
      <c r="B4943" s="1" t="s">
        <v>9331</v>
      </c>
      <c r="C4943" s="1" t="s">
        <v>9332</v>
      </c>
      <c r="D4943" t="b">
        <f ca="1">IF(A4943="","",[1]!s_techanal_rcnthigh(B4943,$B$2,1,3))</f>
        <v>0</v>
      </c>
      <c r="E4943">
        <f ca="1">IF(A4943="","",COUNTIF(D$6:D4943,"True"))</f>
        <v>51</v>
      </c>
      <c r="F4943" t="str">
        <f t="shared" si="77"/>
        <v>688408.SH</v>
      </c>
    </row>
    <row r="4944" spans="1:6" x14ac:dyDescent="0.15">
      <c r="A4944" s="2">
        <v>46089</v>
      </c>
      <c r="B4944" s="1" t="s">
        <v>9333</v>
      </c>
      <c r="C4944" s="1" t="s">
        <v>9334</v>
      </c>
      <c r="D4944" t="b">
        <f ca="1">IF(A4944="","",[1]!s_techanal_rcnthigh(B4944,$B$2,1,3))</f>
        <v>0</v>
      </c>
      <c r="E4944">
        <f ca="1">IF(A4944="","",COUNTIF(D$6:D4944,"True"))</f>
        <v>51</v>
      </c>
      <c r="F4944" t="str">
        <f t="shared" si="77"/>
        <v>688409.SH</v>
      </c>
    </row>
    <row r="4945" spans="1:6" x14ac:dyDescent="0.15">
      <c r="A4945" s="2">
        <v>46089</v>
      </c>
      <c r="B4945" s="1" t="s">
        <v>9335</v>
      </c>
      <c r="C4945" s="1" t="s">
        <v>9336</v>
      </c>
      <c r="D4945" t="b">
        <f ca="1">IF(A4945="","",[1]!s_techanal_rcnthigh(B4945,$B$2,1,3))</f>
        <v>0</v>
      </c>
      <c r="E4945">
        <f ca="1">IF(A4945="","",COUNTIF(D$6:D4945,"True"))</f>
        <v>51</v>
      </c>
      <c r="F4945" t="str">
        <f t="shared" si="77"/>
        <v>688410.SH</v>
      </c>
    </row>
    <row r="4946" spans="1:6" x14ac:dyDescent="0.15">
      <c r="A4946" s="2">
        <v>46089</v>
      </c>
      <c r="B4946" s="1" t="s">
        <v>10580</v>
      </c>
      <c r="C4946" s="1" t="s">
        <v>10581</v>
      </c>
      <c r="D4946" t="b">
        <f ca="1">IF(A4946="","",[1]!s_techanal_rcnthigh(B4946,$B$2,1,3))</f>
        <v>0</v>
      </c>
      <c r="E4946">
        <f ca="1">IF(A4946="","",COUNTIF(D$6:D4946,"True"))</f>
        <v>51</v>
      </c>
      <c r="F4946" t="str">
        <f t="shared" si="77"/>
        <v>688411.SH</v>
      </c>
    </row>
    <row r="4947" spans="1:6" x14ac:dyDescent="0.15">
      <c r="A4947" s="2">
        <v>46089</v>
      </c>
      <c r="B4947" s="1" t="s">
        <v>9337</v>
      </c>
      <c r="C4947" s="1" t="s">
        <v>9338</v>
      </c>
      <c r="D4947" t="b">
        <f ca="1">IF(A4947="","",[1]!s_techanal_rcnthigh(B4947,$B$2,1,3))</f>
        <v>0</v>
      </c>
      <c r="E4947">
        <f ca="1">IF(A4947="","",COUNTIF(D$6:D4947,"True"))</f>
        <v>51</v>
      </c>
      <c r="F4947" t="str">
        <f t="shared" si="77"/>
        <v>688416.SH</v>
      </c>
    </row>
    <row r="4948" spans="1:6" x14ac:dyDescent="0.15">
      <c r="A4948" s="2">
        <v>46089</v>
      </c>
      <c r="B4948" s="1" t="s">
        <v>9339</v>
      </c>
      <c r="C4948" s="1" t="s">
        <v>9340</v>
      </c>
      <c r="D4948" t="b">
        <f ca="1">IF(A4948="","",[1]!s_techanal_rcnthigh(B4948,$B$2,1,3))</f>
        <v>0</v>
      </c>
      <c r="E4948">
        <f ca="1">IF(A4948="","",COUNTIF(D$6:D4948,"True"))</f>
        <v>51</v>
      </c>
      <c r="F4948" t="str">
        <f t="shared" si="77"/>
        <v>688418.SH</v>
      </c>
    </row>
    <row r="4949" spans="1:6" x14ac:dyDescent="0.15">
      <c r="A4949" s="2">
        <v>46089</v>
      </c>
      <c r="B4949" s="1" t="s">
        <v>9341</v>
      </c>
      <c r="C4949" s="1" t="s">
        <v>9342</v>
      </c>
      <c r="D4949" t="b">
        <f ca="1">IF(A4949="","",[1]!s_techanal_rcnthigh(B4949,$B$2,1,3))</f>
        <v>0</v>
      </c>
      <c r="E4949">
        <f ca="1">IF(A4949="","",COUNTIF(D$6:D4949,"True"))</f>
        <v>51</v>
      </c>
      <c r="F4949" t="str">
        <f t="shared" si="77"/>
        <v>688419.SH</v>
      </c>
    </row>
    <row r="4950" spans="1:6" x14ac:dyDescent="0.15">
      <c r="A4950" s="2">
        <v>46089</v>
      </c>
      <c r="B4950" s="1" t="s">
        <v>9343</v>
      </c>
      <c r="C4950" s="1" t="s">
        <v>9344</v>
      </c>
      <c r="D4950" t="b">
        <f ca="1">IF(A4950="","",[1]!s_techanal_rcnthigh(B4950,$B$2,1,3))</f>
        <v>0</v>
      </c>
      <c r="E4950">
        <f ca="1">IF(A4950="","",COUNTIF(D$6:D4950,"True"))</f>
        <v>51</v>
      </c>
      <c r="F4950" t="str">
        <f t="shared" si="77"/>
        <v>688420.SH</v>
      </c>
    </row>
    <row r="4951" spans="1:6" x14ac:dyDescent="0.15">
      <c r="A4951" s="2">
        <v>46089</v>
      </c>
      <c r="B4951" s="1" t="s">
        <v>9345</v>
      </c>
      <c r="C4951" s="1" t="s">
        <v>9346</v>
      </c>
      <c r="D4951" t="b">
        <f ca="1">IF(A4951="","",[1]!s_techanal_rcnthigh(B4951,$B$2,1,3))</f>
        <v>0</v>
      </c>
      <c r="E4951">
        <f ca="1">IF(A4951="","",COUNTIF(D$6:D4951,"True"))</f>
        <v>51</v>
      </c>
      <c r="F4951" t="str">
        <f t="shared" si="77"/>
        <v>688425.SH</v>
      </c>
    </row>
    <row r="4952" spans="1:6" x14ac:dyDescent="0.15">
      <c r="A4952" s="2">
        <v>46089</v>
      </c>
      <c r="B4952" s="1" t="s">
        <v>9347</v>
      </c>
      <c r="C4952" s="1" t="s">
        <v>9348</v>
      </c>
      <c r="D4952" t="b">
        <f ca="1">IF(A4952="","",[1]!s_techanal_rcnthigh(B4952,$B$2,1,3))</f>
        <v>0</v>
      </c>
      <c r="E4952">
        <f ca="1">IF(A4952="","",COUNTIF(D$6:D4952,"True"))</f>
        <v>51</v>
      </c>
      <c r="F4952" t="str">
        <f t="shared" si="77"/>
        <v>688426.SH</v>
      </c>
    </row>
    <row r="4953" spans="1:6" x14ac:dyDescent="0.15">
      <c r="A4953" s="2">
        <v>46089</v>
      </c>
      <c r="B4953" s="1" t="s">
        <v>9349</v>
      </c>
      <c r="C4953" s="1" t="s">
        <v>9350</v>
      </c>
      <c r="D4953" t="b">
        <f ca="1">IF(A4953="","",[1]!s_techanal_rcnthigh(B4953,$B$2,1,3))</f>
        <v>0</v>
      </c>
      <c r="E4953">
        <f ca="1">IF(A4953="","",COUNTIF(D$6:D4953,"True"))</f>
        <v>51</v>
      </c>
      <c r="F4953" t="str">
        <f t="shared" si="77"/>
        <v>688428.SH</v>
      </c>
    </row>
    <row r="4954" spans="1:6" x14ac:dyDescent="0.15">
      <c r="A4954" s="2">
        <v>46089</v>
      </c>
      <c r="B4954" s="1" t="s">
        <v>9351</v>
      </c>
      <c r="C4954" s="1" t="s">
        <v>9352</v>
      </c>
      <c r="D4954" t="b">
        <f ca="1">IF(A4954="","",[1]!s_techanal_rcnthigh(B4954,$B$2,1,3))</f>
        <v>0</v>
      </c>
      <c r="E4954">
        <f ca="1">IF(A4954="","",COUNTIF(D$6:D4954,"True"))</f>
        <v>51</v>
      </c>
      <c r="F4954" t="str">
        <f t="shared" si="77"/>
        <v>688429.SH</v>
      </c>
    </row>
    <row r="4955" spans="1:6" x14ac:dyDescent="0.15">
      <c r="A4955" s="2">
        <v>46089</v>
      </c>
      <c r="B4955" s="1" t="s">
        <v>9353</v>
      </c>
      <c r="C4955" s="1" t="s">
        <v>9354</v>
      </c>
      <c r="D4955" t="b">
        <f ca="1">IF(A4955="","",[1]!s_techanal_rcnthigh(B4955,$B$2,1,3))</f>
        <v>0</v>
      </c>
      <c r="E4955">
        <f ca="1">IF(A4955="","",COUNTIF(D$6:D4955,"True"))</f>
        <v>51</v>
      </c>
      <c r="F4955" t="str">
        <f t="shared" si="77"/>
        <v>688432.SH</v>
      </c>
    </row>
    <row r="4956" spans="1:6" x14ac:dyDescent="0.15">
      <c r="A4956" s="2">
        <v>46089</v>
      </c>
      <c r="B4956" s="1" t="s">
        <v>9355</v>
      </c>
      <c r="C4956" s="1" t="s">
        <v>9356</v>
      </c>
      <c r="D4956" t="b">
        <f ca="1">IF(A4956="","",[1]!s_techanal_rcnthigh(B4956,$B$2,1,3))</f>
        <v>0</v>
      </c>
      <c r="E4956">
        <f ca="1">IF(A4956="","",COUNTIF(D$6:D4956,"True"))</f>
        <v>51</v>
      </c>
      <c r="F4956" t="str">
        <f t="shared" si="77"/>
        <v>688433.SH</v>
      </c>
    </row>
    <row r="4957" spans="1:6" x14ac:dyDescent="0.15">
      <c r="A4957" s="2">
        <v>46089</v>
      </c>
      <c r="B4957" s="1" t="s">
        <v>9357</v>
      </c>
      <c r="C4957" s="1" t="s">
        <v>9358</v>
      </c>
      <c r="D4957" t="b">
        <f ca="1">IF(A4957="","",[1]!s_techanal_rcnthigh(B4957,$B$2,1,3))</f>
        <v>0</v>
      </c>
      <c r="E4957">
        <f ca="1">IF(A4957="","",COUNTIF(D$6:D4957,"True"))</f>
        <v>51</v>
      </c>
      <c r="F4957" t="str">
        <f t="shared" si="77"/>
        <v>688435.SH</v>
      </c>
    </row>
    <row r="4958" spans="1:6" x14ac:dyDescent="0.15">
      <c r="A4958" s="2">
        <v>46089</v>
      </c>
      <c r="B4958" s="1" t="s">
        <v>9359</v>
      </c>
      <c r="C4958" s="1" t="s">
        <v>9360</v>
      </c>
      <c r="D4958" t="b">
        <f ca="1">IF(A4958="","",[1]!s_techanal_rcnthigh(B4958,$B$2,1,3))</f>
        <v>0</v>
      </c>
      <c r="E4958">
        <f ca="1">IF(A4958="","",COUNTIF(D$6:D4958,"True"))</f>
        <v>51</v>
      </c>
      <c r="F4958" t="str">
        <f t="shared" si="77"/>
        <v>688439.SH</v>
      </c>
    </row>
    <row r="4959" spans="1:6" x14ac:dyDescent="0.15">
      <c r="A4959" s="2">
        <v>46089</v>
      </c>
      <c r="B4959" s="1" t="s">
        <v>9361</v>
      </c>
      <c r="C4959" s="1" t="s">
        <v>9362</v>
      </c>
      <c r="D4959" t="b">
        <f ca="1">IF(A4959="","",[1]!s_techanal_rcnthigh(B4959,$B$2,1,3))</f>
        <v>0</v>
      </c>
      <c r="E4959">
        <f ca="1">IF(A4959="","",COUNTIF(D$6:D4959,"True"))</f>
        <v>51</v>
      </c>
      <c r="F4959" t="str">
        <f t="shared" si="77"/>
        <v>688443.SH</v>
      </c>
    </row>
    <row r="4960" spans="1:6" x14ac:dyDescent="0.15">
      <c r="A4960" s="2">
        <v>46089</v>
      </c>
      <c r="B4960" s="1" t="s">
        <v>9363</v>
      </c>
      <c r="C4960" s="1" t="s">
        <v>9364</v>
      </c>
      <c r="D4960" t="b">
        <f ca="1">IF(A4960="","",[1]!s_techanal_rcnthigh(B4960,$B$2,1,3))</f>
        <v>0</v>
      </c>
      <c r="E4960">
        <f ca="1">IF(A4960="","",COUNTIF(D$6:D4960,"True"))</f>
        <v>51</v>
      </c>
      <c r="F4960" t="str">
        <f t="shared" si="77"/>
        <v>688448.SH</v>
      </c>
    </row>
    <row r="4961" spans="1:6" x14ac:dyDescent="0.15">
      <c r="A4961" s="2">
        <v>46089</v>
      </c>
      <c r="B4961" s="1" t="s">
        <v>10582</v>
      </c>
      <c r="C4961" s="1" t="s">
        <v>10583</v>
      </c>
      <c r="D4961" t="b">
        <f ca="1">IF(A4961="","",[1]!s_techanal_rcnthigh(B4961,$B$2,1,3))</f>
        <v>0</v>
      </c>
      <c r="E4961">
        <f ca="1">IF(A4961="","",COUNTIF(D$6:D4961,"True"))</f>
        <v>51</v>
      </c>
      <c r="F4961" t="str">
        <f t="shared" si="77"/>
        <v>688449.SH</v>
      </c>
    </row>
    <row r="4962" spans="1:6" x14ac:dyDescent="0.15">
      <c r="A4962" s="2">
        <v>46089</v>
      </c>
      <c r="B4962" s="1" t="s">
        <v>9365</v>
      </c>
      <c r="C4962" s="1" t="s">
        <v>9366</v>
      </c>
      <c r="D4962" t="b">
        <f ca="1">IF(A4962="","",[1]!s_techanal_rcnthigh(B4962,$B$2,1,3))</f>
        <v>0</v>
      </c>
      <c r="E4962">
        <f ca="1">IF(A4962="","",COUNTIF(D$6:D4962,"True"))</f>
        <v>51</v>
      </c>
      <c r="F4962" t="str">
        <f t="shared" si="77"/>
        <v>688450.SH</v>
      </c>
    </row>
    <row r="4963" spans="1:6" x14ac:dyDescent="0.15">
      <c r="A4963" s="2">
        <v>46089</v>
      </c>
      <c r="B4963" s="1" t="s">
        <v>9367</v>
      </c>
      <c r="C4963" s="1" t="s">
        <v>9368</v>
      </c>
      <c r="D4963" t="b">
        <f ca="1">IF(A4963="","",[1]!s_techanal_rcnthigh(B4963,$B$2,1,3))</f>
        <v>1</v>
      </c>
      <c r="E4963">
        <f ca="1">IF(A4963="","",COUNTIF(D$6:D4963,"True"))</f>
        <v>52</v>
      </c>
      <c r="F4963" t="str">
        <f t="shared" si="77"/>
        <v>688455.SH</v>
      </c>
    </row>
    <row r="4964" spans="1:6" x14ac:dyDescent="0.15">
      <c r="A4964" s="2">
        <v>46089</v>
      </c>
      <c r="B4964" s="1" t="s">
        <v>9369</v>
      </c>
      <c r="C4964" s="1" t="s">
        <v>9370</v>
      </c>
      <c r="D4964" t="b">
        <f ca="1">IF(A4964="","",[1]!s_techanal_rcnthigh(B4964,$B$2,1,3))</f>
        <v>0</v>
      </c>
      <c r="E4964">
        <f ca="1">IF(A4964="","",COUNTIF(D$6:D4964,"True"))</f>
        <v>52</v>
      </c>
      <c r="F4964" t="str">
        <f t="shared" si="77"/>
        <v>688456.SH</v>
      </c>
    </row>
    <row r="4965" spans="1:6" x14ac:dyDescent="0.15">
      <c r="A4965" s="2">
        <v>46089</v>
      </c>
      <c r="B4965" s="1" t="s">
        <v>9371</v>
      </c>
      <c r="C4965" s="1" t="s">
        <v>9372</v>
      </c>
      <c r="D4965" t="b">
        <f ca="1">IF(A4965="","",[1]!s_techanal_rcnthigh(B4965,$B$2,1,3))</f>
        <v>0</v>
      </c>
      <c r="E4965">
        <f ca="1">IF(A4965="","",COUNTIF(D$6:D4965,"True"))</f>
        <v>52</v>
      </c>
      <c r="F4965" t="str">
        <f t="shared" si="77"/>
        <v>688458.SH</v>
      </c>
    </row>
    <row r="4966" spans="1:6" x14ac:dyDescent="0.15">
      <c r="A4966" s="2">
        <v>46089</v>
      </c>
      <c r="B4966" s="1" t="s">
        <v>9373</v>
      </c>
      <c r="C4966" s="1" t="s">
        <v>9374</v>
      </c>
      <c r="D4966" t="b">
        <f ca="1">IF(A4966="","",[1]!s_techanal_rcnthigh(B4966,$B$2,1,3))</f>
        <v>0</v>
      </c>
      <c r="E4966">
        <f ca="1">IF(A4966="","",COUNTIF(D$6:D4966,"True"))</f>
        <v>52</v>
      </c>
      <c r="F4966" t="str">
        <f t="shared" si="77"/>
        <v>688459.SH</v>
      </c>
    </row>
    <row r="4967" spans="1:6" x14ac:dyDescent="0.15">
      <c r="A4967" s="2">
        <v>46089</v>
      </c>
      <c r="B4967" s="1" t="s">
        <v>9375</v>
      </c>
      <c r="C4967" s="1" t="s">
        <v>9376</v>
      </c>
      <c r="D4967" t="b">
        <f ca="1">IF(A4967="","",[1]!s_techanal_rcnthigh(B4967,$B$2,1,3))</f>
        <v>0</v>
      </c>
      <c r="E4967">
        <f ca="1">IF(A4967="","",COUNTIF(D$6:D4967,"True"))</f>
        <v>52</v>
      </c>
      <c r="F4967" t="str">
        <f t="shared" si="77"/>
        <v>688466.SH</v>
      </c>
    </row>
    <row r="4968" spans="1:6" x14ac:dyDescent="0.15">
      <c r="A4968" s="2">
        <v>46089</v>
      </c>
      <c r="B4968" s="1" t="s">
        <v>9377</v>
      </c>
      <c r="C4968" s="1" t="s">
        <v>9378</v>
      </c>
      <c r="D4968" t="b">
        <f ca="1">IF(A4968="","",[1]!s_techanal_rcnthigh(B4968,$B$2,1,3))</f>
        <v>0</v>
      </c>
      <c r="E4968">
        <f ca="1">IF(A4968="","",COUNTIF(D$6:D4968,"True"))</f>
        <v>52</v>
      </c>
      <c r="F4968" t="str">
        <f t="shared" si="77"/>
        <v>688468.SH</v>
      </c>
    </row>
    <row r="4969" spans="1:6" x14ac:dyDescent="0.15">
      <c r="A4969" s="2">
        <v>46089</v>
      </c>
      <c r="B4969" s="1" t="s">
        <v>9379</v>
      </c>
      <c r="C4969" s="1" t="s">
        <v>9380</v>
      </c>
      <c r="D4969" t="b">
        <f ca="1">IF(A4969="","",[1]!s_techanal_rcnthigh(B4969,$B$2,1,3))</f>
        <v>0</v>
      </c>
      <c r="E4969">
        <f ca="1">IF(A4969="","",COUNTIF(D$6:D4969,"True"))</f>
        <v>52</v>
      </c>
      <c r="F4969" t="str">
        <f t="shared" si="77"/>
        <v>688469.SH</v>
      </c>
    </row>
    <row r="4970" spans="1:6" x14ac:dyDescent="0.15">
      <c r="A4970" s="2">
        <v>46089</v>
      </c>
      <c r="B4970" s="1" t="s">
        <v>9381</v>
      </c>
      <c r="C4970" s="1" t="s">
        <v>9382</v>
      </c>
      <c r="D4970" t="b">
        <f ca="1">IF(A4970="","",[1]!s_techanal_rcnthigh(B4970,$B$2,1,3))</f>
        <v>0</v>
      </c>
      <c r="E4970">
        <f ca="1">IF(A4970="","",COUNTIF(D$6:D4970,"True"))</f>
        <v>52</v>
      </c>
      <c r="F4970" t="str">
        <f t="shared" si="77"/>
        <v>688472.SH</v>
      </c>
    </row>
    <row r="4971" spans="1:6" x14ac:dyDescent="0.15">
      <c r="A4971" s="2">
        <v>46089</v>
      </c>
      <c r="B4971" s="1" t="s">
        <v>9383</v>
      </c>
      <c r="C4971" s="1" t="s">
        <v>9384</v>
      </c>
      <c r="D4971" t="b">
        <f ca="1">IF(A4971="","",[1]!s_techanal_rcnthigh(B4971,$B$2,1,3))</f>
        <v>0</v>
      </c>
      <c r="E4971">
        <f ca="1">IF(A4971="","",COUNTIF(D$6:D4971,"True"))</f>
        <v>52</v>
      </c>
      <c r="F4971" t="str">
        <f t="shared" si="77"/>
        <v>688475.SH</v>
      </c>
    </row>
    <row r="4972" spans="1:6" x14ac:dyDescent="0.15">
      <c r="A4972" s="2">
        <v>46089</v>
      </c>
      <c r="B4972" s="1" t="s">
        <v>9385</v>
      </c>
      <c r="C4972" s="1" t="s">
        <v>9386</v>
      </c>
      <c r="D4972" t="b">
        <f ca="1">IF(A4972="","",[1]!s_techanal_rcnthigh(B4972,$B$2,1,3))</f>
        <v>0</v>
      </c>
      <c r="E4972">
        <f ca="1">IF(A4972="","",COUNTIF(D$6:D4972,"True"))</f>
        <v>52</v>
      </c>
      <c r="F4972" t="str">
        <f t="shared" si="77"/>
        <v>688478.SH</v>
      </c>
    </row>
    <row r="4973" spans="1:6" x14ac:dyDescent="0.15">
      <c r="A4973" s="2">
        <v>46089</v>
      </c>
      <c r="B4973" s="1" t="s">
        <v>9387</v>
      </c>
      <c r="C4973" s="1" t="s">
        <v>9388</v>
      </c>
      <c r="D4973" t="b">
        <f ca="1">IF(A4973="","",[1]!s_techanal_rcnthigh(B4973,$B$2,1,3))</f>
        <v>0</v>
      </c>
      <c r="E4973">
        <f ca="1">IF(A4973="","",COUNTIF(D$6:D4973,"True"))</f>
        <v>52</v>
      </c>
      <c r="F4973" t="str">
        <f t="shared" si="77"/>
        <v>688479.SH</v>
      </c>
    </row>
    <row r="4974" spans="1:6" x14ac:dyDescent="0.15">
      <c r="A4974" s="2">
        <v>46089</v>
      </c>
      <c r="B4974" s="1" t="s">
        <v>9389</v>
      </c>
      <c r="C4974" s="1" t="s">
        <v>9390</v>
      </c>
      <c r="D4974" t="b">
        <f ca="1">IF(A4974="","",[1]!s_techanal_rcnthigh(B4974,$B$2,1,3))</f>
        <v>0</v>
      </c>
      <c r="E4974">
        <f ca="1">IF(A4974="","",COUNTIF(D$6:D4974,"True"))</f>
        <v>52</v>
      </c>
      <c r="F4974" t="str">
        <f t="shared" si="77"/>
        <v>688480.SH</v>
      </c>
    </row>
    <row r="4975" spans="1:6" x14ac:dyDescent="0.15">
      <c r="A4975" s="2">
        <v>46089</v>
      </c>
      <c r="B4975" s="1" t="s">
        <v>9391</v>
      </c>
      <c r="C4975" s="1" t="s">
        <v>9392</v>
      </c>
      <c r="D4975" t="b">
        <f ca="1">IF(A4975="","",[1]!s_techanal_rcnthigh(B4975,$B$2,1,3))</f>
        <v>0</v>
      </c>
      <c r="E4975">
        <f ca="1">IF(A4975="","",COUNTIF(D$6:D4975,"True"))</f>
        <v>52</v>
      </c>
      <c r="F4975" t="str">
        <f t="shared" si="77"/>
        <v>688484.SH</v>
      </c>
    </row>
    <row r="4976" spans="1:6" x14ac:dyDescent="0.15">
      <c r="A4976" s="2">
        <v>46089</v>
      </c>
      <c r="B4976" s="1" t="s">
        <v>9393</v>
      </c>
      <c r="C4976" s="1" t="s">
        <v>9394</v>
      </c>
      <c r="D4976" t="b">
        <f ca="1">IF(A4976="","",[1]!s_techanal_rcnthigh(B4976,$B$2,1,3))</f>
        <v>0</v>
      </c>
      <c r="E4976">
        <f ca="1">IF(A4976="","",COUNTIF(D$6:D4976,"True"))</f>
        <v>52</v>
      </c>
      <c r="F4976" t="str">
        <f t="shared" si="77"/>
        <v>688485.SH</v>
      </c>
    </row>
    <row r="4977" spans="1:6" x14ac:dyDescent="0.15">
      <c r="A4977" s="2">
        <v>46089</v>
      </c>
      <c r="B4977" s="1" t="s">
        <v>9395</v>
      </c>
      <c r="C4977" s="1" t="s">
        <v>9396</v>
      </c>
      <c r="D4977" t="b">
        <f ca="1">IF(A4977="","",[1]!s_techanal_rcnthigh(B4977,$B$2,1,3))</f>
        <v>0</v>
      </c>
      <c r="E4977">
        <f ca="1">IF(A4977="","",COUNTIF(D$6:D4977,"True"))</f>
        <v>52</v>
      </c>
      <c r="F4977" t="str">
        <f t="shared" si="77"/>
        <v>688486.SH</v>
      </c>
    </row>
    <row r="4978" spans="1:6" x14ac:dyDescent="0.15">
      <c r="A4978" s="2">
        <v>46089</v>
      </c>
      <c r="B4978" s="1" t="s">
        <v>9397</v>
      </c>
      <c r="C4978" s="1" t="s">
        <v>9398</v>
      </c>
      <c r="D4978" t="b">
        <f ca="1">IF(A4978="","",[1]!s_techanal_rcnthigh(B4978,$B$2,1,3))</f>
        <v>0</v>
      </c>
      <c r="E4978">
        <f ca="1">IF(A4978="","",COUNTIF(D$6:D4978,"True"))</f>
        <v>52</v>
      </c>
      <c r="F4978" t="str">
        <f t="shared" si="77"/>
        <v>688488.SH</v>
      </c>
    </row>
    <row r="4979" spans="1:6" x14ac:dyDescent="0.15">
      <c r="A4979" s="2">
        <v>46089</v>
      </c>
      <c r="B4979" s="1" t="s">
        <v>9399</v>
      </c>
      <c r="C4979" s="1" t="s">
        <v>9400</v>
      </c>
      <c r="D4979" t="b">
        <f ca="1">IF(A4979="","",[1]!s_techanal_rcnthigh(B4979,$B$2,1,3))</f>
        <v>0</v>
      </c>
      <c r="E4979">
        <f ca="1">IF(A4979="","",COUNTIF(D$6:D4979,"True"))</f>
        <v>52</v>
      </c>
      <c r="F4979" t="str">
        <f t="shared" si="77"/>
        <v>688489.SH</v>
      </c>
    </row>
    <row r="4980" spans="1:6" x14ac:dyDescent="0.15">
      <c r="A4980" s="2">
        <v>46089</v>
      </c>
      <c r="B4980" s="1" t="s">
        <v>9401</v>
      </c>
      <c r="C4980" s="1" t="s">
        <v>9402</v>
      </c>
      <c r="D4980" t="b">
        <f ca="1">IF(A4980="","",[1]!s_techanal_rcnthigh(B4980,$B$2,1,3))</f>
        <v>0</v>
      </c>
      <c r="E4980">
        <f ca="1">IF(A4980="","",COUNTIF(D$6:D4980,"True"))</f>
        <v>52</v>
      </c>
      <c r="F4980" t="str">
        <f t="shared" si="77"/>
        <v>688496.SH</v>
      </c>
    </row>
    <row r="4981" spans="1:6" x14ac:dyDescent="0.15">
      <c r="A4981" s="2">
        <v>46089</v>
      </c>
      <c r="B4981" s="1" t="s">
        <v>9403</v>
      </c>
      <c r="C4981" s="1" t="s">
        <v>9404</v>
      </c>
      <c r="D4981" t="b">
        <f ca="1">IF(A4981="","",[1]!s_techanal_rcnthigh(B4981,$B$2,1,3))</f>
        <v>0</v>
      </c>
      <c r="E4981">
        <f ca="1">IF(A4981="","",COUNTIF(D$6:D4981,"True"))</f>
        <v>52</v>
      </c>
      <c r="F4981" t="str">
        <f t="shared" si="77"/>
        <v>688498.SH</v>
      </c>
    </row>
    <row r="4982" spans="1:6" x14ac:dyDescent="0.15">
      <c r="A4982" s="2">
        <v>46089</v>
      </c>
      <c r="B4982" s="1" t="s">
        <v>9405</v>
      </c>
      <c r="C4982" s="1" t="s">
        <v>9406</v>
      </c>
      <c r="D4982" t="b">
        <f ca="1">IF(A4982="","",[1]!s_techanal_rcnthigh(B4982,$B$2,1,3))</f>
        <v>0</v>
      </c>
      <c r="E4982">
        <f ca="1">IF(A4982="","",COUNTIF(D$6:D4982,"True"))</f>
        <v>52</v>
      </c>
      <c r="F4982" t="str">
        <f t="shared" si="77"/>
        <v>688499.SH</v>
      </c>
    </row>
    <row r="4983" spans="1:6" x14ac:dyDescent="0.15">
      <c r="A4983" s="2">
        <v>46089</v>
      </c>
      <c r="B4983" s="1" t="s">
        <v>9407</v>
      </c>
      <c r="C4983" s="1" t="s">
        <v>10584</v>
      </c>
      <c r="D4983" t="b">
        <f ca="1">IF(A4983="","",[1]!s_techanal_rcnthigh(B4983,$B$2,1,3))</f>
        <v>0</v>
      </c>
      <c r="E4983">
        <f ca="1">IF(A4983="","",COUNTIF(D$6:D4983,"True"))</f>
        <v>52</v>
      </c>
      <c r="F4983" t="str">
        <f t="shared" si="77"/>
        <v>688500.SH</v>
      </c>
    </row>
    <row r="4984" spans="1:6" x14ac:dyDescent="0.15">
      <c r="A4984" s="2">
        <v>46089</v>
      </c>
      <c r="B4984" s="1" t="s">
        <v>9408</v>
      </c>
      <c r="C4984" s="1" t="s">
        <v>9409</v>
      </c>
      <c r="D4984" t="b">
        <f ca="1">IF(A4984="","",[1]!s_techanal_rcnthigh(B4984,$B$2,1,3))</f>
        <v>0</v>
      </c>
      <c r="E4984">
        <f ca="1">IF(A4984="","",COUNTIF(D$6:D4984,"True"))</f>
        <v>52</v>
      </c>
      <c r="F4984" t="str">
        <f t="shared" si="77"/>
        <v>688501.SH</v>
      </c>
    </row>
    <row r="4985" spans="1:6" x14ac:dyDescent="0.15">
      <c r="A4985" s="2">
        <v>46089</v>
      </c>
      <c r="B4985" s="1" t="s">
        <v>9410</v>
      </c>
      <c r="C4985" s="1" t="s">
        <v>9411</v>
      </c>
      <c r="D4985" t="b">
        <f ca="1">IF(A4985="","",[1]!s_techanal_rcnthigh(B4985,$B$2,1,3))</f>
        <v>0</v>
      </c>
      <c r="E4985">
        <f ca="1">IF(A4985="","",COUNTIF(D$6:D4985,"True"))</f>
        <v>52</v>
      </c>
      <c r="F4985" t="str">
        <f t="shared" si="77"/>
        <v>688502.SH</v>
      </c>
    </row>
    <row r="4986" spans="1:6" x14ac:dyDescent="0.15">
      <c r="A4986" s="2">
        <v>46089</v>
      </c>
      <c r="B4986" s="1" t="s">
        <v>9412</v>
      </c>
      <c r="C4986" s="1" t="s">
        <v>9413</v>
      </c>
      <c r="D4986" t="b">
        <f ca="1">IF(A4986="","",[1]!s_techanal_rcnthigh(B4986,$B$2,1,3))</f>
        <v>0</v>
      </c>
      <c r="E4986">
        <f ca="1">IF(A4986="","",COUNTIF(D$6:D4986,"True"))</f>
        <v>52</v>
      </c>
      <c r="F4986" t="str">
        <f t="shared" si="77"/>
        <v>688503.SH</v>
      </c>
    </row>
    <row r="4987" spans="1:6" x14ac:dyDescent="0.15">
      <c r="A4987" s="2">
        <v>46089</v>
      </c>
      <c r="B4987" s="1" t="s">
        <v>9414</v>
      </c>
      <c r="C4987" s="1" t="s">
        <v>9415</v>
      </c>
      <c r="D4987" t="b">
        <f ca="1">IF(A4987="","",[1]!s_techanal_rcnthigh(B4987,$B$2,1,3))</f>
        <v>0</v>
      </c>
      <c r="E4987">
        <f ca="1">IF(A4987="","",COUNTIF(D$6:D4987,"True"))</f>
        <v>52</v>
      </c>
      <c r="F4987" t="str">
        <f t="shared" si="77"/>
        <v>688505.SH</v>
      </c>
    </row>
    <row r="4988" spans="1:6" x14ac:dyDescent="0.15">
      <c r="A4988" s="2">
        <v>46089</v>
      </c>
      <c r="B4988" s="1" t="s">
        <v>9416</v>
      </c>
      <c r="C4988" s="1" t="s">
        <v>10585</v>
      </c>
      <c r="D4988" t="b">
        <f ca="1">IF(A4988="","",[1]!s_techanal_rcnthigh(B4988,$B$2,1,3))</f>
        <v>0</v>
      </c>
      <c r="E4988">
        <f ca="1">IF(A4988="","",COUNTIF(D$6:D4988,"True"))</f>
        <v>52</v>
      </c>
      <c r="F4988" t="str">
        <f t="shared" si="77"/>
        <v>688506.SH</v>
      </c>
    </row>
    <row r="4989" spans="1:6" x14ac:dyDescent="0.15">
      <c r="A4989" s="2">
        <v>46089</v>
      </c>
      <c r="B4989" s="1" t="s">
        <v>9417</v>
      </c>
      <c r="C4989" s="1" t="s">
        <v>9418</v>
      </c>
      <c r="D4989" t="b">
        <f ca="1">IF(A4989="","",[1]!s_techanal_rcnthigh(B4989,$B$2,1,3))</f>
        <v>0</v>
      </c>
      <c r="E4989">
        <f ca="1">IF(A4989="","",COUNTIF(D$6:D4989,"True"))</f>
        <v>52</v>
      </c>
      <c r="F4989" t="str">
        <f t="shared" si="77"/>
        <v>688507.SH</v>
      </c>
    </row>
    <row r="4990" spans="1:6" x14ac:dyDescent="0.15">
      <c r="A4990" s="2">
        <v>46089</v>
      </c>
      <c r="B4990" s="1" t="s">
        <v>9419</v>
      </c>
      <c r="C4990" s="1" t="s">
        <v>9420</v>
      </c>
      <c r="D4990" t="b">
        <f ca="1">IF(A4990="","",[1]!s_techanal_rcnthigh(B4990,$B$2,1,3))</f>
        <v>0</v>
      </c>
      <c r="E4990">
        <f ca="1">IF(A4990="","",COUNTIF(D$6:D4990,"True"))</f>
        <v>52</v>
      </c>
      <c r="F4990" t="str">
        <f t="shared" si="77"/>
        <v>688508.SH</v>
      </c>
    </row>
    <row r="4991" spans="1:6" x14ac:dyDescent="0.15">
      <c r="A4991" s="2">
        <v>46089</v>
      </c>
      <c r="B4991" s="1" t="s">
        <v>9421</v>
      </c>
      <c r="C4991" s="1" t="s">
        <v>9422</v>
      </c>
      <c r="D4991" t="b">
        <f ca="1">IF(A4991="","",[1]!s_techanal_rcnthigh(B4991,$B$2,1,3))</f>
        <v>0</v>
      </c>
      <c r="E4991">
        <f ca="1">IF(A4991="","",COUNTIF(D$6:D4991,"True"))</f>
        <v>52</v>
      </c>
      <c r="F4991" t="str">
        <f t="shared" si="77"/>
        <v>688509.SH</v>
      </c>
    </row>
    <row r="4992" spans="1:6" x14ac:dyDescent="0.15">
      <c r="A4992" s="2">
        <v>46089</v>
      </c>
      <c r="B4992" s="1" t="s">
        <v>9423</v>
      </c>
      <c r="C4992" s="1" t="s">
        <v>9424</v>
      </c>
      <c r="D4992" t="b">
        <f ca="1">IF(A4992="","",[1]!s_techanal_rcnthigh(B4992,$B$2,1,3))</f>
        <v>0</v>
      </c>
      <c r="E4992">
        <f ca="1">IF(A4992="","",COUNTIF(D$6:D4992,"True"))</f>
        <v>52</v>
      </c>
      <c r="F4992" t="str">
        <f t="shared" si="77"/>
        <v>688510.SH</v>
      </c>
    </row>
    <row r="4993" spans="1:6" x14ac:dyDescent="0.15">
      <c r="A4993" s="2">
        <v>46089</v>
      </c>
      <c r="B4993" s="1" t="s">
        <v>9425</v>
      </c>
      <c r="C4993" s="1" t="s">
        <v>10586</v>
      </c>
      <c r="D4993" t="b">
        <f ca="1">IF(A4993="","",[1]!s_techanal_rcnthigh(B4993,$B$2,1,3))</f>
        <v>0</v>
      </c>
      <c r="E4993">
        <f ca="1">IF(A4993="","",COUNTIF(D$6:D4993,"True"))</f>
        <v>52</v>
      </c>
      <c r="F4993" t="str">
        <f t="shared" si="77"/>
        <v>688511.SH</v>
      </c>
    </row>
    <row r="4994" spans="1:6" x14ac:dyDescent="0.15">
      <c r="A4994" s="2">
        <v>46089</v>
      </c>
      <c r="B4994" s="1" t="s">
        <v>9426</v>
      </c>
      <c r="C4994" s="1" t="s">
        <v>9427</v>
      </c>
      <c r="D4994" t="b">
        <f ca="1">IF(A4994="","",[1]!s_techanal_rcnthigh(B4994,$B$2,1,3))</f>
        <v>0</v>
      </c>
      <c r="E4994">
        <f ca="1">IF(A4994="","",COUNTIF(D$6:D4994,"True"))</f>
        <v>52</v>
      </c>
      <c r="F4994" t="str">
        <f t="shared" si="77"/>
        <v>688512.SH</v>
      </c>
    </row>
    <row r="4995" spans="1:6" x14ac:dyDescent="0.15">
      <c r="A4995" s="2">
        <v>46089</v>
      </c>
      <c r="B4995" s="1" t="s">
        <v>9428</v>
      </c>
      <c r="C4995" s="1" t="s">
        <v>9429</v>
      </c>
      <c r="D4995" t="b">
        <f ca="1">IF(A4995="","",[1]!s_techanal_rcnthigh(B4995,$B$2,1,3))</f>
        <v>0</v>
      </c>
      <c r="E4995">
        <f ca="1">IF(A4995="","",COUNTIF(D$6:D4995,"True"))</f>
        <v>52</v>
      </c>
      <c r="F4995" t="str">
        <f t="shared" si="77"/>
        <v>688513.SH</v>
      </c>
    </row>
    <row r="4996" spans="1:6" x14ac:dyDescent="0.15">
      <c r="A4996" s="2">
        <v>46089</v>
      </c>
      <c r="B4996" s="1" t="s">
        <v>9430</v>
      </c>
      <c r="C4996" s="1" t="s">
        <v>9431</v>
      </c>
      <c r="D4996" t="b">
        <f ca="1">IF(A4996="","",[1]!s_techanal_rcnthigh(B4996,$B$2,1,3))</f>
        <v>0</v>
      </c>
      <c r="E4996">
        <f ca="1">IF(A4996="","",COUNTIF(D$6:D4996,"True"))</f>
        <v>52</v>
      </c>
      <c r="F4996" t="str">
        <f t="shared" si="77"/>
        <v>688515.SH</v>
      </c>
    </row>
    <row r="4997" spans="1:6" x14ac:dyDescent="0.15">
      <c r="A4997" s="2">
        <v>46089</v>
      </c>
      <c r="B4997" s="1" t="s">
        <v>9432</v>
      </c>
      <c r="C4997" s="1" t="s">
        <v>9433</v>
      </c>
      <c r="D4997" t="b">
        <f ca="1">IF(A4997="","",[1]!s_techanal_rcnthigh(B4997,$B$2,1,3))</f>
        <v>0</v>
      </c>
      <c r="E4997">
        <f ca="1">IF(A4997="","",COUNTIF(D$6:D4997,"True"))</f>
        <v>52</v>
      </c>
      <c r="F4997" t="str">
        <f t="shared" si="77"/>
        <v>688516.SH</v>
      </c>
    </row>
    <row r="4998" spans="1:6" x14ac:dyDescent="0.15">
      <c r="A4998" s="2">
        <v>46089</v>
      </c>
      <c r="B4998" s="1" t="s">
        <v>9434</v>
      </c>
      <c r="C4998" s="1" t="s">
        <v>9435</v>
      </c>
      <c r="D4998" t="b">
        <f ca="1">IF(A4998="","",[1]!s_techanal_rcnthigh(B4998,$B$2,1,3))</f>
        <v>0</v>
      </c>
      <c r="E4998">
        <f ca="1">IF(A4998="","",COUNTIF(D$6:D4998,"True"))</f>
        <v>52</v>
      </c>
      <c r="F4998" t="str">
        <f t="shared" ref="F4998:F5061" si="78">IF(B4998="","",B4998)</f>
        <v>688517.SH</v>
      </c>
    </row>
    <row r="4999" spans="1:6" x14ac:dyDescent="0.15">
      <c r="A4999" s="2">
        <v>46089</v>
      </c>
      <c r="B4999" s="1" t="s">
        <v>9436</v>
      </c>
      <c r="C4999" s="1" t="s">
        <v>9437</v>
      </c>
      <c r="D4999" t="b">
        <f ca="1">IF(A4999="","",[1]!s_techanal_rcnthigh(B4999,$B$2,1,3))</f>
        <v>0</v>
      </c>
      <c r="E4999">
        <f ca="1">IF(A4999="","",COUNTIF(D$6:D4999,"True"))</f>
        <v>52</v>
      </c>
      <c r="F4999" t="str">
        <f t="shared" si="78"/>
        <v>688518.SH</v>
      </c>
    </row>
    <row r="5000" spans="1:6" x14ac:dyDescent="0.15">
      <c r="A5000" s="2">
        <v>46089</v>
      </c>
      <c r="B5000" s="1" t="s">
        <v>9438</v>
      </c>
      <c r="C5000" s="1" t="s">
        <v>9439</v>
      </c>
      <c r="D5000" t="b">
        <f ca="1">IF(A5000="","",[1]!s_techanal_rcnthigh(B5000,$B$2,1,3))</f>
        <v>0</v>
      </c>
      <c r="E5000">
        <f ca="1">IF(A5000="","",COUNTIF(D$6:D5000,"True"))</f>
        <v>52</v>
      </c>
      <c r="F5000" t="str">
        <f t="shared" si="78"/>
        <v>688519.SH</v>
      </c>
    </row>
    <row r="5001" spans="1:6" x14ac:dyDescent="0.15">
      <c r="A5001" s="2">
        <v>46089</v>
      </c>
      <c r="B5001" s="1" t="s">
        <v>9440</v>
      </c>
      <c r="C5001" s="1" t="s">
        <v>10587</v>
      </c>
      <c r="D5001" t="b">
        <f ca="1">IF(A5001="","",[1]!s_techanal_rcnthigh(B5001,$B$2,1,3))</f>
        <v>0</v>
      </c>
      <c r="E5001">
        <f ca="1">IF(A5001="","",COUNTIF(D$6:D5001,"True"))</f>
        <v>52</v>
      </c>
      <c r="F5001" t="str">
        <f t="shared" si="78"/>
        <v>688520.SH</v>
      </c>
    </row>
    <row r="5002" spans="1:6" x14ac:dyDescent="0.15">
      <c r="A5002" s="2">
        <v>46089</v>
      </c>
      <c r="B5002" s="1" t="s">
        <v>9441</v>
      </c>
      <c r="C5002" s="1" t="s">
        <v>9442</v>
      </c>
      <c r="D5002" t="b">
        <f ca="1">IF(A5002="","",[1]!s_techanal_rcnthigh(B5002,$B$2,1,3))</f>
        <v>0</v>
      </c>
      <c r="E5002">
        <f ca="1">IF(A5002="","",COUNTIF(D$6:D5002,"True"))</f>
        <v>52</v>
      </c>
      <c r="F5002" t="str">
        <f t="shared" si="78"/>
        <v>688521.SH</v>
      </c>
    </row>
    <row r="5003" spans="1:6" x14ac:dyDescent="0.15">
      <c r="A5003" s="2">
        <v>46089</v>
      </c>
      <c r="B5003" s="1" t="s">
        <v>9443</v>
      </c>
      <c r="C5003" s="1" t="s">
        <v>9444</v>
      </c>
      <c r="D5003" t="b">
        <f ca="1">IF(A5003="","",[1]!s_techanal_rcnthigh(B5003,$B$2,1,3))</f>
        <v>0</v>
      </c>
      <c r="E5003">
        <f ca="1">IF(A5003="","",COUNTIF(D$6:D5003,"True"))</f>
        <v>52</v>
      </c>
      <c r="F5003" t="str">
        <f t="shared" si="78"/>
        <v>688522.SH</v>
      </c>
    </row>
    <row r="5004" spans="1:6" x14ac:dyDescent="0.15">
      <c r="A5004" s="2">
        <v>46089</v>
      </c>
      <c r="B5004" s="1" t="s">
        <v>9445</v>
      </c>
      <c r="C5004" s="1" t="s">
        <v>9446</v>
      </c>
      <c r="D5004" t="b">
        <f ca="1">IF(A5004="","",[1]!s_techanal_rcnthigh(B5004,$B$2,1,3))</f>
        <v>0</v>
      </c>
      <c r="E5004">
        <f ca="1">IF(A5004="","",COUNTIF(D$6:D5004,"True"))</f>
        <v>52</v>
      </c>
      <c r="F5004" t="str">
        <f t="shared" si="78"/>
        <v>688523.SH</v>
      </c>
    </row>
    <row r="5005" spans="1:6" x14ac:dyDescent="0.15">
      <c r="A5005" s="2">
        <v>46089</v>
      </c>
      <c r="B5005" s="1" t="s">
        <v>9447</v>
      </c>
      <c r="C5005" s="1" t="s">
        <v>9448</v>
      </c>
      <c r="D5005" t="b">
        <f ca="1">IF(A5005="","",[1]!s_techanal_rcnthigh(B5005,$B$2,1,3))</f>
        <v>0</v>
      </c>
      <c r="E5005">
        <f ca="1">IF(A5005="","",COUNTIF(D$6:D5005,"True"))</f>
        <v>52</v>
      </c>
      <c r="F5005" t="str">
        <f t="shared" si="78"/>
        <v>688525.SH</v>
      </c>
    </row>
    <row r="5006" spans="1:6" x14ac:dyDescent="0.15">
      <c r="A5006" s="2">
        <v>46089</v>
      </c>
      <c r="B5006" s="1" t="s">
        <v>9449</v>
      </c>
      <c r="C5006" s="1" t="s">
        <v>9450</v>
      </c>
      <c r="D5006" t="b">
        <f ca="1">IF(A5006="","",[1]!s_techanal_rcnthigh(B5006,$B$2,1,3))</f>
        <v>0</v>
      </c>
      <c r="E5006">
        <f ca="1">IF(A5006="","",COUNTIF(D$6:D5006,"True"))</f>
        <v>52</v>
      </c>
      <c r="F5006" t="str">
        <f t="shared" si="78"/>
        <v>688526.SH</v>
      </c>
    </row>
    <row r="5007" spans="1:6" x14ac:dyDescent="0.15">
      <c r="A5007" s="2">
        <v>46089</v>
      </c>
      <c r="B5007" s="1" t="s">
        <v>9451</v>
      </c>
      <c r="C5007" s="1" t="s">
        <v>9452</v>
      </c>
      <c r="D5007" t="b">
        <f ca="1">IF(A5007="","",[1]!s_techanal_rcnthigh(B5007,$B$2,1,3))</f>
        <v>0</v>
      </c>
      <c r="E5007">
        <f ca="1">IF(A5007="","",COUNTIF(D$6:D5007,"True"))</f>
        <v>52</v>
      </c>
      <c r="F5007" t="str">
        <f t="shared" si="78"/>
        <v>688528.SH</v>
      </c>
    </row>
    <row r="5008" spans="1:6" x14ac:dyDescent="0.15">
      <c r="A5008" s="2">
        <v>46089</v>
      </c>
      <c r="B5008" s="1" t="s">
        <v>9453</v>
      </c>
      <c r="C5008" s="1" t="s">
        <v>9454</v>
      </c>
      <c r="D5008" t="b">
        <f ca="1">IF(A5008="","",[1]!s_techanal_rcnthigh(B5008,$B$2,1,3))</f>
        <v>0</v>
      </c>
      <c r="E5008">
        <f ca="1">IF(A5008="","",COUNTIF(D$6:D5008,"True"))</f>
        <v>52</v>
      </c>
      <c r="F5008" t="str">
        <f t="shared" si="78"/>
        <v>688529.SH</v>
      </c>
    </row>
    <row r="5009" spans="1:6" x14ac:dyDescent="0.15">
      <c r="A5009" s="2">
        <v>46089</v>
      </c>
      <c r="B5009" s="1" t="s">
        <v>10588</v>
      </c>
      <c r="C5009" s="1" t="s">
        <v>10589</v>
      </c>
      <c r="D5009" t="b">
        <f ca="1">IF(A5009="","",[1]!s_techanal_rcnthigh(B5009,$B$2,1,3))</f>
        <v>0</v>
      </c>
      <c r="E5009">
        <f ca="1">IF(A5009="","",COUNTIF(D$6:D5009,"True"))</f>
        <v>52</v>
      </c>
      <c r="F5009" t="str">
        <f t="shared" si="78"/>
        <v>688530.SH</v>
      </c>
    </row>
    <row r="5010" spans="1:6" x14ac:dyDescent="0.15">
      <c r="A5010" s="2">
        <v>46089</v>
      </c>
      <c r="B5010" s="1" t="s">
        <v>9455</v>
      </c>
      <c r="C5010" s="1" t="s">
        <v>9456</v>
      </c>
      <c r="D5010" t="b">
        <f ca="1">IF(A5010="","",[1]!s_techanal_rcnthigh(B5010,$B$2,1,3))</f>
        <v>0</v>
      </c>
      <c r="E5010">
        <f ca="1">IF(A5010="","",COUNTIF(D$6:D5010,"True"))</f>
        <v>52</v>
      </c>
      <c r="F5010" t="str">
        <f t="shared" si="78"/>
        <v>688531.SH</v>
      </c>
    </row>
    <row r="5011" spans="1:6" x14ac:dyDescent="0.15">
      <c r="A5011" s="2">
        <v>46089</v>
      </c>
      <c r="B5011" s="1" t="s">
        <v>9457</v>
      </c>
      <c r="C5011" s="1" t="s">
        <v>9458</v>
      </c>
      <c r="D5011" t="b">
        <f ca="1">IF(A5011="","",[1]!s_techanal_rcnthigh(B5011,$B$2,1,3))</f>
        <v>0</v>
      </c>
      <c r="E5011">
        <f ca="1">IF(A5011="","",COUNTIF(D$6:D5011,"True"))</f>
        <v>52</v>
      </c>
      <c r="F5011" t="str">
        <f t="shared" si="78"/>
        <v>688533.SH</v>
      </c>
    </row>
    <row r="5012" spans="1:6" x14ac:dyDescent="0.15">
      <c r="A5012" s="2">
        <v>46089</v>
      </c>
      <c r="B5012" s="1" t="s">
        <v>9459</v>
      </c>
      <c r="C5012" s="1" t="s">
        <v>9460</v>
      </c>
      <c r="D5012" t="b">
        <f ca="1">IF(A5012="","",[1]!s_techanal_rcnthigh(B5012,$B$2,1,3))</f>
        <v>0</v>
      </c>
      <c r="E5012">
        <f ca="1">IF(A5012="","",COUNTIF(D$6:D5012,"True"))</f>
        <v>52</v>
      </c>
      <c r="F5012" t="str">
        <f t="shared" si="78"/>
        <v>688535.SH</v>
      </c>
    </row>
    <row r="5013" spans="1:6" x14ac:dyDescent="0.15">
      <c r="A5013" s="2">
        <v>46089</v>
      </c>
      <c r="B5013" s="1" t="s">
        <v>9461</v>
      </c>
      <c r="C5013" s="1" t="s">
        <v>9462</v>
      </c>
      <c r="D5013" t="b">
        <f ca="1">IF(A5013="","",[1]!s_techanal_rcnthigh(B5013,$B$2,1,3))</f>
        <v>0</v>
      </c>
      <c r="E5013">
        <f ca="1">IF(A5013="","",COUNTIF(D$6:D5013,"True"))</f>
        <v>52</v>
      </c>
      <c r="F5013" t="str">
        <f t="shared" si="78"/>
        <v>688536.SH</v>
      </c>
    </row>
    <row r="5014" spans="1:6" x14ac:dyDescent="0.15">
      <c r="A5014" s="2">
        <v>46089</v>
      </c>
      <c r="B5014" s="1" t="s">
        <v>9463</v>
      </c>
      <c r="C5014" s="1" t="s">
        <v>9464</v>
      </c>
      <c r="D5014" t="b">
        <f ca="1">IF(A5014="","",[1]!s_techanal_rcnthigh(B5014,$B$2,1,3))</f>
        <v>0</v>
      </c>
      <c r="E5014">
        <f ca="1">IF(A5014="","",COUNTIF(D$6:D5014,"True"))</f>
        <v>52</v>
      </c>
      <c r="F5014" t="str">
        <f t="shared" si="78"/>
        <v>688538.SH</v>
      </c>
    </row>
    <row r="5015" spans="1:6" x14ac:dyDescent="0.15">
      <c r="A5015" s="2">
        <v>46089</v>
      </c>
      <c r="B5015" s="1" t="s">
        <v>9465</v>
      </c>
      <c r="C5015" s="1" t="s">
        <v>9466</v>
      </c>
      <c r="D5015" t="b">
        <f ca="1">IF(A5015="","",[1]!s_techanal_rcnthigh(B5015,$B$2,1,3))</f>
        <v>0</v>
      </c>
      <c r="E5015">
        <f ca="1">IF(A5015="","",COUNTIF(D$6:D5015,"True"))</f>
        <v>52</v>
      </c>
      <c r="F5015" t="str">
        <f t="shared" si="78"/>
        <v>688539.SH</v>
      </c>
    </row>
    <row r="5016" spans="1:6" x14ac:dyDescent="0.15">
      <c r="A5016" s="2">
        <v>46089</v>
      </c>
      <c r="B5016" s="1" t="s">
        <v>9467</v>
      </c>
      <c r="C5016" s="1" t="s">
        <v>9468</v>
      </c>
      <c r="D5016" t="b">
        <f ca="1">IF(A5016="","",[1]!s_techanal_rcnthigh(B5016,$B$2,1,3))</f>
        <v>0</v>
      </c>
      <c r="E5016">
        <f ca="1">IF(A5016="","",COUNTIF(D$6:D5016,"True"))</f>
        <v>52</v>
      </c>
      <c r="F5016" t="str">
        <f t="shared" si="78"/>
        <v>688543.SH</v>
      </c>
    </row>
    <row r="5017" spans="1:6" x14ac:dyDescent="0.15">
      <c r="A5017" s="2">
        <v>46089</v>
      </c>
      <c r="B5017" s="1" t="s">
        <v>10590</v>
      </c>
      <c r="C5017" s="1" t="s">
        <v>10591</v>
      </c>
      <c r="D5017" t="b">
        <f ca="1">IF(A5017="","",[1]!s_techanal_rcnthigh(B5017,$B$2,1,3))</f>
        <v>0</v>
      </c>
      <c r="E5017">
        <f ca="1">IF(A5017="","",COUNTIF(D$6:D5017,"True"))</f>
        <v>52</v>
      </c>
      <c r="F5017" t="str">
        <f t="shared" si="78"/>
        <v>688545.SH</v>
      </c>
    </row>
    <row r="5018" spans="1:6" x14ac:dyDescent="0.15">
      <c r="A5018" s="2">
        <v>46089</v>
      </c>
      <c r="B5018" s="1" t="s">
        <v>9469</v>
      </c>
      <c r="C5018" s="1" t="s">
        <v>9470</v>
      </c>
      <c r="D5018" t="b">
        <f ca="1">IF(A5018="","",[1]!s_techanal_rcnthigh(B5018,$B$2,1,3))</f>
        <v>0</v>
      </c>
      <c r="E5018">
        <f ca="1">IF(A5018="","",COUNTIF(D$6:D5018,"True"))</f>
        <v>52</v>
      </c>
      <c r="F5018" t="str">
        <f t="shared" si="78"/>
        <v>688548.SH</v>
      </c>
    </row>
    <row r="5019" spans="1:6" x14ac:dyDescent="0.15">
      <c r="A5019" s="2">
        <v>46089</v>
      </c>
      <c r="B5019" s="1" t="s">
        <v>9471</v>
      </c>
      <c r="C5019" s="1" t="s">
        <v>9472</v>
      </c>
      <c r="D5019" t="b">
        <f ca="1">IF(A5019="","",[1]!s_techanal_rcnthigh(B5019,$B$2,1,3))</f>
        <v>0</v>
      </c>
      <c r="E5019">
        <f ca="1">IF(A5019="","",COUNTIF(D$6:D5019,"True"))</f>
        <v>52</v>
      </c>
      <c r="F5019" t="str">
        <f t="shared" si="78"/>
        <v>688549.SH</v>
      </c>
    </row>
    <row r="5020" spans="1:6" x14ac:dyDescent="0.15">
      <c r="A5020" s="2">
        <v>46089</v>
      </c>
      <c r="B5020" s="1" t="s">
        <v>9473</v>
      </c>
      <c r="C5020" s="1" t="s">
        <v>9474</v>
      </c>
      <c r="D5020" t="b">
        <f ca="1">IF(A5020="","",[1]!s_techanal_rcnthigh(B5020,$B$2,1,3))</f>
        <v>0</v>
      </c>
      <c r="E5020">
        <f ca="1">IF(A5020="","",COUNTIF(D$6:D5020,"True"))</f>
        <v>52</v>
      </c>
      <c r="F5020" t="str">
        <f t="shared" si="78"/>
        <v>688550.SH</v>
      </c>
    </row>
    <row r="5021" spans="1:6" x14ac:dyDescent="0.15">
      <c r="A5021" s="2">
        <v>46089</v>
      </c>
      <c r="B5021" s="1" t="s">
        <v>9475</v>
      </c>
      <c r="C5021" s="1" t="s">
        <v>9476</v>
      </c>
      <c r="D5021" t="b">
        <f ca="1">IF(A5021="","",[1]!s_techanal_rcnthigh(B5021,$B$2,1,3))</f>
        <v>0</v>
      </c>
      <c r="E5021">
        <f ca="1">IF(A5021="","",COUNTIF(D$6:D5021,"True"))</f>
        <v>52</v>
      </c>
      <c r="F5021" t="str">
        <f t="shared" si="78"/>
        <v>688551.SH</v>
      </c>
    </row>
    <row r="5022" spans="1:6" x14ac:dyDescent="0.15">
      <c r="A5022" s="2">
        <v>46089</v>
      </c>
      <c r="B5022" s="1" t="s">
        <v>9477</v>
      </c>
      <c r="C5022" s="1" t="s">
        <v>9478</v>
      </c>
      <c r="D5022" t="b">
        <f ca="1">IF(A5022="","",[1]!s_techanal_rcnthigh(B5022,$B$2,1,3))</f>
        <v>0</v>
      </c>
      <c r="E5022">
        <f ca="1">IF(A5022="","",COUNTIF(D$6:D5022,"True"))</f>
        <v>52</v>
      </c>
      <c r="F5022" t="str">
        <f t="shared" si="78"/>
        <v>688552.SH</v>
      </c>
    </row>
    <row r="5023" spans="1:6" x14ac:dyDescent="0.15">
      <c r="A5023" s="2">
        <v>46089</v>
      </c>
      <c r="B5023" s="1" t="s">
        <v>9479</v>
      </c>
      <c r="C5023" s="1" t="s">
        <v>9480</v>
      </c>
      <c r="D5023" t="b">
        <f ca="1">IF(A5023="","",[1]!s_techanal_rcnthigh(B5023,$B$2,1,3))</f>
        <v>0</v>
      </c>
      <c r="E5023">
        <f ca="1">IF(A5023="","",COUNTIF(D$6:D5023,"True"))</f>
        <v>52</v>
      </c>
      <c r="F5023" t="str">
        <f t="shared" si="78"/>
        <v>688553.SH</v>
      </c>
    </row>
    <row r="5024" spans="1:6" x14ac:dyDescent="0.15">
      <c r="A5024" s="2">
        <v>46089</v>
      </c>
      <c r="B5024" s="1" t="s">
        <v>9481</v>
      </c>
      <c r="C5024" s="1" t="s">
        <v>9482</v>
      </c>
      <c r="D5024" t="b">
        <f ca="1">IF(A5024="","",[1]!s_techanal_rcnthigh(B5024,$B$2,1,3))</f>
        <v>0</v>
      </c>
      <c r="E5024">
        <f ca="1">IF(A5024="","",COUNTIF(D$6:D5024,"True"))</f>
        <v>52</v>
      </c>
      <c r="F5024" t="str">
        <f t="shared" si="78"/>
        <v>688556.SH</v>
      </c>
    </row>
    <row r="5025" spans="1:6" x14ac:dyDescent="0.15">
      <c r="A5025" s="2">
        <v>46089</v>
      </c>
      <c r="B5025" s="1" t="s">
        <v>9483</v>
      </c>
      <c r="C5025" s="1" t="s">
        <v>9484</v>
      </c>
      <c r="D5025" t="b">
        <f ca="1">IF(A5025="","",[1]!s_techanal_rcnthigh(B5025,$B$2,1,3))</f>
        <v>0</v>
      </c>
      <c r="E5025">
        <f ca="1">IF(A5025="","",COUNTIF(D$6:D5025,"True"))</f>
        <v>52</v>
      </c>
      <c r="F5025" t="str">
        <f t="shared" si="78"/>
        <v>688557.SH</v>
      </c>
    </row>
    <row r="5026" spans="1:6" x14ac:dyDescent="0.15">
      <c r="A5026" s="2">
        <v>46089</v>
      </c>
      <c r="B5026" s="1" t="s">
        <v>9485</v>
      </c>
      <c r="C5026" s="1" t="s">
        <v>9486</v>
      </c>
      <c r="D5026" t="b">
        <f ca="1">IF(A5026="","",[1]!s_techanal_rcnthigh(B5026,$B$2,1,3))</f>
        <v>0</v>
      </c>
      <c r="E5026">
        <f ca="1">IF(A5026="","",COUNTIF(D$6:D5026,"True"))</f>
        <v>52</v>
      </c>
      <c r="F5026" t="str">
        <f t="shared" si="78"/>
        <v>688558.SH</v>
      </c>
    </row>
    <row r="5027" spans="1:6" x14ac:dyDescent="0.15">
      <c r="A5027" s="2">
        <v>46089</v>
      </c>
      <c r="B5027" s="1" t="s">
        <v>9487</v>
      </c>
      <c r="C5027" s="1" t="s">
        <v>9488</v>
      </c>
      <c r="D5027" t="b">
        <f ca="1">IF(A5027="","",[1]!s_techanal_rcnthigh(B5027,$B$2,1,3))</f>
        <v>0</v>
      </c>
      <c r="E5027">
        <f ca="1">IF(A5027="","",COUNTIF(D$6:D5027,"True"))</f>
        <v>52</v>
      </c>
      <c r="F5027" t="str">
        <f t="shared" si="78"/>
        <v>688559.SH</v>
      </c>
    </row>
    <row r="5028" spans="1:6" x14ac:dyDescent="0.15">
      <c r="A5028" s="2">
        <v>46089</v>
      </c>
      <c r="B5028" s="1" t="s">
        <v>9489</v>
      </c>
      <c r="C5028" s="1" t="s">
        <v>9490</v>
      </c>
      <c r="D5028" t="b">
        <f ca="1">IF(A5028="","",[1]!s_techanal_rcnthigh(B5028,$B$2,1,3))</f>
        <v>0</v>
      </c>
      <c r="E5028">
        <f ca="1">IF(A5028="","",COUNTIF(D$6:D5028,"True"))</f>
        <v>52</v>
      </c>
      <c r="F5028" t="str">
        <f t="shared" si="78"/>
        <v>688560.SH</v>
      </c>
    </row>
    <row r="5029" spans="1:6" x14ac:dyDescent="0.15">
      <c r="A5029" s="2">
        <v>46089</v>
      </c>
      <c r="B5029" s="1" t="s">
        <v>9491</v>
      </c>
      <c r="C5029" s="1" t="s">
        <v>9492</v>
      </c>
      <c r="D5029" t="b">
        <f ca="1">IF(A5029="","",[1]!s_techanal_rcnthigh(B5029,$B$2,1,3))</f>
        <v>0</v>
      </c>
      <c r="E5029">
        <f ca="1">IF(A5029="","",COUNTIF(D$6:D5029,"True"))</f>
        <v>52</v>
      </c>
      <c r="F5029" t="str">
        <f t="shared" si="78"/>
        <v>688561.SH</v>
      </c>
    </row>
    <row r="5030" spans="1:6" x14ac:dyDescent="0.15">
      <c r="A5030" s="2">
        <v>46089</v>
      </c>
      <c r="B5030" s="1" t="s">
        <v>9493</v>
      </c>
      <c r="C5030" s="1" t="s">
        <v>9494</v>
      </c>
      <c r="D5030" t="b">
        <f ca="1">IF(A5030="","",[1]!s_techanal_rcnthigh(B5030,$B$2,1,3))</f>
        <v>0</v>
      </c>
      <c r="E5030">
        <f ca="1">IF(A5030="","",COUNTIF(D$6:D5030,"True"))</f>
        <v>52</v>
      </c>
      <c r="F5030" t="str">
        <f t="shared" si="78"/>
        <v>688562.SH</v>
      </c>
    </row>
    <row r="5031" spans="1:6" x14ac:dyDescent="0.15">
      <c r="A5031" s="2">
        <v>46089</v>
      </c>
      <c r="B5031" s="1" t="s">
        <v>9495</v>
      </c>
      <c r="C5031" s="1" t="s">
        <v>9496</v>
      </c>
      <c r="D5031" t="b">
        <f ca="1">IF(A5031="","",[1]!s_techanal_rcnthigh(B5031,$B$2,1,3))</f>
        <v>0</v>
      </c>
      <c r="E5031">
        <f ca="1">IF(A5031="","",COUNTIF(D$6:D5031,"True"))</f>
        <v>52</v>
      </c>
      <c r="F5031" t="str">
        <f t="shared" si="78"/>
        <v>688563.SH</v>
      </c>
    </row>
    <row r="5032" spans="1:6" x14ac:dyDescent="0.15">
      <c r="A5032" s="2">
        <v>46089</v>
      </c>
      <c r="B5032" s="1" t="s">
        <v>9497</v>
      </c>
      <c r="C5032" s="1" t="s">
        <v>9498</v>
      </c>
      <c r="D5032" t="b">
        <f ca="1">IF(A5032="","",[1]!s_techanal_rcnthigh(B5032,$B$2,1,3))</f>
        <v>0</v>
      </c>
      <c r="E5032">
        <f ca="1">IF(A5032="","",COUNTIF(D$6:D5032,"True"))</f>
        <v>52</v>
      </c>
      <c r="F5032" t="str">
        <f t="shared" si="78"/>
        <v>688565.SH</v>
      </c>
    </row>
    <row r="5033" spans="1:6" x14ac:dyDescent="0.15">
      <c r="A5033" s="2">
        <v>46089</v>
      </c>
      <c r="B5033" s="1" t="s">
        <v>9499</v>
      </c>
      <c r="C5033" s="1" t="s">
        <v>9500</v>
      </c>
      <c r="D5033" t="b">
        <f ca="1">IF(A5033="","",[1]!s_techanal_rcnthigh(B5033,$B$2,1,3))</f>
        <v>0</v>
      </c>
      <c r="E5033">
        <f ca="1">IF(A5033="","",COUNTIF(D$6:D5033,"True"))</f>
        <v>52</v>
      </c>
      <c r="F5033" t="str">
        <f t="shared" si="78"/>
        <v>688566.SH</v>
      </c>
    </row>
    <row r="5034" spans="1:6" x14ac:dyDescent="0.15">
      <c r="A5034" s="2">
        <v>46089</v>
      </c>
      <c r="B5034" s="1" t="s">
        <v>9501</v>
      </c>
      <c r="C5034" s="1" t="s">
        <v>9502</v>
      </c>
      <c r="D5034" t="b">
        <f ca="1">IF(A5034="","",[1]!s_techanal_rcnthigh(B5034,$B$2,1,3))</f>
        <v>0</v>
      </c>
      <c r="E5034">
        <f ca="1">IF(A5034="","",COUNTIF(D$6:D5034,"True"))</f>
        <v>52</v>
      </c>
      <c r="F5034" t="str">
        <f t="shared" si="78"/>
        <v>688567.SH</v>
      </c>
    </row>
    <row r="5035" spans="1:6" x14ac:dyDescent="0.15">
      <c r="A5035" s="2">
        <v>46089</v>
      </c>
      <c r="B5035" s="1" t="s">
        <v>9503</v>
      </c>
      <c r="C5035" s="1" t="s">
        <v>9504</v>
      </c>
      <c r="D5035" t="b">
        <f ca="1">IF(A5035="","",[1]!s_techanal_rcnthigh(B5035,$B$2,1,3))</f>
        <v>0</v>
      </c>
      <c r="E5035">
        <f ca="1">IF(A5035="","",COUNTIF(D$6:D5035,"True"))</f>
        <v>52</v>
      </c>
      <c r="F5035" t="str">
        <f t="shared" si="78"/>
        <v>688568.SH</v>
      </c>
    </row>
    <row r="5036" spans="1:6" x14ac:dyDescent="0.15">
      <c r="A5036" s="2">
        <v>46089</v>
      </c>
      <c r="B5036" s="1" t="s">
        <v>9505</v>
      </c>
      <c r="C5036" s="1" t="s">
        <v>9506</v>
      </c>
      <c r="D5036" t="b">
        <f ca="1">IF(A5036="","",[1]!s_techanal_rcnthigh(B5036,$B$2,1,3))</f>
        <v>0</v>
      </c>
      <c r="E5036">
        <f ca="1">IF(A5036="","",COUNTIF(D$6:D5036,"True"))</f>
        <v>52</v>
      </c>
      <c r="F5036" t="str">
        <f t="shared" si="78"/>
        <v>688569.SH</v>
      </c>
    </row>
    <row r="5037" spans="1:6" x14ac:dyDescent="0.15">
      <c r="A5037" s="2">
        <v>46089</v>
      </c>
      <c r="B5037" s="1" t="s">
        <v>9507</v>
      </c>
      <c r="C5037" s="1" t="s">
        <v>9508</v>
      </c>
      <c r="D5037" t="b">
        <f ca="1">IF(A5037="","",[1]!s_techanal_rcnthigh(B5037,$B$2,1,3))</f>
        <v>0</v>
      </c>
      <c r="E5037">
        <f ca="1">IF(A5037="","",COUNTIF(D$6:D5037,"True"))</f>
        <v>52</v>
      </c>
      <c r="F5037" t="str">
        <f t="shared" si="78"/>
        <v>688570.SH</v>
      </c>
    </row>
    <row r="5038" spans="1:6" x14ac:dyDescent="0.15">
      <c r="A5038" s="2">
        <v>46089</v>
      </c>
      <c r="B5038" s="1" t="s">
        <v>9509</v>
      </c>
      <c r="C5038" s="1" t="s">
        <v>9510</v>
      </c>
      <c r="D5038" t="b">
        <f ca="1">IF(A5038="","",[1]!s_techanal_rcnthigh(B5038,$B$2,1,3))</f>
        <v>0</v>
      </c>
      <c r="E5038">
        <f ca="1">IF(A5038="","",COUNTIF(D$6:D5038,"True"))</f>
        <v>52</v>
      </c>
      <c r="F5038" t="str">
        <f t="shared" si="78"/>
        <v>688571.SH</v>
      </c>
    </row>
    <row r="5039" spans="1:6" x14ac:dyDescent="0.15">
      <c r="A5039" s="2">
        <v>46089</v>
      </c>
      <c r="B5039" s="1" t="s">
        <v>9511</v>
      </c>
      <c r="C5039" s="1" t="s">
        <v>9512</v>
      </c>
      <c r="D5039" t="b">
        <f ca="1">IF(A5039="","",[1]!s_techanal_rcnthigh(B5039,$B$2,1,3))</f>
        <v>0</v>
      </c>
      <c r="E5039">
        <f ca="1">IF(A5039="","",COUNTIF(D$6:D5039,"True"))</f>
        <v>52</v>
      </c>
      <c r="F5039" t="str">
        <f t="shared" si="78"/>
        <v>688573.SH</v>
      </c>
    </row>
    <row r="5040" spans="1:6" x14ac:dyDescent="0.15">
      <c r="A5040" s="2">
        <v>46089</v>
      </c>
      <c r="B5040" s="1" t="s">
        <v>9513</v>
      </c>
      <c r="C5040" s="1" t="s">
        <v>9514</v>
      </c>
      <c r="D5040" t="b">
        <f ca="1">IF(A5040="","",[1]!s_techanal_rcnthigh(B5040,$B$2,1,3))</f>
        <v>0</v>
      </c>
      <c r="E5040">
        <f ca="1">IF(A5040="","",COUNTIF(D$6:D5040,"True"))</f>
        <v>52</v>
      </c>
      <c r="F5040" t="str">
        <f t="shared" si="78"/>
        <v>688575.SH</v>
      </c>
    </row>
    <row r="5041" spans="1:6" x14ac:dyDescent="0.15">
      <c r="A5041" s="2">
        <v>46089</v>
      </c>
      <c r="B5041" s="1" t="s">
        <v>9515</v>
      </c>
      <c r="C5041" s="1" t="s">
        <v>9516</v>
      </c>
      <c r="D5041" t="b">
        <f ca="1">IF(A5041="","",[1]!s_techanal_rcnthigh(B5041,$B$2,1,3))</f>
        <v>0</v>
      </c>
      <c r="E5041">
        <f ca="1">IF(A5041="","",COUNTIF(D$6:D5041,"True"))</f>
        <v>52</v>
      </c>
      <c r="F5041" t="str">
        <f t="shared" si="78"/>
        <v>688576.SH</v>
      </c>
    </row>
    <row r="5042" spans="1:6" x14ac:dyDescent="0.15">
      <c r="A5042" s="2">
        <v>46089</v>
      </c>
      <c r="B5042" s="1" t="s">
        <v>9517</v>
      </c>
      <c r="C5042" s="1" t="s">
        <v>9518</v>
      </c>
      <c r="D5042" t="b">
        <f ca="1">IF(A5042="","",[1]!s_techanal_rcnthigh(B5042,$B$2,1,3))</f>
        <v>0</v>
      </c>
      <c r="E5042">
        <f ca="1">IF(A5042="","",COUNTIF(D$6:D5042,"True"))</f>
        <v>52</v>
      </c>
      <c r="F5042" t="str">
        <f t="shared" si="78"/>
        <v>688577.SH</v>
      </c>
    </row>
    <row r="5043" spans="1:6" x14ac:dyDescent="0.15">
      <c r="A5043" s="2">
        <v>46089</v>
      </c>
      <c r="B5043" s="1" t="s">
        <v>9519</v>
      </c>
      <c r="C5043" s="1" t="s">
        <v>9520</v>
      </c>
      <c r="D5043" t="b">
        <f ca="1">IF(A5043="","",[1]!s_techanal_rcnthigh(B5043,$B$2,1,3))</f>
        <v>0</v>
      </c>
      <c r="E5043">
        <f ca="1">IF(A5043="","",COUNTIF(D$6:D5043,"True"))</f>
        <v>52</v>
      </c>
      <c r="F5043" t="str">
        <f t="shared" si="78"/>
        <v>688578.SH</v>
      </c>
    </row>
    <row r="5044" spans="1:6" x14ac:dyDescent="0.15">
      <c r="A5044" s="2">
        <v>46089</v>
      </c>
      <c r="B5044" s="1" t="s">
        <v>9521</v>
      </c>
      <c r="C5044" s="1" t="s">
        <v>10592</v>
      </c>
      <c r="D5044" t="b">
        <f ca="1">IF(A5044="","",[1]!s_techanal_rcnthigh(B5044,$B$2,1,3))</f>
        <v>0</v>
      </c>
      <c r="E5044">
        <f ca="1">IF(A5044="","",COUNTIF(D$6:D5044,"True"))</f>
        <v>52</v>
      </c>
      <c r="F5044" t="str">
        <f t="shared" si="78"/>
        <v>688579.SH</v>
      </c>
    </row>
    <row r="5045" spans="1:6" x14ac:dyDescent="0.15">
      <c r="A5045" s="2">
        <v>46089</v>
      </c>
      <c r="B5045" s="1" t="s">
        <v>9522</v>
      </c>
      <c r="C5045" s="1" t="s">
        <v>9523</v>
      </c>
      <c r="D5045" t="b">
        <f ca="1">IF(A5045="","",[1]!s_techanal_rcnthigh(B5045,$B$2,1,3))</f>
        <v>0</v>
      </c>
      <c r="E5045">
        <f ca="1">IF(A5045="","",COUNTIF(D$6:D5045,"True"))</f>
        <v>52</v>
      </c>
      <c r="F5045" t="str">
        <f t="shared" si="78"/>
        <v>688580.SH</v>
      </c>
    </row>
    <row r="5046" spans="1:6" x14ac:dyDescent="0.15">
      <c r="A5046" s="2">
        <v>46089</v>
      </c>
      <c r="B5046" s="1" t="s">
        <v>9524</v>
      </c>
      <c r="C5046" s="1" t="s">
        <v>9525</v>
      </c>
      <c r="D5046" t="b">
        <f ca="1">IF(A5046="","",[1]!s_techanal_rcnthigh(B5046,$B$2,1,3))</f>
        <v>0</v>
      </c>
      <c r="E5046">
        <f ca="1">IF(A5046="","",COUNTIF(D$6:D5046,"True"))</f>
        <v>52</v>
      </c>
      <c r="F5046" t="str">
        <f t="shared" si="78"/>
        <v>688581.SH</v>
      </c>
    </row>
    <row r="5047" spans="1:6" x14ac:dyDescent="0.15">
      <c r="A5047" s="2">
        <v>46089</v>
      </c>
      <c r="B5047" s="1" t="s">
        <v>9526</v>
      </c>
      <c r="C5047" s="1" t="s">
        <v>9527</v>
      </c>
      <c r="D5047" t="b">
        <f ca="1">IF(A5047="","",[1]!s_techanal_rcnthigh(B5047,$B$2,1,3))</f>
        <v>0</v>
      </c>
      <c r="E5047">
        <f ca="1">IF(A5047="","",COUNTIF(D$6:D5047,"True"))</f>
        <v>52</v>
      </c>
      <c r="F5047" t="str">
        <f t="shared" si="78"/>
        <v>688582.SH</v>
      </c>
    </row>
    <row r="5048" spans="1:6" x14ac:dyDescent="0.15">
      <c r="A5048" s="2">
        <v>46089</v>
      </c>
      <c r="B5048" s="1" t="s">
        <v>10593</v>
      </c>
      <c r="C5048" s="1" t="s">
        <v>10594</v>
      </c>
      <c r="D5048" t="b">
        <f ca="1">IF(A5048="","",[1]!s_techanal_rcnthigh(B5048,$B$2,1,3))</f>
        <v>0</v>
      </c>
      <c r="E5048">
        <f ca="1">IF(A5048="","",COUNTIF(D$6:D5048,"True"))</f>
        <v>52</v>
      </c>
      <c r="F5048" t="str">
        <f t="shared" si="78"/>
        <v>688583.SH</v>
      </c>
    </row>
    <row r="5049" spans="1:6" x14ac:dyDescent="0.15">
      <c r="A5049" s="2">
        <v>46089</v>
      </c>
      <c r="B5049" s="1" t="s">
        <v>9528</v>
      </c>
      <c r="C5049" s="1" t="s">
        <v>9529</v>
      </c>
      <c r="D5049" t="b">
        <f ca="1">IF(A5049="","",[1]!s_techanal_rcnthigh(B5049,$B$2,1,3))</f>
        <v>0</v>
      </c>
      <c r="E5049">
        <f ca="1">IF(A5049="","",COUNTIF(D$6:D5049,"True"))</f>
        <v>52</v>
      </c>
      <c r="F5049" t="str">
        <f t="shared" si="78"/>
        <v>688584.SH</v>
      </c>
    </row>
    <row r="5050" spans="1:6" x14ac:dyDescent="0.15">
      <c r="A5050" s="2">
        <v>46089</v>
      </c>
      <c r="B5050" s="1" t="s">
        <v>9530</v>
      </c>
      <c r="C5050" s="1" t="s">
        <v>9531</v>
      </c>
      <c r="D5050" t="b">
        <f ca="1">IF(A5050="","",[1]!s_techanal_rcnthigh(B5050,$B$2,1,3))</f>
        <v>0</v>
      </c>
      <c r="E5050">
        <f ca="1">IF(A5050="","",COUNTIF(D$6:D5050,"True"))</f>
        <v>52</v>
      </c>
      <c r="F5050" t="str">
        <f t="shared" si="78"/>
        <v>688585.SH</v>
      </c>
    </row>
    <row r="5051" spans="1:6" x14ac:dyDescent="0.15">
      <c r="A5051" s="2">
        <v>46089</v>
      </c>
      <c r="B5051" s="1" t="s">
        <v>9532</v>
      </c>
      <c r="C5051" s="1" t="s">
        <v>9533</v>
      </c>
      <c r="D5051" t="b">
        <f ca="1">IF(A5051="","",[1]!s_techanal_rcnthigh(B5051,$B$2,1,3))</f>
        <v>0</v>
      </c>
      <c r="E5051">
        <f ca="1">IF(A5051="","",COUNTIF(D$6:D5051,"True"))</f>
        <v>52</v>
      </c>
      <c r="F5051" t="str">
        <f t="shared" si="78"/>
        <v>688586.SH</v>
      </c>
    </row>
    <row r="5052" spans="1:6" x14ac:dyDescent="0.15">
      <c r="A5052" s="2">
        <v>46089</v>
      </c>
      <c r="B5052" s="1" t="s">
        <v>9534</v>
      </c>
      <c r="C5052" s="1" t="s">
        <v>9535</v>
      </c>
      <c r="D5052" t="b">
        <f ca="1">IF(A5052="","",[1]!s_techanal_rcnthigh(B5052,$B$2,1,3))</f>
        <v>0</v>
      </c>
      <c r="E5052">
        <f ca="1">IF(A5052="","",COUNTIF(D$6:D5052,"True"))</f>
        <v>52</v>
      </c>
      <c r="F5052" t="str">
        <f t="shared" si="78"/>
        <v>688588.SH</v>
      </c>
    </row>
    <row r="5053" spans="1:6" x14ac:dyDescent="0.15">
      <c r="A5053" s="2">
        <v>46089</v>
      </c>
      <c r="B5053" s="1" t="s">
        <v>9536</v>
      </c>
      <c r="C5053" s="1" t="s">
        <v>9537</v>
      </c>
      <c r="D5053" t="b">
        <f ca="1">IF(A5053="","",[1]!s_techanal_rcnthigh(B5053,$B$2,1,3))</f>
        <v>0</v>
      </c>
      <c r="E5053">
        <f ca="1">IF(A5053="","",COUNTIF(D$6:D5053,"True"))</f>
        <v>52</v>
      </c>
      <c r="F5053" t="str">
        <f t="shared" si="78"/>
        <v>688589.SH</v>
      </c>
    </row>
    <row r="5054" spans="1:6" x14ac:dyDescent="0.15">
      <c r="A5054" s="2">
        <v>46089</v>
      </c>
      <c r="B5054" s="1" t="s">
        <v>9538</v>
      </c>
      <c r="C5054" s="1" t="s">
        <v>9539</v>
      </c>
      <c r="D5054" t="b">
        <f ca="1">IF(A5054="","",[1]!s_techanal_rcnthigh(B5054,$B$2,1,3))</f>
        <v>0</v>
      </c>
      <c r="E5054">
        <f ca="1">IF(A5054="","",COUNTIF(D$6:D5054,"True"))</f>
        <v>52</v>
      </c>
      <c r="F5054" t="str">
        <f t="shared" si="78"/>
        <v>688590.SH</v>
      </c>
    </row>
    <row r="5055" spans="1:6" x14ac:dyDescent="0.15">
      <c r="A5055" s="2">
        <v>46089</v>
      </c>
      <c r="B5055" s="1" t="s">
        <v>9540</v>
      </c>
      <c r="C5055" s="1" t="s">
        <v>9541</v>
      </c>
      <c r="D5055" t="b">
        <f ca="1">IF(A5055="","",[1]!s_techanal_rcnthigh(B5055,$B$2,1,3))</f>
        <v>0</v>
      </c>
      <c r="E5055">
        <f ca="1">IF(A5055="","",COUNTIF(D$6:D5055,"True"))</f>
        <v>52</v>
      </c>
      <c r="F5055" t="str">
        <f t="shared" si="78"/>
        <v>688591.SH</v>
      </c>
    </row>
    <row r="5056" spans="1:6" x14ac:dyDescent="0.15">
      <c r="A5056" s="2">
        <v>46089</v>
      </c>
      <c r="B5056" s="1" t="s">
        <v>9542</v>
      </c>
      <c r="C5056" s="1" t="s">
        <v>9543</v>
      </c>
      <c r="D5056" t="b">
        <f ca="1">IF(A5056="","",[1]!s_techanal_rcnthigh(B5056,$B$2,1,3))</f>
        <v>0</v>
      </c>
      <c r="E5056">
        <f ca="1">IF(A5056="","",COUNTIF(D$6:D5056,"True"))</f>
        <v>52</v>
      </c>
      <c r="F5056" t="str">
        <f t="shared" si="78"/>
        <v>688592.SH</v>
      </c>
    </row>
    <row r="5057" spans="1:6" x14ac:dyDescent="0.15">
      <c r="A5057" s="2">
        <v>46089</v>
      </c>
      <c r="B5057" s="1" t="s">
        <v>9544</v>
      </c>
      <c r="C5057" s="1" t="s">
        <v>9545</v>
      </c>
      <c r="D5057" t="b">
        <f ca="1">IF(A5057="","",[1]!s_techanal_rcnthigh(B5057,$B$2,1,3))</f>
        <v>0</v>
      </c>
      <c r="E5057">
        <f ca="1">IF(A5057="","",COUNTIF(D$6:D5057,"True"))</f>
        <v>52</v>
      </c>
      <c r="F5057" t="str">
        <f t="shared" si="78"/>
        <v>688593.SH</v>
      </c>
    </row>
    <row r="5058" spans="1:6" x14ac:dyDescent="0.15">
      <c r="A5058" s="2">
        <v>46089</v>
      </c>
      <c r="B5058" s="1" t="s">
        <v>9546</v>
      </c>
      <c r="C5058" s="1" t="s">
        <v>9547</v>
      </c>
      <c r="D5058" t="b">
        <f ca="1">IF(A5058="","",[1]!s_techanal_rcnthigh(B5058,$B$2,1,3))</f>
        <v>0</v>
      </c>
      <c r="E5058">
        <f ca="1">IF(A5058="","",COUNTIF(D$6:D5058,"True"))</f>
        <v>52</v>
      </c>
      <c r="F5058" t="str">
        <f t="shared" si="78"/>
        <v>688595.SH</v>
      </c>
    </row>
    <row r="5059" spans="1:6" x14ac:dyDescent="0.15">
      <c r="A5059" s="2">
        <v>46089</v>
      </c>
      <c r="B5059" s="1" t="s">
        <v>9548</v>
      </c>
      <c r="C5059" s="1" t="s">
        <v>9549</v>
      </c>
      <c r="D5059" t="b">
        <f ca="1">IF(A5059="","",[1]!s_techanal_rcnthigh(B5059,$B$2,1,3))</f>
        <v>0</v>
      </c>
      <c r="E5059">
        <f ca="1">IF(A5059="","",COUNTIF(D$6:D5059,"True"))</f>
        <v>52</v>
      </c>
      <c r="F5059" t="str">
        <f t="shared" si="78"/>
        <v>688596.SH</v>
      </c>
    </row>
    <row r="5060" spans="1:6" x14ac:dyDescent="0.15">
      <c r="A5060" s="2">
        <v>46089</v>
      </c>
      <c r="B5060" s="1" t="s">
        <v>9550</v>
      </c>
      <c r="C5060" s="1" t="s">
        <v>9551</v>
      </c>
      <c r="D5060" t="b">
        <f ca="1">IF(A5060="","",[1]!s_techanal_rcnthigh(B5060,$B$2,1,3))</f>
        <v>0</v>
      </c>
      <c r="E5060">
        <f ca="1">IF(A5060="","",COUNTIF(D$6:D5060,"True"))</f>
        <v>52</v>
      </c>
      <c r="F5060" t="str">
        <f t="shared" si="78"/>
        <v>688597.SH</v>
      </c>
    </row>
    <row r="5061" spans="1:6" x14ac:dyDescent="0.15">
      <c r="A5061" s="2">
        <v>46089</v>
      </c>
      <c r="B5061" s="1" t="s">
        <v>9552</v>
      </c>
      <c r="C5061" s="1" t="s">
        <v>9553</v>
      </c>
      <c r="D5061" t="b">
        <f ca="1">IF(A5061="","",[1]!s_techanal_rcnthigh(B5061,$B$2,1,3))</f>
        <v>0</v>
      </c>
      <c r="E5061">
        <f ca="1">IF(A5061="","",COUNTIF(D$6:D5061,"True"))</f>
        <v>52</v>
      </c>
      <c r="F5061" t="str">
        <f t="shared" si="78"/>
        <v>688598.SH</v>
      </c>
    </row>
    <row r="5062" spans="1:6" x14ac:dyDescent="0.15">
      <c r="A5062" s="2">
        <v>46089</v>
      </c>
      <c r="B5062" s="1" t="s">
        <v>9554</v>
      </c>
      <c r="C5062" s="1" t="s">
        <v>9555</v>
      </c>
      <c r="D5062" t="b">
        <f ca="1">IF(A5062="","",[1]!s_techanal_rcnthigh(B5062,$B$2,1,3))</f>
        <v>0</v>
      </c>
      <c r="E5062">
        <f ca="1">IF(A5062="","",COUNTIF(D$6:D5062,"True"))</f>
        <v>52</v>
      </c>
      <c r="F5062" t="str">
        <f t="shared" ref="F5062:F5125" si="79">IF(B5062="","",B5062)</f>
        <v>688599.SH</v>
      </c>
    </row>
    <row r="5063" spans="1:6" x14ac:dyDescent="0.15">
      <c r="A5063" s="2">
        <v>46089</v>
      </c>
      <c r="B5063" s="1" t="s">
        <v>9556</v>
      </c>
      <c r="C5063" s="1" t="s">
        <v>9557</v>
      </c>
      <c r="D5063" t="b">
        <f ca="1">IF(A5063="","",[1]!s_techanal_rcnthigh(B5063,$B$2,1,3))</f>
        <v>0</v>
      </c>
      <c r="E5063">
        <f ca="1">IF(A5063="","",COUNTIF(D$6:D5063,"True"))</f>
        <v>52</v>
      </c>
      <c r="F5063" t="str">
        <f t="shared" si="79"/>
        <v>688600.SH</v>
      </c>
    </row>
    <row r="5064" spans="1:6" x14ac:dyDescent="0.15">
      <c r="A5064" s="2">
        <v>46089</v>
      </c>
      <c r="B5064" s="1" t="s">
        <v>9558</v>
      </c>
      <c r="C5064" s="1" t="s">
        <v>9559</v>
      </c>
      <c r="D5064" t="b">
        <f ca="1">IF(A5064="","",[1]!s_techanal_rcnthigh(B5064,$B$2,1,3))</f>
        <v>0</v>
      </c>
      <c r="E5064">
        <f ca="1">IF(A5064="","",COUNTIF(D$6:D5064,"True"))</f>
        <v>52</v>
      </c>
      <c r="F5064" t="str">
        <f t="shared" si="79"/>
        <v>688601.SH</v>
      </c>
    </row>
    <row r="5065" spans="1:6" x14ac:dyDescent="0.15">
      <c r="A5065" s="2">
        <v>46089</v>
      </c>
      <c r="B5065" s="1" t="s">
        <v>9560</v>
      </c>
      <c r="C5065" s="1" t="s">
        <v>9561</v>
      </c>
      <c r="D5065" t="b">
        <f ca="1">IF(A5065="","",[1]!s_techanal_rcnthigh(B5065,$B$2,1,3))</f>
        <v>0</v>
      </c>
      <c r="E5065">
        <f ca="1">IF(A5065="","",COUNTIF(D$6:D5065,"True"))</f>
        <v>52</v>
      </c>
      <c r="F5065" t="str">
        <f t="shared" si="79"/>
        <v>688602.SH</v>
      </c>
    </row>
    <row r="5066" spans="1:6" x14ac:dyDescent="0.15">
      <c r="A5066" s="2">
        <v>46089</v>
      </c>
      <c r="B5066" s="1" t="s">
        <v>9562</v>
      </c>
      <c r="C5066" s="1" t="s">
        <v>9563</v>
      </c>
      <c r="D5066" t="b">
        <f ca="1">IF(A5066="","",[1]!s_techanal_rcnthigh(B5066,$B$2,1,3))</f>
        <v>0</v>
      </c>
      <c r="E5066">
        <f ca="1">IF(A5066="","",COUNTIF(D$6:D5066,"True"))</f>
        <v>52</v>
      </c>
      <c r="F5066" t="str">
        <f t="shared" si="79"/>
        <v>688603.SH</v>
      </c>
    </row>
    <row r="5067" spans="1:6" x14ac:dyDescent="0.15">
      <c r="A5067" s="2">
        <v>46089</v>
      </c>
      <c r="B5067" s="1" t="s">
        <v>10595</v>
      </c>
      <c r="C5067" s="1" t="s">
        <v>10596</v>
      </c>
      <c r="D5067" t="b">
        <f ca="1">IF(A5067="","",[1]!s_techanal_rcnthigh(B5067,$B$2,1,3))</f>
        <v>0</v>
      </c>
      <c r="E5067">
        <f ca="1">IF(A5067="","",COUNTIF(D$6:D5067,"True"))</f>
        <v>52</v>
      </c>
      <c r="F5067" t="str">
        <f t="shared" si="79"/>
        <v>688605.SH</v>
      </c>
    </row>
    <row r="5068" spans="1:6" x14ac:dyDescent="0.15">
      <c r="A5068" s="2">
        <v>46089</v>
      </c>
      <c r="B5068" s="1" t="s">
        <v>9564</v>
      </c>
      <c r="C5068" s="1" t="s">
        <v>9565</v>
      </c>
      <c r="D5068" t="b">
        <f ca="1">IF(A5068="","",[1]!s_techanal_rcnthigh(B5068,$B$2,1,3))</f>
        <v>0</v>
      </c>
      <c r="E5068">
        <f ca="1">IF(A5068="","",COUNTIF(D$6:D5068,"True"))</f>
        <v>52</v>
      </c>
      <c r="F5068" t="str">
        <f t="shared" si="79"/>
        <v>688606.SH</v>
      </c>
    </row>
    <row r="5069" spans="1:6" x14ac:dyDescent="0.15">
      <c r="A5069" s="2">
        <v>46089</v>
      </c>
      <c r="B5069" s="1" t="s">
        <v>9566</v>
      </c>
      <c r="C5069" s="1" t="s">
        <v>9567</v>
      </c>
      <c r="D5069" t="b">
        <f ca="1">IF(A5069="","",[1]!s_techanal_rcnthigh(B5069,$B$2,1,3))</f>
        <v>0</v>
      </c>
      <c r="E5069">
        <f ca="1">IF(A5069="","",COUNTIF(D$6:D5069,"True"))</f>
        <v>52</v>
      </c>
      <c r="F5069" t="str">
        <f t="shared" si="79"/>
        <v>688607.SH</v>
      </c>
    </row>
    <row r="5070" spans="1:6" x14ac:dyDescent="0.15">
      <c r="A5070" s="2">
        <v>46089</v>
      </c>
      <c r="B5070" s="1" t="s">
        <v>9568</v>
      </c>
      <c r="C5070" s="1" t="s">
        <v>9569</v>
      </c>
      <c r="D5070" t="b">
        <f ca="1">IF(A5070="","",[1]!s_techanal_rcnthigh(B5070,$B$2,1,3))</f>
        <v>0</v>
      </c>
      <c r="E5070">
        <f ca="1">IF(A5070="","",COUNTIF(D$6:D5070,"True"))</f>
        <v>52</v>
      </c>
      <c r="F5070" t="str">
        <f t="shared" si="79"/>
        <v>688608.SH</v>
      </c>
    </row>
    <row r="5071" spans="1:6" x14ac:dyDescent="0.15">
      <c r="A5071" s="2">
        <v>46089</v>
      </c>
      <c r="B5071" s="1" t="s">
        <v>9570</v>
      </c>
      <c r="C5071" s="1" t="s">
        <v>9571</v>
      </c>
      <c r="D5071" t="b">
        <f ca="1">IF(A5071="","",[1]!s_techanal_rcnthigh(B5071,$B$2,1,3))</f>
        <v>0</v>
      </c>
      <c r="E5071">
        <f ca="1">IF(A5071="","",COUNTIF(D$6:D5071,"True"))</f>
        <v>52</v>
      </c>
      <c r="F5071" t="str">
        <f t="shared" si="79"/>
        <v>688609.SH</v>
      </c>
    </row>
    <row r="5072" spans="1:6" x14ac:dyDescent="0.15">
      <c r="A5072" s="2">
        <v>46089</v>
      </c>
      <c r="B5072" s="1" t="s">
        <v>9572</v>
      </c>
      <c r="C5072" s="1" t="s">
        <v>9573</v>
      </c>
      <c r="D5072" t="b">
        <f ca="1">IF(A5072="","",[1]!s_techanal_rcnthigh(B5072,$B$2,1,3))</f>
        <v>0</v>
      </c>
      <c r="E5072">
        <f ca="1">IF(A5072="","",COUNTIF(D$6:D5072,"True"))</f>
        <v>52</v>
      </c>
      <c r="F5072" t="str">
        <f t="shared" si="79"/>
        <v>688610.SH</v>
      </c>
    </row>
    <row r="5073" spans="1:6" x14ac:dyDescent="0.15">
      <c r="A5073" s="2">
        <v>46089</v>
      </c>
      <c r="B5073" s="1" t="s">
        <v>9574</v>
      </c>
      <c r="C5073" s="1" t="s">
        <v>9575</v>
      </c>
      <c r="D5073" t="b">
        <f ca="1">IF(A5073="","",[1]!s_techanal_rcnthigh(B5073,$B$2,1,3))</f>
        <v>0</v>
      </c>
      <c r="E5073">
        <f ca="1">IF(A5073="","",COUNTIF(D$6:D5073,"True"))</f>
        <v>52</v>
      </c>
      <c r="F5073" t="str">
        <f t="shared" si="79"/>
        <v>688611.SH</v>
      </c>
    </row>
    <row r="5074" spans="1:6" x14ac:dyDescent="0.15">
      <c r="A5074" s="2">
        <v>46089</v>
      </c>
      <c r="B5074" s="1" t="s">
        <v>9576</v>
      </c>
      <c r="C5074" s="1" t="s">
        <v>9577</v>
      </c>
      <c r="D5074" t="b">
        <f ca="1">IF(A5074="","",[1]!s_techanal_rcnthigh(B5074,$B$2,1,3))</f>
        <v>0</v>
      </c>
      <c r="E5074">
        <f ca="1">IF(A5074="","",COUNTIF(D$6:D5074,"True"))</f>
        <v>52</v>
      </c>
      <c r="F5074" t="str">
        <f t="shared" si="79"/>
        <v>688612.SH</v>
      </c>
    </row>
    <row r="5075" spans="1:6" x14ac:dyDescent="0.15">
      <c r="A5075" s="2">
        <v>46089</v>
      </c>
      <c r="B5075" s="1" t="s">
        <v>9578</v>
      </c>
      <c r="C5075" s="1" t="s">
        <v>9579</v>
      </c>
      <c r="D5075" t="b">
        <f ca="1">IF(A5075="","",[1]!s_techanal_rcnthigh(B5075,$B$2,1,3))</f>
        <v>0</v>
      </c>
      <c r="E5075">
        <f ca="1">IF(A5075="","",COUNTIF(D$6:D5075,"True"))</f>
        <v>52</v>
      </c>
      <c r="F5075" t="str">
        <f t="shared" si="79"/>
        <v>688613.SH</v>
      </c>
    </row>
    <row r="5076" spans="1:6" x14ac:dyDescent="0.15">
      <c r="A5076" s="2">
        <v>46089</v>
      </c>
      <c r="B5076" s="1" t="s">
        <v>10597</v>
      </c>
      <c r="C5076" s="1" t="s">
        <v>10598</v>
      </c>
      <c r="D5076" t="b">
        <f ca="1">IF(A5076="","",[1]!s_techanal_rcnthigh(B5076,$B$2,1,3))</f>
        <v>0</v>
      </c>
      <c r="E5076">
        <f ca="1">IF(A5076="","",COUNTIF(D$6:D5076,"True"))</f>
        <v>52</v>
      </c>
      <c r="F5076" t="str">
        <f t="shared" si="79"/>
        <v>688615.SH</v>
      </c>
    </row>
    <row r="5077" spans="1:6" x14ac:dyDescent="0.15">
      <c r="A5077" s="2">
        <v>46089</v>
      </c>
      <c r="B5077" s="1" t="s">
        <v>9580</v>
      </c>
      <c r="C5077" s="1" t="s">
        <v>9581</v>
      </c>
      <c r="D5077" t="b">
        <f ca="1">IF(A5077="","",[1]!s_techanal_rcnthigh(B5077,$B$2,1,3))</f>
        <v>0</v>
      </c>
      <c r="E5077">
        <f ca="1">IF(A5077="","",COUNTIF(D$6:D5077,"True"))</f>
        <v>52</v>
      </c>
      <c r="F5077" t="str">
        <f t="shared" si="79"/>
        <v>688616.SH</v>
      </c>
    </row>
    <row r="5078" spans="1:6" x14ac:dyDescent="0.15">
      <c r="A5078" s="2">
        <v>46089</v>
      </c>
      <c r="B5078" s="1" t="s">
        <v>9582</v>
      </c>
      <c r="C5078" s="1" t="s">
        <v>9583</v>
      </c>
      <c r="D5078" t="b">
        <f ca="1">IF(A5078="","",[1]!s_techanal_rcnthigh(B5078,$B$2,1,3))</f>
        <v>0</v>
      </c>
      <c r="E5078">
        <f ca="1">IF(A5078="","",COUNTIF(D$6:D5078,"True"))</f>
        <v>52</v>
      </c>
      <c r="F5078" t="str">
        <f t="shared" si="79"/>
        <v>688617.SH</v>
      </c>
    </row>
    <row r="5079" spans="1:6" x14ac:dyDescent="0.15">
      <c r="A5079" s="2">
        <v>46089</v>
      </c>
      <c r="B5079" s="1" t="s">
        <v>9584</v>
      </c>
      <c r="C5079" s="1" t="s">
        <v>9585</v>
      </c>
      <c r="D5079" t="b">
        <f ca="1">IF(A5079="","",[1]!s_techanal_rcnthigh(B5079,$B$2,1,3))</f>
        <v>0</v>
      </c>
      <c r="E5079">
        <f ca="1">IF(A5079="","",COUNTIF(D$6:D5079,"True"))</f>
        <v>52</v>
      </c>
      <c r="F5079" t="str">
        <f t="shared" si="79"/>
        <v>688618.SH</v>
      </c>
    </row>
    <row r="5080" spans="1:6" x14ac:dyDescent="0.15">
      <c r="A5080" s="2">
        <v>46089</v>
      </c>
      <c r="B5080" s="1" t="s">
        <v>9586</v>
      </c>
      <c r="C5080" s="1" t="s">
        <v>9587</v>
      </c>
      <c r="D5080" t="b">
        <f ca="1">IF(A5080="","",[1]!s_techanal_rcnthigh(B5080,$B$2,1,3))</f>
        <v>0</v>
      </c>
      <c r="E5080">
        <f ca="1">IF(A5080="","",COUNTIF(D$6:D5080,"True"))</f>
        <v>52</v>
      </c>
      <c r="F5080" t="str">
        <f t="shared" si="79"/>
        <v>688619.SH</v>
      </c>
    </row>
    <row r="5081" spans="1:6" x14ac:dyDescent="0.15">
      <c r="A5081" s="2">
        <v>46089</v>
      </c>
      <c r="B5081" s="1" t="s">
        <v>9588</v>
      </c>
      <c r="C5081" s="1" t="s">
        <v>9589</v>
      </c>
      <c r="D5081" t="b">
        <f ca="1">IF(A5081="","",[1]!s_techanal_rcnthigh(B5081,$B$2,1,3))</f>
        <v>0</v>
      </c>
      <c r="E5081">
        <f ca="1">IF(A5081="","",COUNTIF(D$6:D5081,"True"))</f>
        <v>52</v>
      </c>
      <c r="F5081" t="str">
        <f t="shared" si="79"/>
        <v>688620.SH</v>
      </c>
    </row>
    <row r="5082" spans="1:6" x14ac:dyDescent="0.15">
      <c r="A5082" s="2">
        <v>46089</v>
      </c>
      <c r="B5082" s="1" t="s">
        <v>9590</v>
      </c>
      <c r="C5082" s="1" t="s">
        <v>9591</v>
      </c>
      <c r="D5082" t="b">
        <f ca="1">IF(A5082="","",[1]!s_techanal_rcnthigh(B5082,$B$2,1,3))</f>
        <v>0</v>
      </c>
      <c r="E5082">
        <f ca="1">IF(A5082="","",COUNTIF(D$6:D5082,"True"))</f>
        <v>52</v>
      </c>
      <c r="F5082" t="str">
        <f t="shared" si="79"/>
        <v>688621.SH</v>
      </c>
    </row>
    <row r="5083" spans="1:6" x14ac:dyDescent="0.15">
      <c r="A5083" s="2">
        <v>46089</v>
      </c>
      <c r="B5083" s="1" t="s">
        <v>9592</v>
      </c>
      <c r="C5083" s="1" t="s">
        <v>9593</v>
      </c>
      <c r="D5083" t="b">
        <f ca="1">IF(A5083="","",[1]!s_techanal_rcnthigh(B5083,$B$2,1,3))</f>
        <v>0</v>
      </c>
      <c r="E5083">
        <f ca="1">IF(A5083="","",COUNTIF(D$6:D5083,"True"))</f>
        <v>52</v>
      </c>
      <c r="F5083" t="str">
        <f t="shared" si="79"/>
        <v>688622.SH</v>
      </c>
    </row>
    <row r="5084" spans="1:6" x14ac:dyDescent="0.15">
      <c r="A5084" s="2">
        <v>46089</v>
      </c>
      <c r="B5084" s="1" t="s">
        <v>9594</v>
      </c>
      <c r="C5084" s="1" t="s">
        <v>9595</v>
      </c>
      <c r="D5084" t="b">
        <f ca="1">IF(A5084="","",[1]!s_techanal_rcnthigh(B5084,$B$2,1,3))</f>
        <v>0</v>
      </c>
      <c r="E5084">
        <f ca="1">IF(A5084="","",COUNTIF(D$6:D5084,"True"))</f>
        <v>52</v>
      </c>
      <c r="F5084" t="str">
        <f t="shared" si="79"/>
        <v>688623.SH</v>
      </c>
    </row>
    <row r="5085" spans="1:6" x14ac:dyDescent="0.15">
      <c r="A5085" s="2">
        <v>46089</v>
      </c>
      <c r="B5085" s="1" t="s">
        <v>9596</v>
      </c>
      <c r="C5085" s="1" t="s">
        <v>9597</v>
      </c>
      <c r="D5085" t="b">
        <f ca="1">IF(A5085="","",[1]!s_techanal_rcnthigh(B5085,$B$2,1,3))</f>
        <v>0</v>
      </c>
      <c r="E5085">
        <f ca="1">IF(A5085="","",COUNTIF(D$6:D5085,"True"))</f>
        <v>52</v>
      </c>
      <c r="F5085" t="str">
        <f t="shared" si="79"/>
        <v>688625.SH</v>
      </c>
    </row>
    <row r="5086" spans="1:6" x14ac:dyDescent="0.15">
      <c r="A5086" s="2">
        <v>46089</v>
      </c>
      <c r="B5086" s="1" t="s">
        <v>9598</v>
      </c>
      <c r="C5086" s="1" t="s">
        <v>9599</v>
      </c>
      <c r="D5086" t="b">
        <f ca="1">IF(A5086="","",[1]!s_techanal_rcnthigh(B5086,$B$2,1,3))</f>
        <v>0</v>
      </c>
      <c r="E5086">
        <f ca="1">IF(A5086="","",COUNTIF(D$6:D5086,"True"))</f>
        <v>52</v>
      </c>
      <c r="F5086" t="str">
        <f t="shared" si="79"/>
        <v>688626.SH</v>
      </c>
    </row>
    <row r="5087" spans="1:6" x14ac:dyDescent="0.15">
      <c r="A5087" s="2">
        <v>46089</v>
      </c>
      <c r="B5087" s="1" t="s">
        <v>9600</v>
      </c>
      <c r="C5087" s="1" t="s">
        <v>9601</v>
      </c>
      <c r="D5087" t="b">
        <f ca="1">IF(A5087="","",[1]!s_techanal_rcnthigh(B5087,$B$2,1,3))</f>
        <v>0</v>
      </c>
      <c r="E5087">
        <f ca="1">IF(A5087="","",COUNTIF(D$6:D5087,"True"))</f>
        <v>52</v>
      </c>
      <c r="F5087" t="str">
        <f t="shared" si="79"/>
        <v>688627.SH</v>
      </c>
    </row>
    <row r="5088" spans="1:6" x14ac:dyDescent="0.15">
      <c r="A5088" s="2">
        <v>46089</v>
      </c>
      <c r="B5088" s="1" t="s">
        <v>9602</v>
      </c>
      <c r="C5088" s="1" t="s">
        <v>9603</v>
      </c>
      <c r="D5088" t="b">
        <f ca="1">IF(A5088="","",[1]!s_techanal_rcnthigh(B5088,$B$2,1,3))</f>
        <v>0</v>
      </c>
      <c r="E5088">
        <f ca="1">IF(A5088="","",COUNTIF(D$6:D5088,"True"))</f>
        <v>52</v>
      </c>
      <c r="F5088" t="str">
        <f t="shared" si="79"/>
        <v>688628.SH</v>
      </c>
    </row>
    <row r="5089" spans="1:6" x14ac:dyDescent="0.15">
      <c r="A5089" s="2">
        <v>46089</v>
      </c>
      <c r="B5089" s="1" t="s">
        <v>9604</v>
      </c>
      <c r="C5089" s="1" t="s">
        <v>9605</v>
      </c>
      <c r="D5089" t="b">
        <f ca="1">IF(A5089="","",[1]!s_techanal_rcnthigh(B5089,$B$2,1,3))</f>
        <v>0</v>
      </c>
      <c r="E5089">
        <f ca="1">IF(A5089="","",COUNTIF(D$6:D5089,"True"))</f>
        <v>52</v>
      </c>
      <c r="F5089" t="str">
        <f t="shared" si="79"/>
        <v>688629.SH</v>
      </c>
    </row>
    <row r="5090" spans="1:6" x14ac:dyDescent="0.15">
      <c r="A5090" s="2">
        <v>46089</v>
      </c>
      <c r="B5090" s="1" t="s">
        <v>9606</v>
      </c>
      <c r="C5090" s="1" t="s">
        <v>9607</v>
      </c>
      <c r="D5090" t="b">
        <f ca="1">IF(A5090="","",[1]!s_techanal_rcnthigh(B5090,$B$2,1,3))</f>
        <v>0</v>
      </c>
      <c r="E5090">
        <f ca="1">IF(A5090="","",COUNTIF(D$6:D5090,"True"))</f>
        <v>52</v>
      </c>
      <c r="F5090" t="str">
        <f t="shared" si="79"/>
        <v>688630.SH</v>
      </c>
    </row>
    <row r="5091" spans="1:6" x14ac:dyDescent="0.15">
      <c r="A5091" s="2">
        <v>46089</v>
      </c>
      <c r="B5091" s="1" t="s">
        <v>9608</v>
      </c>
      <c r="C5091" s="1" t="s">
        <v>9609</v>
      </c>
      <c r="D5091" t="b">
        <f ca="1">IF(A5091="","",[1]!s_techanal_rcnthigh(B5091,$B$2,1,3))</f>
        <v>0</v>
      </c>
      <c r="E5091">
        <f ca="1">IF(A5091="","",COUNTIF(D$6:D5091,"True"))</f>
        <v>52</v>
      </c>
      <c r="F5091" t="str">
        <f t="shared" si="79"/>
        <v>688631.SH</v>
      </c>
    </row>
    <row r="5092" spans="1:6" x14ac:dyDescent="0.15">
      <c r="A5092" s="2">
        <v>46089</v>
      </c>
      <c r="B5092" s="1" t="s">
        <v>9610</v>
      </c>
      <c r="C5092" s="1" t="s">
        <v>9611</v>
      </c>
      <c r="D5092" t="b">
        <f ca="1">IF(A5092="","",[1]!s_techanal_rcnthigh(B5092,$B$2,1,3))</f>
        <v>0</v>
      </c>
      <c r="E5092">
        <f ca="1">IF(A5092="","",COUNTIF(D$6:D5092,"True"))</f>
        <v>52</v>
      </c>
      <c r="F5092" t="str">
        <f t="shared" si="79"/>
        <v>688633.SH</v>
      </c>
    </row>
    <row r="5093" spans="1:6" x14ac:dyDescent="0.15">
      <c r="A5093" s="2">
        <v>46089</v>
      </c>
      <c r="B5093" s="1" t="s">
        <v>9612</v>
      </c>
      <c r="C5093" s="1" t="s">
        <v>9613</v>
      </c>
      <c r="D5093" t="b">
        <f ca="1">IF(A5093="","",[1]!s_techanal_rcnthigh(B5093,$B$2,1,3))</f>
        <v>0</v>
      </c>
      <c r="E5093">
        <f ca="1">IF(A5093="","",COUNTIF(D$6:D5093,"True"))</f>
        <v>52</v>
      </c>
      <c r="F5093" t="str">
        <f t="shared" si="79"/>
        <v>688636.SH</v>
      </c>
    </row>
    <row r="5094" spans="1:6" x14ac:dyDescent="0.15">
      <c r="A5094" s="2">
        <v>46089</v>
      </c>
      <c r="B5094" s="1" t="s">
        <v>9614</v>
      </c>
      <c r="C5094" s="1" t="s">
        <v>9615</v>
      </c>
      <c r="D5094" t="b">
        <f ca="1">IF(A5094="","",[1]!s_techanal_rcnthigh(B5094,$B$2,1,3))</f>
        <v>0</v>
      </c>
      <c r="E5094">
        <f ca="1">IF(A5094="","",COUNTIF(D$6:D5094,"True"))</f>
        <v>52</v>
      </c>
      <c r="F5094" t="str">
        <f t="shared" si="79"/>
        <v>688638.SH</v>
      </c>
    </row>
    <row r="5095" spans="1:6" x14ac:dyDescent="0.15">
      <c r="A5095" s="2">
        <v>46089</v>
      </c>
      <c r="B5095" s="1" t="s">
        <v>9616</v>
      </c>
      <c r="C5095" s="1" t="s">
        <v>9617</v>
      </c>
      <c r="D5095" t="b">
        <f ca="1">IF(A5095="","",[1]!s_techanal_rcnthigh(B5095,$B$2,1,3))</f>
        <v>0</v>
      </c>
      <c r="E5095">
        <f ca="1">IF(A5095="","",COUNTIF(D$6:D5095,"True"))</f>
        <v>52</v>
      </c>
      <c r="F5095" t="str">
        <f t="shared" si="79"/>
        <v>688639.SH</v>
      </c>
    </row>
    <row r="5096" spans="1:6" x14ac:dyDescent="0.15">
      <c r="A5096" s="2">
        <v>46089</v>
      </c>
      <c r="B5096" s="1" t="s">
        <v>9618</v>
      </c>
      <c r="C5096" s="1" t="s">
        <v>10599</v>
      </c>
      <c r="D5096" t="b">
        <f ca="1">IF(A5096="","",[1]!s_techanal_rcnthigh(B5096,$B$2,1,3))</f>
        <v>0</v>
      </c>
      <c r="E5096">
        <f ca="1">IF(A5096="","",COUNTIF(D$6:D5096,"True"))</f>
        <v>52</v>
      </c>
      <c r="F5096" t="str">
        <f t="shared" si="79"/>
        <v>688646.SH</v>
      </c>
    </row>
    <row r="5097" spans="1:6" x14ac:dyDescent="0.15">
      <c r="A5097" s="2">
        <v>46089</v>
      </c>
      <c r="B5097" s="1" t="s">
        <v>9619</v>
      </c>
      <c r="C5097" s="1" t="s">
        <v>9620</v>
      </c>
      <c r="D5097" t="b">
        <f ca="1">IF(A5097="","",[1]!s_techanal_rcnthigh(B5097,$B$2,1,3))</f>
        <v>0</v>
      </c>
      <c r="E5097">
        <f ca="1">IF(A5097="","",COUNTIF(D$6:D5097,"True"))</f>
        <v>52</v>
      </c>
      <c r="F5097" t="str">
        <f t="shared" si="79"/>
        <v>688648.SH</v>
      </c>
    </row>
    <row r="5098" spans="1:6" x14ac:dyDescent="0.15">
      <c r="A5098" s="2">
        <v>46089</v>
      </c>
      <c r="B5098" s="1" t="s">
        <v>9621</v>
      </c>
      <c r="C5098" s="1" t="s">
        <v>9622</v>
      </c>
      <c r="D5098" t="b">
        <f ca="1">IF(A5098="","",[1]!s_techanal_rcnthigh(B5098,$B$2,1,3))</f>
        <v>0</v>
      </c>
      <c r="E5098">
        <f ca="1">IF(A5098="","",COUNTIF(D$6:D5098,"True"))</f>
        <v>52</v>
      </c>
      <c r="F5098" t="str">
        <f t="shared" si="79"/>
        <v>688651.SH</v>
      </c>
    </row>
    <row r="5099" spans="1:6" x14ac:dyDescent="0.15">
      <c r="A5099" s="2">
        <v>46089</v>
      </c>
      <c r="B5099" s="1" t="s">
        <v>9623</v>
      </c>
      <c r="C5099" s="1" t="s">
        <v>9624</v>
      </c>
      <c r="D5099" t="b">
        <f ca="1">IF(A5099="","",[1]!s_techanal_rcnthigh(B5099,$B$2,1,3))</f>
        <v>0</v>
      </c>
      <c r="E5099">
        <f ca="1">IF(A5099="","",COUNTIF(D$6:D5099,"True"))</f>
        <v>52</v>
      </c>
      <c r="F5099" t="str">
        <f t="shared" si="79"/>
        <v>688652.SH</v>
      </c>
    </row>
    <row r="5100" spans="1:6" x14ac:dyDescent="0.15">
      <c r="A5100" s="2">
        <v>46089</v>
      </c>
      <c r="B5100" s="1" t="s">
        <v>9625</v>
      </c>
      <c r="C5100" s="1" t="s">
        <v>9626</v>
      </c>
      <c r="D5100" t="b">
        <f ca="1">IF(A5100="","",[1]!s_techanal_rcnthigh(B5100,$B$2,1,3))</f>
        <v>0</v>
      </c>
      <c r="E5100">
        <f ca="1">IF(A5100="","",COUNTIF(D$6:D5100,"True"))</f>
        <v>52</v>
      </c>
      <c r="F5100" t="str">
        <f t="shared" si="79"/>
        <v>688653.SH</v>
      </c>
    </row>
    <row r="5101" spans="1:6" x14ac:dyDescent="0.15">
      <c r="A5101" s="2">
        <v>46089</v>
      </c>
      <c r="B5101" s="1" t="s">
        <v>9627</v>
      </c>
      <c r="C5101" s="1" t="s">
        <v>9628</v>
      </c>
      <c r="D5101" t="b">
        <f ca="1">IF(A5101="","",[1]!s_techanal_rcnthigh(B5101,$B$2,1,3))</f>
        <v>0</v>
      </c>
      <c r="E5101">
        <f ca="1">IF(A5101="","",COUNTIF(D$6:D5101,"True"))</f>
        <v>52</v>
      </c>
      <c r="F5101" t="str">
        <f t="shared" si="79"/>
        <v>688655.SH</v>
      </c>
    </row>
    <row r="5102" spans="1:6" x14ac:dyDescent="0.15">
      <c r="A5102" s="2">
        <v>46089</v>
      </c>
      <c r="B5102" s="1" t="s">
        <v>9629</v>
      </c>
      <c r="C5102" s="1" t="s">
        <v>9630</v>
      </c>
      <c r="D5102" t="b">
        <f ca="1">IF(A5102="","",[1]!s_techanal_rcnthigh(B5102,$B$2,1,3))</f>
        <v>0</v>
      </c>
      <c r="E5102">
        <f ca="1">IF(A5102="","",COUNTIF(D$6:D5102,"True"))</f>
        <v>52</v>
      </c>
      <c r="F5102" t="str">
        <f t="shared" si="79"/>
        <v>688656.SH</v>
      </c>
    </row>
    <row r="5103" spans="1:6" x14ac:dyDescent="0.15">
      <c r="A5103" s="2">
        <v>46089</v>
      </c>
      <c r="B5103" s="1" t="s">
        <v>9631</v>
      </c>
      <c r="C5103" s="1" t="s">
        <v>9632</v>
      </c>
      <c r="D5103" t="b">
        <f ca="1">IF(A5103="","",[1]!s_techanal_rcnthigh(B5103,$B$2,1,3))</f>
        <v>0</v>
      </c>
      <c r="E5103">
        <f ca="1">IF(A5103="","",COUNTIF(D$6:D5103,"True"))</f>
        <v>52</v>
      </c>
      <c r="F5103" t="str">
        <f t="shared" si="79"/>
        <v>688657.SH</v>
      </c>
    </row>
    <row r="5104" spans="1:6" x14ac:dyDescent="0.15">
      <c r="A5104" s="2">
        <v>46089</v>
      </c>
      <c r="B5104" s="1" t="s">
        <v>9633</v>
      </c>
      <c r="C5104" s="1" t="s">
        <v>9634</v>
      </c>
      <c r="D5104" t="b">
        <f ca="1">IF(A5104="","",[1]!s_techanal_rcnthigh(B5104,$B$2,1,3))</f>
        <v>0</v>
      </c>
      <c r="E5104">
        <f ca="1">IF(A5104="","",COUNTIF(D$6:D5104,"True"))</f>
        <v>52</v>
      </c>
      <c r="F5104" t="str">
        <f t="shared" si="79"/>
        <v>688658.SH</v>
      </c>
    </row>
    <row r="5105" spans="1:6" x14ac:dyDescent="0.15">
      <c r="A5105" s="2">
        <v>46089</v>
      </c>
      <c r="B5105" s="1" t="s">
        <v>9635</v>
      </c>
      <c r="C5105" s="1" t="s">
        <v>9636</v>
      </c>
      <c r="D5105" t="b">
        <f ca="1">IF(A5105="","",[1]!s_techanal_rcnthigh(B5105,$B$2,1,3))</f>
        <v>0</v>
      </c>
      <c r="E5105">
        <f ca="1">IF(A5105="","",COUNTIF(D$6:D5105,"True"))</f>
        <v>52</v>
      </c>
      <c r="F5105" t="str">
        <f t="shared" si="79"/>
        <v>688659.SH</v>
      </c>
    </row>
    <row r="5106" spans="1:6" x14ac:dyDescent="0.15">
      <c r="A5106" s="2">
        <v>46089</v>
      </c>
      <c r="B5106" s="1" t="s">
        <v>9637</v>
      </c>
      <c r="C5106" s="1" t="s">
        <v>9638</v>
      </c>
      <c r="D5106" t="b">
        <f ca="1">IF(A5106="","",[1]!s_techanal_rcnthigh(B5106,$B$2,1,3))</f>
        <v>0</v>
      </c>
      <c r="E5106">
        <f ca="1">IF(A5106="","",COUNTIF(D$6:D5106,"True"))</f>
        <v>52</v>
      </c>
      <c r="F5106" t="str">
        <f t="shared" si="79"/>
        <v>688660.SH</v>
      </c>
    </row>
    <row r="5107" spans="1:6" x14ac:dyDescent="0.15">
      <c r="A5107" s="2">
        <v>46089</v>
      </c>
      <c r="B5107" s="1" t="s">
        <v>9639</v>
      </c>
      <c r="C5107" s="1" t="s">
        <v>9640</v>
      </c>
      <c r="D5107" t="b">
        <f ca="1">IF(A5107="","",[1]!s_techanal_rcnthigh(B5107,$B$2,1,3))</f>
        <v>0</v>
      </c>
      <c r="E5107">
        <f ca="1">IF(A5107="","",COUNTIF(D$6:D5107,"True"))</f>
        <v>52</v>
      </c>
      <c r="F5107" t="str">
        <f t="shared" si="79"/>
        <v>688661.SH</v>
      </c>
    </row>
    <row r="5108" spans="1:6" x14ac:dyDescent="0.15">
      <c r="A5108" s="2">
        <v>46089</v>
      </c>
      <c r="B5108" s="1" t="s">
        <v>9641</v>
      </c>
      <c r="C5108" s="1" t="s">
        <v>9642</v>
      </c>
      <c r="D5108" t="b">
        <f ca="1">IF(A5108="","",[1]!s_techanal_rcnthigh(B5108,$B$2,1,3))</f>
        <v>0</v>
      </c>
      <c r="E5108">
        <f ca="1">IF(A5108="","",COUNTIF(D$6:D5108,"True"))</f>
        <v>52</v>
      </c>
      <c r="F5108" t="str">
        <f t="shared" si="79"/>
        <v>688662.SH</v>
      </c>
    </row>
    <row r="5109" spans="1:6" x14ac:dyDescent="0.15">
      <c r="A5109" s="2">
        <v>46089</v>
      </c>
      <c r="B5109" s="1" t="s">
        <v>9643</v>
      </c>
      <c r="C5109" s="1" t="s">
        <v>9644</v>
      </c>
      <c r="D5109" t="b">
        <f ca="1">IF(A5109="","",[1]!s_techanal_rcnthigh(B5109,$B$2,1,3))</f>
        <v>0</v>
      </c>
      <c r="E5109">
        <f ca="1">IF(A5109="","",COUNTIF(D$6:D5109,"True"))</f>
        <v>52</v>
      </c>
      <c r="F5109" t="str">
        <f t="shared" si="79"/>
        <v>688663.SH</v>
      </c>
    </row>
    <row r="5110" spans="1:6" x14ac:dyDescent="0.15">
      <c r="A5110" s="2">
        <v>46089</v>
      </c>
      <c r="B5110" s="1" t="s">
        <v>9645</v>
      </c>
      <c r="C5110" s="1" t="s">
        <v>9646</v>
      </c>
      <c r="D5110" t="b">
        <f ca="1">IF(A5110="","",[1]!s_techanal_rcnthigh(B5110,$B$2,1,3))</f>
        <v>0</v>
      </c>
      <c r="E5110">
        <f ca="1">IF(A5110="","",COUNTIF(D$6:D5110,"True"))</f>
        <v>52</v>
      </c>
      <c r="F5110" t="str">
        <f t="shared" si="79"/>
        <v>688665.SH</v>
      </c>
    </row>
    <row r="5111" spans="1:6" x14ac:dyDescent="0.15">
      <c r="A5111" s="2">
        <v>46089</v>
      </c>
      <c r="B5111" s="1" t="s">
        <v>9647</v>
      </c>
      <c r="C5111" s="1" t="s">
        <v>9648</v>
      </c>
      <c r="D5111" t="b">
        <f ca="1">IF(A5111="","",[1]!s_techanal_rcnthigh(B5111,$B$2,1,3))</f>
        <v>0</v>
      </c>
      <c r="E5111">
        <f ca="1">IF(A5111="","",COUNTIF(D$6:D5111,"True"))</f>
        <v>52</v>
      </c>
      <c r="F5111" t="str">
        <f t="shared" si="79"/>
        <v>688667.SH</v>
      </c>
    </row>
    <row r="5112" spans="1:6" x14ac:dyDescent="0.15">
      <c r="A5112" s="2">
        <v>46089</v>
      </c>
      <c r="B5112" s="1" t="s">
        <v>9649</v>
      </c>
      <c r="C5112" s="1" t="s">
        <v>9650</v>
      </c>
      <c r="D5112" t="b">
        <f ca="1">IF(A5112="","",[1]!s_techanal_rcnthigh(B5112,$B$2,1,3))</f>
        <v>0</v>
      </c>
      <c r="E5112">
        <f ca="1">IF(A5112="","",COUNTIF(D$6:D5112,"True"))</f>
        <v>52</v>
      </c>
      <c r="F5112" t="str">
        <f t="shared" si="79"/>
        <v>688668.SH</v>
      </c>
    </row>
    <row r="5113" spans="1:6" x14ac:dyDescent="0.15">
      <c r="A5113" s="2">
        <v>46089</v>
      </c>
      <c r="B5113" s="1" t="s">
        <v>9651</v>
      </c>
      <c r="C5113" s="1" t="s">
        <v>9652</v>
      </c>
      <c r="D5113" t="b">
        <f ca="1">IF(A5113="","",[1]!s_techanal_rcnthigh(B5113,$B$2,1,3))</f>
        <v>0</v>
      </c>
      <c r="E5113">
        <f ca="1">IF(A5113="","",COUNTIF(D$6:D5113,"True"))</f>
        <v>52</v>
      </c>
      <c r="F5113" t="str">
        <f t="shared" si="79"/>
        <v>688669.SH</v>
      </c>
    </row>
    <row r="5114" spans="1:6" x14ac:dyDescent="0.15">
      <c r="A5114" s="2">
        <v>46089</v>
      </c>
      <c r="B5114" s="1" t="s">
        <v>9653</v>
      </c>
      <c r="C5114" s="1" t="s">
        <v>9654</v>
      </c>
      <c r="D5114" t="b">
        <f ca="1">IF(A5114="","",[1]!s_techanal_rcnthigh(B5114,$B$2,1,3))</f>
        <v>0</v>
      </c>
      <c r="E5114">
        <f ca="1">IF(A5114="","",COUNTIF(D$6:D5114,"True"))</f>
        <v>52</v>
      </c>
      <c r="F5114" t="str">
        <f t="shared" si="79"/>
        <v>688670.SH</v>
      </c>
    </row>
    <row r="5115" spans="1:6" x14ac:dyDescent="0.15">
      <c r="A5115" s="2">
        <v>46089</v>
      </c>
      <c r="B5115" s="1" t="s">
        <v>9655</v>
      </c>
      <c r="C5115" s="1" t="s">
        <v>9656</v>
      </c>
      <c r="D5115" t="b">
        <f ca="1">IF(A5115="","",[1]!s_techanal_rcnthigh(B5115,$B$2,1,3))</f>
        <v>0</v>
      </c>
      <c r="E5115">
        <f ca="1">IF(A5115="","",COUNTIF(D$6:D5115,"True"))</f>
        <v>52</v>
      </c>
      <c r="F5115" t="str">
        <f t="shared" si="79"/>
        <v>688671.SH</v>
      </c>
    </row>
    <row r="5116" spans="1:6" x14ac:dyDescent="0.15">
      <c r="A5116" s="2">
        <v>46089</v>
      </c>
      <c r="B5116" s="1" t="s">
        <v>9657</v>
      </c>
      <c r="C5116" s="1" t="s">
        <v>9658</v>
      </c>
      <c r="D5116" t="b">
        <f ca="1">IF(A5116="","",[1]!s_techanal_rcnthigh(B5116,$B$2,1,3))</f>
        <v>0</v>
      </c>
      <c r="E5116">
        <f ca="1">IF(A5116="","",COUNTIF(D$6:D5116,"True"))</f>
        <v>52</v>
      </c>
      <c r="F5116" t="str">
        <f t="shared" si="79"/>
        <v>688676.SH</v>
      </c>
    </row>
    <row r="5117" spans="1:6" x14ac:dyDescent="0.15">
      <c r="A5117" s="2">
        <v>46089</v>
      </c>
      <c r="B5117" s="1" t="s">
        <v>9659</v>
      </c>
      <c r="C5117" s="1" t="s">
        <v>9660</v>
      </c>
      <c r="D5117" t="b">
        <f ca="1">IF(A5117="","",[1]!s_techanal_rcnthigh(B5117,$B$2,1,3))</f>
        <v>0</v>
      </c>
      <c r="E5117">
        <f ca="1">IF(A5117="","",COUNTIF(D$6:D5117,"True"))</f>
        <v>52</v>
      </c>
      <c r="F5117" t="str">
        <f t="shared" si="79"/>
        <v>688677.SH</v>
      </c>
    </row>
    <row r="5118" spans="1:6" x14ac:dyDescent="0.15">
      <c r="A5118" s="2">
        <v>46089</v>
      </c>
      <c r="B5118" s="1" t="s">
        <v>9661</v>
      </c>
      <c r="C5118" s="1" t="s">
        <v>9662</v>
      </c>
      <c r="D5118" t="b">
        <f ca="1">IF(A5118="","",[1]!s_techanal_rcnthigh(B5118,$B$2,1,3))</f>
        <v>0</v>
      </c>
      <c r="E5118">
        <f ca="1">IF(A5118="","",COUNTIF(D$6:D5118,"True"))</f>
        <v>52</v>
      </c>
      <c r="F5118" t="str">
        <f t="shared" si="79"/>
        <v>688678.SH</v>
      </c>
    </row>
    <row r="5119" spans="1:6" x14ac:dyDescent="0.15">
      <c r="A5119" s="2">
        <v>46089</v>
      </c>
      <c r="B5119" s="1" t="s">
        <v>9663</v>
      </c>
      <c r="C5119" s="1" t="s">
        <v>9664</v>
      </c>
      <c r="D5119" t="b">
        <f ca="1">IF(A5119="","",[1]!s_techanal_rcnthigh(B5119,$B$2,1,3))</f>
        <v>0</v>
      </c>
      <c r="E5119">
        <f ca="1">IF(A5119="","",COUNTIF(D$6:D5119,"True"))</f>
        <v>52</v>
      </c>
      <c r="F5119" t="str">
        <f t="shared" si="79"/>
        <v>688679.SH</v>
      </c>
    </row>
    <row r="5120" spans="1:6" x14ac:dyDescent="0.15">
      <c r="A5120" s="2">
        <v>46089</v>
      </c>
      <c r="B5120" s="1" t="s">
        <v>9665</v>
      </c>
      <c r="C5120" s="1" t="s">
        <v>9666</v>
      </c>
      <c r="D5120" t="b">
        <f ca="1">IF(A5120="","",[1]!s_techanal_rcnthigh(B5120,$B$2,1,3))</f>
        <v>0</v>
      </c>
      <c r="E5120">
        <f ca="1">IF(A5120="","",COUNTIF(D$6:D5120,"True"))</f>
        <v>52</v>
      </c>
      <c r="F5120" t="str">
        <f t="shared" si="79"/>
        <v>688680.SH</v>
      </c>
    </row>
    <row r="5121" spans="1:6" x14ac:dyDescent="0.15">
      <c r="A5121" s="2">
        <v>46089</v>
      </c>
      <c r="B5121" s="1" t="s">
        <v>9667</v>
      </c>
      <c r="C5121" s="1" t="s">
        <v>9668</v>
      </c>
      <c r="D5121" t="b">
        <f ca="1">IF(A5121="","",[1]!s_techanal_rcnthigh(B5121,$B$2,1,3))</f>
        <v>0</v>
      </c>
      <c r="E5121">
        <f ca="1">IF(A5121="","",COUNTIF(D$6:D5121,"True"))</f>
        <v>52</v>
      </c>
      <c r="F5121" t="str">
        <f t="shared" si="79"/>
        <v>688681.SH</v>
      </c>
    </row>
    <row r="5122" spans="1:6" x14ac:dyDescent="0.15">
      <c r="A5122" s="2">
        <v>46089</v>
      </c>
      <c r="B5122" s="1" t="s">
        <v>9669</v>
      </c>
      <c r="C5122" s="1" t="s">
        <v>9670</v>
      </c>
      <c r="D5122" t="b">
        <f ca="1">IF(A5122="","",[1]!s_techanal_rcnthigh(B5122,$B$2,1,3))</f>
        <v>0</v>
      </c>
      <c r="E5122">
        <f ca="1">IF(A5122="","",COUNTIF(D$6:D5122,"True"))</f>
        <v>52</v>
      </c>
      <c r="F5122" t="str">
        <f t="shared" si="79"/>
        <v>688682.SH</v>
      </c>
    </row>
    <row r="5123" spans="1:6" x14ac:dyDescent="0.15">
      <c r="A5123" s="2">
        <v>46089</v>
      </c>
      <c r="B5123" s="1" t="s">
        <v>9671</v>
      </c>
      <c r="C5123" s="1" t="s">
        <v>9672</v>
      </c>
      <c r="D5123" t="b">
        <f ca="1">IF(A5123="","",[1]!s_techanal_rcnthigh(B5123,$B$2,1,3))</f>
        <v>0</v>
      </c>
      <c r="E5123">
        <f ca="1">IF(A5123="","",COUNTIF(D$6:D5123,"True"))</f>
        <v>52</v>
      </c>
      <c r="F5123" t="str">
        <f t="shared" si="79"/>
        <v>688683.SH</v>
      </c>
    </row>
    <row r="5124" spans="1:6" x14ac:dyDescent="0.15">
      <c r="A5124" s="2">
        <v>46089</v>
      </c>
      <c r="B5124" s="1" t="s">
        <v>9673</v>
      </c>
      <c r="C5124" s="1" t="s">
        <v>9674</v>
      </c>
      <c r="D5124" t="b">
        <f ca="1">IF(A5124="","",[1]!s_techanal_rcnthigh(B5124,$B$2,1,3))</f>
        <v>0</v>
      </c>
      <c r="E5124">
        <f ca="1">IF(A5124="","",COUNTIF(D$6:D5124,"True"))</f>
        <v>52</v>
      </c>
      <c r="F5124" t="str">
        <f t="shared" si="79"/>
        <v>688685.SH</v>
      </c>
    </row>
    <row r="5125" spans="1:6" x14ac:dyDescent="0.15">
      <c r="A5125" s="2">
        <v>46089</v>
      </c>
      <c r="B5125" s="1" t="s">
        <v>9675</v>
      </c>
      <c r="C5125" s="1" t="s">
        <v>9676</v>
      </c>
      <c r="D5125" t="b">
        <f ca="1">IF(A5125="","",[1]!s_techanal_rcnthigh(B5125,$B$2,1,3))</f>
        <v>0</v>
      </c>
      <c r="E5125">
        <f ca="1">IF(A5125="","",COUNTIF(D$6:D5125,"True"))</f>
        <v>52</v>
      </c>
      <c r="F5125" t="str">
        <f t="shared" si="79"/>
        <v>688686.SH</v>
      </c>
    </row>
    <row r="5126" spans="1:6" x14ac:dyDescent="0.15">
      <c r="A5126" s="2">
        <v>46089</v>
      </c>
      <c r="B5126" s="1" t="s">
        <v>9677</v>
      </c>
      <c r="C5126" s="1" t="s">
        <v>9678</v>
      </c>
      <c r="D5126" t="b">
        <f ca="1">IF(A5126="","",[1]!s_techanal_rcnthigh(B5126,$B$2,1,3))</f>
        <v>0</v>
      </c>
      <c r="E5126">
        <f ca="1">IF(A5126="","",COUNTIF(D$6:D5126,"True"))</f>
        <v>52</v>
      </c>
      <c r="F5126" t="str">
        <f t="shared" ref="F5126:F5189" si="80">IF(B5126="","",B5126)</f>
        <v>688687.SH</v>
      </c>
    </row>
    <row r="5127" spans="1:6" x14ac:dyDescent="0.15">
      <c r="A5127" s="2">
        <v>46089</v>
      </c>
      <c r="B5127" s="1" t="s">
        <v>9679</v>
      </c>
      <c r="C5127" s="1" t="s">
        <v>9680</v>
      </c>
      <c r="D5127" t="b">
        <f ca="1">IF(A5127="","",[1]!s_techanal_rcnthigh(B5127,$B$2,1,3))</f>
        <v>0</v>
      </c>
      <c r="E5127">
        <f ca="1">IF(A5127="","",COUNTIF(D$6:D5127,"True"))</f>
        <v>52</v>
      </c>
      <c r="F5127" t="str">
        <f t="shared" si="80"/>
        <v>688689.SH</v>
      </c>
    </row>
    <row r="5128" spans="1:6" x14ac:dyDescent="0.15">
      <c r="A5128" s="2">
        <v>46089</v>
      </c>
      <c r="B5128" s="1" t="s">
        <v>9681</v>
      </c>
      <c r="C5128" s="1" t="s">
        <v>9682</v>
      </c>
      <c r="D5128" t="b">
        <f ca="1">IF(A5128="","",[1]!s_techanal_rcnthigh(B5128,$B$2,1,3))</f>
        <v>0</v>
      </c>
      <c r="E5128">
        <f ca="1">IF(A5128="","",COUNTIF(D$6:D5128,"True"))</f>
        <v>52</v>
      </c>
      <c r="F5128" t="str">
        <f t="shared" si="80"/>
        <v>688690.SH</v>
      </c>
    </row>
    <row r="5129" spans="1:6" x14ac:dyDescent="0.15">
      <c r="A5129" s="2">
        <v>46089</v>
      </c>
      <c r="B5129" s="1" t="s">
        <v>10600</v>
      </c>
      <c r="C5129" s="1" t="s">
        <v>10601</v>
      </c>
      <c r="D5129" t="b">
        <f ca="1">IF(A5129="","",[1]!s_techanal_rcnthigh(B5129,$B$2,1,3))</f>
        <v>0</v>
      </c>
      <c r="E5129">
        <f ca="1">IF(A5129="","",COUNTIF(D$6:D5129,"True"))</f>
        <v>52</v>
      </c>
      <c r="F5129" t="str">
        <f t="shared" si="80"/>
        <v>688691.SH</v>
      </c>
    </row>
    <row r="5130" spans="1:6" x14ac:dyDescent="0.15">
      <c r="A5130" s="2">
        <v>46089</v>
      </c>
      <c r="B5130" s="1" t="s">
        <v>10602</v>
      </c>
      <c r="C5130" s="1" t="s">
        <v>10603</v>
      </c>
      <c r="D5130" t="b">
        <f ca="1">IF(A5130="","",[1]!s_techanal_rcnthigh(B5130,$B$2,1,3))</f>
        <v>0</v>
      </c>
      <c r="E5130">
        <f ca="1">IF(A5130="","",COUNTIF(D$6:D5130,"True"))</f>
        <v>52</v>
      </c>
      <c r="F5130" t="str">
        <f t="shared" si="80"/>
        <v>688692.SH</v>
      </c>
    </row>
    <row r="5131" spans="1:6" x14ac:dyDescent="0.15">
      <c r="A5131" s="2">
        <v>46089</v>
      </c>
      <c r="B5131" s="1" t="s">
        <v>9683</v>
      </c>
      <c r="C5131" s="1" t="s">
        <v>9684</v>
      </c>
      <c r="D5131" t="b">
        <f ca="1">IF(A5131="","",[1]!s_techanal_rcnthigh(B5131,$B$2,1,3))</f>
        <v>0</v>
      </c>
      <c r="E5131">
        <f ca="1">IF(A5131="","",COUNTIF(D$6:D5131,"True"))</f>
        <v>52</v>
      </c>
      <c r="F5131" t="str">
        <f t="shared" si="80"/>
        <v>688693.SH</v>
      </c>
    </row>
    <row r="5132" spans="1:6" x14ac:dyDescent="0.15">
      <c r="A5132" s="2">
        <v>46089</v>
      </c>
      <c r="B5132" s="1" t="s">
        <v>9685</v>
      </c>
      <c r="C5132" s="1" t="s">
        <v>9686</v>
      </c>
      <c r="D5132" t="b">
        <f ca="1">IF(A5132="","",[1]!s_techanal_rcnthigh(B5132,$B$2,1,3))</f>
        <v>0</v>
      </c>
      <c r="E5132">
        <f ca="1">IF(A5132="","",COUNTIF(D$6:D5132,"True"))</f>
        <v>52</v>
      </c>
      <c r="F5132" t="str">
        <f t="shared" si="80"/>
        <v>688695.SH</v>
      </c>
    </row>
    <row r="5133" spans="1:6" x14ac:dyDescent="0.15">
      <c r="A5133" s="2">
        <v>46089</v>
      </c>
      <c r="B5133" s="1" t="s">
        <v>9687</v>
      </c>
      <c r="C5133" s="1" t="s">
        <v>9688</v>
      </c>
      <c r="D5133" t="b">
        <f ca="1">IF(A5133="","",[1]!s_techanal_rcnthigh(B5133,$B$2,1,3))</f>
        <v>0</v>
      </c>
      <c r="E5133">
        <f ca="1">IF(A5133="","",COUNTIF(D$6:D5133,"True"))</f>
        <v>52</v>
      </c>
      <c r="F5133" t="str">
        <f t="shared" si="80"/>
        <v>688696.SH</v>
      </c>
    </row>
    <row r="5134" spans="1:6" x14ac:dyDescent="0.15">
      <c r="A5134" s="2">
        <v>46089</v>
      </c>
      <c r="B5134" s="1" t="s">
        <v>9689</v>
      </c>
      <c r="C5134" s="1" t="s">
        <v>9690</v>
      </c>
      <c r="D5134" t="b">
        <f ca="1">IF(A5134="","",[1]!s_techanal_rcnthigh(B5134,$B$2,1,3))</f>
        <v>0</v>
      </c>
      <c r="E5134">
        <f ca="1">IF(A5134="","",COUNTIF(D$6:D5134,"True"))</f>
        <v>52</v>
      </c>
      <c r="F5134" t="str">
        <f t="shared" si="80"/>
        <v>688697.SH</v>
      </c>
    </row>
    <row r="5135" spans="1:6" x14ac:dyDescent="0.15">
      <c r="A5135" s="2">
        <v>46089</v>
      </c>
      <c r="B5135" s="1" t="s">
        <v>9691</v>
      </c>
      <c r="C5135" s="1" t="s">
        <v>9692</v>
      </c>
      <c r="D5135" t="b">
        <f ca="1">IF(A5135="","",[1]!s_techanal_rcnthigh(B5135,$B$2,1,3))</f>
        <v>0</v>
      </c>
      <c r="E5135">
        <f ca="1">IF(A5135="","",COUNTIF(D$6:D5135,"True"))</f>
        <v>52</v>
      </c>
      <c r="F5135" t="str">
        <f t="shared" si="80"/>
        <v>688698.SH</v>
      </c>
    </row>
    <row r="5136" spans="1:6" x14ac:dyDescent="0.15">
      <c r="A5136" s="2">
        <v>46089</v>
      </c>
      <c r="B5136" s="1" t="s">
        <v>9693</v>
      </c>
      <c r="C5136" s="1" t="s">
        <v>9694</v>
      </c>
      <c r="D5136" t="b">
        <f ca="1">IF(A5136="","",[1]!s_techanal_rcnthigh(B5136,$B$2,1,3))</f>
        <v>0</v>
      </c>
      <c r="E5136">
        <f ca="1">IF(A5136="","",COUNTIF(D$6:D5136,"True"))</f>
        <v>52</v>
      </c>
      <c r="F5136" t="str">
        <f t="shared" si="80"/>
        <v>688699.SH</v>
      </c>
    </row>
    <row r="5137" spans="1:6" x14ac:dyDescent="0.15">
      <c r="A5137" s="2">
        <v>46089</v>
      </c>
      <c r="B5137" s="1" t="s">
        <v>9695</v>
      </c>
      <c r="C5137" s="1" t="s">
        <v>9696</v>
      </c>
      <c r="D5137" t="b">
        <f ca="1">IF(A5137="","",[1]!s_techanal_rcnthigh(B5137,$B$2,1,3))</f>
        <v>0</v>
      </c>
      <c r="E5137">
        <f ca="1">IF(A5137="","",COUNTIF(D$6:D5137,"True"))</f>
        <v>52</v>
      </c>
      <c r="F5137" t="str">
        <f t="shared" si="80"/>
        <v>688700.SH</v>
      </c>
    </row>
    <row r="5138" spans="1:6" x14ac:dyDescent="0.15">
      <c r="A5138" s="2">
        <v>46089</v>
      </c>
      <c r="B5138" s="1" t="s">
        <v>9697</v>
      </c>
      <c r="C5138" s="1" t="s">
        <v>9698</v>
      </c>
      <c r="D5138" t="b">
        <f ca="1">IF(A5138="","",[1]!s_techanal_rcnthigh(B5138,$B$2,1,3))</f>
        <v>0</v>
      </c>
      <c r="E5138">
        <f ca="1">IF(A5138="","",COUNTIF(D$6:D5138,"True"))</f>
        <v>52</v>
      </c>
      <c r="F5138" t="str">
        <f t="shared" si="80"/>
        <v>688701.SH</v>
      </c>
    </row>
    <row r="5139" spans="1:6" x14ac:dyDescent="0.15">
      <c r="A5139" s="2">
        <v>46089</v>
      </c>
      <c r="B5139" s="1" t="s">
        <v>9699</v>
      </c>
      <c r="C5139" s="1" t="s">
        <v>9700</v>
      </c>
      <c r="D5139" t="b">
        <f ca="1">IF(A5139="","",[1]!s_techanal_rcnthigh(B5139,$B$2,1,3))</f>
        <v>0</v>
      </c>
      <c r="E5139">
        <f ca="1">IF(A5139="","",COUNTIF(D$6:D5139,"True"))</f>
        <v>52</v>
      </c>
      <c r="F5139" t="str">
        <f t="shared" si="80"/>
        <v>688702.SH</v>
      </c>
    </row>
    <row r="5140" spans="1:6" x14ac:dyDescent="0.15">
      <c r="A5140" s="2">
        <v>46089</v>
      </c>
      <c r="B5140" s="1" t="s">
        <v>9701</v>
      </c>
      <c r="C5140" s="1" t="s">
        <v>9702</v>
      </c>
      <c r="D5140" t="b">
        <f ca="1">IF(A5140="","",[1]!s_techanal_rcnthigh(B5140,$B$2,1,3))</f>
        <v>0</v>
      </c>
      <c r="E5140">
        <f ca="1">IF(A5140="","",COUNTIF(D$6:D5140,"True"))</f>
        <v>52</v>
      </c>
      <c r="F5140" t="str">
        <f t="shared" si="80"/>
        <v>688707.SH</v>
      </c>
    </row>
    <row r="5141" spans="1:6" x14ac:dyDescent="0.15">
      <c r="A5141" s="2">
        <v>46089</v>
      </c>
      <c r="B5141" s="1" t="s">
        <v>10604</v>
      </c>
      <c r="C5141" s="1" t="s">
        <v>10605</v>
      </c>
      <c r="D5141" t="b">
        <f ca="1">IF(A5141="","",[1]!s_techanal_rcnthigh(B5141,$B$2,1,3))</f>
        <v>0</v>
      </c>
      <c r="E5141">
        <f ca="1">IF(A5141="","",COUNTIF(D$6:D5141,"True"))</f>
        <v>52</v>
      </c>
      <c r="F5141" t="str">
        <f t="shared" si="80"/>
        <v>688708.SH</v>
      </c>
    </row>
    <row r="5142" spans="1:6" x14ac:dyDescent="0.15">
      <c r="A5142" s="2">
        <v>46089</v>
      </c>
      <c r="B5142" s="1" t="s">
        <v>9703</v>
      </c>
      <c r="C5142" s="1" t="s">
        <v>9704</v>
      </c>
      <c r="D5142" t="b">
        <f ca="1">IF(A5142="","",[1]!s_techanal_rcnthigh(B5142,$B$2,1,3))</f>
        <v>0</v>
      </c>
      <c r="E5142">
        <f ca="1">IF(A5142="","",COUNTIF(D$6:D5142,"True"))</f>
        <v>52</v>
      </c>
      <c r="F5142" t="str">
        <f t="shared" si="80"/>
        <v>688709.SH</v>
      </c>
    </row>
    <row r="5143" spans="1:6" x14ac:dyDescent="0.15">
      <c r="A5143" s="2">
        <v>46089</v>
      </c>
      <c r="B5143" s="1" t="s">
        <v>10606</v>
      </c>
      <c r="C5143" s="1" t="s">
        <v>10607</v>
      </c>
      <c r="D5143" t="b">
        <f ca="1">IF(A5143="","",[1]!s_techanal_rcnthigh(B5143,$B$2,1,3))</f>
        <v>0</v>
      </c>
      <c r="E5143">
        <f ca="1">IF(A5143="","",COUNTIF(D$6:D5143,"True"))</f>
        <v>52</v>
      </c>
      <c r="F5143" t="str">
        <f t="shared" si="80"/>
        <v>688710.SH</v>
      </c>
    </row>
    <row r="5144" spans="1:6" x14ac:dyDescent="0.15">
      <c r="A5144" s="2">
        <v>46089</v>
      </c>
      <c r="B5144" s="1" t="s">
        <v>9705</v>
      </c>
      <c r="C5144" s="1" t="s">
        <v>9706</v>
      </c>
      <c r="D5144" t="b">
        <f ca="1">IF(A5144="","",[1]!s_techanal_rcnthigh(B5144,$B$2,1,3))</f>
        <v>0</v>
      </c>
      <c r="E5144">
        <f ca="1">IF(A5144="","",COUNTIF(D$6:D5144,"True"))</f>
        <v>52</v>
      </c>
      <c r="F5144" t="str">
        <f t="shared" si="80"/>
        <v>688711.SH</v>
      </c>
    </row>
    <row r="5145" spans="1:6" x14ac:dyDescent="0.15">
      <c r="A5145" s="2">
        <v>46089</v>
      </c>
      <c r="B5145" s="1" t="s">
        <v>10608</v>
      </c>
      <c r="C5145" s="1" t="s">
        <v>10609</v>
      </c>
      <c r="D5145" t="b">
        <f ca="1">IF(A5145="","",[1]!s_techanal_rcnthigh(B5145,$B$2,1,3))</f>
        <v>0</v>
      </c>
      <c r="E5145">
        <f ca="1">IF(A5145="","",COUNTIF(D$6:D5145,"True"))</f>
        <v>52</v>
      </c>
      <c r="F5145" t="str">
        <f t="shared" si="80"/>
        <v>688712.SH</v>
      </c>
    </row>
    <row r="5146" spans="1:6" x14ac:dyDescent="0.15">
      <c r="A5146" s="2">
        <v>46089</v>
      </c>
      <c r="B5146" s="1" t="s">
        <v>9707</v>
      </c>
      <c r="C5146" s="1" t="s">
        <v>9708</v>
      </c>
      <c r="D5146" t="b">
        <f ca="1">IF(A5146="","",[1]!s_techanal_rcnthigh(B5146,$B$2,1,3))</f>
        <v>0</v>
      </c>
      <c r="E5146">
        <f ca="1">IF(A5146="","",COUNTIF(D$6:D5146,"True"))</f>
        <v>52</v>
      </c>
      <c r="F5146" t="str">
        <f t="shared" si="80"/>
        <v>688716.SH</v>
      </c>
    </row>
    <row r="5147" spans="1:6" x14ac:dyDescent="0.15">
      <c r="A5147" s="2">
        <v>46089</v>
      </c>
      <c r="B5147" s="1" t="s">
        <v>9709</v>
      </c>
      <c r="C5147" s="1" t="s">
        <v>9710</v>
      </c>
      <c r="D5147" t="b">
        <f ca="1">IF(A5147="","",[1]!s_techanal_rcnthigh(B5147,$B$2,1,3))</f>
        <v>0</v>
      </c>
      <c r="E5147">
        <f ca="1">IF(A5147="","",COUNTIF(D$6:D5147,"True"))</f>
        <v>52</v>
      </c>
      <c r="F5147" t="str">
        <f t="shared" si="80"/>
        <v>688717.SH</v>
      </c>
    </row>
    <row r="5148" spans="1:6" x14ac:dyDescent="0.15">
      <c r="A5148" s="2">
        <v>46089</v>
      </c>
      <c r="B5148" s="1" t="s">
        <v>9711</v>
      </c>
      <c r="C5148" s="1" t="s">
        <v>9712</v>
      </c>
      <c r="D5148" t="b">
        <f ca="1">IF(A5148="","",[1]!s_techanal_rcnthigh(B5148,$B$2,1,3))</f>
        <v>0</v>
      </c>
      <c r="E5148">
        <f ca="1">IF(A5148="","",COUNTIF(D$6:D5148,"True"))</f>
        <v>52</v>
      </c>
      <c r="F5148" t="str">
        <f t="shared" si="80"/>
        <v>688718.SH</v>
      </c>
    </row>
    <row r="5149" spans="1:6" x14ac:dyDescent="0.15">
      <c r="A5149" s="2">
        <v>46089</v>
      </c>
      <c r="B5149" s="1" t="s">
        <v>9713</v>
      </c>
      <c r="C5149" s="1" t="s">
        <v>9714</v>
      </c>
      <c r="D5149" t="b">
        <f ca="1">IF(A5149="","",[1]!s_techanal_rcnthigh(B5149,$B$2,1,3))</f>
        <v>0</v>
      </c>
      <c r="E5149">
        <f ca="1">IF(A5149="","",COUNTIF(D$6:D5149,"True"))</f>
        <v>52</v>
      </c>
      <c r="F5149" t="str">
        <f t="shared" si="80"/>
        <v>688719.SH</v>
      </c>
    </row>
    <row r="5150" spans="1:6" x14ac:dyDescent="0.15">
      <c r="A5150" s="2">
        <v>46089</v>
      </c>
      <c r="B5150" s="1" t="s">
        <v>9715</v>
      </c>
      <c r="C5150" s="1" t="s">
        <v>9716</v>
      </c>
      <c r="D5150" t="b">
        <f ca="1">IF(A5150="","",[1]!s_techanal_rcnthigh(B5150,$B$2,1,3))</f>
        <v>0</v>
      </c>
      <c r="E5150">
        <f ca="1">IF(A5150="","",COUNTIF(D$6:D5150,"True"))</f>
        <v>52</v>
      </c>
      <c r="F5150" t="str">
        <f t="shared" si="80"/>
        <v>688720.SH</v>
      </c>
    </row>
    <row r="5151" spans="1:6" x14ac:dyDescent="0.15">
      <c r="A5151" s="2">
        <v>46089</v>
      </c>
      <c r="B5151" s="1" t="s">
        <v>10610</v>
      </c>
      <c r="C5151" s="1" t="s">
        <v>10611</v>
      </c>
      <c r="D5151" t="b">
        <f ca="1">IF(A5151="","",[1]!s_techanal_rcnthigh(B5151,$B$2,1,3))</f>
        <v>0</v>
      </c>
      <c r="E5151">
        <f ca="1">IF(A5151="","",COUNTIF(D$6:D5151,"True"))</f>
        <v>52</v>
      </c>
      <c r="F5151" t="str">
        <f t="shared" si="80"/>
        <v>688721.SH</v>
      </c>
    </row>
    <row r="5152" spans="1:6" x14ac:dyDescent="0.15">
      <c r="A5152" s="2">
        <v>46089</v>
      </c>
      <c r="B5152" s="1" t="s">
        <v>9717</v>
      </c>
      <c r="C5152" s="1" t="s">
        <v>9718</v>
      </c>
      <c r="D5152" t="b">
        <f ca="1">IF(A5152="","",[1]!s_techanal_rcnthigh(B5152,$B$2,1,3))</f>
        <v>0</v>
      </c>
      <c r="E5152">
        <f ca="1">IF(A5152="","",COUNTIF(D$6:D5152,"True"))</f>
        <v>52</v>
      </c>
      <c r="F5152" t="str">
        <f t="shared" si="80"/>
        <v>688722.SH</v>
      </c>
    </row>
    <row r="5153" spans="1:6" x14ac:dyDescent="0.15">
      <c r="A5153" s="2">
        <v>46089</v>
      </c>
      <c r="B5153" s="1" t="s">
        <v>10612</v>
      </c>
      <c r="C5153" s="1" t="s">
        <v>10613</v>
      </c>
      <c r="D5153" t="b">
        <f ca="1">IF(A5153="","",[1]!s_techanal_rcnthigh(B5153,$B$2,1,3))</f>
        <v>0</v>
      </c>
      <c r="E5153">
        <f ca="1">IF(A5153="","",COUNTIF(D$6:D5153,"True"))</f>
        <v>52</v>
      </c>
      <c r="F5153" t="str">
        <f t="shared" si="80"/>
        <v>688726.SH</v>
      </c>
    </row>
    <row r="5154" spans="1:6" x14ac:dyDescent="0.15">
      <c r="A5154" s="2">
        <v>46089</v>
      </c>
      <c r="B5154" s="1" t="s">
        <v>10614</v>
      </c>
      <c r="C5154" s="1" t="s">
        <v>10615</v>
      </c>
      <c r="D5154" t="b">
        <f ca="1">IF(A5154="","",[1]!s_techanal_rcnthigh(B5154,$B$2,1,3))</f>
        <v>0</v>
      </c>
      <c r="E5154">
        <f ca="1">IF(A5154="","",COUNTIF(D$6:D5154,"True"))</f>
        <v>52</v>
      </c>
      <c r="F5154" t="str">
        <f t="shared" si="80"/>
        <v>688727.SH</v>
      </c>
    </row>
    <row r="5155" spans="1:6" x14ac:dyDescent="0.15">
      <c r="A5155" s="2">
        <v>46089</v>
      </c>
      <c r="B5155" s="1" t="s">
        <v>9719</v>
      </c>
      <c r="C5155" s="1" t="s">
        <v>9720</v>
      </c>
      <c r="D5155" t="b">
        <f ca="1">IF(A5155="","",[1]!s_techanal_rcnthigh(B5155,$B$2,1,3))</f>
        <v>0</v>
      </c>
      <c r="E5155">
        <f ca="1">IF(A5155="","",COUNTIF(D$6:D5155,"True"))</f>
        <v>52</v>
      </c>
      <c r="F5155" t="str">
        <f t="shared" si="80"/>
        <v>688728.SH</v>
      </c>
    </row>
    <row r="5156" spans="1:6" x14ac:dyDescent="0.15">
      <c r="A5156" s="2">
        <v>46089</v>
      </c>
      <c r="B5156" s="1" t="s">
        <v>10616</v>
      </c>
      <c r="C5156" s="1" t="s">
        <v>10617</v>
      </c>
      <c r="D5156" t="b">
        <f ca="1">IF(A5156="","",[1]!s_techanal_rcnthigh(B5156,$B$2,1,3))</f>
        <v>0</v>
      </c>
      <c r="E5156">
        <f ca="1">IF(A5156="","",COUNTIF(D$6:D5156,"True"))</f>
        <v>52</v>
      </c>
      <c r="F5156" t="str">
        <f t="shared" si="80"/>
        <v>688729.SH</v>
      </c>
    </row>
    <row r="5157" spans="1:6" x14ac:dyDescent="0.15">
      <c r="A5157" s="2">
        <v>46089</v>
      </c>
      <c r="B5157" s="1" t="s">
        <v>9721</v>
      </c>
      <c r="C5157" s="1" t="s">
        <v>9722</v>
      </c>
      <c r="D5157" t="b">
        <f ca="1">IF(A5157="","",[1]!s_techanal_rcnthigh(B5157,$B$2,1,3))</f>
        <v>0</v>
      </c>
      <c r="E5157">
        <f ca="1">IF(A5157="","",COUNTIF(D$6:D5157,"True"))</f>
        <v>52</v>
      </c>
      <c r="F5157" t="str">
        <f t="shared" si="80"/>
        <v>688733.SH</v>
      </c>
    </row>
    <row r="5158" spans="1:6" x14ac:dyDescent="0.15">
      <c r="A5158" s="2">
        <v>46089</v>
      </c>
      <c r="B5158" s="1" t="s">
        <v>9723</v>
      </c>
      <c r="C5158" s="1" t="s">
        <v>9724</v>
      </c>
      <c r="D5158" t="b">
        <f ca="1">IF(A5158="","",[1]!s_techanal_rcnthigh(B5158,$B$2,1,3))</f>
        <v>0</v>
      </c>
      <c r="E5158">
        <f ca="1">IF(A5158="","",COUNTIF(D$6:D5158,"True"))</f>
        <v>52</v>
      </c>
      <c r="F5158" t="str">
        <f t="shared" si="80"/>
        <v>688737.SH</v>
      </c>
    </row>
    <row r="5159" spans="1:6" x14ac:dyDescent="0.15">
      <c r="A5159" s="2">
        <v>46089</v>
      </c>
      <c r="B5159" s="1" t="s">
        <v>9725</v>
      </c>
      <c r="C5159" s="1" t="s">
        <v>9726</v>
      </c>
      <c r="D5159" t="b">
        <f ca="1">IF(A5159="","",[1]!s_techanal_rcnthigh(B5159,$B$2,1,3))</f>
        <v>0</v>
      </c>
      <c r="E5159">
        <f ca="1">IF(A5159="","",COUNTIF(D$6:D5159,"True"))</f>
        <v>52</v>
      </c>
      <c r="F5159" t="str">
        <f t="shared" si="80"/>
        <v>688739.SH</v>
      </c>
    </row>
    <row r="5160" spans="1:6" x14ac:dyDescent="0.15">
      <c r="A5160" s="2">
        <v>46089</v>
      </c>
      <c r="B5160" s="1" t="s">
        <v>10618</v>
      </c>
      <c r="C5160" s="1" t="s">
        <v>10619</v>
      </c>
      <c r="D5160" t="b">
        <f ca="1">IF(A5160="","",[1]!s_techanal_rcnthigh(B5160,$B$2,1,3))</f>
        <v>0</v>
      </c>
      <c r="E5160">
        <f ca="1">IF(A5160="","",COUNTIF(D$6:D5160,"True"))</f>
        <v>52</v>
      </c>
      <c r="F5160" t="str">
        <f t="shared" si="80"/>
        <v>688750.SH</v>
      </c>
    </row>
    <row r="5161" spans="1:6" x14ac:dyDescent="0.15">
      <c r="A5161" s="2">
        <v>46089</v>
      </c>
      <c r="B5161" s="1" t="s">
        <v>10620</v>
      </c>
      <c r="C5161" s="1" t="s">
        <v>10621</v>
      </c>
      <c r="D5161" t="b">
        <f ca="1">IF(A5161="","",[1]!s_techanal_rcnthigh(B5161,$B$2,1,3))</f>
        <v>0</v>
      </c>
      <c r="E5161">
        <f ca="1">IF(A5161="","",COUNTIF(D$6:D5161,"True"))</f>
        <v>52</v>
      </c>
      <c r="F5161" t="str">
        <f t="shared" si="80"/>
        <v>688755.SH</v>
      </c>
    </row>
    <row r="5162" spans="1:6" x14ac:dyDescent="0.15">
      <c r="A5162" s="2">
        <v>46089</v>
      </c>
      <c r="B5162" s="1" t="s">
        <v>10622</v>
      </c>
      <c r="C5162" s="1" t="s">
        <v>10623</v>
      </c>
      <c r="D5162" t="b">
        <f ca="1">IF(A5162="","",[1]!s_techanal_rcnthigh(B5162,$B$2,1,3))</f>
        <v>0</v>
      </c>
      <c r="E5162">
        <f ca="1">IF(A5162="","",COUNTIF(D$6:D5162,"True"))</f>
        <v>52</v>
      </c>
      <c r="F5162" t="str">
        <f t="shared" si="80"/>
        <v>688757.SH</v>
      </c>
    </row>
    <row r="5163" spans="1:6" x14ac:dyDescent="0.15">
      <c r="A5163" s="2">
        <v>46089</v>
      </c>
      <c r="B5163" s="1" t="s">
        <v>10624</v>
      </c>
      <c r="C5163" s="1" t="s">
        <v>10625</v>
      </c>
      <c r="D5163" t="b">
        <f ca="1">IF(A5163="","",[1]!s_techanal_rcnthigh(B5163,$B$2,1,3))</f>
        <v>0</v>
      </c>
      <c r="E5163">
        <f ca="1">IF(A5163="","",COUNTIF(D$6:D5163,"True"))</f>
        <v>52</v>
      </c>
      <c r="F5163" t="str">
        <f t="shared" si="80"/>
        <v>688758.SH</v>
      </c>
    </row>
    <row r="5164" spans="1:6" x14ac:dyDescent="0.15">
      <c r="A5164" s="2">
        <v>46089</v>
      </c>
      <c r="B5164" s="1" t="s">
        <v>10626</v>
      </c>
      <c r="C5164" s="1" t="s">
        <v>10627</v>
      </c>
      <c r="D5164" t="b">
        <f ca="1">IF(A5164="","",[1]!s_techanal_rcnthigh(B5164,$B$2,1,3))</f>
        <v>0</v>
      </c>
      <c r="E5164">
        <f ca="1">IF(A5164="","",COUNTIF(D$6:D5164,"True"))</f>
        <v>52</v>
      </c>
      <c r="F5164" t="str">
        <f t="shared" si="80"/>
        <v>688759.SH</v>
      </c>
    </row>
    <row r="5165" spans="1:6" x14ac:dyDescent="0.15">
      <c r="A5165" s="2">
        <v>46089</v>
      </c>
      <c r="B5165" s="1" t="s">
        <v>10628</v>
      </c>
      <c r="C5165" s="1" t="s">
        <v>10629</v>
      </c>
      <c r="D5165" t="b">
        <f ca="1">IF(A5165="","",[1]!s_techanal_rcnthigh(B5165,$B$2,1,3))</f>
        <v>0</v>
      </c>
      <c r="E5165">
        <f ca="1">IF(A5165="","",COUNTIF(D$6:D5165,"True"))</f>
        <v>52</v>
      </c>
      <c r="F5165" t="str">
        <f t="shared" si="80"/>
        <v>688765.SH</v>
      </c>
    </row>
    <row r="5166" spans="1:6" x14ac:dyDescent="0.15">
      <c r="A5166" s="2">
        <v>46089</v>
      </c>
      <c r="B5166" s="1" t="s">
        <v>9727</v>
      </c>
      <c r="C5166" s="1" t="s">
        <v>9728</v>
      </c>
      <c r="D5166" t="b">
        <f ca="1">IF(A5166="","",[1]!s_techanal_rcnthigh(B5166,$B$2,1,3))</f>
        <v>0</v>
      </c>
      <c r="E5166">
        <f ca="1">IF(A5166="","",COUNTIF(D$6:D5166,"True"))</f>
        <v>52</v>
      </c>
      <c r="F5166" t="str">
        <f t="shared" si="80"/>
        <v>688766.SH</v>
      </c>
    </row>
    <row r="5167" spans="1:6" x14ac:dyDescent="0.15">
      <c r="A5167" s="2">
        <v>46089</v>
      </c>
      <c r="B5167" s="1" t="s">
        <v>9729</v>
      </c>
      <c r="C5167" s="1" t="s">
        <v>9730</v>
      </c>
      <c r="D5167" t="b">
        <f ca="1">IF(A5167="","",[1]!s_techanal_rcnthigh(B5167,$B$2,1,3))</f>
        <v>0</v>
      </c>
      <c r="E5167">
        <f ca="1">IF(A5167="","",COUNTIF(D$6:D5167,"True"))</f>
        <v>52</v>
      </c>
      <c r="F5167" t="str">
        <f t="shared" si="80"/>
        <v>688767.SH</v>
      </c>
    </row>
    <row r="5168" spans="1:6" x14ac:dyDescent="0.15">
      <c r="A5168" s="2">
        <v>46089</v>
      </c>
      <c r="B5168" s="1" t="s">
        <v>9731</v>
      </c>
      <c r="C5168" s="1" t="s">
        <v>9732</v>
      </c>
      <c r="D5168" t="b">
        <f ca="1">IF(A5168="","",[1]!s_techanal_rcnthigh(B5168,$B$2,1,3))</f>
        <v>0</v>
      </c>
      <c r="E5168">
        <f ca="1">IF(A5168="","",COUNTIF(D$6:D5168,"True"))</f>
        <v>52</v>
      </c>
      <c r="F5168" t="str">
        <f t="shared" si="80"/>
        <v>688768.SH</v>
      </c>
    </row>
    <row r="5169" spans="1:6" x14ac:dyDescent="0.15">
      <c r="A5169" s="2">
        <v>46089</v>
      </c>
      <c r="B5169" s="1" t="s">
        <v>9733</v>
      </c>
      <c r="C5169" s="1" t="s">
        <v>9734</v>
      </c>
      <c r="D5169" t="b">
        <f ca="1">IF(A5169="","",[1]!s_techanal_rcnthigh(B5169,$B$2,1,3))</f>
        <v>0</v>
      </c>
      <c r="E5169">
        <f ca="1">IF(A5169="","",COUNTIF(D$6:D5169,"True"))</f>
        <v>52</v>
      </c>
      <c r="F5169" t="str">
        <f t="shared" si="80"/>
        <v>688772.SH</v>
      </c>
    </row>
    <row r="5170" spans="1:6" x14ac:dyDescent="0.15">
      <c r="A5170" s="2">
        <v>46089</v>
      </c>
      <c r="B5170" s="1" t="s">
        <v>10630</v>
      </c>
      <c r="C5170" s="1" t="s">
        <v>10631</v>
      </c>
      <c r="D5170" t="b">
        <f ca="1">IF(A5170="","",[1]!s_techanal_rcnthigh(B5170,$B$2,1,3))</f>
        <v>0</v>
      </c>
      <c r="E5170">
        <f ca="1">IF(A5170="","",COUNTIF(D$6:D5170,"True"))</f>
        <v>52</v>
      </c>
      <c r="F5170" t="str">
        <f t="shared" si="80"/>
        <v>688775.SH</v>
      </c>
    </row>
    <row r="5171" spans="1:6" x14ac:dyDescent="0.15">
      <c r="A5171" s="2">
        <v>46089</v>
      </c>
      <c r="B5171" s="1" t="s">
        <v>9735</v>
      </c>
      <c r="C5171" s="1" t="s">
        <v>9736</v>
      </c>
      <c r="D5171" t="b">
        <f ca="1">IF(A5171="","",[1]!s_techanal_rcnthigh(B5171,$B$2,1,3))</f>
        <v>0</v>
      </c>
      <c r="E5171">
        <f ca="1">IF(A5171="","",COUNTIF(D$6:D5171,"True"))</f>
        <v>52</v>
      </c>
      <c r="F5171" t="str">
        <f t="shared" si="80"/>
        <v>688776.SH</v>
      </c>
    </row>
    <row r="5172" spans="1:6" x14ac:dyDescent="0.15">
      <c r="A5172" s="2">
        <v>46089</v>
      </c>
      <c r="B5172" s="1" t="s">
        <v>9737</v>
      </c>
      <c r="C5172" s="1" t="s">
        <v>9738</v>
      </c>
      <c r="D5172" t="b">
        <f ca="1">IF(A5172="","",[1]!s_techanal_rcnthigh(B5172,$B$2,1,3))</f>
        <v>0</v>
      </c>
      <c r="E5172">
        <f ca="1">IF(A5172="","",COUNTIF(D$6:D5172,"True"))</f>
        <v>52</v>
      </c>
      <c r="F5172" t="str">
        <f t="shared" si="80"/>
        <v>688777.SH</v>
      </c>
    </row>
    <row r="5173" spans="1:6" x14ac:dyDescent="0.15">
      <c r="A5173" s="2">
        <v>46089</v>
      </c>
      <c r="B5173" s="1" t="s">
        <v>9739</v>
      </c>
      <c r="C5173" s="1" t="s">
        <v>9740</v>
      </c>
      <c r="D5173" t="b">
        <f ca="1">IF(A5173="","",[1]!s_techanal_rcnthigh(B5173,$B$2,1,3))</f>
        <v>0</v>
      </c>
      <c r="E5173">
        <f ca="1">IF(A5173="","",COUNTIF(D$6:D5173,"True"))</f>
        <v>52</v>
      </c>
      <c r="F5173" t="str">
        <f t="shared" si="80"/>
        <v>688778.SH</v>
      </c>
    </row>
    <row r="5174" spans="1:6" x14ac:dyDescent="0.15">
      <c r="A5174" s="2">
        <v>46089</v>
      </c>
      <c r="B5174" s="1" t="s">
        <v>9741</v>
      </c>
      <c r="C5174" s="1" t="s">
        <v>10632</v>
      </c>
      <c r="D5174" t="b">
        <f ca="1">IF(A5174="","",[1]!s_techanal_rcnthigh(B5174,$B$2,1,3))</f>
        <v>0</v>
      </c>
      <c r="E5174">
        <f ca="1">IF(A5174="","",COUNTIF(D$6:D5174,"True"))</f>
        <v>52</v>
      </c>
      <c r="F5174" t="str">
        <f t="shared" si="80"/>
        <v>688779.SH</v>
      </c>
    </row>
    <row r="5175" spans="1:6" x14ac:dyDescent="0.15">
      <c r="A5175" s="2">
        <v>46089</v>
      </c>
      <c r="B5175" s="1" t="s">
        <v>10633</v>
      </c>
      <c r="C5175" s="1" t="s">
        <v>10634</v>
      </c>
      <c r="D5175" t="b">
        <f ca="1">IF(A5175="","",[1]!s_techanal_rcnthigh(B5175,$B$2,1,3))</f>
        <v>0</v>
      </c>
      <c r="E5175">
        <f ca="1">IF(A5175="","",COUNTIF(D$6:D5175,"True"))</f>
        <v>52</v>
      </c>
      <c r="F5175" t="str">
        <f t="shared" si="80"/>
        <v>688783.SH</v>
      </c>
    </row>
    <row r="5176" spans="1:6" x14ac:dyDescent="0.15">
      <c r="A5176" s="2">
        <v>46089</v>
      </c>
      <c r="B5176" s="1" t="s">
        <v>10635</v>
      </c>
      <c r="C5176" s="1" t="s">
        <v>10636</v>
      </c>
      <c r="D5176" t="b">
        <f ca="1">IF(A5176="","",[1]!s_techanal_rcnthigh(B5176,$B$2,1,3))</f>
        <v>0</v>
      </c>
      <c r="E5176">
        <f ca="1">IF(A5176="","",COUNTIF(D$6:D5176,"True"))</f>
        <v>52</v>
      </c>
      <c r="F5176" t="str">
        <f t="shared" si="80"/>
        <v>688785.SH</v>
      </c>
    </row>
    <row r="5177" spans="1:6" x14ac:dyDescent="0.15">
      <c r="A5177" s="2">
        <v>46089</v>
      </c>
      <c r="B5177" s="1" t="s">
        <v>9742</v>
      </c>
      <c r="C5177" s="1" t="s">
        <v>9743</v>
      </c>
      <c r="D5177" t="b">
        <f ca="1">IF(A5177="","",[1]!s_techanal_rcnthigh(B5177,$B$2,1,3))</f>
        <v>0</v>
      </c>
      <c r="E5177">
        <f ca="1">IF(A5177="","",COUNTIF(D$6:D5177,"True"))</f>
        <v>52</v>
      </c>
      <c r="F5177" t="str">
        <f t="shared" si="80"/>
        <v>688786.SH</v>
      </c>
    </row>
    <row r="5178" spans="1:6" x14ac:dyDescent="0.15">
      <c r="A5178" s="2">
        <v>46089</v>
      </c>
      <c r="B5178" s="1" t="s">
        <v>9744</v>
      </c>
      <c r="C5178" s="1" t="s">
        <v>9745</v>
      </c>
      <c r="D5178" t="b">
        <f ca="1">IF(A5178="","",[1]!s_techanal_rcnthigh(B5178,$B$2,1,3))</f>
        <v>0</v>
      </c>
      <c r="E5178">
        <f ca="1">IF(A5178="","",COUNTIF(D$6:D5178,"True"))</f>
        <v>52</v>
      </c>
      <c r="F5178" t="str">
        <f t="shared" si="80"/>
        <v>688787.SH</v>
      </c>
    </row>
    <row r="5179" spans="1:6" x14ac:dyDescent="0.15">
      <c r="A5179" s="2">
        <v>46089</v>
      </c>
      <c r="B5179" s="1" t="s">
        <v>9746</v>
      </c>
      <c r="C5179" s="1" t="s">
        <v>9747</v>
      </c>
      <c r="D5179" t="b">
        <f ca="1">IF(A5179="","",[1]!s_techanal_rcnthigh(B5179,$B$2,1,3))</f>
        <v>0</v>
      </c>
      <c r="E5179">
        <f ca="1">IF(A5179="","",COUNTIF(D$6:D5179,"True"))</f>
        <v>52</v>
      </c>
      <c r="F5179" t="str">
        <f t="shared" si="80"/>
        <v>688788.SH</v>
      </c>
    </row>
    <row r="5180" spans="1:6" x14ac:dyDescent="0.15">
      <c r="A5180" s="2">
        <v>46089</v>
      </c>
      <c r="B5180" s="1" t="s">
        <v>9748</v>
      </c>
      <c r="C5180" s="1" t="s">
        <v>9749</v>
      </c>
      <c r="D5180" t="b">
        <f ca="1">IF(A5180="","",[1]!s_techanal_rcnthigh(B5180,$B$2,1,3))</f>
        <v>0</v>
      </c>
      <c r="E5180">
        <f ca="1">IF(A5180="","",COUNTIF(D$6:D5180,"True"))</f>
        <v>52</v>
      </c>
      <c r="F5180" t="str">
        <f t="shared" si="80"/>
        <v>688789.SH</v>
      </c>
    </row>
    <row r="5181" spans="1:6" x14ac:dyDescent="0.15">
      <c r="A5181" s="2">
        <v>46089</v>
      </c>
      <c r="B5181" s="1" t="s">
        <v>10637</v>
      </c>
      <c r="C5181" s="1" t="s">
        <v>10638</v>
      </c>
      <c r="D5181" t="b">
        <f ca="1">IF(A5181="","",[1]!s_techanal_rcnthigh(B5181,$B$2,1,3))</f>
        <v>0</v>
      </c>
      <c r="E5181">
        <f ca="1">IF(A5181="","",COUNTIF(D$6:D5181,"True"))</f>
        <v>52</v>
      </c>
      <c r="F5181" t="str">
        <f t="shared" si="80"/>
        <v>688790.SH</v>
      </c>
    </row>
    <row r="5182" spans="1:6" x14ac:dyDescent="0.15">
      <c r="A5182" s="2">
        <v>46089</v>
      </c>
      <c r="B5182" s="1" t="s">
        <v>9750</v>
      </c>
      <c r="C5182" s="1" t="s">
        <v>9751</v>
      </c>
      <c r="D5182" t="b">
        <f ca="1">IF(A5182="","",[1]!s_techanal_rcnthigh(B5182,$B$2,1,3))</f>
        <v>0</v>
      </c>
      <c r="E5182">
        <f ca="1">IF(A5182="","",COUNTIF(D$6:D5182,"True"))</f>
        <v>52</v>
      </c>
      <c r="F5182" t="str">
        <f t="shared" si="80"/>
        <v>688793.SH</v>
      </c>
    </row>
    <row r="5183" spans="1:6" x14ac:dyDescent="0.15">
      <c r="A5183" s="2">
        <v>46089</v>
      </c>
      <c r="B5183" s="1" t="s">
        <v>10639</v>
      </c>
      <c r="C5183" s="1" t="s">
        <v>10640</v>
      </c>
      <c r="D5183" t="b">
        <f ca="1">IF(A5183="","",[1]!s_techanal_rcnthigh(B5183,$B$2,1,3))</f>
        <v>0</v>
      </c>
      <c r="E5183">
        <f ca="1">IF(A5183="","",COUNTIF(D$6:D5183,"True"))</f>
        <v>52</v>
      </c>
      <c r="F5183" t="str">
        <f t="shared" si="80"/>
        <v>688795.SH</v>
      </c>
    </row>
    <row r="5184" spans="1:6" x14ac:dyDescent="0.15">
      <c r="A5184" s="2">
        <v>46089</v>
      </c>
      <c r="B5184" s="1" t="s">
        <v>10641</v>
      </c>
      <c r="C5184" s="1" t="s">
        <v>10642</v>
      </c>
      <c r="D5184" t="b">
        <f ca="1">IF(A5184="","",[1]!s_techanal_rcnthigh(B5184,$B$2,1,3))</f>
        <v>0</v>
      </c>
      <c r="E5184">
        <f ca="1">IF(A5184="","",COUNTIF(D$6:D5184,"True"))</f>
        <v>52</v>
      </c>
      <c r="F5184" t="str">
        <f t="shared" si="80"/>
        <v>688796.SH</v>
      </c>
    </row>
    <row r="5185" spans="1:6" x14ac:dyDescent="0.15">
      <c r="A5185" s="2">
        <v>46089</v>
      </c>
      <c r="B5185" s="1" t="s">
        <v>9752</v>
      </c>
      <c r="C5185" s="1" t="s">
        <v>9753</v>
      </c>
      <c r="D5185" t="b">
        <f ca="1">IF(A5185="","",[1]!s_techanal_rcnthigh(B5185,$B$2,1,3))</f>
        <v>0</v>
      </c>
      <c r="E5185">
        <f ca="1">IF(A5185="","",COUNTIF(D$6:D5185,"True"))</f>
        <v>52</v>
      </c>
      <c r="F5185" t="str">
        <f t="shared" si="80"/>
        <v>688798.SH</v>
      </c>
    </row>
    <row r="5186" spans="1:6" x14ac:dyDescent="0.15">
      <c r="A5186" s="2">
        <v>46089</v>
      </c>
      <c r="B5186" s="1" t="s">
        <v>9754</v>
      </c>
      <c r="C5186" s="1" t="s">
        <v>9755</v>
      </c>
      <c r="D5186" t="b">
        <f ca="1">IF(A5186="","",[1]!s_techanal_rcnthigh(B5186,$B$2,1,3))</f>
        <v>0</v>
      </c>
      <c r="E5186">
        <f ca="1">IF(A5186="","",COUNTIF(D$6:D5186,"True"))</f>
        <v>52</v>
      </c>
      <c r="F5186" t="str">
        <f t="shared" si="80"/>
        <v>688799.SH</v>
      </c>
    </row>
    <row r="5187" spans="1:6" x14ac:dyDescent="0.15">
      <c r="A5187" s="2">
        <v>46089</v>
      </c>
      <c r="B5187" s="1" t="s">
        <v>9756</v>
      </c>
      <c r="C5187" s="1" t="s">
        <v>9757</v>
      </c>
      <c r="D5187" t="b">
        <f ca="1">IF(A5187="","",[1]!s_techanal_rcnthigh(B5187,$B$2,1,3))</f>
        <v>0</v>
      </c>
      <c r="E5187">
        <f ca="1">IF(A5187="","",COUNTIF(D$6:D5187,"True"))</f>
        <v>52</v>
      </c>
      <c r="F5187" t="str">
        <f t="shared" si="80"/>
        <v>688800.SH</v>
      </c>
    </row>
    <row r="5188" spans="1:6" x14ac:dyDescent="0.15">
      <c r="A5188" s="2">
        <v>46089</v>
      </c>
      <c r="B5188" s="1" t="s">
        <v>10643</v>
      </c>
      <c r="C5188" s="1" t="s">
        <v>10644</v>
      </c>
      <c r="D5188" t="b">
        <f ca="1">IF(A5188="","",[1]!s_techanal_rcnthigh(B5188,$B$2,1,3))</f>
        <v>0</v>
      </c>
      <c r="E5188">
        <f ca="1">IF(A5188="","",COUNTIF(D$6:D5188,"True"))</f>
        <v>52</v>
      </c>
      <c r="F5188" t="str">
        <f t="shared" si="80"/>
        <v>688802.SH</v>
      </c>
    </row>
    <row r="5189" spans="1:6" x14ac:dyDescent="0.15">
      <c r="A5189" s="2">
        <v>46089</v>
      </c>
      <c r="B5189" s="1" t="s">
        <v>10645</v>
      </c>
      <c r="C5189" s="1" t="s">
        <v>10646</v>
      </c>
      <c r="D5189" t="b">
        <f ca="1">IF(A5189="","",[1]!s_techanal_rcnthigh(B5189,$B$2,1,3))</f>
        <v>0</v>
      </c>
      <c r="E5189">
        <f ca="1">IF(A5189="","",COUNTIF(D$6:D5189,"True"))</f>
        <v>52</v>
      </c>
      <c r="F5189" t="str">
        <f t="shared" si="80"/>
        <v>688805.SH</v>
      </c>
    </row>
    <row r="5190" spans="1:6" x14ac:dyDescent="0.15">
      <c r="A5190" s="2">
        <v>46089</v>
      </c>
      <c r="B5190" s="1" t="s">
        <v>10647</v>
      </c>
      <c r="C5190" s="1" t="s">
        <v>10648</v>
      </c>
      <c r="D5190" t="b">
        <f ca="1">IF(A5190="","",[1]!s_techanal_rcnthigh(B5190,$B$2,1,3))</f>
        <v>0</v>
      </c>
      <c r="E5190">
        <f ca="1">IF(A5190="","",COUNTIF(D$6:D5190,"True"))</f>
        <v>52</v>
      </c>
      <c r="F5190" t="str">
        <f t="shared" ref="F5190:F5253" si="81">IF(B5190="","",B5190)</f>
        <v>688807.SH</v>
      </c>
    </row>
    <row r="5191" spans="1:6" x14ac:dyDescent="0.15">
      <c r="A5191" s="2">
        <v>46089</v>
      </c>
      <c r="B5191" s="1" t="s">
        <v>10649</v>
      </c>
      <c r="C5191" s="1" t="s">
        <v>10650</v>
      </c>
      <c r="D5191" t="b">
        <f ca="1">IF(A5191="","",[1]!s_techanal_rcnthigh(B5191,$B$2,1,3))</f>
        <v>0</v>
      </c>
      <c r="E5191">
        <f ca="1">IF(A5191="","",COUNTIF(D$6:D5191,"True"))</f>
        <v>52</v>
      </c>
      <c r="F5191" t="str">
        <f t="shared" si="81"/>
        <v>688809.SH</v>
      </c>
    </row>
    <row r="5192" spans="1:6" x14ac:dyDescent="0.15">
      <c r="A5192" s="2">
        <v>46089</v>
      </c>
      <c r="B5192" s="1" t="s">
        <v>10651</v>
      </c>
      <c r="C5192" s="1" t="s">
        <v>10652</v>
      </c>
      <c r="D5192" t="b">
        <f ca="1">IF(A5192="","",[1]!s_techanal_rcnthigh(B5192,$B$2,1,3))</f>
        <v>0</v>
      </c>
      <c r="E5192">
        <f ca="1">IF(A5192="","",COUNTIF(D$6:D5192,"True"))</f>
        <v>52</v>
      </c>
      <c r="F5192" t="str">
        <f t="shared" si="81"/>
        <v>688816.SH</v>
      </c>
    </row>
    <row r="5193" spans="1:6" x14ac:dyDescent="0.15">
      <c r="A5193" s="2">
        <v>46089</v>
      </c>
      <c r="B5193" s="1" t="s">
        <v>10653</v>
      </c>
      <c r="C5193" s="1" t="s">
        <v>10654</v>
      </c>
      <c r="D5193" t="b">
        <f ca="1">IF(A5193="","",[1]!s_techanal_rcnthigh(B5193,$B$2,1,3))</f>
        <v>0</v>
      </c>
      <c r="E5193">
        <f ca="1">IF(A5193="","",COUNTIF(D$6:D5193,"True"))</f>
        <v>52</v>
      </c>
      <c r="F5193" t="str">
        <f t="shared" si="81"/>
        <v>688818.SH</v>
      </c>
    </row>
    <row r="5194" spans="1:6" x14ac:dyDescent="0.15">
      <c r="A5194" s="2">
        <v>46089</v>
      </c>
      <c r="B5194" s="1" t="s">
        <v>9758</v>
      </c>
      <c r="C5194" s="1" t="s">
        <v>9759</v>
      </c>
      <c r="D5194" t="b">
        <f ca="1">IF(A5194="","",[1]!s_techanal_rcnthigh(B5194,$B$2,1,3))</f>
        <v>0</v>
      </c>
      <c r="E5194">
        <f ca="1">IF(A5194="","",COUNTIF(D$6:D5194,"True"))</f>
        <v>52</v>
      </c>
      <c r="F5194" t="str">
        <f t="shared" si="81"/>
        <v>688819.SH</v>
      </c>
    </row>
    <row r="5195" spans="1:6" x14ac:dyDescent="0.15">
      <c r="A5195" s="2">
        <v>46089</v>
      </c>
      <c r="B5195" s="1" t="s">
        <v>9760</v>
      </c>
      <c r="C5195" s="1" t="s">
        <v>9761</v>
      </c>
      <c r="D5195" t="b">
        <f ca="1">IF(A5195="","",[1]!s_techanal_rcnthigh(B5195,$B$2,1,3))</f>
        <v>0</v>
      </c>
      <c r="E5195">
        <f ca="1">IF(A5195="","",COUNTIF(D$6:D5195,"True"))</f>
        <v>52</v>
      </c>
      <c r="F5195" t="str">
        <f t="shared" si="81"/>
        <v>688981.SH</v>
      </c>
    </row>
    <row r="5196" spans="1:6" x14ac:dyDescent="0.15">
      <c r="A5196" s="2">
        <v>46089</v>
      </c>
      <c r="B5196" s="1" t="s">
        <v>9762</v>
      </c>
      <c r="C5196" s="1" t="s">
        <v>9763</v>
      </c>
      <c r="D5196" t="b">
        <f ca="1">IF(A5196="","",[1]!s_techanal_rcnthigh(B5196,$B$2,1,3))</f>
        <v>0</v>
      </c>
      <c r="E5196">
        <f ca="1">IF(A5196="","",COUNTIF(D$6:D5196,"True"))</f>
        <v>52</v>
      </c>
      <c r="F5196" t="str">
        <f t="shared" si="81"/>
        <v>689009.SH</v>
      </c>
    </row>
    <row r="5197" spans="1:6" x14ac:dyDescent="0.15">
      <c r="A5197" s="2">
        <v>46089</v>
      </c>
      <c r="B5197" s="1" t="s">
        <v>10655</v>
      </c>
      <c r="C5197" s="1" t="s">
        <v>9797</v>
      </c>
      <c r="D5197" t="b">
        <f ca="1">IF(A5197="","",[1]!s_techanal_rcnthigh(B5197,$B$2,1,3))</f>
        <v>0</v>
      </c>
      <c r="E5197">
        <f ca="1">IF(A5197="","",COUNTIF(D$6:D5197,"True"))</f>
        <v>52</v>
      </c>
      <c r="F5197" t="str">
        <f t="shared" si="81"/>
        <v>920000.BJ</v>
      </c>
    </row>
    <row r="5198" spans="1:6" x14ac:dyDescent="0.15">
      <c r="A5198" s="2">
        <v>46089</v>
      </c>
      <c r="B5198" s="1" t="s">
        <v>10656</v>
      </c>
      <c r="C5198" s="1" t="s">
        <v>9966</v>
      </c>
      <c r="D5198" t="b">
        <f ca="1">IF(A5198="","",[1]!s_techanal_rcnthigh(B5198,$B$2,1,3))</f>
        <v>0</v>
      </c>
      <c r="E5198">
        <f ca="1">IF(A5198="","",COUNTIF(D$6:D5198,"True"))</f>
        <v>52</v>
      </c>
      <c r="F5198" t="str">
        <f t="shared" si="81"/>
        <v>920001.BJ</v>
      </c>
    </row>
    <row r="5199" spans="1:6" x14ac:dyDescent="0.15">
      <c r="A5199" s="2">
        <v>46089</v>
      </c>
      <c r="B5199" s="1" t="s">
        <v>10657</v>
      </c>
      <c r="C5199" s="1" t="s">
        <v>10658</v>
      </c>
      <c r="D5199" t="b">
        <f ca="1">IF(A5199="","",[1]!s_techanal_rcnthigh(B5199,$B$2,1,3))</f>
        <v>0</v>
      </c>
      <c r="E5199">
        <f ca="1">IF(A5199="","",COUNTIF(D$6:D5199,"True"))</f>
        <v>52</v>
      </c>
      <c r="F5199" t="str">
        <f t="shared" si="81"/>
        <v>920002.BJ</v>
      </c>
    </row>
    <row r="5200" spans="1:6" x14ac:dyDescent="0.15">
      <c r="A5200" s="2">
        <v>46089</v>
      </c>
      <c r="B5200" s="1" t="s">
        <v>10659</v>
      </c>
      <c r="C5200" s="1" t="s">
        <v>10660</v>
      </c>
      <c r="D5200" t="b">
        <f ca="1">IF(A5200="","",[1]!s_techanal_rcnthigh(B5200,$B$2,1,3))</f>
        <v>0</v>
      </c>
      <c r="E5200">
        <f ca="1">IF(A5200="","",COUNTIF(D$6:D5200,"True"))</f>
        <v>52</v>
      </c>
      <c r="F5200" t="str">
        <f t="shared" si="81"/>
        <v>920003.BJ</v>
      </c>
    </row>
    <row r="5201" spans="1:6" x14ac:dyDescent="0.15">
      <c r="A5201" s="2">
        <v>46089</v>
      </c>
      <c r="B5201" s="1" t="s">
        <v>10661</v>
      </c>
      <c r="C5201" s="1" t="s">
        <v>10662</v>
      </c>
      <c r="D5201" t="b">
        <f ca="1">IF(A5201="","",[1]!s_techanal_rcnthigh(B5201,$B$2,1,3))</f>
        <v>0</v>
      </c>
      <c r="E5201">
        <f ca="1">IF(A5201="","",COUNTIF(D$6:D5201,"True"))</f>
        <v>52</v>
      </c>
      <c r="F5201" t="str">
        <f t="shared" si="81"/>
        <v>920005.BJ</v>
      </c>
    </row>
    <row r="5202" spans="1:6" x14ac:dyDescent="0.15">
      <c r="A5202" s="2">
        <v>46089</v>
      </c>
      <c r="B5202" s="1" t="s">
        <v>10663</v>
      </c>
      <c r="C5202" s="1" t="s">
        <v>9901</v>
      </c>
      <c r="D5202" t="b">
        <f ca="1">IF(A5202="","",[1]!s_techanal_rcnthigh(B5202,$B$2,1,3))</f>
        <v>0</v>
      </c>
      <c r="E5202">
        <f ca="1">IF(A5202="","",COUNTIF(D$6:D5202,"True"))</f>
        <v>52</v>
      </c>
      <c r="F5202" t="str">
        <f t="shared" si="81"/>
        <v>920006.BJ</v>
      </c>
    </row>
    <row r="5203" spans="1:6" x14ac:dyDescent="0.15">
      <c r="A5203" s="2">
        <v>46089</v>
      </c>
      <c r="B5203" s="1" t="s">
        <v>10664</v>
      </c>
      <c r="C5203" s="1" t="s">
        <v>10665</v>
      </c>
      <c r="D5203" t="b">
        <f ca="1">IF(A5203="","",[1]!s_techanal_rcnthigh(B5203,$B$2,1,3))</f>
        <v>0</v>
      </c>
      <c r="E5203">
        <f ca="1">IF(A5203="","",COUNTIF(D$6:D5203,"True"))</f>
        <v>52</v>
      </c>
      <c r="F5203" t="str">
        <f t="shared" si="81"/>
        <v>920007.BJ</v>
      </c>
    </row>
    <row r="5204" spans="1:6" x14ac:dyDescent="0.15">
      <c r="A5204" s="2">
        <v>46089</v>
      </c>
      <c r="B5204" s="1" t="s">
        <v>10666</v>
      </c>
      <c r="C5204" s="1" t="s">
        <v>10667</v>
      </c>
      <c r="D5204" t="b">
        <f ca="1">IF(A5204="","",[1]!s_techanal_rcnthigh(B5204,$B$2,1,3))</f>
        <v>0</v>
      </c>
      <c r="E5204">
        <f ca="1">IF(A5204="","",COUNTIF(D$6:D5204,"True"))</f>
        <v>52</v>
      </c>
      <c r="F5204" t="str">
        <f t="shared" si="81"/>
        <v>920008.BJ</v>
      </c>
    </row>
    <row r="5205" spans="1:6" x14ac:dyDescent="0.15">
      <c r="A5205" s="2">
        <v>46089</v>
      </c>
      <c r="B5205" s="1" t="s">
        <v>10668</v>
      </c>
      <c r="C5205" s="1" t="s">
        <v>10669</v>
      </c>
      <c r="D5205" t="b">
        <f ca="1">IF(A5205="","",[1]!s_techanal_rcnthigh(B5205,$B$2,1,3))</f>
        <v>0</v>
      </c>
      <c r="E5205">
        <f ca="1">IF(A5205="","",COUNTIF(D$6:D5205,"True"))</f>
        <v>52</v>
      </c>
      <c r="F5205" t="str">
        <f t="shared" si="81"/>
        <v>920009.BJ</v>
      </c>
    </row>
    <row r="5206" spans="1:6" x14ac:dyDescent="0.15">
      <c r="A5206" s="2">
        <v>46089</v>
      </c>
      <c r="B5206" s="1" t="s">
        <v>10670</v>
      </c>
      <c r="C5206" s="1" t="s">
        <v>9773</v>
      </c>
      <c r="D5206" t="b">
        <f ca="1">IF(A5206="","",[1]!s_techanal_rcnthigh(B5206,$B$2,1,3))</f>
        <v>0</v>
      </c>
      <c r="E5206">
        <f ca="1">IF(A5206="","",COUNTIF(D$6:D5206,"True"))</f>
        <v>52</v>
      </c>
      <c r="F5206" t="str">
        <f t="shared" si="81"/>
        <v>920010.BJ</v>
      </c>
    </row>
    <row r="5207" spans="1:6" x14ac:dyDescent="0.15">
      <c r="A5207" s="2">
        <v>46089</v>
      </c>
      <c r="B5207" s="1" t="s">
        <v>10671</v>
      </c>
      <c r="C5207" s="1" t="s">
        <v>9845</v>
      </c>
      <c r="D5207" t="b">
        <f ca="1">IF(A5207="","",[1]!s_techanal_rcnthigh(B5207,$B$2,1,3))</f>
        <v>1</v>
      </c>
      <c r="E5207">
        <f ca="1">IF(A5207="","",COUNTIF(D$6:D5207,"True"))</f>
        <v>53</v>
      </c>
      <c r="F5207" t="str">
        <f t="shared" si="81"/>
        <v>920014.BJ</v>
      </c>
    </row>
    <row r="5208" spans="1:6" x14ac:dyDescent="0.15">
      <c r="A5208" s="2">
        <v>46089</v>
      </c>
      <c r="B5208" s="1" t="s">
        <v>10672</v>
      </c>
      <c r="C5208" s="1" t="s">
        <v>10673</v>
      </c>
      <c r="D5208" t="b">
        <f ca="1">IF(A5208="","",[1]!s_techanal_rcnthigh(B5208,$B$2,1,3))</f>
        <v>0</v>
      </c>
      <c r="E5208">
        <f ca="1">IF(A5208="","",COUNTIF(D$6:D5208,"True"))</f>
        <v>53</v>
      </c>
      <c r="F5208" t="str">
        <f t="shared" si="81"/>
        <v>920015.BJ</v>
      </c>
    </row>
    <row r="5209" spans="1:6" x14ac:dyDescent="0.15">
      <c r="A5209" s="2">
        <v>46089</v>
      </c>
      <c r="B5209" s="1" t="s">
        <v>10674</v>
      </c>
      <c r="C5209" s="1" t="s">
        <v>10675</v>
      </c>
      <c r="D5209" t="b">
        <f ca="1">IF(A5209="","",[1]!s_techanal_rcnthigh(B5209,$B$2,1,3))</f>
        <v>0</v>
      </c>
      <c r="E5209">
        <f ca="1">IF(A5209="","",COUNTIF(D$6:D5209,"True"))</f>
        <v>53</v>
      </c>
      <c r="F5209" t="str">
        <f t="shared" si="81"/>
        <v>920016.BJ</v>
      </c>
    </row>
    <row r="5210" spans="1:6" x14ac:dyDescent="0.15">
      <c r="A5210" s="2">
        <v>46089</v>
      </c>
      <c r="B5210" s="1" t="s">
        <v>10676</v>
      </c>
      <c r="C5210" s="1" t="s">
        <v>5409</v>
      </c>
      <c r="D5210" t="b">
        <f ca="1">IF(A5210="","",[1]!s_techanal_rcnthigh(B5210,$B$2,1,3))</f>
        <v>0</v>
      </c>
      <c r="E5210">
        <f ca="1">IF(A5210="","",COUNTIF(D$6:D5210,"True"))</f>
        <v>53</v>
      </c>
      <c r="F5210" t="str">
        <f t="shared" si="81"/>
        <v>920017.BJ</v>
      </c>
    </row>
    <row r="5211" spans="1:6" x14ac:dyDescent="0.15">
      <c r="A5211" s="2">
        <v>46089</v>
      </c>
      <c r="B5211" s="1" t="s">
        <v>10677</v>
      </c>
      <c r="C5211" s="1" t="s">
        <v>10678</v>
      </c>
      <c r="D5211" t="b">
        <f ca="1">IF(A5211="","",[1]!s_techanal_rcnthigh(B5211,$B$2,1,3))</f>
        <v>0</v>
      </c>
      <c r="E5211">
        <f ca="1">IF(A5211="","",COUNTIF(D$6:D5211,"True"))</f>
        <v>53</v>
      </c>
      <c r="F5211" t="str">
        <f t="shared" si="81"/>
        <v>920018.BJ</v>
      </c>
    </row>
    <row r="5212" spans="1:6" x14ac:dyDescent="0.15">
      <c r="A5212" s="2">
        <v>46089</v>
      </c>
      <c r="B5212" s="1" t="s">
        <v>10679</v>
      </c>
      <c r="C5212" s="1" t="s">
        <v>10680</v>
      </c>
      <c r="D5212" t="b">
        <f ca="1">IF(A5212="","",[1]!s_techanal_rcnthigh(B5212,$B$2,1,3))</f>
        <v>0</v>
      </c>
      <c r="E5212">
        <f ca="1">IF(A5212="","",COUNTIF(D$6:D5212,"True"))</f>
        <v>53</v>
      </c>
      <c r="F5212" t="str">
        <f t="shared" si="81"/>
        <v>920019.BJ</v>
      </c>
    </row>
    <row r="5213" spans="1:6" x14ac:dyDescent="0.15">
      <c r="A5213" s="2">
        <v>46089</v>
      </c>
      <c r="B5213" s="1" t="s">
        <v>10681</v>
      </c>
      <c r="C5213" s="1" t="s">
        <v>10682</v>
      </c>
      <c r="D5213" t="b">
        <f ca="1">IF(A5213="","",[1]!s_techanal_rcnthigh(B5213,$B$2,1,3))</f>
        <v>0</v>
      </c>
      <c r="E5213">
        <f ca="1">IF(A5213="","",COUNTIF(D$6:D5213,"True"))</f>
        <v>53</v>
      </c>
      <c r="F5213" t="str">
        <f t="shared" si="81"/>
        <v>920020.BJ</v>
      </c>
    </row>
    <row r="5214" spans="1:6" x14ac:dyDescent="0.15">
      <c r="A5214" s="2">
        <v>46089</v>
      </c>
      <c r="B5214" s="1" t="s">
        <v>10683</v>
      </c>
      <c r="C5214" s="1" t="s">
        <v>9846</v>
      </c>
      <c r="D5214" t="b">
        <f ca="1">IF(A5214="","",[1]!s_techanal_rcnthigh(B5214,$B$2,1,3))</f>
        <v>0</v>
      </c>
      <c r="E5214">
        <f ca="1">IF(A5214="","",COUNTIF(D$6:D5214,"True"))</f>
        <v>53</v>
      </c>
      <c r="F5214" t="str">
        <f t="shared" si="81"/>
        <v>920021.BJ</v>
      </c>
    </row>
    <row r="5215" spans="1:6" x14ac:dyDescent="0.15">
      <c r="A5215" s="2">
        <v>46089</v>
      </c>
      <c r="B5215" s="1" t="s">
        <v>10684</v>
      </c>
      <c r="C5215" s="1" t="s">
        <v>10685</v>
      </c>
      <c r="D5215" t="b">
        <f ca="1">IF(A5215="","",[1]!s_techanal_rcnthigh(B5215,$B$2,1,3))</f>
        <v>0</v>
      </c>
      <c r="E5215">
        <f ca="1">IF(A5215="","",COUNTIF(D$6:D5215,"True"))</f>
        <v>53</v>
      </c>
      <c r="F5215" t="str">
        <f t="shared" si="81"/>
        <v>920022.BJ</v>
      </c>
    </row>
    <row r="5216" spans="1:6" x14ac:dyDescent="0.15">
      <c r="A5216" s="2">
        <v>46089</v>
      </c>
      <c r="B5216" s="1" t="s">
        <v>10686</v>
      </c>
      <c r="C5216" s="1" t="s">
        <v>9798</v>
      </c>
      <c r="D5216" t="b">
        <f ca="1">IF(A5216="","",[1]!s_techanal_rcnthigh(B5216,$B$2,1,3))</f>
        <v>0</v>
      </c>
      <c r="E5216">
        <f ca="1">IF(A5216="","",COUNTIF(D$6:D5216,"True"))</f>
        <v>53</v>
      </c>
      <c r="F5216" t="str">
        <f t="shared" si="81"/>
        <v>920023.BJ</v>
      </c>
    </row>
    <row r="5217" spans="1:6" x14ac:dyDescent="0.15">
      <c r="A5217" s="2">
        <v>46089</v>
      </c>
      <c r="B5217" s="1" t="s">
        <v>10687</v>
      </c>
      <c r="C5217" s="1" t="s">
        <v>9985</v>
      </c>
      <c r="D5217" t="b">
        <f ca="1">IF(A5217="","",[1]!s_techanal_rcnthigh(B5217,$B$2,1,3))</f>
        <v>0</v>
      </c>
      <c r="E5217">
        <f ca="1">IF(A5217="","",COUNTIF(D$6:D5217,"True"))</f>
        <v>53</v>
      </c>
      <c r="F5217" t="str">
        <f t="shared" si="81"/>
        <v>920026.BJ</v>
      </c>
    </row>
    <row r="5218" spans="1:6" x14ac:dyDescent="0.15">
      <c r="A5218" s="2">
        <v>46089</v>
      </c>
      <c r="B5218" s="1" t="s">
        <v>10688</v>
      </c>
      <c r="C5218" s="1" t="s">
        <v>10689</v>
      </c>
      <c r="D5218" t="b">
        <f ca="1">IF(A5218="","",[1]!s_techanal_rcnthigh(B5218,$B$2,1,3))</f>
        <v>0</v>
      </c>
      <c r="E5218">
        <f ca="1">IF(A5218="","",COUNTIF(D$6:D5218,"True"))</f>
        <v>53</v>
      </c>
      <c r="F5218" t="str">
        <f t="shared" si="81"/>
        <v>920027.BJ</v>
      </c>
    </row>
    <row r="5219" spans="1:6" x14ac:dyDescent="0.15">
      <c r="A5219" s="2">
        <v>46089</v>
      </c>
      <c r="B5219" s="1" t="s">
        <v>10690</v>
      </c>
      <c r="C5219" s="1" t="s">
        <v>10691</v>
      </c>
      <c r="D5219" t="b">
        <f ca="1">IF(A5219="","",[1]!s_techanal_rcnthigh(B5219,$B$2,1,3))</f>
        <v>0</v>
      </c>
      <c r="E5219">
        <f ca="1">IF(A5219="","",COUNTIF(D$6:D5219,"True"))</f>
        <v>53</v>
      </c>
      <c r="F5219" t="str">
        <f t="shared" si="81"/>
        <v>920029.BJ</v>
      </c>
    </row>
    <row r="5220" spans="1:6" x14ac:dyDescent="0.15">
      <c r="A5220" s="2">
        <v>46089</v>
      </c>
      <c r="B5220" s="1" t="s">
        <v>10692</v>
      </c>
      <c r="C5220" s="1" t="s">
        <v>9913</v>
      </c>
      <c r="D5220" t="b">
        <f ca="1">IF(A5220="","",[1]!s_techanal_rcnthigh(B5220,$B$2,1,3))</f>
        <v>0</v>
      </c>
      <c r="E5220">
        <f ca="1">IF(A5220="","",COUNTIF(D$6:D5220,"True"))</f>
        <v>53</v>
      </c>
      <c r="F5220" t="str">
        <f t="shared" si="81"/>
        <v>920030.BJ</v>
      </c>
    </row>
    <row r="5221" spans="1:6" x14ac:dyDescent="0.15">
      <c r="A5221" s="2">
        <v>46089</v>
      </c>
      <c r="B5221" s="1" t="s">
        <v>10693</v>
      </c>
      <c r="C5221" s="1" t="s">
        <v>9847</v>
      </c>
      <c r="D5221" t="b">
        <f ca="1">IF(A5221="","",[1]!s_techanal_rcnthigh(B5221,$B$2,1,3))</f>
        <v>0</v>
      </c>
      <c r="E5221">
        <f ca="1">IF(A5221="","",COUNTIF(D$6:D5221,"True"))</f>
        <v>53</v>
      </c>
      <c r="F5221" t="str">
        <f t="shared" si="81"/>
        <v>920033.BJ</v>
      </c>
    </row>
    <row r="5222" spans="1:6" x14ac:dyDescent="0.15">
      <c r="A5222" s="2">
        <v>46089</v>
      </c>
      <c r="B5222" s="1" t="s">
        <v>10694</v>
      </c>
      <c r="C5222" s="1" t="s">
        <v>10695</v>
      </c>
      <c r="D5222" t="b">
        <f ca="1">IF(A5222="","",[1]!s_techanal_rcnthigh(B5222,$B$2,1,3))</f>
        <v>0</v>
      </c>
      <c r="E5222">
        <f ca="1">IF(A5222="","",COUNTIF(D$6:D5222,"True"))</f>
        <v>53</v>
      </c>
      <c r="F5222" t="str">
        <f t="shared" si="81"/>
        <v>920035.BJ</v>
      </c>
    </row>
    <row r="5223" spans="1:6" x14ac:dyDescent="0.15">
      <c r="A5223" s="2">
        <v>46089</v>
      </c>
      <c r="B5223" s="1" t="s">
        <v>10696</v>
      </c>
      <c r="C5223" s="1" t="s">
        <v>10697</v>
      </c>
      <c r="D5223" t="b">
        <f ca="1">IF(A5223="","",[1]!s_techanal_rcnthigh(B5223,$B$2,1,3))</f>
        <v>0</v>
      </c>
      <c r="E5223">
        <f ca="1">IF(A5223="","",COUNTIF(D$6:D5223,"True"))</f>
        <v>53</v>
      </c>
      <c r="F5223" t="str">
        <f t="shared" si="81"/>
        <v>920037.BJ</v>
      </c>
    </row>
    <row r="5224" spans="1:6" x14ac:dyDescent="0.15">
      <c r="A5224" s="2">
        <v>46089</v>
      </c>
      <c r="B5224" s="1" t="s">
        <v>10698</v>
      </c>
      <c r="C5224" s="1" t="s">
        <v>9774</v>
      </c>
      <c r="D5224" t="b">
        <f ca="1">IF(A5224="","",[1]!s_techanal_rcnthigh(B5224,$B$2,1,3))</f>
        <v>0</v>
      </c>
      <c r="E5224">
        <f ca="1">IF(A5224="","",COUNTIF(D$6:D5224,"True"))</f>
        <v>53</v>
      </c>
      <c r="F5224" t="str">
        <f t="shared" si="81"/>
        <v>920039.BJ</v>
      </c>
    </row>
    <row r="5225" spans="1:6" x14ac:dyDescent="0.15">
      <c r="A5225" s="2">
        <v>46089</v>
      </c>
      <c r="B5225" s="1" t="s">
        <v>10699</v>
      </c>
      <c r="C5225" s="1" t="s">
        <v>10700</v>
      </c>
      <c r="D5225" t="b">
        <f ca="1">IF(A5225="","",[1]!s_techanal_rcnthigh(B5225,$B$2,1,3))</f>
        <v>0</v>
      </c>
      <c r="E5225">
        <f ca="1">IF(A5225="","",COUNTIF(D$6:D5225,"True"))</f>
        <v>53</v>
      </c>
      <c r="F5225" t="str">
        <f t="shared" si="81"/>
        <v>920045.BJ</v>
      </c>
    </row>
    <row r="5226" spans="1:6" x14ac:dyDescent="0.15">
      <c r="A5226" s="2">
        <v>46089</v>
      </c>
      <c r="B5226" s="1" t="s">
        <v>10701</v>
      </c>
      <c r="C5226" s="1" t="s">
        <v>9902</v>
      </c>
      <c r="D5226" t="b">
        <f ca="1">IF(A5226="","",[1]!s_techanal_rcnthigh(B5226,$B$2,1,3))</f>
        <v>1</v>
      </c>
      <c r="E5226">
        <f ca="1">IF(A5226="","",COUNTIF(D$6:D5226,"True"))</f>
        <v>54</v>
      </c>
      <c r="F5226" t="str">
        <f t="shared" si="81"/>
        <v>920046.BJ</v>
      </c>
    </row>
    <row r="5227" spans="1:6" x14ac:dyDescent="0.15">
      <c r="A5227" s="2">
        <v>46089</v>
      </c>
      <c r="B5227" s="1" t="s">
        <v>10702</v>
      </c>
      <c r="C5227" s="1" t="s">
        <v>5410</v>
      </c>
      <c r="D5227" t="b">
        <f ca="1">IF(A5227="","",[1]!s_techanal_rcnthigh(B5227,$B$2,1,3))</f>
        <v>0</v>
      </c>
      <c r="E5227">
        <f ca="1">IF(A5227="","",COUNTIF(D$6:D5227,"True"))</f>
        <v>54</v>
      </c>
      <c r="F5227" t="str">
        <f t="shared" si="81"/>
        <v>920047.BJ</v>
      </c>
    </row>
    <row r="5228" spans="1:6" x14ac:dyDescent="0.15">
      <c r="A5228" s="2">
        <v>46089</v>
      </c>
      <c r="B5228" s="1" t="s">
        <v>10703</v>
      </c>
      <c r="C5228" s="1" t="s">
        <v>10704</v>
      </c>
      <c r="D5228" t="b">
        <f ca="1">IF(A5228="","",[1]!s_techanal_rcnthigh(B5228,$B$2,1,3))</f>
        <v>0</v>
      </c>
      <c r="E5228">
        <f ca="1">IF(A5228="","",COUNTIF(D$6:D5228,"True"))</f>
        <v>54</v>
      </c>
      <c r="F5228" t="str">
        <f t="shared" si="81"/>
        <v>920050.BJ</v>
      </c>
    </row>
    <row r="5229" spans="1:6" x14ac:dyDescent="0.15">
      <c r="A5229" s="2">
        <v>46089</v>
      </c>
      <c r="B5229" s="1" t="s">
        <v>10705</v>
      </c>
      <c r="C5229" s="1" t="s">
        <v>10706</v>
      </c>
      <c r="D5229" t="b">
        <f ca="1">IF(A5229="","",[1]!s_techanal_rcnthigh(B5229,$B$2,1,3))</f>
        <v>0</v>
      </c>
      <c r="E5229">
        <f ca="1">IF(A5229="","",COUNTIF(D$6:D5229,"True"))</f>
        <v>54</v>
      </c>
      <c r="F5229" t="str">
        <f t="shared" si="81"/>
        <v>920056.BJ</v>
      </c>
    </row>
    <row r="5230" spans="1:6" x14ac:dyDescent="0.15">
      <c r="A5230" s="2">
        <v>46089</v>
      </c>
      <c r="B5230" s="1" t="s">
        <v>10707</v>
      </c>
      <c r="C5230" s="1" t="s">
        <v>9871</v>
      </c>
      <c r="D5230" t="b">
        <f ca="1">IF(A5230="","",[1]!s_techanal_rcnthigh(B5230,$B$2,1,3))</f>
        <v>0</v>
      </c>
      <c r="E5230">
        <f ca="1">IF(A5230="","",COUNTIF(D$6:D5230,"True"))</f>
        <v>54</v>
      </c>
      <c r="F5230" t="str">
        <f t="shared" si="81"/>
        <v>920057.BJ</v>
      </c>
    </row>
    <row r="5231" spans="1:6" x14ac:dyDescent="0.15">
      <c r="A5231" s="2">
        <v>46089</v>
      </c>
      <c r="B5231" s="1" t="s">
        <v>10708</v>
      </c>
      <c r="C5231" s="1" t="s">
        <v>9848</v>
      </c>
      <c r="D5231" t="b">
        <f ca="1">IF(A5231="","",[1]!s_techanal_rcnthigh(B5231,$B$2,1,3))</f>
        <v>0</v>
      </c>
      <c r="E5231">
        <f ca="1">IF(A5231="","",COUNTIF(D$6:D5231,"True"))</f>
        <v>54</v>
      </c>
      <c r="F5231" t="str">
        <f t="shared" si="81"/>
        <v>920058.BJ</v>
      </c>
    </row>
    <row r="5232" spans="1:6" x14ac:dyDescent="0.15">
      <c r="A5232" s="2">
        <v>46089</v>
      </c>
      <c r="B5232" s="1" t="s">
        <v>10709</v>
      </c>
      <c r="C5232" s="1" t="s">
        <v>10710</v>
      </c>
      <c r="D5232" t="b">
        <f ca="1">IF(A5232="","",[1]!s_techanal_rcnthigh(B5232,$B$2,1,3))</f>
        <v>0</v>
      </c>
      <c r="E5232">
        <f ca="1">IF(A5232="","",COUNTIF(D$6:D5232,"True"))</f>
        <v>54</v>
      </c>
      <c r="F5232" t="str">
        <f t="shared" si="81"/>
        <v>920060.BJ</v>
      </c>
    </row>
    <row r="5233" spans="1:6" x14ac:dyDescent="0.15">
      <c r="A5233" s="2">
        <v>46089</v>
      </c>
      <c r="B5233" s="1" t="s">
        <v>10711</v>
      </c>
      <c r="C5233" s="1" t="s">
        <v>9900</v>
      </c>
      <c r="D5233" t="b">
        <f ca="1">IF(A5233="","",[1]!s_techanal_rcnthigh(B5233,$B$2,1,3))</f>
        <v>0</v>
      </c>
      <c r="E5233">
        <f ca="1">IF(A5233="","",COUNTIF(D$6:D5233,"True"))</f>
        <v>54</v>
      </c>
      <c r="F5233" t="str">
        <f t="shared" si="81"/>
        <v>920061.BJ</v>
      </c>
    </row>
    <row r="5234" spans="1:6" x14ac:dyDescent="0.15">
      <c r="A5234" s="2">
        <v>46089</v>
      </c>
      <c r="B5234" s="1" t="s">
        <v>10712</v>
      </c>
      <c r="C5234" s="1" t="s">
        <v>9849</v>
      </c>
      <c r="D5234" t="b">
        <f ca="1">IF(A5234="","",[1]!s_techanal_rcnthigh(B5234,$B$2,1,3))</f>
        <v>0</v>
      </c>
      <c r="E5234">
        <f ca="1">IF(A5234="","",COUNTIF(D$6:D5234,"True"))</f>
        <v>54</v>
      </c>
      <c r="F5234" t="str">
        <f t="shared" si="81"/>
        <v>920062.BJ</v>
      </c>
    </row>
    <row r="5235" spans="1:6" x14ac:dyDescent="0.15">
      <c r="A5235" s="2">
        <v>46089</v>
      </c>
      <c r="B5235" s="1" t="s">
        <v>10713</v>
      </c>
      <c r="C5235" s="1" t="s">
        <v>10714</v>
      </c>
      <c r="D5235" t="b">
        <f ca="1">IF(A5235="","",[1]!s_techanal_rcnthigh(B5235,$B$2,1,3))</f>
        <v>0</v>
      </c>
      <c r="E5235">
        <f ca="1">IF(A5235="","",COUNTIF(D$6:D5235,"True"))</f>
        <v>54</v>
      </c>
      <c r="F5235" t="str">
        <f t="shared" si="81"/>
        <v>920066.BJ</v>
      </c>
    </row>
    <row r="5236" spans="1:6" x14ac:dyDescent="0.15">
      <c r="A5236" s="2">
        <v>46089</v>
      </c>
      <c r="B5236" s="1" t="s">
        <v>10715</v>
      </c>
      <c r="C5236" s="1" t="s">
        <v>10716</v>
      </c>
      <c r="D5236" t="b">
        <f ca="1">IF(A5236="","",[1]!s_techanal_rcnthigh(B5236,$B$2,1,3))</f>
        <v>0</v>
      </c>
      <c r="E5236">
        <f ca="1">IF(A5236="","",COUNTIF(D$6:D5236,"True"))</f>
        <v>54</v>
      </c>
      <c r="F5236" t="str">
        <f t="shared" si="81"/>
        <v>920068.BJ</v>
      </c>
    </row>
    <row r="5237" spans="1:6" x14ac:dyDescent="0.15">
      <c r="A5237" s="2">
        <v>46089</v>
      </c>
      <c r="B5237" s="1" t="s">
        <v>10717</v>
      </c>
      <c r="C5237" s="1" t="s">
        <v>9823</v>
      </c>
      <c r="D5237" t="b">
        <f ca="1">IF(A5237="","",[1]!s_techanal_rcnthigh(B5237,$B$2,1,3))</f>
        <v>0</v>
      </c>
      <c r="E5237">
        <f ca="1">IF(A5237="","",COUNTIF(D$6:D5237,"True"))</f>
        <v>54</v>
      </c>
      <c r="F5237" t="str">
        <f t="shared" si="81"/>
        <v>920075.BJ</v>
      </c>
    </row>
    <row r="5238" spans="1:6" x14ac:dyDescent="0.15">
      <c r="A5238" s="2">
        <v>46089</v>
      </c>
      <c r="B5238" s="1" t="s">
        <v>10718</v>
      </c>
      <c r="C5238" s="1" t="s">
        <v>10719</v>
      </c>
      <c r="D5238" t="b">
        <f ca="1">IF(A5238="","",[1]!s_techanal_rcnthigh(B5238,$B$2,1,3))</f>
        <v>0</v>
      </c>
      <c r="E5238">
        <f ca="1">IF(A5238="","",COUNTIF(D$6:D5238,"True"))</f>
        <v>54</v>
      </c>
      <c r="F5238" t="str">
        <f t="shared" si="81"/>
        <v>920076.BJ</v>
      </c>
    </row>
    <row r="5239" spans="1:6" x14ac:dyDescent="0.15">
      <c r="A5239" s="2">
        <v>46089</v>
      </c>
      <c r="B5239" s="1" t="s">
        <v>10720</v>
      </c>
      <c r="C5239" s="1" t="s">
        <v>9874</v>
      </c>
      <c r="D5239" t="b">
        <f ca="1">IF(A5239="","",[1]!s_techanal_rcnthigh(B5239,$B$2,1,3))</f>
        <v>0</v>
      </c>
      <c r="E5239">
        <f ca="1">IF(A5239="","",COUNTIF(D$6:D5239,"True"))</f>
        <v>54</v>
      </c>
      <c r="F5239" t="str">
        <f t="shared" si="81"/>
        <v>920077.BJ</v>
      </c>
    </row>
    <row r="5240" spans="1:6" x14ac:dyDescent="0.15">
      <c r="A5240" s="2">
        <v>46089</v>
      </c>
      <c r="B5240" s="1" t="s">
        <v>10721</v>
      </c>
      <c r="C5240" s="1" t="s">
        <v>10722</v>
      </c>
      <c r="D5240" t="b">
        <f ca="1">IF(A5240="","",[1]!s_techanal_rcnthigh(B5240,$B$2,1,3))</f>
        <v>0</v>
      </c>
      <c r="E5240">
        <f ca="1">IF(A5240="","",COUNTIF(D$6:D5240,"True"))</f>
        <v>54</v>
      </c>
      <c r="F5240" t="str">
        <f t="shared" si="81"/>
        <v>920080.BJ</v>
      </c>
    </row>
    <row r="5241" spans="1:6" x14ac:dyDescent="0.15">
      <c r="A5241" s="2">
        <v>46089</v>
      </c>
      <c r="B5241" s="1" t="s">
        <v>10723</v>
      </c>
      <c r="C5241" s="1" t="s">
        <v>10724</v>
      </c>
      <c r="D5241" t="b">
        <f ca="1">IF(A5241="","",[1]!s_techanal_rcnthigh(B5241,$B$2,1,3))</f>
        <v>0</v>
      </c>
      <c r="E5241">
        <f ca="1">IF(A5241="","",COUNTIF(D$6:D5241,"True"))</f>
        <v>54</v>
      </c>
      <c r="F5241" t="str">
        <f t="shared" si="81"/>
        <v>920082.BJ</v>
      </c>
    </row>
    <row r="5242" spans="1:6" x14ac:dyDescent="0.15">
      <c r="A5242" s="2">
        <v>46089</v>
      </c>
      <c r="B5242" s="1" t="s">
        <v>10725</v>
      </c>
      <c r="C5242" s="1" t="s">
        <v>10726</v>
      </c>
      <c r="D5242" t="b">
        <f ca="1">IF(A5242="","",[1]!s_techanal_rcnthigh(B5242,$B$2,1,3))</f>
        <v>0</v>
      </c>
      <c r="E5242">
        <f ca="1">IF(A5242="","",COUNTIF(D$6:D5242,"True"))</f>
        <v>54</v>
      </c>
      <c r="F5242" t="str">
        <f t="shared" si="81"/>
        <v>920086.BJ</v>
      </c>
    </row>
    <row r="5243" spans="1:6" x14ac:dyDescent="0.15">
      <c r="A5243" s="2">
        <v>46089</v>
      </c>
      <c r="B5243" s="1" t="s">
        <v>10727</v>
      </c>
      <c r="C5243" s="1" t="s">
        <v>9775</v>
      </c>
      <c r="D5243" t="b">
        <f ca="1">IF(A5243="","",[1]!s_techanal_rcnthigh(B5243,$B$2,1,3))</f>
        <v>0</v>
      </c>
      <c r="E5243">
        <f ca="1">IF(A5243="","",COUNTIF(D$6:D5243,"True"))</f>
        <v>54</v>
      </c>
      <c r="F5243" t="str">
        <f t="shared" si="81"/>
        <v>920087.BJ</v>
      </c>
    </row>
    <row r="5244" spans="1:6" x14ac:dyDescent="0.15">
      <c r="A5244" s="2">
        <v>46089</v>
      </c>
      <c r="B5244" s="1" t="s">
        <v>10728</v>
      </c>
      <c r="C5244" s="1" t="s">
        <v>10729</v>
      </c>
      <c r="D5244" t="b">
        <f ca="1">IF(A5244="","",[1]!s_techanal_rcnthigh(B5244,$B$2,1,3))</f>
        <v>0</v>
      </c>
      <c r="E5244">
        <f ca="1">IF(A5244="","",COUNTIF(D$6:D5244,"True"))</f>
        <v>54</v>
      </c>
      <c r="F5244" t="str">
        <f t="shared" si="81"/>
        <v>920088.BJ</v>
      </c>
    </row>
    <row r="5245" spans="1:6" x14ac:dyDescent="0.15">
      <c r="A5245" s="2">
        <v>46089</v>
      </c>
      <c r="B5245" s="1" t="s">
        <v>10730</v>
      </c>
      <c r="C5245" s="1" t="s">
        <v>9799</v>
      </c>
      <c r="D5245" t="b">
        <f ca="1">IF(A5245="","",[1]!s_techanal_rcnthigh(B5245,$B$2,1,3))</f>
        <v>0</v>
      </c>
      <c r="E5245">
        <f ca="1">IF(A5245="","",COUNTIF(D$6:D5245,"True"))</f>
        <v>54</v>
      </c>
      <c r="F5245" t="str">
        <f t="shared" si="81"/>
        <v>920089.BJ</v>
      </c>
    </row>
    <row r="5246" spans="1:6" x14ac:dyDescent="0.15">
      <c r="A5246" s="2">
        <v>46089</v>
      </c>
      <c r="B5246" s="1" t="s">
        <v>10731</v>
      </c>
      <c r="C5246" s="1" t="s">
        <v>5411</v>
      </c>
      <c r="D5246" t="b">
        <f ca="1">IF(A5246="","",[1]!s_techanal_rcnthigh(B5246,$B$2,1,3))</f>
        <v>0</v>
      </c>
      <c r="E5246">
        <f ca="1">IF(A5246="","",COUNTIF(D$6:D5246,"True"))</f>
        <v>54</v>
      </c>
      <c r="F5246" t="str">
        <f t="shared" si="81"/>
        <v>920090.BJ</v>
      </c>
    </row>
    <row r="5247" spans="1:6" x14ac:dyDescent="0.15">
      <c r="A5247" s="2">
        <v>46089</v>
      </c>
      <c r="B5247" s="1" t="s">
        <v>10732</v>
      </c>
      <c r="C5247" s="1" t="s">
        <v>10733</v>
      </c>
      <c r="D5247" t="b">
        <f ca="1">IF(A5247="","",[1]!s_techanal_rcnthigh(B5247,$B$2,1,3))</f>
        <v>0</v>
      </c>
      <c r="E5247">
        <f ca="1">IF(A5247="","",COUNTIF(D$6:D5247,"True"))</f>
        <v>54</v>
      </c>
      <c r="F5247" t="str">
        <f t="shared" si="81"/>
        <v>920091.BJ</v>
      </c>
    </row>
    <row r="5248" spans="1:6" x14ac:dyDescent="0.15">
      <c r="A5248" s="2">
        <v>46089</v>
      </c>
      <c r="B5248" s="1" t="s">
        <v>10734</v>
      </c>
      <c r="C5248" s="1" t="s">
        <v>9903</v>
      </c>
      <c r="D5248" t="b">
        <f ca="1">IF(A5248="","",[1]!s_techanal_rcnthigh(B5248,$B$2,1,3))</f>
        <v>0</v>
      </c>
      <c r="E5248">
        <f ca="1">IF(A5248="","",COUNTIF(D$6:D5248,"True"))</f>
        <v>54</v>
      </c>
      <c r="F5248" t="str">
        <f t="shared" si="81"/>
        <v>920092.BJ</v>
      </c>
    </row>
    <row r="5249" spans="1:6" x14ac:dyDescent="0.15">
      <c r="A5249" s="2">
        <v>46089</v>
      </c>
      <c r="B5249" s="1" t="s">
        <v>10735</v>
      </c>
      <c r="C5249" s="1" t="s">
        <v>10736</v>
      </c>
      <c r="D5249" t="b">
        <f ca="1">IF(A5249="","",[1]!s_techanal_rcnthigh(B5249,$B$2,1,3))</f>
        <v>0</v>
      </c>
      <c r="E5249">
        <f ca="1">IF(A5249="","",COUNTIF(D$6:D5249,"True"))</f>
        <v>54</v>
      </c>
      <c r="F5249" t="str">
        <f t="shared" si="81"/>
        <v>920098.BJ</v>
      </c>
    </row>
    <row r="5250" spans="1:6" x14ac:dyDescent="0.15">
      <c r="A5250" s="2">
        <v>46089</v>
      </c>
      <c r="B5250" s="1" t="s">
        <v>10737</v>
      </c>
      <c r="C5250" s="1" t="s">
        <v>10738</v>
      </c>
      <c r="D5250" t="b">
        <f ca="1">IF(A5250="","",[1]!s_techanal_rcnthigh(B5250,$B$2,1,3))</f>
        <v>0</v>
      </c>
      <c r="E5250">
        <f ca="1">IF(A5250="","",COUNTIF(D$6:D5250,"True"))</f>
        <v>54</v>
      </c>
      <c r="F5250" t="str">
        <f t="shared" si="81"/>
        <v>920099.BJ</v>
      </c>
    </row>
    <row r="5251" spans="1:6" x14ac:dyDescent="0.15">
      <c r="A5251" s="2">
        <v>46089</v>
      </c>
      <c r="B5251" s="1" t="s">
        <v>10739</v>
      </c>
      <c r="C5251" s="1" t="s">
        <v>10740</v>
      </c>
      <c r="D5251" t="b">
        <f ca="1">IF(A5251="","",[1]!s_techanal_rcnthigh(B5251,$B$2,1,3))</f>
        <v>0</v>
      </c>
      <c r="E5251">
        <f ca="1">IF(A5251="","",COUNTIF(D$6:D5251,"True"))</f>
        <v>54</v>
      </c>
      <c r="F5251" t="str">
        <f t="shared" si="81"/>
        <v>920100.BJ</v>
      </c>
    </row>
    <row r="5252" spans="1:6" x14ac:dyDescent="0.15">
      <c r="A5252" s="2">
        <v>46089</v>
      </c>
      <c r="B5252" s="1" t="s">
        <v>10741</v>
      </c>
      <c r="C5252" s="1" t="s">
        <v>10742</v>
      </c>
      <c r="D5252" t="b">
        <f ca="1">IF(A5252="","",[1]!s_techanal_rcnthigh(B5252,$B$2,1,3))</f>
        <v>0</v>
      </c>
      <c r="E5252">
        <f ca="1">IF(A5252="","",COUNTIF(D$6:D5252,"True"))</f>
        <v>54</v>
      </c>
      <c r="F5252" t="str">
        <f t="shared" si="81"/>
        <v>920101.BJ</v>
      </c>
    </row>
    <row r="5253" spans="1:6" x14ac:dyDescent="0.15">
      <c r="A5253" s="2">
        <v>46089</v>
      </c>
      <c r="B5253" s="1" t="s">
        <v>10743</v>
      </c>
      <c r="C5253" s="1" t="s">
        <v>10744</v>
      </c>
      <c r="D5253" t="b">
        <f ca="1">IF(A5253="","",[1]!s_techanal_rcnthigh(B5253,$B$2,1,3))</f>
        <v>0</v>
      </c>
      <c r="E5253">
        <f ca="1">IF(A5253="","",COUNTIF(D$6:D5253,"True"))</f>
        <v>54</v>
      </c>
      <c r="F5253" t="str">
        <f t="shared" si="81"/>
        <v>920106.BJ</v>
      </c>
    </row>
    <row r="5254" spans="1:6" x14ac:dyDescent="0.15">
      <c r="A5254" s="2">
        <v>46089</v>
      </c>
      <c r="B5254" s="1" t="s">
        <v>10745</v>
      </c>
      <c r="C5254" s="1" t="s">
        <v>10746</v>
      </c>
      <c r="D5254" t="b">
        <f ca="1">IF(A5254="","",[1]!s_techanal_rcnthigh(B5254,$B$2,1,3))</f>
        <v>0</v>
      </c>
      <c r="E5254">
        <f ca="1">IF(A5254="","",COUNTIF(D$6:D5254,"True"))</f>
        <v>54</v>
      </c>
      <c r="F5254" t="str">
        <f t="shared" ref="F5254:F5317" si="82">IF(B5254="","",B5254)</f>
        <v>920108.BJ</v>
      </c>
    </row>
    <row r="5255" spans="1:6" x14ac:dyDescent="0.15">
      <c r="A5255" s="2">
        <v>46089</v>
      </c>
      <c r="B5255" s="1" t="s">
        <v>10747</v>
      </c>
      <c r="C5255" s="1" t="s">
        <v>9800</v>
      </c>
      <c r="D5255" t="b">
        <f ca="1">IF(A5255="","",[1]!s_techanal_rcnthigh(B5255,$B$2,1,3))</f>
        <v>0</v>
      </c>
      <c r="E5255">
        <f ca="1">IF(A5255="","",COUNTIF(D$6:D5255,"True"))</f>
        <v>54</v>
      </c>
      <c r="F5255" t="str">
        <f t="shared" si="82"/>
        <v>920110.BJ</v>
      </c>
    </row>
    <row r="5256" spans="1:6" x14ac:dyDescent="0.15">
      <c r="A5256" s="2">
        <v>46089</v>
      </c>
      <c r="B5256" s="1" t="s">
        <v>10748</v>
      </c>
      <c r="C5256" s="1" t="s">
        <v>10749</v>
      </c>
      <c r="D5256" t="b">
        <f ca="1">IF(A5256="","",[1]!s_techanal_rcnthigh(B5256,$B$2,1,3))</f>
        <v>0</v>
      </c>
      <c r="E5256">
        <f ca="1">IF(A5256="","",COUNTIF(D$6:D5256,"True"))</f>
        <v>54</v>
      </c>
      <c r="F5256" t="str">
        <f t="shared" si="82"/>
        <v>920111.BJ</v>
      </c>
    </row>
    <row r="5257" spans="1:6" x14ac:dyDescent="0.15">
      <c r="A5257" s="2">
        <v>46089</v>
      </c>
      <c r="B5257" s="1" t="s">
        <v>10750</v>
      </c>
      <c r="C5257" s="1" t="s">
        <v>10751</v>
      </c>
      <c r="D5257" t="b">
        <f ca="1">IF(A5257="","",[1]!s_techanal_rcnthigh(B5257,$B$2,1,3))</f>
        <v>0</v>
      </c>
      <c r="E5257">
        <f ca="1">IF(A5257="","",COUNTIF(D$6:D5257,"True"))</f>
        <v>54</v>
      </c>
      <c r="F5257" t="str">
        <f t="shared" si="82"/>
        <v>920112.BJ</v>
      </c>
    </row>
    <row r="5258" spans="1:6" x14ac:dyDescent="0.15">
      <c r="A5258" s="2">
        <v>46089</v>
      </c>
      <c r="B5258" s="1" t="s">
        <v>10752</v>
      </c>
      <c r="C5258" s="1" t="s">
        <v>10753</v>
      </c>
      <c r="D5258" t="b">
        <f ca="1">IF(A5258="","",[1]!s_techanal_rcnthigh(B5258,$B$2,1,3))</f>
        <v>0</v>
      </c>
      <c r="E5258">
        <f ca="1">IF(A5258="","",COUNTIF(D$6:D5258,"True"))</f>
        <v>54</v>
      </c>
      <c r="F5258" t="str">
        <f t="shared" si="82"/>
        <v>920116.BJ</v>
      </c>
    </row>
    <row r="5259" spans="1:6" x14ac:dyDescent="0.15">
      <c r="A5259" s="2">
        <v>46089</v>
      </c>
      <c r="B5259" s="1" t="s">
        <v>10754</v>
      </c>
      <c r="C5259" s="1" t="s">
        <v>10755</v>
      </c>
      <c r="D5259" t="b">
        <f ca="1">IF(A5259="","",[1]!s_techanal_rcnthigh(B5259,$B$2,1,3))</f>
        <v>0</v>
      </c>
      <c r="E5259">
        <f ca="1">IF(A5259="","",COUNTIF(D$6:D5259,"True"))</f>
        <v>54</v>
      </c>
      <c r="F5259" t="str">
        <f t="shared" si="82"/>
        <v>920118.BJ</v>
      </c>
    </row>
    <row r="5260" spans="1:6" x14ac:dyDescent="0.15">
      <c r="A5260" s="2">
        <v>46089</v>
      </c>
      <c r="B5260" s="1" t="s">
        <v>10756</v>
      </c>
      <c r="C5260" s="1" t="s">
        <v>10757</v>
      </c>
      <c r="D5260" t="b">
        <f ca="1">IF(A5260="","",[1]!s_techanal_rcnthigh(B5260,$B$2,1,3))</f>
        <v>0</v>
      </c>
      <c r="E5260">
        <f ca="1">IF(A5260="","",COUNTIF(D$6:D5260,"True"))</f>
        <v>54</v>
      </c>
      <c r="F5260" t="str">
        <f t="shared" si="82"/>
        <v>920119.BJ</v>
      </c>
    </row>
    <row r="5261" spans="1:6" x14ac:dyDescent="0.15">
      <c r="A5261" s="2">
        <v>46089</v>
      </c>
      <c r="B5261" s="1" t="s">
        <v>10758</v>
      </c>
      <c r="C5261" s="1" t="s">
        <v>10759</v>
      </c>
      <c r="D5261" t="b">
        <f ca="1">IF(A5261="","",[1]!s_techanal_rcnthigh(B5261,$B$2,1,3))</f>
        <v>0</v>
      </c>
      <c r="E5261">
        <f ca="1">IF(A5261="","",COUNTIF(D$6:D5261,"True"))</f>
        <v>54</v>
      </c>
      <c r="F5261" t="str">
        <f t="shared" si="82"/>
        <v>920121.BJ</v>
      </c>
    </row>
    <row r="5262" spans="1:6" x14ac:dyDescent="0.15">
      <c r="A5262" s="2">
        <v>46089</v>
      </c>
      <c r="B5262" s="1" t="s">
        <v>10760</v>
      </c>
      <c r="C5262" s="1" t="s">
        <v>9967</v>
      </c>
      <c r="D5262" t="b">
        <f ca="1">IF(A5262="","",[1]!s_techanal_rcnthigh(B5262,$B$2,1,3))</f>
        <v>0</v>
      </c>
      <c r="E5262">
        <f ca="1">IF(A5262="","",COUNTIF(D$6:D5262,"True"))</f>
        <v>54</v>
      </c>
      <c r="F5262" t="str">
        <f t="shared" si="82"/>
        <v>920122.BJ</v>
      </c>
    </row>
    <row r="5263" spans="1:6" x14ac:dyDescent="0.15">
      <c r="A5263" s="2">
        <v>46089</v>
      </c>
      <c r="B5263" s="1" t="s">
        <v>10761</v>
      </c>
      <c r="C5263" s="1" t="s">
        <v>10015</v>
      </c>
      <c r="D5263" t="b">
        <f ca="1">IF(A5263="","",[1]!s_techanal_rcnthigh(B5263,$B$2,1,3))</f>
        <v>0</v>
      </c>
      <c r="E5263">
        <f ca="1">IF(A5263="","",COUNTIF(D$6:D5263,"True"))</f>
        <v>54</v>
      </c>
      <c r="F5263" t="str">
        <f t="shared" si="82"/>
        <v>920123.BJ</v>
      </c>
    </row>
    <row r="5264" spans="1:6" x14ac:dyDescent="0.15">
      <c r="A5264" s="2">
        <v>46089</v>
      </c>
      <c r="B5264" s="1" t="s">
        <v>10762</v>
      </c>
      <c r="C5264" s="1" t="s">
        <v>10763</v>
      </c>
      <c r="D5264" t="b">
        <f ca="1">IF(A5264="","",[1]!s_techanal_rcnthigh(B5264,$B$2,1,3))</f>
        <v>0</v>
      </c>
      <c r="E5264">
        <f ca="1">IF(A5264="","",COUNTIF(D$6:D5264,"True"))</f>
        <v>54</v>
      </c>
      <c r="F5264" t="str">
        <f t="shared" si="82"/>
        <v>920124.BJ</v>
      </c>
    </row>
    <row r="5265" spans="1:6" x14ac:dyDescent="0.15">
      <c r="A5265" s="2">
        <v>46089</v>
      </c>
      <c r="B5265" s="1" t="s">
        <v>10764</v>
      </c>
      <c r="C5265" s="1" t="s">
        <v>10765</v>
      </c>
      <c r="D5265" t="b">
        <f ca="1">IF(A5265="","",[1]!s_techanal_rcnthigh(B5265,$B$2,1,3))</f>
        <v>0</v>
      </c>
      <c r="E5265">
        <f ca="1">IF(A5265="","",COUNTIF(D$6:D5265,"True"))</f>
        <v>54</v>
      </c>
      <c r="F5265" t="str">
        <f t="shared" si="82"/>
        <v>920128.BJ</v>
      </c>
    </row>
    <row r="5266" spans="1:6" x14ac:dyDescent="0.15">
      <c r="A5266" s="2">
        <v>46089</v>
      </c>
      <c r="B5266" s="1" t="s">
        <v>10766</v>
      </c>
      <c r="C5266" s="1" t="s">
        <v>9822</v>
      </c>
      <c r="D5266" t="b">
        <f ca="1">IF(A5266="","",[1]!s_techanal_rcnthigh(B5266,$B$2,1,3))</f>
        <v>0</v>
      </c>
      <c r="E5266">
        <f ca="1">IF(A5266="","",COUNTIF(D$6:D5266,"True"))</f>
        <v>54</v>
      </c>
      <c r="F5266" t="str">
        <f t="shared" si="82"/>
        <v>920130.BJ</v>
      </c>
    </row>
    <row r="5267" spans="1:6" x14ac:dyDescent="0.15">
      <c r="A5267" s="2">
        <v>46089</v>
      </c>
      <c r="B5267" s="1" t="s">
        <v>10767</v>
      </c>
      <c r="C5267" s="1" t="s">
        <v>9968</v>
      </c>
      <c r="D5267" t="b">
        <f ca="1">IF(A5267="","",[1]!s_techanal_rcnthigh(B5267,$B$2,1,3))</f>
        <v>0</v>
      </c>
      <c r="E5267">
        <f ca="1">IF(A5267="","",COUNTIF(D$6:D5267,"True"))</f>
        <v>54</v>
      </c>
      <c r="F5267" t="str">
        <f t="shared" si="82"/>
        <v>920132.BJ</v>
      </c>
    </row>
    <row r="5268" spans="1:6" x14ac:dyDescent="0.15">
      <c r="A5268" s="2">
        <v>46089</v>
      </c>
      <c r="B5268" s="1" t="s">
        <v>10768</v>
      </c>
      <c r="C5268" s="1" t="s">
        <v>5412</v>
      </c>
      <c r="D5268" t="b">
        <f ca="1">IF(A5268="","",[1]!s_techanal_rcnthigh(B5268,$B$2,1,3))</f>
        <v>0</v>
      </c>
      <c r="E5268">
        <f ca="1">IF(A5268="","",COUNTIF(D$6:D5268,"True"))</f>
        <v>54</v>
      </c>
      <c r="F5268" t="str">
        <f t="shared" si="82"/>
        <v>920139.BJ</v>
      </c>
    </row>
    <row r="5269" spans="1:6" x14ac:dyDescent="0.15">
      <c r="A5269" s="2">
        <v>46089</v>
      </c>
      <c r="B5269" s="1" t="s">
        <v>10769</v>
      </c>
      <c r="C5269" s="1" t="s">
        <v>9801</v>
      </c>
      <c r="D5269" t="b">
        <f ca="1">IF(A5269="","",[1]!s_techanal_rcnthigh(B5269,$B$2,1,3))</f>
        <v>0</v>
      </c>
      <c r="E5269">
        <f ca="1">IF(A5269="","",COUNTIF(D$6:D5269,"True"))</f>
        <v>54</v>
      </c>
      <c r="F5269" t="str">
        <f t="shared" si="82"/>
        <v>920145.BJ</v>
      </c>
    </row>
    <row r="5270" spans="1:6" x14ac:dyDescent="0.15">
      <c r="A5270" s="2">
        <v>46089</v>
      </c>
      <c r="B5270" s="1" t="s">
        <v>10770</v>
      </c>
      <c r="C5270" s="1" t="s">
        <v>9934</v>
      </c>
      <c r="D5270" t="b">
        <f ca="1">IF(A5270="","",[1]!s_techanal_rcnthigh(B5270,$B$2,1,3))</f>
        <v>0</v>
      </c>
      <c r="E5270">
        <f ca="1">IF(A5270="","",COUNTIF(D$6:D5270,"True"))</f>
        <v>54</v>
      </c>
      <c r="F5270" t="str">
        <f t="shared" si="82"/>
        <v>920146.BJ</v>
      </c>
    </row>
    <row r="5271" spans="1:6" x14ac:dyDescent="0.15">
      <c r="A5271" s="2">
        <v>46089</v>
      </c>
      <c r="B5271" s="1" t="s">
        <v>10771</v>
      </c>
      <c r="C5271" s="1" t="s">
        <v>9875</v>
      </c>
      <c r="D5271" t="b">
        <f ca="1">IF(A5271="","",[1]!s_techanal_rcnthigh(B5271,$B$2,1,3))</f>
        <v>0</v>
      </c>
      <c r="E5271">
        <f ca="1">IF(A5271="","",COUNTIF(D$6:D5271,"True"))</f>
        <v>54</v>
      </c>
      <c r="F5271" t="str">
        <f t="shared" si="82"/>
        <v>920149.BJ</v>
      </c>
    </row>
    <row r="5272" spans="1:6" x14ac:dyDescent="0.15">
      <c r="A5272" s="2">
        <v>46089</v>
      </c>
      <c r="B5272" s="1" t="s">
        <v>10772</v>
      </c>
      <c r="C5272" s="1" t="s">
        <v>9776</v>
      </c>
      <c r="D5272" t="b">
        <f ca="1">IF(A5272="","",[1]!s_techanal_rcnthigh(B5272,$B$2,1,3))</f>
        <v>0</v>
      </c>
      <c r="E5272">
        <f ca="1">IF(A5272="","",COUNTIF(D$6:D5272,"True"))</f>
        <v>54</v>
      </c>
      <c r="F5272" t="str">
        <f t="shared" si="82"/>
        <v>920152.BJ</v>
      </c>
    </row>
    <row r="5273" spans="1:6" x14ac:dyDescent="0.15">
      <c r="A5273" s="2">
        <v>46089</v>
      </c>
      <c r="B5273" s="1" t="s">
        <v>10773</v>
      </c>
      <c r="C5273" s="1" t="s">
        <v>10774</v>
      </c>
      <c r="D5273" t="b">
        <f ca="1">IF(A5273="","",[1]!s_techanal_rcnthigh(B5273,$B$2,1,3))</f>
        <v>1</v>
      </c>
      <c r="E5273">
        <f ca="1">IF(A5273="","",COUNTIF(D$6:D5273,"True"))</f>
        <v>55</v>
      </c>
      <c r="F5273" t="str">
        <f t="shared" si="82"/>
        <v>920158.BJ</v>
      </c>
    </row>
    <row r="5274" spans="1:6" x14ac:dyDescent="0.15">
      <c r="A5274" s="2">
        <v>46089</v>
      </c>
      <c r="B5274" s="1" t="s">
        <v>10775</v>
      </c>
      <c r="C5274" s="1" t="s">
        <v>10776</v>
      </c>
      <c r="D5274" t="b">
        <f ca="1">IF(A5274="","",[1]!s_techanal_rcnthigh(B5274,$B$2,1,3))</f>
        <v>0</v>
      </c>
      <c r="E5274">
        <f ca="1">IF(A5274="","",COUNTIF(D$6:D5274,"True"))</f>
        <v>55</v>
      </c>
      <c r="F5274" t="str">
        <f t="shared" si="82"/>
        <v>920159.BJ</v>
      </c>
    </row>
    <row r="5275" spans="1:6" x14ac:dyDescent="0.15">
      <c r="A5275" s="2">
        <v>46089</v>
      </c>
      <c r="B5275" s="1" t="s">
        <v>10777</v>
      </c>
      <c r="C5275" s="1" t="s">
        <v>10778</v>
      </c>
      <c r="D5275" t="b">
        <f ca="1">IF(A5275="","",[1]!s_techanal_rcnthigh(B5275,$B$2,1,3))</f>
        <v>0</v>
      </c>
      <c r="E5275">
        <f ca="1">IF(A5275="","",COUNTIF(D$6:D5275,"True"))</f>
        <v>55</v>
      </c>
      <c r="F5275" t="str">
        <f t="shared" si="82"/>
        <v>920160.BJ</v>
      </c>
    </row>
    <row r="5276" spans="1:6" x14ac:dyDescent="0.15">
      <c r="A5276" s="2">
        <v>46089</v>
      </c>
      <c r="B5276" s="1" t="s">
        <v>10779</v>
      </c>
      <c r="C5276" s="1" t="s">
        <v>9914</v>
      </c>
      <c r="D5276" t="b">
        <f ca="1">IF(A5276="","",[1]!s_techanal_rcnthigh(B5276,$B$2,1,3))</f>
        <v>0</v>
      </c>
      <c r="E5276">
        <f ca="1">IF(A5276="","",COUNTIF(D$6:D5276,"True"))</f>
        <v>55</v>
      </c>
      <c r="F5276" t="str">
        <f t="shared" si="82"/>
        <v>920163.BJ</v>
      </c>
    </row>
    <row r="5277" spans="1:6" x14ac:dyDescent="0.15">
      <c r="A5277" s="2">
        <v>46089</v>
      </c>
      <c r="B5277" s="1" t="s">
        <v>10780</v>
      </c>
      <c r="C5277" s="1" t="s">
        <v>10781</v>
      </c>
      <c r="D5277" t="b">
        <f ca="1">IF(A5277="","",[1]!s_techanal_rcnthigh(B5277,$B$2,1,3))</f>
        <v>0</v>
      </c>
      <c r="E5277">
        <f ca="1">IF(A5277="","",COUNTIF(D$6:D5277,"True"))</f>
        <v>55</v>
      </c>
      <c r="F5277" t="str">
        <f t="shared" si="82"/>
        <v>920166.BJ</v>
      </c>
    </row>
    <row r="5278" spans="1:6" x14ac:dyDescent="0.15">
      <c r="A5278" s="2">
        <v>46089</v>
      </c>
      <c r="B5278" s="1" t="s">
        <v>10782</v>
      </c>
      <c r="C5278" s="1" t="s">
        <v>9925</v>
      </c>
      <c r="D5278" t="b">
        <f ca="1">IF(A5278="","",[1]!s_techanal_rcnthigh(B5278,$B$2,1,3))</f>
        <v>0</v>
      </c>
      <c r="E5278">
        <f ca="1">IF(A5278="","",COUNTIF(D$6:D5278,"True"))</f>
        <v>55</v>
      </c>
      <c r="F5278" t="str">
        <f t="shared" si="82"/>
        <v>920167.BJ</v>
      </c>
    </row>
    <row r="5279" spans="1:6" x14ac:dyDescent="0.15">
      <c r="A5279" s="2">
        <v>46089</v>
      </c>
      <c r="B5279" s="1" t="s">
        <v>10783</v>
      </c>
      <c r="C5279" s="1" t="s">
        <v>10784</v>
      </c>
      <c r="D5279" t="b">
        <f ca="1">IF(A5279="","",[1]!s_techanal_rcnthigh(B5279,$B$2,1,3))</f>
        <v>0</v>
      </c>
      <c r="E5279">
        <f ca="1">IF(A5279="","",COUNTIF(D$6:D5279,"True"))</f>
        <v>55</v>
      </c>
      <c r="F5279" t="str">
        <f t="shared" si="82"/>
        <v>920168.BJ</v>
      </c>
    </row>
    <row r="5280" spans="1:6" x14ac:dyDescent="0.15">
      <c r="A5280" s="2">
        <v>46089</v>
      </c>
      <c r="B5280" s="1" t="s">
        <v>10785</v>
      </c>
      <c r="C5280" s="1" t="s">
        <v>9971</v>
      </c>
      <c r="D5280" t="b">
        <f ca="1">IF(A5280="","",[1]!s_techanal_rcnthigh(B5280,$B$2,1,3))</f>
        <v>0</v>
      </c>
      <c r="E5280">
        <f ca="1">IF(A5280="","",COUNTIF(D$6:D5280,"True"))</f>
        <v>55</v>
      </c>
      <c r="F5280" t="str">
        <f t="shared" si="82"/>
        <v>920169.BJ</v>
      </c>
    </row>
    <row r="5281" spans="1:6" x14ac:dyDescent="0.15">
      <c r="A5281" s="2">
        <v>46089</v>
      </c>
      <c r="B5281" s="1" t="s">
        <v>10786</v>
      </c>
      <c r="C5281" s="1" t="s">
        <v>9803</v>
      </c>
      <c r="D5281" t="b">
        <f ca="1">IF(A5281="","",[1]!s_techanal_rcnthigh(B5281,$B$2,1,3))</f>
        <v>0</v>
      </c>
      <c r="E5281">
        <f ca="1">IF(A5281="","",COUNTIF(D$6:D5281,"True"))</f>
        <v>55</v>
      </c>
      <c r="F5281" t="str">
        <f t="shared" si="82"/>
        <v>920171.BJ</v>
      </c>
    </row>
    <row r="5282" spans="1:6" x14ac:dyDescent="0.15">
      <c r="A5282" s="2">
        <v>46089</v>
      </c>
      <c r="B5282" s="1" t="s">
        <v>10787</v>
      </c>
      <c r="C5282" s="1" t="s">
        <v>9860</v>
      </c>
      <c r="D5282" t="b">
        <f ca="1">IF(A5282="","",[1]!s_techanal_rcnthigh(B5282,$B$2,1,3))</f>
        <v>0</v>
      </c>
      <c r="E5282">
        <f ca="1">IF(A5282="","",COUNTIF(D$6:D5282,"True"))</f>
        <v>55</v>
      </c>
      <c r="F5282" t="str">
        <f t="shared" si="82"/>
        <v>920174.BJ</v>
      </c>
    </row>
    <row r="5283" spans="1:6" x14ac:dyDescent="0.15">
      <c r="A5283" s="2">
        <v>46089</v>
      </c>
      <c r="B5283" s="1" t="s">
        <v>10788</v>
      </c>
      <c r="C5283" s="1" t="s">
        <v>9804</v>
      </c>
      <c r="D5283" t="b">
        <f ca="1">IF(A5283="","",[1]!s_techanal_rcnthigh(B5283,$B$2,1,3))</f>
        <v>0</v>
      </c>
      <c r="E5283">
        <f ca="1">IF(A5283="","",COUNTIF(D$6:D5283,"True"))</f>
        <v>55</v>
      </c>
      <c r="F5283" t="str">
        <f t="shared" si="82"/>
        <v>920175.BJ</v>
      </c>
    </row>
    <row r="5284" spans="1:6" x14ac:dyDescent="0.15">
      <c r="A5284" s="2">
        <v>46089</v>
      </c>
      <c r="B5284" s="1" t="s">
        <v>10789</v>
      </c>
      <c r="C5284" s="1" t="s">
        <v>9861</v>
      </c>
      <c r="D5284" t="b">
        <f ca="1">IF(A5284="","",[1]!s_techanal_rcnthigh(B5284,$B$2,1,3))</f>
        <v>0</v>
      </c>
      <c r="E5284">
        <f ca="1">IF(A5284="","",COUNTIF(D$6:D5284,"True"))</f>
        <v>55</v>
      </c>
      <c r="F5284" t="str">
        <f t="shared" si="82"/>
        <v>920179.BJ</v>
      </c>
    </row>
    <row r="5285" spans="1:6" x14ac:dyDescent="0.15">
      <c r="A5285" s="2">
        <v>46089</v>
      </c>
      <c r="B5285" s="1" t="s">
        <v>10790</v>
      </c>
      <c r="C5285" s="1" t="s">
        <v>10791</v>
      </c>
      <c r="D5285" t="b">
        <f ca="1">IF(A5285="","",[1]!s_techanal_rcnthigh(B5285,$B$2,1,3))</f>
        <v>0</v>
      </c>
      <c r="E5285">
        <f ca="1">IF(A5285="","",COUNTIF(D$6:D5285,"True"))</f>
        <v>55</v>
      </c>
      <c r="F5285" t="str">
        <f t="shared" si="82"/>
        <v>920180.BJ</v>
      </c>
    </row>
    <row r="5286" spans="1:6" x14ac:dyDescent="0.15">
      <c r="A5286" s="2">
        <v>46089</v>
      </c>
      <c r="B5286" s="1" t="s">
        <v>10792</v>
      </c>
      <c r="C5286" s="1" t="s">
        <v>10793</v>
      </c>
      <c r="D5286" t="b">
        <f ca="1">IF(A5286="","",[1]!s_techanal_rcnthigh(B5286,$B$2,1,3))</f>
        <v>0</v>
      </c>
      <c r="E5286">
        <f ca="1">IF(A5286="","",COUNTIF(D$6:D5286,"True"))</f>
        <v>55</v>
      </c>
      <c r="F5286" t="str">
        <f t="shared" si="82"/>
        <v>920183.BJ</v>
      </c>
    </row>
    <row r="5287" spans="1:6" x14ac:dyDescent="0.15">
      <c r="A5287" s="2">
        <v>46089</v>
      </c>
      <c r="B5287" s="1" t="s">
        <v>10794</v>
      </c>
      <c r="C5287" s="1" t="s">
        <v>9862</v>
      </c>
      <c r="D5287" t="b">
        <f ca="1">IF(A5287="","",[1]!s_techanal_rcnthigh(B5287,$B$2,1,3))</f>
        <v>0</v>
      </c>
      <c r="E5287">
        <f ca="1">IF(A5287="","",COUNTIF(D$6:D5287,"True"))</f>
        <v>55</v>
      </c>
      <c r="F5287" t="str">
        <f t="shared" si="82"/>
        <v>920184.BJ</v>
      </c>
    </row>
    <row r="5288" spans="1:6" x14ac:dyDescent="0.15">
      <c r="A5288" s="2">
        <v>46089</v>
      </c>
      <c r="B5288" s="1" t="s">
        <v>10795</v>
      </c>
      <c r="C5288" s="1" t="s">
        <v>9863</v>
      </c>
      <c r="D5288" t="b">
        <f ca="1">IF(A5288="","",[1]!s_techanal_rcnthigh(B5288,$B$2,1,3))</f>
        <v>0</v>
      </c>
      <c r="E5288">
        <f ca="1">IF(A5288="","",COUNTIF(D$6:D5288,"True"))</f>
        <v>55</v>
      </c>
      <c r="F5288" t="str">
        <f t="shared" si="82"/>
        <v>920185.BJ</v>
      </c>
    </row>
    <row r="5289" spans="1:6" x14ac:dyDescent="0.15">
      <c r="A5289" s="2">
        <v>46089</v>
      </c>
      <c r="B5289" s="1" t="s">
        <v>10796</v>
      </c>
      <c r="C5289" s="1" t="s">
        <v>10797</v>
      </c>
      <c r="D5289" t="b">
        <f ca="1">IF(A5289="","",[1]!s_techanal_rcnthigh(B5289,$B$2,1,3))</f>
        <v>1</v>
      </c>
      <c r="E5289">
        <f ca="1">IF(A5289="","",COUNTIF(D$6:D5289,"True"))</f>
        <v>56</v>
      </c>
      <c r="F5289" t="str">
        <f t="shared" si="82"/>
        <v>920187.BJ</v>
      </c>
    </row>
    <row r="5290" spans="1:6" x14ac:dyDescent="0.15">
      <c r="A5290" s="2">
        <v>46089</v>
      </c>
      <c r="B5290" s="1" t="s">
        <v>10798</v>
      </c>
      <c r="C5290" s="1" t="s">
        <v>9957</v>
      </c>
      <c r="D5290" t="b">
        <f ca="1">IF(A5290="","",[1]!s_techanal_rcnthigh(B5290,$B$2,1,3))</f>
        <v>0</v>
      </c>
      <c r="E5290">
        <f ca="1">IF(A5290="","",COUNTIF(D$6:D5290,"True"))</f>
        <v>56</v>
      </c>
      <c r="F5290" t="str">
        <f t="shared" si="82"/>
        <v>920190.BJ</v>
      </c>
    </row>
    <row r="5291" spans="1:6" x14ac:dyDescent="0.15">
      <c r="A5291" s="2">
        <v>46089</v>
      </c>
      <c r="B5291" s="1" t="s">
        <v>10799</v>
      </c>
      <c r="C5291" s="1" t="s">
        <v>9779</v>
      </c>
      <c r="D5291" t="b">
        <f ca="1">IF(A5291="","",[1]!s_techanal_rcnthigh(B5291,$B$2,1,3))</f>
        <v>0</v>
      </c>
      <c r="E5291">
        <f ca="1">IF(A5291="","",COUNTIF(D$6:D5291,"True"))</f>
        <v>56</v>
      </c>
      <c r="F5291" t="str">
        <f t="shared" si="82"/>
        <v>920195.BJ</v>
      </c>
    </row>
    <row r="5292" spans="1:6" x14ac:dyDescent="0.15">
      <c r="A5292" s="2">
        <v>46089</v>
      </c>
      <c r="B5292" s="1" t="s">
        <v>10800</v>
      </c>
      <c r="C5292" s="1" t="s">
        <v>5413</v>
      </c>
      <c r="D5292" t="b">
        <f ca="1">IF(A5292="","",[1]!s_techanal_rcnthigh(B5292,$B$2,1,3))</f>
        <v>0</v>
      </c>
      <c r="E5292">
        <f ca="1">IF(A5292="","",COUNTIF(D$6:D5292,"True"))</f>
        <v>56</v>
      </c>
      <c r="F5292" t="str">
        <f t="shared" si="82"/>
        <v>920198.BJ</v>
      </c>
    </row>
    <row r="5293" spans="1:6" x14ac:dyDescent="0.15">
      <c r="A5293" s="2">
        <v>46089</v>
      </c>
      <c r="B5293" s="1" t="s">
        <v>10801</v>
      </c>
      <c r="C5293" s="1" t="s">
        <v>9935</v>
      </c>
      <c r="D5293" t="b">
        <f ca="1">IF(A5293="","",[1]!s_techanal_rcnthigh(B5293,$B$2,1,3))</f>
        <v>0</v>
      </c>
      <c r="E5293">
        <f ca="1">IF(A5293="","",COUNTIF(D$6:D5293,"True"))</f>
        <v>56</v>
      </c>
      <c r="F5293" t="str">
        <f t="shared" si="82"/>
        <v>920199.BJ</v>
      </c>
    </row>
    <row r="5294" spans="1:6" x14ac:dyDescent="0.15">
      <c r="A5294" s="2">
        <v>46089</v>
      </c>
      <c r="B5294" s="1" t="s">
        <v>10802</v>
      </c>
      <c r="C5294" s="1" t="s">
        <v>9936</v>
      </c>
      <c r="D5294" t="b">
        <f ca="1">IF(A5294="","",[1]!s_techanal_rcnthigh(B5294,$B$2,1,3))</f>
        <v>0</v>
      </c>
      <c r="E5294">
        <f ca="1">IF(A5294="","",COUNTIF(D$6:D5294,"True"))</f>
        <v>56</v>
      </c>
      <c r="F5294" t="str">
        <f t="shared" si="82"/>
        <v>920204.BJ</v>
      </c>
    </row>
    <row r="5295" spans="1:6" x14ac:dyDescent="0.15">
      <c r="A5295" s="2">
        <v>46089</v>
      </c>
      <c r="B5295" s="1" t="s">
        <v>10803</v>
      </c>
      <c r="C5295" s="1" t="s">
        <v>9864</v>
      </c>
      <c r="D5295" t="b">
        <f ca="1">IF(A5295="","",[1]!s_techanal_rcnthigh(B5295,$B$2,1,3))</f>
        <v>0</v>
      </c>
      <c r="E5295">
        <f ca="1">IF(A5295="","",COUNTIF(D$6:D5295,"True"))</f>
        <v>56</v>
      </c>
      <c r="F5295" t="str">
        <f t="shared" si="82"/>
        <v>920207.BJ</v>
      </c>
    </row>
    <row r="5296" spans="1:6" x14ac:dyDescent="0.15">
      <c r="A5296" s="2">
        <v>46089</v>
      </c>
      <c r="B5296" s="1" t="s">
        <v>10804</v>
      </c>
      <c r="C5296" s="1" t="s">
        <v>9876</v>
      </c>
      <c r="D5296" t="b">
        <f ca="1">IF(A5296="","",[1]!s_techanal_rcnthigh(B5296,$B$2,1,3))</f>
        <v>0</v>
      </c>
      <c r="E5296">
        <f ca="1">IF(A5296="","",COUNTIF(D$6:D5296,"True"))</f>
        <v>56</v>
      </c>
      <c r="F5296" t="str">
        <f t="shared" si="82"/>
        <v>920208.BJ</v>
      </c>
    </row>
    <row r="5297" spans="1:6" x14ac:dyDescent="0.15">
      <c r="A5297" s="2">
        <v>46089</v>
      </c>
      <c r="B5297" s="1" t="s">
        <v>10805</v>
      </c>
      <c r="C5297" s="1" t="s">
        <v>9905</v>
      </c>
      <c r="D5297" t="b">
        <f ca="1">IF(A5297="","",[1]!s_techanal_rcnthigh(B5297,$B$2,1,3))</f>
        <v>0</v>
      </c>
      <c r="E5297">
        <f ca="1">IF(A5297="","",COUNTIF(D$6:D5297,"True"))</f>
        <v>56</v>
      </c>
      <c r="F5297" t="str">
        <f t="shared" si="82"/>
        <v>920212.BJ</v>
      </c>
    </row>
    <row r="5298" spans="1:6" x14ac:dyDescent="0.15">
      <c r="A5298" s="2">
        <v>46089</v>
      </c>
      <c r="B5298" s="1" t="s">
        <v>10806</v>
      </c>
      <c r="C5298" s="1" t="s">
        <v>9877</v>
      </c>
      <c r="D5298" t="b">
        <f ca="1">IF(A5298="","",[1]!s_techanal_rcnthigh(B5298,$B$2,1,3))</f>
        <v>0</v>
      </c>
      <c r="E5298">
        <f ca="1">IF(A5298="","",COUNTIF(D$6:D5298,"True"))</f>
        <v>56</v>
      </c>
      <c r="F5298" t="str">
        <f t="shared" si="82"/>
        <v>920221.BJ</v>
      </c>
    </row>
    <row r="5299" spans="1:6" x14ac:dyDescent="0.15">
      <c r="A5299" s="2">
        <v>46089</v>
      </c>
      <c r="B5299" s="1" t="s">
        <v>10807</v>
      </c>
      <c r="C5299" s="1" t="s">
        <v>9972</v>
      </c>
      <c r="D5299" t="b">
        <f ca="1">IF(A5299="","",[1]!s_techanal_rcnthigh(B5299,$B$2,1,3))</f>
        <v>0</v>
      </c>
      <c r="E5299">
        <f ca="1">IF(A5299="","",COUNTIF(D$6:D5299,"True"))</f>
        <v>56</v>
      </c>
      <c r="F5299" t="str">
        <f t="shared" si="82"/>
        <v>920223.BJ</v>
      </c>
    </row>
    <row r="5300" spans="1:6" x14ac:dyDescent="0.15">
      <c r="A5300" s="2">
        <v>46089</v>
      </c>
      <c r="B5300" s="1" t="s">
        <v>10808</v>
      </c>
      <c r="C5300" s="1" t="s">
        <v>9805</v>
      </c>
      <c r="D5300" t="b">
        <f ca="1">IF(A5300="","",[1]!s_techanal_rcnthigh(B5300,$B$2,1,3))</f>
        <v>0</v>
      </c>
      <c r="E5300">
        <f ca="1">IF(A5300="","",COUNTIF(D$6:D5300,"True"))</f>
        <v>56</v>
      </c>
      <c r="F5300" t="str">
        <f t="shared" si="82"/>
        <v>920225.BJ</v>
      </c>
    </row>
    <row r="5301" spans="1:6" x14ac:dyDescent="0.15">
      <c r="A5301" s="2">
        <v>46089</v>
      </c>
      <c r="B5301" s="1" t="s">
        <v>10809</v>
      </c>
      <c r="C5301" s="1" t="s">
        <v>9916</v>
      </c>
      <c r="D5301" t="b">
        <f ca="1">IF(A5301="","",[1]!s_techanal_rcnthigh(B5301,$B$2,1,3))</f>
        <v>0</v>
      </c>
      <c r="E5301">
        <f ca="1">IF(A5301="","",COUNTIF(D$6:D5301,"True"))</f>
        <v>56</v>
      </c>
      <c r="F5301" t="str">
        <f t="shared" si="82"/>
        <v>920227.BJ</v>
      </c>
    </row>
    <row r="5302" spans="1:6" x14ac:dyDescent="0.15">
      <c r="A5302" s="2">
        <v>46089</v>
      </c>
      <c r="B5302" s="1" t="s">
        <v>10810</v>
      </c>
      <c r="C5302" s="1" t="s">
        <v>9825</v>
      </c>
      <c r="D5302" t="b">
        <f ca="1">IF(A5302="","",[1]!s_techanal_rcnthigh(B5302,$B$2,1,3))</f>
        <v>0</v>
      </c>
      <c r="E5302">
        <f ca="1">IF(A5302="","",COUNTIF(D$6:D5302,"True"))</f>
        <v>56</v>
      </c>
      <c r="F5302" t="str">
        <f t="shared" si="82"/>
        <v>920230.BJ</v>
      </c>
    </row>
    <row r="5303" spans="1:6" x14ac:dyDescent="0.15">
      <c r="A5303" s="2">
        <v>46089</v>
      </c>
      <c r="B5303" s="1" t="s">
        <v>10811</v>
      </c>
      <c r="C5303" s="1" t="s">
        <v>9865</v>
      </c>
      <c r="D5303" t="b">
        <f ca="1">IF(A5303="","",[1]!s_techanal_rcnthigh(B5303,$B$2,1,3))</f>
        <v>0</v>
      </c>
      <c r="E5303">
        <f ca="1">IF(A5303="","",COUNTIF(D$6:D5303,"True"))</f>
        <v>56</v>
      </c>
      <c r="F5303" t="str">
        <f t="shared" si="82"/>
        <v>920237.BJ</v>
      </c>
    </row>
    <row r="5304" spans="1:6" x14ac:dyDescent="0.15">
      <c r="A5304" s="2">
        <v>46089</v>
      </c>
      <c r="B5304" s="1" t="s">
        <v>10812</v>
      </c>
      <c r="C5304" s="1" t="s">
        <v>9878</v>
      </c>
      <c r="D5304" t="b">
        <f ca="1">IF(A5304="","",[1]!s_techanal_rcnthigh(B5304,$B$2,1,3))</f>
        <v>0</v>
      </c>
      <c r="E5304">
        <f ca="1">IF(A5304="","",COUNTIF(D$6:D5304,"True"))</f>
        <v>56</v>
      </c>
      <c r="F5304" t="str">
        <f t="shared" si="82"/>
        <v>920239.BJ</v>
      </c>
    </row>
    <row r="5305" spans="1:6" x14ac:dyDescent="0.15">
      <c r="A5305" s="2">
        <v>46089</v>
      </c>
      <c r="B5305" s="1" t="s">
        <v>10813</v>
      </c>
      <c r="C5305" s="1" t="s">
        <v>9906</v>
      </c>
      <c r="D5305" t="b">
        <f ca="1">IF(A5305="","",[1]!s_techanal_rcnthigh(B5305,$B$2,1,3))</f>
        <v>0</v>
      </c>
      <c r="E5305">
        <f ca="1">IF(A5305="","",COUNTIF(D$6:D5305,"True"))</f>
        <v>56</v>
      </c>
      <c r="F5305" t="str">
        <f t="shared" si="82"/>
        <v>920242.BJ</v>
      </c>
    </row>
    <row r="5306" spans="1:6" x14ac:dyDescent="0.15">
      <c r="A5306" s="2">
        <v>46089</v>
      </c>
      <c r="B5306" s="1" t="s">
        <v>10814</v>
      </c>
      <c r="C5306" s="1" t="s">
        <v>9945</v>
      </c>
      <c r="D5306" t="b">
        <f ca="1">IF(A5306="","",[1]!s_techanal_rcnthigh(B5306,$B$2,1,3))</f>
        <v>0</v>
      </c>
      <c r="E5306">
        <f ca="1">IF(A5306="","",COUNTIF(D$6:D5306,"True"))</f>
        <v>56</v>
      </c>
      <c r="F5306" t="str">
        <f t="shared" si="82"/>
        <v>920245.BJ</v>
      </c>
    </row>
    <row r="5307" spans="1:6" x14ac:dyDescent="0.15">
      <c r="A5307" s="2">
        <v>46089</v>
      </c>
      <c r="B5307" s="1" t="s">
        <v>10815</v>
      </c>
      <c r="C5307" s="1" t="s">
        <v>9879</v>
      </c>
      <c r="D5307" t="b">
        <f ca="1">IF(A5307="","",[1]!s_techanal_rcnthigh(B5307,$B$2,1,3))</f>
        <v>0</v>
      </c>
      <c r="E5307">
        <f ca="1">IF(A5307="","",COUNTIF(D$6:D5307,"True"))</f>
        <v>56</v>
      </c>
      <c r="F5307" t="str">
        <f t="shared" si="82"/>
        <v>920247.BJ</v>
      </c>
    </row>
    <row r="5308" spans="1:6" x14ac:dyDescent="0.15">
      <c r="A5308" s="2">
        <v>46089</v>
      </c>
      <c r="B5308" s="1" t="s">
        <v>10816</v>
      </c>
      <c r="C5308" s="1" t="s">
        <v>9802</v>
      </c>
      <c r="D5308" t="b">
        <f ca="1">IF(A5308="","",[1]!s_techanal_rcnthigh(B5308,$B$2,1,3))</f>
        <v>0</v>
      </c>
      <c r="E5308">
        <f ca="1">IF(A5308="","",COUNTIF(D$6:D5308,"True"))</f>
        <v>56</v>
      </c>
      <c r="F5308" t="str">
        <f t="shared" si="82"/>
        <v>920249.BJ</v>
      </c>
    </row>
    <row r="5309" spans="1:6" x14ac:dyDescent="0.15">
      <c r="A5309" s="2">
        <v>46089</v>
      </c>
      <c r="B5309" s="1" t="s">
        <v>10817</v>
      </c>
      <c r="C5309" s="1" t="s">
        <v>9969</v>
      </c>
      <c r="D5309" t="b">
        <f ca="1">IF(A5309="","",[1]!s_techanal_rcnthigh(B5309,$B$2,1,3))</f>
        <v>0</v>
      </c>
      <c r="E5309">
        <f ca="1">IF(A5309="","",COUNTIF(D$6:D5309,"True"))</f>
        <v>56</v>
      </c>
      <c r="F5309" t="str">
        <f t="shared" si="82"/>
        <v>920252.BJ</v>
      </c>
    </row>
    <row r="5310" spans="1:6" x14ac:dyDescent="0.15">
      <c r="A5310" s="2">
        <v>46089</v>
      </c>
      <c r="B5310" s="1" t="s">
        <v>10818</v>
      </c>
      <c r="C5310" s="1" t="s">
        <v>9880</v>
      </c>
      <c r="D5310" t="b">
        <f ca="1">IF(A5310="","",[1]!s_techanal_rcnthigh(B5310,$B$2,1,3))</f>
        <v>0</v>
      </c>
      <c r="E5310">
        <f ca="1">IF(A5310="","",COUNTIF(D$6:D5310,"True"))</f>
        <v>56</v>
      </c>
      <c r="F5310" t="str">
        <f t="shared" si="82"/>
        <v>920260.BJ</v>
      </c>
    </row>
    <row r="5311" spans="1:6" x14ac:dyDescent="0.15">
      <c r="A5311" s="2">
        <v>46089</v>
      </c>
      <c r="B5311" s="1" t="s">
        <v>10819</v>
      </c>
      <c r="C5311" s="1" t="s">
        <v>9850</v>
      </c>
      <c r="D5311" t="b">
        <f ca="1">IF(A5311="","",[1]!s_techanal_rcnthigh(B5311,$B$2,1,3))</f>
        <v>0</v>
      </c>
      <c r="E5311">
        <f ca="1">IF(A5311="","",COUNTIF(D$6:D5311,"True"))</f>
        <v>56</v>
      </c>
      <c r="F5311" t="str">
        <f t="shared" si="82"/>
        <v>920261.BJ</v>
      </c>
    </row>
    <row r="5312" spans="1:6" x14ac:dyDescent="0.15">
      <c r="A5312" s="2">
        <v>46089</v>
      </c>
      <c r="B5312" s="1" t="s">
        <v>10820</v>
      </c>
      <c r="C5312" s="1" t="s">
        <v>9917</v>
      </c>
      <c r="D5312" t="b">
        <f ca="1">IF(A5312="","",[1]!s_techanal_rcnthigh(B5312,$B$2,1,3))</f>
        <v>0</v>
      </c>
      <c r="E5312">
        <f ca="1">IF(A5312="","",COUNTIF(D$6:D5312,"True"))</f>
        <v>56</v>
      </c>
      <c r="F5312" t="str">
        <f t="shared" si="82"/>
        <v>920262.BJ</v>
      </c>
    </row>
    <row r="5313" spans="1:6" x14ac:dyDescent="0.15">
      <c r="A5313" s="2">
        <v>46089</v>
      </c>
      <c r="B5313" s="1" t="s">
        <v>10821</v>
      </c>
      <c r="C5313" s="1" t="s">
        <v>9881</v>
      </c>
      <c r="D5313" t="b">
        <f ca="1">IF(A5313="","",[1]!s_techanal_rcnthigh(B5313,$B$2,1,3))</f>
        <v>0</v>
      </c>
      <c r="E5313">
        <f ca="1">IF(A5313="","",COUNTIF(D$6:D5313,"True"))</f>
        <v>56</v>
      </c>
      <c r="F5313" t="str">
        <f t="shared" si="82"/>
        <v>920263.BJ</v>
      </c>
    </row>
    <row r="5314" spans="1:6" x14ac:dyDescent="0.15">
      <c r="A5314" s="2">
        <v>46089</v>
      </c>
      <c r="B5314" s="1" t="s">
        <v>10822</v>
      </c>
      <c r="C5314" s="1" t="s">
        <v>9826</v>
      </c>
      <c r="D5314" t="b">
        <f ca="1">IF(A5314="","",[1]!s_techanal_rcnthigh(B5314,$B$2,1,3))</f>
        <v>0</v>
      </c>
      <c r="E5314">
        <f ca="1">IF(A5314="","",COUNTIF(D$6:D5314,"True"))</f>
        <v>56</v>
      </c>
      <c r="F5314" t="str">
        <f t="shared" si="82"/>
        <v>920266.BJ</v>
      </c>
    </row>
    <row r="5315" spans="1:6" x14ac:dyDescent="0.15">
      <c r="A5315" s="2">
        <v>46089</v>
      </c>
      <c r="B5315" s="1" t="s">
        <v>10823</v>
      </c>
      <c r="C5315" s="1" t="s">
        <v>9777</v>
      </c>
      <c r="D5315" t="b">
        <f ca="1">IF(A5315="","",[1]!s_techanal_rcnthigh(B5315,$B$2,1,3))</f>
        <v>0</v>
      </c>
      <c r="E5315">
        <f ca="1">IF(A5315="","",COUNTIF(D$6:D5315,"True"))</f>
        <v>56</v>
      </c>
      <c r="F5315" t="str">
        <f t="shared" si="82"/>
        <v>920267.BJ</v>
      </c>
    </row>
    <row r="5316" spans="1:6" x14ac:dyDescent="0.15">
      <c r="A5316" s="2">
        <v>46089</v>
      </c>
      <c r="B5316" s="1" t="s">
        <v>10824</v>
      </c>
      <c r="C5316" s="1" t="s">
        <v>9882</v>
      </c>
      <c r="D5316" t="b">
        <f ca="1">IF(A5316="","",[1]!s_techanal_rcnthigh(B5316,$B$2,1,3))</f>
        <v>0</v>
      </c>
      <c r="E5316">
        <f ca="1">IF(A5316="","",COUNTIF(D$6:D5316,"True"))</f>
        <v>56</v>
      </c>
      <c r="F5316" t="str">
        <f t="shared" si="82"/>
        <v>920270.BJ</v>
      </c>
    </row>
    <row r="5317" spans="1:6" x14ac:dyDescent="0.15">
      <c r="A5317" s="2">
        <v>46089</v>
      </c>
      <c r="B5317" s="1" t="s">
        <v>10825</v>
      </c>
      <c r="C5317" s="1" t="s">
        <v>9915</v>
      </c>
      <c r="D5317" t="b">
        <f ca="1">IF(A5317="","",[1]!s_techanal_rcnthigh(B5317,$B$2,1,3))</f>
        <v>0</v>
      </c>
      <c r="E5317">
        <f ca="1">IF(A5317="","",COUNTIF(D$6:D5317,"True"))</f>
        <v>56</v>
      </c>
      <c r="F5317" t="str">
        <f t="shared" si="82"/>
        <v>920271.BJ</v>
      </c>
    </row>
    <row r="5318" spans="1:6" x14ac:dyDescent="0.15">
      <c r="A5318" s="2">
        <v>46089</v>
      </c>
      <c r="B5318" s="1" t="s">
        <v>10826</v>
      </c>
      <c r="C5318" s="1" t="s">
        <v>9926</v>
      </c>
      <c r="D5318" t="b">
        <f ca="1">IF(A5318="","",[1]!s_techanal_rcnthigh(B5318,$B$2,1,3))</f>
        <v>0</v>
      </c>
      <c r="E5318">
        <f ca="1">IF(A5318="","",COUNTIF(D$6:D5318,"True"))</f>
        <v>56</v>
      </c>
      <c r="F5318" t="str">
        <f t="shared" ref="F5318:F5381" si="83">IF(B5318="","",B5318)</f>
        <v>920273.BJ</v>
      </c>
    </row>
    <row r="5319" spans="1:6" x14ac:dyDescent="0.15">
      <c r="A5319" s="2">
        <v>46089</v>
      </c>
      <c r="B5319" s="1" t="s">
        <v>10827</v>
      </c>
      <c r="C5319" s="1" t="s">
        <v>9904</v>
      </c>
      <c r="D5319" t="b">
        <f ca="1">IF(A5319="","",[1]!s_techanal_rcnthigh(B5319,$B$2,1,3))</f>
        <v>0</v>
      </c>
      <c r="E5319">
        <f ca="1">IF(A5319="","",COUNTIF(D$6:D5319,"True"))</f>
        <v>56</v>
      </c>
      <c r="F5319" t="str">
        <f t="shared" si="83"/>
        <v>920274.BJ</v>
      </c>
    </row>
    <row r="5320" spans="1:6" x14ac:dyDescent="0.15">
      <c r="A5320" s="2">
        <v>46089</v>
      </c>
      <c r="B5320" s="1" t="s">
        <v>10828</v>
      </c>
      <c r="C5320" s="1" t="s">
        <v>9918</v>
      </c>
      <c r="D5320" t="b">
        <f ca="1">IF(A5320="","",[1]!s_techanal_rcnthigh(B5320,$B$2,1,3))</f>
        <v>0</v>
      </c>
      <c r="E5320">
        <f ca="1">IF(A5320="","",COUNTIF(D$6:D5320,"True"))</f>
        <v>56</v>
      </c>
      <c r="F5320" t="str">
        <f t="shared" si="83"/>
        <v>920275.BJ</v>
      </c>
    </row>
    <row r="5321" spans="1:6" x14ac:dyDescent="0.15">
      <c r="A5321" s="2">
        <v>46089</v>
      </c>
      <c r="B5321" s="1" t="s">
        <v>10829</v>
      </c>
      <c r="C5321" s="1" t="s">
        <v>9806</v>
      </c>
      <c r="D5321" t="b">
        <f ca="1">IF(A5321="","",[1]!s_techanal_rcnthigh(B5321,$B$2,1,3))</f>
        <v>0</v>
      </c>
      <c r="E5321">
        <f ca="1">IF(A5321="","",COUNTIF(D$6:D5321,"True"))</f>
        <v>56</v>
      </c>
      <c r="F5321" t="str">
        <f t="shared" si="83"/>
        <v>920278.BJ</v>
      </c>
    </row>
    <row r="5322" spans="1:6" x14ac:dyDescent="0.15">
      <c r="A5322" s="2">
        <v>46089</v>
      </c>
      <c r="B5322" s="1" t="s">
        <v>10830</v>
      </c>
      <c r="C5322" s="1" t="s">
        <v>9827</v>
      </c>
      <c r="D5322" t="b">
        <f ca="1">IF(A5322="","",[1]!s_techanal_rcnthigh(B5322,$B$2,1,3))</f>
        <v>0</v>
      </c>
      <c r="E5322">
        <f ca="1">IF(A5322="","",COUNTIF(D$6:D5322,"True"))</f>
        <v>56</v>
      </c>
      <c r="F5322" t="str">
        <f t="shared" si="83"/>
        <v>920284.BJ</v>
      </c>
    </row>
    <row r="5323" spans="1:6" x14ac:dyDescent="0.15">
      <c r="A5323" s="2">
        <v>46089</v>
      </c>
      <c r="B5323" s="1" t="s">
        <v>10831</v>
      </c>
      <c r="C5323" s="1" t="s">
        <v>9937</v>
      </c>
      <c r="D5323" t="b">
        <f ca="1">IF(A5323="","",[1]!s_techanal_rcnthigh(B5323,$B$2,1,3))</f>
        <v>0</v>
      </c>
      <c r="E5323">
        <f ca="1">IF(A5323="","",COUNTIF(D$6:D5323,"True"))</f>
        <v>56</v>
      </c>
      <c r="F5323" t="str">
        <f t="shared" si="83"/>
        <v>920299.BJ</v>
      </c>
    </row>
    <row r="5324" spans="1:6" x14ac:dyDescent="0.15">
      <c r="A5324" s="2">
        <v>46089</v>
      </c>
      <c r="B5324" s="1" t="s">
        <v>10832</v>
      </c>
      <c r="C5324" s="1" t="s">
        <v>5414</v>
      </c>
      <c r="D5324" t="b">
        <f ca="1">IF(A5324="","",[1]!s_techanal_rcnthigh(B5324,$B$2,1,3))</f>
        <v>0</v>
      </c>
      <c r="E5324">
        <f ca="1">IF(A5324="","",COUNTIF(D$6:D5324,"True"))</f>
        <v>56</v>
      </c>
      <c r="F5324" t="str">
        <f t="shared" si="83"/>
        <v>920300.BJ</v>
      </c>
    </row>
    <row r="5325" spans="1:6" x14ac:dyDescent="0.15">
      <c r="A5325" s="2">
        <v>46089</v>
      </c>
      <c r="B5325" s="1" t="s">
        <v>10833</v>
      </c>
      <c r="C5325" s="1" t="s">
        <v>9781</v>
      </c>
      <c r="D5325" t="b">
        <f ca="1">IF(A5325="","",[1]!s_techanal_rcnthigh(B5325,$B$2,1,3))</f>
        <v>0</v>
      </c>
      <c r="E5325">
        <f ca="1">IF(A5325="","",COUNTIF(D$6:D5325,"True"))</f>
        <v>56</v>
      </c>
      <c r="F5325" t="str">
        <f t="shared" si="83"/>
        <v>920304.BJ</v>
      </c>
    </row>
    <row r="5326" spans="1:6" x14ac:dyDescent="0.15">
      <c r="A5326" s="2">
        <v>46089</v>
      </c>
      <c r="B5326" s="1" t="s">
        <v>10834</v>
      </c>
      <c r="C5326" s="1" t="s">
        <v>10835</v>
      </c>
      <c r="D5326" t="b">
        <f ca="1">IF(A5326="","",[1]!s_techanal_rcnthigh(B5326,$B$2,1,3))</f>
        <v>0</v>
      </c>
      <c r="E5326">
        <f ca="1">IF(A5326="","",COUNTIF(D$6:D5326,"True"))</f>
        <v>56</v>
      </c>
      <c r="F5326" t="str">
        <f t="shared" si="83"/>
        <v>920305.BJ</v>
      </c>
    </row>
    <row r="5327" spans="1:6" x14ac:dyDescent="0.15">
      <c r="A5327" s="2">
        <v>46089</v>
      </c>
      <c r="B5327" s="1" t="s">
        <v>10836</v>
      </c>
      <c r="C5327" s="1" t="s">
        <v>9974</v>
      </c>
      <c r="D5327" t="b">
        <f ca="1">IF(A5327="","",[1]!s_techanal_rcnthigh(B5327,$B$2,1,3))</f>
        <v>0</v>
      </c>
      <c r="E5327">
        <f ca="1">IF(A5327="","",COUNTIF(D$6:D5327,"True"))</f>
        <v>56</v>
      </c>
      <c r="F5327" t="str">
        <f t="shared" si="83"/>
        <v>920339.BJ</v>
      </c>
    </row>
    <row r="5328" spans="1:6" x14ac:dyDescent="0.15">
      <c r="A5328" s="2">
        <v>46089</v>
      </c>
      <c r="B5328" s="1" t="s">
        <v>10837</v>
      </c>
      <c r="C5328" s="1" t="s">
        <v>9907</v>
      </c>
      <c r="D5328" t="b">
        <f ca="1">IF(A5328="","",[1]!s_techanal_rcnthigh(B5328,$B$2,1,3))</f>
        <v>0</v>
      </c>
      <c r="E5328">
        <f ca="1">IF(A5328="","",COUNTIF(D$6:D5328,"True"))</f>
        <v>56</v>
      </c>
      <c r="F5328" t="str">
        <f t="shared" si="83"/>
        <v>920344.BJ</v>
      </c>
    </row>
    <row r="5329" spans="1:6" x14ac:dyDescent="0.15">
      <c r="A5329" s="2">
        <v>46089</v>
      </c>
      <c r="B5329" s="1" t="s">
        <v>10838</v>
      </c>
      <c r="C5329" s="1" t="s">
        <v>9828</v>
      </c>
      <c r="D5329" t="b">
        <f ca="1">IF(A5329="","",[1]!s_techanal_rcnthigh(B5329,$B$2,1,3))</f>
        <v>0</v>
      </c>
      <c r="E5329">
        <f ca="1">IF(A5329="","",COUNTIF(D$6:D5329,"True"))</f>
        <v>56</v>
      </c>
      <c r="F5329" t="str">
        <f t="shared" si="83"/>
        <v>920346.BJ</v>
      </c>
    </row>
    <row r="5330" spans="1:6" x14ac:dyDescent="0.15">
      <c r="A5330" s="2">
        <v>46089</v>
      </c>
      <c r="B5330" s="1" t="s">
        <v>10839</v>
      </c>
      <c r="C5330" s="1" t="s">
        <v>9958</v>
      </c>
      <c r="D5330" t="b">
        <f ca="1">IF(A5330="","",[1]!s_techanal_rcnthigh(B5330,$B$2,1,3))</f>
        <v>0</v>
      </c>
      <c r="E5330">
        <f ca="1">IF(A5330="","",COUNTIF(D$6:D5330,"True"))</f>
        <v>56</v>
      </c>
      <c r="F5330" t="str">
        <f t="shared" si="83"/>
        <v>920351.BJ</v>
      </c>
    </row>
    <row r="5331" spans="1:6" x14ac:dyDescent="0.15">
      <c r="A5331" s="2">
        <v>46089</v>
      </c>
      <c r="B5331" s="1" t="s">
        <v>10840</v>
      </c>
      <c r="C5331" s="1" t="s">
        <v>9938</v>
      </c>
      <c r="D5331" t="b">
        <f ca="1">IF(A5331="","",[1]!s_techanal_rcnthigh(B5331,$B$2,1,3))</f>
        <v>0</v>
      </c>
      <c r="E5331">
        <f ca="1">IF(A5331="","",COUNTIF(D$6:D5331,"True"))</f>
        <v>56</v>
      </c>
      <c r="F5331" t="str">
        <f t="shared" si="83"/>
        <v>920357.BJ</v>
      </c>
    </row>
    <row r="5332" spans="1:6" x14ac:dyDescent="0.15">
      <c r="A5332" s="2">
        <v>46089</v>
      </c>
      <c r="B5332" s="1" t="s">
        <v>10841</v>
      </c>
      <c r="C5332" s="1" t="s">
        <v>9946</v>
      </c>
      <c r="D5332" t="b">
        <f ca="1">IF(A5332="","",[1]!s_techanal_rcnthigh(B5332,$B$2,1,3))</f>
        <v>0</v>
      </c>
      <c r="E5332">
        <f ca="1">IF(A5332="","",COUNTIF(D$6:D5332,"True"))</f>
        <v>56</v>
      </c>
      <c r="F5332" t="str">
        <f t="shared" si="83"/>
        <v>920363.BJ</v>
      </c>
    </row>
    <row r="5333" spans="1:6" x14ac:dyDescent="0.15">
      <c r="A5333" s="2">
        <v>46089</v>
      </c>
      <c r="B5333" s="1" t="s">
        <v>10842</v>
      </c>
      <c r="C5333" s="1" t="s">
        <v>9970</v>
      </c>
      <c r="D5333" t="b">
        <f ca="1">IF(A5333="","",[1]!s_techanal_rcnthigh(B5333,$B$2,1,3))</f>
        <v>0</v>
      </c>
      <c r="E5333">
        <f ca="1">IF(A5333="","",COUNTIF(D$6:D5333,"True"))</f>
        <v>56</v>
      </c>
      <c r="F5333" t="str">
        <f t="shared" si="83"/>
        <v>920367.BJ</v>
      </c>
    </row>
    <row r="5334" spans="1:6" x14ac:dyDescent="0.15">
      <c r="A5334" s="2">
        <v>46089</v>
      </c>
      <c r="B5334" s="1" t="s">
        <v>10843</v>
      </c>
      <c r="C5334" s="1" t="s">
        <v>9866</v>
      </c>
      <c r="D5334" t="b">
        <f ca="1">IF(A5334="","",[1]!s_techanal_rcnthigh(B5334,$B$2,1,3))</f>
        <v>0</v>
      </c>
      <c r="E5334">
        <f ca="1">IF(A5334="","",COUNTIF(D$6:D5334,"True"))</f>
        <v>56</v>
      </c>
      <c r="F5334" t="str">
        <f t="shared" si="83"/>
        <v>920368.BJ</v>
      </c>
    </row>
    <row r="5335" spans="1:6" x14ac:dyDescent="0.15">
      <c r="A5335" s="2">
        <v>46089</v>
      </c>
      <c r="B5335" s="1" t="s">
        <v>10844</v>
      </c>
      <c r="C5335" s="1" t="s">
        <v>9783</v>
      </c>
      <c r="D5335" t="b">
        <f ca="1">IF(A5335="","",[1]!s_techanal_rcnthigh(B5335,$B$2,1,3))</f>
        <v>0</v>
      </c>
      <c r="E5335">
        <f ca="1">IF(A5335="","",COUNTIF(D$6:D5335,"True"))</f>
        <v>56</v>
      </c>
      <c r="F5335" t="str">
        <f t="shared" si="83"/>
        <v>920370.BJ</v>
      </c>
    </row>
    <row r="5336" spans="1:6" x14ac:dyDescent="0.15">
      <c r="A5336" s="2">
        <v>46089</v>
      </c>
      <c r="B5336" s="1" t="s">
        <v>10845</v>
      </c>
      <c r="C5336" s="1" t="s">
        <v>9927</v>
      </c>
      <c r="D5336" t="b">
        <f ca="1">IF(A5336="","",[1]!s_techanal_rcnthigh(B5336,$B$2,1,3))</f>
        <v>0</v>
      </c>
      <c r="E5336">
        <f ca="1">IF(A5336="","",COUNTIF(D$6:D5336,"True"))</f>
        <v>56</v>
      </c>
      <c r="F5336" t="str">
        <f t="shared" si="83"/>
        <v>920371.BJ</v>
      </c>
    </row>
    <row r="5337" spans="1:6" x14ac:dyDescent="0.15">
      <c r="A5337" s="2">
        <v>46089</v>
      </c>
      <c r="B5337" s="1" t="s">
        <v>10846</v>
      </c>
      <c r="C5337" s="1" t="s">
        <v>9959</v>
      </c>
      <c r="D5337" t="b">
        <f ca="1">IF(A5337="","",[1]!s_techanal_rcnthigh(B5337,$B$2,1,3))</f>
        <v>0</v>
      </c>
      <c r="E5337">
        <f ca="1">IF(A5337="","",COUNTIF(D$6:D5337,"True"))</f>
        <v>56</v>
      </c>
      <c r="F5337" t="str">
        <f t="shared" si="83"/>
        <v>920374.BJ</v>
      </c>
    </row>
    <row r="5338" spans="1:6" x14ac:dyDescent="0.15">
      <c r="A5338" s="2">
        <v>46089</v>
      </c>
      <c r="B5338" s="1" t="s">
        <v>10847</v>
      </c>
      <c r="C5338" s="1" t="s">
        <v>9778</v>
      </c>
      <c r="D5338" t="b">
        <f ca="1">IF(A5338="","",[1]!s_techanal_rcnthigh(B5338,$B$2,1,3))</f>
        <v>0</v>
      </c>
      <c r="E5338">
        <f ca="1">IF(A5338="","",COUNTIF(D$6:D5338,"True"))</f>
        <v>56</v>
      </c>
      <c r="F5338" t="str">
        <f t="shared" si="83"/>
        <v>920375.BJ</v>
      </c>
    </row>
    <row r="5339" spans="1:6" x14ac:dyDescent="0.15">
      <c r="A5339" s="2">
        <v>46089</v>
      </c>
      <c r="B5339" s="1" t="s">
        <v>10848</v>
      </c>
      <c r="C5339" s="1" t="s">
        <v>9780</v>
      </c>
      <c r="D5339" t="b">
        <f ca="1">IF(A5339="","",[1]!s_techanal_rcnthigh(B5339,$B$2,1,3))</f>
        <v>0</v>
      </c>
      <c r="E5339">
        <f ca="1">IF(A5339="","",COUNTIF(D$6:D5339,"True"))</f>
        <v>56</v>
      </c>
      <c r="F5339" t="str">
        <f t="shared" si="83"/>
        <v>920378.BJ</v>
      </c>
    </row>
    <row r="5340" spans="1:6" x14ac:dyDescent="0.15">
      <c r="A5340" s="2">
        <v>46089</v>
      </c>
      <c r="B5340" s="1" t="s">
        <v>10849</v>
      </c>
      <c r="C5340" s="1" t="s">
        <v>9960</v>
      </c>
      <c r="D5340" t="b">
        <f ca="1">IF(A5340="","",[1]!s_techanal_rcnthigh(B5340,$B$2,1,3))</f>
        <v>0</v>
      </c>
      <c r="E5340">
        <f ca="1">IF(A5340="","",COUNTIF(D$6:D5340,"True"))</f>
        <v>56</v>
      </c>
      <c r="F5340" t="str">
        <f t="shared" si="83"/>
        <v>920392.BJ</v>
      </c>
    </row>
    <row r="5341" spans="1:6" x14ac:dyDescent="0.15">
      <c r="A5341" s="2">
        <v>46089</v>
      </c>
      <c r="B5341" s="1" t="s">
        <v>10850</v>
      </c>
      <c r="C5341" s="1" t="s">
        <v>9829</v>
      </c>
      <c r="D5341" t="b">
        <f ca="1">IF(A5341="","",[1]!s_techanal_rcnthigh(B5341,$B$2,1,3))</f>
        <v>0</v>
      </c>
      <c r="E5341">
        <f ca="1">IF(A5341="","",COUNTIF(D$6:D5341,"True"))</f>
        <v>56</v>
      </c>
      <c r="F5341" t="str">
        <f t="shared" si="83"/>
        <v>920394.BJ</v>
      </c>
    </row>
    <row r="5342" spans="1:6" x14ac:dyDescent="0.15">
      <c r="A5342" s="2">
        <v>46089</v>
      </c>
      <c r="B5342" s="1" t="s">
        <v>10851</v>
      </c>
      <c r="C5342" s="1" t="s">
        <v>9883</v>
      </c>
      <c r="D5342" t="b">
        <f ca="1">IF(A5342="","",[1]!s_techanal_rcnthigh(B5342,$B$2,1,3))</f>
        <v>0</v>
      </c>
      <c r="E5342">
        <f ca="1">IF(A5342="","",COUNTIF(D$6:D5342,"True"))</f>
        <v>56</v>
      </c>
      <c r="F5342" t="str">
        <f t="shared" si="83"/>
        <v>920395.BJ</v>
      </c>
    </row>
    <row r="5343" spans="1:6" x14ac:dyDescent="0.15">
      <c r="A5343" s="2">
        <v>46089</v>
      </c>
      <c r="B5343" s="1" t="s">
        <v>10852</v>
      </c>
      <c r="C5343" s="1" t="s">
        <v>9947</v>
      </c>
      <c r="D5343" t="b">
        <f ca="1">IF(A5343="","",[1]!s_techanal_rcnthigh(B5343,$B$2,1,3))</f>
        <v>0</v>
      </c>
      <c r="E5343">
        <f ca="1">IF(A5343="","",COUNTIF(D$6:D5343,"True"))</f>
        <v>56</v>
      </c>
      <c r="F5343" t="str">
        <f t="shared" si="83"/>
        <v>920396.BJ</v>
      </c>
    </row>
    <row r="5344" spans="1:6" x14ac:dyDescent="0.15">
      <c r="A5344" s="2">
        <v>46089</v>
      </c>
      <c r="B5344" s="1" t="s">
        <v>10853</v>
      </c>
      <c r="C5344" s="1" t="s">
        <v>9919</v>
      </c>
      <c r="D5344" t="b">
        <f ca="1">IF(A5344="","",[1]!s_techanal_rcnthigh(B5344,$B$2,1,3))</f>
        <v>0</v>
      </c>
      <c r="E5344">
        <f ca="1">IF(A5344="","",COUNTIF(D$6:D5344,"True"))</f>
        <v>56</v>
      </c>
      <c r="F5344" t="str">
        <f t="shared" si="83"/>
        <v>920402.BJ</v>
      </c>
    </row>
    <row r="5345" spans="1:6" x14ac:dyDescent="0.15">
      <c r="A5345" s="2">
        <v>46089</v>
      </c>
      <c r="B5345" s="1" t="s">
        <v>10854</v>
      </c>
      <c r="C5345" s="1" t="s">
        <v>9908</v>
      </c>
      <c r="D5345" t="b">
        <f ca="1">IF(A5345="","",[1]!s_techanal_rcnthigh(B5345,$B$2,1,3))</f>
        <v>0</v>
      </c>
      <c r="E5345">
        <f ca="1">IF(A5345="","",COUNTIF(D$6:D5345,"True"))</f>
        <v>56</v>
      </c>
      <c r="F5345" t="str">
        <f t="shared" si="83"/>
        <v>920403.BJ</v>
      </c>
    </row>
    <row r="5346" spans="1:6" x14ac:dyDescent="0.15">
      <c r="A5346" s="2">
        <v>46089</v>
      </c>
      <c r="B5346" s="1" t="s">
        <v>10855</v>
      </c>
      <c r="C5346" s="1" t="s">
        <v>9782</v>
      </c>
      <c r="D5346" t="b">
        <f ca="1">IF(A5346="","",[1]!s_techanal_rcnthigh(B5346,$B$2,1,3))</f>
        <v>0</v>
      </c>
      <c r="E5346">
        <f ca="1">IF(A5346="","",COUNTIF(D$6:D5346,"True"))</f>
        <v>56</v>
      </c>
      <c r="F5346" t="str">
        <f t="shared" si="83"/>
        <v>920405.BJ</v>
      </c>
    </row>
    <row r="5347" spans="1:6" x14ac:dyDescent="0.15">
      <c r="A5347" s="2">
        <v>46089</v>
      </c>
      <c r="B5347" s="1" t="s">
        <v>10856</v>
      </c>
      <c r="C5347" s="1" t="s">
        <v>9851</v>
      </c>
      <c r="D5347" t="b">
        <f ca="1">IF(A5347="","",[1]!s_techanal_rcnthigh(B5347,$B$2,1,3))</f>
        <v>0</v>
      </c>
      <c r="E5347">
        <f ca="1">IF(A5347="","",COUNTIF(D$6:D5347,"True"))</f>
        <v>56</v>
      </c>
      <c r="F5347" t="str">
        <f t="shared" si="83"/>
        <v>920407.BJ</v>
      </c>
    </row>
    <row r="5348" spans="1:6" x14ac:dyDescent="0.15">
      <c r="A5348" s="2">
        <v>46089</v>
      </c>
      <c r="B5348" s="1" t="s">
        <v>10857</v>
      </c>
      <c r="C5348" s="1" t="s">
        <v>9884</v>
      </c>
      <c r="D5348" t="b">
        <f ca="1">IF(A5348="","",[1]!s_techanal_rcnthigh(B5348,$B$2,1,3))</f>
        <v>0</v>
      </c>
      <c r="E5348">
        <f ca="1">IF(A5348="","",COUNTIF(D$6:D5348,"True"))</f>
        <v>56</v>
      </c>
      <c r="F5348" t="str">
        <f t="shared" si="83"/>
        <v>920414.BJ</v>
      </c>
    </row>
    <row r="5349" spans="1:6" x14ac:dyDescent="0.15">
      <c r="A5349" s="2">
        <v>46089</v>
      </c>
      <c r="B5349" s="1" t="s">
        <v>10858</v>
      </c>
      <c r="C5349" s="1" t="s">
        <v>9852</v>
      </c>
      <c r="D5349" t="b">
        <f ca="1">IF(A5349="","",[1]!s_techanal_rcnthigh(B5349,$B$2,1,3))</f>
        <v>0</v>
      </c>
      <c r="E5349">
        <f ca="1">IF(A5349="","",COUNTIF(D$6:D5349,"True"))</f>
        <v>56</v>
      </c>
      <c r="F5349" t="str">
        <f t="shared" si="83"/>
        <v>920415.BJ</v>
      </c>
    </row>
    <row r="5350" spans="1:6" x14ac:dyDescent="0.15">
      <c r="A5350" s="2">
        <v>46089</v>
      </c>
      <c r="B5350" s="1" t="s">
        <v>10859</v>
      </c>
      <c r="C5350" s="1" t="s">
        <v>5415</v>
      </c>
      <c r="D5350" t="b">
        <f ca="1">IF(A5350="","",[1]!s_techanal_rcnthigh(B5350,$B$2,1,3))</f>
        <v>0</v>
      </c>
      <c r="E5350">
        <f ca="1">IF(A5350="","",COUNTIF(D$6:D5350,"True"))</f>
        <v>56</v>
      </c>
      <c r="F5350" t="str">
        <f t="shared" si="83"/>
        <v>920418.BJ</v>
      </c>
    </row>
    <row r="5351" spans="1:6" x14ac:dyDescent="0.15">
      <c r="A5351" s="2">
        <v>46089</v>
      </c>
      <c r="B5351" s="1" t="s">
        <v>10860</v>
      </c>
      <c r="C5351" s="1" t="s">
        <v>9807</v>
      </c>
      <c r="D5351" t="b">
        <f ca="1">IF(A5351="","",[1]!s_techanal_rcnthigh(B5351,$B$2,1,3))</f>
        <v>0</v>
      </c>
      <c r="E5351">
        <f ca="1">IF(A5351="","",COUNTIF(D$6:D5351,"True"))</f>
        <v>56</v>
      </c>
      <c r="F5351" t="str">
        <f t="shared" si="83"/>
        <v>920419.BJ</v>
      </c>
    </row>
    <row r="5352" spans="1:6" x14ac:dyDescent="0.15">
      <c r="A5352" s="2">
        <v>46089</v>
      </c>
      <c r="B5352" s="1" t="s">
        <v>10861</v>
      </c>
      <c r="C5352" s="1" t="s">
        <v>9886</v>
      </c>
      <c r="D5352" t="b">
        <f ca="1">IF(A5352="","",[1]!s_techanal_rcnthigh(B5352,$B$2,1,3))</f>
        <v>0</v>
      </c>
      <c r="E5352">
        <f ca="1">IF(A5352="","",COUNTIF(D$6:D5352,"True"))</f>
        <v>56</v>
      </c>
      <c r="F5352" t="str">
        <f t="shared" si="83"/>
        <v>920422.BJ</v>
      </c>
    </row>
    <row r="5353" spans="1:6" x14ac:dyDescent="0.15">
      <c r="A5353" s="2">
        <v>46089</v>
      </c>
      <c r="B5353" s="1" t="s">
        <v>10862</v>
      </c>
      <c r="C5353" s="1" t="s">
        <v>5416</v>
      </c>
      <c r="D5353" t="b">
        <f ca="1">IF(A5353="","",[1]!s_techanal_rcnthigh(B5353,$B$2,1,3))</f>
        <v>0</v>
      </c>
      <c r="E5353">
        <f ca="1">IF(A5353="","",COUNTIF(D$6:D5353,"True"))</f>
        <v>56</v>
      </c>
      <c r="F5353" t="str">
        <f t="shared" si="83"/>
        <v>920425.BJ</v>
      </c>
    </row>
    <row r="5354" spans="1:6" x14ac:dyDescent="0.15">
      <c r="A5354" s="2">
        <v>46089</v>
      </c>
      <c r="B5354" s="1" t="s">
        <v>10863</v>
      </c>
      <c r="C5354" s="1" t="s">
        <v>9830</v>
      </c>
      <c r="D5354" t="b">
        <f ca="1">IF(A5354="","",[1]!s_techanal_rcnthigh(B5354,$B$2,1,3))</f>
        <v>0</v>
      </c>
      <c r="E5354">
        <f ca="1">IF(A5354="","",COUNTIF(D$6:D5354,"True"))</f>
        <v>56</v>
      </c>
      <c r="F5354" t="str">
        <f t="shared" si="83"/>
        <v>920427.BJ</v>
      </c>
    </row>
    <row r="5355" spans="1:6" x14ac:dyDescent="0.15">
      <c r="A5355" s="2">
        <v>46089</v>
      </c>
      <c r="B5355" s="1" t="s">
        <v>10864</v>
      </c>
      <c r="C5355" s="1" t="s">
        <v>9831</v>
      </c>
      <c r="D5355" t="b">
        <f ca="1">IF(A5355="","",[1]!s_techanal_rcnthigh(B5355,$B$2,1,3))</f>
        <v>0</v>
      </c>
      <c r="E5355">
        <f ca="1">IF(A5355="","",COUNTIF(D$6:D5355,"True"))</f>
        <v>56</v>
      </c>
      <c r="F5355" t="str">
        <f t="shared" si="83"/>
        <v>920429.BJ</v>
      </c>
    </row>
    <row r="5356" spans="1:6" x14ac:dyDescent="0.15">
      <c r="A5356" s="2">
        <v>46089</v>
      </c>
      <c r="B5356" s="1" t="s">
        <v>10865</v>
      </c>
      <c r="C5356" s="1" t="s">
        <v>9887</v>
      </c>
      <c r="D5356" t="b">
        <f ca="1">IF(A5356="","",[1]!s_techanal_rcnthigh(B5356,$B$2,1,3))</f>
        <v>0</v>
      </c>
      <c r="E5356">
        <f ca="1">IF(A5356="","",COUNTIF(D$6:D5356,"True"))</f>
        <v>56</v>
      </c>
      <c r="F5356" t="str">
        <f t="shared" si="83"/>
        <v>920433.BJ</v>
      </c>
    </row>
    <row r="5357" spans="1:6" x14ac:dyDescent="0.15">
      <c r="A5357" s="2">
        <v>46089</v>
      </c>
      <c r="B5357" s="1" t="s">
        <v>10866</v>
      </c>
      <c r="C5357" s="1" t="s">
        <v>9939</v>
      </c>
      <c r="D5357" t="b">
        <f ca="1">IF(A5357="","",[1]!s_techanal_rcnthigh(B5357,$B$2,1,3))</f>
        <v>0</v>
      </c>
      <c r="E5357">
        <f ca="1">IF(A5357="","",COUNTIF(D$6:D5357,"True"))</f>
        <v>56</v>
      </c>
      <c r="F5357" t="str">
        <f t="shared" si="83"/>
        <v>920436.BJ</v>
      </c>
    </row>
    <row r="5358" spans="1:6" x14ac:dyDescent="0.15">
      <c r="A5358" s="2">
        <v>46089</v>
      </c>
      <c r="B5358" s="1" t="s">
        <v>10867</v>
      </c>
      <c r="C5358" s="1" t="s">
        <v>10006</v>
      </c>
      <c r="D5358" t="b">
        <f ca="1">IF(A5358="","",[1]!s_techanal_rcnthigh(B5358,$B$2,1,3))</f>
        <v>0</v>
      </c>
      <c r="E5358">
        <f ca="1">IF(A5358="","",COUNTIF(D$6:D5358,"True"))</f>
        <v>56</v>
      </c>
      <c r="F5358" t="str">
        <f t="shared" si="83"/>
        <v>920438.BJ</v>
      </c>
    </row>
    <row r="5359" spans="1:6" x14ac:dyDescent="0.15">
      <c r="A5359" s="2">
        <v>46089</v>
      </c>
      <c r="B5359" s="1" t="s">
        <v>10868</v>
      </c>
      <c r="C5359" s="1" t="s">
        <v>9785</v>
      </c>
      <c r="D5359" t="b">
        <f ca="1">IF(A5359="","",[1]!s_techanal_rcnthigh(B5359,$B$2,1,3))</f>
        <v>0</v>
      </c>
      <c r="E5359">
        <f ca="1">IF(A5359="","",COUNTIF(D$6:D5359,"True"))</f>
        <v>56</v>
      </c>
      <c r="F5359" t="str">
        <f t="shared" si="83"/>
        <v>920445.BJ</v>
      </c>
    </row>
    <row r="5360" spans="1:6" x14ac:dyDescent="0.15">
      <c r="A5360" s="2">
        <v>46089</v>
      </c>
      <c r="B5360" s="1" t="s">
        <v>10869</v>
      </c>
      <c r="C5360" s="1" t="s">
        <v>9832</v>
      </c>
      <c r="D5360" t="b">
        <f ca="1">IF(A5360="","",[1]!s_techanal_rcnthigh(B5360,$B$2,1,3))</f>
        <v>0</v>
      </c>
      <c r="E5360">
        <f ca="1">IF(A5360="","",COUNTIF(D$6:D5360,"True"))</f>
        <v>56</v>
      </c>
      <c r="F5360" t="str">
        <f t="shared" si="83"/>
        <v>920454.BJ</v>
      </c>
    </row>
    <row r="5361" spans="1:6" x14ac:dyDescent="0.15">
      <c r="A5361" s="2">
        <v>46089</v>
      </c>
      <c r="B5361" s="1" t="s">
        <v>10870</v>
      </c>
      <c r="C5361" s="1" t="s">
        <v>9833</v>
      </c>
      <c r="D5361" t="b">
        <f ca="1">IF(A5361="","",[1]!s_techanal_rcnthigh(B5361,$B$2,1,3))</f>
        <v>0</v>
      </c>
      <c r="E5361">
        <f ca="1">IF(A5361="","",COUNTIF(D$6:D5361,"True"))</f>
        <v>56</v>
      </c>
      <c r="F5361" t="str">
        <f t="shared" si="83"/>
        <v>920455.BJ</v>
      </c>
    </row>
    <row r="5362" spans="1:6" x14ac:dyDescent="0.15">
      <c r="A5362" s="2">
        <v>46089</v>
      </c>
      <c r="B5362" s="1" t="s">
        <v>10871</v>
      </c>
      <c r="C5362" s="1" t="s">
        <v>9808</v>
      </c>
      <c r="D5362" t="b">
        <f ca="1">IF(A5362="","",[1]!s_techanal_rcnthigh(B5362,$B$2,1,3))</f>
        <v>0</v>
      </c>
      <c r="E5362">
        <f ca="1">IF(A5362="","",COUNTIF(D$6:D5362,"True"))</f>
        <v>56</v>
      </c>
      <c r="F5362" t="str">
        <f t="shared" si="83"/>
        <v>920469.BJ</v>
      </c>
    </row>
    <row r="5363" spans="1:6" x14ac:dyDescent="0.15">
      <c r="A5363" s="2">
        <v>46089</v>
      </c>
      <c r="B5363" s="1" t="s">
        <v>10872</v>
      </c>
      <c r="C5363" s="1" t="s">
        <v>9809</v>
      </c>
      <c r="D5363" t="b">
        <f ca="1">IF(A5363="","",[1]!s_techanal_rcnthigh(B5363,$B$2,1,3))</f>
        <v>0</v>
      </c>
      <c r="E5363">
        <f ca="1">IF(A5363="","",COUNTIF(D$6:D5363,"True"))</f>
        <v>56</v>
      </c>
      <c r="F5363" t="str">
        <f t="shared" si="83"/>
        <v>920471.BJ</v>
      </c>
    </row>
    <row r="5364" spans="1:6" x14ac:dyDescent="0.15">
      <c r="A5364" s="2">
        <v>46089</v>
      </c>
      <c r="B5364" s="1" t="s">
        <v>10873</v>
      </c>
      <c r="C5364" s="1" t="s">
        <v>9853</v>
      </c>
      <c r="D5364" t="b">
        <f ca="1">IF(A5364="","",[1]!s_techanal_rcnthigh(B5364,$B$2,1,3))</f>
        <v>0</v>
      </c>
      <c r="E5364">
        <f ca="1">IF(A5364="","",COUNTIF(D$6:D5364,"True"))</f>
        <v>56</v>
      </c>
      <c r="F5364" t="str">
        <f t="shared" si="83"/>
        <v>920475.BJ</v>
      </c>
    </row>
    <row r="5365" spans="1:6" x14ac:dyDescent="0.15">
      <c r="A5365" s="2">
        <v>46089</v>
      </c>
      <c r="B5365" s="1" t="s">
        <v>10874</v>
      </c>
      <c r="C5365" s="1" t="s">
        <v>5417</v>
      </c>
      <c r="D5365" t="b">
        <f ca="1">IF(A5365="","",[1]!s_techanal_rcnthigh(B5365,$B$2,1,3))</f>
        <v>0</v>
      </c>
      <c r="E5365">
        <f ca="1">IF(A5365="","",COUNTIF(D$6:D5365,"True"))</f>
        <v>56</v>
      </c>
      <c r="F5365" t="str">
        <f t="shared" si="83"/>
        <v>920476.BJ</v>
      </c>
    </row>
    <row r="5366" spans="1:6" x14ac:dyDescent="0.15">
      <c r="A5366" s="2">
        <v>46089</v>
      </c>
      <c r="B5366" s="1" t="s">
        <v>10875</v>
      </c>
      <c r="C5366" s="1" t="s">
        <v>5418</v>
      </c>
      <c r="D5366" t="b">
        <f ca="1">IF(A5366="","",[1]!s_techanal_rcnthigh(B5366,$B$2,1,3))</f>
        <v>0</v>
      </c>
      <c r="E5366">
        <f ca="1">IF(A5366="","",COUNTIF(D$6:D5366,"True"))</f>
        <v>56</v>
      </c>
      <c r="F5366" t="str">
        <f t="shared" si="83"/>
        <v>920478.BJ</v>
      </c>
    </row>
    <row r="5367" spans="1:6" x14ac:dyDescent="0.15">
      <c r="A5367" s="2">
        <v>46089</v>
      </c>
      <c r="B5367" s="1" t="s">
        <v>10876</v>
      </c>
      <c r="C5367" s="1" t="s">
        <v>5419</v>
      </c>
      <c r="D5367" t="b">
        <f ca="1">IF(A5367="","",[1]!s_techanal_rcnthigh(B5367,$B$2,1,3))</f>
        <v>0</v>
      </c>
      <c r="E5367">
        <f ca="1">IF(A5367="","",COUNTIF(D$6:D5367,"True"))</f>
        <v>56</v>
      </c>
      <c r="F5367" t="str">
        <f t="shared" si="83"/>
        <v>920489.BJ</v>
      </c>
    </row>
    <row r="5368" spans="1:6" x14ac:dyDescent="0.15">
      <c r="A5368" s="2">
        <v>46089</v>
      </c>
      <c r="B5368" s="1" t="s">
        <v>10877</v>
      </c>
      <c r="C5368" s="1" t="s">
        <v>9810</v>
      </c>
      <c r="D5368" t="b">
        <f ca="1">IF(A5368="","",[1]!s_techanal_rcnthigh(B5368,$B$2,1,3))</f>
        <v>0</v>
      </c>
      <c r="E5368">
        <f ca="1">IF(A5368="","",COUNTIF(D$6:D5368,"True"))</f>
        <v>56</v>
      </c>
      <c r="F5368" t="str">
        <f t="shared" si="83"/>
        <v>920491.BJ</v>
      </c>
    </row>
    <row r="5369" spans="1:6" x14ac:dyDescent="0.15">
      <c r="A5369" s="2">
        <v>46089</v>
      </c>
      <c r="B5369" s="1" t="s">
        <v>10878</v>
      </c>
      <c r="C5369" s="1" t="s">
        <v>9928</v>
      </c>
      <c r="D5369" t="b">
        <f ca="1">IF(A5369="","",[1]!s_techanal_rcnthigh(B5369,$B$2,1,3))</f>
        <v>0</v>
      </c>
      <c r="E5369">
        <f ca="1">IF(A5369="","",COUNTIF(D$6:D5369,"True"))</f>
        <v>56</v>
      </c>
      <c r="F5369" t="str">
        <f t="shared" si="83"/>
        <v>920493.BJ</v>
      </c>
    </row>
    <row r="5370" spans="1:6" x14ac:dyDescent="0.15">
      <c r="A5370" s="2">
        <v>46089</v>
      </c>
      <c r="B5370" s="1" t="s">
        <v>10879</v>
      </c>
      <c r="C5370" s="1" t="s">
        <v>9784</v>
      </c>
      <c r="D5370" t="b">
        <f ca="1">IF(A5370="","",[1]!s_techanal_rcnthigh(B5370,$B$2,1,3))</f>
        <v>0</v>
      </c>
      <c r="E5370">
        <f ca="1">IF(A5370="","",COUNTIF(D$6:D5370,"True"))</f>
        <v>56</v>
      </c>
      <c r="F5370" t="str">
        <f t="shared" si="83"/>
        <v>920496.BJ</v>
      </c>
    </row>
    <row r="5371" spans="1:6" x14ac:dyDescent="0.15">
      <c r="A5371" s="2">
        <v>46089</v>
      </c>
      <c r="B5371" s="1" t="s">
        <v>10880</v>
      </c>
      <c r="C5371" s="1" t="s">
        <v>9888</v>
      </c>
      <c r="D5371" t="b">
        <f ca="1">IF(A5371="","",[1]!s_techanal_rcnthigh(B5371,$B$2,1,3))</f>
        <v>0</v>
      </c>
      <c r="E5371">
        <f ca="1">IF(A5371="","",COUNTIF(D$6:D5371,"True"))</f>
        <v>56</v>
      </c>
      <c r="F5371" t="str">
        <f t="shared" si="83"/>
        <v>920504.BJ</v>
      </c>
    </row>
    <row r="5372" spans="1:6" x14ac:dyDescent="0.15">
      <c r="A5372" s="2">
        <v>46089</v>
      </c>
      <c r="B5372" s="1" t="s">
        <v>10881</v>
      </c>
      <c r="C5372" s="1" t="s">
        <v>9973</v>
      </c>
      <c r="D5372" t="b">
        <f ca="1">IF(A5372="","",[1]!s_techanal_rcnthigh(B5372,$B$2,1,3))</f>
        <v>0</v>
      </c>
      <c r="E5372">
        <f ca="1">IF(A5372="","",COUNTIF(D$6:D5372,"True"))</f>
        <v>56</v>
      </c>
      <c r="F5372" t="str">
        <f t="shared" si="83"/>
        <v>920505.BJ</v>
      </c>
    </row>
    <row r="5373" spans="1:6" x14ac:dyDescent="0.15">
      <c r="A5373" s="2">
        <v>46089</v>
      </c>
      <c r="B5373" s="1" t="s">
        <v>10882</v>
      </c>
      <c r="C5373" s="1" t="s">
        <v>9867</v>
      </c>
      <c r="D5373" t="b">
        <f ca="1">IF(A5373="","",[1]!s_techanal_rcnthigh(B5373,$B$2,1,3))</f>
        <v>0</v>
      </c>
      <c r="E5373">
        <f ca="1">IF(A5373="","",COUNTIF(D$6:D5373,"True"))</f>
        <v>56</v>
      </c>
      <c r="F5373" t="str">
        <f t="shared" si="83"/>
        <v>920508.BJ</v>
      </c>
    </row>
    <row r="5374" spans="1:6" x14ac:dyDescent="0.15">
      <c r="A5374" s="2">
        <v>46089</v>
      </c>
      <c r="B5374" s="1" t="s">
        <v>10883</v>
      </c>
      <c r="C5374" s="1" t="s">
        <v>9834</v>
      </c>
      <c r="D5374" t="b">
        <f ca="1">IF(A5374="","",[1]!s_techanal_rcnthigh(B5374,$B$2,1,3))</f>
        <v>0</v>
      </c>
      <c r="E5374">
        <f ca="1">IF(A5374="","",COUNTIF(D$6:D5374,"True"))</f>
        <v>56</v>
      </c>
      <c r="F5374" t="str">
        <f t="shared" si="83"/>
        <v>920509.BJ</v>
      </c>
    </row>
    <row r="5375" spans="1:6" x14ac:dyDescent="0.15">
      <c r="A5375" s="2">
        <v>46089</v>
      </c>
      <c r="B5375" s="1" t="s">
        <v>10884</v>
      </c>
      <c r="C5375" s="1" t="s">
        <v>5420</v>
      </c>
      <c r="D5375" t="b">
        <f ca="1">IF(A5375="","",[1]!s_techanal_rcnthigh(B5375,$B$2,1,3))</f>
        <v>0</v>
      </c>
      <c r="E5375">
        <f ca="1">IF(A5375="","",COUNTIF(D$6:D5375,"True"))</f>
        <v>56</v>
      </c>
      <c r="F5375" t="str">
        <f t="shared" si="83"/>
        <v>920510.BJ</v>
      </c>
    </row>
    <row r="5376" spans="1:6" x14ac:dyDescent="0.15">
      <c r="A5376" s="2">
        <v>46089</v>
      </c>
      <c r="B5376" s="1" t="s">
        <v>10885</v>
      </c>
      <c r="C5376" s="1" t="s">
        <v>9885</v>
      </c>
      <c r="D5376" t="b">
        <f ca="1">IF(A5376="","",[1]!s_techanal_rcnthigh(B5376,$B$2,1,3))</f>
        <v>0</v>
      </c>
      <c r="E5376">
        <f ca="1">IF(A5376="","",COUNTIF(D$6:D5376,"True"))</f>
        <v>56</v>
      </c>
      <c r="F5376" t="str">
        <f t="shared" si="83"/>
        <v>920519.BJ</v>
      </c>
    </row>
    <row r="5377" spans="1:6" x14ac:dyDescent="0.15">
      <c r="A5377" s="2">
        <v>46089</v>
      </c>
      <c r="B5377" s="1" t="s">
        <v>10886</v>
      </c>
      <c r="C5377" s="1" t="s">
        <v>9811</v>
      </c>
      <c r="D5377" t="b">
        <f ca="1">IF(A5377="","",[1]!s_techanal_rcnthigh(B5377,$B$2,1,3))</f>
        <v>0</v>
      </c>
      <c r="E5377">
        <f ca="1">IF(A5377="","",COUNTIF(D$6:D5377,"True"))</f>
        <v>56</v>
      </c>
      <c r="F5377" t="str">
        <f t="shared" si="83"/>
        <v>920522.BJ</v>
      </c>
    </row>
    <row r="5378" spans="1:6" x14ac:dyDescent="0.15">
      <c r="A5378" s="2">
        <v>46089</v>
      </c>
      <c r="B5378" s="1" t="s">
        <v>10887</v>
      </c>
      <c r="C5378" s="1" t="s">
        <v>9835</v>
      </c>
      <c r="D5378" t="b">
        <f ca="1">IF(A5378="","",[1]!s_techanal_rcnthigh(B5378,$B$2,1,3))</f>
        <v>0</v>
      </c>
      <c r="E5378">
        <f ca="1">IF(A5378="","",COUNTIF(D$6:D5378,"True"))</f>
        <v>56</v>
      </c>
      <c r="F5378" t="str">
        <f t="shared" si="83"/>
        <v>920523.BJ</v>
      </c>
    </row>
    <row r="5379" spans="1:6" x14ac:dyDescent="0.15">
      <c r="A5379" s="2">
        <v>46089</v>
      </c>
      <c r="B5379" s="1" t="s">
        <v>10888</v>
      </c>
      <c r="C5379" s="1" t="s">
        <v>9786</v>
      </c>
      <c r="D5379" t="b">
        <f ca="1">IF(A5379="","",[1]!s_techanal_rcnthigh(B5379,$B$2,1,3))</f>
        <v>0</v>
      </c>
      <c r="E5379">
        <f ca="1">IF(A5379="","",COUNTIF(D$6:D5379,"True"))</f>
        <v>56</v>
      </c>
      <c r="F5379" t="str">
        <f t="shared" si="83"/>
        <v>920526.BJ</v>
      </c>
    </row>
    <row r="5380" spans="1:6" x14ac:dyDescent="0.15">
      <c r="A5380" s="2">
        <v>46089</v>
      </c>
      <c r="B5380" s="1" t="s">
        <v>10889</v>
      </c>
      <c r="C5380" s="1" t="s">
        <v>9975</v>
      </c>
      <c r="D5380" t="b">
        <f ca="1">IF(A5380="","",[1]!s_techanal_rcnthigh(B5380,$B$2,1,3))</f>
        <v>0</v>
      </c>
      <c r="E5380">
        <f ca="1">IF(A5380="","",COUNTIF(D$6:D5380,"True"))</f>
        <v>56</v>
      </c>
      <c r="F5380" t="str">
        <f t="shared" si="83"/>
        <v>920527.BJ</v>
      </c>
    </row>
    <row r="5381" spans="1:6" x14ac:dyDescent="0.15">
      <c r="A5381" s="2">
        <v>46089</v>
      </c>
      <c r="B5381" s="1" t="s">
        <v>10890</v>
      </c>
      <c r="C5381" s="1" t="s">
        <v>9836</v>
      </c>
      <c r="D5381" t="b">
        <f ca="1">IF(A5381="","",[1]!s_techanal_rcnthigh(B5381,$B$2,1,3))</f>
        <v>0</v>
      </c>
      <c r="E5381">
        <f ca="1">IF(A5381="","",COUNTIF(D$6:D5381,"True"))</f>
        <v>56</v>
      </c>
      <c r="F5381" t="str">
        <f t="shared" si="83"/>
        <v>920533.BJ</v>
      </c>
    </row>
    <row r="5382" spans="1:6" x14ac:dyDescent="0.15">
      <c r="A5382" s="2">
        <v>46089</v>
      </c>
      <c r="B5382" s="1" t="s">
        <v>10891</v>
      </c>
      <c r="C5382" s="1" t="s">
        <v>9961</v>
      </c>
      <c r="D5382" t="b">
        <f ca="1">IF(A5382="","",[1]!s_techanal_rcnthigh(B5382,$B$2,1,3))</f>
        <v>0</v>
      </c>
      <c r="E5382">
        <f ca="1">IF(A5382="","",COUNTIF(D$6:D5382,"True"))</f>
        <v>56</v>
      </c>
      <c r="F5382" t="str">
        <f t="shared" ref="F5382:F5445" si="84">IF(B5382="","",B5382)</f>
        <v>920541.BJ</v>
      </c>
    </row>
    <row r="5383" spans="1:6" x14ac:dyDescent="0.15">
      <c r="A5383" s="2">
        <v>46089</v>
      </c>
      <c r="B5383" s="1" t="s">
        <v>10892</v>
      </c>
      <c r="C5383" s="1" t="s">
        <v>9889</v>
      </c>
      <c r="D5383" t="b">
        <f ca="1">IF(A5383="","",[1]!s_techanal_rcnthigh(B5383,$B$2,1,3))</f>
        <v>0</v>
      </c>
      <c r="E5383">
        <f ca="1">IF(A5383="","",COUNTIF(D$6:D5383,"True"))</f>
        <v>56</v>
      </c>
      <c r="F5383" t="str">
        <f t="shared" si="84"/>
        <v>920547.BJ</v>
      </c>
    </row>
    <row r="5384" spans="1:6" x14ac:dyDescent="0.15">
      <c r="A5384" s="2">
        <v>46089</v>
      </c>
      <c r="B5384" s="1" t="s">
        <v>10893</v>
      </c>
      <c r="C5384" s="1" t="s">
        <v>9949</v>
      </c>
      <c r="D5384" t="b">
        <f ca="1">IF(A5384="","",[1]!s_techanal_rcnthigh(B5384,$B$2,1,3))</f>
        <v>0</v>
      </c>
      <c r="E5384">
        <f ca="1">IF(A5384="","",COUNTIF(D$6:D5384,"True"))</f>
        <v>56</v>
      </c>
      <c r="F5384" t="str">
        <f t="shared" si="84"/>
        <v>920553.BJ</v>
      </c>
    </row>
    <row r="5385" spans="1:6" x14ac:dyDescent="0.15">
      <c r="A5385" s="2">
        <v>46089</v>
      </c>
      <c r="B5385" s="1" t="s">
        <v>10894</v>
      </c>
      <c r="C5385" s="1" t="s">
        <v>5421</v>
      </c>
      <c r="D5385" t="b">
        <f ca="1">IF(A5385="","",[1]!s_techanal_rcnthigh(B5385,$B$2,1,3))</f>
        <v>0</v>
      </c>
      <c r="E5385">
        <f ca="1">IF(A5385="","",COUNTIF(D$6:D5385,"True"))</f>
        <v>56</v>
      </c>
      <c r="F5385" t="str">
        <f t="shared" si="84"/>
        <v>920556.BJ</v>
      </c>
    </row>
    <row r="5386" spans="1:6" x14ac:dyDescent="0.15">
      <c r="A5386" s="2">
        <v>46089</v>
      </c>
      <c r="B5386" s="1" t="s">
        <v>10895</v>
      </c>
      <c r="C5386" s="1" t="s">
        <v>5422</v>
      </c>
      <c r="D5386" t="b">
        <f ca="1">IF(A5386="","",[1]!s_techanal_rcnthigh(B5386,$B$2,1,3))</f>
        <v>0</v>
      </c>
      <c r="E5386">
        <f ca="1">IF(A5386="","",COUNTIF(D$6:D5386,"True"))</f>
        <v>56</v>
      </c>
      <c r="F5386" t="str">
        <f t="shared" si="84"/>
        <v>920564.BJ</v>
      </c>
    </row>
    <row r="5387" spans="1:6" x14ac:dyDescent="0.15">
      <c r="A5387" s="2">
        <v>46089</v>
      </c>
      <c r="B5387" s="1" t="s">
        <v>10896</v>
      </c>
      <c r="C5387" s="1" t="s">
        <v>9812</v>
      </c>
      <c r="D5387" t="b">
        <f ca="1">IF(A5387="","",[1]!s_techanal_rcnthigh(B5387,$B$2,1,3))</f>
        <v>0</v>
      </c>
      <c r="E5387">
        <f ca="1">IF(A5387="","",COUNTIF(D$6:D5387,"True"))</f>
        <v>56</v>
      </c>
      <c r="F5387" t="str">
        <f t="shared" si="84"/>
        <v>920566.BJ</v>
      </c>
    </row>
    <row r="5388" spans="1:6" x14ac:dyDescent="0.15">
      <c r="A5388" s="2">
        <v>46089</v>
      </c>
      <c r="B5388" s="1" t="s">
        <v>10897</v>
      </c>
      <c r="C5388" s="1" t="s">
        <v>9976</v>
      </c>
      <c r="D5388" t="b">
        <f ca="1">IF(A5388="","",[1]!s_techanal_rcnthigh(B5388,$B$2,1,3))</f>
        <v>0</v>
      </c>
      <c r="E5388">
        <f ca="1">IF(A5388="","",COUNTIF(D$6:D5388,"True"))</f>
        <v>56</v>
      </c>
      <c r="F5388" t="str">
        <f t="shared" si="84"/>
        <v>920570.BJ</v>
      </c>
    </row>
    <row r="5389" spans="1:6" x14ac:dyDescent="0.15">
      <c r="A5389" s="2">
        <v>46089</v>
      </c>
      <c r="B5389" s="1" t="s">
        <v>10898</v>
      </c>
      <c r="C5389" s="1" t="s">
        <v>9824</v>
      </c>
      <c r="D5389" t="b">
        <f ca="1">IF(A5389="","",[1]!s_techanal_rcnthigh(B5389,$B$2,1,3))</f>
        <v>0</v>
      </c>
      <c r="E5389">
        <f ca="1">IF(A5389="","",COUNTIF(D$6:D5389,"True"))</f>
        <v>56</v>
      </c>
      <c r="F5389" t="str">
        <f t="shared" si="84"/>
        <v>920571.BJ</v>
      </c>
    </row>
    <row r="5390" spans="1:6" x14ac:dyDescent="0.15">
      <c r="A5390" s="2">
        <v>46089</v>
      </c>
      <c r="B5390" s="1" t="s">
        <v>10899</v>
      </c>
      <c r="C5390" s="1" t="s">
        <v>9837</v>
      </c>
      <c r="D5390" t="b">
        <f ca="1">IF(A5390="","",[1]!s_techanal_rcnthigh(B5390,$B$2,1,3))</f>
        <v>0</v>
      </c>
      <c r="E5390">
        <f ca="1">IF(A5390="","",COUNTIF(D$6:D5390,"True"))</f>
        <v>56</v>
      </c>
      <c r="F5390" t="str">
        <f t="shared" si="84"/>
        <v>920575.BJ</v>
      </c>
    </row>
    <row r="5391" spans="1:6" x14ac:dyDescent="0.15">
      <c r="A5391" s="2">
        <v>46089</v>
      </c>
      <c r="B5391" s="1" t="s">
        <v>10900</v>
      </c>
      <c r="C5391" s="1" t="s">
        <v>9977</v>
      </c>
      <c r="D5391" t="b">
        <f ca="1">IF(A5391="","",[1]!s_techanal_rcnthigh(B5391,$B$2,1,3))</f>
        <v>0</v>
      </c>
      <c r="E5391">
        <f ca="1">IF(A5391="","",COUNTIF(D$6:D5391,"True"))</f>
        <v>56</v>
      </c>
      <c r="F5391" t="str">
        <f t="shared" si="84"/>
        <v>920576.BJ</v>
      </c>
    </row>
    <row r="5392" spans="1:6" x14ac:dyDescent="0.15">
      <c r="A5392" s="2">
        <v>46089</v>
      </c>
      <c r="B5392" s="1" t="s">
        <v>10901</v>
      </c>
      <c r="C5392" s="1" t="s">
        <v>9948</v>
      </c>
      <c r="D5392" t="b">
        <f ca="1">IF(A5392="","",[1]!s_techanal_rcnthigh(B5392,$B$2,1,3))</f>
        <v>0</v>
      </c>
      <c r="E5392">
        <f ca="1">IF(A5392="","",COUNTIF(D$6:D5392,"True"))</f>
        <v>56</v>
      </c>
      <c r="F5392" t="str">
        <f t="shared" si="84"/>
        <v>920578.BJ</v>
      </c>
    </row>
    <row r="5393" spans="1:6" x14ac:dyDescent="0.15">
      <c r="A5393" s="2">
        <v>46089</v>
      </c>
      <c r="B5393" s="1" t="s">
        <v>10902</v>
      </c>
      <c r="C5393" s="1" t="s">
        <v>9868</v>
      </c>
      <c r="D5393" t="b">
        <f ca="1">IF(A5393="","",[1]!s_techanal_rcnthigh(B5393,$B$2,1,3))</f>
        <v>0</v>
      </c>
      <c r="E5393">
        <f ca="1">IF(A5393="","",COUNTIF(D$6:D5393,"True"))</f>
        <v>56</v>
      </c>
      <c r="F5393" t="str">
        <f t="shared" si="84"/>
        <v>920579.BJ</v>
      </c>
    </row>
    <row r="5394" spans="1:6" x14ac:dyDescent="0.15">
      <c r="A5394" s="2">
        <v>46089</v>
      </c>
      <c r="B5394" s="1" t="s">
        <v>10903</v>
      </c>
      <c r="C5394" s="1" t="s">
        <v>9838</v>
      </c>
      <c r="D5394" t="b">
        <f ca="1">IF(A5394="","",[1]!s_techanal_rcnthigh(B5394,$B$2,1,3))</f>
        <v>0</v>
      </c>
      <c r="E5394">
        <f ca="1">IF(A5394="","",COUNTIF(D$6:D5394,"True"))</f>
        <v>56</v>
      </c>
      <c r="F5394" t="str">
        <f t="shared" si="84"/>
        <v>920580.BJ</v>
      </c>
    </row>
    <row r="5395" spans="1:6" x14ac:dyDescent="0.15">
      <c r="A5395" s="2">
        <v>46089</v>
      </c>
      <c r="B5395" s="1" t="s">
        <v>10904</v>
      </c>
      <c r="C5395" s="1" t="s">
        <v>9909</v>
      </c>
      <c r="D5395" t="b">
        <f ca="1">IF(A5395="","",[1]!s_techanal_rcnthigh(B5395,$B$2,1,3))</f>
        <v>0</v>
      </c>
      <c r="E5395">
        <f ca="1">IF(A5395="","",COUNTIF(D$6:D5395,"True"))</f>
        <v>56</v>
      </c>
      <c r="F5395" t="str">
        <f t="shared" si="84"/>
        <v>920592.BJ</v>
      </c>
    </row>
    <row r="5396" spans="1:6" x14ac:dyDescent="0.15">
      <c r="A5396" s="2">
        <v>46089</v>
      </c>
      <c r="B5396" s="1" t="s">
        <v>10905</v>
      </c>
      <c r="C5396" s="1" t="s">
        <v>9978</v>
      </c>
      <c r="D5396" t="b">
        <f ca="1">IF(A5396="","",[1]!s_techanal_rcnthigh(B5396,$B$2,1,3))</f>
        <v>0</v>
      </c>
      <c r="E5396">
        <f ca="1">IF(A5396="","",COUNTIF(D$6:D5396,"True"))</f>
        <v>56</v>
      </c>
      <c r="F5396" t="str">
        <f t="shared" si="84"/>
        <v>920593.BJ</v>
      </c>
    </row>
    <row r="5397" spans="1:6" x14ac:dyDescent="0.15">
      <c r="A5397" s="2">
        <v>46089</v>
      </c>
      <c r="B5397" s="1" t="s">
        <v>10906</v>
      </c>
      <c r="C5397" s="1" t="s">
        <v>9854</v>
      </c>
      <c r="D5397" t="b">
        <f ca="1">IF(A5397="","",[1]!s_techanal_rcnthigh(B5397,$B$2,1,3))</f>
        <v>0</v>
      </c>
      <c r="E5397">
        <f ca="1">IF(A5397="","",COUNTIF(D$6:D5397,"True"))</f>
        <v>56</v>
      </c>
      <c r="F5397" t="str">
        <f t="shared" si="84"/>
        <v>920599.BJ</v>
      </c>
    </row>
    <row r="5398" spans="1:6" x14ac:dyDescent="0.15">
      <c r="A5398" s="2">
        <v>46089</v>
      </c>
      <c r="B5398" s="1" t="s">
        <v>10907</v>
      </c>
      <c r="C5398" s="1" t="s">
        <v>9940</v>
      </c>
      <c r="D5398" t="b">
        <f ca="1">IF(A5398="","",[1]!s_techanal_rcnthigh(B5398,$B$2,1,3))</f>
        <v>0</v>
      </c>
      <c r="E5398">
        <f ca="1">IF(A5398="","",COUNTIF(D$6:D5398,"True"))</f>
        <v>56</v>
      </c>
      <c r="F5398" t="str">
        <f t="shared" si="84"/>
        <v>920608.BJ</v>
      </c>
    </row>
    <row r="5399" spans="1:6" x14ac:dyDescent="0.15">
      <c r="A5399" s="2">
        <v>46089</v>
      </c>
      <c r="B5399" s="1" t="s">
        <v>10908</v>
      </c>
      <c r="C5399" s="1" t="s">
        <v>9787</v>
      </c>
      <c r="D5399" t="b">
        <f ca="1">IF(A5399="","",[1]!s_techanal_rcnthigh(B5399,$B$2,1,3))</f>
        <v>0</v>
      </c>
      <c r="E5399">
        <f ca="1">IF(A5399="","",COUNTIF(D$6:D5399,"True"))</f>
        <v>56</v>
      </c>
      <c r="F5399" t="str">
        <f t="shared" si="84"/>
        <v>920627.BJ</v>
      </c>
    </row>
    <row r="5400" spans="1:6" x14ac:dyDescent="0.15">
      <c r="A5400" s="2">
        <v>46089</v>
      </c>
      <c r="B5400" s="1" t="s">
        <v>10909</v>
      </c>
      <c r="C5400" s="1" t="s">
        <v>9950</v>
      </c>
      <c r="D5400" t="b">
        <f ca="1">IF(A5400="","",[1]!s_techanal_rcnthigh(B5400,$B$2,1,3))</f>
        <v>0</v>
      </c>
      <c r="E5400">
        <f ca="1">IF(A5400="","",COUNTIF(D$6:D5400,"True"))</f>
        <v>56</v>
      </c>
      <c r="F5400" t="str">
        <f t="shared" si="84"/>
        <v>920634.BJ</v>
      </c>
    </row>
    <row r="5401" spans="1:6" x14ac:dyDescent="0.15">
      <c r="A5401" s="2">
        <v>46089</v>
      </c>
      <c r="B5401" s="1" t="s">
        <v>10910</v>
      </c>
      <c r="C5401" s="1" t="s">
        <v>9855</v>
      </c>
      <c r="D5401" t="b">
        <f ca="1">IF(A5401="","",[1]!s_techanal_rcnthigh(B5401,$B$2,1,3))</f>
        <v>0</v>
      </c>
      <c r="E5401">
        <f ca="1">IF(A5401="","",COUNTIF(D$6:D5401,"True"))</f>
        <v>56</v>
      </c>
      <c r="F5401" t="str">
        <f t="shared" si="84"/>
        <v>920639.BJ</v>
      </c>
    </row>
    <row r="5402" spans="1:6" x14ac:dyDescent="0.15">
      <c r="A5402" s="2">
        <v>46089</v>
      </c>
      <c r="B5402" s="1" t="s">
        <v>10911</v>
      </c>
      <c r="C5402" s="1" t="s">
        <v>9869</v>
      </c>
      <c r="D5402" t="b">
        <f ca="1">IF(A5402="","",[1]!s_techanal_rcnthigh(B5402,$B$2,1,3))</f>
        <v>0</v>
      </c>
      <c r="E5402">
        <f ca="1">IF(A5402="","",COUNTIF(D$6:D5402,"True"))</f>
        <v>56</v>
      </c>
      <c r="F5402" t="str">
        <f t="shared" si="84"/>
        <v>920640.BJ</v>
      </c>
    </row>
    <row r="5403" spans="1:6" x14ac:dyDescent="0.15">
      <c r="A5403" s="2">
        <v>46089</v>
      </c>
      <c r="B5403" s="1" t="s">
        <v>10912</v>
      </c>
      <c r="C5403" s="1" t="s">
        <v>9788</v>
      </c>
      <c r="D5403" t="b">
        <f ca="1">IF(A5403="","",[1]!s_techanal_rcnthigh(B5403,$B$2,1,3))</f>
        <v>0</v>
      </c>
      <c r="E5403">
        <f ca="1">IF(A5403="","",COUNTIF(D$6:D5403,"True"))</f>
        <v>56</v>
      </c>
      <c r="F5403" t="str">
        <f t="shared" si="84"/>
        <v>920641.BJ</v>
      </c>
    </row>
    <row r="5404" spans="1:6" x14ac:dyDescent="0.15">
      <c r="A5404" s="2">
        <v>46089</v>
      </c>
      <c r="B5404" s="1" t="s">
        <v>10913</v>
      </c>
      <c r="C5404" s="1" t="s">
        <v>9951</v>
      </c>
      <c r="D5404" t="b">
        <f ca="1">IF(A5404="","",[1]!s_techanal_rcnthigh(B5404,$B$2,1,3))</f>
        <v>0</v>
      </c>
      <c r="E5404">
        <f ca="1">IF(A5404="","",COUNTIF(D$6:D5404,"True"))</f>
        <v>56</v>
      </c>
      <c r="F5404" t="str">
        <f t="shared" si="84"/>
        <v>920642.BJ</v>
      </c>
    </row>
    <row r="5405" spans="1:6" x14ac:dyDescent="0.15">
      <c r="A5405" s="2">
        <v>46089</v>
      </c>
      <c r="B5405" s="1" t="s">
        <v>10914</v>
      </c>
      <c r="C5405" s="1" t="s">
        <v>9813</v>
      </c>
      <c r="D5405" t="b">
        <f ca="1">IF(A5405="","",[1]!s_techanal_rcnthigh(B5405,$B$2,1,3))</f>
        <v>0</v>
      </c>
      <c r="E5405">
        <f ca="1">IF(A5405="","",COUNTIF(D$6:D5405,"True"))</f>
        <v>56</v>
      </c>
      <c r="F5405" t="str">
        <f t="shared" si="84"/>
        <v>920651.BJ</v>
      </c>
    </row>
    <row r="5406" spans="1:6" x14ac:dyDescent="0.15">
      <c r="A5406" s="2">
        <v>46089</v>
      </c>
      <c r="B5406" s="1" t="s">
        <v>10915</v>
      </c>
      <c r="C5406" s="1" t="s">
        <v>9941</v>
      </c>
      <c r="D5406" t="b">
        <f ca="1">IF(A5406="","",[1]!s_techanal_rcnthigh(B5406,$B$2,1,3))</f>
        <v>0</v>
      </c>
      <c r="E5406">
        <f ca="1">IF(A5406="","",COUNTIF(D$6:D5406,"True"))</f>
        <v>56</v>
      </c>
      <c r="F5406" t="str">
        <f t="shared" si="84"/>
        <v>920656.BJ</v>
      </c>
    </row>
    <row r="5407" spans="1:6" x14ac:dyDescent="0.15">
      <c r="A5407" s="2">
        <v>46089</v>
      </c>
      <c r="B5407" s="1" t="s">
        <v>10916</v>
      </c>
      <c r="C5407" s="1" t="s">
        <v>9814</v>
      </c>
      <c r="D5407" t="b">
        <f ca="1">IF(A5407="","",[1]!s_techanal_rcnthigh(B5407,$B$2,1,3))</f>
        <v>0</v>
      </c>
      <c r="E5407">
        <f ca="1">IF(A5407="","",COUNTIF(D$6:D5407,"True"))</f>
        <v>56</v>
      </c>
      <c r="F5407" t="str">
        <f t="shared" si="84"/>
        <v>920662.BJ</v>
      </c>
    </row>
    <row r="5408" spans="1:6" x14ac:dyDescent="0.15">
      <c r="A5408" s="2">
        <v>46089</v>
      </c>
      <c r="B5408" s="1" t="s">
        <v>10917</v>
      </c>
      <c r="C5408" s="1" t="s">
        <v>9910</v>
      </c>
      <c r="D5408" t="b">
        <f ca="1">IF(A5408="","",[1]!s_techanal_rcnthigh(B5408,$B$2,1,3))</f>
        <v>0</v>
      </c>
      <c r="E5408">
        <f ca="1">IF(A5408="","",COUNTIF(D$6:D5408,"True"))</f>
        <v>56</v>
      </c>
      <c r="F5408" t="str">
        <f t="shared" si="84"/>
        <v>920663.BJ</v>
      </c>
    </row>
    <row r="5409" spans="1:6" x14ac:dyDescent="0.15">
      <c r="A5409" s="2">
        <v>46089</v>
      </c>
      <c r="B5409" s="1" t="s">
        <v>10918</v>
      </c>
      <c r="C5409" s="1" t="s">
        <v>9979</v>
      </c>
      <c r="D5409" t="b">
        <f ca="1">IF(A5409="","",[1]!s_techanal_rcnthigh(B5409,$B$2,1,3))</f>
        <v>0</v>
      </c>
      <c r="E5409">
        <f ca="1">IF(A5409="","",COUNTIF(D$6:D5409,"True"))</f>
        <v>56</v>
      </c>
      <c r="F5409" t="str">
        <f t="shared" si="84"/>
        <v>920665.BJ</v>
      </c>
    </row>
    <row r="5410" spans="1:6" x14ac:dyDescent="0.15">
      <c r="A5410" s="2">
        <v>46089</v>
      </c>
      <c r="B5410" s="1" t="s">
        <v>10919</v>
      </c>
      <c r="C5410" s="1" t="s">
        <v>9870</v>
      </c>
      <c r="D5410" t="b">
        <f ca="1">IF(A5410="","",[1]!s_techanal_rcnthigh(B5410,$B$2,1,3))</f>
        <v>0</v>
      </c>
      <c r="E5410">
        <f ca="1">IF(A5410="","",COUNTIF(D$6:D5410,"True"))</f>
        <v>56</v>
      </c>
      <c r="F5410" t="str">
        <f t="shared" si="84"/>
        <v>920670.BJ</v>
      </c>
    </row>
    <row r="5411" spans="1:6" x14ac:dyDescent="0.15">
      <c r="A5411" s="2">
        <v>46089</v>
      </c>
      <c r="B5411" s="1" t="s">
        <v>10920</v>
      </c>
      <c r="C5411" s="1" t="s">
        <v>9890</v>
      </c>
      <c r="D5411" t="b">
        <f ca="1">IF(A5411="","",[1]!s_techanal_rcnthigh(B5411,$B$2,1,3))</f>
        <v>0</v>
      </c>
      <c r="E5411">
        <f ca="1">IF(A5411="","",COUNTIF(D$6:D5411,"True"))</f>
        <v>56</v>
      </c>
      <c r="F5411" t="str">
        <f t="shared" si="84"/>
        <v>920675.BJ</v>
      </c>
    </row>
    <row r="5412" spans="1:6" x14ac:dyDescent="0.15">
      <c r="A5412" s="2">
        <v>46089</v>
      </c>
      <c r="B5412" s="1" t="s">
        <v>10921</v>
      </c>
      <c r="C5412" s="1" t="s">
        <v>9980</v>
      </c>
      <c r="D5412" t="b">
        <f ca="1">IF(A5412="","",[1]!s_techanal_rcnthigh(B5412,$B$2,1,3))</f>
        <v>0</v>
      </c>
      <c r="E5412">
        <f ca="1">IF(A5412="","",COUNTIF(D$6:D5412,"True"))</f>
        <v>56</v>
      </c>
      <c r="F5412" t="str">
        <f t="shared" si="84"/>
        <v>920679.BJ</v>
      </c>
    </row>
    <row r="5413" spans="1:6" x14ac:dyDescent="0.15">
      <c r="A5413" s="2">
        <v>46089</v>
      </c>
      <c r="B5413" s="1" t="s">
        <v>10922</v>
      </c>
      <c r="C5413" s="1" t="s">
        <v>9856</v>
      </c>
      <c r="D5413" t="b">
        <f ca="1">IF(A5413="","",[1]!s_techanal_rcnthigh(B5413,$B$2,1,3))</f>
        <v>0</v>
      </c>
      <c r="E5413">
        <f ca="1">IF(A5413="","",COUNTIF(D$6:D5413,"True"))</f>
        <v>56</v>
      </c>
      <c r="F5413" t="str">
        <f t="shared" si="84"/>
        <v>920682.BJ</v>
      </c>
    </row>
    <row r="5414" spans="1:6" x14ac:dyDescent="0.15">
      <c r="A5414" s="2">
        <v>46089</v>
      </c>
      <c r="B5414" s="1" t="s">
        <v>10923</v>
      </c>
      <c r="C5414" s="1" t="s">
        <v>5423</v>
      </c>
      <c r="D5414" t="b">
        <f ca="1">IF(A5414="","",[1]!s_techanal_rcnthigh(B5414,$B$2,1,3))</f>
        <v>0</v>
      </c>
      <c r="E5414">
        <f ca="1">IF(A5414="","",COUNTIF(D$6:D5414,"True"))</f>
        <v>56</v>
      </c>
      <c r="F5414" t="str">
        <f t="shared" si="84"/>
        <v>920685.BJ</v>
      </c>
    </row>
    <row r="5415" spans="1:6" x14ac:dyDescent="0.15">
      <c r="A5415" s="2">
        <v>46089</v>
      </c>
      <c r="B5415" s="1" t="s">
        <v>10924</v>
      </c>
      <c r="C5415" s="1" t="s">
        <v>9789</v>
      </c>
      <c r="D5415" t="b">
        <f ca="1">IF(A5415="","",[1]!s_techanal_rcnthigh(B5415,$B$2,1,3))</f>
        <v>0</v>
      </c>
      <c r="E5415">
        <f ca="1">IF(A5415="","",COUNTIF(D$6:D5415,"True"))</f>
        <v>56</v>
      </c>
      <c r="F5415" t="str">
        <f t="shared" si="84"/>
        <v>920689.BJ</v>
      </c>
    </row>
    <row r="5416" spans="1:6" x14ac:dyDescent="0.15">
      <c r="A5416" s="2">
        <v>46089</v>
      </c>
      <c r="B5416" s="1" t="s">
        <v>10925</v>
      </c>
      <c r="C5416" s="1" t="s">
        <v>9981</v>
      </c>
      <c r="D5416" t="b">
        <f ca="1">IF(A5416="","",[1]!s_techanal_rcnthigh(B5416,$B$2,1,3))</f>
        <v>0</v>
      </c>
      <c r="E5416">
        <f ca="1">IF(A5416="","",COUNTIF(D$6:D5416,"True"))</f>
        <v>56</v>
      </c>
      <c r="F5416" t="str">
        <f t="shared" si="84"/>
        <v>920690.BJ</v>
      </c>
    </row>
    <row r="5417" spans="1:6" x14ac:dyDescent="0.15">
      <c r="A5417" s="2">
        <v>46089</v>
      </c>
      <c r="B5417" s="1" t="s">
        <v>10926</v>
      </c>
      <c r="C5417" s="1" t="s">
        <v>9982</v>
      </c>
      <c r="D5417" t="b">
        <f ca="1">IF(A5417="","",[1]!s_techanal_rcnthigh(B5417,$B$2,1,3))</f>
        <v>0</v>
      </c>
      <c r="E5417">
        <f ca="1">IF(A5417="","",COUNTIF(D$6:D5417,"True"))</f>
        <v>56</v>
      </c>
      <c r="F5417" t="str">
        <f t="shared" si="84"/>
        <v>920693.BJ</v>
      </c>
    </row>
    <row r="5418" spans="1:6" x14ac:dyDescent="0.15">
      <c r="A5418" s="2">
        <v>46089</v>
      </c>
      <c r="B5418" s="1" t="s">
        <v>10927</v>
      </c>
      <c r="C5418" s="1" t="s">
        <v>9952</v>
      </c>
      <c r="D5418" t="b">
        <f ca="1">IF(A5418="","",[1]!s_techanal_rcnthigh(B5418,$B$2,1,3))</f>
        <v>0</v>
      </c>
      <c r="E5418">
        <f ca="1">IF(A5418="","",COUNTIF(D$6:D5418,"True"))</f>
        <v>56</v>
      </c>
      <c r="F5418" t="str">
        <f t="shared" si="84"/>
        <v>920694.BJ</v>
      </c>
    </row>
    <row r="5419" spans="1:6" x14ac:dyDescent="0.15">
      <c r="A5419" s="2">
        <v>46089</v>
      </c>
      <c r="B5419" s="1" t="s">
        <v>10928</v>
      </c>
      <c r="C5419" s="1" t="s">
        <v>9891</v>
      </c>
      <c r="D5419" t="b">
        <f ca="1">IF(A5419="","",[1]!s_techanal_rcnthigh(B5419,$B$2,1,3))</f>
        <v>0</v>
      </c>
      <c r="E5419">
        <f ca="1">IF(A5419="","",COUNTIF(D$6:D5419,"True"))</f>
        <v>56</v>
      </c>
      <c r="F5419" t="str">
        <f t="shared" si="84"/>
        <v>920699.BJ</v>
      </c>
    </row>
    <row r="5420" spans="1:6" x14ac:dyDescent="0.15">
      <c r="A5420" s="2">
        <v>46089</v>
      </c>
      <c r="B5420" s="1" t="s">
        <v>10929</v>
      </c>
      <c r="C5420" s="1" t="s">
        <v>9921</v>
      </c>
      <c r="D5420" t="b">
        <f ca="1">IF(A5420="","",[1]!s_techanal_rcnthigh(B5420,$B$2,1,3))</f>
        <v>0</v>
      </c>
      <c r="E5420">
        <f ca="1">IF(A5420="","",COUNTIF(D$6:D5420,"True"))</f>
        <v>56</v>
      </c>
      <c r="F5420" t="str">
        <f t="shared" si="84"/>
        <v>920701.BJ</v>
      </c>
    </row>
    <row r="5421" spans="1:6" x14ac:dyDescent="0.15">
      <c r="A5421" s="2">
        <v>46089</v>
      </c>
      <c r="B5421" s="1" t="s">
        <v>10930</v>
      </c>
      <c r="C5421" s="1" t="s">
        <v>9983</v>
      </c>
      <c r="D5421" t="b">
        <f ca="1">IF(A5421="","",[1]!s_techanal_rcnthigh(B5421,$B$2,1,3))</f>
        <v>0</v>
      </c>
      <c r="E5421">
        <f ca="1">IF(A5421="","",COUNTIF(D$6:D5421,"True"))</f>
        <v>56</v>
      </c>
      <c r="F5421" t="str">
        <f t="shared" si="84"/>
        <v>920703.BJ</v>
      </c>
    </row>
    <row r="5422" spans="1:6" x14ac:dyDescent="0.15">
      <c r="A5422" s="2">
        <v>46089</v>
      </c>
      <c r="B5422" s="1" t="s">
        <v>10931</v>
      </c>
      <c r="C5422" s="1" t="s">
        <v>9984</v>
      </c>
      <c r="D5422" t="b">
        <f ca="1">IF(A5422="","",[1]!s_techanal_rcnthigh(B5422,$B$2,1,3))</f>
        <v>0</v>
      </c>
      <c r="E5422">
        <f ca="1">IF(A5422="","",COUNTIF(D$6:D5422,"True"))</f>
        <v>56</v>
      </c>
      <c r="F5422" t="str">
        <f t="shared" si="84"/>
        <v>920706.BJ</v>
      </c>
    </row>
    <row r="5423" spans="1:6" x14ac:dyDescent="0.15">
      <c r="A5423" s="2">
        <v>46089</v>
      </c>
      <c r="B5423" s="1" t="s">
        <v>10932</v>
      </c>
      <c r="C5423" s="1" t="s">
        <v>9892</v>
      </c>
      <c r="D5423" t="b">
        <f ca="1">IF(A5423="","",[1]!s_techanal_rcnthigh(B5423,$B$2,1,3))</f>
        <v>0</v>
      </c>
      <c r="E5423">
        <f ca="1">IF(A5423="","",COUNTIF(D$6:D5423,"True"))</f>
        <v>56</v>
      </c>
      <c r="F5423" t="str">
        <f t="shared" si="84"/>
        <v>920717.BJ</v>
      </c>
    </row>
    <row r="5424" spans="1:6" x14ac:dyDescent="0.15">
      <c r="A5424" s="2">
        <v>46089</v>
      </c>
      <c r="B5424" s="1" t="s">
        <v>10933</v>
      </c>
      <c r="C5424" s="1" t="s">
        <v>5424</v>
      </c>
      <c r="D5424" t="b">
        <f ca="1">IF(A5424="","",[1]!s_techanal_rcnthigh(B5424,$B$2,1,3))</f>
        <v>0</v>
      </c>
      <c r="E5424">
        <f ca="1">IF(A5424="","",COUNTIF(D$6:D5424,"True"))</f>
        <v>56</v>
      </c>
      <c r="F5424" t="str">
        <f t="shared" si="84"/>
        <v>920718.BJ</v>
      </c>
    </row>
    <row r="5425" spans="1:6" x14ac:dyDescent="0.15">
      <c r="A5425" s="2">
        <v>46089</v>
      </c>
      <c r="B5425" s="1" t="s">
        <v>10934</v>
      </c>
      <c r="C5425" s="1" t="s">
        <v>9929</v>
      </c>
      <c r="D5425" t="b">
        <f ca="1">IF(A5425="","",[1]!s_techanal_rcnthigh(B5425,$B$2,1,3))</f>
        <v>0</v>
      </c>
      <c r="E5425">
        <f ca="1">IF(A5425="","",COUNTIF(D$6:D5425,"True"))</f>
        <v>56</v>
      </c>
      <c r="F5425" t="str">
        <f t="shared" si="84"/>
        <v>920719.BJ</v>
      </c>
    </row>
    <row r="5426" spans="1:6" x14ac:dyDescent="0.15">
      <c r="A5426" s="2">
        <v>46089</v>
      </c>
      <c r="B5426" s="1" t="s">
        <v>10935</v>
      </c>
      <c r="C5426" s="1" t="s">
        <v>9893</v>
      </c>
      <c r="D5426" t="b">
        <f ca="1">IF(A5426="","",[1]!s_techanal_rcnthigh(B5426,$B$2,1,3))</f>
        <v>0</v>
      </c>
      <c r="E5426">
        <f ca="1">IF(A5426="","",COUNTIF(D$6:D5426,"True"))</f>
        <v>56</v>
      </c>
      <c r="F5426" t="str">
        <f t="shared" si="84"/>
        <v>920720.BJ</v>
      </c>
    </row>
    <row r="5427" spans="1:6" x14ac:dyDescent="0.15">
      <c r="A5427" s="2">
        <v>46089</v>
      </c>
      <c r="B5427" s="1" t="s">
        <v>10936</v>
      </c>
      <c r="C5427" s="1" t="s">
        <v>9930</v>
      </c>
      <c r="D5427" t="b">
        <f ca="1">IF(A5427="","",[1]!s_techanal_rcnthigh(B5427,$B$2,1,3))</f>
        <v>0</v>
      </c>
      <c r="E5427">
        <f ca="1">IF(A5427="","",COUNTIF(D$6:D5427,"True"))</f>
        <v>56</v>
      </c>
      <c r="F5427" t="str">
        <f t="shared" si="84"/>
        <v>920725.BJ</v>
      </c>
    </row>
    <row r="5428" spans="1:6" x14ac:dyDescent="0.15">
      <c r="A5428" s="2">
        <v>46089</v>
      </c>
      <c r="B5428" s="1" t="s">
        <v>10937</v>
      </c>
      <c r="C5428" s="1" t="s">
        <v>9790</v>
      </c>
      <c r="D5428" t="b">
        <f ca="1">IF(A5428="","",[1]!s_techanal_rcnthigh(B5428,$B$2,1,3))</f>
        <v>0</v>
      </c>
      <c r="E5428">
        <f ca="1">IF(A5428="","",COUNTIF(D$6:D5428,"True"))</f>
        <v>56</v>
      </c>
      <c r="F5428" t="str">
        <f t="shared" si="84"/>
        <v>920726.BJ</v>
      </c>
    </row>
    <row r="5429" spans="1:6" x14ac:dyDescent="0.15">
      <c r="A5429" s="2">
        <v>46089</v>
      </c>
      <c r="B5429" s="1" t="s">
        <v>10938</v>
      </c>
      <c r="C5429" s="1" t="s">
        <v>9931</v>
      </c>
      <c r="D5429" t="b">
        <f ca="1">IF(A5429="","",[1]!s_techanal_rcnthigh(B5429,$B$2,1,3))</f>
        <v>0</v>
      </c>
      <c r="E5429">
        <f ca="1">IF(A5429="","",COUNTIF(D$6:D5429,"True"))</f>
        <v>56</v>
      </c>
      <c r="F5429" t="str">
        <f t="shared" si="84"/>
        <v>920729.BJ</v>
      </c>
    </row>
    <row r="5430" spans="1:6" x14ac:dyDescent="0.15">
      <c r="A5430" s="2">
        <v>46089</v>
      </c>
      <c r="B5430" s="1" t="s">
        <v>10939</v>
      </c>
      <c r="C5430" s="1" t="s">
        <v>9815</v>
      </c>
      <c r="D5430" t="b">
        <f ca="1">IF(A5430="","",[1]!s_techanal_rcnthigh(B5430,$B$2,1,3))</f>
        <v>0</v>
      </c>
      <c r="E5430">
        <f ca="1">IF(A5430="","",COUNTIF(D$6:D5430,"True"))</f>
        <v>56</v>
      </c>
      <c r="F5430" t="str">
        <f t="shared" si="84"/>
        <v>920735.BJ</v>
      </c>
    </row>
    <row r="5431" spans="1:6" x14ac:dyDescent="0.15">
      <c r="A5431" s="2">
        <v>46089</v>
      </c>
      <c r="B5431" s="1" t="s">
        <v>10940</v>
      </c>
      <c r="C5431" s="1" t="s">
        <v>9911</v>
      </c>
      <c r="D5431" t="b">
        <f ca="1">IF(A5431="","",[1]!s_techanal_rcnthigh(B5431,$B$2,1,3))</f>
        <v>0</v>
      </c>
      <c r="E5431">
        <f ca="1">IF(A5431="","",COUNTIF(D$6:D5431,"True"))</f>
        <v>56</v>
      </c>
      <c r="F5431" t="str">
        <f t="shared" si="84"/>
        <v>920748.BJ</v>
      </c>
    </row>
    <row r="5432" spans="1:6" x14ac:dyDescent="0.15">
      <c r="A5432" s="2">
        <v>46089</v>
      </c>
      <c r="B5432" s="1" t="s">
        <v>10941</v>
      </c>
      <c r="C5432" s="1" t="s">
        <v>9839</v>
      </c>
      <c r="D5432" t="b">
        <f ca="1">IF(A5432="","",[1]!s_techanal_rcnthigh(B5432,$B$2,1,3))</f>
        <v>0</v>
      </c>
      <c r="E5432">
        <f ca="1">IF(A5432="","",COUNTIF(D$6:D5432,"True"))</f>
        <v>56</v>
      </c>
      <c r="F5432" t="str">
        <f t="shared" si="84"/>
        <v>920751.BJ</v>
      </c>
    </row>
    <row r="5433" spans="1:6" x14ac:dyDescent="0.15">
      <c r="A5433" s="2">
        <v>46089</v>
      </c>
      <c r="B5433" s="1" t="s">
        <v>10942</v>
      </c>
      <c r="C5433" s="1" t="s">
        <v>9953</v>
      </c>
      <c r="D5433" t="b">
        <f ca="1">IF(A5433="","",[1]!s_techanal_rcnthigh(B5433,$B$2,1,3))</f>
        <v>0</v>
      </c>
      <c r="E5433">
        <f ca="1">IF(A5433="","",COUNTIF(D$6:D5433,"True"))</f>
        <v>56</v>
      </c>
      <c r="F5433" t="str">
        <f t="shared" si="84"/>
        <v>920753.BJ</v>
      </c>
    </row>
    <row r="5434" spans="1:6" x14ac:dyDescent="0.15">
      <c r="A5434" s="2">
        <v>46089</v>
      </c>
      <c r="B5434" s="1" t="s">
        <v>10943</v>
      </c>
      <c r="C5434" s="1" t="s">
        <v>9857</v>
      </c>
      <c r="D5434" t="b">
        <f ca="1">IF(A5434="","",[1]!s_techanal_rcnthigh(B5434,$B$2,1,3))</f>
        <v>0</v>
      </c>
      <c r="E5434">
        <f ca="1">IF(A5434="","",COUNTIF(D$6:D5434,"True"))</f>
        <v>56</v>
      </c>
      <c r="F5434" t="str">
        <f t="shared" si="84"/>
        <v>920765.BJ</v>
      </c>
    </row>
    <row r="5435" spans="1:6" x14ac:dyDescent="0.15">
      <c r="A5435" s="2">
        <v>46089</v>
      </c>
      <c r="B5435" s="1" t="s">
        <v>10944</v>
      </c>
      <c r="C5435" s="1" t="s">
        <v>9791</v>
      </c>
      <c r="D5435" t="b">
        <f ca="1">IF(A5435="","",[1]!s_techanal_rcnthigh(B5435,$B$2,1,3))</f>
        <v>0</v>
      </c>
      <c r="E5435">
        <f ca="1">IF(A5435="","",COUNTIF(D$6:D5435,"True"))</f>
        <v>56</v>
      </c>
      <c r="F5435" t="str">
        <f t="shared" si="84"/>
        <v>920768.BJ</v>
      </c>
    </row>
    <row r="5436" spans="1:6" x14ac:dyDescent="0.15">
      <c r="A5436" s="2">
        <v>46089</v>
      </c>
      <c r="B5436" s="1" t="s">
        <v>10945</v>
      </c>
      <c r="C5436" s="1" t="s">
        <v>9858</v>
      </c>
      <c r="D5436" t="b">
        <f ca="1">IF(A5436="","",[1]!s_techanal_rcnthigh(B5436,$B$2,1,3))</f>
        <v>0</v>
      </c>
      <c r="E5436">
        <f ca="1">IF(A5436="","",COUNTIF(D$6:D5436,"True"))</f>
        <v>56</v>
      </c>
      <c r="F5436" t="str">
        <f t="shared" si="84"/>
        <v>920770.BJ</v>
      </c>
    </row>
    <row r="5437" spans="1:6" x14ac:dyDescent="0.15">
      <c r="A5437" s="2">
        <v>46089</v>
      </c>
      <c r="B5437" s="1" t="s">
        <v>10946</v>
      </c>
      <c r="C5437" s="1" t="s">
        <v>9764</v>
      </c>
      <c r="D5437" t="b">
        <f ca="1">IF(A5437="","",[1]!s_techanal_rcnthigh(B5437,$B$2,1,3))</f>
        <v>0</v>
      </c>
      <c r="E5437">
        <f ca="1">IF(A5437="","",COUNTIF(D$6:D5437,"True"))</f>
        <v>56</v>
      </c>
      <c r="F5437" t="str">
        <f t="shared" si="84"/>
        <v>920779.BJ</v>
      </c>
    </row>
    <row r="5438" spans="1:6" x14ac:dyDescent="0.15">
      <c r="A5438" s="2">
        <v>46089</v>
      </c>
      <c r="B5438" s="1" t="s">
        <v>10947</v>
      </c>
      <c r="C5438" s="1" t="s">
        <v>9840</v>
      </c>
      <c r="D5438" t="b">
        <f ca="1">IF(A5438="","",[1]!s_techanal_rcnthigh(B5438,$B$2,1,3))</f>
        <v>0</v>
      </c>
      <c r="E5438">
        <f ca="1">IF(A5438="","",COUNTIF(D$6:D5438,"True"))</f>
        <v>56</v>
      </c>
      <c r="F5438" t="str">
        <f t="shared" si="84"/>
        <v>920781.BJ</v>
      </c>
    </row>
    <row r="5439" spans="1:6" x14ac:dyDescent="0.15">
      <c r="A5439" s="2">
        <v>46089</v>
      </c>
      <c r="B5439" s="1" t="s">
        <v>10948</v>
      </c>
      <c r="C5439" s="1" t="s">
        <v>9816</v>
      </c>
      <c r="D5439" t="b">
        <f ca="1">IF(A5439="","",[1]!s_techanal_rcnthigh(B5439,$B$2,1,3))</f>
        <v>0</v>
      </c>
      <c r="E5439">
        <f ca="1">IF(A5439="","",COUNTIF(D$6:D5439,"True"))</f>
        <v>56</v>
      </c>
      <c r="F5439" t="str">
        <f t="shared" si="84"/>
        <v>920786.BJ</v>
      </c>
    </row>
    <row r="5440" spans="1:6" x14ac:dyDescent="0.15">
      <c r="A5440" s="2">
        <v>46089</v>
      </c>
      <c r="B5440" s="1" t="s">
        <v>10949</v>
      </c>
      <c r="C5440" s="1" t="s">
        <v>9932</v>
      </c>
      <c r="D5440" t="b">
        <f ca="1">IF(A5440="","",[1]!s_techanal_rcnthigh(B5440,$B$2,1,3))</f>
        <v>0</v>
      </c>
      <c r="E5440">
        <f ca="1">IF(A5440="","",COUNTIF(D$6:D5440,"True"))</f>
        <v>56</v>
      </c>
      <c r="F5440" t="str">
        <f t="shared" si="84"/>
        <v>920790.BJ</v>
      </c>
    </row>
    <row r="5441" spans="1:6" x14ac:dyDescent="0.15">
      <c r="A5441" s="2">
        <v>46089</v>
      </c>
      <c r="B5441" s="1" t="s">
        <v>10950</v>
      </c>
      <c r="C5441" s="1" t="s">
        <v>9933</v>
      </c>
      <c r="D5441" t="b">
        <f ca="1">IF(A5441="","",[1]!s_techanal_rcnthigh(B5441,$B$2,1,3))</f>
        <v>0</v>
      </c>
      <c r="E5441">
        <f ca="1">IF(A5441="","",COUNTIF(D$6:D5441,"True"))</f>
        <v>56</v>
      </c>
      <c r="F5441" t="str">
        <f t="shared" si="84"/>
        <v>920792.BJ</v>
      </c>
    </row>
    <row r="5442" spans="1:6" x14ac:dyDescent="0.15">
      <c r="A5442" s="2">
        <v>46089</v>
      </c>
      <c r="B5442" s="1" t="s">
        <v>10951</v>
      </c>
      <c r="C5442" s="1" t="s">
        <v>9765</v>
      </c>
      <c r="D5442" t="b">
        <f ca="1">IF(A5442="","",[1]!s_techanal_rcnthigh(B5442,$B$2,1,3))</f>
        <v>0</v>
      </c>
      <c r="E5442">
        <f ca="1">IF(A5442="","",COUNTIF(D$6:D5442,"True"))</f>
        <v>56</v>
      </c>
      <c r="F5442" t="str">
        <f t="shared" si="84"/>
        <v>920799.BJ</v>
      </c>
    </row>
    <row r="5443" spans="1:6" x14ac:dyDescent="0.15">
      <c r="A5443" s="2">
        <v>46089</v>
      </c>
      <c r="B5443" s="1" t="s">
        <v>10952</v>
      </c>
      <c r="C5443" s="1" t="s">
        <v>9817</v>
      </c>
      <c r="D5443" t="b">
        <f ca="1">IF(A5443="","",[1]!s_techanal_rcnthigh(B5443,$B$2,1,3))</f>
        <v>0</v>
      </c>
      <c r="E5443">
        <f ca="1">IF(A5443="","",COUNTIF(D$6:D5443,"True"))</f>
        <v>56</v>
      </c>
      <c r="F5443" t="str">
        <f t="shared" si="84"/>
        <v>920802.BJ</v>
      </c>
    </row>
    <row r="5444" spans="1:6" x14ac:dyDescent="0.15">
      <c r="A5444" s="2">
        <v>46089</v>
      </c>
      <c r="B5444" s="1" t="s">
        <v>10953</v>
      </c>
      <c r="C5444" s="1" t="s">
        <v>9986</v>
      </c>
      <c r="D5444" t="b">
        <f ca="1">IF(A5444="","",[1]!s_techanal_rcnthigh(B5444,$B$2,1,3))</f>
        <v>0</v>
      </c>
      <c r="E5444">
        <f ca="1">IF(A5444="","",COUNTIF(D$6:D5444,"True"))</f>
        <v>56</v>
      </c>
      <c r="F5444" t="str">
        <f t="shared" si="84"/>
        <v>920806.BJ</v>
      </c>
    </row>
    <row r="5445" spans="1:6" x14ac:dyDescent="0.15">
      <c r="A5445" s="2">
        <v>46089</v>
      </c>
      <c r="B5445" s="1" t="s">
        <v>10954</v>
      </c>
      <c r="C5445" s="1" t="s">
        <v>9894</v>
      </c>
      <c r="D5445" t="b">
        <f ca="1">IF(A5445="","",[1]!s_techanal_rcnthigh(B5445,$B$2,1,3))</f>
        <v>0</v>
      </c>
      <c r="E5445">
        <f ca="1">IF(A5445="","",COUNTIF(D$6:D5445,"True"))</f>
        <v>56</v>
      </c>
      <c r="F5445" t="str">
        <f t="shared" si="84"/>
        <v>920807.BJ</v>
      </c>
    </row>
    <row r="5446" spans="1:6" x14ac:dyDescent="0.15">
      <c r="A5446" s="2">
        <v>46089</v>
      </c>
      <c r="B5446" s="1" t="s">
        <v>10955</v>
      </c>
      <c r="C5446" s="1" t="s">
        <v>9962</v>
      </c>
      <c r="D5446" t="b">
        <f ca="1">IF(A5446="","",[1]!s_techanal_rcnthigh(B5446,$B$2,1,3))</f>
        <v>0</v>
      </c>
      <c r="E5446">
        <f ca="1">IF(A5446="","",COUNTIF(D$6:D5446,"True"))</f>
        <v>56</v>
      </c>
      <c r="F5446" t="str">
        <f t="shared" ref="F5446:F5497" si="85">IF(B5446="","",B5446)</f>
        <v>920808.BJ</v>
      </c>
    </row>
    <row r="5447" spans="1:6" x14ac:dyDescent="0.15">
      <c r="A5447" s="2">
        <v>46089</v>
      </c>
      <c r="B5447" s="1" t="s">
        <v>10956</v>
      </c>
      <c r="C5447" s="1" t="s">
        <v>9766</v>
      </c>
      <c r="D5447" t="b">
        <f ca="1">IF(A5447="","",[1]!s_techanal_rcnthigh(B5447,$B$2,1,3))</f>
        <v>0</v>
      </c>
      <c r="E5447">
        <f ca="1">IF(A5447="","",COUNTIF(D$6:D5447,"True"))</f>
        <v>56</v>
      </c>
      <c r="F5447" t="str">
        <f t="shared" si="85"/>
        <v>920809.BJ</v>
      </c>
    </row>
    <row r="5448" spans="1:6" x14ac:dyDescent="0.15">
      <c r="A5448" s="2">
        <v>46089</v>
      </c>
      <c r="B5448" s="1" t="s">
        <v>10957</v>
      </c>
      <c r="C5448" s="1" t="s">
        <v>10958</v>
      </c>
      <c r="D5448" t="b">
        <f ca="1">IF(A5448="","",[1]!s_techanal_rcnthigh(B5448,$B$2,1,3))</f>
        <v>0</v>
      </c>
      <c r="E5448">
        <f ca="1">IF(A5448="","",COUNTIF(D$6:D5448,"True"))</f>
        <v>56</v>
      </c>
      <c r="F5448" t="str">
        <f t="shared" si="85"/>
        <v>920810.BJ</v>
      </c>
    </row>
    <row r="5449" spans="1:6" x14ac:dyDescent="0.15">
      <c r="A5449" s="2">
        <v>46089</v>
      </c>
      <c r="B5449" s="1" t="s">
        <v>10959</v>
      </c>
      <c r="C5449" s="1" t="s">
        <v>9841</v>
      </c>
      <c r="D5449" t="b">
        <f ca="1">IF(A5449="","",[1]!s_techanal_rcnthigh(B5449,$B$2,1,3))</f>
        <v>0</v>
      </c>
      <c r="E5449">
        <f ca="1">IF(A5449="","",COUNTIF(D$6:D5449,"True"))</f>
        <v>56</v>
      </c>
      <c r="F5449" t="str">
        <f t="shared" si="85"/>
        <v>920819.BJ</v>
      </c>
    </row>
    <row r="5450" spans="1:6" x14ac:dyDescent="0.15">
      <c r="A5450" s="2">
        <v>46089</v>
      </c>
      <c r="B5450" s="1" t="s">
        <v>10960</v>
      </c>
      <c r="C5450" s="1" t="s">
        <v>9912</v>
      </c>
      <c r="D5450" t="b">
        <f ca="1">IF(A5450="","",[1]!s_techanal_rcnthigh(B5450,$B$2,1,3))</f>
        <v>0</v>
      </c>
      <c r="E5450">
        <f ca="1">IF(A5450="","",COUNTIF(D$6:D5450,"True"))</f>
        <v>56</v>
      </c>
      <c r="F5450" t="str">
        <f t="shared" si="85"/>
        <v>920821.BJ</v>
      </c>
    </row>
    <row r="5451" spans="1:6" x14ac:dyDescent="0.15">
      <c r="A5451" s="2">
        <v>46089</v>
      </c>
      <c r="B5451" s="1" t="s">
        <v>10961</v>
      </c>
      <c r="C5451" s="1" t="s">
        <v>9895</v>
      </c>
      <c r="D5451" t="b">
        <f ca="1">IF(A5451="","",[1]!s_techanal_rcnthigh(B5451,$B$2,1,3))</f>
        <v>0</v>
      </c>
      <c r="E5451">
        <f ca="1">IF(A5451="","",COUNTIF(D$6:D5451,"True"))</f>
        <v>56</v>
      </c>
      <c r="F5451" t="str">
        <f t="shared" si="85"/>
        <v>920826.BJ</v>
      </c>
    </row>
    <row r="5452" spans="1:6" x14ac:dyDescent="0.15">
      <c r="A5452" s="2">
        <v>46089</v>
      </c>
      <c r="B5452" s="1" t="s">
        <v>10962</v>
      </c>
      <c r="C5452" s="1" t="s">
        <v>9767</v>
      </c>
      <c r="D5452" t="b">
        <f ca="1">IF(A5452="","",[1]!s_techanal_rcnthigh(B5452,$B$2,1,3))</f>
        <v>0</v>
      </c>
      <c r="E5452">
        <f ca="1">IF(A5452="","",COUNTIF(D$6:D5452,"True"))</f>
        <v>56</v>
      </c>
      <c r="F5452" t="str">
        <f t="shared" si="85"/>
        <v>920832.BJ</v>
      </c>
    </row>
    <row r="5453" spans="1:6" x14ac:dyDescent="0.15">
      <c r="A5453" s="2">
        <v>46089</v>
      </c>
      <c r="B5453" s="1" t="s">
        <v>10963</v>
      </c>
      <c r="C5453" s="1" t="s">
        <v>9987</v>
      </c>
      <c r="D5453" t="b">
        <f ca="1">IF(A5453="","",[1]!s_techanal_rcnthigh(B5453,$B$2,1,3))</f>
        <v>0</v>
      </c>
      <c r="E5453">
        <f ca="1">IF(A5453="","",COUNTIF(D$6:D5453,"True"))</f>
        <v>56</v>
      </c>
      <c r="F5453" t="str">
        <f t="shared" si="85"/>
        <v>920833.BJ</v>
      </c>
    </row>
    <row r="5454" spans="1:6" x14ac:dyDescent="0.15">
      <c r="A5454" s="2">
        <v>46089</v>
      </c>
      <c r="B5454" s="1" t="s">
        <v>10964</v>
      </c>
      <c r="C5454" s="1" t="s">
        <v>10965</v>
      </c>
      <c r="D5454" t="b">
        <f ca="1">IF(A5454="","",[1]!s_techanal_rcnthigh(B5454,$B$2,1,3))</f>
        <v>0</v>
      </c>
      <c r="E5454">
        <f ca="1">IF(A5454="","",COUNTIF(D$6:D5454,"True"))</f>
        <v>56</v>
      </c>
      <c r="F5454" t="str">
        <f t="shared" si="85"/>
        <v>920834.BJ</v>
      </c>
    </row>
    <row r="5455" spans="1:6" x14ac:dyDescent="0.15">
      <c r="A5455" s="2">
        <v>46089</v>
      </c>
      <c r="B5455" s="1" t="s">
        <v>10966</v>
      </c>
      <c r="C5455" s="1" t="s">
        <v>9922</v>
      </c>
      <c r="D5455" t="b">
        <f ca="1">IF(A5455="","",[1]!s_techanal_rcnthigh(B5455,$B$2,1,3))</f>
        <v>0</v>
      </c>
      <c r="E5455">
        <f ca="1">IF(A5455="","",COUNTIF(D$6:D5455,"True"))</f>
        <v>56</v>
      </c>
      <c r="F5455" t="str">
        <f t="shared" si="85"/>
        <v>920837.BJ</v>
      </c>
    </row>
    <row r="5456" spans="1:6" x14ac:dyDescent="0.15">
      <c r="A5456" s="2">
        <v>46089</v>
      </c>
      <c r="B5456" s="1" t="s">
        <v>10967</v>
      </c>
      <c r="C5456" s="1" t="s">
        <v>9768</v>
      </c>
      <c r="D5456" t="b">
        <f ca="1">IF(A5456="","",[1]!s_techanal_rcnthigh(B5456,$B$2,1,3))</f>
        <v>0</v>
      </c>
      <c r="E5456">
        <f ca="1">IF(A5456="","",COUNTIF(D$6:D5456,"True"))</f>
        <v>56</v>
      </c>
      <c r="F5456" t="str">
        <f t="shared" si="85"/>
        <v>920839.BJ</v>
      </c>
    </row>
    <row r="5457" spans="1:6" x14ac:dyDescent="0.15">
      <c r="A5457" s="2">
        <v>46089</v>
      </c>
      <c r="B5457" s="1" t="s">
        <v>10968</v>
      </c>
      <c r="C5457" s="1" t="s">
        <v>9793</v>
      </c>
      <c r="D5457" t="b">
        <f ca="1">IF(A5457="","",[1]!s_techanal_rcnthigh(B5457,$B$2,1,3))</f>
        <v>0</v>
      </c>
      <c r="E5457">
        <f ca="1">IF(A5457="","",COUNTIF(D$6:D5457,"True"))</f>
        <v>56</v>
      </c>
      <c r="F5457" t="str">
        <f t="shared" si="85"/>
        <v>920855.BJ</v>
      </c>
    </row>
    <row r="5458" spans="1:6" x14ac:dyDescent="0.15">
      <c r="A5458" s="2">
        <v>46089</v>
      </c>
      <c r="B5458" s="1" t="s">
        <v>10969</v>
      </c>
      <c r="C5458" s="1" t="s">
        <v>9794</v>
      </c>
      <c r="D5458" t="b">
        <f ca="1">IF(A5458="","",[1]!s_techanal_rcnthigh(B5458,$B$2,1,3))</f>
        <v>0</v>
      </c>
      <c r="E5458">
        <f ca="1">IF(A5458="","",COUNTIF(D$6:D5458,"True"))</f>
        <v>56</v>
      </c>
      <c r="F5458" t="str">
        <f t="shared" si="85"/>
        <v>920856.BJ</v>
      </c>
    </row>
    <row r="5459" spans="1:6" x14ac:dyDescent="0.15">
      <c r="A5459" s="2">
        <v>46089</v>
      </c>
      <c r="B5459" s="1" t="s">
        <v>10970</v>
      </c>
      <c r="C5459" s="1" t="s">
        <v>9954</v>
      </c>
      <c r="D5459" t="b">
        <f ca="1">IF(A5459="","",[1]!s_techanal_rcnthigh(B5459,$B$2,1,3))</f>
        <v>0</v>
      </c>
      <c r="E5459">
        <f ca="1">IF(A5459="","",COUNTIF(D$6:D5459,"True"))</f>
        <v>56</v>
      </c>
      <c r="F5459" t="str">
        <f t="shared" si="85"/>
        <v>920857.BJ</v>
      </c>
    </row>
    <row r="5460" spans="1:6" x14ac:dyDescent="0.15">
      <c r="A5460" s="2">
        <v>46089</v>
      </c>
      <c r="B5460" s="1" t="s">
        <v>10971</v>
      </c>
      <c r="C5460" s="1" t="s">
        <v>9943</v>
      </c>
      <c r="D5460" t="b">
        <f ca="1">IF(A5460="","",[1]!s_techanal_rcnthigh(B5460,$B$2,1,3))</f>
        <v>0</v>
      </c>
      <c r="E5460">
        <f ca="1">IF(A5460="","",COUNTIF(D$6:D5460,"True"))</f>
        <v>56</v>
      </c>
      <c r="F5460" t="str">
        <f t="shared" si="85"/>
        <v>920866.BJ</v>
      </c>
    </row>
    <row r="5461" spans="1:6" x14ac:dyDescent="0.15">
      <c r="A5461" s="2">
        <v>46089</v>
      </c>
      <c r="B5461" s="1" t="s">
        <v>10972</v>
      </c>
      <c r="C5461" s="1" t="s">
        <v>9920</v>
      </c>
      <c r="D5461" t="b">
        <f ca="1">IF(A5461="","",[1]!s_techanal_rcnthigh(B5461,$B$2,1,3))</f>
        <v>0</v>
      </c>
      <c r="E5461">
        <f ca="1">IF(A5461="","",COUNTIF(D$6:D5461,"True"))</f>
        <v>56</v>
      </c>
      <c r="F5461" t="str">
        <f t="shared" si="85"/>
        <v>920870.BJ</v>
      </c>
    </row>
    <row r="5462" spans="1:6" x14ac:dyDescent="0.15">
      <c r="A5462" s="2">
        <v>46089</v>
      </c>
      <c r="B5462" s="1" t="s">
        <v>10973</v>
      </c>
      <c r="C5462" s="1" t="s">
        <v>9896</v>
      </c>
      <c r="D5462" t="b">
        <f ca="1">IF(A5462="","",[1]!s_techanal_rcnthigh(B5462,$B$2,1,3))</f>
        <v>0</v>
      </c>
      <c r="E5462">
        <f ca="1">IF(A5462="","",COUNTIF(D$6:D5462,"True"))</f>
        <v>56</v>
      </c>
      <c r="F5462" t="str">
        <f t="shared" si="85"/>
        <v>920871.BJ</v>
      </c>
    </row>
    <row r="5463" spans="1:6" x14ac:dyDescent="0.15">
      <c r="A5463" s="2">
        <v>46089</v>
      </c>
      <c r="B5463" s="1" t="s">
        <v>10974</v>
      </c>
      <c r="C5463" s="1" t="s">
        <v>9842</v>
      </c>
      <c r="D5463" t="b">
        <f ca="1">IF(A5463="","",[1]!s_techanal_rcnthigh(B5463,$B$2,1,3))</f>
        <v>0</v>
      </c>
      <c r="E5463">
        <f ca="1">IF(A5463="","",COUNTIF(D$6:D5463,"True"))</f>
        <v>56</v>
      </c>
      <c r="F5463" t="str">
        <f t="shared" si="85"/>
        <v>920873.BJ</v>
      </c>
    </row>
    <row r="5464" spans="1:6" x14ac:dyDescent="0.15">
      <c r="A5464" s="2">
        <v>46089</v>
      </c>
      <c r="B5464" s="1" t="s">
        <v>10975</v>
      </c>
      <c r="C5464" s="1" t="s">
        <v>9818</v>
      </c>
      <c r="D5464" t="b">
        <f ca="1">IF(A5464="","",[1]!s_techanal_rcnthigh(B5464,$B$2,1,3))</f>
        <v>0</v>
      </c>
      <c r="E5464">
        <f ca="1">IF(A5464="","",COUNTIF(D$6:D5464,"True"))</f>
        <v>56</v>
      </c>
      <c r="F5464" t="str">
        <f t="shared" si="85"/>
        <v>920876.BJ</v>
      </c>
    </row>
    <row r="5465" spans="1:6" x14ac:dyDescent="0.15">
      <c r="A5465" s="2">
        <v>46089</v>
      </c>
      <c r="B5465" s="1" t="s">
        <v>10976</v>
      </c>
      <c r="C5465" s="1" t="s">
        <v>10977</v>
      </c>
      <c r="D5465" t="b">
        <f ca="1">IF(A5465="","",[1]!s_techanal_rcnthigh(B5465,$B$2,1,3))</f>
        <v>0</v>
      </c>
      <c r="E5465">
        <f ca="1">IF(A5465="","",COUNTIF(D$6:D5465,"True"))</f>
        <v>56</v>
      </c>
      <c r="F5465" t="str">
        <f t="shared" si="85"/>
        <v>920879.BJ</v>
      </c>
    </row>
    <row r="5466" spans="1:6" x14ac:dyDescent="0.15">
      <c r="A5466" s="2">
        <v>46089</v>
      </c>
      <c r="B5466" s="1" t="s">
        <v>10978</v>
      </c>
      <c r="C5466" s="1" t="s">
        <v>9819</v>
      </c>
      <c r="D5466" t="b">
        <f ca="1">IF(A5466="","",[1]!s_techanal_rcnthigh(B5466,$B$2,1,3))</f>
        <v>0</v>
      </c>
      <c r="E5466">
        <f ca="1">IF(A5466="","",COUNTIF(D$6:D5466,"True"))</f>
        <v>56</v>
      </c>
      <c r="F5466" t="str">
        <f t="shared" si="85"/>
        <v>920885.BJ</v>
      </c>
    </row>
    <row r="5467" spans="1:6" x14ac:dyDescent="0.15">
      <c r="A5467" s="2">
        <v>46089</v>
      </c>
      <c r="B5467" s="1" t="s">
        <v>10979</v>
      </c>
      <c r="C5467" s="1" t="s">
        <v>9897</v>
      </c>
      <c r="D5467" t="b">
        <f ca="1">IF(A5467="","",[1]!s_techanal_rcnthigh(B5467,$B$2,1,3))</f>
        <v>0</v>
      </c>
      <c r="E5467">
        <f ca="1">IF(A5467="","",COUNTIF(D$6:D5467,"True"))</f>
        <v>56</v>
      </c>
      <c r="F5467" t="str">
        <f t="shared" si="85"/>
        <v>920892.BJ</v>
      </c>
    </row>
    <row r="5468" spans="1:6" x14ac:dyDescent="0.15">
      <c r="A5468" s="2">
        <v>46089</v>
      </c>
      <c r="B5468" s="1" t="s">
        <v>10980</v>
      </c>
      <c r="C5468" s="1" t="s">
        <v>9963</v>
      </c>
      <c r="D5468" t="b">
        <f ca="1">IF(A5468="","",[1]!s_techanal_rcnthigh(B5468,$B$2,1,3))</f>
        <v>0</v>
      </c>
      <c r="E5468">
        <f ca="1">IF(A5468="","",COUNTIF(D$6:D5468,"True"))</f>
        <v>56</v>
      </c>
      <c r="F5468" t="str">
        <f t="shared" si="85"/>
        <v>920895.BJ</v>
      </c>
    </row>
    <row r="5469" spans="1:6" x14ac:dyDescent="0.15">
      <c r="A5469" s="2">
        <v>46089</v>
      </c>
      <c r="B5469" s="1" t="s">
        <v>10981</v>
      </c>
      <c r="C5469" s="1" t="s">
        <v>9769</v>
      </c>
      <c r="D5469" t="b">
        <f ca="1">IF(A5469="","",[1]!s_techanal_rcnthigh(B5469,$B$2,1,3))</f>
        <v>0</v>
      </c>
      <c r="E5469">
        <f ca="1">IF(A5469="","",COUNTIF(D$6:D5469,"True"))</f>
        <v>56</v>
      </c>
      <c r="F5469" t="str">
        <f t="shared" si="85"/>
        <v>920896.BJ</v>
      </c>
    </row>
    <row r="5470" spans="1:6" x14ac:dyDescent="0.15">
      <c r="A5470" s="2">
        <v>46089</v>
      </c>
      <c r="B5470" s="1" t="s">
        <v>10982</v>
      </c>
      <c r="C5470" s="1" t="s">
        <v>9795</v>
      </c>
      <c r="D5470" t="b">
        <f ca="1">IF(A5470="","",[1]!s_techanal_rcnthigh(B5470,$B$2,1,3))</f>
        <v>0</v>
      </c>
      <c r="E5470">
        <f ca="1">IF(A5470="","",COUNTIF(D$6:D5470,"True"))</f>
        <v>56</v>
      </c>
      <c r="F5470" t="str">
        <f t="shared" si="85"/>
        <v>920906.BJ</v>
      </c>
    </row>
    <row r="5471" spans="1:6" x14ac:dyDescent="0.15">
      <c r="A5471" s="2">
        <v>46089</v>
      </c>
      <c r="B5471" s="1" t="s">
        <v>10983</v>
      </c>
      <c r="C5471" s="1" t="s">
        <v>9843</v>
      </c>
      <c r="D5471" t="b">
        <f ca="1">IF(A5471="","",[1]!s_techanal_rcnthigh(B5471,$B$2,1,3))</f>
        <v>0</v>
      </c>
      <c r="E5471">
        <f ca="1">IF(A5471="","",COUNTIF(D$6:D5471,"True"))</f>
        <v>56</v>
      </c>
      <c r="F5471" t="str">
        <f t="shared" si="85"/>
        <v>920914.BJ</v>
      </c>
    </row>
    <row r="5472" spans="1:6" x14ac:dyDescent="0.15">
      <c r="A5472" s="2">
        <v>46089</v>
      </c>
      <c r="B5472" s="1" t="s">
        <v>10984</v>
      </c>
      <c r="C5472" s="1" t="s">
        <v>9923</v>
      </c>
      <c r="D5472" t="b">
        <f ca="1">IF(A5472="","",[1]!s_techanal_rcnthigh(B5472,$B$2,1,3))</f>
        <v>0</v>
      </c>
      <c r="E5472">
        <f ca="1">IF(A5472="","",COUNTIF(D$6:D5472,"True"))</f>
        <v>56</v>
      </c>
      <c r="F5472" t="str">
        <f t="shared" si="85"/>
        <v>920924.BJ</v>
      </c>
    </row>
    <row r="5473" spans="1:6" x14ac:dyDescent="0.15">
      <c r="A5473" s="2">
        <v>46089</v>
      </c>
      <c r="B5473" s="1" t="s">
        <v>10985</v>
      </c>
      <c r="C5473" s="1" t="s">
        <v>9964</v>
      </c>
      <c r="D5473" t="b">
        <f ca="1">IF(A5473="","",[1]!s_techanal_rcnthigh(B5473,$B$2,1,3))</f>
        <v>0</v>
      </c>
      <c r="E5473">
        <f ca="1">IF(A5473="","",COUNTIF(D$6:D5473,"True"))</f>
        <v>56</v>
      </c>
      <c r="F5473" t="str">
        <f t="shared" si="85"/>
        <v>920925.BJ</v>
      </c>
    </row>
    <row r="5474" spans="1:6" x14ac:dyDescent="0.15">
      <c r="A5474" s="2">
        <v>46089</v>
      </c>
      <c r="B5474" s="1" t="s">
        <v>10986</v>
      </c>
      <c r="C5474" s="1" t="s">
        <v>9942</v>
      </c>
      <c r="D5474" t="b">
        <f ca="1">IF(A5474="","",[1]!s_techanal_rcnthigh(B5474,$B$2,1,3))</f>
        <v>0</v>
      </c>
      <c r="E5474">
        <f ca="1">IF(A5474="","",COUNTIF(D$6:D5474,"True"))</f>
        <v>56</v>
      </c>
      <c r="F5474" t="str">
        <f t="shared" si="85"/>
        <v>920926.BJ</v>
      </c>
    </row>
    <row r="5475" spans="1:6" x14ac:dyDescent="0.15">
      <c r="A5475" s="2">
        <v>46089</v>
      </c>
      <c r="B5475" s="1" t="s">
        <v>10987</v>
      </c>
      <c r="C5475" s="1" t="s">
        <v>10988</v>
      </c>
      <c r="D5475" t="b">
        <f ca="1">IF(A5475="","",[1]!s_techanal_rcnthigh(B5475,$B$2,1,3))</f>
        <v>0</v>
      </c>
      <c r="E5475">
        <f ca="1">IF(A5475="","",COUNTIF(D$6:D5475,"True"))</f>
        <v>56</v>
      </c>
      <c r="F5475" t="str">
        <f t="shared" si="85"/>
        <v>920931.BJ</v>
      </c>
    </row>
    <row r="5476" spans="1:6" x14ac:dyDescent="0.15">
      <c r="A5476" s="2">
        <v>46089</v>
      </c>
      <c r="B5476" s="1" t="s">
        <v>10989</v>
      </c>
      <c r="C5476" s="1" t="s">
        <v>9792</v>
      </c>
      <c r="D5476" t="b">
        <f ca="1">IF(A5476="","",[1]!s_techanal_rcnthigh(B5476,$B$2,1,3))</f>
        <v>0</v>
      </c>
      <c r="E5476">
        <f ca="1">IF(A5476="","",COUNTIF(D$6:D5476,"True"))</f>
        <v>56</v>
      </c>
      <c r="F5476" t="str">
        <f t="shared" si="85"/>
        <v>920932.BJ</v>
      </c>
    </row>
    <row r="5477" spans="1:6" x14ac:dyDescent="0.15">
      <c r="A5477" s="2">
        <v>46089</v>
      </c>
      <c r="B5477" s="1" t="s">
        <v>10990</v>
      </c>
      <c r="C5477" s="1" t="s">
        <v>9898</v>
      </c>
      <c r="D5477" t="b">
        <f ca="1">IF(A5477="","",[1]!s_techanal_rcnthigh(B5477,$B$2,1,3))</f>
        <v>0</v>
      </c>
      <c r="E5477">
        <f ca="1">IF(A5477="","",COUNTIF(D$6:D5477,"True"))</f>
        <v>56</v>
      </c>
      <c r="F5477" t="str">
        <f t="shared" si="85"/>
        <v>920942.BJ</v>
      </c>
    </row>
    <row r="5478" spans="1:6" x14ac:dyDescent="0.15">
      <c r="A5478" s="2">
        <v>46089</v>
      </c>
      <c r="B5478" s="1" t="s">
        <v>10991</v>
      </c>
      <c r="C5478" s="1" t="s">
        <v>9844</v>
      </c>
      <c r="D5478" t="b">
        <f ca="1">IF(A5478="","",[1]!s_techanal_rcnthigh(B5478,$B$2,1,3))</f>
        <v>0</v>
      </c>
      <c r="E5478">
        <f ca="1">IF(A5478="","",COUNTIF(D$6:D5478,"True"))</f>
        <v>56</v>
      </c>
      <c r="F5478" t="str">
        <f t="shared" si="85"/>
        <v>920943.BJ</v>
      </c>
    </row>
    <row r="5479" spans="1:6" x14ac:dyDescent="0.15">
      <c r="A5479" s="2">
        <v>46089</v>
      </c>
      <c r="B5479" s="1" t="s">
        <v>10992</v>
      </c>
      <c r="C5479" s="1" t="s">
        <v>9770</v>
      </c>
      <c r="D5479" t="b">
        <f ca="1">IF(A5479="","",[1]!s_techanal_rcnthigh(B5479,$B$2,1,3))</f>
        <v>0</v>
      </c>
      <c r="E5479">
        <f ca="1">IF(A5479="","",COUNTIF(D$6:D5479,"True"))</f>
        <v>56</v>
      </c>
      <c r="F5479" t="str">
        <f t="shared" si="85"/>
        <v>920946.BJ</v>
      </c>
    </row>
    <row r="5480" spans="1:6" x14ac:dyDescent="0.15">
      <c r="A5480" s="2">
        <v>46089</v>
      </c>
      <c r="B5480" s="1" t="s">
        <v>10993</v>
      </c>
      <c r="C5480" s="1" t="s">
        <v>9859</v>
      </c>
      <c r="D5480" t="b">
        <f ca="1">IF(A5480="","",[1]!s_techanal_rcnthigh(B5480,$B$2,1,3))</f>
        <v>0</v>
      </c>
      <c r="E5480">
        <f ca="1">IF(A5480="","",COUNTIF(D$6:D5480,"True"))</f>
        <v>56</v>
      </c>
      <c r="F5480" t="str">
        <f t="shared" si="85"/>
        <v>920950.BJ</v>
      </c>
    </row>
    <row r="5481" spans="1:6" x14ac:dyDescent="0.15">
      <c r="A5481" s="2">
        <v>46089</v>
      </c>
      <c r="B5481" s="1" t="s">
        <v>10994</v>
      </c>
      <c r="C5481" s="1" t="s">
        <v>9965</v>
      </c>
      <c r="D5481" t="b">
        <f ca="1">IF(A5481="","",[1]!s_techanal_rcnthigh(B5481,$B$2,1,3))</f>
        <v>0</v>
      </c>
      <c r="E5481">
        <f ca="1">IF(A5481="","",COUNTIF(D$6:D5481,"True"))</f>
        <v>56</v>
      </c>
      <c r="F5481" t="str">
        <f t="shared" si="85"/>
        <v>920953.BJ</v>
      </c>
    </row>
    <row r="5482" spans="1:6" x14ac:dyDescent="0.15">
      <c r="A5482" s="2">
        <v>46089</v>
      </c>
      <c r="B5482" s="1" t="s">
        <v>10995</v>
      </c>
      <c r="C5482" s="1" t="s">
        <v>9899</v>
      </c>
      <c r="D5482" t="b">
        <f ca="1">IF(A5482="","",[1]!s_techanal_rcnthigh(B5482,$B$2,1,3))</f>
        <v>0</v>
      </c>
      <c r="E5482">
        <f ca="1">IF(A5482="","",COUNTIF(D$6:D5482,"True"))</f>
        <v>56</v>
      </c>
      <c r="F5482" t="str">
        <f t="shared" si="85"/>
        <v>920957.BJ</v>
      </c>
    </row>
    <row r="5483" spans="1:6" x14ac:dyDescent="0.15">
      <c r="A5483" s="2">
        <v>46089</v>
      </c>
      <c r="B5483" s="1" t="s">
        <v>10996</v>
      </c>
      <c r="C5483" s="1" t="s">
        <v>9796</v>
      </c>
      <c r="D5483" t="b">
        <f ca="1">IF(A5483="","",[1]!s_techanal_rcnthigh(B5483,$B$2,1,3))</f>
        <v>0</v>
      </c>
      <c r="E5483">
        <f ca="1">IF(A5483="","",COUNTIF(D$6:D5483,"True"))</f>
        <v>56</v>
      </c>
      <c r="F5483" t="str">
        <f t="shared" si="85"/>
        <v>920961.BJ</v>
      </c>
    </row>
    <row r="5484" spans="1:6" x14ac:dyDescent="0.15">
      <c r="A5484" s="2">
        <v>46089</v>
      </c>
      <c r="B5484" s="1" t="s">
        <v>10997</v>
      </c>
      <c r="C5484" s="1" t="s">
        <v>9771</v>
      </c>
      <c r="D5484" t="b">
        <f ca="1">IF(A5484="","",[1]!s_techanal_rcnthigh(B5484,$B$2,1,3))</f>
        <v>0</v>
      </c>
      <c r="E5484">
        <f ca="1">IF(A5484="","",COUNTIF(D$6:D5484,"True"))</f>
        <v>56</v>
      </c>
      <c r="F5484" t="str">
        <f t="shared" si="85"/>
        <v>920964.BJ</v>
      </c>
    </row>
    <row r="5485" spans="1:6" x14ac:dyDescent="0.15">
      <c r="A5485" s="2">
        <v>46089</v>
      </c>
      <c r="B5485" s="1" t="s">
        <v>10998</v>
      </c>
      <c r="C5485" s="1" t="s">
        <v>9955</v>
      </c>
      <c r="D5485" t="b">
        <f ca="1">IF(A5485="","",[1]!s_techanal_rcnthigh(B5485,$B$2,1,3))</f>
        <v>0</v>
      </c>
      <c r="E5485">
        <f ca="1">IF(A5485="","",COUNTIF(D$6:D5485,"True"))</f>
        <v>56</v>
      </c>
      <c r="F5485" t="str">
        <f t="shared" si="85"/>
        <v>920970.BJ</v>
      </c>
    </row>
    <row r="5486" spans="1:6" x14ac:dyDescent="0.15">
      <c r="A5486" s="2">
        <v>46089</v>
      </c>
      <c r="B5486" s="1" t="s">
        <v>10999</v>
      </c>
      <c r="C5486" s="1" t="s">
        <v>9924</v>
      </c>
      <c r="D5486" t="b">
        <f ca="1">IF(A5486="","",[1]!s_techanal_rcnthigh(B5486,$B$2,1,3))</f>
        <v>0</v>
      </c>
      <c r="E5486">
        <f ca="1">IF(A5486="","",COUNTIF(D$6:D5486,"True"))</f>
        <v>56</v>
      </c>
      <c r="F5486" t="str">
        <f t="shared" si="85"/>
        <v>920971.BJ</v>
      </c>
    </row>
    <row r="5487" spans="1:6" x14ac:dyDescent="0.15">
      <c r="A5487" s="2">
        <v>46089</v>
      </c>
      <c r="B5487" s="1" t="s">
        <v>11000</v>
      </c>
      <c r="C5487" s="1" t="s">
        <v>9772</v>
      </c>
      <c r="D5487" t="b">
        <f ca="1">IF(A5487="","",[1]!s_techanal_rcnthigh(B5487,$B$2,1,3))</f>
        <v>0</v>
      </c>
      <c r="E5487">
        <f ca="1">IF(A5487="","",COUNTIF(D$6:D5487,"True"))</f>
        <v>56</v>
      </c>
      <c r="F5487" t="str">
        <f t="shared" si="85"/>
        <v>920974.BJ</v>
      </c>
    </row>
    <row r="5488" spans="1:6" x14ac:dyDescent="0.15">
      <c r="A5488" s="2">
        <v>46089</v>
      </c>
      <c r="B5488" s="1" t="s">
        <v>11001</v>
      </c>
      <c r="C5488" s="1" t="s">
        <v>9944</v>
      </c>
      <c r="D5488" t="b">
        <f ca="1">IF(A5488="","",[1]!s_techanal_rcnthigh(B5488,$B$2,1,3))</f>
        <v>0</v>
      </c>
      <c r="E5488">
        <f ca="1">IF(A5488="","",COUNTIF(D$6:D5488,"True"))</f>
        <v>56</v>
      </c>
      <c r="F5488" t="str">
        <f t="shared" si="85"/>
        <v>920976.BJ</v>
      </c>
    </row>
    <row r="5489" spans="1:6" x14ac:dyDescent="0.15">
      <c r="A5489" s="2">
        <v>46089</v>
      </c>
      <c r="B5489" s="1" t="s">
        <v>11002</v>
      </c>
      <c r="C5489" s="1" t="s">
        <v>9820</v>
      </c>
      <c r="D5489" t="b">
        <f ca="1">IF(A5489="","",[1]!s_techanal_rcnthigh(B5489,$B$2,1,3))</f>
        <v>0</v>
      </c>
      <c r="E5489">
        <f ca="1">IF(A5489="","",COUNTIF(D$6:D5489,"True"))</f>
        <v>56</v>
      </c>
      <c r="F5489" t="str">
        <f t="shared" si="85"/>
        <v>920978.BJ</v>
      </c>
    </row>
    <row r="5490" spans="1:6" x14ac:dyDescent="0.15">
      <c r="A5490" s="2">
        <v>46089</v>
      </c>
      <c r="B5490" s="1" t="s">
        <v>11003</v>
      </c>
      <c r="C5490" s="1" t="s">
        <v>9956</v>
      </c>
      <c r="D5490" t="b">
        <f ca="1">IF(A5490="","",[1]!s_techanal_rcnthigh(B5490,$B$2,1,3))</f>
        <v>0</v>
      </c>
      <c r="E5490">
        <f ca="1">IF(A5490="","",COUNTIF(D$6:D5490,"True"))</f>
        <v>56</v>
      </c>
      <c r="F5490" t="str">
        <f t="shared" si="85"/>
        <v>920981.BJ</v>
      </c>
    </row>
    <row r="5491" spans="1:6" x14ac:dyDescent="0.15">
      <c r="A5491" s="2">
        <v>46089</v>
      </c>
      <c r="B5491" s="1" t="s">
        <v>11004</v>
      </c>
      <c r="C5491" s="1" t="s">
        <v>9821</v>
      </c>
      <c r="D5491" t="b">
        <f ca="1">IF(A5491="","",[1]!s_techanal_rcnthigh(B5491,$B$2,1,3))</f>
        <v>0</v>
      </c>
      <c r="E5491">
        <f ca="1">IF(A5491="","",COUNTIF(D$6:D5491,"True"))</f>
        <v>56</v>
      </c>
      <c r="F5491" t="str">
        <f t="shared" si="85"/>
        <v>920982.BJ</v>
      </c>
    </row>
    <row r="5492" spans="1:6" x14ac:dyDescent="0.15">
      <c r="A5492" s="2">
        <v>46089</v>
      </c>
      <c r="B5492" s="1" t="s">
        <v>11005</v>
      </c>
      <c r="C5492" s="1" t="s">
        <v>9873</v>
      </c>
      <c r="D5492" t="b">
        <f ca="1">IF(A5492="","",[1]!s_techanal_rcnthigh(B5492,$B$2,1,3))</f>
        <v>0</v>
      </c>
      <c r="E5492">
        <f ca="1">IF(A5492="","",COUNTIF(D$6:D5492,"True"))</f>
        <v>56</v>
      </c>
      <c r="F5492" t="str">
        <f t="shared" si="85"/>
        <v>920985.BJ</v>
      </c>
    </row>
    <row r="5493" spans="1:6" x14ac:dyDescent="0.15">
      <c r="A5493" s="2">
        <v>46089</v>
      </c>
      <c r="B5493" s="1" t="s">
        <v>11006</v>
      </c>
      <c r="C5493" s="1" t="s">
        <v>9872</v>
      </c>
      <c r="D5493" t="b">
        <f ca="1">IF(A5493="","",[1]!s_techanal_rcnthigh(B5493,$B$2,1,3))</f>
        <v>0</v>
      </c>
      <c r="E5493">
        <f ca="1">IF(A5493="","",COUNTIF(D$6:D5493,"True"))</f>
        <v>56</v>
      </c>
      <c r="F5493" t="str">
        <f t="shared" si="85"/>
        <v>920992.BJ</v>
      </c>
    </row>
    <row r="5494" spans="1:6" x14ac:dyDescent="0.15">
      <c r="D5494" t="str">
        <f>IF(A5494="","",[1]!s_techanal_rcnthigh(B5494,$B$2,1,3))</f>
        <v/>
      </c>
      <c r="E5494" t="str">
        <f>IF(A5494="","",COUNTIF(D$6:D5494,"True"))</f>
        <v/>
      </c>
      <c r="F5494" t="str">
        <f t="shared" si="85"/>
        <v/>
      </c>
    </row>
    <row r="5495" spans="1:6" x14ac:dyDescent="0.15">
      <c r="D5495" t="str">
        <f>IF(A5495="","",[1]!s_techanal_rcnthigh(B5495,$B$2,1,3))</f>
        <v/>
      </c>
      <c r="E5495" t="str">
        <f>IF(A5495="","",COUNTIF(D$6:D5495,"True"))</f>
        <v/>
      </c>
      <c r="F5495" t="str">
        <f t="shared" si="85"/>
        <v/>
      </c>
    </row>
    <row r="5496" spans="1:6" x14ac:dyDescent="0.15">
      <c r="D5496" t="str">
        <f>IF(A5496="","",[1]!s_techanal_rcnthigh(B5496,$B$2,1,3))</f>
        <v/>
      </c>
      <c r="E5496" t="str">
        <f>IF(A5496="","",COUNTIF(D$6:D5496,"True"))</f>
        <v/>
      </c>
      <c r="F5496" t="str">
        <f t="shared" si="85"/>
        <v/>
      </c>
    </row>
    <row r="5497" spans="1:6" x14ac:dyDescent="0.15">
      <c r="D5497" t="str">
        <f>IF(A5497="","",[1]!s_techanal_rcnthigh(B5497,$B$2,1,3))</f>
        <v/>
      </c>
      <c r="E5497" t="str">
        <f>IF(A5497="","",COUNTIF(D$6:D5497,"True"))</f>
        <v/>
      </c>
      <c r="F5497" t="str">
        <f t="shared" si="85"/>
        <v/>
      </c>
    </row>
    <row r="5498" spans="1:6" x14ac:dyDescent="0.15">
      <c r="E5498" t="str">
        <f>IF(A5498="","",COUNTIF(D$6:D5498,"True"))</f>
        <v/>
      </c>
    </row>
    <row r="5499" spans="1:6" x14ac:dyDescent="0.15">
      <c r="E5499" t="str">
        <f>IF(A5499="","",COUNTIF(D$6:D5499,"True"))</f>
        <v/>
      </c>
    </row>
    <row r="5500" spans="1:6" x14ac:dyDescent="0.15">
      <c r="E5500" t="str">
        <f>IF(A5500="","",COUNTIF(D$6:D5500,"True"))</f>
        <v/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I5:I6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>
      <selection activeCell="B5" sqref="B5"/>
    </sheetView>
  </sheetViews>
  <sheetFormatPr defaultRowHeight="13.5" x14ac:dyDescent="0.15"/>
  <sheetData>
    <row r="1" spans="1:1" x14ac:dyDescent="0.15">
      <c r="A1" t="s">
        <v>10005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个股历史新高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2024-03-25T03:17:49Z</dcterms:created>
  <dcterms:modified xsi:type="dcterms:W3CDTF">2026-03-08T14:14:13Z</dcterms:modified>
</cp:coreProperties>
</file>