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ThisWorkbook"/>
  <xr:revisionPtr revIDLastSave="0" documentId="13_ncr:1_{F5D8E146-1F79-4B4F-AF22-98D3E96760D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区间涨跌幅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D23" i="1"/>
  <c r="E22" i="1"/>
  <c r="D22" i="1"/>
  <c r="G6" i="1"/>
  <c r="E16" i="1" s="1"/>
  <c r="G5" i="1"/>
  <c r="E15" i="1" s="1"/>
  <c r="D6" i="1"/>
  <c r="L19" i="1"/>
  <c r="L18" i="1"/>
  <c r="L17" i="1"/>
  <c r="L20" i="1"/>
  <c r="L14" i="1"/>
  <c r="L23" i="1"/>
  <c r="L21" i="1"/>
  <c r="L15" i="1"/>
  <c r="L13" i="1"/>
  <c r="L22" i="1"/>
  <c r="L16" i="1"/>
  <c r="L12" i="1"/>
  <c r="K23" i="1"/>
  <c r="J23" i="1"/>
  <c r="I23" i="1"/>
  <c r="F23" i="1"/>
  <c r="K22" i="1"/>
  <c r="J22" i="1"/>
  <c r="I22" i="1"/>
  <c r="F22" i="1"/>
  <c r="J6" i="1"/>
  <c r="J5" i="1"/>
  <c r="D14" i="1"/>
  <c r="K18" i="1"/>
  <c r="K21" i="1"/>
  <c r="K29" i="1"/>
  <c r="I12" i="1"/>
  <c r="J27" i="1"/>
  <c r="J53" i="1"/>
  <c r="E33" i="1"/>
  <c r="I18" i="1"/>
  <c r="J46" i="1"/>
  <c r="I44" i="1"/>
  <c r="D19" i="1"/>
  <c r="F14" i="1"/>
  <c r="J34" i="1"/>
  <c r="E51" i="1"/>
  <c r="I16" i="1"/>
  <c r="D31" i="1"/>
  <c r="I51" i="1"/>
  <c r="I15" i="1"/>
  <c r="D35" i="1"/>
  <c r="F15" i="1"/>
  <c r="D48" i="1"/>
  <c r="I50" i="1"/>
  <c r="K34" i="1"/>
  <c r="L29" i="1"/>
  <c r="E31" i="1"/>
  <c r="E14" i="1"/>
  <c r="K17" i="1"/>
  <c r="I14" i="1"/>
  <c r="F18" i="1"/>
  <c r="J21" i="1"/>
  <c r="D49" i="1"/>
  <c r="D16" i="1"/>
  <c r="L28" i="1"/>
  <c r="D15" i="1"/>
  <c r="D12" i="1"/>
  <c r="F53" i="1"/>
  <c r="F31" i="1"/>
  <c r="E44" i="1"/>
  <c r="F27" i="1"/>
  <c r="F33" i="1"/>
  <c r="D44" i="1"/>
  <c r="L47" i="1"/>
  <c r="L49" i="1"/>
  <c r="E11" i="1"/>
  <c r="F28" i="1"/>
  <c r="F43" i="1"/>
  <c r="I20" i="1"/>
  <c r="I33" i="1"/>
  <c r="J31" i="1"/>
  <c r="D47" i="1"/>
  <c r="L35" i="1"/>
  <c r="K49" i="1"/>
  <c r="I49" i="1"/>
  <c r="J28" i="1"/>
  <c r="F49" i="1"/>
  <c r="L27" i="1"/>
  <c r="D33" i="1"/>
  <c r="K43" i="1"/>
  <c r="L53" i="1"/>
  <c r="K48" i="1"/>
  <c r="J12" i="1"/>
  <c r="F19" i="1"/>
  <c r="I17" i="1"/>
  <c r="D18" i="1"/>
  <c r="E21" i="1"/>
  <c r="I47" i="1"/>
  <c r="J33" i="1"/>
  <c r="D34" i="1"/>
  <c r="F32" i="1"/>
  <c r="K20" i="1"/>
  <c r="K31" i="1"/>
  <c r="K30" i="1"/>
  <c r="K45" i="1"/>
  <c r="K15" i="1"/>
  <c r="F11" i="1"/>
  <c r="K11" i="1"/>
  <c r="I11" i="1"/>
  <c r="K33" i="1"/>
  <c r="L44" i="1"/>
  <c r="L51" i="1"/>
  <c r="I19" i="1"/>
  <c r="I35" i="1"/>
  <c r="D29" i="1"/>
  <c r="D43" i="1"/>
  <c r="L43" i="1"/>
  <c r="K27" i="1"/>
  <c r="F16" i="1"/>
  <c r="E52" i="1"/>
  <c r="E35" i="1"/>
  <c r="J16" i="1"/>
  <c r="I13" i="1"/>
  <c r="F51" i="1"/>
  <c r="F35" i="1"/>
  <c r="K52" i="1"/>
  <c r="I46" i="1"/>
  <c r="E29" i="1"/>
  <c r="E20" i="1"/>
  <c r="I34" i="1"/>
  <c r="D32" i="1"/>
  <c r="K16" i="1"/>
  <c r="J48" i="1"/>
  <c r="E17" i="1"/>
  <c r="E48" i="1"/>
  <c r="F30" i="1"/>
  <c r="L48" i="1"/>
  <c r="E12" i="1"/>
  <c r="K12" i="1"/>
  <c r="K53" i="1"/>
  <c r="F12" i="1"/>
  <c r="I32" i="1"/>
  <c r="J49" i="1"/>
  <c r="F20" i="1"/>
  <c r="D53" i="1"/>
  <c r="J51" i="1"/>
  <c r="F44" i="1"/>
  <c r="L11" i="1"/>
  <c r="L50" i="1"/>
  <c r="E27" i="1"/>
  <c r="J30" i="1"/>
  <c r="K13" i="1"/>
  <c r="E18" i="1"/>
  <c r="I52" i="1"/>
  <c r="K35" i="1"/>
  <c r="E28" i="1"/>
  <c r="D50" i="1"/>
  <c r="I29" i="1"/>
  <c r="F29" i="1"/>
  <c r="F46" i="1"/>
  <c r="L46" i="1"/>
  <c r="D51" i="1"/>
  <c r="D13" i="1"/>
  <c r="J17" i="1"/>
  <c r="I53" i="1"/>
  <c r="D30" i="1"/>
  <c r="J15" i="1"/>
  <c r="F13" i="1"/>
  <c r="I21" i="1"/>
  <c r="J52" i="1"/>
  <c r="E19" i="1"/>
  <c r="I27" i="1"/>
  <c r="F34" i="1"/>
  <c r="J45" i="1"/>
  <c r="F45" i="1"/>
  <c r="K47" i="1"/>
  <c r="E32" i="1"/>
  <c r="D46" i="1"/>
  <c r="K46" i="1"/>
  <c r="I31" i="1"/>
  <c r="E53" i="1"/>
  <c r="I43" i="1"/>
  <c r="E50" i="1"/>
  <c r="F47" i="1"/>
  <c r="L52" i="1"/>
  <c r="E46" i="1"/>
  <c r="D27" i="1"/>
  <c r="J20" i="1"/>
  <c r="L32" i="1"/>
  <c r="D45" i="1"/>
  <c r="F17" i="1"/>
  <c r="J29" i="1"/>
  <c r="F48" i="1"/>
  <c r="E34" i="1"/>
  <c r="J44" i="1"/>
  <c r="E43" i="1"/>
  <c r="E49" i="1"/>
  <c r="L33" i="1"/>
  <c r="E45" i="1"/>
  <c r="K19" i="1"/>
  <c r="K32" i="1"/>
  <c r="I45" i="1"/>
  <c r="D52" i="1"/>
  <c r="D28" i="1"/>
  <c r="K44" i="1"/>
  <c r="F50" i="1"/>
  <c r="J11" i="1"/>
  <c r="E30" i="1"/>
  <c r="L34" i="1"/>
  <c r="K28" i="1"/>
  <c r="D21" i="1"/>
  <c r="I48" i="1"/>
  <c r="J14" i="1"/>
  <c r="K50" i="1"/>
  <c r="K51" i="1"/>
  <c r="F52" i="1"/>
  <c r="L31" i="1"/>
  <c r="J47" i="1"/>
  <c r="E47" i="1"/>
  <c r="D20" i="1"/>
  <c r="J50" i="1"/>
  <c r="J19" i="1"/>
  <c r="J18" i="1"/>
  <c r="E13" i="1"/>
  <c r="F21" i="1"/>
  <c r="D11" i="1"/>
  <c r="I28" i="1"/>
  <c r="J13" i="1"/>
  <c r="I30" i="1"/>
  <c r="J35" i="1"/>
  <c r="L45" i="1"/>
  <c r="D17" i="1"/>
  <c r="L30" i="1"/>
  <c r="K14" i="1"/>
  <c r="J43" i="1"/>
  <c r="J32" i="1"/>
  <c r="H23" i="1" l="1"/>
  <c r="G23" i="1"/>
  <c r="H22" i="1"/>
  <c r="G22" i="1"/>
  <c r="G11" i="1"/>
  <c r="G30" i="1"/>
  <c r="H30" i="1"/>
  <c r="G28" i="1"/>
  <c r="H28" i="1"/>
  <c r="G31" i="1"/>
  <c r="H31" i="1"/>
  <c r="G33" i="1"/>
  <c r="H33" i="1"/>
  <c r="G35" i="1"/>
  <c r="H35" i="1"/>
  <c r="G29" i="1"/>
  <c r="H29" i="1"/>
  <c r="G32" i="1"/>
  <c r="H32" i="1"/>
  <c r="H34" i="1"/>
  <c r="G34" i="1"/>
  <c r="H27" i="1"/>
  <c r="G27" i="1"/>
  <c r="H21" i="1"/>
  <c r="G21" i="1"/>
  <c r="G20" i="1"/>
  <c r="H20" i="1"/>
  <c r="G45" i="1"/>
  <c r="H45" i="1"/>
  <c r="G53" i="1"/>
  <c r="H53" i="1"/>
  <c r="G13" i="1"/>
  <c r="H13" i="1"/>
  <c r="H18" i="1"/>
  <c r="G18" i="1"/>
  <c r="H17" i="1"/>
  <c r="G17" i="1"/>
  <c r="G47" i="1"/>
  <c r="H47" i="1"/>
  <c r="H14" i="1"/>
  <c r="G14" i="1"/>
  <c r="H52" i="1"/>
  <c r="G52" i="1"/>
  <c r="H11" i="1"/>
  <c r="G44" i="1"/>
  <c r="H44" i="1"/>
  <c r="H43" i="1"/>
  <c r="G43" i="1"/>
  <c r="G51" i="1"/>
  <c r="H51" i="1"/>
  <c r="G48" i="1"/>
  <c r="H48" i="1"/>
  <c r="G49" i="1"/>
  <c r="H49" i="1"/>
  <c r="G46" i="1"/>
  <c r="H46" i="1"/>
  <c r="H19" i="1"/>
  <c r="G19" i="1"/>
  <c r="G50" i="1"/>
  <c r="H50" i="1"/>
  <c r="G12" i="1"/>
  <c r="H12" i="1"/>
  <c r="H16" i="1" l="1"/>
  <c r="G16" i="1"/>
  <c r="H15" i="1"/>
  <c r="G15" i="1"/>
</calcChain>
</file>

<file path=xl/sharedStrings.xml><?xml version="1.0" encoding="utf-8"?>
<sst xmlns="http://schemas.openxmlformats.org/spreadsheetml/2006/main" count="54" uniqueCount="52">
  <si>
    <t>Wind代码</t>
    <phoneticPr fontId="4" type="noConversion"/>
  </si>
  <si>
    <t>证券简称</t>
    <phoneticPr fontId="4" type="noConversion"/>
  </si>
  <si>
    <t>区间开始价格</t>
    <phoneticPr fontId="4" type="noConversion"/>
  </si>
  <si>
    <t>区间结束价格</t>
    <phoneticPr fontId="4" type="noConversion"/>
  </si>
  <si>
    <t>区间涨跌幅</t>
    <phoneticPr fontId="4" type="noConversion"/>
  </si>
  <si>
    <t>总市值(亿）</t>
    <phoneticPr fontId="4" type="noConversion"/>
  </si>
  <si>
    <t>区间涨跌幅</t>
    <phoneticPr fontId="2" type="noConversion"/>
  </si>
  <si>
    <t>CN.SG</t>
    <phoneticPr fontId="4" type="noConversion"/>
  </si>
  <si>
    <t>HTIF.HK</t>
    <phoneticPr fontId="4" type="noConversion"/>
  </si>
  <si>
    <t>区间价格变动</t>
    <phoneticPr fontId="4" type="noConversion"/>
  </si>
  <si>
    <t>1093.HK</t>
    <phoneticPr fontId="4" type="noConversion"/>
  </si>
  <si>
    <t>BTC.CME</t>
    <phoneticPr fontId="4" type="noConversion"/>
  </si>
  <si>
    <t>002123.SZ</t>
    <phoneticPr fontId="4" type="noConversion"/>
  </si>
  <si>
    <t>600006.SH</t>
    <phoneticPr fontId="4" type="noConversion"/>
  </si>
  <si>
    <t>2023/12/31</t>
    <phoneticPr fontId="2" type="noConversion"/>
  </si>
  <si>
    <t>纽交所前一交易日：</t>
    <phoneticPr fontId="4" type="noConversion"/>
  </si>
  <si>
    <t>日期设置</t>
    <phoneticPr fontId="2" type="noConversion"/>
  </si>
  <si>
    <t>上交所前一交易日：</t>
    <phoneticPr fontId="4" type="noConversion"/>
  </si>
  <si>
    <t>开始日期:</t>
    <phoneticPr fontId="4" type="noConversion"/>
  </si>
  <si>
    <t>结束日期:</t>
    <phoneticPr fontId="4" type="noConversion"/>
  </si>
  <si>
    <t>开始日期调整</t>
    <phoneticPr fontId="2" type="noConversion"/>
  </si>
  <si>
    <t>结束日期调整</t>
    <phoneticPr fontId="2" type="noConversion"/>
  </si>
  <si>
    <t>年初至今(%)</t>
    <phoneticPr fontId="4" type="noConversion"/>
  </si>
  <si>
    <t>本月至今(%)</t>
    <phoneticPr fontId="4" type="noConversion"/>
  </si>
  <si>
    <t>本周至今(%)</t>
    <phoneticPr fontId="4" type="noConversion"/>
  </si>
  <si>
    <t>NQ.CME</t>
    <phoneticPr fontId="4" type="noConversion"/>
  </si>
  <si>
    <t>YM.CBT</t>
    <phoneticPr fontId="4" type="noConversion"/>
  </si>
  <si>
    <t>10YRNOTE</t>
    <phoneticPr fontId="4" type="noConversion"/>
  </si>
  <si>
    <t>TB10Y.WI</t>
    <phoneticPr fontId="4" type="noConversion"/>
  </si>
  <si>
    <t>GC.CMX</t>
    <phoneticPr fontId="4" type="noConversion"/>
  </si>
  <si>
    <t>B.IPE</t>
    <phoneticPr fontId="4" type="noConversion"/>
  </si>
  <si>
    <t>UC.SG</t>
    <phoneticPr fontId="4" type="noConversion"/>
  </si>
  <si>
    <t>ETH.CME</t>
    <phoneticPr fontId="4" type="noConversion"/>
  </si>
  <si>
    <t>000001.SZ</t>
    <phoneticPr fontId="4" type="noConversion"/>
  </si>
  <si>
    <t>000002.SZ</t>
    <phoneticPr fontId="4" type="noConversion"/>
  </si>
  <si>
    <t>000004.SZ</t>
    <phoneticPr fontId="4" type="noConversion"/>
  </si>
  <si>
    <t>600000.SH</t>
    <phoneticPr fontId="4" type="noConversion"/>
  </si>
  <si>
    <t>600004.SH</t>
    <phoneticPr fontId="4" type="noConversion"/>
  </si>
  <si>
    <t>600007.SH</t>
    <phoneticPr fontId="4" type="noConversion"/>
  </si>
  <si>
    <t>600941.SH</t>
    <phoneticPr fontId="4" type="noConversion"/>
  </si>
  <si>
    <t>0241.HK</t>
    <phoneticPr fontId="4" type="noConversion"/>
  </si>
  <si>
    <t>1299.HK</t>
    <phoneticPr fontId="4" type="noConversion"/>
  </si>
  <si>
    <t>0101.HK</t>
    <phoneticPr fontId="4" type="noConversion"/>
  </si>
  <si>
    <t>0017.HK</t>
    <phoneticPr fontId="4" type="noConversion"/>
  </si>
  <si>
    <t>0992.HK</t>
    <phoneticPr fontId="4" type="noConversion"/>
  </si>
  <si>
    <t>2319.HK</t>
    <phoneticPr fontId="4" type="noConversion"/>
  </si>
  <si>
    <t>2382.HK</t>
    <phoneticPr fontId="4" type="noConversion"/>
  </si>
  <si>
    <t>0883.HK</t>
    <phoneticPr fontId="4" type="noConversion"/>
  </si>
  <si>
    <t>0386.HK</t>
    <phoneticPr fontId="4" type="noConversion"/>
  </si>
  <si>
    <t>0857.HK</t>
    <phoneticPr fontId="4" type="noConversion"/>
  </si>
  <si>
    <t>NVDA.O</t>
    <phoneticPr fontId="4" type="noConversion"/>
  </si>
  <si>
    <t>AAPL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</si>
</sst>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2"/>
      <scheme val="minor"/>
    </font>
    <font>
      <sz val="14"/>
      <color theme="1"/>
      <name val="Arial"/>
      <family val="2"/>
    </font>
    <font>
      <sz val="12"/>
      <color theme="1"/>
      <name val="等线"/>
      <family val="2"/>
      <scheme val="minor"/>
    </font>
    <font>
      <sz val="12"/>
      <color theme="1"/>
      <name val="微软雅黑"/>
      <family val="2"/>
      <charset val="134"/>
    </font>
    <font>
      <sz val="12"/>
      <color theme="1"/>
      <name val="Arial"/>
      <family val="2"/>
    </font>
    <font>
      <b/>
      <sz val="12"/>
      <color rgb="FF107F3A"/>
      <name val="Arial"/>
      <family val="2"/>
    </font>
    <font>
      <sz val="11"/>
      <color theme="1"/>
      <name val="Arial"/>
      <family val="2"/>
    </font>
    <font>
      <b/>
      <sz val="12"/>
      <name val="微软雅黑"/>
      <family val="2"/>
      <charset val="134"/>
    </font>
    <font>
      <b/>
      <sz val="11"/>
      <color rgb="FF21212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3F3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theme="0" tint="-0.1499374370555742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49" fontId="6" fillId="6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0" borderId="0" xfId="0" applyFont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49" fontId="9" fillId="4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/>
    </xf>
    <xf numFmtId="43" fontId="9" fillId="4" borderId="2" xfId="1" applyFont="1" applyFill="1" applyBorder="1" applyAlignment="1">
      <alignment horizontal="center" vertical="center"/>
    </xf>
    <xf numFmtId="43" fontId="9" fillId="4" borderId="3" xfId="1" applyFont="1" applyFill="1" applyBorder="1" applyAlignment="1">
      <alignment horizontal="center" vertical="center"/>
    </xf>
    <xf numFmtId="10" fontId="10" fillId="4" borderId="2" xfId="1" applyNumberFormat="1" applyFont="1" applyFill="1" applyBorder="1" applyAlignment="1">
      <alignment horizontal="right" vertical="center"/>
    </xf>
    <xf numFmtId="49" fontId="9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/>
    </xf>
    <xf numFmtId="43" fontId="9" fillId="7" borderId="2" xfId="1" applyFont="1" applyFill="1" applyBorder="1" applyAlignment="1">
      <alignment horizontal="center" vertical="center"/>
    </xf>
    <xf numFmtId="43" fontId="9" fillId="7" borderId="3" xfId="1" applyFont="1" applyFill="1" applyBorder="1" applyAlignment="1">
      <alignment horizontal="center" vertical="center"/>
    </xf>
    <xf numFmtId="10" fontId="10" fillId="7" borderId="2" xfId="1" applyNumberFormat="1" applyFont="1" applyFill="1" applyBorder="1" applyAlignment="1">
      <alignment horizontal="right" vertical="center"/>
    </xf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right" vertical="center"/>
    </xf>
    <xf numFmtId="43" fontId="10" fillId="4" borderId="2" xfId="1" applyFont="1" applyFill="1" applyBorder="1" applyAlignment="1">
      <alignment horizontal="right" vertical="center"/>
    </xf>
    <xf numFmtId="176" fontId="0" fillId="0" borderId="0" xfId="0" applyNumberFormat="1" applyAlignment="1">
      <alignment horizontal="right"/>
    </xf>
    <xf numFmtId="176" fontId="11" fillId="3" borderId="0" xfId="0" applyNumberFormat="1" applyFont="1" applyFill="1" applyAlignment="1">
      <alignment horizontal="right" vertical="center"/>
    </xf>
    <xf numFmtId="0" fontId="12" fillId="4" borderId="4" xfId="0" applyFont="1" applyFill="1" applyBorder="1" applyAlignment="1">
      <alignment vertical="center"/>
    </xf>
    <xf numFmtId="43" fontId="10" fillId="4" borderId="3" xfId="1" applyFont="1" applyFill="1" applyBorder="1" applyAlignment="1">
      <alignment horizontal="right" vertical="center"/>
    </xf>
    <xf numFmtId="43" fontId="10" fillId="7" borderId="3" xfId="1" applyFont="1" applyFill="1" applyBorder="1" applyAlignment="1">
      <alignment horizontal="right" vertical="center"/>
    </xf>
    <xf numFmtId="43" fontId="10" fillId="4" borderId="1" xfId="1" applyFont="1" applyFill="1" applyBorder="1" applyAlignment="1">
      <alignment horizontal="right" vertical="center"/>
    </xf>
    <xf numFmtId="43" fontId="10" fillId="8" borderId="1" xfId="1" applyFont="1" applyFill="1" applyBorder="1" applyAlignment="1">
      <alignment horizontal="right" vertical="center"/>
    </xf>
    <xf numFmtId="43" fontId="9" fillId="4" borderId="1" xfId="1" applyFont="1" applyFill="1" applyBorder="1" applyAlignment="1">
      <alignment horizontal="center" vertical="center"/>
    </xf>
    <xf numFmtId="43" fontId="9" fillId="7" borderId="1" xfId="1" applyFont="1" applyFill="1" applyBorder="1" applyAlignment="1">
      <alignment horizontal="center" vertical="center"/>
    </xf>
    <xf numFmtId="43" fontId="10" fillId="8" borderId="3" xfId="1" applyFont="1" applyFill="1" applyBorder="1" applyAlignment="1">
      <alignment horizontal="right" vertical="center"/>
    </xf>
    <xf numFmtId="43" fontId="10" fillId="8" borderId="2" xfId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4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2</xdr:col>
      <xdr:colOff>626746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close"/>
      <definedName name="s_info_name"/>
      <definedName name="s_mq_pctchange"/>
      <definedName name="s_val_mv_ard"/>
      <definedName name="s_wq_pctchange"/>
      <definedName name="s_yq_pctchang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P65"/>
  <sheetViews>
    <sheetView showGridLines="0" tabSelected="1" zoomScaleNormal="100" workbookViewId="0">
      <pane ySplit="1" topLeftCell="A11" activePane="bottomLeft" state="frozen"/>
      <selection pane="bottomLeft" activeCell="L43" sqref="L43"/>
    </sheetView>
  </sheetViews>
  <sheetFormatPr defaultRowHeight="16.5" x14ac:dyDescent="0.3"/>
  <cols>
    <col min="1" max="1" width="1.5" style="6" customWidth="1"/>
    <col min="2" max="2" width="1.5" customWidth="1"/>
    <col min="3" max="3" width="14.875" customWidth="1"/>
    <col min="4" max="4" width="21.25" style="10" customWidth="1"/>
    <col min="5" max="5" width="13.75" customWidth="1"/>
    <col min="6" max="6" width="17" customWidth="1"/>
    <col min="7" max="7" width="13.625" customWidth="1"/>
    <col min="8" max="8" width="14.125" bestFit="1" customWidth="1"/>
    <col min="9" max="9" width="16.625" customWidth="1"/>
    <col min="10" max="12" width="13.625" customWidth="1"/>
    <col min="13" max="14" width="1.5" customWidth="1"/>
    <col min="16" max="16" width="11.625" bestFit="1" customWidth="1"/>
  </cols>
  <sheetData>
    <row r="1" spans="1:16" ht="27.75" x14ac:dyDescent="0.3">
      <c r="A1" s="1"/>
      <c r="B1" s="1"/>
      <c r="C1" s="2"/>
      <c r="D1" s="45" t="s">
        <v>6</v>
      </c>
      <c r="E1" s="45"/>
      <c r="F1" s="45"/>
      <c r="G1" s="45"/>
      <c r="H1" s="45"/>
      <c r="I1" s="45"/>
      <c r="J1" s="45"/>
      <c r="K1" s="25"/>
      <c r="L1" s="2"/>
      <c r="M1" s="3"/>
      <c r="N1" s="3"/>
    </row>
    <row r="2" spans="1:16" ht="14.1" customHeight="1" x14ac:dyDescent="0.2">
      <c r="A2" s="4"/>
      <c r="B2" s="4"/>
      <c r="C2" s="4"/>
      <c r="D2" s="9"/>
      <c r="E2" s="5"/>
      <c r="F2" s="4"/>
      <c r="G2" s="4"/>
      <c r="H2" s="4"/>
      <c r="I2" s="4"/>
      <c r="J2" s="4"/>
      <c r="K2" s="4"/>
      <c r="L2" s="4"/>
      <c r="M2" s="4"/>
      <c r="N2" s="4"/>
    </row>
    <row r="3" spans="1:16" ht="14.1" customHeight="1" x14ac:dyDescent="0.2">
      <c r="A3" s="4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4"/>
    </row>
    <row r="4" spans="1:16" ht="14.1" customHeight="1" x14ac:dyDescent="0.2">
      <c r="A4" s="4"/>
      <c r="B4" s="11"/>
      <c r="C4" s="30" t="s">
        <v>16</v>
      </c>
      <c r="D4" s="30"/>
      <c r="E4" s="11"/>
      <c r="F4" s="30" t="s">
        <v>20</v>
      </c>
      <c r="G4" s="11"/>
      <c r="H4" s="11"/>
      <c r="I4" s="30" t="s">
        <v>21</v>
      </c>
      <c r="J4" s="30"/>
      <c r="M4" s="11"/>
      <c r="N4" s="4"/>
    </row>
    <row r="5" spans="1:16" ht="18" x14ac:dyDescent="0.2">
      <c r="A5" s="4"/>
      <c r="B5" s="11"/>
      <c r="C5" s="8" t="s">
        <v>18</v>
      </c>
      <c r="D5" s="7" t="s">
        <v>14</v>
      </c>
      <c r="E5" s="11"/>
      <c r="F5" s="8" t="s">
        <v>15</v>
      </c>
      <c r="G5" s="29">
        <f>[1]!TDaysOffset(D5,"TradingCalendar=NYSE","Offset=0")</f>
        <v>45289</v>
      </c>
      <c r="H5" s="11"/>
      <c r="I5" s="8" t="s">
        <v>15</v>
      </c>
      <c r="J5" s="29">
        <f ca="1">[1]!TDaysOffset(D6,"TradingCalendar=NYSE","Offset=0")</f>
        <v>45882</v>
      </c>
      <c r="M5" s="11"/>
      <c r="N5" s="4"/>
    </row>
    <row r="6" spans="1:16" ht="18" x14ac:dyDescent="0.2">
      <c r="A6" s="4"/>
      <c r="B6" s="11"/>
      <c r="C6" s="8" t="s">
        <v>19</v>
      </c>
      <c r="D6" s="26">
        <f ca="1">TODAY()-1</f>
        <v>45882</v>
      </c>
      <c r="E6" s="11"/>
      <c r="F6" s="8" t="s">
        <v>17</v>
      </c>
      <c r="G6" s="29">
        <f>[1]!TDaysOffset(D5,"Offset"=0)</f>
        <v>45289</v>
      </c>
      <c r="H6" s="11"/>
      <c r="I6" s="8" t="s">
        <v>17</v>
      </c>
      <c r="J6" s="29">
        <f ca="1">[1]!TDaysOffset(D6,"Offset"=0)</f>
        <v>45882</v>
      </c>
      <c r="M6" s="11"/>
      <c r="N6" s="4"/>
    </row>
    <row r="7" spans="1:16" ht="11.25" customHeight="1" x14ac:dyDescent="0.2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4"/>
    </row>
    <row r="8" spans="1:16" ht="14.1" customHeight="1" x14ac:dyDescent="0.2">
      <c r="A8" s="4"/>
      <c r="B8" s="4"/>
      <c r="C8" s="4"/>
      <c r="D8" s="9"/>
      <c r="E8" s="8"/>
      <c r="F8" s="8"/>
      <c r="G8" s="8"/>
      <c r="H8" s="4"/>
      <c r="I8" s="4"/>
      <c r="J8" s="4"/>
      <c r="K8" s="4"/>
      <c r="L8" s="4"/>
      <c r="M8" s="4"/>
      <c r="N8" s="4"/>
    </row>
    <row r="9" spans="1:16" ht="9.9499999999999993" customHeight="1" x14ac:dyDescent="0.2">
      <c r="A9" s="4"/>
      <c r="B9" s="11"/>
      <c r="C9" s="11"/>
      <c r="D9" s="12"/>
      <c r="E9" s="13"/>
      <c r="F9" s="11"/>
      <c r="G9" s="11"/>
      <c r="H9" s="11"/>
      <c r="I9" s="11"/>
      <c r="J9" s="11"/>
      <c r="K9" s="11"/>
      <c r="L9" s="11"/>
      <c r="M9" s="11"/>
      <c r="N9" s="4"/>
    </row>
    <row r="10" spans="1:16" ht="18" customHeight="1" x14ac:dyDescent="0.2">
      <c r="A10" s="4"/>
      <c r="B10" s="11"/>
      <c r="C10" s="39" t="s">
        <v>0</v>
      </c>
      <c r="D10" s="39" t="s">
        <v>1</v>
      </c>
      <c r="E10" s="40" t="s">
        <v>2</v>
      </c>
      <c r="F10" s="41" t="s">
        <v>3</v>
      </c>
      <c r="G10" s="40" t="s">
        <v>4</v>
      </c>
      <c r="H10" s="42" t="s">
        <v>9</v>
      </c>
      <c r="I10" s="41" t="s">
        <v>24</v>
      </c>
      <c r="J10" s="40" t="s">
        <v>23</v>
      </c>
      <c r="K10" s="44" t="s">
        <v>22</v>
      </c>
      <c r="L10" s="43" t="s">
        <v>5</v>
      </c>
      <c r="M10" s="11"/>
      <c r="N10" s="4"/>
      <c r="P10" s="28"/>
    </row>
    <row r="11" spans="1:16" ht="17.25" x14ac:dyDescent="0.2">
      <c r="A11" s="4"/>
      <c r="B11" s="11"/>
      <c r="C11" s="14" t="s">
        <v>7</v>
      </c>
      <c r="D11" s="15" t="str">
        <f>[1]!s_info_name(C11)</f>
        <v>富时中国A50期货</v>
      </c>
      <c r="E11" s="16">
        <f>[1]!s_dq_close(C11,$D$5,1)</f>
        <v>11495</v>
      </c>
      <c r="F11" s="17">
        <f ca="1">[1]!s_dq_close(C11,$D$6,1)</f>
        <v>14151</v>
      </c>
      <c r="G11" s="18">
        <f ca="1">F11/E11-1</f>
        <v>0.23105698129621577</v>
      </c>
      <c r="H11" s="31">
        <f t="shared" ref="H11" ca="1" si="0">F11-E11</f>
        <v>2656</v>
      </c>
      <c r="I11" s="31">
        <f ca="1">[1]!s_wq_pctchange(C11,$D$6)</f>
        <v>2.5368307581746352</v>
      </c>
      <c r="J11" s="27">
        <f ca="1">[1]!s_mq_pctchange(C11,$D$6)</f>
        <v>3.5639108659359806</v>
      </c>
      <c r="K11" s="33">
        <f ca="1">[1]!s_yq_pctchange(C11,$D$6)</f>
        <v>5.9636093575937617</v>
      </c>
      <c r="L11" s="35">
        <f ca="1">[1]!s_val_mv_ard(C11,$D$6,100000000)</f>
        <v>0</v>
      </c>
      <c r="M11" s="11"/>
      <c r="N11" s="4"/>
    </row>
    <row r="12" spans="1:16" ht="17.25" x14ac:dyDescent="0.2">
      <c r="A12" s="4"/>
      <c r="B12" s="11"/>
      <c r="C12" s="19" t="s">
        <v>8</v>
      </c>
      <c r="D12" s="20" t="str">
        <f>[1]!s_info_name(C12)</f>
        <v>恒生科技指数期货</v>
      </c>
      <c r="E12" s="21">
        <f>[1]!s_dq_close(C12,$D$5,1)</f>
        <v>3791</v>
      </c>
      <c r="F12" s="22">
        <f ca="1">[1]!s_dq_close(C12,$D$6,1)</f>
        <v>5641</v>
      </c>
      <c r="G12" s="23">
        <f t="shared" ref="G12" ca="1" si="1">F12/E12-1</f>
        <v>0.48799788973885527</v>
      </c>
      <c r="H12" s="32">
        <f t="shared" ref="H12" ca="1" si="2">F12-E12</f>
        <v>1850</v>
      </c>
      <c r="I12" s="37">
        <f ca="1">[1]!s_wq_pctchange(C12,$D$6)</f>
        <v>3.2960996154550504</v>
      </c>
      <c r="J12" s="38">
        <f ca="1">[1]!s_mq_pctchange(C12,$D$6)</f>
        <v>3.4476434989913809</v>
      </c>
      <c r="K12" s="34">
        <f ca="1">[1]!s_yq_pctchange(C12,$D$6)</f>
        <v>25.915178571428569</v>
      </c>
      <c r="L12" s="35">
        <f ca="1">[1]!s_val_mv_ard(C12,$D$6,100000000)</f>
        <v>0</v>
      </c>
      <c r="M12" s="11"/>
      <c r="N12" s="4"/>
    </row>
    <row r="13" spans="1:16" ht="17.25" x14ac:dyDescent="0.2">
      <c r="A13" s="4"/>
      <c r="B13" s="11"/>
      <c r="C13" s="14" t="s">
        <v>25</v>
      </c>
      <c r="D13" s="15" t="str">
        <f>[1]!s_info_name(C13)</f>
        <v>纳斯达克100期货小型</v>
      </c>
      <c r="E13" s="16">
        <f>[1]!s_dq_close(C13,$D$5,1)</f>
        <v>17003.75</v>
      </c>
      <c r="F13" s="17">
        <f ca="1">[1]!s_dq_close(C13,$D$6,1)</f>
        <v>23927.75</v>
      </c>
      <c r="G13" s="18">
        <f t="shared" ref="G13:G19" ca="1" si="3">F13/E13-1</f>
        <v>0.40720429317062412</v>
      </c>
      <c r="H13" s="31">
        <f t="shared" ref="H13:H19" ca="1" si="4">F13-E13</f>
        <v>6924</v>
      </c>
      <c r="I13" s="31">
        <f ca="1">[1]!s_wq_pctchange(C13,$D$6)</f>
        <v>0.90243002477465861</v>
      </c>
      <c r="J13" s="27">
        <f ca="1">[1]!s_mq_pctchange(C13,$D$6)</f>
        <v>2.4085170126257225</v>
      </c>
      <c r="K13" s="33">
        <f ca="1">[1]!s_yq_pctchange(C13,$D$6)</f>
        <v>12.725837985536948</v>
      </c>
      <c r="L13" s="35">
        <f ca="1">[1]!s_val_mv_ard(C13,$D$6,100000000)</f>
        <v>0</v>
      </c>
      <c r="M13" s="11"/>
      <c r="N13" s="4"/>
    </row>
    <row r="14" spans="1:16" ht="17.25" x14ac:dyDescent="0.2">
      <c r="A14" s="4"/>
      <c r="B14" s="11"/>
      <c r="C14" s="19" t="s">
        <v>26</v>
      </c>
      <c r="D14" s="20" t="str">
        <f>[1]!s_info_name(C14)</f>
        <v>道琼斯期货小型</v>
      </c>
      <c r="E14" s="21">
        <f>[1]!s_dq_close(C14,$D$5,1)</f>
        <v>37968</v>
      </c>
      <c r="F14" s="22">
        <f ca="1">[1]!s_dq_close(C14,$D$6,1)</f>
        <v>45013</v>
      </c>
      <c r="G14" s="23">
        <f t="shared" ca="1" si="3"/>
        <v>0.18555099030762756</v>
      </c>
      <c r="H14" s="32">
        <f t="shared" ca="1" si="4"/>
        <v>7045</v>
      </c>
      <c r="I14" s="37">
        <f ca="1">[1]!s_wq_pctchange(C14,$D$6)</f>
        <v>1.6599665748227022</v>
      </c>
      <c r="J14" s="38">
        <f ca="1">[1]!s_mq_pctchange(C14,$D$6)</f>
        <v>1.5980137681977202</v>
      </c>
      <c r="K14" s="34">
        <f ca="1">[1]!s_yq_pctchange(C14,$D$6)</f>
        <v>4.9914864833344996</v>
      </c>
      <c r="L14" s="35">
        <f ca="1">[1]!s_val_mv_ard(C14,$D$6,100000000)</f>
        <v>0</v>
      </c>
      <c r="M14" s="11"/>
      <c r="N14" s="4"/>
    </row>
    <row r="15" spans="1:16" ht="17.25" x14ac:dyDescent="0.2">
      <c r="A15" s="4"/>
      <c r="B15" s="11"/>
      <c r="C15" s="14" t="s">
        <v>27</v>
      </c>
      <c r="D15" s="15" t="str">
        <f>[1]!s_info_name(C15)</f>
        <v>10Y 美国国债</v>
      </c>
      <c r="E15" s="16">
        <f>[1]!s_dq_close(C15,$G$5,1)</f>
        <v>3.8820000000000001</v>
      </c>
      <c r="F15" s="17">
        <f ca="1">[1]!s_dq_close(C15,$D$6,1)</f>
        <v>4.2306999999999997</v>
      </c>
      <c r="G15" s="18">
        <f t="shared" ca="1" si="3"/>
        <v>8.982483256053575E-2</v>
      </c>
      <c r="H15" s="31">
        <f t="shared" ca="1" si="4"/>
        <v>0.34869999999999957</v>
      </c>
      <c r="I15" s="31">
        <f ca="1">[1]!s_wq_pctchange(C15,$D$6)</f>
        <v>0</v>
      </c>
      <c r="J15" s="27">
        <f ca="1">[1]!s_mq_pctchange(C15,$D$6)</f>
        <v>-3.0989464040311495E-2</v>
      </c>
      <c r="K15" s="33">
        <f ca="1">[1]!s_yq_pctchange(C15,$D$6)</f>
        <v>0</v>
      </c>
      <c r="L15" s="35">
        <f ca="1">[1]!s_val_mv_ard(C15,$D$6,100000000)</f>
        <v>0</v>
      </c>
      <c r="M15" s="11"/>
      <c r="N15" s="4"/>
    </row>
    <row r="16" spans="1:16" ht="17.25" x14ac:dyDescent="0.2">
      <c r="A16" s="4"/>
      <c r="B16" s="11"/>
      <c r="C16" s="19" t="s">
        <v>28</v>
      </c>
      <c r="D16" s="20" t="str">
        <f>[1]!s_info_name(C16)</f>
        <v>10Y国债活跃</v>
      </c>
      <c r="E16" s="21">
        <f>[1]!s_dq_close(C16,$G$6,1)</f>
        <v>2.5550000000000002</v>
      </c>
      <c r="F16" s="22">
        <f ca="1">[1]!s_dq_close(C16,$D$6,1)</f>
        <v>1.72</v>
      </c>
      <c r="G16" s="23">
        <f t="shared" ref="G16" ca="1" si="5">F16/E16-1</f>
        <v>-0.32681017612524466</v>
      </c>
      <c r="H16" s="32">
        <f t="shared" ref="H16" ca="1" si="6">F16-E16</f>
        <v>-0.83500000000000019</v>
      </c>
      <c r="I16" s="37">
        <f ca="1">[1]!s_wq_pctchange(C16,$D$6)</f>
        <v>0</v>
      </c>
      <c r="J16" s="38">
        <f ca="1">[1]!s_mq_pctchange(C16,$D$6)</f>
        <v>0</v>
      </c>
      <c r="K16" s="34">
        <f ca="1">[1]!s_yq_pctchange(C16,$D$6)</f>
        <v>0</v>
      </c>
      <c r="L16" s="35">
        <f ca="1">[1]!s_val_mv_ard(C16,$D$6,100000000)</f>
        <v>0</v>
      </c>
      <c r="M16" s="11"/>
      <c r="N16" s="4"/>
    </row>
    <row r="17" spans="1:14" ht="17.25" x14ac:dyDescent="0.2">
      <c r="A17" s="4"/>
      <c r="B17" s="11"/>
      <c r="C17" s="14" t="s">
        <v>29</v>
      </c>
      <c r="D17" s="15" t="str">
        <f>[1]!s_info_name(C17)</f>
        <v>COMEX黄金</v>
      </c>
      <c r="E17" s="16">
        <f>[1]!s_dq_close(C17,$D$5,1)</f>
        <v>2071.8000000000002</v>
      </c>
      <c r="F17" s="17">
        <f ca="1">[1]!s_dq_close(C17,$D$6,1)</f>
        <v>3407</v>
      </c>
      <c r="G17" s="18">
        <f t="shared" ca="1" si="3"/>
        <v>0.64446375132734812</v>
      </c>
      <c r="H17" s="31">
        <f t="shared" ca="1" si="4"/>
        <v>1335.1999999999998</v>
      </c>
      <c r="I17" s="31">
        <f ca="1">[1]!s_wq_pctchange(C17,$D$6)</f>
        <v>-2.4145733680863923</v>
      </c>
      <c r="J17" s="27">
        <f ca="1">[1]!s_mq_pctchange(C17,$D$6)</f>
        <v>1.7440124231021945</v>
      </c>
      <c r="K17" s="33">
        <f ca="1">[1]!s_yq_pctchange(C17,$D$6)</f>
        <v>29.004165088981448</v>
      </c>
      <c r="L17" s="35">
        <f ca="1">[1]!s_val_mv_ard(C17,$D$6,100000000)</f>
        <v>0</v>
      </c>
      <c r="M17" s="11"/>
      <c r="N17" s="4"/>
    </row>
    <row r="18" spans="1:14" ht="17.25" x14ac:dyDescent="0.2">
      <c r="A18" s="4"/>
      <c r="B18" s="11"/>
      <c r="C18" s="19" t="s">
        <v>30</v>
      </c>
      <c r="D18" s="20" t="str">
        <f>[1]!s_info_name(C18)</f>
        <v>ICE布油</v>
      </c>
      <c r="E18" s="21">
        <f>[1]!s_dq_close(C18,$D$5,1)</f>
        <v>77.08</v>
      </c>
      <c r="F18" s="22">
        <f ca="1">[1]!s_dq_close(C18,$D$6,1)</f>
        <v>65.739999999999995</v>
      </c>
      <c r="G18" s="23">
        <f t="shared" ca="1" si="3"/>
        <v>-0.14711987545407379</v>
      </c>
      <c r="H18" s="32">
        <f t="shared" ca="1" si="4"/>
        <v>-11.340000000000003</v>
      </c>
      <c r="I18" s="37">
        <f ca="1">[1]!s_wq_pctchange(C18,$D$6)</f>
        <v>-1.2764679381288557</v>
      </c>
      <c r="J18" s="38">
        <f ca="1">[1]!s_mq_pctchange(C18,$D$6)</f>
        <v>-8.3124128312412928</v>
      </c>
      <c r="K18" s="34">
        <f ca="1">[1]!s_yq_pctchange(C18,$D$6)</f>
        <v>-11.923901393354777</v>
      </c>
      <c r="L18" s="35">
        <f ca="1">[1]!s_val_mv_ard(C18,$D$6,100000000)</f>
        <v>0</v>
      </c>
      <c r="M18" s="11"/>
      <c r="N18" s="4"/>
    </row>
    <row r="19" spans="1:14" ht="17.25" x14ac:dyDescent="0.2">
      <c r="A19" s="4"/>
      <c r="B19" s="11"/>
      <c r="C19" s="14" t="s">
        <v>31</v>
      </c>
      <c r="D19" s="15" t="str">
        <f>[1]!s_info_name(C19)</f>
        <v>美元兑离岸人民币</v>
      </c>
      <c r="E19" s="16">
        <f>[1]!s_dq_close(C19,$D$5,1)</f>
        <v>7.0914999999999999</v>
      </c>
      <c r="F19" s="17">
        <f ca="1">[1]!s_dq_close(C19,$D$6,1)</f>
        <v>7.1596000000000002</v>
      </c>
      <c r="G19" s="18">
        <f t="shared" ca="1" si="3"/>
        <v>9.6030459000211454E-3</v>
      </c>
      <c r="H19" s="31">
        <f t="shared" ca="1" si="4"/>
        <v>6.8100000000000271E-2</v>
      </c>
      <c r="I19" s="31">
        <f ca="1">[1]!s_wq_pctchange(C19,$D$6)</f>
        <v>-0.10325101158085159</v>
      </c>
      <c r="J19" s="27">
        <f ca="1">[1]!s_mq_pctchange(C19,$D$6)</f>
        <v>-0.28828879016196701</v>
      </c>
      <c r="K19" s="33">
        <f ca="1">[1]!s_yq_pctchange(C19,$D$6)</f>
        <v>-2.2593548210945893</v>
      </c>
      <c r="L19" s="35">
        <f ca="1">[1]!s_val_mv_ard(C19,$D$6,100000000)</f>
        <v>0</v>
      </c>
      <c r="M19" s="11"/>
      <c r="N19" s="4"/>
    </row>
    <row r="20" spans="1:14" ht="17.25" x14ac:dyDescent="0.2">
      <c r="A20" s="4"/>
      <c r="B20" s="11"/>
      <c r="C20" s="19" t="s">
        <v>11</v>
      </c>
      <c r="D20" s="20" t="str">
        <f>[1]!s_info_name(C20)</f>
        <v>CME比特币期货</v>
      </c>
      <c r="E20" s="21">
        <f>[1]!s_dq_close(C20,$D$5,1)</f>
        <v>42470</v>
      </c>
      <c r="F20" s="22">
        <f ca="1">[1]!s_dq_close(C20,$D$6,1)</f>
        <v>123605</v>
      </c>
      <c r="G20" s="23">
        <f t="shared" ref="G20:G23" ca="1" si="7">F20/E20-1</f>
        <v>1.9104073463621378</v>
      </c>
      <c r="H20" s="32">
        <f t="shared" ref="H20:H23" ca="1" si="8">F20-E20</f>
        <v>81135</v>
      </c>
      <c r="I20" s="37">
        <f ca="1">[1]!s_wq_pctchange(C20,$D$6)</f>
        <v>5.6859475866786413</v>
      </c>
      <c r="J20" s="38">
        <f ca="1">[1]!s_mq_pctchange(C20,$D$6)</f>
        <v>5.2539702814322817</v>
      </c>
      <c r="K20" s="34">
        <f ca="1">[1]!s_yq_pctchange(C20,$D$6)</f>
        <v>31.327029324266892</v>
      </c>
      <c r="L20" s="35">
        <f ca="1">[1]!s_val_mv_ard(C20,$D$6,100000000)</f>
        <v>0</v>
      </c>
      <c r="M20" s="11"/>
      <c r="N20" s="4"/>
    </row>
    <row r="21" spans="1:14" ht="17.25" x14ac:dyDescent="0.2">
      <c r="A21" s="4"/>
      <c r="B21" s="11"/>
      <c r="C21" s="14" t="s">
        <v>32</v>
      </c>
      <c r="D21" s="15" t="str">
        <f>[1]!s_info_name(C21)</f>
        <v>CME以太币期货</v>
      </c>
      <c r="E21" s="16">
        <f>[1]!s_dq_close(C21,$D$5,1)</f>
        <v>2317</v>
      </c>
      <c r="F21" s="17">
        <f ca="1">[1]!s_dq_close(C21,$D$6,1)</f>
        <v>4745.5</v>
      </c>
      <c r="G21" s="18">
        <f t="shared" ca="1" si="7"/>
        <v>1.0481225722917564</v>
      </c>
      <c r="H21" s="31">
        <f t="shared" ca="1" si="8"/>
        <v>2428.5</v>
      </c>
      <c r="I21" s="31">
        <f ca="1">[1]!s_wq_pctchange(C21,$D$6)</f>
        <v>16.097859327217122</v>
      </c>
      <c r="J21" s="27">
        <f ca="1">[1]!s_mq_pctchange(C21,$D$6)</f>
        <v>26.277275146354445</v>
      </c>
      <c r="K21" s="33">
        <f ca="1">[1]!s_yq_pctchange(C21,$D$6)</f>
        <v>40.337128493272218</v>
      </c>
      <c r="L21" s="35">
        <f ca="1">[1]!s_val_mv_ard(C21,$D$6,100000000)</f>
        <v>0</v>
      </c>
      <c r="M21" s="11"/>
      <c r="N21" s="4"/>
    </row>
    <row r="22" spans="1:14" ht="17.25" x14ac:dyDescent="0.25">
      <c r="A22" s="4"/>
      <c r="B22" s="11"/>
      <c r="C22" s="19" t="s">
        <v>50</v>
      </c>
      <c r="D22" s="15" t="str">
        <f>[1]!s_info_name(C22)</f>
        <v>英伟达(NVIDIA)</v>
      </c>
      <c r="E22" s="16">
        <f>[1]!s_dq_close(C22,$D$5,1)</f>
        <v>495.22</v>
      </c>
      <c r="F22" s="17">
        <f ca="1">[1]!s_dq_close(C22,$D$6,1)</f>
        <v>181.59</v>
      </c>
      <c r="G22" s="18">
        <f t="shared" ca="1" si="7"/>
        <v>-0.63331448649085265</v>
      </c>
      <c r="H22" s="31">
        <f t="shared" ca="1" si="8"/>
        <v>-313.63</v>
      </c>
      <c r="I22" s="31">
        <f ca="1">[1]!s_wq_pctchange(C22,$D$6)</f>
        <v>-0.60755336617405176</v>
      </c>
      <c r="J22" s="27">
        <f ca="1">[1]!s_mq_pctchange(C22,$D$6)</f>
        <v>2.0914150784280716</v>
      </c>
      <c r="K22" s="33">
        <f ca="1">[1]!s_yq_pctchange(C22,$D$6)</f>
        <v>35.244105028789676</v>
      </c>
      <c r="L22" s="35">
        <f ca="1">[1]!s_val_mv_ard(C22,$D$6,100000000)</f>
        <v>44307.96</v>
      </c>
      <c r="M22" s="24"/>
      <c r="N22" s="4"/>
    </row>
    <row r="23" spans="1:14" ht="17.25" x14ac:dyDescent="0.25">
      <c r="A23" s="4"/>
      <c r="B23" s="11"/>
      <c r="C23" s="19" t="s">
        <v>51</v>
      </c>
      <c r="D23" s="15" t="str">
        <f>[1]!s_info_name(C23)</f>
        <v>苹果(APPLE)</v>
      </c>
      <c r="E23" s="16">
        <f>[1]!s_dq_close(C23,$D$5,1)</f>
        <v>192.53</v>
      </c>
      <c r="F23" s="17">
        <f ca="1">[1]!s_dq_close(C23,$D$6,1)</f>
        <v>233.33</v>
      </c>
      <c r="G23" s="18">
        <f t="shared" ca="1" si="7"/>
        <v>0.2119150262296785</v>
      </c>
      <c r="H23" s="31">
        <f t="shared" ca="1" si="8"/>
        <v>40.800000000000011</v>
      </c>
      <c r="I23" s="31">
        <f ca="1">[1]!s_wq_pctchange(C23,$D$6)</f>
        <v>1.8508025689940144</v>
      </c>
      <c r="J23" s="27">
        <f ca="1">[1]!s_mq_pctchange(C23,$D$6)</f>
        <v>12.537850215343148</v>
      </c>
      <c r="K23" s="33">
        <f ca="1">[1]!s_yq_pctchange(C23,$D$6)</f>
        <v>-6.4937668322253117</v>
      </c>
      <c r="L23" s="35">
        <f ca="1">[1]!s_val_mv_ard(C23,$D$6,100000000)</f>
        <v>34627.081986999998</v>
      </c>
      <c r="M23" s="24"/>
      <c r="N23" s="4"/>
    </row>
    <row r="24" spans="1:14" ht="17.25" x14ac:dyDescent="0.25">
      <c r="A24" s="4"/>
      <c r="B24" s="11"/>
      <c r="C24" s="19"/>
      <c r="D24" s="15"/>
      <c r="E24" s="16"/>
      <c r="F24" s="17"/>
      <c r="G24" s="18"/>
      <c r="H24" s="31"/>
      <c r="I24" s="31"/>
      <c r="J24" s="27"/>
      <c r="K24" s="33"/>
      <c r="L24" s="36"/>
      <c r="M24" s="24"/>
      <c r="N24" s="4"/>
    </row>
    <row r="25" spans="1:14" ht="17.25" x14ac:dyDescent="0.25">
      <c r="A25" s="4"/>
      <c r="B25" s="11"/>
      <c r="C25" s="19"/>
      <c r="D25" s="15"/>
      <c r="E25" s="16"/>
      <c r="F25" s="17"/>
      <c r="G25" s="18"/>
      <c r="H25" s="31"/>
      <c r="I25" s="31"/>
      <c r="J25" s="27"/>
      <c r="K25" s="33"/>
      <c r="L25" s="36"/>
      <c r="M25" s="24"/>
      <c r="N25" s="4"/>
    </row>
    <row r="26" spans="1:14" ht="17.25" x14ac:dyDescent="0.25">
      <c r="A26" s="4"/>
      <c r="B26" s="11"/>
      <c r="C26" s="14"/>
      <c r="D26" s="15"/>
      <c r="E26" s="16"/>
      <c r="F26" s="17"/>
      <c r="G26" s="18"/>
      <c r="H26" s="31"/>
      <c r="I26" s="31"/>
      <c r="J26" s="27"/>
      <c r="K26" s="33"/>
      <c r="L26" s="35"/>
      <c r="M26" s="24"/>
      <c r="N26" s="4"/>
    </row>
    <row r="27" spans="1:14" ht="17.25" x14ac:dyDescent="0.25">
      <c r="A27" s="4"/>
      <c r="B27" s="11"/>
      <c r="C27" s="19" t="s">
        <v>33</v>
      </c>
      <c r="D27" s="20" t="str">
        <f>[1]!s_info_name(C27)</f>
        <v>平安银行</v>
      </c>
      <c r="E27" s="21">
        <f>[1]!s_dq_close(C27,$D$5,1)</f>
        <v>9.39</v>
      </c>
      <c r="F27" s="22">
        <f ca="1">[1]!s_dq_close(C27,$D$6,1)</f>
        <v>12.26</v>
      </c>
      <c r="G27" s="23">
        <f ca="1">F27/E27-1</f>
        <v>0.30564430244941421</v>
      </c>
      <c r="H27" s="32">
        <f ca="1">F27-E27</f>
        <v>2.8699999999999992</v>
      </c>
      <c r="I27" s="37">
        <f ca="1">[1]!s_wq_pctchange(C27,$D$6)</f>
        <v>-1.6129032258064613</v>
      </c>
      <c r="J27" s="38">
        <f ca="1">[1]!s_mq_pctchange(C27,$D$6)</f>
        <v>-0.24529844644318732</v>
      </c>
      <c r="K27" s="34">
        <f ca="1">[1]!s_yq_pctchange(C27,$D$6)</f>
        <v>7.5405589565466169</v>
      </c>
      <c r="L27" s="36">
        <f ca="1">[1]!s_val_mv_ard(C27,$D$6,100000000)</f>
        <v>2379.1655710748</v>
      </c>
      <c r="M27" s="24"/>
      <c r="N27" s="4"/>
    </row>
    <row r="28" spans="1:14" ht="17.25" x14ac:dyDescent="0.25">
      <c r="A28" s="4"/>
      <c r="B28" s="11"/>
      <c r="C28" s="14" t="s">
        <v>34</v>
      </c>
      <c r="D28" s="15" t="str">
        <f>[1]!s_info_name(C28)</f>
        <v>万科A</v>
      </c>
      <c r="E28" s="16">
        <f>[1]!s_dq_close(C28,$D$5,1)</f>
        <v>10.46</v>
      </c>
      <c r="F28" s="17">
        <f ca="1">[1]!s_dq_close(C28,$D$6,1)</f>
        <v>6.46</v>
      </c>
      <c r="G28" s="18">
        <f ca="1">F28/E28-1</f>
        <v>-0.38240917782026773</v>
      </c>
      <c r="H28" s="31">
        <f ca="1">F28-E28</f>
        <v>-4.0000000000000009</v>
      </c>
      <c r="I28" s="31">
        <f ca="1">[1]!s_wq_pctchange(C28,$D$6)</f>
        <v>-0.31007751937984773</v>
      </c>
      <c r="J28" s="27">
        <f ca="1">[1]!s_mq_pctchange(C28,$D$6)</f>
        <v>-0.15527950310559868</v>
      </c>
      <c r="K28" s="33">
        <f ca="1">[1]!s_yq_pctchange(C28,$D$6)</f>
        <v>-11.43250688705233</v>
      </c>
      <c r="L28" s="35">
        <f ca="1">[1]!s_val_mv_ard(C28,$D$6,100000000)</f>
        <v>770.72383182660008</v>
      </c>
      <c r="M28" s="24"/>
      <c r="N28" s="4"/>
    </row>
    <row r="29" spans="1:14" ht="17.25" x14ac:dyDescent="0.25">
      <c r="A29" s="4"/>
      <c r="B29" s="11"/>
      <c r="C29" s="19" t="s">
        <v>35</v>
      </c>
      <c r="D29" s="20" t="str">
        <f>[1]!s_info_name(C29)</f>
        <v>*ST国华</v>
      </c>
      <c r="E29" s="21">
        <f>[1]!s_dq_close(C29,$D$5,1)</f>
        <v>16.13</v>
      </c>
      <c r="F29" s="22">
        <f ca="1">[1]!s_dq_close(C29,$D$6,1)</f>
        <v>9.0399999999999991</v>
      </c>
      <c r="G29" s="23">
        <f ca="1">F29/E29-1</f>
        <v>-0.43955362678239307</v>
      </c>
      <c r="H29" s="32">
        <f ca="1">F29-E29</f>
        <v>-7.09</v>
      </c>
      <c r="I29" s="37">
        <f ca="1">[1]!s_wq_pctchange(C29,$D$6)</f>
        <v>-1.7897091722595126</v>
      </c>
      <c r="J29" s="38">
        <f ca="1">[1]!s_mq_pctchange(C29,$D$6)</f>
        <v>0</v>
      </c>
      <c r="K29" s="34">
        <f ca="1">[1]!s_yq_pctchange(C29,$D$6)</f>
        <v>-36.560693641618499</v>
      </c>
      <c r="L29" s="36">
        <f ca="1">[1]!s_val_mv_ard(C29,$D$6,100000000)</f>
        <v>11.967177492799999</v>
      </c>
      <c r="M29" s="24"/>
      <c r="N29" s="4"/>
    </row>
    <row r="30" spans="1:14" ht="17.25" x14ac:dyDescent="0.25">
      <c r="A30" s="4"/>
      <c r="B30" s="11"/>
      <c r="C30" s="14" t="s">
        <v>12</v>
      </c>
      <c r="D30" s="15" t="str">
        <f>[1]!s_info_name(C30)</f>
        <v>梦网科技</v>
      </c>
      <c r="E30" s="16">
        <f>[1]!s_dq_close(C30,$D$5,1)</f>
        <v>11.15</v>
      </c>
      <c r="F30" s="17">
        <f ca="1">[1]!s_dq_close(C30,$D$6,1)</f>
        <v>15.06</v>
      </c>
      <c r="G30" s="18">
        <f t="shared" ref="G30:G35" ca="1" si="9">F30/E30-1</f>
        <v>0.3506726457399103</v>
      </c>
      <c r="H30" s="31">
        <f t="shared" ref="H30:H35" ca="1" si="10">F30-E30</f>
        <v>3.91</v>
      </c>
      <c r="I30" s="31">
        <f ca="1">[1]!s_wq_pctchange(C30,$D$6)</f>
        <v>-1.6042780748663055</v>
      </c>
      <c r="J30" s="27">
        <f ca="1">[1]!s_mq_pctchange(C30,$D$6)</f>
        <v>2.5783972125435595</v>
      </c>
      <c r="K30" s="33">
        <f ca="1">[1]!s_yq_pctchange(C30,$D$6)</f>
        <v>36.170212765957444</v>
      </c>
      <c r="L30" s="35">
        <f ca="1">[1]!s_val_mv_ard(C30,$D$6,100000000)</f>
        <v>121.29304271400001</v>
      </c>
      <c r="M30" s="24"/>
      <c r="N30" s="4"/>
    </row>
    <row r="31" spans="1:14" ht="17.25" x14ac:dyDescent="0.25">
      <c r="A31" s="4"/>
      <c r="B31" s="24"/>
      <c r="C31" s="19" t="s">
        <v>36</v>
      </c>
      <c r="D31" s="20" t="str">
        <f>[1]!s_info_name(C31)</f>
        <v>浦发银行</v>
      </c>
      <c r="E31" s="21">
        <f>[1]!s_dq_close(C31,$D$5,1)</f>
        <v>6.62</v>
      </c>
      <c r="F31" s="22">
        <f ca="1">[1]!s_dq_close(C31,$D$6,1)</f>
        <v>13.83</v>
      </c>
      <c r="G31" s="23">
        <f t="shared" ca="1" si="9"/>
        <v>1.0891238670694863</v>
      </c>
      <c r="H31" s="32">
        <f t="shared" ca="1" si="10"/>
        <v>7.21</v>
      </c>
      <c r="I31" s="37">
        <f ca="1">[1]!s_wq_pctchange(C31,$D$6)</f>
        <v>-2.1171489061397319</v>
      </c>
      <c r="J31" s="38">
        <f ca="1">[1]!s_mq_pctchange(C31,$D$6)</f>
        <v>8.2747853239656379</v>
      </c>
      <c r="K31" s="34">
        <f ca="1">[1]!s_yq_pctchange(C31,$D$6)</f>
        <v>38.878655477274428</v>
      </c>
      <c r="L31" s="36">
        <f ca="1">[1]!s_val_mv_ard(C31,$D$6,100000000)</f>
        <v>4186.020085775699</v>
      </c>
      <c r="M31" s="24"/>
      <c r="N31" s="4"/>
    </row>
    <row r="32" spans="1:14" ht="17.25" x14ac:dyDescent="0.25">
      <c r="A32" s="4"/>
      <c r="B32" s="24"/>
      <c r="C32" s="14" t="s">
        <v>37</v>
      </c>
      <c r="D32" s="15" t="str">
        <f>[1]!s_info_name(C32)</f>
        <v>白云机场</v>
      </c>
      <c r="E32" s="16">
        <f>[1]!s_dq_close(C32,$D$5,1)</f>
        <v>9.7799999999999994</v>
      </c>
      <c r="F32" s="17">
        <f ca="1">[1]!s_dq_close(C32,$D$6,1)</f>
        <v>9.44</v>
      </c>
      <c r="G32" s="18">
        <f t="shared" ca="1" si="9"/>
        <v>-3.4764826175869068E-2</v>
      </c>
      <c r="H32" s="31">
        <f t="shared" ca="1" si="10"/>
        <v>-0.33999999999999986</v>
      </c>
      <c r="I32" s="31">
        <f ca="1">[1]!s_wq_pctchange(C32,$D$6)</f>
        <v>0.10593220338983578</v>
      </c>
      <c r="J32" s="27">
        <f ca="1">[1]!s_mq_pctchange(C32,$D$6)</f>
        <v>1.2861736334405016</v>
      </c>
      <c r="K32" s="33">
        <f ca="1">[1]!s_yq_pctchange(C32,$D$6)</f>
        <v>0.1682829260239771</v>
      </c>
      <c r="L32" s="35">
        <f ca="1">[1]!s_val_mv_ard(C32,$D$6,100000000)</f>
        <v>223.41820591519999</v>
      </c>
      <c r="M32" s="24"/>
      <c r="N32" s="4"/>
    </row>
    <row r="33" spans="1:14" ht="17.25" x14ac:dyDescent="0.25">
      <c r="A33" s="4"/>
      <c r="B33" s="24"/>
      <c r="C33" s="19" t="s">
        <v>13</v>
      </c>
      <c r="D33" s="20" t="str">
        <f>[1]!s_info_name(C33)</f>
        <v>东风股份</v>
      </c>
      <c r="E33" s="21">
        <f>[1]!s_dq_close(C33,$D$5,1)</f>
        <v>5.77</v>
      </c>
      <c r="F33" s="22">
        <f ca="1">[1]!s_dq_close(C33,$D$6,1)</f>
        <v>7.57</v>
      </c>
      <c r="G33" s="23">
        <f t="shared" ca="1" si="9"/>
        <v>0.31195840554592746</v>
      </c>
      <c r="H33" s="32">
        <f t="shared" ca="1" si="10"/>
        <v>1.8000000000000007</v>
      </c>
      <c r="I33" s="37">
        <f ca="1">[1]!s_wq_pctchange(C33,$D$6)</f>
        <v>0.67934782608696231</v>
      </c>
      <c r="J33" s="38">
        <f ca="1">[1]!s_mq_pctchange(C33,$D$6)</f>
        <v>3.4916201117318524</v>
      </c>
      <c r="K33" s="34">
        <f ca="1">[1]!s_yq_pctchange(C33,$D$6)</f>
        <v>0.54274084124830146</v>
      </c>
      <c r="L33" s="36">
        <f ca="1">[1]!s_val_mv_ard(C33,$D$6,100000000)</f>
        <v>151.4</v>
      </c>
      <c r="M33" s="24"/>
      <c r="N33" s="4"/>
    </row>
    <row r="34" spans="1:14" ht="17.25" x14ac:dyDescent="0.25">
      <c r="A34" s="4"/>
      <c r="B34" s="24"/>
      <c r="C34" s="14" t="s">
        <v>38</v>
      </c>
      <c r="D34" s="15" t="str">
        <f>[1]!s_info_name(C34)</f>
        <v>中国国贸</v>
      </c>
      <c r="E34" s="16">
        <f>[1]!s_dq_close(C34,$D$5,1)</f>
        <v>19.38</v>
      </c>
      <c r="F34" s="17">
        <f ca="1">[1]!s_dq_close(C34,$D$6,1)</f>
        <v>20.53</v>
      </c>
      <c r="G34" s="18">
        <f t="shared" ca="1" si="9"/>
        <v>5.9339525283797823E-2</v>
      </c>
      <c r="H34" s="31">
        <f t="shared" ca="1" si="10"/>
        <v>1.1500000000000021</v>
      </c>
      <c r="I34" s="31">
        <f ca="1">[1]!s_wq_pctchange(C34,$D$6)</f>
        <v>-0.24390243902439046</v>
      </c>
      <c r="J34" s="27">
        <f ca="1">[1]!s_mq_pctchange(C34,$D$6)</f>
        <v>0.14691478942212566</v>
      </c>
      <c r="K34" s="33">
        <f ca="1">[1]!s_yq_pctchange(C34,$D$6)</f>
        <v>-12.064246173356686</v>
      </c>
      <c r="L34" s="35">
        <f ca="1">[1]!s_val_mv_ard(C34,$D$6,100000000)</f>
        <v>206.7951042302</v>
      </c>
      <c r="M34" s="24"/>
      <c r="N34" s="4"/>
    </row>
    <row r="35" spans="1:14" ht="17.25" x14ac:dyDescent="0.25">
      <c r="A35" s="4"/>
      <c r="B35" s="24"/>
      <c r="C35" s="19" t="s">
        <v>39</v>
      </c>
      <c r="D35" s="20" t="str">
        <f>[1]!s_info_name(C35)</f>
        <v>中国移动</v>
      </c>
      <c r="E35" s="21">
        <f>[1]!s_dq_close(C35,$D$5,1)</f>
        <v>99.48</v>
      </c>
      <c r="F35" s="22">
        <f ca="1">[1]!s_dq_close(C35,$D$6,1)</f>
        <v>109.22</v>
      </c>
      <c r="G35" s="23">
        <f t="shared" ca="1" si="9"/>
        <v>9.7909127462806556E-2</v>
      </c>
      <c r="H35" s="32">
        <f t="shared" ca="1" si="10"/>
        <v>9.7399999999999949</v>
      </c>
      <c r="I35" s="37">
        <f ca="1">[1]!s_wq_pctchange(C35,$D$6)</f>
        <v>-1.072824802254746</v>
      </c>
      <c r="J35" s="38">
        <f ca="1">[1]!s_mq_pctchange(C35,$D$6)</f>
        <v>0.23028739867354542</v>
      </c>
      <c r="K35" s="34">
        <f ca="1">[1]!s_yq_pctchange(C35,$D$6)</f>
        <v>-6.0944151699445115</v>
      </c>
      <c r="L35" s="36">
        <f ca="1">[1]!s_val_mv_ard(C35,$D$6,100000000)</f>
        <v>23606.106308063798</v>
      </c>
      <c r="M35" s="24"/>
      <c r="N35" s="4"/>
    </row>
    <row r="36" spans="1:14" ht="17.25" x14ac:dyDescent="0.25">
      <c r="A36" s="4"/>
      <c r="B36" s="24"/>
      <c r="C36" s="19"/>
      <c r="D36" s="20"/>
      <c r="E36" s="21"/>
      <c r="F36" s="22"/>
      <c r="G36" s="23"/>
      <c r="H36" s="32"/>
      <c r="I36" s="37"/>
      <c r="J36" s="38"/>
      <c r="K36" s="34"/>
      <c r="L36" s="36"/>
      <c r="M36" s="24"/>
      <c r="N36" s="4"/>
    </row>
    <row r="37" spans="1:14" ht="17.25" x14ac:dyDescent="0.25">
      <c r="A37" s="4"/>
      <c r="B37" s="24"/>
      <c r="C37" s="19"/>
      <c r="D37" s="20"/>
      <c r="E37" s="21"/>
      <c r="F37" s="22"/>
      <c r="G37" s="23"/>
      <c r="H37" s="32"/>
      <c r="I37" s="37"/>
      <c r="J37" s="38"/>
      <c r="K37" s="34"/>
      <c r="L37" s="36"/>
      <c r="M37" s="24"/>
      <c r="N37" s="4"/>
    </row>
    <row r="38" spans="1:14" ht="17.25" x14ac:dyDescent="0.25">
      <c r="A38" s="4"/>
      <c r="B38" s="24"/>
      <c r="C38" s="19"/>
      <c r="D38" s="20"/>
      <c r="E38" s="21"/>
      <c r="F38" s="22"/>
      <c r="G38" s="23"/>
      <c r="H38" s="32"/>
      <c r="I38" s="37"/>
      <c r="J38" s="38"/>
      <c r="K38" s="34"/>
      <c r="L38" s="36"/>
      <c r="M38" s="24"/>
      <c r="N38" s="4"/>
    </row>
    <row r="39" spans="1:14" ht="17.25" x14ac:dyDescent="0.25">
      <c r="A39" s="4"/>
      <c r="B39" s="24"/>
      <c r="C39" s="19"/>
      <c r="D39" s="20"/>
      <c r="E39" s="21"/>
      <c r="F39" s="22"/>
      <c r="G39" s="23"/>
      <c r="H39" s="32"/>
      <c r="I39" s="37"/>
      <c r="J39" s="38"/>
      <c r="K39" s="34"/>
      <c r="L39" s="36"/>
      <c r="M39" s="24"/>
      <c r="N39" s="4"/>
    </row>
    <row r="40" spans="1:14" ht="17.25" x14ac:dyDescent="0.25">
      <c r="A40" s="4"/>
      <c r="B40" s="24"/>
      <c r="C40" s="19"/>
      <c r="D40" s="20"/>
      <c r="E40" s="21"/>
      <c r="F40" s="22"/>
      <c r="G40" s="23"/>
      <c r="H40" s="32"/>
      <c r="I40" s="37"/>
      <c r="J40" s="38"/>
      <c r="K40" s="34"/>
      <c r="L40" s="36"/>
      <c r="M40" s="24"/>
      <c r="N40" s="4"/>
    </row>
    <row r="41" spans="1:14" ht="17.25" x14ac:dyDescent="0.25">
      <c r="A41" s="4"/>
      <c r="B41" s="24"/>
      <c r="C41" s="14"/>
      <c r="D41" s="15"/>
      <c r="E41" s="16"/>
      <c r="F41" s="17"/>
      <c r="G41" s="18"/>
      <c r="H41" s="31"/>
      <c r="I41" s="31"/>
      <c r="J41" s="27"/>
      <c r="K41" s="33"/>
      <c r="L41" s="35"/>
      <c r="M41" s="24"/>
      <c r="N41" s="4"/>
    </row>
    <row r="42" spans="1:14" ht="17.25" x14ac:dyDescent="0.25">
      <c r="A42" s="4"/>
      <c r="B42" s="24"/>
      <c r="C42" s="19"/>
      <c r="D42" s="20"/>
      <c r="E42" s="21"/>
      <c r="F42" s="22"/>
      <c r="G42" s="23"/>
      <c r="H42" s="32"/>
      <c r="I42" s="37"/>
      <c r="J42" s="38"/>
      <c r="K42" s="34"/>
      <c r="L42" s="36"/>
      <c r="M42" s="24"/>
      <c r="N42" s="4"/>
    </row>
    <row r="43" spans="1:14" ht="17.25" x14ac:dyDescent="0.25">
      <c r="A43" s="4"/>
      <c r="B43" s="24"/>
      <c r="C43" s="14" t="s">
        <v>40</v>
      </c>
      <c r="D43" s="15" t="str">
        <f>[1]!s_info_name(C43)</f>
        <v>阿里健康</v>
      </c>
      <c r="E43" s="16">
        <f>[1]!s_dq_close(C43,$D$5,1)</f>
        <v>4.24</v>
      </c>
      <c r="F43" s="17">
        <f ca="1">[1]!s_dq_close(C43,$D$6,1)</f>
        <v>5.14</v>
      </c>
      <c r="G43" s="18">
        <f t="shared" ref="G43:G53" ca="1" si="11">F43/E43-1</f>
        <v>0.21226415094339601</v>
      </c>
      <c r="H43" s="31">
        <f t="shared" ref="H43:H53" ca="1" si="12">F43-E43</f>
        <v>0.89999999999999947</v>
      </c>
      <c r="I43" s="31">
        <f ca="1">[1]!s_wq_pctchange(C43,$D$6)</f>
        <v>3.0425963488843966</v>
      </c>
      <c r="J43" s="27">
        <f ca="1">[1]!s_mq_pctchange(C43,$D$6)</f>
        <v>4.0983606557377206</v>
      </c>
      <c r="K43" s="33">
        <f ca="1">[1]!s_yq_pctchange(C43,$D$6)</f>
        <v>53.012048192771076</v>
      </c>
      <c r="L43" s="35">
        <f ca="1">[1]!s_val_mv_ard(C43,$D$6,100000000)</f>
        <v>828.75517577000005</v>
      </c>
      <c r="M43" s="24"/>
      <c r="N43" s="4"/>
    </row>
    <row r="44" spans="1:14" ht="17.25" x14ac:dyDescent="0.25">
      <c r="A44" s="4"/>
      <c r="B44" s="24"/>
      <c r="C44" s="19" t="s">
        <v>41</v>
      </c>
      <c r="D44" s="20" t="str">
        <f>[1]!s_info_name(C44)</f>
        <v>友邦保险</v>
      </c>
      <c r="E44" s="21">
        <f>[1]!s_dq_close(C44,$D$5,1)</f>
        <v>68.05</v>
      </c>
      <c r="F44" s="22">
        <f ca="1">[1]!s_dq_close(C44,$D$6,1)</f>
        <v>76.400000000000006</v>
      </c>
      <c r="G44" s="23">
        <f t="shared" ca="1" si="11"/>
        <v>0.12270389419544458</v>
      </c>
      <c r="H44" s="32">
        <f t="shared" ca="1" si="12"/>
        <v>8.3500000000000085</v>
      </c>
      <c r="I44" s="37">
        <f ca="1">[1]!s_wq_pctchange(C44,$D$6)</f>
        <v>4.4836956521739246</v>
      </c>
      <c r="J44" s="38">
        <f ca="1">[1]!s_mq_pctchange(C44,$D$6)</f>
        <v>4.7683923705722053</v>
      </c>
      <c r="K44" s="34">
        <f ca="1">[1]!s_yq_pctchange(C44,$D$6)</f>
        <v>39.390332017702498</v>
      </c>
      <c r="L44" s="36">
        <f ca="1">[1]!s_val_mv_ard(C44,$D$6,100000000)</f>
        <v>8025.3872421300002</v>
      </c>
      <c r="M44" s="24"/>
      <c r="N44" s="4"/>
    </row>
    <row r="45" spans="1:14" ht="17.25" x14ac:dyDescent="0.25">
      <c r="A45" s="4"/>
      <c r="B45" s="24"/>
      <c r="C45" s="14" t="s">
        <v>42</v>
      </c>
      <c r="D45" s="15" t="str">
        <f>[1]!s_info_name(C45)</f>
        <v>恒隆地产</v>
      </c>
      <c r="E45" s="16">
        <f>[1]!s_dq_close(C45,$D$5,1)</f>
        <v>10.88</v>
      </c>
      <c r="F45" s="17">
        <f ca="1">[1]!s_dq_close(C45,$D$6,1)</f>
        <v>8.06</v>
      </c>
      <c r="G45" s="18">
        <f t="shared" ca="1" si="11"/>
        <v>-0.2591911764705882</v>
      </c>
      <c r="H45" s="31">
        <f t="shared" ca="1" si="12"/>
        <v>-2.8200000000000003</v>
      </c>
      <c r="I45" s="31">
        <f ca="1">[1]!s_wq_pctchange(C45,$D$6)</f>
        <v>3.1331653277269389</v>
      </c>
      <c r="J45" s="27">
        <f ca="1">[1]!s_mq_pctchange(C45,$D$6)</f>
        <v>3.0055252716282732</v>
      </c>
      <c r="K45" s="33">
        <f ca="1">[1]!s_yq_pctchange(C45,$D$6)</f>
        <v>42.425638540683707</v>
      </c>
      <c r="L45" s="35">
        <f ca="1">[1]!s_val_mv_ard(C45,$D$6,100000000)</f>
        <v>403.16216195999999</v>
      </c>
      <c r="M45" s="24"/>
      <c r="N45" s="4"/>
    </row>
    <row r="46" spans="1:14" ht="17.25" x14ac:dyDescent="0.25">
      <c r="A46" s="4"/>
      <c r="B46" s="24"/>
      <c r="C46" s="19" t="s">
        <v>43</v>
      </c>
      <c r="D46" s="20" t="str">
        <f>[1]!s_info_name(C46)</f>
        <v>新世界发展</v>
      </c>
      <c r="E46" s="21">
        <f>[1]!s_dq_close(C46,$D$5,1)</f>
        <v>12.12</v>
      </c>
      <c r="F46" s="22">
        <f ca="1">[1]!s_dq_close(C46,$D$6,1)</f>
        <v>6.59</v>
      </c>
      <c r="G46" s="23">
        <f t="shared" ca="1" si="11"/>
        <v>-0.45627062706270627</v>
      </c>
      <c r="H46" s="32">
        <f t="shared" ca="1" si="12"/>
        <v>-5.5299999999999994</v>
      </c>
      <c r="I46" s="37">
        <f ca="1">[1]!s_wq_pctchange(C46,$D$6)</f>
        <v>-5.5007052186177514</v>
      </c>
      <c r="J46" s="38">
        <f ca="1">[1]!s_mq_pctchange(C46,$D$6)</f>
        <v>4.0372670807453437</v>
      </c>
      <c r="K46" s="34">
        <f ca="1">[1]!s_yq_pctchange(C46,$D$6)</f>
        <v>29.844961240310084</v>
      </c>
      <c r="L46" s="36">
        <f ca="1">[1]!s_val_mv_ard(C46,$D$6,100000000)</f>
        <v>165.84612597</v>
      </c>
      <c r="M46" s="24"/>
      <c r="N46" s="4"/>
    </row>
    <row r="47" spans="1:14" ht="17.25" x14ac:dyDescent="0.25">
      <c r="A47" s="4"/>
      <c r="B47" s="24"/>
      <c r="C47" s="14" t="s">
        <v>44</v>
      </c>
      <c r="D47" s="15" t="str">
        <f>[1]!s_info_name(C47)</f>
        <v>联想集团</v>
      </c>
      <c r="E47" s="16">
        <f>[1]!s_dq_close(C47,$D$5,1)</f>
        <v>10.92</v>
      </c>
      <c r="F47" s="17">
        <f ca="1">[1]!s_dq_close(C47,$D$6,1)</f>
        <v>11.52</v>
      </c>
      <c r="G47" s="18">
        <f t="shared" ca="1" si="11"/>
        <v>5.4945054945054972E-2</v>
      </c>
      <c r="H47" s="31">
        <f t="shared" ca="1" si="12"/>
        <v>0.59999999999999964</v>
      </c>
      <c r="I47" s="31">
        <f ca="1">[1]!s_wq_pctchange(C47,$D$6)</f>
        <v>-1.8132366273798661</v>
      </c>
      <c r="J47" s="27">
        <f ca="1">[1]!s_mq_pctchange(C47,$D$6)</f>
        <v>7.0158102766798347</v>
      </c>
      <c r="K47" s="33">
        <f ca="1">[1]!s_yq_pctchange(C47,$D$6)</f>
        <v>10.648439503065044</v>
      </c>
      <c r="L47" s="35">
        <f ca="1">[1]!s_val_mv_ard(C47,$D$6,100000000)</f>
        <v>1429.01675159</v>
      </c>
      <c r="M47" s="24"/>
      <c r="N47" s="4"/>
    </row>
    <row r="48" spans="1:14" ht="17.25" x14ac:dyDescent="0.25">
      <c r="A48" s="4"/>
      <c r="B48" s="24"/>
      <c r="C48" s="19" t="s">
        <v>45</v>
      </c>
      <c r="D48" s="20" t="str">
        <f>[1]!s_info_name(C48)</f>
        <v>蒙牛乳业</v>
      </c>
      <c r="E48" s="21">
        <f>[1]!s_dq_close(C48,$D$5,1)</f>
        <v>21</v>
      </c>
      <c r="F48" s="22">
        <f ca="1">[1]!s_dq_close(C48,$D$6,1)</f>
        <v>16.7</v>
      </c>
      <c r="G48" s="23">
        <f t="shared" ca="1" si="11"/>
        <v>-0.20476190476190481</v>
      </c>
      <c r="H48" s="32">
        <f t="shared" ca="1" si="12"/>
        <v>-4.3000000000000007</v>
      </c>
      <c r="I48" s="37">
        <f ca="1">[1]!s_wq_pctchange(C48,$D$6)</f>
        <v>1.4678899082568586</v>
      </c>
      <c r="J48" s="38">
        <f ca="1">[1]!s_mq_pctchange(C48,$D$6)</f>
        <v>1.2820512820512775</v>
      </c>
      <c r="K48" s="34">
        <f ca="1">[1]!s_yq_pctchange(C48,$D$6)</f>
        <v>-2.431083469152806</v>
      </c>
      <c r="L48" s="36">
        <f ca="1">[1]!s_val_mv_ard(C48,$D$6,100000000)</f>
        <v>651.92934166999999</v>
      </c>
      <c r="M48" s="24"/>
      <c r="N48" s="4"/>
    </row>
    <row r="49" spans="1:14" ht="17.25" x14ac:dyDescent="0.25">
      <c r="A49" s="4"/>
      <c r="B49" s="24"/>
      <c r="C49" s="14" t="s">
        <v>46</v>
      </c>
      <c r="D49" s="15" t="str">
        <f>[1]!s_info_name(C49)</f>
        <v>舜宇光学科技</v>
      </c>
      <c r="E49" s="16">
        <f>[1]!s_dq_close(C49,$D$5,1)</f>
        <v>70.849999999999994</v>
      </c>
      <c r="F49" s="17">
        <f ca="1">[1]!s_dq_close(C49,$D$6,1)</f>
        <v>81.599999999999994</v>
      </c>
      <c r="G49" s="18">
        <f t="shared" ca="1" si="11"/>
        <v>0.15172900494001418</v>
      </c>
      <c r="H49" s="31">
        <f t="shared" ca="1" si="12"/>
        <v>10.75</v>
      </c>
      <c r="I49" s="31">
        <f ca="1">[1]!s_wq_pctchange(C49,$D$6)</f>
        <v>4.6710526315789425</v>
      </c>
      <c r="J49" s="27">
        <f ca="1">[1]!s_mq_pctchange(C49,$D$6)</f>
        <v>8.7491455912508407</v>
      </c>
      <c r="K49" s="33">
        <f ca="1">[1]!s_yq_pctchange(C49,$D$6)</f>
        <v>16.566041709778535</v>
      </c>
      <c r="L49" s="35">
        <f ca="1">[1]!s_val_mv_ard(C49,$D$6,100000000)</f>
        <v>893.36071679999998</v>
      </c>
      <c r="M49" s="24"/>
      <c r="N49" s="4"/>
    </row>
    <row r="50" spans="1:14" ht="17.25" x14ac:dyDescent="0.25">
      <c r="A50" s="4"/>
      <c r="B50" s="24"/>
      <c r="C50" s="19" t="s">
        <v>10</v>
      </c>
      <c r="D50" s="20" t="str">
        <f>[1]!s_info_name(C50)</f>
        <v>石药集团</v>
      </c>
      <c r="E50" s="21">
        <f>[1]!s_dq_close(C50,$D$5,1)</f>
        <v>7.26</v>
      </c>
      <c r="F50" s="22">
        <f ca="1">[1]!s_dq_close(C50,$D$6,1)</f>
        <v>10.72</v>
      </c>
      <c r="G50" s="23">
        <f t="shared" ca="1" si="11"/>
        <v>0.47658402203856753</v>
      </c>
      <c r="H50" s="32">
        <f t="shared" ca="1" si="12"/>
        <v>3.4600000000000009</v>
      </c>
      <c r="I50" s="37">
        <f ca="1">[1]!s_wq_pctchange(C50,$D$6)</f>
        <v>1.8518518518518379</v>
      </c>
      <c r="J50" s="38">
        <f ca="1">[1]!s_mq_pctchange(C50,$D$6)</f>
        <v>5.3427419354838523</v>
      </c>
      <c r="K50" s="34">
        <f ca="1">[1]!s_yq_pctchange(C50,$D$6)</f>
        <v>121.44743892999608</v>
      </c>
      <c r="L50" s="36">
        <f ca="1">[1]!s_val_mv_ard(C50,$D$6,100000000)</f>
        <v>1235.15322567</v>
      </c>
      <c r="M50" s="24"/>
      <c r="N50" s="4"/>
    </row>
    <row r="51" spans="1:14" ht="17.25" x14ac:dyDescent="0.25">
      <c r="A51" s="4"/>
      <c r="B51" s="24"/>
      <c r="C51" s="14" t="s">
        <v>47</v>
      </c>
      <c r="D51" s="15" t="str">
        <f>[1]!s_info_name(C51)</f>
        <v>中国海洋石油</v>
      </c>
      <c r="E51" s="16">
        <f>[1]!s_dq_close(C51,$D$5,1)</f>
        <v>13</v>
      </c>
      <c r="F51" s="17">
        <f ca="1">[1]!s_dq_close(C51,$D$6,1)</f>
        <v>19.010000000000002</v>
      </c>
      <c r="G51" s="18">
        <f t="shared" ca="1" si="11"/>
        <v>0.46230769230769253</v>
      </c>
      <c r="H51" s="31">
        <f t="shared" ca="1" si="12"/>
        <v>6.0100000000000016</v>
      </c>
      <c r="I51" s="31">
        <f ca="1">[1]!s_wq_pctchange(C51,$D$6)</f>
        <v>1.5508021390374216</v>
      </c>
      <c r="J51" s="27">
        <f ca="1">[1]!s_mq_pctchange(C51,$D$6)</f>
        <v>0.36997885835092781</v>
      </c>
      <c r="K51" s="33">
        <f ca="1">[1]!s_yq_pctchange(C51,$D$6)</f>
        <v>2.9178474158242595</v>
      </c>
      <c r="L51" s="35">
        <f ca="1">[1]!s_val_mv_ard(C51,$D$6,100000000)</f>
        <v>9035.4442523599992</v>
      </c>
      <c r="M51" s="24"/>
      <c r="N51" s="4"/>
    </row>
    <row r="52" spans="1:14" ht="17.25" x14ac:dyDescent="0.25">
      <c r="A52" s="4"/>
      <c r="B52" s="24"/>
      <c r="C52" s="19" t="s">
        <v>48</v>
      </c>
      <c r="D52" s="20" t="str">
        <f>[1]!s_info_name(C52)</f>
        <v>中国石油化工股份</v>
      </c>
      <c r="E52" s="21">
        <f>[1]!s_dq_close(C52,$D$5,1)</f>
        <v>4.09</v>
      </c>
      <c r="F52" s="22">
        <f ca="1">[1]!s_dq_close(C52,$D$6,1)</f>
        <v>4.47</v>
      </c>
      <c r="G52" s="23">
        <f t="shared" ca="1" si="11"/>
        <v>9.2909535452322611E-2</v>
      </c>
      <c r="H52" s="32">
        <f t="shared" ca="1" si="12"/>
        <v>0.37999999999999989</v>
      </c>
      <c r="I52" s="37">
        <f ca="1">[1]!s_wq_pctchange(C52,$D$6)</f>
        <v>2.517162471395884</v>
      </c>
      <c r="J52" s="38">
        <f ca="1">[1]!s_mq_pctchange(C52,$D$6)</f>
        <v>-2.608695652173898</v>
      </c>
      <c r="K52" s="34">
        <f ca="1">[1]!s_yq_pctchange(C52,$D$6)</f>
        <v>4.4082890530321661</v>
      </c>
      <c r="L52" s="36">
        <f ca="1">[1]!s_val_mv_ard(C52,$D$6,100000000)</f>
        <v>5419.6621250999997</v>
      </c>
      <c r="N52" s="4"/>
    </row>
    <row r="53" spans="1:14" ht="17.25" x14ac:dyDescent="0.25">
      <c r="A53" s="4"/>
      <c r="B53" s="24"/>
      <c r="C53" s="14" t="s">
        <v>49</v>
      </c>
      <c r="D53" s="15" t="str">
        <f>[1]!s_info_name(C53)</f>
        <v>中国石油股份</v>
      </c>
      <c r="E53" s="16">
        <f>[1]!s_dq_close(C53,$D$5,1)</f>
        <v>5.16</v>
      </c>
      <c r="F53" s="17">
        <f ca="1">[1]!s_dq_close(C53,$D$6,1)</f>
        <v>7.7</v>
      </c>
      <c r="G53" s="18">
        <f t="shared" ca="1" si="11"/>
        <v>0.49224806201550386</v>
      </c>
      <c r="H53" s="31">
        <f t="shared" ca="1" si="12"/>
        <v>2.54</v>
      </c>
      <c r="I53" s="31">
        <f ca="1">[1]!s_wq_pctchange(C53,$D$6)</f>
        <v>1.8494055482166427</v>
      </c>
      <c r="J53" s="27">
        <f ca="1">[1]!s_mq_pctchange(C53,$D$6)</f>
        <v>0.52151238591915394</v>
      </c>
      <c r="K53" s="33">
        <f ca="1">[1]!s_yq_pctchange(C53,$D$6)</f>
        <v>31.033763305212769</v>
      </c>
      <c r="L53" s="35">
        <f ca="1">[1]!s_val_mv_ard(C53,$D$6,100000000)</f>
        <v>14092.61529199</v>
      </c>
      <c r="N53" s="4"/>
    </row>
    <row r="54" spans="1:14" ht="17.25" x14ac:dyDescent="0.25">
      <c r="A54" s="4"/>
      <c r="B54" s="24"/>
      <c r="C54" s="14"/>
      <c r="D54" s="15"/>
      <c r="E54" s="16"/>
      <c r="F54" s="17"/>
      <c r="G54" s="18"/>
      <c r="H54" s="31"/>
      <c r="I54" s="31"/>
      <c r="J54" s="27"/>
      <c r="K54" s="33"/>
      <c r="L54" s="35"/>
      <c r="N54" s="4"/>
    </row>
    <row r="55" spans="1:14" ht="17.25" x14ac:dyDescent="0.25">
      <c r="A55" s="4"/>
      <c r="B55" s="24"/>
      <c r="C55" s="14"/>
      <c r="D55" s="15"/>
      <c r="E55" s="16"/>
      <c r="F55" s="17"/>
      <c r="G55" s="18"/>
      <c r="H55" s="31"/>
      <c r="I55" s="31"/>
      <c r="J55" s="27"/>
      <c r="K55" s="33"/>
      <c r="L55" s="35"/>
      <c r="N55" s="4"/>
    </row>
    <row r="56" spans="1:14" ht="17.25" x14ac:dyDescent="0.25">
      <c r="A56" s="4"/>
      <c r="B56" s="24"/>
      <c r="C56" s="14"/>
      <c r="D56" s="15"/>
      <c r="E56" s="16"/>
      <c r="F56" s="17"/>
      <c r="G56" s="18"/>
      <c r="H56" s="31"/>
      <c r="I56" s="31"/>
      <c r="J56" s="27"/>
      <c r="K56" s="33"/>
      <c r="L56" s="35"/>
      <c r="N56" s="4"/>
    </row>
    <row r="57" spans="1:14" ht="17.25" x14ac:dyDescent="0.25">
      <c r="A57" s="4"/>
      <c r="B57" s="24"/>
      <c r="C57" s="19"/>
      <c r="D57" s="20"/>
      <c r="E57" s="21"/>
      <c r="F57" s="22"/>
      <c r="G57" s="23"/>
      <c r="H57" s="32"/>
      <c r="I57" s="37"/>
      <c r="J57" s="38"/>
      <c r="K57" s="34"/>
      <c r="L57" s="36"/>
      <c r="N57" s="4"/>
    </row>
    <row r="58" spans="1:14" ht="17.25" x14ac:dyDescent="0.25">
      <c r="A58" s="4"/>
      <c r="B58" s="24"/>
      <c r="C58" s="14"/>
      <c r="D58" s="15"/>
      <c r="E58" s="16"/>
      <c r="F58" s="17"/>
      <c r="G58" s="18"/>
      <c r="H58" s="31"/>
      <c r="I58" s="31"/>
      <c r="J58" s="27"/>
      <c r="K58" s="33"/>
      <c r="L58" s="35"/>
      <c r="N58" s="4"/>
    </row>
    <row r="59" spans="1:14" ht="17.25" x14ac:dyDescent="0.25">
      <c r="A59" s="4"/>
      <c r="B59" s="24"/>
      <c r="C59" s="19"/>
      <c r="D59" s="20"/>
      <c r="E59" s="21"/>
      <c r="F59" s="22"/>
      <c r="G59" s="23"/>
      <c r="H59" s="32"/>
      <c r="I59" s="37"/>
      <c r="J59" s="38"/>
      <c r="K59" s="34"/>
      <c r="L59" s="36"/>
      <c r="N59" s="4"/>
    </row>
    <row r="60" spans="1:14" ht="17.25" x14ac:dyDescent="0.25">
      <c r="A60" s="4"/>
      <c r="B60" s="24"/>
      <c r="C60" s="14"/>
      <c r="D60" s="15"/>
      <c r="E60" s="16"/>
      <c r="F60" s="17"/>
      <c r="G60" s="18"/>
      <c r="H60" s="31"/>
      <c r="I60" s="31"/>
      <c r="J60" s="27"/>
      <c r="K60" s="33"/>
      <c r="L60" s="35"/>
      <c r="N60" s="4"/>
    </row>
    <row r="61" spans="1:14" ht="17.25" x14ac:dyDescent="0.25">
      <c r="A61" s="4"/>
      <c r="B61" s="24"/>
      <c r="C61" s="19"/>
      <c r="D61" s="20"/>
      <c r="E61" s="21"/>
      <c r="F61" s="22"/>
      <c r="G61" s="23"/>
      <c r="H61" s="32"/>
      <c r="I61" s="37"/>
      <c r="J61" s="38"/>
      <c r="K61" s="34"/>
      <c r="L61" s="36"/>
      <c r="N61" s="4"/>
    </row>
    <row r="62" spans="1:14" ht="17.25" x14ac:dyDescent="0.25">
      <c r="A62" s="4"/>
      <c r="B62" s="24"/>
      <c r="C62" s="14"/>
      <c r="D62" s="15"/>
      <c r="E62" s="16"/>
      <c r="F62" s="17"/>
      <c r="G62" s="18"/>
      <c r="H62" s="31"/>
      <c r="I62" s="31"/>
      <c r="J62" s="27"/>
      <c r="K62" s="33"/>
      <c r="L62" s="35"/>
      <c r="N62" s="4"/>
    </row>
    <row r="63" spans="1:14" ht="17.25" x14ac:dyDescent="0.25">
      <c r="A63" s="4"/>
      <c r="B63" s="24"/>
      <c r="C63" s="19"/>
      <c r="D63" s="20"/>
      <c r="E63" s="21"/>
      <c r="F63" s="22"/>
      <c r="G63" s="23"/>
      <c r="H63" s="32"/>
      <c r="I63" s="37"/>
      <c r="J63" s="38"/>
      <c r="K63" s="34"/>
      <c r="L63" s="36"/>
      <c r="N63" s="4"/>
    </row>
    <row r="64" spans="1:14" ht="15.75" x14ac:dyDescent="0.25">
      <c r="A64" s="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4"/>
    </row>
    <row r="65" spans="1:14" ht="14.2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</sheetData>
  <sortState xmlns:xlrd2="http://schemas.microsoft.com/office/spreadsheetml/2017/richdata2" ref="C10:I21">
    <sortCondition descending="1" ref="G8"/>
  </sortState>
  <mergeCells count="1">
    <mergeCell ref="D1:J1"/>
  </mergeCells>
  <phoneticPr fontId="4" type="noConversion"/>
  <conditionalFormatting sqref="G11:K63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G70:K116">
    <cfRule type="cellIs" dxfId="1" priority="575" operator="lessThan">
      <formula>0</formula>
    </cfRule>
    <cfRule type="cellIs" dxfId="0" priority="576" operator="greater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区间涨跌幅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2025-08-14T15:27:04Z</dcterms:modified>
</cp:coreProperties>
</file>