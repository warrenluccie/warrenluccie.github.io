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2260" windowHeight="12645"/>
  </bookViews>
  <sheets>
    <sheet name="铝" sheetId="3" r:id="rId1"/>
    <sheet name="铝模板" sheetId="2" r:id="rId2"/>
    <sheet name="铝原始数据" sheetId="1" r:id="rId3"/>
    <sheet name="Wind模板" sheetId="4" state="veryHidden" r:id="rId4"/>
  </sheets>
  <externalReferences>
    <externalReference r:id="rId5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" i="3" l="1"/>
  <c r="A1" i="1"/>
  <c r="G3" i="2" l="1"/>
  <c r="G5" i="2"/>
  <c r="G7" i="2"/>
  <c r="G9" i="2"/>
  <c r="M10" i="2"/>
  <c r="M12" i="2"/>
  <c r="M14" i="2"/>
  <c r="M16" i="2"/>
  <c r="M18" i="2"/>
  <c r="M20" i="2"/>
  <c r="K22" i="2"/>
  <c r="J24" i="2"/>
  <c r="J26" i="2"/>
  <c r="J28" i="2"/>
  <c r="I30" i="2"/>
  <c r="I32" i="2"/>
  <c r="H34" i="2"/>
  <c r="G36" i="2"/>
  <c r="G38" i="2"/>
  <c r="G40" i="2"/>
  <c r="K43" i="2"/>
  <c r="K45" i="2"/>
  <c r="J47" i="2"/>
  <c r="J49" i="2"/>
  <c r="J51" i="2"/>
  <c r="H12" i="2"/>
  <c r="M23" i="2"/>
  <c r="H41" i="2"/>
  <c r="J6" i="2"/>
  <c r="M31" i="2"/>
  <c r="G51" i="2"/>
  <c r="J43" i="2"/>
  <c r="H3" i="2"/>
  <c r="H5" i="2"/>
  <c r="H7" i="2"/>
  <c r="H9" i="2"/>
  <c r="G11" i="2"/>
  <c r="G13" i="2"/>
  <c r="G15" i="2"/>
  <c r="G17" i="2"/>
  <c r="G19" i="2"/>
  <c r="G21" i="2"/>
  <c r="K24" i="2"/>
  <c r="K26" i="2"/>
  <c r="K28" i="2"/>
  <c r="J30" i="2"/>
  <c r="J32" i="2"/>
  <c r="I34" i="2"/>
  <c r="H36" i="2"/>
  <c r="H38" i="2"/>
  <c r="H40" i="2"/>
  <c r="M41" i="2"/>
  <c r="M43" i="2"/>
  <c r="K47" i="2"/>
  <c r="K49" i="2"/>
  <c r="K51" i="2"/>
  <c r="I6" i="2"/>
  <c r="M25" i="2"/>
  <c r="G45" i="2"/>
  <c r="I10" i="2"/>
  <c r="G24" i="2"/>
  <c r="H43" i="2"/>
  <c r="M37" i="2"/>
  <c r="I3" i="2"/>
  <c r="I5" i="2"/>
  <c r="I7" i="2"/>
  <c r="I9" i="2"/>
  <c r="H11" i="2"/>
  <c r="H13" i="2"/>
  <c r="H15" i="2"/>
  <c r="H17" i="2"/>
  <c r="H19" i="2"/>
  <c r="H21" i="2"/>
  <c r="M22" i="2"/>
  <c r="M24" i="2"/>
  <c r="M26" i="2"/>
  <c r="K30" i="2"/>
  <c r="K32" i="2"/>
  <c r="J34" i="2"/>
  <c r="I36" i="2"/>
  <c r="I38" i="2"/>
  <c r="I40" i="2"/>
  <c r="G42" i="2"/>
  <c r="G44" i="2"/>
  <c r="M45" i="2"/>
  <c r="M47" i="2"/>
  <c r="M49" i="2"/>
  <c r="M51" i="2"/>
  <c r="I8" i="2"/>
  <c r="K29" i="2"/>
  <c r="M46" i="2"/>
  <c r="J4" i="2"/>
  <c r="H45" i="2"/>
  <c r="J45" i="2"/>
  <c r="J3" i="2"/>
  <c r="J5" i="2"/>
  <c r="J7" i="2"/>
  <c r="J9" i="2"/>
  <c r="I11" i="2"/>
  <c r="I13" i="2"/>
  <c r="I15" i="2"/>
  <c r="I17" i="2"/>
  <c r="I19" i="2"/>
  <c r="I21" i="2"/>
  <c r="G23" i="2"/>
  <c r="L23" i="2" s="1"/>
  <c r="G25" i="2"/>
  <c r="L25" i="2" s="1"/>
  <c r="G27" i="2"/>
  <c r="M28" i="2"/>
  <c r="M30" i="2"/>
  <c r="M32" i="2"/>
  <c r="K34" i="2"/>
  <c r="J36" i="2"/>
  <c r="J38" i="2"/>
  <c r="J40" i="2"/>
  <c r="H42" i="2"/>
  <c r="H44" i="2"/>
  <c r="G46" i="2"/>
  <c r="G48" i="2"/>
  <c r="G50" i="2"/>
  <c r="M2" i="2"/>
  <c r="L2" i="2" s="1"/>
  <c r="H16" i="2"/>
  <c r="K31" i="2"/>
  <c r="G43" i="2"/>
  <c r="G2" i="2"/>
  <c r="I14" i="2"/>
  <c r="I20" i="2"/>
  <c r="J37" i="2"/>
  <c r="I51" i="2"/>
  <c r="K3" i="2"/>
  <c r="K5" i="2"/>
  <c r="K7" i="2"/>
  <c r="K9" i="2"/>
  <c r="J11" i="2"/>
  <c r="J13" i="2"/>
  <c r="J15" i="2"/>
  <c r="J17" i="2"/>
  <c r="J19" i="2"/>
  <c r="J21" i="2"/>
  <c r="H23" i="2"/>
  <c r="H25" i="2"/>
  <c r="H27" i="2"/>
  <c r="G29" i="2"/>
  <c r="G31" i="2"/>
  <c r="L31" i="2" s="1"/>
  <c r="G33" i="2"/>
  <c r="K36" i="2"/>
  <c r="K38" i="2"/>
  <c r="K40" i="2"/>
  <c r="I42" i="2"/>
  <c r="I44" i="2"/>
  <c r="H46" i="2"/>
  <c r="H48" i="2"/>
  <c r="H50" i="2"/>
  <c r="K2" i="2"/>
  <c r="I4" i="2"/>
  <c r="H20" i="2"/>
  <c r="I37" i="2"/>
  <c r="I12" i="2"/>
  <c r="M29" i="2"/>
  <c r="G47" i="2"/>
  <c r="I47" i="2"/>
  <c r="M3" i="2"/>
  <c r="M5" i="2"/>
  <c r="M7" i="2"/>
  <c r="K11" i="2"/>
  <c r="K13" i="2"/>
  <c r="K15" i="2"/>
  <c r="K17" i="2"/>
  <c r="K19" i="2"/>
  <c r="K21" i="2"/>
  <c r="I23" i="2"/>
  <c r="I25" i="2"/>
  <c r="I27" i="2"/>
  <c r="H29" i="2"/>
  <c r="H31" i="2"/>
  <c r="H33" i="2"/>
  <c r="M34" i="2"/>
  <c r="M36" i="2"/>
  <c r="L36" i="2" s="1"/>
  <c r="M38" i="2"/>
  <c r="J42" i="2"/>
  <c r="J44" i="2"/>
  <c r="I46" i="2"/>
  <c r="I48" i="2"/>
  <c r="I50" i="2"/>
  <c r="J2" i="2"/>
  <c r="H18" i="2"/>
  <c r="M27" i="2"/>
  <c r="I35" i="2"/>
  <c r="M50" i="2"/>
  <c r="I18" i="2"/>
  <c r="G28" i="2"/>
  <c r="J39" i="2"/>
  <c r="K41" i="2"/>
  <c r="G4" i="2"/>
  <c r="G6" i="2"/>
  <c r="G8" i="2"/>
  <c r="M9" i="2"/>
  <c r="M11" i="2"/>
  <c r="M13" i="2"/>
  <c r="M15" i="2"/>
  <c r="M17" i="2"/>
  <c r="M19" i="2"/>
  <c r="J23" i="2"/>
  <c r="J25" i="2"/>
  <c r="J27" i="2"/>
  <c r="I29" i="2"/>
  <c r="I31" i="2"/>
  <c r="I33" i="2"/>
  <c r="G35" i="2"/>
  <c r="G37" i="2"/>
  <c r="L37" i="2" s="1"/>
  <c r="G39" i="2"/>
  <c r="M40" i="2"/>
  <c r="K42" i="2"/>
  <c r="K44" i="2"/>
  <c r="J46" i="2"/>
  <c r="J48" i="2"/>
  <c r="J50" i="2"/>
  <c r="I2" i="2"/>
  <c r="H14" i="2"/>
  <c r="K33" i="2"/>
  <c r="M48" i="2"/>
  <c r="I16" i="2"/>
  <c r="H22" i="2"/>
  <c r="J35" i="2"/>
  <c r="G49" i="2"/>
  <c r="L49" i="2" s="1"/>
  <c r="M39" i="2"/>
  <c r="H4" i="2"/>
  <c r="H6" i="2"/>
  <c r="H8" i="2"/>
  <c r="G10" i="2"/>
  <c r="L10" i="2" s="1"/>
  <c r="G12" i="2"/>
  <c r="L12" i="2" s="1"/>
  <c r="G14" i="2"/>
  <c r="G16" i="2"/>
  <c r="G18" i="2"/>
  <c r="L18" i="2" s="1"/>
  <c r="G20" i="2"/>
  <c r="M21" i="2"/>
  <c r="K23" i="2"/>
  <c r="K25" i="2"/>
  <c r="K27" i="2"/>
  <c r="J29" i="2"/>
  <c r="J31" i="2"/>
  <c r="J33" i="2"/>
  <c r="H35" i="2"/>
  <c r="H37" i="2"/>
  <c r="H39" i="2"/>
  <c r="G41" i="2"/>
  <c r="L41" i="2" s="1"/>
  <c r="M42" i="2"/>
  <c r="M44" i="2"/>
  <c r="K46" i="2"/>
  <c r="K48" i="2"/>
  <c r="K50" i="2"/>
  <c r="H2" i="2"/>
  <c r="H10" i="2"/>
  <c r="G22" i="2"/>
  <c r="L22" i="2" s="1"/>
  <c r="I39" i="2"/>
  <c r="J8" i="2"/>
  <c r="G26" i="2"/>
  <c r="I41" i="2"/>
  <c r="M35" i="2"/>
  <c r="K4" i="2"/>
  <c r="K6" i="2"/>
  <c r="K8" i="2"/>
  <c r="J10" i="2"/>
  <c r="J12" i="2"/>
  <c r="J14" i="2"/>
  <c r="J16" i="2"/>
  <c r="J18" i="2"/>
  <c r="J20" i="2"/>
  <c r="I22" i="2"/>
  <c r="H24" i="2"/>
  <c r="H26" i="2"/>
  <c r="H28" i="2"/>
  <c r="G30" i="2"/>
  <c r="G32" i="2"/>
  <c r="L32" i="2" s="1"/>
  <c r="M33" i="2"/>
  <c r="K35" i="2"/>
  <c r="K37" i="2"/>
  <c r="K39" i="2"/>
  <c r="J41" i="2"/>
  <c r="I43" i="2"/>
  <c r="I45" i="2"/>
  <c r="H47" i="2"/>
  <c r="H49" i="2"/>
  <c r="H51" i="2"/>
  <c r="M4" i="2"/>
  <c r="M6" i="2"/>
  <c r="M8" i="2"/>
  <c r="K10" i="2"/>
  <c r="K12" i="2"/>
  <c r="K14" i="2"/>
  <c r="K16" i="2"/>
  <c r="K18" i="2"/>
  <c r="K20" i="2"/>
  <c r="J22" i="2"/>
  <c r="I24" i="2"/>
  <c r="I26" i="2"/>
  <c r="I28" i="2"/>
  <c r="H30" i="2"/>
  <c r="H32" i="2"/>
  <c r="G34" i="2"/>
  <c r="L34" i="2" s="1"/>
  <c r="I49" i="2"/>
  <c r="A1" i="2"/>
  <c r="L43" i="2" l="1"/>
  <c r="L30" i="2"/>
  <c r="L6" i="2"/>
  <c r="L47" i="2"/>
  <c r="L20" i="2"/>
  <c r="L45" i="2"/>
  <c r="L38" i="2"/>
  <c r="L50" i="2"/>
  <c r="L33" i="2"/>
  <c r="L44" i="2"/>
  <c r="L46" i="2"/>
  <c r="L27" i="2"/>
  <c r="L42" i="2"/>
  <c r="L28" i="2"/>
  <c r="L48" i="2"/>
  <c r="L40" i="2"/>
  <c r="L16" i="2"/>
  <c r="L51" i="2"/>
  <c r="L14" i="2"/>
  <c r="L39" i="2"/>
  <c r="L21" i="2"/>
  <c r="L19" i="2"/>
  <c r="L35" i="2"/>
  <c r="L26" i="2"/>
  <c r="L17" i="2"/>
  <c r="L9" i="2"/>
  <c r="L8" i="2"/>
  <c r="L24" i="2"/>
  <c r="L15" i="2"/>
  <c r="L7" i="2"/>
  <c r="L29" i="2"/>
  <c r="L13" i="2"/>
  <c r="L5" i="2"/>
  <c r="E6" i="3"/>
  <c r="L4" i="2"/>
  <c r="L11" i="2"/>
  <c r="L3" i="2"/>
  <c r="F16" i="3"/>
  <c r="F20" i="3"/>
  <c r="F22" i="3"/>
  <c r="F24" i="3"/>
  <c r="F26" i="3"/>
  <c r="F38" i="3"/>
  <c r="F40" i="3"/>
  <c r="F42" i="3"/>
  <c r="F44" i="3"/>
  <c r="F46" i="3"/>
  <c r="G8" i="3"/>
  <c r="G14" i="3"/>
  <c r="G16" i="3"/>
  <c r="G18" i="3"/>
  <c r="G20" i="3"/>
  <c r="G22" i="3"/>
  <c r="G24" i="3"/>
  <c r="G30" i="3"/>
  <c r="G32" i="3"/>
  <c r="G36" i="3"/>
  <c r="G38" i="3"/>
  <c r="G40" i="3"/>
  <c r="G42" i="3"/>
  <c r="G44" i="3"/>
  <c r="G46" i="3"/>
  <c r="F48" i="3"/>
  <c r="H8" i="3"/>
  <c r="H10" i="3"/>
  <c r="H12" i="3"/>
  <c r="H14" i="3"/>
  <c r="H16" i="3"/>
  <c r="H18" i="3"/>
  <c r="H20" i="3"/>
  <c r="H24" i="3"/>
  <c r="H26" i="3"/>
  <c r="H30" i="3"/>
  <c r="H32" i="3"/>
  <c r="H34" i="3"/>
  <c r="H36" i="3"/>
  <c r="H38" i="3"/>
  <c r="H40" i="3"/>
  <c r="H42" i="3"/>
  <c r="G48" i="3"/>
  <c r="G50" i="3"/>
  <c r="I4" i="3"/>
  <c r="I6" i="3"/>
  <c r="I8" i="3"/>
  <c r="I10" i="3"/>
  <c r="I12" i="3"/>
  <c r="I14" i="3"/>
  <c r="I16" i="3"/>
  <c r="I18" i="3"/>
  <c r="I22" i="3"/>
  <c r="I24" i="3"/>
  <c r="I26" i="3"/>
  <c r="I28" i="3"/>
  <c r="I30" i="3"/>
  <c r="I32" i="3"/>
  <c r="I34" i="3"/>
  <c r="I36" i="3"/>
  <c r="I40" i="3"/>
  <c r="I42" i="3"/>
  <c r="I44" i="3"/>
  <c r="I46" i="3"/>
  <c r="H48" i="3"/>
  <c r="H50" i="3"/>
  <c r="H52" i="3"/>
  <c r="I48" i="3"/>
  <c r="I50" i="3"/>
  <c r="I52" i="3"/>
  <c r="F5" i="3"/>
  <c r="F7" i="3"/>
  <c r="F9" i="3"/>
  <c r="F11" i="3"/>
  <c r="F13" i="3"/>
  <c r="F15" i="3"/>
  <c r="F17" i="3"/>
  <c r="F19" i="3"/>
  <c r="F21" i="3"/>
  <c r="F23" i="3"/>
  <c r="F25" i="3"/>
  <c r="F27" i="3"/>
  <c r="F29" i="3"/>
  <c r="F31" i="3"/>
  <c r="F33" i="3"/>
  <c r="F35" i="3"/>
  <c r="F37" i="3"/>
  <c r="F39" i="3"/>
  <c r="F41" i="3"/>
  <c r="F43" i="3"/>
  <c r="F45" i="3"/>
  <c r="G5" i="3"/>
  <c r="G7" i="3"/>
  <c r="G9" i="3"/>
  <c r="G11" i="3"/>
  <c r="G13" i="3"/>
  <c r="G15" i="3"/>
  <c r="G17" i="3"/>
  <c r="G19" i="3"/>
  <c r="G21" i="3"/>
  <c r="G23" i="3"/>
  <c r="G25" i="3"/>
  <c r="G27" i="3"/>
  <c r="G29" i="3"/>
  <c r="G31" i="3"/>
  <c r="G33" i="3"/>
  <c r="G35" i="3"/>
  <c r="G37" i="3"/>
  <c r="G39" i="3"/>
  <c r="G41" i="3"/>
  <c r="G43" i="3"/>
  <c r="G45" i="3"/>
  <c r="F47" i="3"/>
  <c r="F49" i="3"/>
  <c r="F51" i="3"/>
  <c r="H5" i="3"/>
  <c r="H7" i="3"/>
  <c r="H9" i="3"/>
  <c r="H11" i="3"/>
  <c r="H13" i="3"/>
  <c r="H15" i="3"/>
  <c r="H17" i="3"/>
  <c r="H19" i="3"/>
  <c r="H21" i="3"/>
  <c r="H23" i="3"/>
  <c r="H25" i="3"/>
  <c r="H27" i="3"/>
  <c r="H29" i="3"/>
  <c r="H31" i="3"/>
  <c r="H33" i="3"/>
  <c r="H35" i="3"/>
  <c r="H37" i="3"/>
  <c r="H39" i="3"/>
  <c r="H41" i="3"/>
  <c r="H43" i="3"/>
  <c r="H45" i="3"/>
  <c r="G47" i="3"/>
  <c r="G49" i="3"/>
  <c r="G51" i="3"/>
  <c r="G3" i="3"/>
  <c r="I5" i="3"/>
  <c r="I7" i="3"/>
  <c r="I9" i="3"/>
  <c r="I11" i="3"/>
  <c r="I13" i="3"/>
  <c r="I15" i="3"/>
  <c r="I17" i="3"/>
  <c r="I19" i="3"/>
  <c r="I21" i="3"/>
  <c r="I23" i="3"/>
  <c r="I25" i="3"/>
  <c r="I27" i="3"/>
  <c r="I29" i="3"/>
  <c r="I31" i="3"/>
  <c r="I33" i="3"/>
  <c r="I35" i="3"/>
  <c r="I37" i="3"/>
  <c r="I39" i="3"/>
  <c r="I41" i="3"/>
  <c r="I43" i="3"/>
  <c r="I45" i="3"/>
  <c r="H47" i="3"/>
  <c r="H49" i="3"/>
  <c r="H51" i="3"/>
  <c r="H3" i="3"/>
  <c r="I47" i="3"/>
  <c r="I49" i="3"/>
  <c r="I51" i="3"/>
  <c r="I3" i="3"/>
  <c r="G6" i="3"/>
  <c r="G10" i="3"/>
  <c r="G26" i="3"/>
  <c r="G34" i="3"/>
  <c r="F8" i="3"/>
  <c r="F36" i="3"/>
  <c r="H4" i="3"/>
  <c r="H28" i="3"/>
  <c r="H44" i="3"/>
  <c r="F6" i="3"/>
  <c r="F10" i="3"/>
  <c r="F14" i="3"/>
  <c r="F18" i="3"/>
  <c r="F30" i="3"/>
  <c r="F34" i="3"/>
  <c r="F50" i="3"/>
  <c r="H22" i="3"/>
  <c r="H46" i="3"/>
  <c r="F4" i="3"/>
  <c r="F28" i="3"/>
  <c r="I38" i="3"/>
  <c r="G4" i="3"/>
  <c r="G12" i="3"/>
  <c r="G28" i="3"/>
  <c r="G52" i="3"/>
  <c r="F12" i="3"/>
  <c r="F32" i="3"/>
  <c r="F52" i="3"/>
  <c r="I20" i="3"/>
  <c r="K36" i="3" l="1"/>
  <c r="F3" i="3"/>
  <c r="K4" i="3"/>
  <c r="H6" i="3"/>
  <c r="E3" i="3"/>
  <c r="K45" i="3"/>
  <c r="K13" i="3"/>
  <c r="K22" i="3"/>
  <c r="K33" i="3"/>
  <c r="K19" i="3"/>
  <c r="K6" i="3"/>
  <c r="K51" i="3"/>
  <c r="K35" i="3"/>
  <c r="K23" i="3"/>
  <c r="K3" i="3"/>
  <c r="K12" i="3"/>
  <c r="K48" i="3"/>
  <c r="K38" i="3"/>
  <c r="K25" i="3"/>
  <c r="K46" i="3"/>
  <c r="K26" i="3"/>
  <c r="K24" i="3"/>
  <c r="K52" i="3"/>
  <c r="K40" i="3"/>
  <c r="K9" i="3"/>
  <c r="K34" i="3"/>
  <c r="K39" i="3"/>
  <c r="K21" i="3"/>
  <c r="K15" i="3"/>
  <c r="K32" i="3"/>
  <c r="K47" i="3"/>
  <c r="K44" i="3"/>
  <c r="K42" i="3"/>
  <c r="K49" i="3"/>
  <c r="K8" i="3"/>
  <c r="K30" i="3"/>
  <c r="K37" i="3"/>
  <c r="K50" i="3"/>
  <c r="K7" i="3"/>
  <c r="K18" i="3"/>
  <c r="K43" i="3"/>
  <c r="K20" i="3"/>
  <c r="K10" i="3"/>
  <c r="K41" i="3"/>
  <c r="K31" i="3"/>
  <c r="K29" i="3"/>
  <c r="K27" i="3"/>
  <c r="K28" i="3"/>
  <c r="K17" i="3"/>
  <c r="K11" i="3"/>
  <c r="K5" i="3"/>
  <c r="K14" i="3"/>
  <c r="K16" i="3"/>
  <c r="E24" i="3" l="1"/>
  <c r="J24" i="3"/>
  <c r="E33" i="3"/>
  <c r="J33" i="3"/>
  <c r="E43" i="3"/>
  <c r="J43" i="3"/>
  <c r="E8" i="3"/>
  <c r="J8" i="3"/>
  <c r="J15" i="3"/>
  <c r="E15" i="3"/>
  <c r="E16" i="3"/>
  <c r="J16" i="3"/>
  <c r="E14" i="3"/>
  <c r="J14" i="3"/>
  <c r="E11" i="3"/>
  <c r="J11" i="3"/>
  <c r="E28" i="3"/>
  <c r="J28" i="3"/>
  <c r="J45" i="3"/>
  <c r="E45" i="3"/>
  <c r="E31" i="3"/>
  <c r="J31" i="3"/>
  <c r="E10" i="3"/>
  <c r="J10" i="3"/>
  <c r="J19" i="3"/>
  <c r="E19" i="3"/>
  <c r="J7" i="3"/>
  <c r="E7" i="3"/>
  <c r="E42" i="3"/>
  <c r="J42" i="3"/>
  <c r="J9" i="3"/>
  <c r="E9" i="3"/>
  <c r="J40" i="3"/>
  <c r="E40" i="3"/>
  <c r="J26" i="3"/>
  <c r="E26" i="3"/>
  <c r="J25" i="3"/>
  <c r="E25" i="3"/>
  <c r="E48" i="3"/>
  <c r="J48" i="3"/>
  <c r="E12" i="3"/>
  <c r="J12" i="3"/>
  <c r="J13" i="3"/>
  <c r="E13" i="3"/>
  <c r="E47" i="3"/>
  <c r="J47" i="3"/>
  <c r="J39" i="3"/>
  <c r="E39" i="3"/>
  <c r="J5" i="3"/>
  <c r="E5" i="3"/>
  <c r="J17" i="3"/>
  <c r="E17" i="3"/>
  <c r="J29" i="3"/>
  <c r="E29" i="3"/>
  <c r="J41" i="3"/>
  <c r="E41" i="3"/>
  <c r="E18" i="3"/>
  <c r="J18" i="3"/>
  <c r="J49" i="3"/>
  <c r="E49" i="3"/>
  <c r="J32" i="3"/>
  <c r="E32" i="3"/>
  <c r="E35" i="3"/>
  <c r="J35" i="3"/>
  <c r="E37" i="3"/>
  <c r="J37" i="3"/>
  <c r="J51" i="3"/>
  <c r="E51" i="3"/>
  <c r="J27" i="3"/>
  <c r="E27" i="3"/>
  <c r="J20" i="3"/>
  <c r="E20" i="3"/>
  <c r="J6" i="3"/>
  <c r="E50" i="3"/>
  <c r="J50" i="3"/>
  <c r="E30" i="3"/>
  <c r="J30" i="3"/>
  <c r="E44" i="3"/>
  <c r="J44" i="3"/>
  <c r="J21" i="3"/>
  <c r="E21" i="3"/>
  <c r="E34" i="3"/>
  <c r="J34" i="3"/>
  <c r="E52" i="3"/>
  <c r="J52" i="3"/>
  <c r="E22" i="3"/>
  <c r="J22" i="3"/>
  <c r="J36" i="3"/>
  <c r="E36" i="3"/>
  <c r="J46" i="3"/>
  <c r="E46" i="3"/>
  <c r="J38" i="3"/>
  <c r="E38" i="3"/>
  <c r="E4" i="3"/>
  <c r="J4" i="3"/>
  <c r="J3" i="3"/>
  <c r="J23" i="3"/>
  <c r="E23" i="3"/>
</calcChain>
</file>

<file path=xl/comments1.xml><?xml version="1.0" encoding="utf-8"?>
<comments xmlns="http://schemas.openxmlformats.org/spreadsheetml/2006/main">
  <authors>
    <author>作者</author>
  </authors>
  <commentList>
    <comment ref="A1" authorId="0" shapeId="0">
      <text>
        <r>
          <rPr>
            <sz val="10"/>
            <rFont val="等线"/>
            <family val="3"/>
            <charset val="134"/>
          </rPr>
          <t>UEsDBBQACAgIAO10ClcAAAAAAAAAAAAAAAABAAAAMMWdaXNlx3Gm9Xl+RUd/ZkbUmlmFb9Ria6Ekh0hZUjgcE7VkNRFCAz1otGSGQhEjWxyZtjaHVouiZY3FMTVaacmjzaL+DNFk/4vJAkCy0bgX516gTx2RBNWXWM59UVWZb1XmU+9777vf9d/e9a53fe4m/82dg8Oj9xzst91bN3c+d7NyS/f2jp5K+7fupVt8c+dm2b/5xM26e/fOXnruwwe1v1Rvvzcd8V15fffuk3fLzZ2W9u5y/9P7dyu/ey/tf/rmztHhPXnp3l1+6t5+Ojz7nM8/cfYTn9k92uOP3jnaPdjvPzbt7Z288r49vs37R3ff/pbl4N7+0eFzb/+58t1yuHv2dac/oh3y/7jH++W5t16QZ9g/2m27fPjWK3fT7Tt7/PY3uct7XI64nvzID/FzT+3ePbq581c3D/nu0cEhfyTd5pun31f+dW9/9+hmfxB5638tX3tw77C8862OUt47/YK3Xumff/ftt3+nilJdrXcEuM1Hh7si2l997uZ/l/+a3rt76+QrzBM3M9/a3T/97JtGaaWscf1nPyu/Dv4Yl4PDKl/312dPs3PzaaXReR3kc3j/9CluPvXh9914cu/e7d39e7d3bjx9dFA+vXPjmYOjtLdz4xMHh3v15JM/3t/Vzs2jg/7blV9J2q9c334P/DdHh6kcPZNuPSzyzR39xM1bhwf37pz8h7PP/TQ/10dJciWbxOCKbeBaC5B8jeCbLVmxjr52TffffsYH33hp5/j33zj+2Xd3jr/+92/+/Ic7x8+/8sbX/04+6ezXcE5R+aLjr79y8/NPXC6ajjGIbn4D0eKmor3v3uHBHZ5HNUXUUiPwxCIdZ4LUcgVjVStOnpI4Tqh2/6f/fv/X/zFKNaM2Ve3Ju7tpFs2Y0ZKxEUKLfbgZB7mpBM7mZhB9ld/thGav//57j0UzrY3dQDO9qWYfkYXx2RtP3mZZH+YRz2JMCi1CIbbgUDeImBM0JcLZZlVuU+Idf/k7b7z21Wvrt/nyZsym+v05H95O+8/NolxFbIFkqjqrPLiEDKmEAD6k2BRV0/TkAvfab45f/OMw2eymsj19cE+G3YfkieYZdNpLcODswFSFssqlCkmeD3SLKeZkggo0Id2DH/x4pHRu4xnLR8/yoSQ89e4s0iFioIQSUWVignNoZdRRAqOViyY4jyVMSPfmV35z/Pwvh0nnN5Xu408/OYtkRJlCNATBhwIu9EhRjYGSqlLyq42VzYRksr6NHG24qWQfTKLOLKJF7ZtLXoPBKlO0BgmqSiYrcy2SpESvTiL/pYnId16+//2fDhONNl7dPsviB2ZRLQddU9Qy1FyPCU3WtFSdArRaSfZr0gZD7Z/+5fj53w5TbWOn8PEPzaJYQJNKlJRNHiVK8tYKSPiMkLhxStrLoKtT69k/vjpycm5sE97Ne7d2792eJ4Jq47MLHjwGI8mHKRCCS0C2xJK1zFzTpqbnL755/Pc/vv+d/zdKObuxVXj6TtqdZ4ISRQmcWUm6S1VigUPIXqyp64ZHrGkuFqeG28t/euNrP3vjhX8eptvGduHp3f1b6U5/oHnGHHPwukJGI4o5L3EUrQHSYhhcTE0XOzXmvv3L43/41+OXfjhMu42twgfk4zxGgWIytboMGLm7UmcgRLLAlrWJUemgpozC/S9+7fhH/y7TdZhuG3uFD6e99Nxc1l7ZamKuBKawxFMiksGHBZSpNmntHWU3ZRR+/NP7L70sk1Y8/rXVs7LumsvU+yBGifXhkqj6gf3P8L48wnNvK/hM2v1s2n/ixnue3d2faYdE5mdOOULxWmau1ZLMhWrF5AdGr3WQX/nUDslvfyZB9vhrv7z/u9eGDcJp13UWY3duPLl/9Fk+vDOLfCnUpjF6yK52A+HFriqWsGuoEhov0XatXX07yu4c//yFN1743fFXfnL/n38+TMFp8yWuS2RMe0e7t+cKHOgwthoVREyimk1KkpVIEAuWVLRPta31EqfOa+f4N78+/uU33/jeF+//07g1cNqGnSQqXb7DwnsHM83e6HV0pA2oIkHEMXmITlWQvAVjdBW5rjUVbycrJwr+8F/e+ON3Hvztvw1TcNqTvaXg7l5OB/NsqWfPKkuqXKOse85VGX2aLcjzBZujMcGv3TF5R777v/iWDEAR8cEX/3aYfNPm7GyDUwQ87Odk82x0UmhoxFwYWyR6KK0h+qzBelSqSMLsy3pTe7LDKdHjK29+9dX7//v5YdJNu7SHNjlFvnt359pI8arqhDJnjZUUxsvsDaEkiSDRUNMmabc2+zvd5Nx58KXvH7/66ijp3LRNO4kZkq6UdGueOUtWSXDACpqilTmrxN6qlCCz9a4GErO2NuKeRYw3/+GlbjW+8fIw3aZt2olu7+Wjw4OTE+QZMhXUNbuUIZnG4FKVTKW0Chw0oaR5zYW1g+2tSPv7b/U05bV/HKbbtEU78WZ9sds/mMln1BbJIAJnK+MtUoB+/imOzaDoJ+Mt5LUZ3lvebOeNv/uZBNfH4TM2lW7apZ1udop2B0fP8n6+d3hrFgElvQsxNNNTvCo5ilUy8GT0GWPIUrXUaH2Kd7LjuSNTtUeLfx22N+Cm7cW5GPHn4tJuPSf/zKKgtYWw6ASWE0mcqAGSs6bPX0UWrVO8diP0LE4cP//Cg+/+aph8097i7ezk/en2bENPN5WYJLZyRAWS3jVIWeZuMqY1Krb4kzqGy9KT+6++MHLcbeArzmbt+3nv7u7+rXwwk3Yhq+ZUyDLoqsSLVhuEvskSPBfFrAK7tduhZ9P2zf/8iSTGb7724kgFp33Fxz8k6t3b25tnP0V5il68rHay5DmU9ESMhIbGzdrK7BquXe1OTyvOZBsm2LSTOLfUfWC/PMsH+zf+4uBwnkSFvC2YvQanC/aA6yGxKOiIOFVbE4e15xdnq93rf/jC8W9eGqbgtKF4ayd058YHD549OJxHN11bYLGwzUhscJ4lQOgoy54RIdlXH9ZvRT28E7pz/wfffP2PL45Sz097irMc7ym+JdrNY8X6wXXIIUEpXCRJaWIoZBhCrUbX6JKvZe026DtZnmj4+u9fGabcBq5Clrqndj/Dh3cODuZZ76wIEzAzKC3quSrGLBpjQauWsYq5FVc2sd6Jcm+88OP7//l/hgk3bStO7NhTB/u3brybU3l2HvsfermrpCNc+94n9jLYWKLEi8gZi0pVrd08OXNkD771p+P/GDdVpz3FmW53bzwp32iP5yl0Ug6DDWLE5KEcuGwixKoyRK3I6WAUTm4B3P/1i/dfeuGNHww74fbTjuJEuw8f5N29efbaszeajHaQWvXgSsS+cyIhVrmE1VSTbJraOfnqT/qpxbjsxE87iZNCp50bH0m3Dp6bZwsgRy7VZQ2h9V3OigkCio7aVxN11mIX1x/ynFQ67Rx//SvHX/vR8avDtk78tJM4GW8f4c/e+OjhHqf9eeaqpB2oe1GACUH17boMOUhy52usxUjYDXFtEfFbc/Xbvzx++eXuJF74xTD5pm3EOzldT4VvfGhvLvsvgaGYagukJHHWhV5DJkMOdKxoUFsjTm2jxO74N79+45s/uP/bcSpOe4uHimJ3bnzs4OiID2uapzAqoysJi5EEpcZeH1shF4fQSOYwKpOjWrv+nRbG7jz43Z/eeOF3r//2d8MU3OCw4q3KnrmLfJwY2exsBmwioiseIfnUJPNLMUfriy5rx+Hb1T3j63xww0OLp48kcbm3O88y6GprxTvxF577JmiwEFmicImkAlbtfV27hffW7vv3/+3N3/zi/ne/cf/bwyYwTluMs1PaZw72uM5z4pNYV9uPyaiFviuACiT5k8mbXWyWfHVtvcV455T2he+++dVXj380bAceNz68eOZwVx5onknbIkdnk4NKSeIvi93IbBPohOyTVqWtF++h44vvffHBl7784MXnZezJAjhMwg0MhzjcZ57b5xsi1I1PcJpnb8WUaDBKBqitb6KilywmNg02xMLa62po7fQ9c7n3f/XL+1/4MRy/8oWB6TNOu45zAfgv93bv9l3lmcoFChrrEjeQaNvPbm2ArGIEqoZtNP00qExE4OP/+o4MyDdfe1HEHKbixibkUwefPng23Z7HhrRMJjFGCI7FtZnQQHxbhRgpGRWY3Ppi0TMbcv+V/3v/D9ffoJqsdfwLr9CHy2p8Hq51fLjIcefGh9LBs3d3782UTKdsqbhooVBvwyjNQG6FocmIDIEkSse1SeDDhY47D37y3QcvfnHYELzEzr1n76DP2dOheONg/8Yn0uFh2j8a0cmtY0IkmcGeXE9r/GlPcglBVkRrqJiLh0T3f/XK8f/68ut/+MbxV771OPu5t1DzkoE5qeaMLd4teVNSDlBakkynpzvZSrAuqVhuSN7FixsNq+R8HI3eW8h5ic2blHO23u8QQ669o0+F7PrpkYfQFVXRZhmjuQS+uFyuEvNxdIBvIeYljm9SzPmbwlvvw9UyRGVuSyaErCFUpSDppkJNwVtzsWRy5Ywf3RpOl/jASWHn7BZnow3nqqFG1f2NZwhaxm1PzUMvVDD5YkhaKenQnnG6xBtO6jl3G3m0rGKQmGQRM7jsCMQrMqALhVys2qiLsIxVmo5tJqdLPOP05J+5v1wpSjEmAs+mSurUASQGde9YwlZtC0ibjdOxXeZ0iYmc1HSuxnOddClJxicX7EcKsbe1pgCeUnKEIqm/2DC3Ssux7ed0iZ+c1HK+jnSTMDkfUOQLvQy975Vrl6HZ4HR1UUV/sehmZd40tC+dLvGV0yvofK3qyD5jFjlL9kZsusmQgkmgxaZLQkWY7WZyjm1Yp+t4pJl62JVvumkq4EPvYVdF7KYWu6mDR8NRQj9dPP5auWYO7WSn6xikOZvbbT/bZx1Bp16NndhBTJI6RapYGVsn7Gw200e3uNN1TNJ8Xe+mEhVJjWRykyydmVACketFi9ZRUzJi62b5/PDed7qOUZr3pKwkpUIwDhr63mshcT52nFF12iVTCzp7sbJn5SgdfVgWrmOS5uuT1xhKsZVB+b4xEmqEXj0FPjWM7KrDerGQe6Wgo7vlw3Vc0qwN9EnroihHqGKIxMn7IFG+17e0In9zUGg2S0HHttF/UsknhcsOdSdlnb+rXhnTvJZlFDH2sO8bhCTDl2tQzNEx6s2s0hK99eFKJnRIu31BUbCImpaT75XNEqiaZAOiqGcrCZWfSqeWbboPV/KiI/rwjWIXQ4OospIloOdV9oRoYCpbH5rliQV2wW78cCVXOqRBX7IUGZXUOttWllatc8cZEqCM1pxbMlgn8tVl2/TDlSzq/J372ZUkC2wFb30/C80VYpbglVAb29jaiBNp67L9++FKXnVES7+36IIiDclwP9IzFoI3HkpCrEpWBrvigPR86FqosT9cybQO6vUnifmqQxJirbLAdqJulsQVQkhYnXIlxImT0kU6/i/DFU0ErDkhALrv6BFaqNGJmlkkjS4htE7vdKWJ+5pQcykUQLiSa52dDmAttihvAWouse+rKAgOGxRUKdumCoaJOLUUIyBeyQnMjg2ILAEKNUGJMUuAatQpHxHQZGrkHKVysdTpfKa6HDwgXsm0DuIJpFizD6WAIYn6TnOBlBEBE3OWbLWwu1jReH6oLkQViFcyVgNBA1GyUu2o9C0Byap8Mz2hYqCaOok7xWwnXMAiuIF4JVc1hEBgc6PmrEQm7ICuGiWbKk0Mq2cR2zqv/FSB1BIcgng1RzUITWDkAZuMSGiROhhYAn9SvoDHKBY2h8J+yqwuByiIV3JUszILimmoq2T7JsfUa3p6FZ/2YH3xLoRSHU+sqIuQC+KVPNRYmEH2HDD1+lKb+1GqTrKiRi1pgE9O55aTu1g4vmpFHYs0iFeyUiMoB5q0zHLUYvyLZP7Yt6yCtRBjy6S8eFY9kaguyDqIV3JTA/AHrRYjmb4Hk04K83OBYCuCiayp1uDFBGyarY6FIMSr+anZuQi56hh8Y1CYeuDn1IdoBeOdzVhz50xutKaOpiOgupKhGgFMMKVSLcigFcli2jptshuBkl1xmI2tPLE1tQQ2AdWV3NQQkkKSsUglVCDPWkapzZCKYfGrpSBl4+qKlthVio7mKaC6kpeaG7GgTTZ8QnHPPTpppyEYdJBlRXUmoyp6w32pwaAFVFfyUPOzF1Qs1SaXIKTsT0+pY1IEyaos/5RUcCKBWojAgOpKHmoIlEFrcipHD7p6MVC1eoj9MCVLyFLKVO+nwv1yaAZUVzJQw2gNzso7wd4l2hvkHVoHKeYMNpqkdCVXeGqjf0lmA6oruaqBGAfSWt4Ii6Xyupf2U4RIKCsCW2ysskYzEbMWgjmcUom2N6yj+A4qeCRZb0VY7tYqE2RxAWBKFrfKJVmcaJhajvKA6uoHVbOCH5piDNUGwJOKFcn8ITRPwLXaEilgshehGSsPVsbjH1BdyVwNIELoQmJXuSMiqX/oVcAs7jWwNpYiuTi1YbUYFwL1dQ6s5kRFUJGn407FsTqJvVJ9r6posKxO+iscTe1VLw2MQH01qzWEISG+yvuaEIoPMmiduK6gcoAg2VYzrbCbLAVajiSB+kp+ayRcglAXtsqKU9CmIzxDv0rGQy3F6KJrqVMtVcshJlBfx37NSp1QzSZrbYNQtHiFHFjSLeVAlX56JaZWpYla9sHsiU9FHUhfBg68pEB4JIpCRV+xRQMNmwOnUoNcvJfxG5XSpNVkicBjB1LoGOXnnmxYTQ3Ybdzte9J+4T1JBwaiKWqf894xkO0lQiyGIfcLflJVuXoV2+mcu6Dug2/+zwXRFKi3GbfrdZ0RUpGitjb2ymtne/1F1pBsLxpyLKtDTJ78ymF7QdihkArU2/ja9cLOhqsQB8Ol3/3YYq8UPsFViLjAqQaOKvuWVm50XZB1KK4C9Taedr2s84Mr+tWLVbIu8L5ZcDV7iLEGaDYadE5yhNVFAxfXg8HgCtTbWNv1Es+JsKgpYxTzANxvn3MSfiFYkiyXUq6IhtuKe+hWijsSYYF6G3+7Xtm5YRZMaHIiDbpIHuZq3wOvDaEVLb4Bs1e00u5eUHcozALNNkb3kqVhbqyFM8gmR7DWnFS/9Csoc4KmfciVkz69s3Va3aFYCzTbWN316s4GuCidQS3pV4r9HpRcNORIpfcSGJ0paZVXMgQuqDoUcIFmG5u7XtX5UBccLctaoKDYEwiLWN2cM0JkysVph2XDtHYo6uK0lfQxrLTzQS8KZ8mwmgYq/ejWGBmrwRhgIxmtqRHJrNyovThgR0Iv0DweHzYT/oLFbLnc6zOtSOl06jc1oIYiImvrMXLYbLQOxV+geTwmbE4QRk2BVfEJfOuIAe1kHQgpdxBGRm6id9osnR0NwkDzeIzYfEgMH5JXzlVo3km6ZRv3S5Uz+NrI2cC6rS45uDhoByMx0DweMzbvMSOXaqifg9mmWi+J7TcGKYSQnTZidrVVm2Wzw88YzeMxYvNhMqLrMBfst6ahF2mLg+Rqb+AMVtJxK4vGhtIOxmSgeTxObFZgBpGy1vsOGOs3D0eWJdemBpRzVSzJbUwXb4JdacOGAjM+Fmw0YStaznqB50dnYCu52NpL5IMD17yBpEqDUkuU95oD4sryjov7YOPRGWivaXmHQDQCJ191UECRZKnQMcHJNWTaVrKSmZnAKynD7yi8KEQD7TWd7wCchpHlNjIjeBQfIeuFuN/cKbk1Rq3krWqeMBPL4TTQXtMDDwFroLWu6ZogUS8BUTb3g/QA/RrHXqqgVVlZrPCOwouCNeTxH4/I8yE2bMBQvHhh1bKM4WJ1XyZsvwIjG69D1XUimVgUsYH2ms54BGyDmi6ZTlBG3A8lxMpJLpyBs0S6ZlXkOOXiloFtoL2mRR6F3dClBqUb2JhCPwWu0BMIkCy59Ws2vUsTh5VLYDfQXtMjzw7g6IULLdRwWuDsvGVItt+sHm0rhqg1nsiFFwJw4GWXkmws7ZwojpJ9Je8U1Bb6ulsQkiEGjtbWgLLwru4cu5g7DEZxoL2mP54dypESasVORq2h2g8lEHLr8EPjNGprQzYTo3Y5KAfaazq4QXgOW1RrHhGi7RdCW28h9UPhfh5ko6waiiZW3IXwHOiuad5Ggjqcaq5qA+jI9tHcIJhezOALN51qk/C2UVgbCupAd03nNgTZQc461a9qpBQ7a9YZiBiCxDdu1iTFLUzVMiyA7EB3Xdc2CN6hjU0Vs4Wi+22Opsn6kFKBYqM8QC90cBMp73LwDnTXdG2zYjxcFSuMGqGpHHtXRL+VJ3iw/XoJTSrEuhKO+pBhWwDjge6aPm0s0ENVr5TzGlrf+nUsC0PoxQ0xqNSMdZr0ZivvUKAHumvatRFoD5d7ibmvwIZkZfBoIDVW8sdqWgku6bay/+whaRdDe8hfjyX3nRPy4RqiTkGBKeQ73StCLCWCaFuUzj6F1f09q7LfoZAPSXKuv+zOi/tIoZbqIoJlXc/GrnOtn8mT5AylY+k2WnuH4z7cNU3bCPBHrqgy5QxGEjPoYRg6lRJ88KrbCutWX0hzwRKPBX+4azq2IQiQprXr7X1Aqpfu1tBXBYugqBpjonN5NZj2grbDESD+mn5tbhhIMjH1e76g1Z4qxN7a04n1zBEVU0Aqmx0CDYeB+Gv6tPmxIDqETM4h1MIGJDWgkzsAJCGrJYSotbcTm2RLYUH8NX3aEECIzdVoQoTsOraSKfULbDRkkmWhNFWobbYHuQQgxF/TpA1DhejmKUSfgWLtBSXFQGwZwXiffCyqeDWh8rKoEH9N5zYQGiKSVs/FgRUDB87FKGux1VB1sBRyVG1q12EpaMhWjayr7PEofEgINkqS5oGd76M5eMheSfTTlZPEvZppZX/7Q0vycvgQ/zgO3GYFifhUmmnGAoak+r566Kg2AyUnG1O1MeSJ4/gFQSL+mgZufqQI2iRjN3mwIbd+ZVsR75Y1BNdM4oRo1cTR0IJIEf94Dt7mhItES05ZSSaS79T2PpBjwAYsC7C3bIqsEBsfvS0DF/HXtXNDMCMtcGnaEmTumBFOFSL6Cib0NsHsCCcH8oKYka3udZtKKWYGjpSoYuOcJTXOSZTWDYLGDJpNCgmVKTTROLggcAQfj8WbFT3ChvvS2zkuoV/ypA1IIiGZm1bc8Q7p9J1Om7xR6JEntfJ2O0DhqlLrkRASZpW5yJIcNEvcy9ybXSKD0pGdJoVq9UVa72j82CEkWwziS7z0qcLv5b2+7yvynuYPM0NHgkvOYu/KMienQ+ghtNgZJJK+uWrFPV/cTDt+/mWRchncCF7ilS9RcEa8iFEyg7jfk3Eav7gnCtpCCq4yFxX8ipbB8xKOBYvgJS74EglnA4lQbqUYK4pF48SHiQWLvZvNcS5W1n0JVhePIs4LOBYhgpesl5cIOD8ypBkJ54wGlGoymxVnCL2M1JPtl2UaSWgvOtpHZvNoWAheYmQvEXNOOEgJrd/KhkAp9DvbCSVjMuIEiGLUxRutL9YlPCLjUCwIXuJWL9FwbgxIKJKBnLSk5pbBeSWZfRIdFUmwtsagcRcLk87rOBYAgpfY0ssm9szAD3GiqWiVoZnmwQWUlKeJ3+fgyWNUSfHUAjkW9YGXGM9LdJwN7UFRqZiwA1Owk5QC5Boc2Ja9lvhCtOKWsPP6jYV60CWm8hL95oN4oEZvnNWgXeevo9aQvWmQI5L3MpejutiB90iOMxTfQZe4xctWxPlwHaFKHhM8Qim9Ize1IJPYyQe0tbWQSlvBVX5kEA4FddDVvMpMYA7SFZWVBDs1K7GkmNprrTLU6EVWXZtd0WX7yBo4FMlBVzMqcyI4VDbVqaLBGCVxxBJDyDpCJ3LlJsk328lZPBq+QVczK/PBNnqzcVU1AopJkXkcZQqXmoApGG1MKnkFx+SRgTgas0FXMyzzHr/lqkMuYlYkOHO/wRchJBtBUuxqMbti3VSWPfzUja5mVuYDaJBpxajkINVeVqJM984YJTC3WFUyuq24W+IREUejM+hqbmVWVEZIVGwOBmQO586DbBKdZVbLJG+pSNxpKxixj1iVoZCMT4oNEDWvlijOD8WwyRrfL5JWOvfb5HRHRWuxLERJGWuV5amdiCVwGLSlARyCv9CqBG+VhpiTBueUrJEsRqYisbdBJ78+bC8LvriM4bJKzgGgi+yMjqQ64TFSv0lKnzaiqZJNiZm98msH5oKIi7DlRB+CtLA5uYbFQmXVefCs+mG5gmqSd5SaGMaLJ7dnWi4Lswhb2sP54RWhYQwusGjZwYMqEwRPEWqxSbsmS+n6tHJZbEXY0ieOwFSItSkpaQWkouSWqnboaO1nW4kqs1NY15/JLASoCFsaxkFACsYYKeteJddb0CV+Q6iUxTmaUBWpEtvaTdxFUBRhS8c4O3rCG2SSdEgWR9WRHiRGx7deCBewGat9xYtVAedDznDoRNjSMc4OmVBFFewhm0q/VtPJh4yOwKecffP9X2sPqpfCS4Qt3eLsOIlS+13OEmRCbUpEtNi3cRNYbqn51rQsm2szyeVAEmFLwzgIHBGiPH2uImTrBa6p226yDKrGnEvKza4/+F8KGRG2NDgjERGyHgbqcBPvay+eapCy8yAmFx0rDna9zVkEDhG2dDdDYBBOFSvhWoMnlmATXYbYqYmYMKmGXJNZb7yXwEDEbZ3NIOxDc1neQi9I4U791Tb2y0U7WqN6pECN41pzsyDwIW7pbGYFPCD5FlONkFTvsMhNQ661AjkZjCkUU1aQSd4yNUugHeKWXmYsysHl1IJqBYzvvIHABYL2ATzWlHr1QsOLXcXnV8ixEIe4paUZAW1gq3Q1rUJOHTpijIWgqsiJMkZjNTHQ2nm9IK4hbulqRuAZDCbfSobcQm8XJpnn3vZTnCgLJRZbV+ClL2STY8EMcVtfMzuIQSlVQ+n4sRA6BAe1hBhyoIt2hgqruuJSxfNr5HAEQ9zS2IxALqSiuBYdwJh+4pCMAskm+y5aq4xZR9XWx+slYAtxS1czBK6QmHRs6MFIriijUcXewaAAKZesqtKmrD1PXAqrELf0NHNjFKrOQVPqV6ZjP/sScxiSzVCr49i0zq5c7FB4ZL9nNEAhbull5gcmqFiw75yBPL8k4Z0LFluKMqlVU9TbauLakbgQKoHUll5mCBqhsJOlLzbA2vmWVSVxhB0AZgI7atY7v9ZXLwdFILWlkRkHQciaK2EEziimRql+l5l2UKJ2liqyWdHktSqBHI0/ILWluxmIO2jFV4o6gkosg7Q0me1KgjkyUdWhxWbXrpkLgQ5IbXtgMwpsoNhYrSQAVc4yQkMykCkn0BYbFZS3V9cXDCyGNCB1lYObWREGzbH14rjBKOpka51OsyFlk7MJuVm1tmZ3OXgBXdbPecnp9oywgmYZk9hEsF6GpcvYL79oCXw/GYu2EdHaWr/lMAWkrnaAMyeWoKaUqzhv8K70i1p87zusFoh9SaE65BVcmItHOIsACUhta3mGAAjIokVUnaShESRHr5CzrJkxumCxNkmg1gb0BdEDpLb0PSNRA7Y6RYFkcJYi8TxJkpQp9WMIb6mFXFbdCXA+ni8AGSB1NRs0K1SAQq6mr51enHkn/4ud9FkDuSgqOutofWo0GCfwKROjUZddRrqyKHUkPoCo5OBaBM391lzsdQQtZoi2lGBcyKegiZVqLgcOIL2Fszy4dzSAHBBZ0iHTMlRDGZxLToal2KBmm83ZtFr8itzoS79fihxAegtD+bCEM6IDtPdREqAEBbWR/FKmdmSrOoJB61iDntZwKDqA9BYO8mENZ2MHiNvG6BCh9B0Ox6ghBGVBZeoXCtcWVtXtn1NwKDuA9Bam8WEF54cHpOhstc5Ay5nBNZnaWcQFZ63JvtmU/Yo4c35CD4YHkN7CMj6s5pz0gJaST52mUk4ydO+5V5gXULGk2AwS1xXd2ud1HEkPIL1FvH5YxLnxAViKix1Go4qhfkNwhUBBQbLZJW1z8XlKyKH4ANJb2MVzc3tmfoBBrywHFJMYXQ/VCNE0AxipykBNntyKo7FzQg7lB5Dewic+LORcAAFPuVFi3e8oKf1UzHaHGCDKVA+hspIJPyHgUIAA6S2s4cMCzkcQ8D0gY1VgVB+DyYk1RC3ZY9ZkfFWa2op9i/OpzkiCAOktrOC5VXE+hIBvHXdW+gUuGGQYtg5B8wQ65GCjijroKQ2HIgTIXNG1zMQQiNpG7kXjkfvdmmSwN4RosEbMYIkUrZ2axkMZAmSuaFnmhAhUykl5nWQiY8fXk4cUigN2Trx11EaC9dREHgwRIHNF2zIfRaCVEFW/ICTGvhyqXq2iWT4EwpZcymXFrUyPDMXBFAEyV7Qu8x521cJZJwksMebe1akLxEAVKmsVyVK/+HlqPI4+6TJXtC3zcQRcdDIIqwVvdIcYGt93xDIEy0ZrH12gFXvg51UczBGgbfYZH1ZxVpCA6bfKGtdAaS3e2ZUkQnqx0hhqpaZ8XHFFwiOmZShI4CltrVJXzbjnJwk4tlHmdwZWqPrtwkUGpXUStJGCjlppntqWWIAkILnFloIOQQmQ8iZrz6ANSthpzkFQSj4U7bJNiUpbG7wXRQmQ2XaADmAJlIQmBYfgQvQdXNrz8UBis52uXmKSW0EuP1NzOZYAmW3N4RCYQHWWIlstyXnPKzFKMoQpQsu+1NTPC3nFwcypmIvCBMhs6xTnpwkYwyVnSc1t72+QYdh635KFFri20rApXtEp8qiYC9AEyG5rGUfgBApj4podZCNrpwudfKgSgleYfb8yDev6HHMZnADZbb3jKJ4AB11ajJCwiZbUzw1dcEAePSqKxa9fNJfgCZDd1jzODhRwWnNjWyA5U3rjcYDQjw1NckVhMEnFtUvlQkABstuax9mJAqXa6Csn4H5q6FLLvUyf+v64QVWNyut30xYiCpDd1jjOjhRIqUZ2HMFjP6RJ3EFfmPqcNi1Udo7XbmQshxQ4Bf5utTqOYQqwEstYlZKpzb3/pk9yDLJYJh/k71zi+oqAhZgCZLe1OgOhAqiCdbU1QNv6jSw1QmZRFmWl7FcJJ7sKQX4u2gyFCpDd1ucMoQr0Qh82UQOfrJD94t0gPgJKUCShSOa4XV9msQBV4LQk7irze26sQGmeizZKckeKnT9nIFouUFKLRYVY2a9oazo3wRfACpDd1uPMyxVwVKut3K8IqR1ygZC0i2C45cCq2rDitte37M0CXAFy27qasWABTCrXzqVKvttFawPEbCOwN8VgLjr4tZUWS4AFyG1rbkaQBUpFq3Ul8BKoZWo3id0mdkR5SrHF5HJdm1AuRxYgt62/GYAW0CjZedMJfOn9IqqTymumzmywYnEaruxZfDSrHIoWILe1w5mdLSAjsuaMCK101gXaJMm5TzK5qSgtyWRYn5wvxBYgt63FGQEX6PUq3Pqd7SgT2pl+x1cJGgLWaF0KoaxqZzjnFYfCBcht62/G0AUy2eJYATWUuF06f67DqYzNRpkYjG5rTxkXoguQ29bdzI0X0KrJsxcD1ddOim0esglGYnfgDpRsev1G+UJ4AXLbupr5+QKFSnImW4kpOoDrO2kp5gSFci1ZUSG91tIsxRdw27qaIYABrTWFXCQbt9GeHnmnFDx4Ep/otWNsa7PHBQEDbltLM4ww4E2z1VUFqPvV3kgKUpOUUuXgfN+abOujzbKEAb+tzxmIGCjsg5HlEaoEm1496URVZUA0JTIcOPn1B4wLIQb81oc4oxgDVGyj2slAvXPWyXSC0O9Ir6ZwB5azDWvVXJAx4K90mDMrZICL8hKJDPT+EJntneqXqgNVMREH7fOqi8HOn0MsABnw29qd+SkDsaXAxBUsFnGNVrL07EqHd5rEQWIS89qjxQUpA/6KhzpzYgZssyq0gKBVv7+zVPHekm+C2EaOWVL1uL6qcnHMgN/a/AzhDFTf75+kCBj6XU2tF2X0rkXJ4Mmq6JV364syFuQM+G0d0EjQgLK9g0QGqkpWkk+dxVKWYIGjD1lFZXl9eeCCoAF/RUM0K2lAleYMy4JZWZW+DewlEoUCtRR53Qesq+49PmeJRpEGPonOy/+27i8ZiRro3DXsRaux7xc5XVFyzSKaGsmUGmliWrsfvD1qQLQ52r3Nf3Yo3+5pPjqSKXdz53OiIJdP/2Xa233nneylu0cfzae69///zHN3+gPs9Rf58DPpaPfgxCke5Lt/dnhw++Q3YpQ6bf6WF58+SodHTx6d/qaCDHl9+vozB6efas4+9Q4f7h7Us+9+5+ipsx/7+c//f1BLBwi35YUzqSkAAKFHAQA=</t>
        </r>
      </text>
    </comment>
  </commentList>
</comments>
</file>

<file path=xl/sharedStrings.xml><?xml version="1.0" encoding="utf-8"?>
<sst xmlns="http://schemas.openxmlformats.org/spreadsheetml/2006/main" count="1376" uniqueCount="847">
  <si>
    <t>LME铝:库存:合计:欧洲</t>
  </si>
  <si>
    <t>LME铝:库存:合计:亚洲</t>
  </si>
  <si>
    <t>LME铝:库存:合计:北美洲</t>
  </si>
  <si>
    <t>LME铝:库存:合计:德国</t>
  </si>
  <si>
    <t>LME铝:库存:合计:韩国</t>
  </si>
  <si>
    <t>LME铝:库存:合计:荷兰</t>
  </si>
  <si>
    <t>LME铝:库存:合计:美国</t>
  </si>
  <si>
    <t>LME铝:库存:合计:日本</t>
  </si>
  <si>
    <t>LME铝:库存:合计:瑞典</t>
  </si>
  <si>
    <t>LME铝:库存:合计:英国</t>
  </si>
  <si>
    <t>LME铝:库存:合计:比利时</t>
  </si>
  <si>
    <t>LME铝:库存:合计:西班牙</t>
  </si>
  <si>
    <t>LME铝:库存:合计:新加坡</t>
  </si>
  <si>
    <t>LME铝:库存:合计:意大利</t>
  </si>
  <si>
    <t>LME铝:库存:合计:马来西亚</t>
  </si>
  <si>
    <t>LME铝:库存:合计:中国台湾</t>
  </si>
  <si>
    <t>LME铝:库存:比利时:安特卫普</t>
  </si>
  <si>
    <t>LME铝:库存:美国:巴尔的摩</t>
  </si>
  <si>
    <t>LME铝:库存:西班牙:巴塞罗那</t>
  </si>
  <si>
    <t>LME铝:库存:西班牙:毕尔巴鄂</t>
  </si>
  <si>
    <t>LME铝:库存:德国:不莱梅</t>
  </si>
  <si>
    <t>LME铝:库存:韩国:釜山</t>
  </si>
  <si>
    <t>LME铝:库存:美国:芝加哥</t>
  </si>
  <si>
    <t>LME铝:库存:美国:底特律</t>
  </si>
  <si>
    <t>LME铝:库存:意大利:热那亚</t>
  </si>
  <si>
    <t>LME铝:库存:瑞典:哥德堡</t>
  </si>
  <si>
    <t>LME铝:库存:韩国:光阳</t>
  </si>
  <si>
    <t>LME铝:库存:德国:汉堡</t>
  </si>
  <si>
    <t>LME铝:库存:瑞典:赫尔辛堡</t>
  </si>
  <si>
    <t>LME铝:库存:英国:赫尔</t>
  </si>
  <si>
    <t>LME铝:库存:韩国:仁川</t>
  </si>
  <si>
    <t>LME铝:库存:马来西亚:柔佛</t>
  </si>
  <si>
    <t>LME铝:库存:意大利:来亨</t>
  </si>
  <si>
    <t>LME铝:库存:英国:利物浦</t>
  </si>
  <si>
    <t>LME铝:库存:美国:长岛</t>
  </si>
  <si>
    <t>LME铝:库存:美国:洛杉矶</t>
  </si>
  <si>
    <t>LME铝:库存:美国:莫比尔</t>
  </si>
  <si>
    <t>LME铝:库存:日本:名古屋</t>
  </si>
  <si>
    <t>LME铝:库存:美国:新奥尔良</t>
  </si>
  <si>
    <t>LME铝:库存:马来西亚:巴生港</t>
  </si>
  <si>
    <t>LME铝:库存:荷兰:鹿特丹</t>
  </si>
  <si>
    <t>LME铝:库存:新加坡:新加坡</t>
  </si>
  <si>
    <t>LME铝:库存:美国:圣路易斯</t>
  </si>
  <si>
    <t>LME铝:库存:西班牙:托莱多</t>
  </si>
  <si>
    <t>LME铝:库存:意大利:的里雅斯特</t>
  </si>
  <si>
    <t>LME铝:库存:荷兰:弗利辛恩</t>
  </si>
  <si>
    <t>LME铝:库存:日本:横滨</t>
  </si>
  <si>
    <t>LME铝:库存:中国台湾:高雄</t>
  </si>
  <si>
    <t>LME铝:注册仓单:合计:全球</t>
  </si>
  <si>
    <t>LME铝:注册仓单:合计:欧洲</t>
  </si>
  <si>
    <t>LME铝:注册仓单:合计:亚洲</t>
  </si>
  <si>
    <t>LME铝:注册仓单:合计:北美洲</t>
  </si>
  <si>
    <t>LME铝:注册仓单:合计:德国</t>
  </si>
  <si>
    <t>LME铝:注册仓单:合计:韩国</t>
  </si>
  <si>
    <t>LME铝:注册仓单:合计:荷兰</t>
  </si>
  <si>
    <t>LME铝:注册仓单:合计:美国</t>
  </si>
  <si>
    <t>LME铝:注册仓单:合计:日本</t>
  </si>
  <si>
    <t>LME铝:注册仓单:合计:瑞典</t>
  </si>
  <si>
    <t>LME铝:注册仓单:合计:英国</t>
  </si>
  <si>
    <t>LME铝:注册仓单:合计:比利时</t>
  </si>
  <si>
    <t>LME铝:注册仓单:合计:西班牙</t>
  </si>
  <si>
    <t>LME铝:注册仓单:合计:新加坡</t>
  </si>
  <si>
    <t>LME铝:注册仓单:合计:意大利</t>
  </si>
  <si>
    <t>LME铝:注册仓单:合计:马来西亚</t>
  </si>
  <si>
    <t>LME铝:注册仓单:合计:中国台湾</t>
  </si>
  <si>
    <t>LME铝:注册仓单:比利时:安特卫普</t>
  </si>
  <si>
    <t>LME铝:注册仓单:美国:巴尔的摩</t>
  </si>
  <si>
    <t>LME铝:注册仓单:西班牙:巴塞罗那</t>
  </si>
  <si>
    <t>LME铝:注册仓单:西班牙:毕尔巴鄂</t>
  </si>
  <si>
    <t>LME铝:注册仓单:德国:不莱梅</t>
  </si>
  <si>
    <t>LME铝:注册仓单:韩国:釜山</t>
  </si>
  <si>
    <t>LME铝:注册仓单:美国:芝加哥</t>
  </si>
  <si>
    <t>LME铝:注册仓单:美国:底特律</t>
  </si>
  <si>
    <t>LME铝:注册仓单:意大利:热那亚</t>
  </si>
  <si>
    <t>LME铝:注册仓单:瑞典:哥德堡</t>
  </si>
  <si>
    <t>LME铝:注册仓单:韩国:光阳</t>
  </si>
  <si>
    <t>LME铝:注册仓单:德国:汉堡</t>
  </si>
  <si>
    <t>LME铝:注册仓单:瑞典:赫尔辛堡</t>
  </si>
  <si>
    <t>LME铝:注册仓单:英国:赫尔</t>
  </si>
  <si>
    <t>LME铝:注册仓单:韩国:仁川</t>
  </si>
  <si>
    <t>LME铝:注册仓单:马来西亚:柔佛</t>
  </si>
  <si>
    <t>LME铝:注册仓单:意大利:来亨</t>
  </si>
  <si>
    <t>LME铝:注册仓单:英国:利物浦</t>
  </si>
  <si>
    <t>LME铝:注册仓单:美国:长岛</t>
  </si>
  <si>
    <t>LME铝:注册仓单:美国:洛杉矶</t>
  </si>
  <si>
    <t>LME铝:注册仓单:美国:莫比尔</t>
  </si>
  <si>
    <t>LME铝:注册仓单:日本:名古屋</t>
  </si>
  <si>
    <t>LME铝:注册仓单:美国:新奥尔良</t>
  </si>
  <si>
    <t>LME铝:注册仓单:马来西亚:巴生港</t>
  </si>
  <si>
    <t>LME铝:注册仓单:荷兰:鹿特丹</t>
  </si>
  <si>
    <t>LME铝:注册仓单:新加坡:新加坡</t>
  </si>
  <si>
    <t>LME铝:注册仓单:美国:圣路易斯</t>
  </si>
  <si>
    <t>LME铝:注册仓单:西班牙:托莱多</t>
  </si>
  <si>
    <t>LME铝:注册仓单:意大利:的里雅斯特</t>
  </si>
  <si>
    <t>LME铝:注册仓单:荷兰:弗利辛恩</t>
  </si>
  <si>
    <t>LME铝:注册仓单:日本:横滨</t>
  </si>
  <si>
    <t>LME铝:注册仓单:中国台湾:高雄</t>
  </si>
  <si>
    <t>LME铝:注销仓单:合计:全球</t>
  </si>
  <si>
    <t>LME铝:注销仓单:合计:欧洲</t>
  </si>
  <si>
    <t>LME铝:注销仓单:合计:亚洲</t>
  </si>
  <si>
    <t>LME铝:注销仓单:合计:北美洲</t>
  </si>
  <si>
    <t>LME铝:注销仓单:合计:德国</t>
  </si>
  <si>
    <t>LME铝:注销仓单:合计:韩国</t>
  </si>
  <si>
    <t>LME铝:注销仓单:合计:荷兰</t>
  </si>
  <si>
    <t>LME铝:注销仓单:合计:美国</t>
  </si>
  <si>
    <t>LME铝:注销仓单:合计:日本</t>
  </si>
  <si>
    <t>LME铝:注销仓单:合计:瑞典</t>
  </si>
  <si>
    <t>LME铝:注销仓单:合计:英国</t>
  </si>
  <si>
    <t>LME铝:注销仓单:合计:比利时</t>
  </si>
  <si>
    <t>LME铝:注销仓单:合计:西班牙</t>
  </si>
  <si>
    <t>LME铝:注销仓单:合计:新加坡</t>
  </si>
  <si>
    <t>LME铝:注销仓单:合计:意大利</t>
  </si>
  <si>
    <t>LME铝:注销仓单:合计:马来西亚</t>
  </si>
  <si>
    <t>LME铝:注销仓单:合计:中国台湾</t>
  </si>
  <si>
    <t>LME铝:注销仓单:比利时:安特卫普</t>
  </si>
  <si>
    <t>LME铝:注销仓单:美国:巴尔的摩</t>
  </si>
  <si>
    <t>LME铝:注销仓单:西班牙:巴塞罗那</t>
  </si>
  <si>
    <t>LME铝:注销仓单:西班牙:毕尔巴鄂</t>
  </si>
  <si>
    <t>LME铝:注销仓单:德国:不莱梅</t>
  </si>
  <si>
    <t>LME铝:注销仓单:韩国:釜山</t>
  </si>
  <si>
    <t>LME铝:注销仓单:美国:芝加哥</t>
  </si>
  <si>
    <t>LME铝:注销仓单:美国:底特律</t>
  </si>
  <si>
    <t>LME铝:注销仓单:意大利:热那亚</t>
  </si>
  <si>
    <t>LME铝:注销仓单:瑞典:哥德堡</t>
  </si>
  <si>
    <t>LME铝:注销仓单:韩国:光阳</t>
  </si>
  <si>
    <t>LME铝:注销仓单:德国:汉堡</t>
  </si>
  <si>
    <t>LME铝:注销仓单:瑞典:赫尔辛堡</t>
  </si>
  <si>
    <t>LME铝:注销仓单:英国:赫尔</t>
  </si>
  <si>
    <t>LME铝:注销仓单:韩国:仁川</t>
  </si>
  <si>
    <t>LME铝:注销仓单:马来西亚:柔佛</t>
  </si>
  <si>
    <t>LME铝:注销仓单:意大利:来亨</t>
  </si>
  <si>
    <t>LME铝:注销仓单:英国:利物浦</t>
  </si>
  <si>
    <t>LME铝:注销仓单:美国:长岛</t>
  </si>
  <si>
    <t>LME铝:注销仓单:美国:洛杉矶</t>
  </si>
  <si>
    <t>LME铝:注销仓单:美国:莫比尔</t>
  </si>
  <si>
    <t>LME铝:注销仓单:日本:名古屋</t>
  </si>
  <si>
    <t>LME铝:注销仓单:美国:新奥尔良</t>
  </si>
  <si>
    <t>LME铝:注销仓单:马来西亚:巴生港</t>
  </si>
  <si>
    <t>LME铝:注销仓单:荷兰:鹿特丹</t>
  </si>
  <si>
    <t>LME铝:注销仓单:新加坡:新加坡</t>
  </si>
  <si>
    <t>LME铝:注销仓单:美国:圣路易斯</t>
  </si>
  <si>
    <t>LME铝:注销仓单:西班牙:托莱多</t>
  </si>
  <si>
    <t>LME铝:注销仓单:意大利:的里雅斯特</t>
  </si>
  <si>
    <t>LME铝:注销仓单:荷兰:弗利辛恩</t>
  </si>
  <si>
    <t>LME铝:注销仓单:日本:横滨</t>
  </si>
  <si>
    <t>LME铝:注销仓单:中国台湾:高雄</t>
  </si>
  <si>
    <t>LME铝:入仓:合计:全球</t>
  </si>
  <si>
    <t>LME铝:入仓:合计:欧洲</t>
  </si>
  <si>
    <t>LME铝:入仓:合计:亚洲</t>
  </si>
  <si>
    <t>LME铝:入仓:合计:北美洲</t>
  </si>
  <si>
    <t>LME铝:入仓:合计:德国</t>
  </si>
  <si>
    <t>LME铝:入仓:合计:韩国</t>
  </si>
  <si>
    <t>LME铝:入仓:合计:荷兰</t>
  </si>
  <si>
    <t>LME铝:入仓:合计:美国</t>
  </si>
  <si>
    <t>LME铝:入仓:合计:日本</t>
  </si>
  <si>
    <t>LME铝:入仓:合计:瑞典</t>
  </si>
  <si>
    <t>LME铝:入仓:合计:英国</t>
  </si>
  <si>
    <t>LME铝:入仓:合计:比利时</t>
  </si>
  <si>
    <t>LME铝:入仓:合计:西班牙</t>
  </si>
  <si>
    <t>LME铝:入仓:合计:新加坡</t>
  </si>
  <si>
    <t>LME铝:入仓:合计:意大利</t>
  </si>
  <si>
    <t>LME铝:入仓:合计:马来西亚</t>
  </si>
  <si>
    <t>LME铝:入仓:合计:中国台湾</t>
  </si>
  <si>
    <t>LME铝:入仓:比利时:安特卫普</t>
  </si>
  <si>
    <t>LME铝:入仓:美国:巴尔的摩</t>
  </si>
  <si>
    <t>LME铝:入仓:西班牙:巴塞罗那</t>
  </si>
  <si>
    <t>LME铝:入仓:西班牙:毕尔巴鄂</t>
  </si>
  <si>
    <t>LME铝:入仓:德国:不莱梅</t>
  </si>
  <si>
    <t>LME铝:入仓:韩国:釜山</t>
  </si>
  <si>
    <t>LME铝:入仓:美国:芝加哥</t>
  </si>
  <si>
    <t>LME铝:入仓:美国:底特律</t>
  </si>
  <si>
    <t>LME铝:入仓:意大利:热那亚</t>
  </si>
  <si>
    <t>LME铝:入仓:瑞典:哥德堡</t>
  </si>
  <si>
    <t>LME铝:入仓:韩国:光阳</t>
  </si>
  <si>
    <t>LME铝:入仓:德国:汉堡</t>
  </si>
  <si>
    <t>LME铝:入仓:瑞典:赫尔辛堡</t>
  </si>
  <si>
    <t>LME铝:入仓:英国:赫尔</t>
  </si>
  <si>
    <t>LME铝:入仓:韩国:仁川</t>
  </si>
  <si>
    <t>LME铝:入仓:马来西亚:柔佛</t>
  </si>
  <si>
    <t>LME铝:入仓:意大利:来亨</t>
  </si>
  <si>
    <t>LME铝:入仓:英国:利物浦</t>
  </si>
  <si>
    <t>LME铝:入仓:美国:长岛</t>
  </si>
  <si>
    <t>LME铝:入仓:美国:洛杉矶</t>
  </si>
  <si>
    <t>LME铝:入仓:美国:莫比尔</t>
  </si>
  <si>
    <t>LME铝:入仓:日本:名古屋</t>
  </si>
  <si>
    <t>LME铝:入仓:美国:新奥尔良</t>
  </si>
  <si>
    <t>LME铝:入仓:马来西亚:巴生港</t>
  </si>
  <si>
    <t>LME铝:入仓:荷兰:鹿特丹</t>
  </si>
  <si>
    <t>LME铝:入仓:新加坡:新加坡</t>
  </si>
  <si>
    <t>LME铝:入仓:美国:圣路易斯</t>
  </si>
  <si>
    <t>LME铝:入仓:西班牙:托莱多</t>
  </si>
  <si>
    <t>LME铝:入仓:意大利:的里雅斯特</t>
  </si>
  <si>
    <t>LME铝:入仓:英国:泰恩-威尔</t>
  </si>
  <si>
    <t>LME铝:入仓:荷兰:弗利辛恩</t>
  </si>
  <si>
    <t>LME铝:入仓:日本:横滨</t>
  </si>
  <si>
    <t>LME铝:入仓:中国台湾:高雄</t>
  </si>
  <si>
    <t>LME铝:出仓:合计:全球</t>
  </si>
  <si>
    <t>LME铝:出仓:合计:欧洲</t>
  </si>
  <si>
    <t>LME铝:出仓:合计:亚洲</t>
  </si>
  <si>
    <t>LME铝:出仓:合计:北美洲</t>
  </si>
  <si>
    <t>LME铝:出仓:合计:德国</t>
  </si>
  <si>
    <t>LME铝:出仓:合计:韩国</t>
  </si>
  <si>
    <t>LME铝:出仓:合计:荷兰</t>
  </si>
  <si>
    <t>LME铝:出仓:合计:美国</t>
  </si>
  <si>
    <t>LME铝:出仓:合计:日本</t>
  </si>
  <si>
    <t>LME铝:出仓:合计:瑞典</t>
  </si>
  <si>
    <t>LME铝:出仓:合计:英国</t>
  </si>
  <si>
    <t>LME铝:出仓:合计:比利时</t>
  </si>
  <si>
    <t>LME铝:出仓:合计:西班牙</t>
  </si>
  <si>
    <t>LME铝:出仓:合计:新加坡</t>
  </si>
  <si>
    <t>LME铝:出仓:合计:意大利</t>
  </si>
  <si>
    <t>LME铝:出仓:合计:马来西亚</t>
  </si>
  <si>
    <t>LME铝:出仓:合计:中国台湾</t>
  </si>
  <si>
    <t>LME铝:出仓:比利时:安特卫普</t>
  </si>
  <si>
    <t>LME铝:出仓:美国:巴尔的摩</t>
  </si>
  <si>
    <t>LME铝:出仓:西班牙:巴塞罗那</t>
  </si>
  <si>
    <t>LME铝:出仓:西班牙:毕尔巴鄂</t>
  </si>
  <si>
    <t>LME铝:出仓:德国:不莱梅</t>
  </si>
  <si>
    <t>LME铝:出仓:韩国:釜山</t>
  </si>
  <si>
    <t>LME铝:出仓:美国:芝加哥</t>
  </si>
  <si>
    <t>LME铝:出仓:美国:底特律</t>
  </si>
  <si>
    <t>LME铝:出仓:意大利:热那亚</t>
  </si>
  <si>
    <t>LME铝:出仓:瑞典:哥德堡</t>
  </si>
  <si>
    <t>LME铝:出仓:韩国:光阳</t>
  </si>
  <si>
    <t>LME铝:出仓:德国:汉堡</t>
  </si>
  <si>
    <t>LME铝:出仓:瑞典:赫尔辛堡</t>
  </si>
  <si>
    <t>LME铝:出仓:英国:赫尔</t>
  </si>
  <si>
    <t>LME铝:出仓:韩国:仁川</t>
  </si>
  <si>
    <t>LME铝:出仓:马来西亚:柔佛</t>
  </si>
  <si>
    <t>LME铝:出仓:意大利:来亨</t>
  </si>
  <si>
    <t>LME铝:出仓:英国:利物浦</t>
  </si>
  <si>
    <t>LME铝:出仓:美国:长岛</t>
  </si>
  <si>
    <t>LME铝:出仓:美国:洛杉矶</t>
  </si>
  <si>
    <t>LME铝:出仓:美国:莫比尔</t>
  </si>
  <si>
    <t>LME铝:出仓:日本:名古屋</t>
  </si>
  <si>
    <t>LME铝:出仓:美国:新奥尔良</t>
  </si>
  <si>
    <t>LME铝:出仓:马来西亚:巴生港</t>
  </si>
  <si>
    <t>LME铝:出仓:荷兰:鹿特丹</t>
  </si>
  <si>
    <t>LME铝:出仓:新加坡:新加坡</t>
  </si>
  <si>
    <t>LME铝:出仓:美国:圣路易斯</t>
  </si>
  <si>
    <t>LME铝:出仓:西班牙:托莱多</t>
  </si>
  <si>
    <t>LME铝:出仓:意大利:的里雅斯特</t>
  </si>
  <si>
    <t>LME铝:出仓:英国:泰恩-威尔</t>
  </si>
  <si>
    <t>LME铝:出仓:荷兰:弗利辛恩</t>
  </si>
  <si>
    <t>LME铝:出仓:日本:横滨</t>
  </si>
  <si>
    <t>LME铝:出仓:中国台湾:高雄</t>
  </si>
  <si>
    <t>期末库存</t>
    <phoneticPr fontId="1" type="noConversion"/>
  </si>
  <si>
    <t>注册仓单</t>
    <phoneticPr fontId="1" type="noConversion"/>
  </si>
  <si>
    <t>注销仓单</t>
    <phoneticPr fontId="1" type="noConversion"/>
  </si>
  <si>
    <t>入仓</t>
    <phoneticPr fontId="1" type="noConversion"/>
  </si>
  <si>
    <t>出仓</t>
    <phoneticPr fontId="1" type="noConversion"/>
  </si>
  <si>
    <t>库存变动</t>
    <phoneticPr fontId="1" type="noConversion"/>
  </si>
  <si>
    <t>期初库存</t>
    <phoneticPr fontId="1" type="noConversion"/>
  </si>
  <si>
    <t>全球</t>
  </si>
  <si>
    <t>欧洲</t>
  </si>
  <si>
    <t>德国</t>
  </si>
  <si>
    <t>德国:不莱梅</t>
  </si>
  <si>
    <t>德国:汉堡</t>
  </si>
  <si>
    <t>比利时</t>
  </si>
  <si>
    <t>比利时:安特卫普</t>
  </si>
  <si>
    <t>瑞典</t>
  </si>
  <si>
    <t>瑞典:哥德堡</t>
  </si>
  <si>
    <t>瑞典:赫尔辛堡</t>
  </si>
  <si>
    <t>西班牙</t>
  </si>
  <si>
    <t>西班牙:巴塞罗那</t>
  </si>
  <si>
    <t>西班牙:毕尔巴鄂</t>
  </si>
  <si>
    <t>西班牙:托莱多</t>
  </si>
  <si>
    <t>荷兰</t>
  </si>
  <si>
    <t>荷兰:弗利辛恩</t>
  </si>
  <si>
    <t>荷兰:鹿特丹</t>
  </si>
  <si>
    <t>意大利</t>
  </si>
  <si>
    <t>意大利:的里雅斯特</t>
  </si>
  <si>
    <t>意大利:来亨</t>
  </si>
  <si>
    <t>意大利:热那亚</t>
  </si>
  <si>
    <t>英国</t>
  </si>
  <si>
    <t>英国:赫尔</t>
  </si>
  <si>
    <t>英国:利物浦</t>
  </si>
  <si>
    <t>英国:泰恩-威尔</t>
  </si>
  <si>
    <t>北美洲</t>
  </si>
  <si>
    <t>美国</t>
  </si>
  <si>
    <t>美国:巴尔的摩</t>
  </si>
  <si>
    <t>美国:底特律</t>
  </si>
  <si>
    <t>美国:洛杉矶</t>
  </si>
  <si>
    <t>美国:莫比尔</t>
  </si>
  <si>
    <t>美国:圣路易斯</t>
  </si>
  <si>
    <t>美国:新奥尔良</t>
  </si>
  <si>
    <t>美国:长岛</t>
  </si>
  <si>
    <t>美国:芝加哥</t>
  </si>
  <si>
    <t>亚洲</t>
  </si>
  <si>
    <t>日本</t>
  </si>
  <si>
    <t>日本:横滨</t>
  </si>
  <si>
    <t>日本:名古屋</t>
  </si>
  <si>
    <t>马来西亚</t>
  </si>
  <si>
    <t>马来西亚:巴生港</t>
  </si>
  <si>
    <t>马来西亚:柔佛</t>
  </si>
  <si>
    <t>韩国</t>
  </si>
  <si>
    <t>韩国:釜山</t>
  </si>
  <si>
    <t>韩国:光阳</t>
  </si>
  <si>
    <t>韩国:仁川</t>
  </si>
  <si>
    <t>新加坡</t>
  </si>
  <si>
    <t>新加坡:新加坡</t>
  </si>
  <si>
    <t>中国台湾</t>
  </si>
  <si>
    <t>中国台湾:高雄</t>
  </si>
  <si>
    <t>注销仓单</t>
    <phoneticPr fontId="1" type="noConversion"/>
  </si>
  <si>
    <t>出仓</t>
    <phoneticPr fontId="1" type="noConversion"/>
  </si>
  <si>
    <t>期末库存</t>
    <phoneticPr fontId="1" type="noConversion"/>
  </si>
  <si>
    <t>注册仓单</t>
    <phoneticPr fontId="1" type="noConversion"/>
  </si>
  <si>
    <t>入仓</t>
    <phoneticPr fontId="1" type="noConversion"/>
  </si>
  <si>
    <t>库存变动</t>
    <phoneticPr fontId="1" type="noConversion"/>
  </si>
  <si>
    <t>合计:全球</t>
  </si>
  <si>
    <t>LME铝:库存:合计:全球</t>
    <phoneticPr fontId="1" type="noConversion"/>
  </si>
  <si>
    <t>合计:欧洲</t>
  </si>
  <si>
    <t>合计:德国</t>
  </si>
  <si>
    <t>合计:比利时</t>
  </si>
  <si>
    <t>合计:瑞典</t>
  </si>
  <si>
    <t>合计:西班牙</t>
  </si>
  <si>
    <t>合计:荷兰</t>
  </si>
  <si>
    <t>合计:意大利</t>
  </si>
  <si>
    <t>合计:英国</t>
  </si>
  <si>
    <t>英国:泰恩-威尔</t>
    <phoneticPr fontId="1" type="noConversion"/>
  </si>
  <si>
    <t>LME铝:库存:英国:泰恩-威尔</t>
    <phoneticPr fontId="1" type="noConversion"/>
  </si>
  <si>
    <t>LME铝:注册仓单:英国:泰恩-威尔</t>
    <phoneticPr fontId="1" type="noConversion"/>
  </si>
  <si>
    <t>LME铝:注销仓单:英国:泰恩-威尔</t>
    <phoneticPr fontId="1" type="noConversion"/>
  </si>
  <si>
    <t>合计:北美洲</t>
  </si>
  <si>
    <t>合计:美国</t>
  </si>
  <si>
    <t>合计:亚洲</t>
  </si>
  <si>
    <t>合计:日本</t>
  </si>
  <si>
    <t>合计:马来西亚</t>
  </si>
  <si>
    <t>合计:韩国</t>
  </si>
  <si>
    <t>合计:新加坡</t>
  </si>
  <si>
    <t>合计:中国台湾</t>
  </si>
  <si>
    <t>LME铝分仓库库存</t>
    <phoneticPr fontId="1" type="noConversion"/>
  </si>
  <si>
    <t>最近更新：</t>
    <phoneticPr fontId="6" type="noConversion"/>
  </si>
  <si>
    <t>注册仓单</t>
    <phoneticPr fontId="1" type="noConversion"/>
  </si>
  <si>
    <t>注销仓单</t>
    <phoneticPr fontId="1" type="noConversion"/>
  </si>
  <si>
    <t>入仓</t>
    <phoneticPr fontId="1" type="noConversion"/>
  </si>
  <si>
    <t>出仓</t>
    <phoneticPr fontId="1" type="noConversion"/>
  </si>
  <si>
    <t>期初库存</t>
    <phoneticPr fontId="1" type="noConversion"/>
  </si>
  <si>
    <t>S0164561</t>
    <phoneticPr fontId="1" type="noConversion"/>
  </si>
  <si>
    <t>LME铝:库存:荷兰:弗利辛恩</t>
    <phoneticPr fontId="1" type="noConversion"/>
  </si>
  <si>
    <t>S0164569</t>
    <phoneticPr fontId="1" type="noConversion"/>
  </si>
  <si>
    <t>X0013860</t>
    <phoneticPr fontId="1" type="noConversion"/>
  </si>
  <si>
    <t>LME铝:注册仓单:西班牙:毕尔巴鄂</t>
    <phoneticPr fontId="1" type="noConversion"/>
  </si>
  <si>
    <t>S0164521</t>
    <phoneticPr fontId="1" type="noConversion"/>
  </si>
  <si>
    <t>LME铝:库存:合计:韩国</t>
    <phoneticPr fontId="1" type="noConversion"/>
  </si>
  <si>
    <t>LME铝:库存:合计:英国</t>
    <phoneticPr fontId="1" type="noConversion"/>
  </si>
  <si>
    <t>指标名称</t>
    <phoneticPr fontId="1" type="noConversion"/>
  </si>
  <si>
    <t>LME铝:库存:合计:全球</t>
    <phoneticPr fontId="1" type="noConversion"/>
  </si>
  <si>
    <t>S0164518</t>
    <phoneticPr fontId="1" type="noConversion"/>
  </si>
  <si>
    <t>LME铝:库存:合计:欧洲</t>
    <phoneticPr fontId="1" type="noConversion"/>
  </si>
  <si>
    <t>日</t>
    <phoneticPr fontId="1" type="noConversion"/>
  </si>
  <si>
    <t>S0164523</t>
    <phoneticPr fontId="1" type="noConversion"/>
  </si>
  <si>
    <t>吨</t>
    <phoneticPr fontId="1" type="noConversion"/>
  </si>
  <si>
    <t>频率</t>
    <phoneticPr fontId="1" type="noConversion"/>
  </si>
  <si>
    <t>单位</t>
    <phoneticPr fontId="1" type="noConversion"/>
  </si>
  <si>
    <t>指标ID</t>
    <phoneticPr fontId="1" type="noConversion"/>
  </si>
  <si>
    <t>S0164519</t>
    <phoneticPr fontId="1" type="noConversion"/>
  </si>
  <si>
    <t>LME铝:库存:合计:亚洲</t>
    <phoneticPr fontId="1" type="noConversion"/>
  </si>
  <si>
    <t>S0164520</t>
    <phoneticPr fontId="1" type="noConversion"/>
  </si>
  <si>
    <t>LME铝:库存:合计:北美洲</t>
    <phoneticPr fontId="1" type="noConversion"/>
  </si>
  <si>
    <t>吨</t>
    <phoneticPr fontId="1" type="noConversion"/>
  </si>
  <si>
    <t>LME铝:库存:合计:德国</t>
    <phoneticPr fontId="1" type="noConversion"/>
  </si>
  <si>
    <t>日</t>
    <phoneticPr fontId="1" type="noConversion"/>
  </si>
  <si>
    <t>S0164522</t>
    <phoneticPr fontId="1" type="noConversion"/>
  </si>
  <si>
    <t>LME铝:库存:合计:荷兰</t>
    <phoneticPr fontId="1" type="noConversion"/>
  </si>
  <si>
    <t>S0164524</t>
    <phoneticPr fontId="1" type="noConversion"/>
  </si>
  <si>
    <t>LME铝:库存:合计:美国</t>
    <phoneticPr fontId="1" type="noConversion"/>
  </si>
  <si>
    <t>S0164525</t>
    <phoneticPr fontId="1" type="noConversion"/>
  </si>
  <si>
    <t>LME铝:库存:合计:日本</t>
    <phoneticPr fontId="1" type="noConversion"/>
  </si>
  <si>
    <t>S0164526</t>
    <phoneticPr fontId="1" type="noConversion"/>
  </si>
  <si>
    <t>LME铝:库存:合计:瑞典</t>
    <phoneticPr fontId="1" type="noConversion"/>
  </si>
  <si>
    <t>S0164527</t>
    <phoneticPr fontId="1" type="noConversion"/>
  </si>
  <si>
    <t>S0164528</t>
    <phoneticPr fontId="1" type="noConversion"/>
  </si>
  <si>
    <t>LME铝:库存:合计:比利时</t>
    <phoneticPr fontId="1" type="noConversion"/>
  </si>
  <si>
    <t>S0164529</t>
    <phoneticPr fontId="1" type="noConversion"/>
  </si>
  <si>
    <t>LME铝:库存:合计:西班牙</t>
    <phoneticPr fontId="1" type="noConversion"/>
  </si>
  <si>
    <t>S0164530</t>
    <phoneticPr fontId="1" type="noConversion"/>
  </si>
  <si>
    <t>LME铝:库存:合计:新加坡</t>
    <phoneticPr fontId="1" type="noConversion"/>
  </si>
  <si>
    <t>S0164531</t>
    <phoneticPr fontId="1" type="noConversion"/>
  </si>
  <si>
    <t>LME铝:库存:合计:意大利</t>
    <phoneticPr fontId="1" type="noConversion"/>
  </si>
  <si>
    <t>S0164532</t>
    <phoneticPr fontId="1" type="noConversion"/>
  </si>
  <si>
    <t>LME铝:库存:合计:马来西亚</t>
    <phoneticPr fontId="1" type="noConversion"/>
  </si>
  <si>
    <t>S0164533</t>
    <phoneticPr fontId="1" type="noConversion"/>
  </si>
  <si>
    <t>LME铝:库存:合计:中国台湾</t>
    <phoneticPr fontId="1" type="noConversion"/>
  </si>
  <si>
    <t>J6963188</t>
    <phoneticPr fontId="1" type="noConversion"/>
  </si>
  <si>
    <t>LME铝:库存:比利时:安特卫普</t>
    <phoneticPr fontId="1" type="noConversion"/>
  </si>
  <si>
    <t>S0164534</t>
    <phoneticPr fontId="1" type="noConversion"/>
  </si>
  <si>
    <t>LME铝:库存:美国:巴尔的摩</t>
    <phoneticPr fontId="1" type="noConversion"/>
  </si>
  <si>
    <t>S0164535</t>
    <phoneticPr fontId="1" type="noConversion"/>
  </si>
  <si>
    <t>LME铝:库存:西班牙:巴塞罗那</t>
    <phoneticPr fontId="1" type="noConversion"/>
  </si>
  <si>
    <t>S0164536</t>
    <phoneticPr fontId="1" type="noConversion"/>
  </si>
  <si>
    <t>LME铝:库存:西班牙:毕尔巴鄂</t>
    <phoneticPr fontId="1" type="noConversion"/>
  </si>
  <si>
    <t>S0164537</t>
    <phoneticPr fontId="1" type="noConversion"/>
  </si>
  <si>
    <t>LME铝:库存:德国:不莱梅</t>
    <phoneticPr fontId="1" type="noConversion"/>
  </si>
  <si>
    <t>S0164538</t>
    <phoneticPr fontId="1" type="noConversion"/>
  </si>
  <si>
    <t>LME铝:库存:韩国:釜山</t>
    <phoneticPr fontId="1" type="noConversion"/>
  </si>
  <si>
    <t>S0164539</t>
    <phoneticPr fontId="1" type="noConversion"/>
  </si>
  <si>
    <t>LME铝:库存:美国:芝加哥</t>
    <phoneticPr fontId="1" type="noConversion"/>
  </si>
  <si>
    <t>S0164540</t>
    <phoneticPr fontId="1" type="noConversion"/>
  </si>
  <si>
    <t>LME铝:库存:美国:底特律</t>
    <phoneticPr fontId="1" type="noConversion"/>
  </si>
  <si>
    <t>S0164541</t>
    <phoneticPr fontId="1" type="noConversion"/>
  </si>
  <si>
    <t>LME铝:库存:意大利:热那亚</t>
    <phoneticPr fontId="1" type="noConversion"/>
  </si>
  <si>
    <t>S0164542</t>
    <phoneticPr fontId="1" type="noConversion"/>
  </si>
  <si>
    <t>LME铝:库存:瑞典:哥德堡</t>
    <phoneticPr fontId="1" type="noConversion"/>
  </si>
  <si>
    <t>S0164543</t>
    <phoneticPr fontId="1" type="noConversion"/>
  </si>
  <si>
    <t>LME铝:库存:韩国:光阳</t>
    <phoneticPr fontId="1" type="noConversion"/>
  </si>
  <si>
    <t>S0164544</t>
    <phoneticPr fontId="1" type="noConversion"/>
  </si>
  <si>
    <t>LME铝:库存:德国:汉堡</t>
    <phoneticPr fontId="1" type="noConversion"/>
  </si>
  <si>
    <t>S0164545</t>
    <phoneticPr fontId="1" type="noConversion"/>
  </si>
  <si>
    <t>LME铝:库存:瑞典:赫尔辛堡</t>
    <phoneticPr fontId="1" type="noConversion"/>
  </si>
  <si>
    <t>S0164546</t>
    <phoneticPr fontId="1" type="noConversion"/>
  </si>
  <si>
    <t>LME铝:库存:英国:赫尔</t>
    <phoneticPr fontId="1" type="noConversion"/>
  </si>
  <si>
    <t>S0164547</t>
    <phoneticPr fontId="1" type="noConversion"/>
  </si>
  <si>
    <t>LME铝:库存:韩国:仁川</t>
    <phoneticPr fontId="1" type="noConversion"/>
  </si>
  <si>
    <t>S0164548</t>
    <phoneticPr fontId="1" type="noConversion"/>
  </si>
  <si>
    <t>LME铝:库存:马来西亚:柔佛</t>
    <phoneticPr fontId="1" type="noConversion"/>
  </si>
  <si>
    <t>S0164549</t>
    <phoneticPr fontId="1" type="noConversion"/>
  </si>
  <si>
    <t>LME铝:库存:意大利:来亨</t>
    <phoneticPr fontId="1" type="noConversion"/>
  </si>
  <si>
    <t>S0164550</t>
    <phoneticPr fontId="1" type="noConversion"/>
  </si>
  <si>
    <t>LME铝:库存:英国:利物浦</t>
    <phoneticPr fontId="1" type="noConversion"/>
  </si>
  <si>
    <t>S0164551</t>
    <phoneticPr fontId="1" type="noConversion"/>
  </si>
  <si>
    <t>LME铝:库存:美国:长岛</t>
    <phoneticPr fontId="1" type="noConversion"/>
  </si>
  <si>
    <t>S0164552</t>
    <phoneticPr fontId="1" type="noConversion"/>
  </si>
  <si>
    <t>LME铝:库存:美国:洛杉矶</t>
    <phoneticPr fontId="1" type="noConversion"/>
  </si>
  <si>
    <t>S0164553</t>
    <phoneticPr fontId="1" type="noConversion"/>
  </si>
  <si>
    <t>LME铝:库存:美国:莫比尔</t>
    <phoneticPr fontId="1" type="noConversion"/>
  </si>
  <si>
    <t>S0164554</t>
    <phoneticPr fontId="1" type="noConversion"/>
  </si>
  <si>
    <t>LME铝:库存:日本:名古屋</t>
    <phoneticPr fontId="1" type="noConversion"/>
  </si>
  <si>
    <t>S0164555</t>
    <phoneticPr fontId="1" type="noConversion"/>
  </si>
  <si>
    <t>LME铝:库存:美国:新奥尔良</t>
    <phoneticPr fontId="1" type="noConversion"/>
  </si>
  <si>
    <t>S0164556</t>
    <phoneticPr fontId="1" type="noConversion"/>
  </si>
  <si>
    <t>LME铝:库存:马来西亚:巴生港</t>
    <phoneticPr fontId="1" type="noConversion"/>
  </si>
  <si>
    <t>S0164557</t>
    <phoneticPr fontId="1" type="noConversion"/>
  </si>
  <si>
    <t>LME铝:库存:荷兰:鹿特丹</t>
    <phoneticPr fontId="1" type="noConversion"/>
  </si>
  <si>
    <t>S0164558</t>
    <phoneticPr fontId="1" type="noConversion"/>
  </si>
  <si>
    <t>LME铝:库存:新加坡:新加坡</t>
    <phoneticPr fontId="1" type="noConversion"/>
  </si>
  <si>
    <t>S0164559</t>
    <phoneticPr fontId="1" type="noConversion"/>
  </si>
  <si>
    <t>LME铝:库存:美国:圣路易斯</t>
    <phoneticPr fontId="1" type="noConversion"/>
  </si>
  <si>
    <t>S0164560</t>
    <phoneticPr fontId="1" type="noConversion"/>
  </si>
  <si>
    <t>LME铝:库存:西班牙:托莱多</t>
    <phoneticPr fontId="1" type="noConversion"/>
  </si>
  <si>
    <t>LME铝:库存:意大利:的里雅斯特</t>
    <phoneticPr fontId="1" type="noConversion"/>
  </si>
  <si>
    <t>S0164562</t>
    <phoneticPr fontId="1" type="noConversion"/>
  </si>
  <si>
    <t>LME铝:库存:英国:泰恩-威尔</t>
    <phoneticPr fontId="1" type="noConversion"/>
  </si>
  <si>
    <t>S0164563</t>
    <phoneticPr fontId="1" type="noConversion"/>
  </si>
  <si>
    <t>S0164564</t>
    <phoneticPr fontId="1" type="noConversion"/>
  </si>
  <si>
    <t>LME铝:库存:日本:横滨</t>
    <phoneticPr fontId="1" type="noConversion"/>
  </si>
  <si>
    <t>S0164565</t>
    <phoneticPr fontId="1" type="noConversion"/>
  </si>
  <si>
    <t>LME铝:库存:中国台湾:高雄</t>
    <phoneticPr fontId="1" type="noConversion"/>
  </si>
  <si>
    <t>P5065837</t>
    <phoneticPr fontId="1" type="noConversion"/>
  </si>
  <si>
    <t>LME铝:注册仓单:合计:全球</t>
    <phoneticPr fontId="1" type="noConversion"/>
  </si>
  <si>
    <t>S0164566</t>
    <phoneticPr fontId="1" type="noConversion"/>
  </si>
  <si>
    <t>LME铝:注册仓单:合计:欧洲</t>
    <phoneticPr fontId="1" type="noConversion"/>
  </si>
  <si>
    <t>S0164567</t>
    <phoneticPr fontId="1" type="noConversion"/>
  </si>
  <si>
    <t>LME铝:注册仓单:合计:亚洲</t>
    <phoneticPr fontId="1" type="noConversion"/>
  </si>
  <si>
    <t>S0164568</t>
    <phoneticPr fontId="1" type="noConversion"/>
  </si>
  <si>
    <t>LME铝:注册仓单:合计:北美洲</t>
    <phoneticPr fontId="1" type="noConversion"/>
  </si>
  <si>
    <t>LME铝:注册仓单:合计:德国</t>
    <phoneticPr fontId="1" type="noConversion"/>
  </si>
  <si>
    <t>S0164570</t>
    <phoneticPr fontId="1" type="noConversion"/>
  </si>
  <si>
    <t>LME铝:注册仓单:合计:韩国</t>
    <phoneticPr fontId="1" type="noConversion"/>
  </si>
  <si>
    <t>S0164571</t>
    <phoneticPr fontId="1" type="noConversion"/>
  </si>
  <si>
    <t>LME铝:注册仓单:合计:荷兰</t>
    <phoneticPr fontId="1" type="noConversion"/>
  </si>
  <si>
    <t>S0164572</t>
    <phoneticPr fontId="1" type="noConversion"/>
  </si>
  <si>
    <t>LME铝:注册仓单:合计:美国</t>
    <phoneticPr fontId="1" type="noConversion"/>
  </si>
  <si>
    <t>S0164573</t>
    <phoneticPr fontId="1" type="noConversion"/>
  </si>
  <si>
    <t>LME铝:注册仓单:合计:日本</t>
    <phoneticPr fontId="1" type="noConversion"/>
  </si>
  <si>
    <t>S0164574</t>
    <phoneticPr fontId="1" type="noConversion"/>
  </si>
  <si>
    <t>LME铝:注册仓单:合计:瑞典</t>
    <phoneticPr fontId="1" type="noConversion"/>
  </si>
  <si>
    <t>S0164575</t>
    <phoneticPr fontId="1" type="noConversion"/>
  </si>
  <si>
    <t>LME铝:注册仓单:合计:英国</t>
    <phoneticPr fontId="1" type="noConversion"/>
  </si>
  <si>
    <t>S0164576</t>
    <phoneticPr fontId="1" type="noConversion"/>
  </si>
  <si>
    <t>LME铝:注册仓单:合计:比利时</t>
    <phoneticPr fontId="1" type="noConversion"/>
  </si>
  <si>
    <t>S0164577</t>
    <phoneticPr fontId="1" type="noConversion"/>
  </si>
  <si>
    <t>LME铝:注册仓单:合计:西班牙</t>
    <phoneticPr fontId="1" type="noConversion"/>
  </si>
  <si>
    <t>S0164578</t>
    <phoneticPr fontId="1" type="noConversion"/>
  </si>
  <si>
    <t>LME铝:注册仓单:合计:新加坡</t>
    <phoneticPr fontId="1" type="noConversion"/>
  </si>
  <si>
    <t>S0164579</t>
    <phoneticPr fontId="1" type="noConversion"/>
  </si>
  <si>
    <t>LME铝:注册仓单:合计:意大利</t>
    <phoneticPr fontId="1" type="noConversion"/>
  </si>
  <si>
    <t>S0164580</t>
    <phoneticPr fontId="1" type="noConversion"/>
  </si>
  <si>
    <t>LME铝:注册仓单:合计:马来西亚</t>
    <phoneticPr fontId="1" type="noConversion"/>
  </si>
  <si>
    <t>S0164581</t>
    <phoneticPr fontId="1" type="noConversion"/>
  </si>
  <si>
    <t>LME铝:注册仓单:合计:中国台湾</t>
    <phoneticPr fontId="1" type="noConversion"/>
  </si>
  <si>
    <t>LME铝:注册仓单:比利时:安特卫普</t>
    <phoneticPr fontId="1" type="noConversion"/>
  </si>
  <si>
    <t>S0164582</t>
    <phoneticPr fontId="1" type="noConversion"/>
  </si>
  <si>
    <t>LME铝:注册仓单:美国:巴尔的摩</t>
    <phoneticPr fontId="1" type="noConversion"/>
  </si>
  <si>
    <t>S0164583</t>
    <phoneticPr fontId="1" type="noConversion"/>
  </si>
  <si>
    <t>LME铝:注册仓单:西班牙:巴塞罗那</t>
    <phoneticPr fontId="1" type="noConversion"/>
  </si>
  <si>
    <t>S0164584</t>
    <phoneticPr fontId="1" type="noConversion"/>
  </si>
  <si>
    <t>S0164585</t>
    <phoneticPr fontId="1" type="noConversion"/>
  </si>
  <si>
    <t>LME铝:注册仓单:德国:不莱梅</t>
    <phoneticPr fontId="1" type="noConversion"/>
  </si>
  <si>
    <t>S0164586</t>
    <phoneticPr fontId="1" type="noConversion"/>
  </si>
  <si>
    <t>LME铝:注册仓单:韩国:釜山</t>
    <phoneticPr fontId="1" type="noConversion"/>
  </si>
  <si>
    <t>S0164587</t>
    <phoneticPr fontId="1" type="noConversion"/>
  </si>
  <si>
    <t>LME铝:注册仓单:美国:芝加哥</t>
    <phoneticPr fontId="1" type="noConversion"/>
  </si>
  <si>
    <t>S0164588</t>
    <phoneticPr fontId="1" type="noConversion"/>
  </si>
  <si>
    <t>LME铝:注册仓单:美国:底特律</t>
    <phoneticPr fontId="1" type="noConversion"/>
  </si>
  <si>
    <t>S0164589</t>
    <phoneticPr fontId="1" type="noConversion"/>
  </si>
  <si>
    <t>LME铝:注册仓单:意大利:热那亚</t>
    <phoneticPr fontId="1" type="noConversion"/>
  </si>
  <si>
    <t>S0164590</t>
    <phoneticPr fontId="1" type="noConversion"/>
  </si>
  <si>
    <t>LME铝:注册仓单:瑞典:哥德堡</t>
    <phoneticPr fontId="1" type="noConversion"/>
  </si>
  <si>
    <t>S0164591</t>
    <phoneticPr fontId="1" type="noConversion"/>
  </si>
  <si>
    <t>LME铝:注册仓单:韩国:光阳</t>
    <phoneticPr fontId="1" type="noConversion"/>
  </si>
  <si>
    <t>S0164592</t>
    <phoneticPr fontId="1" type="noConversion"/>
  </si>
  <si>
    <t>LME铝:注册仓单:德国:汉堡</t>
    <phoneticPr fontId="1" type="noConversion"/>
  </si>
  <si>
    <t>S0164593</t>
    <phoneticPr fontId="1" type="noConversion"/>
  </si>
  <si>
    <t>LME铝:注册仓单:瑞典:赫尔辛堡</t>
    <phoneticPr fontId="1" type="noConversion"/>
  </si>
  <si>
    <t>S0164594</t>
    <phoneticPr fontId="1" type="noConversion"/>
  </si>
  <si>
    <t>LME铝:注册仓单:英国:赫尔</t>
    <phoneticPr fontId="1" type="noConversion"/>
  </si>
  <si>
    <t>S0164595</t>
    <phoneticPr fontId="1" type="noConversion"/>
  </si>
  <si>
    <t>LME铝:注册仓单:韩国:仁川</t>
    <phoneticPr fontId="1" type="noConversion"/>
  </si>
  <si>
    <t>S0164596</t>
    <phoneticPr fontId="1" type="noConversion"/>
  </si>
  <si>
    <t>LME铝:注册仓单:马来西亚:柔佛</t>
    <phoneticPr fontId="1" type="noConversion"/>
  </si>
  <si>
    <t>S0164597</t>
    <phoneticPr fontId="1" type="noConversion"/>
  </si>
  <si>
    <t>LME铝:注册仓单:意大利:来亨</t>
    <phoneticPr fontId="1" type="noConversion"/>
  </si>
  <si>
    <t>S0164598</t>
    <phoneticPr fontId="1" type="noConversion"/>
  </si>
  <si>
    <t>LME铝:注册仓单:英国:利物浦</t>
    <phoneticPr fontId="1" type="noConversion"/>
  </si>
  <si>
    <t>S0164599</t>
    <phoneticPr fontId="1" type="noConversion"/>
  </si>
  <si>
    <t>LME铝:注册仓单:美国:长岛</t>
    <phoneticPr fontId="1" type="noConversion"/>
  </si>
  <si>
    <t>S0164600</t>
    <phoneticPr fontId="1" type="noConversion"/>
  </si>
  <si>
    <t>LME铝:注册仓单:美国:洛杉矶</t>
    <phoneticPr fontId="1" type="noConversion"/>
  </si>
  <si>
    <t>S0164601</t>
    <phoneticPr fontId="1" type="noConversion"/>
  </si>
  <si>
    <t>LME铝:注册仓单:美国:莫比尔</t>
    <phoneticPr fontId="1" type="noConversion"/>
  </si>
  <si>
    <t>S0164602</t>
    <phoneticPr fontId="1" type="noConversion"/>
  </si>
  <si>
    <t>LME铝:注册仓单:日本:名古屋</t>
    <phoneticPr fontId="1" type="noConversion"/>
  </si>
  <si>
    <t>S0164603</t>
    <phoneticPr fontId="1" type="noConversion"/>
  </si>
  <si>
    <t>LME铝:注册仓单:美国:新奥尔良</t>
    <phoneticPr fontId="1" type="noConversion"/>
  </si>
  <si>
    <t>S0164604</t>
    <phoneticPr fontId="1" type="noConversion"/>
  </si>
  <si>
    <t>LME铝:注册仓单:马来西亚:巴生港</t>
    <phoneticPr fontId="1" type="noConversion"/>
  </si>
  <si>
    <t>S0164605</t>
    <phoneticPr fontId="1" type="noConversion"/>
  </si>
  <si>
    <t>LME铝:注册仓单:荷兰:鹿特丹</t>
    <phoneticPr fontId="1" type="noConversion"/>
  </si>
  <si>
    <t>S0164606</t>
    <phoneticPr fontId="1" type="noConversion"/>
  </si>
  <si>
    <t>LME铝:注册仓单:新加坡:新加坡</t>
    <phoneticPr fontId="1" type="noConversion"/>
  </si>
  <si>
    <t>S0164607</t>
    <phoneticPr fontId="1" type="noConversion"/>
  </si>
  <si>
    <t>LME铝:注册仓单:美国:圣路易斯</t>
    <phoneticPr fontId="1" type="noConversion"/>
  </si>
  <si>
    <t>S0164608</t>
    <phoneticPr fontId="1" type="noConversion"/>
  </si>
  <si>
    <t>LME铝:注册仓单:西班牙:托莱多</t>
    <phoneticPr fontId="1" type="noConversion"/>
  </si>
  <si>
    <t>S0164609</t>
    <phoneticPr fontId="1" type="noConversion"/>
  </si>
  <si>
    <t>LME铝:注册仓单:意大利:的里雅斯特</t>
    <phoneticPr fontId="1" type="noConversion"/>
  </si>
  <si>
    <t>S0164610</t>
    <phoneticPr fontId="1" type="noConversion"/>
  </si>
  <si>
    <t>LME铝:注册仓单:英国:泰恩-威尔</t>
    <phoneticPr fontId="1" type="noConversion"/>
  </si>
  <si>
    <t>S0164611</t>
    <phoneticPr fontId="1" type="noConversion"/>
  </si>
  <si>
    <t>LME铝:注册仓单:荷兰:弗利辛恩</t>
    <phoneticPr fontId="1" type="noConversion"/>
  </si>
  <si>
    <t>S0164612</t>
    <phoneticPr fontId="1" type="noConversion"/>
  </si>
  <si>
    <t>LME铝:注册仓单:日本:横滨</t>
    <phoneticPr fontId="1" type="noConversion"/>
  </si>
  <si>
    <t>S0164613</t>
    <phoneticPr fontId="1" type="noConversion"/>
  </si>
  <si>
    <t>LME铝:注册仓单:中国台湾:高雄</t>
    <phoneticPr fontId="1" type="noConversion"/>
  </si>
  <si>
    <t>Y9187155</t>
    <phoneticPr fontId="1" type="noConversion"/>
  </si>
  <si>
    <t>LME铝:注销仓单:合计:全球</t>
    <phoneticPr fontId="1" type="noConversion"/>
  </si>
  <si>
    <t>S0164614</t>
    <phoneticPr fontId="1" type="noConversion"/>
  </si>
  <si>
    <t>LME铝:注销仓单:合计:欧洲</t>
    <phoneticPr fontId="1" type="noConversion"/>
  </si>
  <si>
    <t>S0164615</t>
    <phoneticPr fontId="1" type="noConversion"/>
  </si>
  <si>
    <t>LME铝:注销仓单:合计:亚洲</t>
    <phoneticPr fontId="1" type="noConversion"/>
  </si>
  <si>
    <t>S0164616</t>
    <phoneticPr fontId="1" type="noConversion"/>
  </si>
  <si>
    <t>LME铝:注销仓单:合计:北美洲</t>
    <phoneticPr fontId="1" type="noConversion"/>
  </si>
  <si>
    <t>S0164617</t>
    <phoneticPr fontId="1" type="noConversion"/>
  </si>
  <si>
    <t>LME铝:注销仓单:合计:德国</t>
    <phoneticPr fontId="1" type="noConversion"/>
  </si>
  <si>
    <t>S0164618</t>
    <phoneticPr fontId="1" type="noConversion"/>
  </si>
  <si>
    <t>LME铝:注销仓单:合计:韩国</t>
    <phoneticPr fontId="1" type="noConversion"/>
  </si>
  <si>
    <t>S0164619</t>
    <phoneticPr fontId="1" type="noConversion"/>
  </si>
  <si>
    <t>LME铝:注销仓单:合计:荷兰</t>
    <phoneticPr fontId="1" type="noConversion"/>
  </si>
  <si>
    <t>S0164620</t>
    <phoneticPr fontId="1" type="noConversion"/>
  </si>
  <si>
    <t>LME铝:注销仓单:合计:美国</t>
    <phoneticPr fontId="1" type="noConversion"/>
  </si>
  <si>
    <t>S0164621</t>
    <phoneticPr fontId="1" type="noConversion"/>
  </si>
  <si>
    <t>LME铝:注销仓单:合计:日本</t>
    <phoneticPr fontId="1" type="noConversion"/>
  </si>
  <si>
    <t>S0164622</t>
    <phoneticPr fontId="1" type="noConversion"/>
  </si>
  <si>
    <t>LME铝:注销仓单:合计:瑞典</t>
    <phoneticPr fontId="1" type="noConversion"/>
  </si>
  <si>
    <t>S0164623</t>
    <phoneticPr fontId="1" type="noConversion"/>
  </si>
  <si>
    <t>LME铝:注销仓单:合计:英国</t>
    <phoneticPr fontId="1" type="noConversion"/>
  </si>
  <si>
    <t>S0164624</t>
    <phoneticPr fontId="1" type="noConversion"/>
  </si>
  <si>
    <t>LME铝:注销仓单:合计:比利时</t>
    <phoneticPr fontId="1" type="noConversion"/>
  </si>
  <si>
    <t>S0164625</t>
    <phoneticPr fontId="1" type="noConversion"/>
  </si>
  <si>
    <t>LME铝:注销仓单:合计:西班牙</t>
    <phoneticPr fontId="1" type="noConversion"/>
  </si>
  <si>
    <t>S0164626</t>
    <phoneticPr fontId="1" type="noConversion"/>
  </si>
  <si>
    <t>LME铝:注销仓单:合计:新加坡</t>
    <phoneticPr fontId="1" type="noConversion"/>
  </si>
  <si>
    <t>S0164627</t>
    <phoneticPr fontId="1" type="noConversion"/>
  </si>
  <si>
    <t>LME铝:注销仓单:合计:意大利</t>
    <phoneticPr fontId="1" type="noConversion"/>
  </si>
  <si>
    <t>S0164628</t>
    <phoneticPr fontId="1" type="noConversion"/>
  </si>
  <si>
    <t>LME铝:注销仓单:合计:马来西亚</t>
    <phoneticPr fontId="1" type="noConversion"/>
  </si>
  <si>
    <t>S0164629</t>
    <phoneticPr fontId="1" type="noConversion"/>
  </si>
  <si>
    <t>LME铝:注销仓单:合计:中国台湾</t>
    <phoneticPr fontId="1" type="noConversion"/>
  </si>
  <si>
    <t>R8392879</t>
    <phoneticPr fontId="1" type="noConversion"/>
  </si>
  <si>
    <t>LME铝:注销仓单:比利时:安特卫普</t>
    <phoneticPr fontId="1" type="noConversion"/>
  </si>
  <si>
    <t>S0164630</t>
    <phoneticPr fontId="1" type="noConversion"/>
  </si>
  <si>
    <t>LME铝:注销仓单:美国:巴尔的摩</t>
    <phoneticPr fontId="1" type="noConversion"/>
  </si>
  <si>
    <t>S0164631</t>
    <phoneticPr fontId="1" type="noConversion"/>
  </si>
  <si>
    <t>LME铝:注销仓单:西班牙:巴塞罗那</t>
    <phoneticPr fontId="1" type="noConversion"/>
  </si>
  <si>
    <t>S0164632</t>
    <phoneticPr fontId="1" type="noConversion"/>
  </si>
  <si>
    <t>LME铝:注销仓单:西班牙:毕尔巴鄂</t>
    <phoneticPr fontId="1" type="noConversion"/>
  </si>
  <si>
    <t>S0164633</t>
    <phoneticPr fontId="1" type="noConversion"/>
  </si>
  <si>
    <t>LME铝:注销仓单:德国:不莱梅</t>
    <phoneticPr fontId="1" type="noConversion"/>
  </si>
  <si>
    <t>S0164634</t>
    <phoneticPr fontId="1" type="noConversion"/>
  </si>
  <si>
    <t>LME铝:注销仓单:韩国:釜山</t>
    <phoneticPr fontId="1" type="noConversion"/>
  </si>
  <si>
    <t>S0164635</t>
    <phoneticPr fontId="1" type="noConversion"/>
  </si>
  <si>
    <t>LME铝:注销仓单:美国:芝加哥</t>
    <phoneticPr fontId="1" type="noConversion"/>
  </si>
  <si>
    <t>S0164636</t>
    <phoneticPr fontId="1" type="noConversion"/>
  </si>
  <si>
    <t>LME铝:注销仓单:美国:底特律</t>
    <phoneticPr fontId="1" type="noConversion"/>
  </si>
  <si>
    <t>S0164637</t>
    <phoneticPr fontId="1" type="noConversion"/>
  </si>
  <si>
    <t>LME铝:注销仓单:意大利:热那亚</t>
    <phoneticPr fontId="1" type="noConversion"/>
  </si>
  <si>
    <t>S0164638</t>
    <phoneticPr fontId="1" type="noConversion"/>
  </si>
  <si>
    <t>LME铝:注销仓单:瑞典:哥德堡</t>
    <phoneticPr fontId="1" type="noConversion"/>
  </si>
  <si>
    <t>S0164639</t>
    <phoneticPr fontId="1" type="noConversion"/>
  </si>
  <si>
    <t>LME铝:注销仓单:韩国:光阳</t>
    <phoneticPr fontId="1" type="noConversion"/>
  </si>
  <si>
    <t>S0164640</t>
    <phoneticPr fontId="1" type="noConversion"/>
  </si>
  <si>
    <t>LME铝:注销仓单:德国:汉堡</t>
    <phoneticPr fontId="1" type="noConversion"/>
  </si>
  <si>
    <t>S0164641</t>
    <phoneticPr fontId="1" type="noConversion"/>
  </si>
  <si>
    <t>LME铝:注销仓单:瑞典:赫尔辛堡</t>
    <phoneticPr fontId="1" type="noConversion"/>
  </si>
  <si>
    <t>S0164642</t>
    <phoneticPr fontId="1" type="noConversion"/>
  </si>
  <si>
    <t>LME铝:注销仓单:英国:赫尔</t>
    <phoneticPr fontId="1" type="noConversion"/>
  </si>
  <si>
    <t>S0164643</t>
    <phoneticPr fontId="1" type="noConversion"/>
  </si>
  <si>
    <t>LME铝:注销仓单:韩国:仁川</t>
    <phoneticPr fontId="1" type="noConversion"/>
  </si>
  <si>
    <t>S0164644</t>
    <phoneticPr fontId="1" type="noConversion"/>
  </si>
  <si>
    <t>LME铝:注销仓单:马来西亚:柔佛</t>
    <phoneticPr fontId="1" type="noConversion"/>
  </si>
  <si>
    <t>S0164645</t>
    <phoneticPr fontId="1" type="noConversion"/>
  </si>
  <si>
    <t>LME铝:注销仓单:意大利:来亨</t>
    <phoneticPr fontId="1" type="noConversion"/>
  </si>
  <si>
    <t>S0164646</t>
    <phoneticPr fontId="1" type="noConversion"/>
  </si>
  <si>
    <t>LME铝:注销仓单:英国:利物浦</t>
    <phoneticPr fontId="1" type="noConversion"/>
  </si>
  <si>
    <t>S0164647</t>
    <phoneticPr fontId="1" type="noConversion"/>
  </si>
  <si>
    <t>LME铝:注销仓单:美国:长岛</t>
    <phoneticPr fontId="1" type="noConversion"/>
  </si>
  <si>
    <t>S0164648</t>
    <phoneticPr fontId="1" type="noConversion"/>
  </si>
  <si>
    <t>LME铝:注销仓单:美国:洛杉矶</t>
    <phoneticPr fontId="1" type="noConversion"/>
  </si>
  <si>
    <t>S0164649</t>
    <phoneticPr fontId="1" type="noConversion"/>
  </si>
  <si>
    <t>LME铝:注销仓单:美国:莫比尔</t>
    <phoneticPr fontId="1" type="noConversion"/>
  </si>
  <si>
    <t>S0164650</t>
    <phoneticPr fontId="1" type="noConversion"/>
  </si>
  <si>
    <t>LME铝:注销仓单:日本:名古屋</t>
    <phoneticPr fontId="1" type="noConversion"/>
  </si>
  <si>
    <t>S0164651</t>
    <phoneticPr fontId="1" type="noConversion"/>
  </si>
  <si>
    <t>LME铝:注销仓单:美国:新奥尔良</t>
    <phoneticPr fontId="1" type="noConversion"/>
  </si>
  <si>
    <t>S0164652</t>
    <phoneticPr fontId="1" type="noConversion"/>
  </si>
  <si>
    <t>LME铝:注销仓单:马来西亚:巴生港</t>
    <phoneticPr fontId="1" type="noConversion"/>
  </si>
  <si>
    <t>S0164653</t>
    <phoneticPr fontId="1" type="noConversion"/>
  </si>
  <si>
    <t>LME铝:注销仓单:荷兰:鹿特丹</t>
    <phoneticPr fontId="1" type="noConversion"/>
  </si>
  <si>
    <t>S0164654</t>
    <phoneticPr fontId="1" type="noConversion"/>
  </si>
  <si>
    <t>LME铝:注销仓单:新加坡:新加坡</t>
    <phoneticPr fontId="1" type="noConversion"/>
  </si>
  <si>
    <t>S0164655</t>
    <phoneticPr fontId="1" type="noConversion"/>
  </si>
  <si>
    <t>LME铝:注销仓单:美国:圣路易斯</t>
    <phoneticPr fontId="1" type="noConversion"/>
  </si>
  <si>
    <t>S0164656</t>
    <phoneticPr fontId="1" type="noConversion"/>
  </si>
  <si>
    <t>LME铝:注销仓单:西班牙:托莱多</t>
    <phoneticPr fontId="1" type="noConversion"/>
  </si>
  <si>
    <t>S0164657</t>
    <phoneticPr fontId="1" type="noConversion"/>
  </si>
  <si>
    <t>LME铝:注销仓单:意大利:的里雅斯特</t>
    <phoneticPr fontId="1" type="noConversion"/>
  </si>
  <si>
    <t>S0164658</t>
    <phoneticPr fontId="1" type="noConversion"/>
  </si>
  <si>
    <t>LME铝:注销仓单:英国:泰恩-威尔</t>
    <phoneticPr fontId="1" type="noConversion"/>
  </si>
  <si>
    <t>S0164659</t>
    <phoneticPr fontId="1" type="noConversion"/>
  </si>
  <si>
    <t>LME铝:注销仓单:荷兰:弗利辛恩</t>
    <phoneticPr fontId="1" type="noConversion"/>
  </si>
  <si>
    <t>S0164660</t>
    <phoneticPr fontId="1" type="noConversion"/>
  </si>
  <si>
    <t>LME铝:注销仓单:日本:横滨</t>
    <phoneticPr fontId="1" type="noConversion"/>
  </si>
  <si>
    <t>S0164661</t>
    <phoneticPr fontId="1" type="noConversion"/>
  </si>
  <si>
    <t>LME铝:注销仓单:中国台湾:高雄</t>
    <phoneticPr fontId="1" type="noConversion"/>
  </si>
  <si>
    <t>A1053605</t>
    <phoneticPr fontId="1" type="noConversion"/>
  </si>
  <si>
    <t>LME铝:入仓:合计:全球</t>
    <phoneticPr fontId="1" type="noConversion"/>
  </si>
  <si>
    <t>S0164662</t>
    <phoneticPr fontId="1" type="noConversion"/>
  </si>
  <si>
    <t>LME铝:入仓:合计:欧洲</t>
    <phoneticPr fontId="1" type="noConversion"/>
  </si>
  <si>
    <t>S0164663</t>
    <phoneticPr fontId="1" type="noConversion"/>
  </si>
  <si>
    <t>LME铝:入仓:合计:亚洲</t>
    <phoneticPr fontId="1" type="noConversion"/>
  </si>
  <si>
    <t>S0164664</t>
    <phoneticPr fontId="1" type="noConversion"/>
  </si>
  <si>
    <t>LME铝:入仓:合计:北美洲</t>
    <phoneticPr fontId="1" type="noConversion"/>
  </si>
  <si>
    <t>S0164665</t>
    <phoneticPr fontId="1" type="noConversion"/>
  </si>
  <si>
    <t>LME铝:入仓:合计:德国</t>
    <phoneticPr fontId="1" type="noConversion"/>
  </si>
  <si>
    <t>S0164666</t>
    <phoneticPr fontId="1" type="noConversion"/>
  </si>
  <si>
    <t>LME铝:入仓:合计:韩国</t>
    <phoneticPr fontId="1" type="noConversion"/>
  </si>
  <si>
    <t>S0164667</t>
    <phoneticPr fontId="1" type="noConversion"/>
  </si>
  <si>
    <t>LME铝:入仓:合计:荷兰</t>
    <phoneticPr fontId="1" type="noConversion"/>
  </si>
  <si>
    <t>S0164668</t>
    <phoneticPr fontId="1" type="noConversion"/>
  </si>
  <si>
    <t>LME铝:入仓:合计:美国</t>
    <phoneticPr fontId="1" type="noConversion"/>
  </si>
  <si>
    <t>S0164669</t>
    <phoneticPr fontId="1" type="noConversion"/>
  </si>
  <si>
    <t>LME铝:入仓:合计:日本</t>
    <phoneticPr fontId="1" type="noConversion"/>
  </si>
  <si>
    <t>S0164670</t>
    <phoneticPr fontId="1" type="noConversion"/>
  </si>
  <si>
    <t>LME铝:入仓:合计:瑞典</t>
    <phoneticPr fontId="1" type="noConversion"/>
  </si>
  <si>
    <t>S0164671</t>
    <phoneticPr fontId="1" type="noConversion"/>
  </si>
  <si>
    <t>LME铝:入仓:合计:英国</t>
    <phoneticPr fontId="1" type="noConversion"/>
  </si>
  <si>
    <t>S0164672</t>
    <phoneticPr fontId="1" type="noConversion"/>
  </si>
  <si>
    <t>LME铝:入仓:合计:比利时</t>
    <phoneticPr fontId="1" type="noConversion"/>
  </si>
  <si>
    <t>S0164673</t>
    <phoneticPr fontId="1" type="noConversion"/>
  </si>
  <si>
    <t>LME铝:入仓:合计:西班牙</t>
    <phoneticPr fontId="1" type="noConversion"/>
  </si>
  <si>
    <t>S0164674</t>
    <phoneticPr fontId="1" type="noConversion"/>
  </si>
  <si>
    <t>LME铝:入仓:合计:新加坡</t>
    <phoneticPr fontId="1" type="noConversion"/>
  </si>
  <si>
    <t>S0164675</t>
    <phoneticPr fontId="1" type="noConversion"/>
  </si>
  <si>
    <t>LME铝:入仓:合计:意大利</t>
    <phoneticPr fontId="1" type="noConversion"/>
  </si>
  <si>
    <t>S0164676</t>
    <phoneticPr fontId="1" type="noConversion"/>
  </si>
  <si>
    <t>LME铝:入仓:合计:马来西亚</t>
    <phoneticPr fontId="1" type="noConversion"/>
  </si>
  <si>
    <t>S0164677</t>
    <phoneticPr fontId="1" type="noConversion"/>
  </si>
  <si>
    <t>LME铝:入仓:合计:中国台湾</t>
    <phoneticPr fontId="1" type="noConversion"/>
  </si>
  <si>
    <t>X4860160</t>
    <phoneticPr fontId="1" type="noConversion"/>
  </si>
  <si>
    <t>LME铝:入仓:比利时:安特卫普</t>
    <phoneticPr fontId="1" type="noConversion"/>
  </si>
  <si>
    <t>S0164678</t>
    <phoneticPr fontId="1" type="noConversion"/>
  </si>
  <si>
    <t>LME铝:入仓:美国:巴尔的摩</t>
    <phoneticPr fontId="1" type="noConversion"/>
  </si>
  <si>
    <t>S0164679</t>
    <phoneticPr fontId="1" type="noConversion"/>
  </si>
  <si>
    <t>LME铝:入仓:西班牙:巴塞罗那</t>
    <phoneticPr fontId="1" type="noConversion"/>
  </si>
  <si>
    <t>S0164680</t>
    <phoneticPr fontId="1" type="noConversion"/>
  </si>
  <si>
    <t>LME铝:入仓:西班牙:毕尔巴鄂</t>
    <phoneticPr fontId="1" type="noConversion"/>
  </si>
  <si>
    <t>S0164681</t>
    <phoneticPr fontId="1" type="noConversion"/>
  </si>
  <si>
    <t>LME铝:入仓:德国:不莱梅</t>
    <phoneticPr fontId="1" type="noConversion"/>
  </si>
  <si>
    <t>S0164682</t>
    <phoneticPr fontId="1" type="noConversion"/>
  </si>
  <si>
    <t>LME铝:入仓:韩国:釜山</t>
    <phoneticPr fontId="1" type="noConversion"/>
  </si>
  <si>
    <t>S0164683</t>
    <phoneticPr fontId="1" type="noConversion"/>
  </si>
  <si>
    <t>LME铝:入仓:美国:芝加哥</t>
    <phoneticPr fontId="1" type="noConversion"/>
  </si>
  <si>
    <t>S0164684</t>
    <phoneticPr fontId="1" type="noConversion"/>
  </si>
  <si>
    <t>LME铝:入仓:美国:底特律</t>
    <phoneticPr fontId="1" type="noConversion"/>
  </si>
  <si>
    <t>S0164685</t>
    <phoneticPr fontId="1" type="noConversion"/>
  </si>
  <si>
    <t>LME铝:入仓:意大利:热那亚</t>
    <phoneticPr fontId="1" type="noConversion"/>
  </si>
  <si>
    <t>S0164686</t>
    <phoneticPr fontId="1" type="noConversion"/>
  </si>
  <si>
    <t>LME铝:入仓:瑞典:哥德堡</t>
    <phoneticPr fontId="1" type="noConversion"/>
  </si>
  <si>
    <t>S0164687</t>
    <phoneticPr fontId="1" type="noConversion"/>
  </si>
  <si>
    <t>LME铝:入仓:韩国:光阳</t>
    <phoneticPr fontId="1" type="noConversion"/>
  </si>
  <si>
    <t>S0164688</t>
    <phoneticPr fontId="1" type="noConversion"/>
  </si>
  <si>
    <t>LME铝:入仓:德国:汉堡</t>
    <phoneticPr fontId="1" type="noConversion"/>
  </si>
  <si>
    <t>S0164689</t>
    <phoneticPr fontId="1" type="noConversion"/>
  </si>
  <si>
    <t>LME铝:入仓:瑞典:赫尔辛堡</t>
    <phoneticPr fontId="1" type="noConversion"/>
  </si>
  <si>
    <t>S0164690</t>
    <phoneticPr fontId="1" type="noConversion"/>
  </si>
  <si>
    <t>LME铝:入仓:英国:赫尔</t>
    <phoneticPr fontId="1" type="noConversion"/>
  </si>
  <si>
    <t>S0164691</t>
    <phoneticPr fontId="1" type="noConversion"/>
  </si>
  <si>
    <t>LME铝:入仓:韩国:仁川</t>
    <phoneticPr fontId="1" type="noConversion"/>
  </si>
  <si>
    <t>S0164692</t>
    <phoneticPr fontId="1" type="noConversion"/>
  </si>
  <si>
    <t>LME铝:入仓:马来西亚:柔佛</t>
    <phoneticPr fontId="1" type="noConversion"/>
  </si>
  <si>
    <t>S0164693</t>
    <phoneticPr fontId="1" type="noConversion"/>
  </si>
  <si>
    <t>LME铝:入仓:意大利:来亨</t>
    <phoneticPr fontId="1" type="noConversion"/>
  </si>
  <si>
    <t>S0164694</t>
    <phoneticPr fontId="1" type="noConversion"/>
  </si>
  <si>
    <t>LME铝:入仓:英国:利物浦</t>
    <phoneticPr fontId="1" type="noConversion"/>
  </si>
  <si>
    <t>S0164695</t>
    <phoneticPr fontId="1" type="noConversion"/>
  </si>
  <si>
    <t>LME铝:入仓:美国:长岛</t>
    <phoneticPr fontId="1" type="noConversion"/>
  </si>
  <si>
    <t>S0164696</t>
    <phoneticPr fontId="1" type="noConversion"/>
  </si>
  <si>
    <t>LME铝:入仓:美国:洛杉矶</t>
    <phoneticPr fontId="1" type="noConversion"/>
  </si>
  <si>
    <t>S0164697</t>
    <phoneticPr fontId="1" type="noConversion"/>
  </si>
  <si>
    <t>LME铝:入仓:美国:莫比尔</t>
    <phoneticPr fontId="1" type="noConversion"/>
  </si>
  <si>
    <t>S0164698</t>
    <phoneticPr fontId="1" type="noConversion"/>
  </si>
  <si>
    <t>LME铝:入仓:日本:名古屋</t>
    <phoneticPr fontId="1" type="noConversion"/>
  </si>
  <si>
    <t>S0164699</t>
    <phoneticPr fontId="1" type="noConversion"/>
  </si>
  <si>
    <t>LME铝:入仓:美国:新奥尔良</t>
    <phoneticPr fontId="1" type="noConversion"/>
  </si>
  <si>
    <t>S0164700</t>
    <phoneticPr fontId="1" type="noConversion"/>
  </si>
  <si>
    <t>LME铝:入仓:马来西亚:巴生港</t>
    <phoneticPr fontId="1" type="noConversion"/>
  </si>
  <si>
    <t>S0164701</t>
    <phoneticPr fontId="1" type="noConversion"/>
  </si>
  <si>
    <t>LME铝:入仓:荷兰:鹿特丹</t>
    <phoneticPr fontId="1" type="noConversion"/>
  </si>
  <si>
    <t>S0164702</t>
    <phoneticPr fontId="1" type="noConversion"/>
  </si>
  <si>
    <t>LME铝:入仓:新加坡:新加坡</t>
    <phoneticPr fontId="1" type="noConversion"/>
  </si>
  <si>
    <t>S0164703</t>
    <phoneticPr fontId="1" type="noConversion"/>
  </si>
  <si>
    <t>LME铝:入仓:美国:圣路易斯</t>
    <phoneticPr fontId="1" type="noConversion"/>
  </si>
  <si>
    <t>S0164704</t>
    <phoneticPr fontId="1" type="noConversion"/>
  </si>
  <si>
    <t>LME铝:入仓:西班牙:托莱多</t>
    <phoneticPr fontId="1" type="noConversion"/>
  </si>
  <si>
    <t>S0164705</t>
    <phoneticPr fontId="1" type="noConversion"/>
  </si>
  <si>
    <t>LME铝:入仓:意大利:的里雅斯特</t>
    <phoneticPr fontId="1" type="noConversion"/>
  </si>
  <si>
    <t>S0164706</t>
    <phoneticPr fontId="1" type="noConversion"/>
  </si>
  <si>
    <t>LME铝:入仓:英国:泰恩-威尔</t>
    <phoneticPr fontId="1" type="noConversion"/>
  </si>
  <si>
    <t>S0164707</t>
    <phoneticPr fontId="1" type="noConversion"/>
  </si>
  <si>
    <t>LME铝:入仓:荷兰:弗利辛恩</t>
    <phoneticPr fontId="1" type="noConversion"/>
  </si>
  <si>
    <t>S0164708</t>
    <phoneticPr fontId="1" type="noConversion"/>
  </si>
  <si>
    <t>LME铝:入仓:日本:横滨</t>
    <phoneticPr fontId="1" type="noConversion"/>
  </si>
  <si>
    <t>S0164709</t>
    <phoneticPr fontId="1" type="noConversion"/>
  </si>
  <si>
    <t>LME铝:入仓:中国台湾:高雄</t>
    <phoneticPr fontId="1" type="noConversion"/>
  </si>
  <si>
    <t>Y2992025</t>
    <phoneticPr fontId="1" type="noConversion"/>
  </si>
  <si>
    <t>LME铝:出仓:合计:全球</t>
    <phoneticPr fontId="1" type="noConversion"/>
  </si>
  <si>
    <t>S0164710</t>
    <phoneticPr fontId="1" type="noConversion"/>
  </si>
  <si>
    <t>LME铝:出仓:合计:欧洲</t>
    <phoneticPr fontId="1" type="noConversion"/>
  </si>
  <si>
    <t>S0164711</t>
    <phoneticPr fontId="1" type="noConversion"/>
  </si>
  <si>
    <t>LME铝:出仓:合计:亚洲</t>
    <phoneticPr fontId="1" type="noConversion"/>
  </si>
  <si>
    <t>S0164712</t>
    <phoneticPr fontId="1" type="noConversion"/>
  </si>
  <si>
    <t>LME铝:出仓:合计:北美洲</t>
    <phoneticPr fontId="1" type="noConversion"/>
  </si>
  <si>
    <t>S0164713</t>
    <phoneticPr fontId="1" type="noConversion"/>
  </si>
  <si>
    <t>LME铝:出仓:合计:德国</t>
    <phoneticPr fontId="1" type="noConversion"/>
  </si>
  <si>
    <t>S0164714</t>
    <phoneticPr fontId="1" type="noConversion"/>
  </si>
  <si>
    <t>LME铝:出仓:合计:韩国</t>
    <phoneticPr fontId="1" type="noConversion"/>
  </si>
  <si>
    <t>S0164715</t>
    <phoneticPr fontId="1" type="noConversion"/>
  </si>
  <si>
    <t>LME铝:出仓:合计:荷兰</t>
    <phoneticPr fontId="1" type="noConversion"/>
  </si>
  <si>
    <t>S0164716</t>
    <phoneticPr fontId="1" type="noConversion"/>
  </si>
  <si>
    <t>LME铝:出仓:合计:美国</t>
    <phoneticPr fontId="1" type="noConversion"/>
  </si>
  <si>
    <t>S0164717</t>
    <phoneticPr fontId="1" type="noConversion"/>
  </si>
  <si>
    <t>LME铝:出仓:合计:日本</t>
    <phoneticPr fontId="1" type="noConversion"/>
  </si>
  <si>
    <t>S0164718</t>
    <phoneticPr fontId="1" type="noConversion"/>
  </si>
  <si>
    <t>LME铝:出仓:合计:瑞典</t>
    <phoneticPr fontId="1" type="noConversion"/>
  </si>
  <si>
    <t>S0164719</t>
    <phoneticPr fontId="1" type="noConversion"/>
  </si>
  <si>
    <t>LME铝:出仓:合计:英国</t>
    <phoneticPr fontId="1" type="noConversion"/>
  </si>
  <si>
    <t>S0164720</t>
    <phoneticPr fontId="1" type="noConversion"/>
  </si>
  <si>
    <t>LME铝:出仓:合计:比利时</t>
    <phoneticPr fontId="1" type="noConversion"/>
  </si>
  <si>
    <t>S0164721</t>
    <phoneticPr fontId="1" type="noConversion"/>
  </si>
  <si>
    <t>LME铝:出仓:合计:西班牙</t>
    <phoneticPr fontId="1" type="noConversion"/>
  </si>
  <si>
    <t>S0164722</t>
    <phoneticPr fontId="1" type="noConversion"/>
  </si>
  <si>
    <t>LME铝:出仓:合计:新加坡</t>
    <phoneticPr fontId="1" type="noConversion"/>
  </si>
  <si>
    <t>S0164723</t>
    <phoneticPr fontId="1" type="noConversion"/>
  </si>
  <si>
    <t>LME铝:出仓:合计:意大利</t>
    <phoneticPr fontId="1" type="noConversion"/>
  </si>
  <si>
    <t>S0164724</t>
    <phoneticPr fontId="1" type="noConversion"/>
  </si>
  <si>
    <t>LME铝:出仓:合计:马来西亚</t>
    <phoneticPr fontId="1" type="noConversion"/>
  </si>
  <si>
    <t>S0164725</t>
    <phoneticPr fontId="1" type="noConversion"/>
  </si>
  <si>
    <t>LME铝:出仓:合计:中国台湾</t>
    <phoneticPr fontId="1" type="noConversion"/>
  </si>
  <si>
    <t>L1330017</t>
    <phoneticPr fontId="1" type="noConversion"/>
  </si>
  <si>
    <t>LME铝:出仓:比利时:安特卫普</t>
    <phoneticPr fontId="1" type="noConversion"/>
  </si>
  <si>
    <t>S0164726</t>
    <phoneticPr fontId="1" type="noConversion"/>
  </si>
  <si>
    <t>LME铝:出仓:美国:巴尔的摩</t>
    <phoneticPr fontId="1" type="noConversion"/>
  </si>
  <si>
    <t>S0164727</t>
    <phoneticPr fontId="1" type="noConversion"/>
  </si>
  <si>
    <t>LME铝:出仓:西班牙:巴塞罗那</t>
    <phoneticPr fontId="1" type="noConversion"/>
  </si>
  <si>
    <t>S0164728</t>
    <phoneticPr fontId="1" type="noConversion"/>
  </si>
  <si>
    <t>LME铝:出仓:西班牙:毕尔巴鄂</t>
    <phoneticPr fontId="1" type="noConversion"/>
  </si>
  <si>
    <t>S0164729</t>
    <phoneticPr fontId="1" type="noConversion"/>
  </si>
  <si>
    <t>LME铝:出仓:德国:不莱梅</t>
    <phoneticPr fontId="1" type="noConversion"/>
  </si>
  <si>
    <t>S0164730</t>
    <phoneticPr fontId="1" type="noConversion"/>
  </si>
  <si>
    <t>LME铝:出仓:韩国:釜山</t>
    <phoneticPr fontId="1" type="noConversion"/>
  </si>
  <si>
    <t>S0164731</t>
    <phoneticPr fontId="1" type="noConversion"/>
  </si>
  <si>
    <t>LME铝:出仓:美国:芝加哥</t>
    <phoneticPr fontId="1" type="noConversion"/>
  </si>
  <si>
    <t>S0164732</t>
    <phoneticPr fontId="1" type="noConversion"/>
  </si>
  <si>
    <t>LME铝:出仓:美国:底特律</t>
    <phoneticPr fontId="1" type="noConversion"/>
  </si>
  <si>
    <t>S0164733</t>
    <phoneticPr fontId="1" type="noConversion"/>
  </si>
  <si>
    <t>LME铝:出仓:意大利:热那亚</t>
    <phoneticPr fontId="1" type="noConversion"/>
  </si>
  <si>
    <t>S0164734</t>
    <phoneticPr fontId="1" type="noConversion"/>
  </si>
  <si>
    <t>LME铝:出仓:瑞典:哥德堡</t>
    <phoneticPr fontId="1" type="noConversion"/>
  </si>
  <si>
    <t>S0164735</t>
    <phoneticPr fontId="1" type="noConversion"/>
  </si>
  <si>
    <t>LME铝:出仓:韩国:光阳</t>
    <phoneticPr fontId="1" type="noConversion"/>
  </si>
  <si>
    <t>S0164736</t>
    <phoneticPr fontId="1" type="noConversion"/>
  </si>
  <si>
    <t>LME铝:出仓:德国:汉堡</t>
    <phoneticPr fontId="1" type="noConversion"/>
  </si>
  <si>
    <t>S0164737</t>
    <phoneticPr fontId="1" type="noConversion"/>
  </si>
  <si>
    <t>LME铝:出仓:瑞典:赫尔辛堡</t>
    <phoneticPr fontId="1" type="noConversion"/>
  </si>
  <si>
    <t>S0164738</t>
    <phoneticPr fontId="1" type="noConversion"/>
  </si>
  <si>
    <t>LME铝:出仓:英国:赫尔</t>
    <phoneticPr fontId="1" type="noConversion"/>
  </si>
  <si>
    <t>S0164739</t>
    <phoneticPr fontId="1" type="noConversion"/>
  </si>
  <si>
    <t>LME铝:出仓:韩国:仁川</t>
    <phoneticPr fontId="1" type="noConversion"/>
  </si>
  <si>
    <t>S0164740</t>
    <phoneticPr fontId="1" type="noConversion"/>
  </si>
  <si>
    <t>LME铝:出仓:马来西亚:柔佛</t>
    <phoneticPr fontId="1" type="noConversion"/>
  </si>
  <si>
    <t>S0164741</t>
    <phoneticPr fontId="1" type="noConversion"/>
  </si>
  <si>
    <t>LME铝:出仓:意大利:来亨</t>
    <phoneticPr fontId="1" type="noConversion"/>
  </si>
  <si>
    <t>S0164742</t>
    <phoneticPr fontId="1" type="noConversion"/>
  </si>
  <si>
    <t>LME铝:出仓:英国:利物浦</t>
    <phoneticPr fontId="1" type="noConversion"/>
  </si>
  <si>
    <t>S0164743</t>
    <phoneticPr fontId="1" type="noConversion"/>
  </si>
  <si>
    <t>LME铝:出仓:美国:长岛</t>
    <phoneticPr fontId="1" type="noConversion"/>
  </si>
  <si>
    <t>S0164744</t>
    <phoneticPr fontId="1" type="noConversion"/>
  </si>
  <si>
    <t>LME铝:出仓:美国:洛杉矶</t>
    <phoneticPr fontId="1" type="noConversion"/>
  </si>
  <si>
    <t>S0164745</t>
    <phoneticPr fontId="1" type="noConversion"/>
  </si>
  <si>
    <t>LME铝:出仓:美国:莫比尔</t>
    <phoneticPr fontId="1" type="noConversion"/>
  </si>
  <si>
    <t>S0164746</t>
    <phoneticPr fontId="1" type="noConversion"/>
  </si>
  <si>
    <t>LME铝:出仓:日本:名古屋</t>
    <phoneticPr fontId="1" type="noConversion"/>
  </si>
  <si>
    <t>S0164747</t>
    <phoneticPr fontId="1" type="noConversion"/>
  </si>
  <si>
    <t>LME铝:出仓:美国:新奥尔良</t>
    <phoneticPr fontId="1" type="noConversion"/>
  </si>
  <si>
    <t>S0164748</t>
    <phoneticPr fontId="1" type="noConversion"/>
  </si>
  <si>
    <t>LME铝:出仓:马来西亚:巴生港</t>
    <phoneticPr fontId="1" type="noConversion"/>
  </si>
  <si>
    <t>S0164749</t>
    <phoneticPr fontId="1" type="noConversion"/>
  </si>
  <si>
    <t>LME铝:出仓:荷兰:鹿特丹</t>
    <phoneticPr fontId="1" type="noConversion"/>
  </si>
  <si>
    <t>S0164750</t>
    <phoneticPr fontId="1" type="noConversion"/>
  </si>
  <si>
    <t>LME铝:出仓:新加坡:新加坡</t>
    <phoneticPr fontId="1" type="noConversion"/>
  </si>
  <si>
    <t>S0164751</t>
    <phoneticPr fontId="1" type="noConversion"/>
  </si>
  <si>
    <t>LME铝:出仓:美国:圣路易斯</t>
    <phoneticPr fontId="1" type="noConversion"/>
  </si>
  <si>
    <t>S0164752</t>
    <phoneticPr fontId="1" type="noConversion"/>
  </si>
  <si>
    <t>LME铝:出仓:西班牙:托莱多</t>
    <phoneticPr fontId="1" type="noConversion"/>
  </si>
  <si>
    <t>S0164753</t>
    <phoneticPr fontId="1" type="noConversion"/>
  </si>
  <si>
    <t>LME铝:出仓:意大利:的里雅斯特</t>
    <phoneticPr fontId="1" type="noConversion"/>
  </si>
  <si>
    <t>S0164754</t>
    <phoneticPr fontId="1" type="noConversion"/>
  </si>
  <si>
    <t>LME铝:出仓:英国:泰恩-威尔</t>
    <phoneticPr fontId="1" type="noConversion"/>
  </si>
  <si>
    <t>S0164755</t>
    <phoneticPr fontId="1" type="noConversion"/>
  </si>
  <si>
    <t>LME铝:出仓:荷兰:弗利辛恩</t>
    <phoneticPr fontId="1" type="noConversion"/>
  </si>
  <si>
    <t>S0164756</t>
    <phoneticPr fontId="1" type="noConversion"/>
  </si>
  <si>
    <t>LME铝:出仓:日本:横滨</t>
    <phoneticPr fontId="1" type="noConversion"/>
  </si>
  <si>
    <t>S0164757</t>
    <phoneticPr fontId="1" type="noConversion"/>
  </si>
  <si>
    <t>LME铝:出仓:中国台湾:高雄</t>
    <phoneticPr fontId="1" type="noConversion"/>
  </si>
  <si>
    <t>X6455550</t>
    <phoneticPr fontId="1" type="noConversion"/>
  </si>
  <si>
    <t>LME分仓库库存-铝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</si>
</sst>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76" formatCode="#,##0.00_ "/>
    <numFmt numFmtId="177" formatCode="yyyy\-mm\-dd"/>
  </numFmts>
  <fonts count="1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等线"/>
      <family val="3"/>
      <charset val="134"/>
    </font>
    <font>
      <sz val="11"/>
      <color theme="1"/>
      <name val="等线"/>
      <family val="2"/>
      <scheme val="minor"/>
    </font>
    <font>
      <sz val="20"/>
      <color theme="0"/>
      <name val="微软雅黑"/>
      <family val="2"/>
      <charset val="134"/>
    </font>
    <font>
      <sz val="12"/>
      <color theme="0"/>
      <name val="微软雅黑"/>
      <family val="2"/>
      <charset val="134"/>
    </font>
    <font>
      <sz val="9"/>
      <name val="等线"/>
      <family val="2"/>
      <charset val="134"/>
      <scheme val="minor"/>
    </font>
    <font>
      <sz val="12"/>
      <color theme="0"/>
      <name val="Arial"/>
      <family val="2"/>
    </font>
    <font>
      <sz val="16"/>
      <color theme="1"/>
      <name val="等线"/>
      <family val="2"/>
      <scheme val="minor"/>
    </font>
    <font>
      <b/>
      <sz val="16"/>
      <color rgb="FF212121"/>
      <name val="微软雅黑"/>
      <family val="2"/>
      <charset val="134"/>
    </font>
    <font>
      <sz val="16"/>
      <color theme="1"/>
      <name val="Arial"/>
      <family val="2"/>
    </font>
    <font>
      <sz val="11"/>
      <color theme="1"/>
      <name val="Arial"/>
      <family val="2"/>
    </font>
    <font>
      <sz val="16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indexed="10"/>
      <name val="等线"/>
      <family val="3"/>
      <charset val="134"/>
    </font>
    <font>
      <sz val="12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63636D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4C658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>
      <alignment vertical="center"/>
    </xf>
  </cellStyleXfs>
  <cellXfs count="3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49" fontId="0" fillId="0" borderId="0" xfId="0" applyNumberFormat="1"/>
    <xf numFmtId="0" fontId="0" fillId="0" borderId="0" xfId="0" applyNumberFormat="1" applyAlignment="1">
      <alignment horizontal="left"/>
    </xf>
    <xf numFmtId="176" fontId="0" fillId="0" borderId="0" xfId="0" applyNumberFormat="1" applyAlignment="1">
      <alignment horizontal="right"/>
    </xf>
    <xf numFmtId="177" fontId="0" fillId="0" borderId="0" xfId="0" applyNumberFormat="1" applyAlignment="1">
      <alignment horizontal="right"/>
    </xf>
    <xf numFmtId="0" fontId="5" fillId="2" borderId="2" xfId="0" applyFont="1" applyFill="1" applyBorder="1" applyAlignment="1">
      <alignment horizontal="right" vertical="center"/>
    </xf>
    <xf numFmtId="14" fontId="7" fillId="2" borderId="1" xfId="0" applyNumberFormat="1" applyFont="1" applyFill="1" applyBorder="1" applyAlignment="1">
      <alignment horizontal="center" vertical="center"/>
    </xf>
    <xf numFmtId="0" fontId="8" fillId="0" borderId="0" xfId="0" applyFont="1"/>
    <xf numFmtId="14" fontId="9" fillId="4" borderId="0" xfId="0" applyNumberFormat="1" applyFont="1" applyFill="1"/>
    <xf numFmtId="0" fontId="8" fillId="5" borderId="0" xfId="0" applyFont="1" applyFill="1"/>
    <xf numFmtId="0" fontId="8" fillId="3" borderId="0" xfId="0" applyFont="1" applyFill="1"/>
    <xf numFmtId="0" fontId="8" fillId="4" borderId="0" xfId="0" applyFont="1" applyFill="1"/>
    <xf numFmtId="43" fontId="10" fillId="5" borderId="0" xfId="1" applyFont="1" applyFill="1" applyAlignment="1"/>
    <xf numFmtId="43" fontId="10" fillId="3" borderId="0" xfId="1" applyFont="1" applyFill="1" applyAlignment="1"/>
    <xf numFmtId="43" fontId="10" fillId="4" borderId="0" xfId="1" applyFont="1" applyFill="1" applyAlignment="1"/>
    <xf numFmtId="43" fontId="11" fillId="3" borderId="0" xfId="1" applyFont="1" applyFill="1" applyAlignment="1"/>
    <xf numFmtId="0" fontId="12" fillId="5" borderId="0" xfId="0" applyFont="1" applyFill="1"/>
    <xf numFmtId="0" fontId="12" fillId="3" borderId="0" xfId="0" applyFont="1" applyFill="1"/>
    <xf numFmtId="0" fontId="12" fillId="4" borderId="0" xfId="0" applyFont="1" applyFill="1"/>
    <xf numFmtId="0" fontId="13" fillId="3" borderId="0" xfId="0" applyFont="1" applyFill="1"/>
    <xf numFmtId="49" fontId="13" fillId="0" borderId="0" xfId="0" applyNumberFormat="1" applyFont="1"/>
    <xf numFmtId="0" fontId="9" fillId="4" borderId="0" xfId="0" applyNumberFormat="1" applyFont="1" applyFill="1" applyAlignment="1">
      <alignment horizontal="left"/>
    </xf>
    <xf numFmtId="0" fontId="14" fillId="0" borderId="0" xfId="0" applyFont="1"/>
    <xf numFmtId="176" fontId="0" fillId="0" borderId="0" xfId="1" applyNumberFormat="1" applyFont="1" applyAlignment="1">
      <alignment horizontal="right"/>
    </xf>
    <xf numFmtId="14" fontId="11" fillId="0" borderId="0" xfId="0" applyNumberFormat="1" applyFont="1" applyFill="1" applyAlignment="1">
      <alignment horizontal="left"/>
    </xf>
    <xf numFmtId="0" fontId="13" fillId="0" borderId="0" xfId="0" applyFont="1" applyFill="1" applyAlignment="1">
      <alignment horizontal="left"/>
    </xf>
    <xf numFmtId="0" fontId="0" fillId="0" borderId="0" xfId="0" applyFill="1"/>
    <xf numFmtId="0" fontId="13" fillId="0" borderId="0" xfId="0" applyFont="1" applyFill="1"/>
    <xf numFmtId="43" fontId="11" fillId="0" borderId="0" xfId="1" applyFont="1" applyFill="1" applyAlignment="1"/>
    <xf numFmtId="0" fontId="4" fillId="2" borderId="1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</cellXfs>
  <cellStyles count="2">
    <cellStyle name="常规" xfId="0" builtinId="0"/>
    <cellStyle name="千位分隔" xfId="1" builtinId="3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6363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85725</xdr:rowOff>
    </xdr:from>
    <xdr:to>
      <xdr:col>2</xdr:col>
      <xdr:colOff>588102</xdr:colOff>
      <xdr:row>0</xdr:row>
      <xdr:rowOff>305325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B14FCFAF-B093-46EB-A7C7-03D9D00247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85725"/>
          <a:ext cx="607152" cy="2196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\Wind.NET.Client\WindNET\DataBrowse\XLA\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edb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63636D"/>
  </sheetPr>
  <dimension ref="A1:N77"/>
  <sheetViews>
    <sheetView showGridLines="0" tabSelected="1" workbookViewId="0">
      <pane ySplit="1" topLeftCell="A2" activePane="bottomLeft" state="frozen"/>
      <selection pane="bottomLeft" activeCell="E66" sqref="E66"/>
    </sheetView>
  </sheetViews>
  <sheetFormatPr defaultRowHeight="14.25" outlineLevelRow="2" x14ac:dyDescent="0.2"/>
  <cols>
    <col min="1" max="2" width="2.5" customWidth="1"/>
    <col min="3" max="3" width="24.75" bestFit="1" customWidth="1"/>
    <col min="4" max="4" width="6.375" customWidth="1"/>
    <col min="5" max="11" width="17.5" customWidth="1"/>
    <col min="12" max="13" width="2.375" customWidth="1"/>
  </cols>
  <sheetData>
    <row r="1" spans="1:13" ht="27.75" x14ac:dyDescent="0.2">
      <c r="A1" s="1"/>
      <c r="B1" s="1"/>
      <c r="C1" s="1"/>
      <c r="D1" s="32" t="s">
        <v>331</v>
      </c>
      <c r="E1" s="32"/>
      <c r="F1" s="32"/>
      <c r="G1" s="32"/>
      <c r="H1" s="32"/>
      <c r="I1" s="32"/>
      <c r="J1" s="8" t="s">
        <v>332</v>
      </c>
      <c r="K1" s="9">
        <f ca="1">WORKDAY(TODAY(),-1)</f>
        <v>45208</v>
      </c>
      <c r="L1" s="1"/>
      <c r="M1" s="1"/>
    </row>
    <row r="2" spans="1:13" ht="22.5" x14ac:dyDescent="0.4">
      <c r="A2" s="2"/>
      <c r="B2" s="3"/>
      <c r="C2" s="10"/>
      <c r="D2" s="11"/>
      <c r="E2" s="24" t="s">
        <v>246</v>
      </c>
      <c r="F2" s="24" t="s">
        <v>247</v>
      </c>
      <c r="G2" s="24" t="s">
        <v>248</v>
      </c>
      <c r="H2" s="24" t="s">
        <v>249</v>
      </c>
      <c r="I2" s="24" t="s">
        <v>250</v>
      </c>
      <c r="J2" s="24" t="s">
        <v>251</v>
      </c>
      <c r="K2" s="24" t="s">
        <v>252</v>
      </c>
      <c r="L2" s="3"/>
      <c r="M2" s="2"/>
    </row>
    <row r="3" spans="1:13" ht="22.5" x14ac:dyDescent="0.4">
      <c r="A3" s="2"/>
      <c r="B3" s="3"/>
      <c r="C3" s="19" t="s">
        <v>253</v>
      </c>
      <c r="D3" s="12"/>
      <c r="E3" s="15">
        <f>铝模板!G2</f>
        <v>492650</v>
      </c>
      <c r="F3" s="15">
        <f>铝模板!H2</f>
        <v>193300</v>
      </c>
      <c r="G3" s="15">
        <f>铝模板!I2</f>
        <v>299350</v>
      </c>
      <c r="H3" s="15">
        <f>铝模板!J2</f>
        <v>0</v>
      </c>
      <c r="I3" s="15">
        <f>铝模板!K2</f>
        <v>3000</v>
      </c>
      <c r="J3" s="15">
        <f>铝模板!L2</f>
        <v>-3000</v>
      </c>
      <c r="K3" s="15">
        <f>铝模板!M2</f>
        <v>495650</v>
      </c>
      <c r="L3" s="3"/>
      <c r="M3" s="2"/>
    </row>
    <row r="4" spans="1:13" ht="22.5" x14ac:dyDescent="0.4">
      <c r="A4" s="2"/>
      <c r="B4" s="3"/>
      <c r="C4" s="19" t="s">
        <v>254</v>
      </c>
      <c r="D4" s="12"/>
      <c r="E4" s="15">
        <f>铝模板!G3</f>
        <v>4625</v>
      </c>
      <c r="F4" s="15">
        <f>铝模板!H3</f>
        <v>1875</v>
      </c>
      <c r="G4" s="15">
        <f>铝模板!I3</f>
        <v>2750</v>
      </c>
      <c r="H4" s="15">
        <f>铝模板!J3</f>
        <v>0</v>
      </c>
      <c r="I4" s="15">
        <f>铝模板!K3</f>
        <v>1000</v>
      </c>
      <c r="J4" s="15">
        <f>铝模板!L3</f>
        <v>-1000</v>
      </c>
      <c r="K4" s="15">
        <f>铝模板!M3</f>
        <v>5625</v>
      </c>
      <c r="L4" s="3"/>
      <c r="M4" s="2"/>
    </row>
    <row r="5" spans="1:13" ht="22.5" outlineLevel="1" x14ac:dyDescent="0.4">
      <c r="A5" s="2"/>
      <c r="B5" s="3"/>
      <c r="C5" s="20" t="s">
        <v>255</v>
      </c>
      <c r="D5" s="13"/>
      <c r="E5" s="16">
        <f>铝模板!G4</f>
        <v>0</v>
      </c>
      <c r="F5" s="16">
        <f>铝模板!H4</f>
        <v>0</v>
      </c>
      <c r="G5" s="16">
        <f>铝模板!I4</f>
        <v>0</v>
      </c>
      <c r="H5" s="16">
        <f>铝模板!J4</f>
        <v>0</v>
      </c>
      <c r="I5" s="16">
        <f>铝模板!K4</f>
        <v>0</v>
      </c>
      <c r="J5" s="16">
        <f>铝模板!L4</f>
        <v>0</v>
      </c>
      <c r="K5" s="16">
        <f>铝模板!M4</f>
        <v>0</v>
      </c>
      <c r="L5" s="3"/>
      <c r="M5" s="2"/>
    </row>
    <row r="6" spans="1:13" ht="22.5" outlineLevel="2" x14ac:dyDescent="0.4">
      <c r="A6" s="2"/>
      <c r="B6" s="3"/>
      <c r="C6" s="21" t="s">
        <v>256</v>
      </c>
      <c r="D6" s="14"/>
      <c r="E6" s="17">
        <f>铝模板!G5</f>
        <v>0</v>
      </c>
      <c r="F6" s="17">
        <f>铝模板!H5</f>
        <v>0</v>
      </c>
      <c r="G6" s="17">
        <f>铝模板!I5</f>
        <v>0</v>
      </c>
      <c r="H6" s="17">
        <f>铝模板!J5</f>
        <v>0</v>
      </c>
      <c r="I6" s="17">
        <f>铝模板!K5</f>
        <v>0</v>
      </c>
      <c r="J6" s="17">
        <f>铝模板!L5</f>
        <v>0</v>
      </c>
      <c r="K6" s="17">
        <f>铝模板!M5</f>
        <v>0</v>
      </c>
      <c r="L6" s="3"/>
      <c r="M6" s="2"/>
    </row>
    <row r="7" spans="1:13" ht="56.25" customHeight="1" outlineLevel="2" x14ac:dyDescent="0.4">
      <c r="A7" s="2"/>
      <c r="B7" s="3"/>
      <c r="C7" s="20" t="s">
        <v>257</v>
      </c>
      <c r="D7" s="13"/>
      <c r="E7" s="16">
        <f>铝模板!G6</f>
        <v>0</v>
      </c>
      <c r="F7" s="16">
        <f>铝模板!H6</f>
        <v>0</v>
      </c>
      <c r="G7" s="16">
        <f>铝模板!I6</f>
        <v>0</v>
      </c>
      <c r="H7" s="16">
        <f>铝模板!J6</f>
        <v>0</v>
      </c>
      <c r="I7" s="16">
        <f>铝模板!K6</f>
        <v>0</v>
      </c>
      <c r="J7" s="16">
        <f>铝模板!L6</f>
        <v>0</v>
      </c>
      <c r="K7" s="16">
        <f>铝模板!M6</f>
        <v>0</v>
      </c>
      <c r="L7" s="3"/>
      <c r="M7" s="2"/>
    </row>
    <row r="8" spans="1:13" ht="22.5" outlineLevel="1" x14ac:dyDescent="0.4">
      <c r="A8" s="2"/>
      <c r="B8" s="3"/>
      <c r="C8" s="21" t="s">
        <v>258</v>
      </c>
      <c r="D8" s="14"/>
      <c r="E8" s="17">
        <f>铝模板!G7</f>
        <v>0</v>
      </c>
      <c r="F8" s="17">
        <f>铝模板!H7</f>
        <v>0</v>
      </c>
      <c r="G8" s="17">
        <f>铝模板!I7</f>
        <v>0</v>
      </c>
      <c r="H8" s="17">
        <f>铝模板!J7</f>
        <v>0</v>
      </c>
      <c r="I8" s="17">
        <f>铝模板!K7</f>
        <v>0</v>
      </c>
      <c r="J8" s="17">
        <f>铝模板!L7</f>
        <v>0</v>
      </c>
      <c r="K8" s="17">
        <f>铝模板!M7</f>
        <v>0</v>
      </c>
      <c r="L8" s="3"/>
      <c r="M8" s="2"/>
    </row>
    <row r="9" spans="1:13" ht="22.5" hidden="1" outlineLevel="2" x14ac:dyDescent="0.4">
      <c r="A9" s="2"/>
      <c r="B9" s="3"/>
      <c r="C9" s="20" t="s">
        <v>259</v>
      </c>
      <c r="D9" s="13"/>
      <c r="E9" s="16">
        <f>铝模板!G8</f>
        <v>0</v>
      </c>
      <c r="F9" s="16">
        <f>铝模板!H8</f>
        <v>0</v>
      </c>
      <c r="G9" s="16">
        <f>铝模板!I8</f>
        <v>0</v>
      </c>
      <c r="H9" s="16">
        <f>铝模板!J8</f>
        <v>0</v>
      </c>
      <c r="I9" s="16">
        <f>铝模板!K8</f>
        <v>0</v>
      </c>
      <c r="J9" s="16">
        <f>铝模板!L8</f>
        <v>0</v>
      </c>
      <c r="K9" s="16">
        <f>铝模板!M8</f>
        <v>0</v>
      </c>
      <c r="L9" s="3"/>
      <c r="M9" s="2"/>
    </row>
    <row r="10" spans="1:13" ht="22.5" outlineLevel="1" collapsed="1" x14ac:dyDescent="0.4">
      <c r="A10" s="2"/>
      <c r="B10" s="3"/>
      <c r="C10" s="21" t="s">
        <v>260</v>
      </c>
      <c r="D10" s="14"/>
      <c r="E10" s="17">
        <f>铝模板!G9</f>
        <v>0</v>
      </c>
      <c r="F10" s="17">
        <f>铝模板!H9</f>
        <v>0</v>
      </c>
      <c r="G10" s="17">
        <f>铝模板!I9</f>
        <v>0</v>
      </c>
      <c r="H10" s="17">
        <f>铝模板!J9</f>
        <v>0</v>
      </c>
      <c r="I10" s="17">
        <f>铝模板!K9</f>
        <v>0</v>
      </c>
      <c r="J10" s="17">
        <f>铝模板!L9</f>
        <v>0</v>
      </c>
      <c r="K10" s="17">
        <f>铝模板!M9</f>
        <v>0</v>
      </c>
      <c r="L10" s="3"/>
      <c r="M10" s="2"/>
    </row>
    <row r="11" spans="1:13" ht="22.5" hidden="1" outlineLevel="2" x14ac:dyDescent="0.4">
      <c r="A11" s="2"/>
      <c r="B11" s="3"/>
      <c r="C11" s="20" t="s">
        <v>261</v>
      </c>
      <c r="D11" s="13"/>
      <c r="E11" s="16">
        <f>铝模板!G10</f>
        <v>0</v>
      </c>
      <c r="F11" s="16">
        <f>铝模板!H10</f>
        <v>0</v>
      </c>
      <c r="G11" s="16">
        <f>铝模板!I10</f>
        <v>0</v>
      </c>
      <c r="H11" s="16">
        <f>铝模板!J10</f>
        <v>0</v>
      </c>
      <c r="I11" s="16">
        <f>铝模板!K10</f>
        <v>0</v>
      </c>
      <c r="J11" s="16">
        <f>铝模板!L10</f>
        <v>0</v>
      </c>
      <c r="K11" s="16">
        <f>铝模板!M10</f>
        <v>0</v>
      </c>
      <c r="L11" s="3"/>
      <c r="M11" s="2"/>
    </row>
    <row r="12" spans="1:13" ht="22.5" hidden="1" outlineLevel="2" x14ac:dyDescent="0.4">
      <c r="A12" s="2"/>
      <c r="B12" s="3"/>
      <c r="C12" s="21" t="s">
        <v>262</v>
      </c>
      <c r="D12" s="14"/>
      <c r="E12" s="17">
        <f>铝模板!G11</f>
        <v>0</v>
      </c>
      <c r="F12" s="17">
        <f>铝模板!H11</f>
        <v>0</v>
      </c>
      <c r="G12" s="17">
        <f>铝模板!I11</f>
        <v>0</v>
      </c>
      <c r="H12" s="17">
        <f>铝模板!J11</f>
        <v>0</v>
      </c>
      <c r="I12" s="17">
        <f>铝模板!K11</f>
        <v>0</v>
      </c>
      <c r="J12" s="17">
        <f>铝模板!L11</f>
        <v>0</v>
      </c>
      <c r="K12" s="17">
        <f>铝模板!M11</f>
        <v>0</v>
      </c>
      <c r="L12" s="3"/>
      <c r="M12" s="2"/>
    </row>
    <row r="13" spans="1:13" ht="22.5" outlineLevel="1" collapsed="1" x14ac:dyDescent="0.4">
      <c r="A13" s="2"/>
      <c r="B13" s="3"/>
      <c r="C13" s="20" t="s">
        <v>263</v>
      </c>
      <c r="D13" s="13"/>
      <c r="E13" s="16">
        <f>铝模板!G12</f>
        <v>0</v>
      </c>
      <c r="F13" s="16">
        <f>铝模板!H12</f>
        <v>0</v>
      </c>
      <c r="G13" s="16">
        <f>铝模板!I12</f>
        <v>0</v>
      </c>
      <c r="H13" s="16">
        <f>铝模板!J12</f>
        <v>0</v>
      </c>
      <c r="I13" s="16">
        <f>铝模板!K12</f>
        <v>0</v>
      </c>
      <c r="J13" s="16">
        <f>铝模板!L12</f>
        <v>0</v>
      </c>
      <c r="K13" s="16">
        <f>铝模板!M12</f>
        <v>0</v>
      </c>
      <c r="L13" s="3"/>
      <c r="M13" s="2"/>
    </row>
    <row r="14" spans="1:13" ht="22.5" hidden="1" outlineLevel="2" x14ac:dyDescent="0.4">
      <c r="A14" s="2"/>
      <c r="B14" s="3"/>
      <c r="C14" s="21" t="s">
        <v>264</v>
      </c>
      <c r="D14" s="14"/>
      <c r="E14" s="17">
        <f>铝模板!G13</f>
        <v>0</v>
      </c>
      <c r="F14" s="17">
        <f>铝模板!H13</f>
        <v>0</v>
      </c>
      <c r="G14" s="17">
        <f>铝模板!I13</f>
        <v>0</v>
      </c>
      <c r="H14" s="17">
        <f>铝模板!J13</f>
        <v>0</v>
      </c>
      <c r="I14" s="17">
        <f>铝模板!K13</f>
        <v>0</v>
      </c>
      <c r="J14" s="17">
        <f>铝模板!L13</f>
        <v>0</v>
      </c>
      <c r="K14" s="17">
        <f>铝模板!M13</f>
        <v>0</v>
      </c>
      <c r="L14" s="3"/>
      <c r="M14" s="2"/>
    </row>
    <row r="15" spans="1:13" ht="22.5" hidden="1" outlineLevel="2" x14ac:dyDescent="0.4">
      <c r="A15" s="2"/>
      <c r="B15" s="3"/>
      <c r="C15" s="20" t="s">
        <v>265</v>
      </c>
      <c r="D15" s="13"/>
      <c r="E15" s="16">
        <f>铝模板!G14</f>
        <v>0</v>
      </c>
      <c r="F15" s="16">
        <f>铝模板!H14</f>
        <v>0</v>
      </c>
      <c r="G15" s="16">
        <f>铝模板!I14</f>
        <v>0</v>
      </c>
      <c r="H15" s="16">
        <f>铝模板!J14</f>
        <v>0</v>
      </c>
      <c r="I15" s="16">
        <f>铝模板!K14</f>
        <v>0</v>
      </c>
      <c r="J15" s="16">
        <f>铝模板!L14</f>
        <v>0</v>
      </c>
      <c r="K15" s="16">
        <f>铝模板!M14</f>
        <v>0</v>
      </c>
      <c r="L15" s="3"/>
      <c r="M15" s="2"/>
    </row>
    <row r="16" spans="1:13" ht="22.5" hidden="1" outlineLevel="2" x14ac:dyDescent="0.4">
      <c r="A16" s="2"/>
      <c r="B16" s="3"/>
      <c r="C16" s="21" t="s">
        <v>266</v>
      </c>
      <c r="D16" s="14"/>
      <c r="E16" s="17">
        <f>铝模板!G15</f>
        <v>0</v>
      </c>
      <c r="F16" s="17">
        <f>铝模板!H15</f>
        <v>0</v>
      </c>
      <c r="G16" s="17">
        <f>铝模板!I15</f>
        <v>0</v>
      </c>
      <c r="H16" s="17">
        <f>铝模板!J15</f>
        <v>0</v>
      </c>
      <c r="I16" s="17">
        <f>铝模板!K15</f>
        <v>0</v>
      </c>
      <c r="J16" s="17">
        <f>铝模板!L15</f>
        <v>0</v>
      </c>
      <c r="K16" s="17">
        <f>铝模板!M15</f>
        <v>0</v>
      </c>
      <c r="L16" s="3"/>
      <c r="M16" s="2"/>
    </row>
    <row r="17" spans="1:13" ht="22.5" outlineLevel="1" collapsed="1" x14ac:dyDescent="0.4">
      <c r="A17" s="2"/>
      <c r="B17" s="3"/>
      <c r="C17" s="20" t="s">
        <v>267</v>
      </c>
      <c r="D17" s="13"/>
      <c r="E17" s="16">
        <f>铝模板!G16</f>
        <v>4575</v>
      </c>
      <c r="F17" s="16">
        <f>铝模板!H16</f>
        <v>1875</v>
      </c>
      <c r="G17" s="16">
        <f>铝模板!I16</f>
        <v>2700</v>
      </c>
      <c r="H17" s="16">
        <f>铝模板!J16</f>
        <v>0</v>
      </c>
      <c r="I17" s="16">
        <f>铝模板!K16</f>
        <v>1000</v>
      </c>
      <c r="J17" s="16">
        <f>铝模板!L16</f>
        <v>-1000</v>
      </c>
      <c r="K17" s="16">
        <f>铝模板!M16</f>
        <v>5575</v>
      </c>
      <c r="L17" s="3"/>
      <c r="M17" s="2"/>
    </row>
    <row r="18" spans="1:13" ht="22.5" hidden="1" outlineLevel="2" x14ac:dyDescent="0.4">
      <c r="A18" s="2"/>
      <c r="B18" s="3"/>
      <c r="C18" s="21" t="s">
        <v>268</v>
      </c>
      <c r="D18" s="14"/>
      <c r="E18" s="17">
        <f>铝模板!G17</f>
        <v>0</v>
      </c>
      <c r="F18" s="17">
        <f>铝模板!H17</f>
        <v>0</v>
      </c>
      <c r="G18" s="17">
        <f>铝模板!I17</f>
        <v>0</v>
      </c>
      <c r="H18" s="17">
        <f>铝模板!J17</f>
        <v>0</v>
      </c>
      <c r="I18" s="17">
        <f>铝模板!K17</f>
        <v>0</v>
      </c>
      <c r="J18" s="17">
        <f>铝模板!L17</f>
        <v>0</v>
      </c>
      <c r="K18" s="17">
        <f>铝模板!M17</f>
        <v>0</v>
      </c>
      <c r="L18" s="3"/>
      <c r="M18" s="2"/>
    </row>
    <row r="19" spans="1:13" ht="22.5" hidden="1" outlineLevel="2" x14ac:dyDescent="0.4">
      <c r="A19" s="2"/>
      <c r="B19" s="3"/>
      <c r="C19" s="20" t="s">
        <v>269</v>
      </c>
      <c r="D19" s="13"/>
      <c r="E19" s="16">
        <f>铝模板!G18</f>
        <v>4575</v>
      </c>
      <c r="F19" s="16">
        <f>铝模板!H18</f>
        <v>1875</v>
      </c>
      <c r="G19" s="16">
        <f>铝模板!I18</f>
        <v>2700</v>
      </c>
      <c r="H19" s="16">
        <f>铝模板!J18</f>
        <v>0</v>
      </c>
      <c r="I19" s="16">
        <f>铝模板!K18</f>
        <v>1000</v>
      </c>
      <c r="J19" s="16">
        <f>铝模板!L18</f>
        <v>-1000</v>
      </c>
      <c r="K19" s="16">
        <f>铝模板!M18</f>
        <v>5575</v>
      </c>
      <c r="L19" s="3"/>
      <c r="M19" s="2"/>
    </row>
    <row r="20" spans="1:13" ht="22.5" outlineLevel="1" collapsed="1" x14ac:dyDescent="0.4">
      <c r="A20" s="2"/>
      <c r="B20" s="3"/>
      <c r="C20" s="21" t="s">
        <v>270</v>
      </c>
      <c r="D20" s="14"/>
      <c r="E20" s="17">
        <f>铝模板!G19</f>
        <v>50</v>
      </c>
      <c r="F20" s="17">
        <f>铝模板!H19</f>
        <v>0</v>
      </c>
      <c r="G20" s="17">
        <f>铝模板!I19</f>
        <v>50</v>
      </c>
      <c r="H20" s="17">
        <f>铝模板!J19</f>
        <v>0</v>
      </c>
      <c r="I20" s="17">
        <f>铝模板!K19</f>
        <v>0</v>
      </c>
      <c r="J20" s="17">
        <f>铝模板!L19</f>
        <v>0</v>
      </c>
      <c r="K20" s="17">
        <f>铝模板!M19</f>
        <v>50</v>
      </c>
      <c r="L20" s="3"/>
      <c r="M20" s="2"/>
    </row>
    <row r="21" spans="1:13" ht="22.5" hidden="1" outlineLevel="2" x14ac:dyDescent="0.4">
      <c r="A21" s="2"/>
      <c r="B21" s="3"/>
      <c r="C21" s="20" t="s">
        <v>271</v>
      </c>
      <c r="D21" s="13"/>
      <c r="E21" s="16">
        <f>铝模板!G20</f>
        <v>50</v>
      </c>
      <c r="F21" s="16">
        <f>铝模板!H20</f>
        <v>0</v>
      </c>
      <c r="G21" s="16">
        <f>铝模板!I20</f>
        <v>50</v>
      </c>
      <c r="H21" s="16">
        <f>铝模板!J20</f>
        <v>0</v>
      </c>
      <c r="I21" s="16">
        <f>铝模板!K20</f>
        <v>0</v>
      </c>
      <c r="J21" s="16">
        <f>铝模板!L20</f>
        <v>0</v>
      </c>
      <c r="K21" s="16">
        <f>铝模板!M20</f>
        <v>50</v>
      </c>
      <c r="L21" s="3"/>
      <c r="M21" s="2"/>
    </row>
    <row r="22" spans="1:13" ht="22.5" hidden="1" outlineLevel="2" x14ac:dyDescent="0.4">
      <c r="A22" s="2"/>
      <c r="B22" s="3"/>
      <c r="C22" s="21" t="s">
        <v>272</v>
      </c>
      <c r="D22" s="14"/>
      <c r="E22" s="17">
        <f>铝模板!G21</f>
        <v>0</v>
      </c>
      <c r="F22" s="17">
        <f>铝模板!H21</f>
        <v>0</v>
      </c>
      <c r="G22" s="17">
        <f>铝模板!I21</f>
        <v>0</v>
      </c>
      <c r="H22" s="17">
        <f>铝模板!J21</f>
        <v>0</v>
      </c>
      <c r="I22" s="17">
        <f>铝模板!K21</f>
        <v>0</v>
      </c>
      <c r="J22" s="17">
        <f>铝模板!L21</f>
        <v>0</v>
      </c>
      <c r="K22" s="17">
        <f>铝模板!M21</f>
        <v>0</v>
      </c>
      <c r="L22" s="3"/>
      <c r="M22" s="2"/>
    </row>
    <row r="23" spans="1:13" ht="22.5" hidden="1" outlineLevel="2" x14ac:dyDescent="0.4">
      <c r="A23" s="2"/>
      <c r="B23" s="3"/>
      <c r="C23" s="20" t="s">
        <v>273</v>
      </c>
      <c r="D23" s="13"/>
      <c r="E23" s="16">
        <f>铝模板!G22</f>
        <v>0</v>
      </c>
      <c r="F23" s="16">
        <f>铝模板!H22</f>
        <v>0</v>
      </c>
      <c r="G23" s="16">
        <f>铝模板!I22</f>
        <v>0</v>
      </c>
      <c r="H23" s="16">
        <f>铝模板!J22</f>
        <v>0</v>
      </c>
      <c r="I23" s="16">
        <f>铝模板!K22</f>
        <v>0</v>
      </c>
      <c r="J23" s="16">
        <f>铝模板!L22</f>
        <v>0</v>
      </c>
      <c r="K23" s="16">
        <f>铝模板!M22</f>
        <v>0</v>
      </c>
      <c r="L23" s="3"/>
      <c r="M23" s="2"/>
    </row>
    <row r="24" spans="1:13" ht="22.5" outlineLevel="1" collapsed="1" x14ac:dyDescent="0.4">
      <c r="A24" s="2"/>
      <c r="B24" s="3"/>
      <c r="C24" s="21" t="s">
        <v>274</v>
      </c>
      <c r="D24" s="14"/>
      <c r="E24" s="17">
        <f>铝模板!G23</f>
        <v>0</v>
      </c>
      <c r="F24" s="17">
        <f>铝模板!H23</f>
        <v>0</v>
      </c>
      <c r="G24" s="17">
        <f>铝模板!I23</f>
        <v>0</v>
      </c>
      <c r="H24" s="17">
        <f>铝模板!J23</f>
        <v>0</v>
      </c>
      <c r="I24" s="17">
        <f>铝模板!K23</f>
        <v>0</v>
      </c>
      <c r="J24" s="17">
        <f>铝模板!L23</f>
        <v>0</v>
      </c>
      <c r="K24" s="17">
        <f>铝模板!M23</f>
        <v>0</v>
      </c>
      <c r="L24" s="3"/>
      <c r="M24" s="2"/>
    </row>
    <row r="25" spans="1:13" ht="22.5" hidden="1" outlineLevel="2" x14ac:dyDescent="0.4">
      <c r="A25" s="2"/>
      <c r="B25" s="3"/>
      <c r="C25" s="20" t="s">
        <v>275</v>
      </c>
      <c r="D25" s="13"/>
      <c r="E25" s="16">
        <f>铝模板!G24</f>
        <v>0</v>
      </c>
      <c r="F25" s="16">
        <f>铝模板!H24</f>
        <v>0</v>
      </c>
      <c r="G25" s="16">
        <f>铝模板!I24</f>
        <v>0</v>
      </c>
      <c r="H25" s="16">
        <f>铝模板!J24</f>
        <v>0</v>
      </c>
      <c r="I25" s="16">
        <f>铝模板!K24</f>
        <v>0</v>
      </c>
      <c r="J25" s="16">
        <f>铝模板!L24</f>
        <v>0</v>
      </c>
      <c r="K25" s="16">
        <f>铝模板!M24</f>
        <v>0</v>
      </c>
      <c r="L25" s="3"/>
      <c r="M25" s="2"/>
    </row>
    <row r="26" spans="1:13" ht="22.5" hidden="1" outlineLevel="2" x14ac:dyDescent="0.4">
      <c r="A26" s="2"/>
      <c r="B26" s="3"/>
      <c r="C26" s="21" t="s">
        <v>276</v>
      </c>
      <c r="D26" s="14"/>
      <c r="E26" s="17">
        <f>铝模板!G25</f>
        <v>0</v>
      </c>
      <c r="F26" s="17">
        <f>铝模板!H25</f>
        <v>0</v>
      </c>
      <c r="G26" s="17">
        <f>铝模板!I25</f>
        <v>0</v>
      </c>
      <c r="H26" s="17">
        <f>铝模板!J25</f>
        <v>0</v>
      </c>
      <c r="I26" s="17">
        <f>铝模板!K25</f>
        <v>0</v>
      </c>
      <c r="J26" s="17">
        <f>铝模板!L25</f>
        <v>0</v>
      </c>
      <c r="K26" s="17">
        <f>铝模板!M25</f>
        <v>0</v>
      </c>
      <c r="L26" s="3"/>
      <c r="M26" s="2"/>
    </row>
    <row r="27" spans="1:13" ht="22.5" hidden="1" outlineLevel="2" x14ac:dyDescent="0.4">
      <c r="A27" s="2"/>
      <c r="B27" s="3"/>
      <c r="C27" s="20" t="s">
        <v>277</v>
      </c>
      <c r="D27" s="13"/>
      <c r="E27" s="16">
        <f>铝模板!G26</f>
        <v>0</v>
      </c>
      <c r="F27" s="16">
        <f>铝模板!H26</f>
        <v>0</v>
      </c>
      <c r="G27" s="16">
        <f>铝模板!I26</f>
        <v>0</v>
      </c>
      <c r="H27" s="16">
        <f>铝模板!J26</f>
        <v>0</v>
      </c>
      <c r="I27" s="16">
        <f>铝模板!K26</f>
        <v>0</v>
      </c>
      <c r="J27" s="16">
        <f>铝模板!L26</f>
        <v>0</v>
      </c>
      <c r="K27" s="16">
        <f>铝模板!M26</f>
        <v>0</v>
      </c>
      <c r="L27" s="3"/>
      <c r="M27" s="2"/>
    </row>
    <row r="28" spans="1:13" ht="22.5" collapsed="1" x14ac:dyDescent="0.4">
      <c r="A28" s="2"/>
      <c r="B28" s="3"/>
      <c r="C28" s="19" t="s">
        <v>278</v>
      </c>
      <c r="D28" s="12"/>
      <c r="E28" s="15">
        <f>铝模板!G27</f>
        <v>2925</v>
      </c>
      <c r="F28" s="15">
        <f>铝模板!H27</f>
        <v>2375</v>
      </c>
      <c r="G28" s="15">
        <f>铝模板!I27</f>
        <v>550</v>
      </c>
      <c r="H28" s="15">
        <f>铝模板!J27</f>
        <v>0</v>
      </c>
      <c r="I28" s="15">
        <f>铝模板!K27</f>
        <v>0</v>
      </c>
      <c r="J28" s="15">
        <f>铝模板!L27</f>
        <v>0</v>
      </c>
      <c r="K28" s="15">
        <f>铝模板!M27</f>
        <v>2925</v>
      </c>
      <c r="L28" s="3"/>
      <c r="M28" s="2"/>
    </row>
    <row r="29" spans="1:13" ht="22.5" outlineLevel="1" x14ac:dyDescent="0.4">
      <c r="A29" s="2"/>
      <c r="B29" s="3"/>
      <c r="C29" s="20" t="s">
        <v>279</v>
      </c>
      <c r="D29" s="13"/>
      <c r="E29" s="16">
        <f>铝模板!G28</f>
        <v>2925</v>
      </c>
      <c r="F29" s="16">
        <f>铝模板!H28</f>
        <v>2375</v>
      </c>
      <c r="G29" s="16">
        <f>铝模板!I28</f>
        <v>550</v>
      </c>
      <c r="H29" s="16">
        <f>铝模板!J28</f>
        <v>0</v>
      </c>
      <c r="I29" s="16">
        <f>铝模板!K28</f>
        <v>0</v>
      </c>
      <c r="J29" s="16">
        <f>铝模板!L28</f>
        <v>0</v>
      </c>
      <c r="K29" s="16">
        <f>铝模板!M28</f>
        <v>2925</v>
      </c>
      <c r="L29" s="3"/>
      <c r="M29" s="2"/>
    </row>
    <row r="30" spans="1:13" ht="22.5" hidden="1" outlineLevel="2" x14ac:dyDescent="0.4">
      <c r="A30" s="2"/>
      <c r="B30" s="3"/>
      <c r="C30" s="21" t="s">
        <v>280</v>
      </c>
      <c r="D30" s="14"/>
      <c r="E30" s="17">
        <f>铝模板!G29</f>
        <v>0</v>
      </c>
      <c r="F30" s="17">
        <f>铝模板!H29</f>
        <v>0</v>
      </c>
      <c r="G30" s="17">
        <f>铝模板!I29</f>
        <v>0</v>
      </c>
      <c r="H30" s="17">
        <f>铝模板!J29</f>
        <v>0</v>
      </c>
      <c r="I30" s="17">
        <f>铝模板!K29</f>
        <v>0</v>
      </c>
      <c r="J30" s="17">
        <f>铝模板!L29</f>
        <v>0</v>
      </c>
      <c r="K30" s="17">
        <f>铝模板!M29</f>
        <v>0</v>
      </c>
      <c r="L30" s="3"/>
      <c r="M30" s="2"/>
    </row>
    <row r="31" spans="1:13" ht="22.5" hidden="1" outlineLevel="2" x14ac:dyDescent="0.4">
      <c r="A31" s="2"/>
      <c r="B31" s="3"/>
      <c r="C31" s="20" t="s">
        <v>281</v>
      </c>
      <c r="D31" s="13"/>
      <c r="E31" s="16">
        <f>铝模板!G30</f>
        <v>2925</v>
      </c>
      <c r="F31" s="16">
        <f>铝模板!H30</f>
        <v>2375</v>
      </c>
      <c r="G31" s="16">
        <f>铝模板!I30</f>
        <v>550</v>
      </c>
      <c r="H31" s="16">
        <f>铝模板!J30</f>
        <v>0</v>
      </c>
      <c r="I31" s="16">
        <f>铝模板!K30</f>
        <v>0</v>
      </c>
      <c r="J31" s="16">
        <f>铝模板!L30</f>
        <v>0</v>
      </c>
      <c r="K31" s="16">
        <f>铝模板!M30</f>
        <v>2925</v>
      </c>
      <c r="L31" s="3"/>
      <c r="M31" s="2"/>
    </row>
    <row r="32" spans="1:13" ht="22.5" hidden="1" outlineLevel="2" x14ac:dyDescent="0.4">
      <c r="A32" s="2"/>
      <c r="B32" s="3"/>
      <c r="C32" s="21" t="s">
        <v>282</v>
      </c>
      <c r="D32" s="14"/>
      <c r="E32" s="17">
        <f>铝模板!G31</f>
        <v>0</v>
      </c>
      <c r="F32" s="17">
        <f>铝模板!H31</f>
        <v>0</v>
      </c>
      <c r="G32" s="17">
        <f>铝模板!I31</f>
        <v>0</v>
      </c>
      <c r="H32" s="17">
        <f>铝模板!J31</f>
        <v>0</v>
      </c>
      <c r="I32" s="17">
        <f>铝模板!K31</f>
        <v>0</v>
      </c>
      <c r="J32" s="17">
        <f>铝模板!L31</f>
        <v>0</v>
      </c>
      <c r="K32" s="17">
        <f>铝模板!M31</f>
        <v>0</v>
      </c>
      <c r="L32" s="3"/>
      <c r="M32" s="2"/>
    </row>
    <row r="33" spans="1:13" ht="22.5" hidden="1" outlineLevel="2" x14ac:dyDescent="0.4">
      <c r="A33" s="2"/>
      <c r="B33" s="3"/>
      <c r="C33" s="20" t="s">
        <v>283</v>
      </c>
      <c r="D33" s="13"/>
      <c r="E33" s="16">
        <f>铝模板!G32</f>
        <v>0</v>
      </c>
      <c r="F33" s="16">
        <f>铝模板!H32</f>
        <v>0</v>
      </c>
      <c r="G33" s="16">
        <f>铝模板!I32</f>
        <v>0</v>
      </c>
      <c r="H33" s="16">
        <f>铝模板!J32</f>
        <v>0</v>
      </c>
      <c r="I33" s="16">
        <f>铝模板!K32</f>
        <v>0</v>
      </c>
      <c r="J33" s="16">
        <f>铝模板!L32</f>
        <v>0</v>
      </c>
      <c r="K33" s="16">
        <f>铝模板!M32</f>
        <v>0</v>
      </c>
      <c r="L33" s="3"/>
      <c r="M33" s="2"/>
    </row>
    <row r="34" spans="1:13" ht="22.5" hidden="1" outlineLevel="2" x14ac:dyDescent="0.4">
      <c r="A34" s="2"/>
      <c r="B34" s="3"/>
      <c r="C34" s="21" t="s">
        <v>284</v>
      </c>
      <c r="D34" s="14"/>
      <c r="E34" s="17">
        <f>铝模板!G33</f>
        <v>0</v>
      </c>
      <c r="F34" s="17">
        <f>铝模板!H33</f>
        <v>0</v>
      </c>
      <c r="G34" s="17">
        <f>铝模板!I33</f>
        <v>0</v>
      </c>
      <c r="H34" s="17">
        <f>铝模板!J33</f>
        <v>0</v>
      </c>
      <c r="I34" s="17">
        <f>铝模板!K33</f>
        <v>0</v>
      </c>
      <c r="J34" s="17">
        <f>铝模板!L33</f>
        <v>0</v>
      </c>
      <c r="K34" s="17">
        <f>铝模板!M33</f>
        <v>0</v>
      </c>
      <c r="L34" s="3"/>
      <c r="M34" s="2"/>
    </row>
    <row r="35" spans="1:13" ht="22.5" hidden="1" outlineLevel="2" x14ac:dyDescent="0.4">
      <c r="A35" s="2"/>
      <c r="B35" s="3"/>
      <c r="C35" s="20" t="s">
        <v>285</v>
      </c>
      <c r="D35" s="13"/>
      <c r="E35" s="16">
        <f>铝模板!G34</f>
        <v>0</v>
      </c>
      <c r="F35" s="16">
        <f>铝模板!H34</f>
        <v>0</v>
      </c>
      <c r="G35" s="16">
        <f>铝模板!I34</f>
        <v>0</v>
      </c>
      <c r="H35" s="16">
        <f>铝模板!J34</f>
        <v>0</v>
      </c>
      <c r="I35" s="16">
        <f>铝模板!K34</f>
        <v>0</v>
      </c>
      <c r="J35" s="16">
        <f>铝模板!L34</f>
        <v>0</v>
      </c>
      <c r="K35" s="16">
        <f>铝模板!M34</f>
        <v>0</v>
      </c>
      <c r="L35" s="3"/>
      <c r="M35" s="2"/>
    </row>
    <row r="36" spans="1:13" ht="22.5" hidden="1" outlineLevel="2" x14ac:dyDescent="0.4">
      <c r="A36" s="2"/>
      <c r="B36" s="3"/>
      <c r="C36" s="21" t="s">
        <v>286</v>
      </c>
      <c r="D36" s="14"/>
      <c r="E36" s="17">
        <f>铝模板!G35</f>
        <v>0</v>
      </c>
      <c r="F36" s="17">
        <f>铝模板!H35</f>
        <v>0</v>
      </c>
      <c r="G36" s="17">
        <f>铝模板!I35</f>
        <v>0</v>
      </c>
      <c r="H36" s="17">
        <f>铝模板!J35</f>
        <v>0</v>
      </c>
      <c r="I36" s="17">
        <f>铝模板!K35</f>
        <v>0</v>
      </c>
      <c r="J36" s="17">
        <f>铝模板!L35</f>
        <v>0</v>
      </c>
      <c r="K36" s="17">
        <f>铝模板!M35</f>
        <v>0</v>
      </c>
      <c r="L36" s="3"/>
      <c r="M36" s="2"/>
    </row>
    <row r="37" spans="1:13" ht="22.5" hidden="1" outlineLevel="2" x14ac:dyDescent="0.4">
      <c r="A37" s="2"/>
      <c r="B37" s="3"/>
      <c r="C37" s="20" t="s">
        <v>287</v>
      </c>
      <c r="D37" s="13"/>
      <c r="E37" s="16">
        <f>铝模板!G36</f>
        <v>0</v>
      </c>
      <c r="F37" s="16">
        <f>铝模板!H36</f>
        <v>0</v>
      </c>
      <c r="G37" s="16">
        <f>铝模板!I36</f>
        <v>0</v>
      </c>
      <c r="H37" s="16">
        <f>铝模板!J36</f>
        <v>0</v>
      </c>
      <c r="I37" s="16">
        <f>铝模板!K36</f>
        <v>0</v>
      </c>
      <c r="J37" s="16">
        <f>铝模板!L36</f>
        <v>0</v>
      </c>
      <c r="K37" s="16">
        <f>铝模板!M36</f>
        <v>0</v>
      </c>
      <c r="L37" s="3"/>
      <c r="M37" s="2"/>
    </row>
    <row r="38" spans="1:13" ht="22.5" collapsed="1" x14ac:dyDescent="0.4">
      <c r="A38" s="2"/>
      <c r="B38" s="3"/>
      <c r="C38" s="19" t="s">
        <v>288</v>
      </c>
      <c r="D38" s="12"/>
      <c r="E38" s="15">
        <f>铝模板!G37</f>
        <v>485100</v>
      </c>
      <c r="F38" s="15">
        <f>铝模板!H37</f>
        <v>189050</v>
      </c>
      <c r="G38" s="15">
        <f>铝模板!I37</f>
        <v>296050</v>
      </c>
      <c r="H38" s="15">
        <f>铝模板!J37</f>
        <v>0</v>
      </c>
      <c r="I38" s="15">
        <f>铝模板!K37</f>
        <v>2000</v>
      </c>
      <c r="J38" s="15">
        <f>铝模板!L37</f>
        <v>-2000</v>
      </c>
      <c r="K38" s="15">
        <f>铝模板!M37</f>
        <v>487100</v>
      </c>
      <c r="L38" s="3"/>
      <c r="M38" s="2"/>
    </row>
    <row r="39" spans="1:13" ht="22.5" outlineLevel="1" x14ac:dyDescent="0.4">
      <c r="A39" s="2"/>
      <c r="B39" s="3"/>
      <c r="C39" s="20" t="s">
        <v>289</v>
      </c>
      <c r="D39" s="13"/>
      <c r="E39" s="16">
        <f>铝模板!G38</f>
        <v>0</v>
      </c>
      <c r="F39" s="16">
        <f>铝模板!H38</f>
        <v>0</v>
      </c>
      <c r="G39" s="16">
        <f>铝模板!I38</f>
        <v>0</v>
      </c>
      <c r="H39" s="16">
        <f>铝模板!J38</f>
        <v>0</v>
      </c>
      <c r="I39" s="16">
        <f>铝模板!K38</f>
        <v>0</v>
      </c>
      <c r="J39" s="16">
        <f>铝模板!L38</f>
        <v>0</v>
      </c>
      <c r="K39" s="16">
        <f>铝模板!M38</f>
        <v>0</v>
      </c>
      <c r="L39" s="3"/>
      <c r="M39" s="2"/>
    </row>
    <row r="40" spans="1:13" ht="22.5" hidden="1" outlineLevel="2" x14ac:dyDescent="0.4">
      <c r="A40" s="2"/>
      <c r="B40" s="3"/>
      <c r="C40" s="21" t="s">
        <v>290</v>
      </c>
      <c r="D40" s="14"/>
      <c r="E40" s="17">
        <f>铝模板!G39</f>
        <v>0</v>
      </c>
      <c r="F40" s="17">
        <f>铝模板!H39</f>
        <v>0</v>
      </c>
      <c r="G40" s="17">
        <f>铝模板!I39</f>
        <v>0</v>
      </c>
      <c r="H40" s="17">
        <f>铝模板!J39</f>
        <v>0</v>
      </c>
      <c r="I40" s="17">
        <f>铝模板!K39</f>
        <v>0</v>
      </c>
      <c r="J40" s="17">
        <f>铝模板!L39</f>
        <v>0</v>
      </c>
      <c r="K40" s="17">
        <f>铝模板!M39</f>
        <v>0</v>
      </c>
      <c r="L40" s="3"/>
      <c r="M40" s="2"/>
    </row>
    <row r="41" spans="1:13" ht="22.5" hidden="1" outlineLevel="2" x14ac:dyDescent="0.4">
      <c r="A41" s="2"/>
      <c r="B41" s="3"/>
      <c r="C41" s="20" t="s">
        <v>291</v>
      </c>
      <c r="D41" s="13"/>
      <c r="E41" s="16">
        <f>铝模板!G40</f>
        <v>0</v>
      </c>
      <c r="F41" s="16">
        <f>铝模板!H40</f>
        <v>0</v>
      </c>
      <c r="G41" s="16">
        <f>铝模板!I40</f>
        <v>0</v>
      </c>
      <c r="H41" s="16">
        <f>铝模板!J40</f>
        <v>0</v>
      </c>
      <c r="I41" s="16">
        <f>铝模板!K40</f>
        <v>0</v>
      </c>
      <c r="J41" s="16">
        <f>铝模板!L40</f>
        <v>0</v>
      </c>
      <c r="K41" s="16">
        <f>铝模板!M40</f>
        <v>0</v>
      </c>
      <c r="L41" s="3"/>
      <c r="M41" s="2"/>
    </row>
    <row r="42" spans="1:13" ht="22.5" outlineLevel="1" collapsed="1" x14ac:dyDescent="0.4">
      <c r="A42" s="2"/>
      <c r="B42" s="3"/>
      <c r="C42" s="21" t="s">
        <v>292</v>
      </c>
      <c r="D42" s="14"/>
      <c r="E42" s="17">
        <f>铝模板!G41</f>
        <v>206375</v>
      </c>
      <c r="F42" s="17">
        <f>铝模板!H41</f>
        <v>34050</v>
      </c>
      <c r="G42" s="17">
        <f>铝模板!I41</f>
        <v>172325</v>
      </c>
      <c r="H42" s="17">
        <f>铝模板!J41</f>
        <v>0</v>
      </c>
      <c r="I42" s="17">
        <f>铝模板!K41</f>
        <v>0</v>
      </c>
      <c r="J42" s="17">
        <f>铝模板!L41</f>
        <v>0</v>
      </c>
      <c r="K42" s="17">
        <f>铝模板!M41</f>
        <v>206375</v>
      </c>
      <c r="L42" s="3"/>
      <c r="M42" s="2"/>
    </row>
    <row r="43" spans="1:13" ht="22.5" hidden="1" outlineLevel="2" x14ac:dyDescent="0.4">
      <c r="A43" s="2"/>
      <c r="B43" s="3"/>
      <c r="C43" s="20" t="s">
        <v>293</v>
      </c>
      <c r="D43" s="13"/>
      <c r="E43" s="16">
        <f>铝模板!G42</f>
        <v>206375</v>
      </c>
      <c r="F43" s="16">
        <f>铝模板!H42</f>
        <v>34050</v>
      </c>
      <c r="G43" s="16">
        <f>铝模板!I42</f>
        <v>172325</v>
      </c>
      <c r="H43" s="16">
        <f>铝模板!J42</f>
        <v>0</v>
      </c>
      <c r="I43" s="16">
        <f>铝模板!K42</f>
        <v>0</v>
      </c>
      <c r="J43" s="16">
        <f>铝模板!L42</f>
        <v>0</v>
      </c>
      <c r="K43" s="16">
        <f>铝模板!M42</f>
        <v>206375</v>
      </c>
      <c r="L43" s="3"/>
      <c r="M43" s="2"/>
    </row>
    <row r="44" spans="1:13" ht="22.5" hidden="1" outlineLevel="2" x14ac:dyDescent="0.4">
      <c r="A44" s="2"/>
      <c r="B44" s="3"/>
      <c r="C44" s="21" t="s">
        <v>294</v>
      </c>
      <c r="D44" s="14"/>
      <c r="E44" s="17">
        <f>铝模板!G43</f>
        <v>0</v>
      </c>
      <c r="F44" s="17">
        <f>铝模板!H43</f>
        <v>0</v>
      </c>
      <c r="G44" s="17">
        <f>铝模板!I43</f>
        <v>0</v>
      </c>
      <c r="H44" s="17">
        <f>铝模板!J43</f>
        <v>0</v>
      </c>
      <c r="I44" s="17">
        <f>铝模板!K43</f>
        <v>0</v>
      </c>
      <c r="J44" s="17">
        <f>铝模板!L43</f>
        <v>0</v>
      </c>
      <c r="K44" s="17">
        <f>铝模板!M43</f>
        <v>0</v>
      </c>
      <c r="L44" s="3"/>
      <c r="M44" s="2"/>
    </row>
    <row r="45" spans="1:13" ht="22.5" outlineLevel="1" collapsed="1" x14ac:dyDescent="0.4">
      <c r="A45" s="2"/>
      <c r="B45" s="3"/>
      <c r="C45" s="20" t="s">
        <v>295</v>
      </c>
      <c r="D45" s="13"/>
      <c r="E45" s="16">
        <f>铝模板!G44</f>
        <v>259775</v>
      </c>
      <c r="F45" s="16">
        <f>铝模板!H44</f>
        <v>144250</v>
      </c>
      <c r="G45" s="16">
        <f>铝模板!I44</f>
        <v>115525</v>
      </c>
      <c r="H45" s="16">
        <f>铝模板!J44</f>
        <v>0</v>
      </c>
      <c r="I45" s="16">
        <f>铝模板!K44</f>
        <v>2000</v>
      </c>
      <c r="J45" s="16">
        <f>铝模板!L44</f>
        <v>-2000</v>
      </c>
      <c r="K45" s="16">
        <f>铝模板!M44</f>
        <v>261775</v>
      </c>
      <c r="L45" s="3"/>
      <c r="M45" s="2"/>
    </row>
    <row r="46" spans="1:13" ht="22.5" hidden="1" outlineLevel="2" x14ac:dyDescent="0.4">
      <c r="A46" s="2"/>
      <c r="B46" s="3"/>
      <c r="C46" s="21" t="s">
        <v>296</v>
      </c>
      <c r="D46" s="14"/>
      <c r="E46" s="17">
        <f>铝模板!G45</f>
        <v>1375</v>
      </c>
      <c r="F46" s="17">
        <f>铝模板!H45</f>
        <v>1200</v>
      </c>
      <c r="G46" s="17">
        <f>铝模板!I45</f>
        <v>175</v>
      </c>
      <c r="H46" s="17">
        <f>铝模板!J45</f>
        <v>0</v>
      </c>
      <c r="I46" s="17">
        <f>铝模板!K45</f>
        <v>0</v>
      </c>
      <c r="J46" s="17">
        <f>铝模板!L45</f>
        <v>0</v>
      </c>
      <c r="K46" s="17">
        <f>铝模板!M45</f>
        <v>1375</v>
      </c>
      <c r="L46" s="3"/>
      <c r="M46" s="2"/>
    </row>
    <row r="47" spans="1:13" ht="22.5" hidden="1" outlineLevel="2" x14ac:dyDescent="0.4">
      <c r="A47" s="2"/>
      <c r="B47" s="3"/>
      <c r="C47" s="20" t="s">
        <v>297</v>
      </c>
      <c r="D47" s="13"/>
      <c r="E47" s="16">
        <f>铝模板!G46</f>
        <v>258400</v>
      </c>
      <c r="F47" s="16">
        <f>铝模板!H46</f>
        <v>143050</v>
      </c>
      <c r="G47" s="16">
        <f>铝模板!I46</f>
        <v>115350</v>
      </c>
      <c r="H47" s="16">
        <f>铝模板!J46</f>
        <v>0</v>
      </c>
      <c r="I47" s="16">
        <f>铝模板!K46</f>
        <v>2000</v>
      </c>
      <c r="J47" s="16">
        <f>铝模板!L46</f>
        <v>-2000</v>
      </c>
      <c r="K47" s="16">
        <f>铝模板!M46</f>
        <v>260400</v>
      </c>
      <c r="L47" s="3"/>
      <c r="M47" s="2"/>
    </row>
    <row r="48" spans="1:13" ht="22.5" hidden="1" outlineLevel="2" x14ac:dyDescent="0.4">
      <c r="A48" s="2"/>
      <c r="B48" s="3"/>
      <c r="C48" s="21" t="s">
        <v>298</v>
      </c>
      <c r="D48" s="14"/>
      <c r="E48" s="17">
        <f>铝模板!G47</f>
        <v>0</v>
      </c>
      <c r="F48" s="17">
        <f>铝模板!H47</f>
        <v>0</v>
      </c>
      <c r="G48" s="17">
        <f>铝模板!I47</f>
        <v>0</v>
      </c>
      <c r="H48" s="17">
        <f>铝模板!J47</f>
        <v>0</v>
      </c>
      <c r="I48" s="17">
        <f>铝模板!K47</f>
        <v>0</v>
      </c>
      <c r="J48" s="17">
        <f>铝模板!L47</f>
        <v>0</v>
      </c>
      <c r="K48" s="17">
        <f>铝模板!M47</f>
        <v>0</v>
      </c>
      <c r="L48" s="3"/>
      <c r="M48" s="2"/>
    </row>
    <row r="49" spans="1:14" ht="22.5" outlineLevel="1" collapsed="1" x14ac:dyDescent="0.4">
      <c r="A49" s="2"/>
      <c r="B49" s="3"/>
      <c r="C49" s="20" t="s">
        <v>299</v>
      </c>
      <c r="D49" s="13"/>
      <c r="E49" s="16">
        <f>铝模板!G48</f>
        <v>18750</v>
      </c>
      <c r="F49" s="16">
        <f>铝模板!H48</f>
        <v>10550</v>
      </c>
      <c r="G49" s="16">
        <f>铝模板!I48</f>
        <v>8200</v>
      </c>
      <c r="H49" s="16">
        <f>铝模板!J48</f>
        <v>0</v>
      </c>
      <c r="I49" s="16">
        <f>铝模板!K48</f>
        <v>0</v>
      </c>
      <c r="J49" s="16">
        <f>铝模板!L48</f>
        <v>0</v>
      </c>
      <c r="K49" s="16">
        <f>铝模板!M48</f>
        <v>18750</v>
      </c>
      <c r="L49" s="3"/>
      <c r="M49" s="2"/>
    </row>
    <row r="50" spans="1:14" ht="22.5" hidden="1" outlineLevel="2" x14ac:dyDescent="0.4">
      <c r="A50" s="2"/>
      <c r="B50" s="3"/>
      <c r="C50" s="21" t="s">
        <v>300</v>
      </c>
      <c r="D50" s="14"/>
      <c r="E50" s="17">
        <f>铝模板!G49</f>
        <v>18750</v>
      </c>
      <c r="F50" s="17">
        <f>铝模板!H49</f>
        <v>10550</v>
      </c>
      <c r="G50" s="17">
        <f>铝模板!I49</f>
        <v>8200</v>
      </c>
      <c r="H50" s="17">
        <f>铝模板!J49</f>
        <v>0</v>
      </c>
      <c r="I50" s="17">
        <f>铝模板!K49</f>
        <v>0</v>
      </c>
      <c r="J50" s="17">
        <f>铝模板!L49</f>
        <v>0</v>
      </c>
      <c r="K50" s="17">
        <f>铝模板!M49</f>
        <v>18750</v>
      </c>
      <c r="L50" s="3"/>
      <c r="M50" s="2"/>
    </row>
    <row r="51" spans="1:14" ht="22.5" outlineLevel="1" collapsed="1" x14ac:dyDescent="0.4">
      <c r="A51" s="2"/>
      <c r="B51" s="3"/>
      <c r="C51" s="20" t="s">
        <v>301</v>
      </c>
      <c r="D51" s="13"/>
      <c r="E51" s="16">
        <f>铝模板!G50</f>
        <v>200</v>
      </c>
      <c r="F51" s="16">
        <f>铝模板!H50</f>
        <v>200</v>
      </c>
      <c r="G51" s="16">
        <f>铝模板!I50</f>
        <v>0</v>
      </c>
      <c r="H51" s="16">
        <f>铝模板!J50</f>
        <v>0</v>
      </c>
      <c r="I51" s="16">
        <f>铝模板!K50</f>
        <v>0</v>
      </c>
      <c r="J51" s="16">
        <f>铝模板!L50</f>
        <v>0</v>
      </c>
      <c r="K51" s="16">
        <f>铝模板!M50</f>
        <v>200</v>
      </c>
      <c r="L51" s="3"/>
      <c r="M51" s="2"/>
    </row>
    <row r="52" spans="1:14" ht="22.5" hidden="1" outlineLevel="2" x14ac:dyDescent="0.4">
      <c r="A52" s="2"/>
      <c r="B52" s="3"/>
      <c r="C52" s="21" t="s">
        <v>302</v>
      </c>
      <c r="D52" s="14"/>
      <c r="E52" s="17">
        <f>铝模板!G51</f>
        <v>200</v>
      </c>
      <c r="F52" s="17">
        <f>铝模板!H51</f>
        <v>200</v>
      </c>
      <c r="G52" s="17">
        <f>铝模板!I51</f>
        <v>0</v>
      </c>
      <c r="H52" s="17">
        <f>铝模板!J51</f>
        <v>0</v>
      </c>
      <c r="I52" s="17">
        <f>铝模板!K51</f>
        <v>0</v>
      </c>
      <c r="J52" s="17">
        <f>铝模板!L51</f>
        <v>0</v>
      </c>
      <c r="K52" s="17">
        <f>铝模板!M51</f>
        <v>200</v>
      </c>
      <c r="L52" s="3"/>
      <c r="M52" s="2"/>
    </row>
    <row r="53" spans="1:14" ht="22.5" collapsed="1" x14ac:dyDescent="0.4">
      <c r="A53" s="2"/>
      <c r="B53" s="3"/>
      <c r="C53" s="21"/>
      <c r="D53" s="14"/>
      <c r="E53" s="17"/>
      <c r="F53" s="17"/>
      <c r="G53" s="17"/>
      <c r="H53" s="17"/>
      <c r="I53" s="17"/>
      <c r="J53" s="17"/>
      <c r="K53" s="17"/>
      <c r="L53" s="3"/>
      <c r="M53" s="2"/>
      <c r="N53" s="4"/>
    </row>
    <row r="54" spans="1:14" ht="16.5" x14ac:dyDescent="0.3">
      <c r="A54" s="2"/>
      <c r="B54" s="2"/>
      <c r="C54" s="22"/>
      <c r="D54" s="2"/>
      <c r="E54" s="18"/>
      <c r="F54" s="18"/>
      <c r="G54" s="18"/>
      <c r="H54" s="18"/>
      <c r="I54" s="18"/>
      <c r="J54" s="18"/>
      <c r="K54" s="18"/>
      <c r="L54" s="2"/>
      <c r="M54" s="2"/>
      <c r="N54" s="4"/>
    </row>
    <row r="55" spans="1:14" ht="16.5" x14ac:dyDescent="0.3">
      <c r="C55" s="23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 spans="1:14" x14ac:dyDescent="0.2"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spans="1:14" x14ac:dyDescent="0.2"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</row>
    <row r="58" spans="1:14" x14ac:dyDescent="0.2"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</row>
    <row r="59" spans="1:14" x14ac:dyDescent="0.2"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</row>
    <row r="60" spans="1:14" x14ac:dyDescent="0.2"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</row>
    <row r="61" spans="1:14" x14ac:dyDescent="0.2"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</row>
    <row r="62" spans="1:14" x14ac:dyDescent="0.2"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</row>
    <row r="63" spans="1:14" x14ac:dyDescent="0.2"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</row>
    <row r="64" spans="1:14" x14ac:dyDescent="0.2"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</row>
    <row r="65" spans="3:14" x14ac:dyDescent="0.2"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</row>
    <row r="66" spans="3:14" x14ac:dyDescent="0.2"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</row>
    <row r="67" spans="3:14" x14ac:dyDescent="0.2"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</row>
    <row r="68" spans="3:14" x14ac:dyDescent="0.2"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</row>
    <row r="69" spans="3:14" x14ac:dyDescent="0.2"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</row>
    <row r="70" spans="3:14" x14ac:dyDescent="0.2"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</row>
    <row r="71" spans="3:14" x14ac:dyDescent="0.2"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</row>
    <row r="72" spans="3:14" x14ac:dyDescent="0.2"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 spans="3:14" x14ac:dyDescent="0.2"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</row>
    <row r="74" spans="3:14" x14ac:dyDescent="0.2"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</row>
    <row r="75" spans="3:14" x14ac:dyDescent="0.2"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</row>
    <row r="76" spans="3:14" x14ac:dyDescent="0.2"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</row>
    <row r="77" spans="3:14" x14ac:dyDescent="0.2"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</row>
  </sheetData>
  <mergeCells count="1">
    <mergeCell ref="D1:I1"/>
  </mergeCells>
  <phoneticPr fontId="1" type="noConversion"/>
  <conditionalFormatting sqref="C52:D52">
    <cfRule type="duplicateValues" dxfId="4" priority="1"/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rgb="FF63636D"/>
  </sheetPr>
  <dimension ref="A1:M51"/>
  <sheetViews>
    <sheetView topLeftCell="B1" workbookViewId="0">
      <selection activeCell="M2" sqref="M2"/>
    </sheetView>
  </sheetViews>
  <sheetFormatPr defaultRowHeight="16.5" x14ac:dyDescent="0.3"/>
  <cols>
    <col min="1" max="1" width="17.625" style="30" bestFit="1" customWidth="1"/>
    <col min="2" max="2" width="28.625" style="30" bestFit="1" customWidth="1"/>
    <col min="3" max="4" width="32.75" style="30" bestFit="1" customWidth="1"/>
    <col min="5" max="6" width="28.625" style="30" bestFit="1" customWidth="1"/>
    <col min="7" max="9" width="11.625" style="29" bestFit="1" customWidth="1"/>
    <col min="10" max="10" width="7.625" style="29" bestFit="1" customWidth="1"/>
    <col min="11" max="11" width="9.5" style="29" bestFit="1" customWidth="1"/>
    <col min="12" max="12" width="10.375" style="29" bestFit="1" customWidth="1"/>
    <col min="13" max="13" width="11.625" style="29" bestFit="1" customWidth="1"/>
    <col min="14" max="16384" width="9" style="29"/>
  </cols>
  <sheetData>
    <row r="1" spans="1:13" x14ac:dyDescent="0.3">
      <c r="A1" s="27">
        <f ca="1">铝!K1</f>
        <v>45208</v>
      </c>
      <c r="B1" s="28" t="s">
        <v>305</v>
      </c>
      <c r="C1" s="28" t="s">
        <v>306</v>
      </c>
      <c r="D1" s="28" t="s">
        <v>303</v>
      </c>
      <c r="E1" s="28" t="s">
        <v>307</v>
      </c>
      <c r="F1" s="28" t="s">
        <v>304</v>
      </c>
      <c r="G1" s="28" t="s">
        <v>246</v>
      </c>
      <c r="H1" s="28" t="s">
        <v>333</v>
      </c>
      <c r="I1" s="28" t="s">
        <v>334</v>
      </c>
      <c r="J1" s="28" t="s">
        <v>335</v>
      </c>
      <c r="K1" s="28" t="s">
        <v>336</v>
      </c>
      <c r="L1" s="28" t="s">
        <v>308</v>
      </c>
      <c r="M1" s="28" t="s">
        <v>337</v>
      </c>
    </row>
    <row r="2" spans="1:13" x14ac:dyDescent="0.3">
      <c r="A2" s="30" t="s">
        <v>309</v>
      </c>
      <c r="B2" s="30" t="s">
        <v>310</v>
      </c>
      <c r="C2" s="30" t="s">
        <v>48</v>
      </c>
      <c r="D2" s="30" t="s">
        <v>97</v>
      </c>
      <c r="E2" s="30" t="s">
        <v>146</v>
      </c>
      <c r="F2" s="30" t="s">
        <v>196</v>
      </c>
      <c r="G2" s="31">
        <f>_xlfn.IFNA(VLOOKUP(B2,铝原始数据!$A:$E,5,0),)</f>
        <v>492650</v>
      </c>
      <c r="H2" s="31">
        <f>_xlfn.IFNA(VLOOKUP(C2,铝原始数据!$A:$E,5,0),)</f>
        <v>193300</v>
      </c>
      <c r="I2" s="31">
        <f>_xlfn.IFNA(VLOOKUP(D2,铝原始数据!$A:$E,5,0),)</f>
        <v>299350</v>
      </c>
      <c r="J2" s="31">
        <f>_xlfn.IFNA(VLOOKUP(E2,铝原始数据!$A:$E,5,0),)</f>
        <v>0</v>
      </c>
      <c r="K2" s="31">
        <f>_xlfn.IFNA(VLOOKUP(F2,铝原始数据!$A:$E,5,0),)</f>
        <v>3000</v>
      </c>
      <c r="L2" s="31">
        <f>_xlfn.IFNA(G2-M2,)</f>
        <v>-3000</v>
      </c>
      <c r="M2" s="31">
        <f>_xlfn.IFNA(VLOOKUP(B2,铝原始数据!$A:$F,6,0),)</f>
        <v>495650</v>
      </c>
    </row>
    <row r="3" spans="1:13" x14ac:dyDescent="0.3">
      <c r="A3" s="30" t="s">
        <v>311</v>
      </c>
      <c r="B3" s="30" t="s">
        <v>0</v>
      </c>
      <c r="C3" s="30" t="s">
        <v>49</v>
      </c>
      <c r="D3" s="30" t="s">
        <v>98</v>
      </c>
      <c r="E3" s="30" t="s">
        <v>147</v>
      </c>
      <c r="F3" s="30" t="s">
        <v>197</v>
      </c>
      <c r="G3" s="31">
        <f>_xlfn.IFNA(VLOOKUP(B3,铝原始数据!$A:$E,5,0),)</f>
        <v>4625</v>
      </c>
      <c r="H3" s="31">
        <f>_xlfn.IFNA(VLOOKUP(C3,铝原始数据!$A:$E,5,0),)</f>
        <v>1875</v>
      </c>
      <c r="I3" s="31">
        <f>_xlfn.IFNA(VLOOKUP(D3,铝原始数据!$A:$E,5,0),)</f>
        <v>2750</v>
      </c>
      <c r="J3" s="31">
        <f>_xlfn.IFNA(VLOOKUP(E3,铝原始数据!$A:$E,5,0),)</f>
        <v>0</v>
      </c>
      <c r="K3" s="31">
        <f>_xlfn.IFNA(VLOOKUP(F3,铝原始数据!$A:$E,5,0),)</f>
        <v>1000</v>
      </c>
      <c r="L3" s="31">
        <f t="shared" ref="L3:L51" si="0">_xlfn.IFNA(G3-M3,)</f>
        <v>-1000</v>
      </c>
      <c r="M3" s="31">
        <f>_xlfn.IFNA(VLOOKUP(B3,铝原始数据!$A:$F,6,0),)</f>
        <v>5625</v>
      </c>
    </row>
    <row r="4" spans="1:13" x14ac:dyDescent="0.3">
      <c r="A4" s="30" t="s">
        <v>312</v>
      </c>
      <c r="B4" s="30" t="s">
        <v>3</v>
      </c>
      <c r="C4" s="30" t="s">
        <v>52</v>
      </c>
      <c r="D4" s="30" t="s">
        <v>101</v>
      </c>
      <c r="E4" s="30" t="s">
        <v>150</v>
      </c>
      <c r="F4" s="30" t="s">
        <v>200</v>
      </c>
      <c r="G4" s="31">
        <f>_xlfn.IFNA(VLOOKUP(B4,铝原始数据!$A:$E,5,0),)</f>
        <v>0</v>
      </c>
      <c r="H4" s="31">
        <f>_xlfn.IFNA(VLOOKUP(C4,铝原始数据!$A:$E,5,0),)</f>
        <v>0</v>
      </c>
      <c r="I4" s="31">
        <f>_xlfn.IFNA(VLOOKUP(D4,铝原始数据!$A:$E,5,0),)</f>
        <v>0</v>
      </c>
      <c r="J4" s="31">
        <f>_xlfn.IFNA(VLOOKUP(E4,铝原始数据!$A:$E,5,0),)</f>
        <v>0</v>
      </c>
      <c r="K4" s="31">
        <f>_xlfn.IFNA(VLOOKUP(F4,铝原始数据!$A:$E,5,0),)</f>
        <v>0</v>
      </c>
      <c r="L4" s="31">
        <f t="shared" si="0"/>
        <v>0</v>
      </c>
      <c r="M4" s="31">
        <f>_xlfn.IFNA(VLOOKUP(B4,铝原始数据!$A:$F,6,0),)</f>
        <v>0</v>
      </c>
    </row>
    <row r="5" spans="1:13" x14ac:dyDescent="0.3">
      <c r="A5" s="30" t="s">
        <v>256</v>
      </c>
      <c r="B5" s="30" t="s">
        <v>20</v>
      </c>
      <c r="C5" s="30" t="s">
        <v>69</v>
      </c>
      <c r="D5" s="30" t="s">
        <v>118</v>
      </c>
      <c r="E5" s="30" t="s">
        <v>167</v>
      </c>
      <c r="F5" s="30" t="s">
        <v>217</v>
      </c>
      <c r="G5" s="31">
        <f>_xlfn.IFNA(VLOOKUP(B5,铝原始数据!$A:$E,5,0),)</f>
        <v>0</v>
      </c>
      <c r="H5" s="31">
        <f>_xlfn.IFNA(VLOOKUP(C5,铝原始数据!$A:$E,5,0),)</f>
        <v>0</v>
      </c>
      <c r="I5" s="31">
        <f>_xlfn.IFNA(VLOOKUP(D5,铝原始数据!$A:$E,5,0),)</f>
        <v>0</v>
      </c>
      <c r="J5" s="31">
        <f>_xlfn.IFNA(VLOOKUP(E5,铝原始数据!$A:$E,5,0),)</f>
        <v>0</v>
      </c>
      <c r="K5" s="31">
        <f>_xlfn.IFNA(VLOOKUP(F5,铝原始数据!$A:$E,5,0),)</f>
        <v>0</v>
      </c>
      <c r="L5" s="31">
        <f t="shared" si="0"/>
        <v>0</v>
      </c>
      <c r="M5" s="31">
        <f>_xlfn.IFNA(VLOOKUP(B5,铝原始数据!$A:$F,6,0),)</f>
        <v>0</v>
      </c>
    </row>
    <row r="6" spans="1:13" x14ac:dyDescent="0.3">
      <c r="A6" s="30" t="s">
        <v>257</v>
      </c>
      <c r="B6" s="30" t="s">
        <v>27</v>
      </c>
      <c r="C6" s="30" t="s">
        <v>76</v>
      </c>
      <c r="D6" s="30" t="s">
        <v>125</v>
      </c>
      <c r="E6" s="30" t="s">
        <v>174</v>
      </c>
      <c r="F6" s="30" t="s">
        <v>224</v>
      </c>
      <c r="G6" s="31">
        <f>_xlfn.IFNA(VLOOKUP(B6,铝原始数据!$A:$E,5,0),)</f>
        <v>0</v>
      </c>
      <c r="H6" s="31">
        <f>_xlfn.IFNA(VLOOKUP(C6,铝原始数据!$A:$E,5,0),)</f>
        <v>0</v>
      </c>
      <c r="I6" s="31">
        <f>_xlfn.IFNA(VLOOKUP(D6,铝原始数据!$A:$E,5,0),)</f>
        <v>0</v>
      </c>
      <c r="J6" s="31">
        <f>_xlfn.IFNA(VLOOKUP(E6,铝原始数据!$A:$E,5,0),)</f>
        <v>0</v>
      </c>
      <c r="K6" s="31">
        <f>_xlfn.IFNA(VLOOKUP(F6,铝原始数据!$A:$E,5,0),)</f>
        <v>0</v>
      </c>
      <c r="L6" s="31">
        <f t="shared" si="0"/>
        <v>0</v>
      </c>
      <c r="M6" s="31">
        <f>_xlfn.IFNA(VLOOKUP(B6,铝原始数据!$A:$F,6,0),)</f>
        <v>0</v>
      </c>
    </row>
    <row r="7" spans="1:13" x14ac:dyDescent="0.3">
      <c r="A7" s="30" t="s">
        <v>313</v>
      </c>
      <c r="B7" s="30" t="s">
        <v>10</v>
      </c>
      <c r="C7" s="30" t="s">
        <v>59</v>
      </c>
      <c r="D7" s="30" t="s">
        <v>108</v>
      </c>
      <c r="E7" s="30" t="s">
        <v>157</v>
      </c>
      <c r="F7" s="30" t="s">
        <v>207</v>
      </c>
      <c r="G7" s="31">
        <f>_xlfn.IFNA(VLOOKUP(B7,铝原始数据!$A:$E,5,0),)</f>
        <v>0</v>
      </c>
      <c r="H7" s="31">
        <f>_xlfn.IFNA(VLOOKUP(C7,铝原始数据!$A:$E,5,0),)</f>
        <v>0</v>
      </c>
      <c r="I7" s="31">
        <f>_xlfn.IFNA(VLOOKUP(D7,铝原始数据!$A:$E,5,0),)</f>
        <v>0</v>
      </c>
      <c r="J7" s="31">
        <f>_xlfn.IFNA(VLOOKUP(E7,铝原始数据!$A:$E,5,0),)</f>
        <v>0</v>
      </c>
      <c r="K7" s="31">
        <f>_xlfn.IFNA(VLOOKUP(F7,铝原始数据!$A:$E,5,0),)</f>
        <v>0</v>
      </c>
      <c r="L7" s="31">
        <f t="shared" si="0"/>
        <v>0</v>
      </c>
      <c r="M7" s="31">
        <f>_xlfn.IFNA(VLOOKUP(B7,铝原始数据!$A:$F,6,0),)</f>
        <v>0</v>
      </c>
    </row>
    <row r="8" spans="1:13" x14ac:dyDescent="0.3">
      <c r="A8" s="30" t="s">
        <v>259</v>
      </c>
      <c r="B8" s="30" t="s">
        <v>16</v>
      </c>
      <c r="C8" s="30" t="s">
        <v>65</v>
      </c>
      <c r="D8" s="30" t="s">
        <v>114</v>
      </c>
      <c r="E8" s="30" t="s">
        <v>163</v>
      </c>
      <c r="F8" s="30" t="s">
        <v>213</v>
      </c>
      <c r="G8" s="31">
        <f>_xlfn.IFNA(VLOOKUP(B8,铝原始数据!$A:$E,5,0),)</f>
        <v>0</v>
      </c>
      <c r="H8" s="31">
        <f>_xlfn.IFNA(VLOOKUP(C8,铝原始数据!$A:$E,5,0),)</f>
        <v>0</v>
      </c>
      <c r="I8" s="31">
        <f>_xlfn.IFNA(VLOOKUP(D8,铝原始数据!$A:$E,5,0),)</f>
        <v>0</v>
      </c>
      <c r="J8" s="31">
        <f>_xlfn.IFNA(VLOOKUP(E8,铝原始数据!$A:$E,5,0),)</f>
        <v>0</v>
      </c>
      <c r="K8" s="31">
        <f>_xlfn.IFNA(VLOOKUP(F8,铝原始数据!$A:$E,5,0),)</f>
        <v>0</v>
      </c>
      <c r="L8" s="31">
        <f t="shared" si="0"/>
        <v>0</v>
      </c>
      <c r="M8" s="31">
        <f>_xlfn.IFNA(VLOOKUP(B8,铝原始数据!$A:$F,6,0),)</f>
        <v>0</v>
      </c>
    </row>
    <row r="9" spans="1:13" x14ac:dyDescent="0.3">
      <c r="A9" s="30" t="s">
        <v>314</v>
      </c>
      <c r="B9" s="30" t="s">
        <v>8</v>
      </c>
      <c r="C9" s="30" t="s">
        <v>57</v>
      </c>
      <c r="D9" s="30" t="s">
        <v>106</v>
      </c>
      <c r="E9" s="30" t="s">
        <v>155</v>
      </c>
      <c r="F9" s="30" t="s">
        <v>205</v>
      </c>
      <c r="G9" s="31">
        <f>_xlfn.IFNA(VLOOKUP(B9,铝原始数据!$A:$E,5,0),)</f>
        <v>0</v>
      </c>
      <c r="H9" s="31">
        <f>_xlfn.IFNA(VLOOKUP(C9,铝原始数据!$A:$E,5,0),)</f>
        <v>0</v>
      </c>
      <c r="I9" s="31">
        <f>_xlfn.IFNA(VLOOKUP(D9,铝原始数据!$A:$E,5,0),)</f>
        <v>0</v>
      </c>
      <c r="J9" s="31">
        <f>_xlfn.IFNA(VLOOKUP(E9,铝原始数据!$A:$E,5,0),)</f>
        <v>0</v>
      </c>
      <c r="K9" s="31">
        <f>_xlfn.IFNA(VLOOKUP(F9,铝原始数据!$A:$E,5,0),)</f>
        <v>0</v>
      </c>
      <c r="L9" s="31">
        <f t="shared" si="0"/>
        <v>0</v>
      </c>
      <c r="M9" s="31">
        <f>_xlfn.IFNA(VLOOKUP(B9,铝原始数据!$A:$F,6,0),)</f>
        <v>0</v>
      </c>
    </row>
    <row r="10" spans="1:13" x14ac:dyDescent="0.3">
      <c r="A10" s="30" t="s">
        <v>261</v>
      </c>
      <c r="B10" s="30" t="s">
        <v>25</v>
      </c>
      <c r="C10" s="30" t="s">
        <v>74</v>
      </c>
      <c r="D10" s="30" t="s">
        <v>123</v>
      </c>
      <c r="E10" s="30" t="s">
        <v>172</v>
      </c>
      <c r="F10" s="30" t="s">
        <v>222</v>
      </c>
      <c r="G10" s="31">
        <f>_xlfn.IFNA(VLOOKUP(B10,铝原始数据!$A:$E,5,0),)</f>
        <v>0</v>
      </c>
      <c r="H10" s="31">
        <f>_xlfn.IFNA(VLOOKUP(C10,铝原始数据!$A:$E,5,0),)</f>
        <v>0</v>
      </c>
      <c r="I10" s="31">
        <f>_xlfn.IFNA(VLOOKUP(D10,铝原始数据!$A:$E,5,0),)</f>
        <v>0</v>
      </c>
      <c r="J10" s="31">
        <f>_xlfn.IFNA(VLOOKUP(E10,铝原始数据!$A:$E,5,0),)</f>
        <v>0</v>
      </c>
      <c r="K10" s="31">
        <f>_xlfn.IFNA(VLOOKUP(F10,铝原始数据!$A:$E,5,0),)</f>
        <v>0</v>
      </c>
      <c r="L10" s="31">
        <f t="shared" si="0"/>
        <v>0</v>
      </c>
      <c r="M10" s="31">
        <f>_xlfn.IFNA(VLOOKUP(B10,铝原始数据!$A:$F,6,0),)</f>
        <v>0</v>
      </c>
    </row>
    <row r="11" spans="1:13" x14ac:dyDescent="0.3">
      <c r="A11" s="30" t="s">
        <v>262</v>
      </c>
      <c r="B11" s="30" t="s">
        <v>28</v>
      </c>
      <c r="C11" s="30" t="s">
        <v>77</v>
      </c>
      <c r="D11" s="30" t="s">
        <v>126</v>
      </c>
      <c r="E11" s="30" t="s">
        <v>175</v>
      </c>
      <c r="F11" s="30" t="s">
        <v>225</v>
      </c>
      <c r="G11" s="31">
        <f>_xlfn.IFNA(VLOOKUP(B11,铝原始数据!$A:$E,5,0),)</f>
        <v>0</v>
      </c>
      <c r="H11" s="31">
        <f>_xlfn.IFNA(VLOOKUP(C11,铝原始数据!$A:$E,5,0),)</f>
        <v>0</v>
      </c>
      <c r="I11" s="31">
        <f>_xlfn.IFNA(VLOOKUP(D11,铝原始数据!$A:$E,5,0),)</f>
        <v>0</v>
      </c>
      <c r="J11" s="31">
        <f>_xlfn.IFNA(VLOOKUP(E11,铝原始数据!$A:$E,5,0),)</f>
        <v>0</v>
      </c>
      <c r="K11" s="31">
        <f>_xlfn.IFNA(VLOOKUP(F11,铝原始数据!$A:$E,5,0),)</f>
        <v>0</v>
      </c>
      <c r="L11" s="31">
        <f t="shared" si="0"/>
        <v>0</v>
      </c>
      <c r="M11" s="31">
        <f>_xlfn.IFNA(VLOOKUP(B11,铝原始数据!$A:$F,6,0),)</f>
        <v>0</v>
      </c>
    </row>
    <row r="12" spans="1:13" x14ac:dyDescent="0.3">
      <c r="A12" s="30" t="s">
        <v>315</v>
      </c>
      <c r="B12" s="30" t="s">
        <v>11</v>
      </c>
      <c r="C12" s="30" t="s">
        <v>60</v>
      </c>
      <c r="D12" s="30" t="s">
        <v>109</v>
      </c>
      <c r="E12" s="30" t="s">
        <v>158</v>
      </c>
      <c r="F12" s="30" t="s">
        <v>208</v>
      </c>
      <c r="G12" s="31">
        <f>_xlfn.IFNA(VLOOKUP(B12,铝原始数据!$A:$E,5,0),)</f>
        <v>0</v>
      </c>
      <c r="H12" s="31">
        <f>_xlfn.IFNA(VLOOKUP(C12,铝原始数据!$A:$E,5,0),)</f>
        <v>0</v>
      </c>
      <c r="I12" s="31">
        <f>_xlfn.IFNA(VLOOKUP(D12,铝原始数据!$A:$E,5,0),)</f>
        <v>0</v>
      </c>
      <c r="J12" s="31">
        <f>_xlfn.IFNA(VLOOKUP(E12,铝原始数据!$A:$E,5,0),)</f>
        <v>0</v>
      </c>
      <c r="K12" s="31">
        <f>_xlfn.IFNA(VLOOKUP(F12,铝原始数据!$A:$E,5,0),)</f>
        <v>0</v>
      </c>
      <c r="L12" s="31">
        <f t="shared" si="0"/>
        <v>0</v>
      </c>
      <c r="M12" s="31">
        <f>_xlfn.IFNA(VLOOKUP(B12,铝原始数据!$A:$F,6,0),)</f>
        <v>0</v>
      </c>
    </row>
    <row r="13" spans="1:13" x14ac:dyDescent="0.3">
      <c r="A13" s="30" t="s">
        <v>264</v>
      </c>
      <c r="B13" s="30" t="s">
        <v>18</v>
      </c>
      <c r="C13" s="30" t="s">
        <v>67</v>
      </c>
      <c r="D13" s="30" t="s">
        <v>116</v>
      </c>
      <c r="E13" s="30" t="s">
        <v>165</v>
      </c>
      <c r="F13" s="30" t="s">
        <v>215</v>
      </c>
      <c r="G13" s="31">
        <f>_xlfn.IFNA(VLOOKUP(B13,铝原始数据!$A:$E,5,0),)</f>
        <v>0</v>
      </c>
      <c r="H13" s="31">
        <f>_xlfn.IFNA(VLOOKUP(C13,铝原始数据!$A:$E,5,0),)</f>
        <v>0</v>
      </c>
      <c r="I13" s="31">
        <f>_xlfn.IFNA(VLOOKUP(D13,铝原始数据!$A:$E,5,0),)</f>
        <v>0</v>
      </c>
      <c r="J13" s="31">
        <f>_xlfn.IFNA(VLOOKUP(E13,铝原始数据!$A:$E,5,0),)</f>
        <v>0</v>
      </c>
      <c r="K13" s="31">
        <f>_xlfn.IFNA(VLOOKUP(F13,铝原始数据!$A:$E,5,0),)</f>
        <v>0</v>
      </c>
      <c r="L13" s="31">
        <f t="shared" si="0"/>
        <v>0</v>
      </c>
      <c r="M13" s="31">
        <f>_xlfn.IFNA(VLOOKUP(B13,铝原始数据!$A:$F,6,0),)</f>
        <v>0</v>
      </c>
    </row>
    <row r="14" spans="1:13" x14ac:dyDescent="0.3">
      <c r="A14" s="30" t="s">
        <v>265</v>
      </c>
      <c r="B14" s="30" t="s">
        <v>19</v>
      </c>
      <c r="C14" s="30" t="s">
        <v>68</v>
      </c>
      <c r="D14" s="30" t="s">
        <v>117</v>
      </c>
      <c r="E14" s="30" t="s">
        <v>166</v>
      </c>
      <c r="F14" s="30" t="s">
        <v>216</v>
      </c>
      <c r="G14" s="31">
        <f>_xlfn.IFNA(VLOOKUP(B14,铝原始数据!$A:$E,5,0),)</f>
        <v>0</v>
      </c>
      <c r="H14" s="31">
        <f>_xlfn.IFNA(VLOOKUP(C14,铝原始数据!$A:$E,5,0),)</f>
        <v>0</v>
      </c>
      <c r="I14" s="31">
        <f>_xlfn.IFNA(VLOOKUP(D14,铝原始数据!$A:$E,5,0),)</f>
        <v>0</v>
      </c>
      <c r="J14" s="31">
        <f>_xlfn.IFNA(VLOOKUP(E14,铝原始数据!$A:$E,5,0),)</f>
        <v>0</v>
      </c>
      <c r="K14" s="31">
        <f>_xlfn.IFNA(VLOOKUP(F14,铝原始数据!$A:$E,5,0),)</f>
        <v>0</v>
      </c>
      <c r="L14" s="31">
        <f t="shared" si="0"/>
        <v>0</v>
      </c>
      <c r="M14" s="31">
        <f>_xlfn.IFNA(VLOOKUP(B14,铝原始数据!$A:$F,6,0),)</f>
        <v>0</v>
      </c>
    </row>
    <row r="15" spans="1:13" x14ac:dyDescent="0.3">
      <c r="A15" s="30" t="s">
        <v>266</v>
      </c>
      <c r="B15" s="30" t="s">
        <v>43</v>
      </c>
      <c r="C15" s="30" t="s">
        <v>92</v>
      </c>
      <c r="D15" s="30" t="s">
        <v>141</v>
      </c>
      <c r="E15" s="30" t="s">
        <v>190</v>
      </c>
      <c r="F15" s="30" t="s">
        <v>240</v>
      </c>
      <c r="G15" s="31">
        <f>_xlfn.IFNA(VLOOKUP(B15,铝原始数据!$A:$E,5,0),)</f>
        <v>0</v>
      </c>
      <c r="H15" s="31">
        <f>_xlfn.IFNA(VLOOKUP(C15,铝原始数据!$A:$E,5,0),)</f>
        <v>0</v>
      </c>
      <c r="I15" s="31">
        <f>_xlfn.IFNA(VLOOKUP(D15,铝原始数据!$A:$E,5,0),)</f>
        <v>0</v>
      </c>
      <c r="J15" s="31">
        <f>_xlfn.IFNA(VLOOKUP(E15,铝原始数据!$A:$E,5,0),)</f>
        <v>0</v>
      </c>
      <c r="K15" s="31">
        <f>_xlfn.IFNA(VLOOKUP(F15,铝原始数据!$A:$E,5,0),)</f>
        <v>0</v>
      </c>
      <c r="L15" s="31">
        <f t="shared" si="0"/>
        <v>0</v>
      </c>
      <c r="M15" s="31">
        <f>_xlfn.IFNA(VLOOKUP(B15,铝原始数据!$A:$F,6,0),)</f>
        <v>0</v>
      </c>
    </row>
    <row r="16" spans="1:13" x14ac:dyDescent="0.3">
      <c r="A16" s="30" t="s">
        <v>316</v>
      </c>
      <c r="B16" s="30" t="s">
        <v>5</v>
      </c>
      <c r="C16" s="30" t="s">
        <v>54</v>
      </c>
      <c r="D16" s="30" t="s">
        <v>103</v>
      </c>
      <c r="E16" s="30" t="s">
        <v>152</v>
      </c>
      <c r="F16" s="30" t="s">
        <v>202</v>
      </c>
      <c r="G16" s="31">
        <f>_xlfn.IFNA(VLOOKUP(B16,铝原始数据!$A:$E,5,0),)</f>
        <v>4575</v>
      </c>
      <c r="H16" s="31">
        <f>_xlfn.IFNA(VLOOKUP(C16,铝原始数据!$A:$E,5,0),)</f>
        <v>1875</v>
      </c>
      <c r="I16" s="31">
        <f>_xlfn.IFNA(VLOOKUP(D16,铝原始数据!$A:$E,5,0),)</f>
        <v>2700</v>
      </c>
      <c r="J16" s="31">
        <f>_xlfn.IFNA(VLOOKUP(E16,铝原始数据!$A:$E,5,0),)</f>
        <v>0</v>
      </c>
      <c r="K16" s="31">
        <f>_xlfn.IFNA(VLOOKUP(F16,铝原始数据!$A:$E,5,0),)</f>
        <v>1000</v>
      </c>
      <c r="L16" s="31">
        <f t="shared" si="0"/>
        <v>-1000</v>
      </c>
      <c r="M16" s="31">
        <f>_xlfn.IFNA(VLOOKUP(B16,铝原始数据!$A:$F,6,0),)</f>
        <v>5575</v>
      </c>
    </row>
    <row r="17" spans="1:13" x14ac:dyDescent="0.3">
      <c r="A17" s="30" t="s">
        <v>268</v>
      </c>
      <c r="B17" s="30" t="s">
        <v>45</v>
      </c>
      <c r="C17" s="30" t="s">
        <v>94</v>
      </c>
      <c r="D17" s="30" t="s">
        <v>143</v>
      </c>
      <c r="E17" s="30" t="s">
        <v>193</v>
      </c>
      <c r="F17" s="30" t="s">
        <v>243</v>
      </c>
      <c r="G17" s="31">
        <f>_xlfn.IFNA(VLOOKUP(B17,铝原始数据!$A:$E,5,0),)</f>
        <v>0</v>
      </c>
      <c r="H17" s="31">
        <f>_xlfn.IFNA(VLOOKUP(C17,铝原始数据!$A:$E,5,0),)</f>
        <v>0</v>
      </c>
      <c r="I17" s="31">
        <f>_xlfn.IFNA(VLOOKUP(D17,铝原始数据!$A:$E,5,0),)</f>
        <v>0</v>
      </c>
      <c r="J17" s="31">
        <f>_xlfn.IFNA(VLOOKUP(E17,铝原始数据!$A:$E,5,0),)</f>
        <v>0</v>
      </c>
      <c r="K17" s="31">
        <f>_xlfn.IFNA(VLOOKUP(F17,铝原始数据!$A:$E,5,0),)</f>
        <v>0</v>
      </c>
      <c r="L17" s="31">
        <f t="shared" si="0"/>
        <v>0</v>
      </c>
      <c r="M17" s="31">
        <f>_xlfn.IFNA(VLOOKUP(B17,铝原始数据!$A:$F,6,0),)</f>
        <v>0</v>
      </c>
    </row>
    <row r="18" spans="1:13" x14ac:dyDescent="0.3">
      <c r="A18" s="30" t="s">
        <v>269</v>
      </c>
      <c r="B18" s="30" t="s">
        <v>40</v>
      </c>
      <c r="C18" s="30" t="s">
        <v>89</v>
      </c>
      <c r="D18" s="30" t="s">
        <v>138</v>
      </c>
      <c r="E18" s="30" t="s">
        <v>187</v>
      </c>
      <c r="F18" s="30" t="s">
        <v>237</v>
      </c>
      <c r="G18" s="31">
        <f>_xlfn.IFNA(VLOOKUP(B18,铝原始数据!$A:$E,5,0),)</f>
        <v>4575</v>
      </c>
      <c r="H18" s="31">
        <f>_xlfn.IFNA(VLOOKUP(C18,铝原始数据!$A:$E,5,0),)</f>
        <v>1875</v>
      </c>
      <c r="I18" s="31">
        <f>_xlfn.IFNA(VLOOKUP(D18,铝原始数据!$A:$E,5,0),)</f>
        <v>2700</v>
      </c>
      <c r="J18" s="31">
        <f>_xlfn.IFNA(VLOOKUP(E18,铝原始数据!$A:$E,5,0),)</f>
        <v>0</v>
      </c>
      <c r="K18" s="31">
        <f>_xlfn.IFNA(VLOOKUP(F18,铝原始数据!$A:$E,5,0),)</f>
        <v>1000</v>
      </c>
      <c r="L18" s="31">
        <f t="shared" si="0"/>
        <v>-1000</v>
      </c>
      <c r="M18" s="31">
        <f>_xlfn.IFNA(VLOOKUP(B18,铝原始数据!$A:$F,6,0),)</f>
        <v>5575</v>
      </c>
    </row>
    <row r="19" spans="1:13" x14ac:dyDescent="0.3">
      <c r="A19" s="30" t="s">
        <v>317</v>
      </c>
      <c r="B19" s="30" t="s">
        <v>13</v>
      </c>
      <c r="C19" s="30" t="s">
        <v>62</v>
      </c>
      <c r="D19" s="30" t="s">
        <v>111</v>
      </c>
      <c r="E19" s="30" t="s">
        <v>160</v>
      </c>
      <c r="F19" s="30" t="s">
        <v>210</v>
      </c>
      <c r="G19" s="31">
        <f>_xlfn.IFNA(VLOOKUP(B19,铝原始数据!$A:$E,5,0),)</f>
        <v>50</v>
      </c>
      <c r="H19" s="31">
        <f>_xlfn.IFNA(VLOOKUP(C19,铝原始数据!$A:$E,5,0),)</f>
        <v>0</v>
      </c>
      <c r="I19" s="31">
        <f>_xlfn.IFNA(VLOOKUP(D19,铝原始数据!$A:$E,5,0),)</f>
        <v>50</v>
      </c>
      <c r="J19" s="31">
        <f>_xlfn.IFNA(VLOOKUP(E19,铝原始数据!$A:$E,5,0),)</f>
        <v>0</v>
      </c>
      <c r="K19" s="31">
        <f>_xlfn.IFNA(VLOOKUP(F19,铝原始数据!$A:$E,5,0),)</f>
        <v>0</v>
      </c>
      <c r="L19" s="31">
        <f t="shared" si="0"/>
        <v>0</v>
      </c>
      <c r="M19" s="31">
        <f>_xlfn.IFNA(VLOOKUP(B19,铝原始数据!$A:$F,6,0),)</f>
        <v>50</v>
      </c>
    </row>
    <row r="20" spans="1:13" x14ac:dyDescent="0.3">
      <c r="A20" s="30" t="s">
        <v>271</v>
      </c>
      <c r="B20" s="30" t="s">
        <v>44</v>
      </c>
      <c r="C20" s="30" t="s">
        <v>93</v>
      </c>
      <c r="D20" s="30" t="s">
        <v>142</v>
      </c>
      <c r="E20" s="30" t="s">
        <v>191</v>
      </c>
      <c r="F20" s="30" t="s">
        <v>241</v>
      </c>
      <c r="G20" s="31">
        <f>_xlfn.IFNA(VLOOKUP(B20,铝原始数据!$A:$E,5,0),)</f>
        <v>50</v>
      </c>
      <c r="H20" s="31">
        <f>_xlfn.IFNA(VLOOKUP(C20,铝原始数据!$A:$E,5,0),)</f>
        <v>0</v>
      </c>
      <c r="I20" s="31">
        <f>_xlfn.IFNA(VLOOKUP(D20,铝原始数据!$A:$E,5,0),)</f>
        <v>50</v>
      </c>
      <c r="J20" s="31">
        <f>_xlfn.IFNA(VLOOKUP(E20,铝原始数据!$A:$E,5,0),)</f>
        <v>0</v>
      </c>
      <c r="K20" s="31">
        <f>_xlfn.IFNA(VLOOKUP(F20,铝原始数据!$A:$E,5,0),)</f>
        <v>0</v>
      </c>
      <c r="L20" s="31">
        <f t="shared" si="0"/>
        <v>0</v>
      </c>
      <c r="M20" s="31">
        <f>_xlfn.IFNA(VLOOKUP(B20,铝原始数据!$A:$F,6,0),)</f>
        <v>50</v>
      </c>
    </row>
    <row r="21" spans="1:13" x14ac:dyDescent="0.3">
      <c r="A21" s="30" t="s">
        <v>272</v>
      </c>
      <c r="B21" s="30" t="s">
        <v>32</v>
      </c>
      <c r="C21" s="30" t="s">
        <v>81</v>
      </c>
      <c r="D21" s="30" t="s">
        <v>130</v>
      </c>
      <c r="E21" s="30" t="s">
        <v>179</v>
      </c>
      <c r="F21" s="30" t="s">
        <v>229</v>
      </c>
      <c r="G21" s="31">
        <f>_xlfn.IFNA(VLOOKUP(B21,铝原始数据!$A:$E,5,0),)</f>
        <v>0</v>
      </c>
      <c r="H21" s="31">
        <f>_xlfn.IFNA(VLOOKUP(C21,铝原始数据!$A:$E,5,0),)</f>
        <v>0</v>
      </c>
      <c r="I21" s="31">
        <f>_xlfn.IFNA(VLOOKUP(D21,铝原始数据!$A:$E,5,0),)</f>
        <v>0</v>
      </c>
      <c r="J21" s="31">
        <f>_xlfn.IFNA(VLOOKUP(E21,铝原始数据!$A:$E,5,0),)</f>
        <v>0</v>
      </c>
      <c r="K21" s="31">
        <f>_xlfn.IFNA(VLOOKUP(F21,铝原始数据!$A:$E,5,0),)</f>
        <v>0</v>
      </c>
      <c r="L21" s="31">
        <f t="shared" si="0"/>
        <v>0</v>
      </c>
      <c r="M21" s="31">
        <f>_xlfn.IFNA(VLOOKUP(B21,铝原始数据!$A:$F,6,0),)</f>
        <v>0</v>
      </c>
    </row>
    <row r="22" spans="1:13" x14ac:dyDescent="0.3">
      <c r="A22" s="30" t="s">
        <v>273</v>
      </c>
      <c r="B22" s="30" t="s">
        <v>24</v>
      </c>
      <c r="C22" s="30" t="s">
        <v>73</v>
      </c>
      <c r="D22" s="30" t="s">
        <v>122</v>
      </c>
      <c r="E22" s="30" t="s">
        <v>171</v>
      </c>
      <c r="F22" s="30" t="s">
        <v>221</v>
      </c>
      <c r="G22" s="31">
        <f>_xlfn.IFNA(VLOOKUP(B22,铝原始数据!$A:$E,5,0),)</f>
        <v>0</v>
      </c>
      <c r="H22" s="31">
        <f>_xlfn.IFNA(VLOOKUP(C22,铝原始数据!$A:$E,5,0),)</f>
        <v>0</v>
      </c>
      <c r="I22" s="31">
        <f>_xlfn.IFNA(VLOOKUP(D22,铝原始数据!$A:$E,5,0),)</f>
        <v>0</v>
      </c>
      <c r="J22" s="31">
        <f>_xlfn.IFNA(VLOOKUP(E22,铝原始数据!$A:$E,5,0),)</f>
        <v>0</v>
      </c>
      <c r="K22" s="31">
        <f>_xlfn.IFNA(VLOOKUP(F22,铝原始数据!$A:$E,5,0),)</f>
        <v>0</v>
      </c>
      <c r="L22" s="31">
        <f t="shared" si="0"/>
        <v>0</v>
      </c>
      <c r="M22" s="31">
        <f>_xlfn.IFNA(VLOOKUP(B22,铝原始数据!$A:$F,6,0),)</f>
        <v>0</v>
      </c>
    </row>
    <row r="23" spans="1:13" x14ac:dyDescent="0.3">
      <c r="A23" s="30" t="s">
        <v>318</v>
      </c>
      <c r="B23" s="30" t="s">
        <v>9</v>
      </c>
      <c r="C23" s="30" t="s">
        <v>58</v>
      </c>
      <c r="D23" s="30" t="s">
        <v>107</v>
      </c>
      <c r="E23" s="30" t="s">
        <v>156</v>
      </c>
      <c r="F23" s="30" t="s">
        <v>206</v>
      </c>
      <c r="G23" s="31">
        <f>_xlfn.IFNA(VLOOKUP(B23,铝原始数据!$A:$E,5,0),)</f>
        <v>0</v>
      </c>
      <c r="H23" s="31">
        <f>_xlfn.IFNA(VLOOKUP(C23,铝原始数据!$A:$E,5,0),)</f>
        <v>0</v>
      </c>
      <c r="I23" s="31">
        <f>_xlfn.IFNA(VLOOKUP(D23,铝原始数据!$A:$E,5,0),)</f>
        <v>0</v>
      </c>
      <c r="J23" s="31">
        <f>_xlfn.IFNA(VLOOKUP(E23,铝原始数据!$A:$E,5,0),)</f>
        <v>0</v>
      </c>
      <c r="K23" s="31">
        <f>_xlfn.IFNA(VLOOKUP(F23,铝原始数据!$A:$E,5,0),)</f>
        <v>0</v>
      </c>
      <c r="L23" s="31">
        <f t="shared" si="0"/>
        <v>0</v>
      </c>
      <c r="M23" s="31">
        <f>_xlfn.IFNA(VLOOKUP(B23,铝原始数据!$A:$F,6,0),)</f>
        <v>0</v>
      </c>
    </row>
    <row r="24" spans="1:13" x14ac:dyDescent="0.3">
      <c r="A24" s="30" t="s">
        <v>275</v>
      </c>
      <c r="B24" s="30" t="s">
        <v>29</v>
      </c>
      <c r="C24" s="30" t="s">
        <v>78</v>
      </c>
      <c r="D24" s="30" t="s">
        <v>127</v>
      </c>
      <c r="E24" s="30" t="s">
        <v>176</v>
      </c>
      <c r="F24" s="30" t="s">
        <v>226</v>
      </c>
      <c r="G24" s="31">
        <f>_xlfn.IFNA(VLOOKUP(B24,铝原始数据!$A:$E,5,0),)</f>
        <v>0</v>
      </c>
      <c r="H24" s="31">
        <f>_xlfn.IFNA(VLOOKUP(C24,铝原始数据!$A:$E,5,0),)</f>
        <v>0</v>
      </c>
      <c r="I24" s="31">
        <f>_xlfn.IFNA(VLOOKUP(D24,铝原始数据!$A:$E,5,0),)</f>
        <v>0</v>
      </c>
      <c r="J24" s="31">
        <f>_xlfn.IFNA(VLOOKUP(E24,铝原始数据!$A:$E,5,0),)</f>
        <v>0</v>
      </c>
      <c r="K24" s="31">
        <f>_xlfn.IFNA(VLOOKUP(F24,铝原始数据!$A:$E,5,0),)</f>
        <v>0</v>
      </c>
      <c r="L24" s="31">
        <f t="shared" si="0"/>
        <v>0</v>
      </c>
      <c r="M24" s="31">
        <f>_xlfn.IFNA(VLOOKUP(B24,铝原始数据!$A:$F,6,0),)</f>
        <v>0</v>
      </c>
    </row>
    <row r="25" spans="1:13" x14ac:dyDescent="0.3">
      <c r="A25" s="30" t="s">
        <v>276</v>
      </c>
      <c r="B25" s="30" t="s">
        <v>33</v>
      </c>
      <c r="C25" s="30" t="s">
        <v>82</v>
      </c>
      <c r="D25" s="30" t="s">
        <v>131</v>
      </c>
      <c r="E25" s="30" t="s">
        <v>180</v>
      </c>
      <c r="F25" s="30" t="s">
        <v>230</v>
      </c>
      <c r="G25" s="31">
        <f>_xlfn.IFNA(VLOOKUP(B25,铝原始数据!$A:$E,5,0),)</f>
        <v>0</v>
      </c>
      <c r="H25" s="31">
        <f>_xlfn.IFNA(VLOOKUP(C25,铝原始数据!$A:$E,5,0),)</f>
        <v>0</v>
      </c>
      <c r="I25" s="31">
        <f>_xlfn.IFNA(VLOOKUP(D25,铝原始数据!$A:$E,5,0),)</f>
        <v>0</v>
      </c>
      <c r="J25" s="31">
        <f>_xlfn.IFNA(VLOOKUP(E25,铝原始数据!$A:$E,5,0),)</f>
        <v>0</v>
      </c>
      <c r="K25" s="31">
        <f>_xlfn.IFNA(VLOOKUP(F25,铝原始数据!$A:$E,5,0),)</f>
        <v>0</v>
      </c>
      <c r="L25" s="31">
        <f t="shared" si="0"/>
        <v>0</v>
      </c>
      <c r="M25" s="31">
        <f>_xlfn.IFNA(VLOOKUP(B25,铝原始数据!$A:$F,6,0),)</f>
        <v>0</v>
      </c>
    </row>
    <row r="26" spans="1:13" x14ac:dyDescent="0.3">
      <c r="A26" s="30" t="s">
        <v>319</v>
      </c>
      <c r="B26" s="30" t="s">
        <v>320</v>
      </c>
      <c r="C26" s="30" t="s">
        <v>321</v>
      </c>
      <c r="D26" s="30" t="s">
        <v>322</v>
      </c>
      <c r="E26" s="30" t="s">
        <v>192</v>
      </c>
      <c r="F26" s="30" t="s">
        <v>242</v>
      </c>
      <c r="G26" s="31">
        <f>_xlfn.IFNA(VLOOKUP(B26,铝原始数据!$A:$E,5,0),)</f>
        <v>0</v>
      </c>
      <c r="H26" s="31">
        <f>_xlfn.IFNA(VLOOKUP(C26,铝原始数据!$A:$E,5,0),)</f>
        <v>0</v>
      </c>
      <c r="I26" s="31">
        <f>_xlfn.IFNA(VLOOKUP(D26,铝原始数据!$A:$E,5,0),)</f>
        <v>0</v>
      </c>
      <c r="J26" s="31">
        <f>_xlfn.IFNA(VLOOKUP(E26,铝原始数据!$A:$E,5,0),)</f>
        <v>0</v>
      </c>
      <c r="K26" s="31">
        <f>_xlfn.IFNA(VLOOKUP(F26,铝原始数据!$A:$E,5,0),)</f>
        <v>0</v>
      </c>
      <c r="L26" s="31">
        <f t="shared" si="0"/>
        <v>0</v>
      </c>
      <c r="M26" s="31">
        <f>_xlfn.IFNA(VLOOKUP(B26,铝原始数据!$A:$F,6,0),)</f>
        <v>0</v>
      </c>
    </row>
    <row r="27" spans="1:13" x14ac:dyDescent="0.3">
      <c r="A27" s="30" t="s">
        <v>323</v>
      </c>
      <c r="B27" s="30" t="s">
        <v>2</v>
      </c>
      <c r="C27" s="30" t="s">
        <v>51</v>
      </c>
      <c r="D27" s="30" t="s">
        <v>100</v>
      </c>
      <c r="E27" s="30" t="s">
        <v>149</v>
      </c>
      <c r="F27" s="30" t="s">
        <v>199</v>
      </c>
      <c r="G27" s="31">
        <f>_xlfn.IFNA(VLOOKUP(B27,铝原始数据!$A:$E,5,0),)</f>
        <v>2925</v>
      </c>
      <c r="H27" s="31">
        <f>_xlfn.IFNA(VLOOKUP(C27,铝原始数据!$A:$E,5,0),)</f>
        <v>2375</v>
      </c>
      <c r="I27" s="31">
        <f>_xlfn.IFNA(VLOOKUP(D27,铝原始数据!$A:$E,5,0),)</f>
        <v>550</v>
      </c>
      <c r="J27" s="31">
        <f>_xlfn.IFNA(VLOOKUP(E27,铝原始数据!$A:$E,5,0),)</f>
        <v>0</v>
      </c>
      <c r="K27" s="31">
        <f>_xlfn.IFNA(VLOOKUP(F27,铝原始数据!$A:$E,5,0),)</f>
        <v>0</v>
      </c>
      <c r="L27" s="31">
        <f t="shared" si="0"/>
        <v>0</v>
      </c>
      <c r="M27" s="31">
        <f>_xlfn.IFNA(VLOOKUP(B27,铝原始数据!$A:$F,6,0),)</f>
        <v>2925</v>
      </c>
    </row>
    <row r="28" spans="1:13" x14ac:dyDescent="0.3">
      <c r="A28" s="30" t="s">
        <v>324</v>
      </c>
      <c r="B28" s="30" t="s">
        <v>6</v>
      </c>
      <c r="C28" s="30" t="s">
        <v>55</v>
      </c>
      <c r="D28" s="30" t="s">
        <v>104</v>
      </c>
      <c r="E28" s="30" t="s">
        <v>153</v>
      </c>
      <c r="F28" s="30" t="s">
        <v>203</v>
      </c>
      <c r="G28" s="31">
        <f>_xlfn.IFNA(VLOOKUP(B28,铝原始数据!$A:$E,5,0),)</f>
        <v>2925</v>
      </c>
      <c r="H28" s="31">
        <f>_xlfn.IFNA(VLOOKUP(C28,铝原始数据!$A:$E,5,0),)</f>
        <v>2375</v>
      </c>
      <c r="I28" s="31">
        <f>_xlfn.IFNA(VLOOKUP(D28,铝原始数据!$A:$E,5,0),)</f>
        <v>550</v>
      </c>
      <c r="J28" s="31">
        <f>_xlfn.IFNA(VLOOKUP(E28,铝原始数据!$A:$E,5,0),)</f>
        <v>0</v>
      </c>
      <c r="K28" s="31">
        <f>_xlfn.IFNA(VLOOKUP(F28,铝原始数据!$A:$E,5,0),)</f>
        <v>0</v>
      </c>
      <c r="L28" s="31">
        <f t="shared" si="0"/>
        <v>0</v>
      </c>
      <c r="M28" s="31">
        <f>_xlfn.IFNA(VLOOKUP(B28,铝原始数据!$A:$F,6,0),)</f>
        <v>2925</v>
      </c>
    </row>
    <row r="29" spans="1:13" x14ac:dyDescent="0.3">
      <c r="A29" s="30" t="s">
        <v>280</v>
      </c>
      <c r="B29" s="30" t="s">
        <v>17</v>
      </c>
      <c r="C29" s="30" t="s">
        <v>66</v>
      </c>
      <c r="D29" s="30" t="s">
        <v>115</v>
      </c>
      <c r="E29" s="30" t="s">
        <v>164</v>
      </c>
      <c r="F29" s="30" t="s">
        <v>214</v>
      </c>
      <c r="G29" s="31">
        <f>_xlfn.IFNA(VLOOKUP(B29,铝原始数据!$A:$E,5,0),)</f>
        <v>0</v>
      </c>
      <c r="H29" s="31">
        <f>_xlfn.IFNA(VLOOKUP(C29,铝原始数据!$A:$E,5,0),)</f>
        <v>0</v>
      </c>
      <c r="I29" s="31">
        <f>_xlfn.IFNA(VLOOKUP(D29,铝原始数据!$A:$E,5,0),)</f>
        <v>0</v>
      </c>
      <c r="J29" s="31">
        <f>_xlfn.IFNA(VLOOKUP(E29,铝原始数据!$A:$E,5,0),)</f>
        <v>0</v>
      </c>
      <c r="K29" s="31">
        <f>_xlfn.IFNA(VLOOKUP(F29,铝原始数据!$A:$E,5,0),)</f>
        <v>0</v>
      </c>
      <c r="L29" s="31">
        <f t="shared" si="0"/>
        <v>0</v>
      </c>
      <c r="M29" s="31">
        <f>_xlfn.IFNA(VLOOKUP(B29,铝原始数据!$A:$F,6,0),)</f>
        <v>0</v>
      </c>
    </row>
    <row r="30" spans="1:13" x14ac:dyDescent="0.3">
      <c r="A30" s="30" t="s">
        <v>281</v>
      </c>
      <c r="B30" s="30" t="s">
        <v>23</v>
      </c>
      <c r="C30" s="30" t="s">
        <v>72</v>
      </c>
      <c r="D30" s="30" t="s">
        <v>121</v>
      </c>
      <c r="E30" s="30" t="s">
        <v>170</v>
      </c>
      <c r="F30" s="30" t="s">
        <v>220</v>
      </c>
      <c r="G30" s="31">
        <f>_xlfn.IFNA(VLOOKUP(B30,铝原始数据!$A:$E,5,0),)</f>
        <v>2925</v>
      </c>
      <c r="H30" s="31">
        <f>_xlfn.IFNA(VLOOKUP(C30,铝原始数据!$A:$E,5,0),)</f>
        <v>2375</v>
      </c>
      <c r="I30" s="31">
        <f>_xlfn.IFNA(VLOOKUP(D30,铝原始数据!$A:$E,5,0),)</f>
        <v>550</v>
      </c>
      <c r="J30" s="31">
        <f>_xlfn.IFNA(VLOOKUP(E30,铝原始数据!$A:$E,5,0),)</f>
        <v>0</v>
      </c>
      <c r="K30" s="31">
        <f>_xlfn.IFNA(VLOOKUP(F30,铝原始数据!$A:$E,5,0),)</f>
        <v>0</v>
      </c>
      <c r="L30" s="31">
        <f t="shared" si="0"/>
        <v>0</v>
      </c>
      <c r="M30" s="31">
        <f>_xlfn.IFNA(VLOOKUP(B30,铝原始数据!$A:$F,6,0),)</f>
        <v>2925</v>
      </c>
    </row>
    <row r="31" spans="1:13" x14ac:dyDescent="0.3">
      <c r="A31" s="30" t="s">
        <v>282</v>
      </c>
      <c r="B31" s="30" t="s">
        <v>35</v>
      </c>
      <c r="C31" s="30" t="s">
        <v>84</v>
      </c>
      <c r="D31" s="30" t="s">
        <v>133</v>
      </c>
      <c r="E31" s="30" t="s">
        <v>182</v>
      </c>
      <c r="F31" s="30" t="s">
        <v>232</v>
      </c>
      <c r="G31" s="31">
        <f>_xlfn.IFNA(VLOOKUP(B31,铝原始数据!$A:$E,5,0),)</f>
        <v>0</v>
      </c>
      <c r="H31" s="31">
        <f>_xlfn.IFNA(VLOOKUP(C31,铝原始数据!$A:$E,5,0),)</f>
        <v>0</v>
      </c>
      <c r="I31" s="31">
        <f>_xlfn.IFNA(VLOOKUP(D31,铝原始数据!$A:$E,5,0),)</f>
        <v>0</v>
      </c>
      <c r="J31" s="31">
        <f>_xlfn.IFNA(VLOOKUP(E31,铝原始数据!$A:$E,5,0),)</f>
        <v>0</v>
      </c>
      <c r="K31" s="31">
        <f>_xlfn.IFNA(VLOOKUP(F31,铝原始数据!$A:$E,5,0),)</f>
        <v>0</v>
      </c>
      <c r="L31" s="31">
        <f t="shared" si="0"/>
        <v>0</v>
      </c>
      <c r="M31" s="31">
        <f>_xlfn.IFNA(VLOOKUP(B31,铝原始数据!$A:$F,6,0),)</f>
        <v>0</v>
      </c>
    </row>
    <row r="32" spans="1:13" x14ac:dyDescent="0.3">
      <c r="A32" s="30" t="s">
        <v>283</v>
      </c>
      <c r="B32" s="30" t="s">
        <v>36</v>
      </c>
      <c r="C32" s="30" t="s">
        <v>85</v>
      </c>
      <c r="D32" s="30" t="s">
        <v>134</v>
      </c>
      <c r="E32" s="30" t="s">
        <v>183</v>
      </c>
      <c r="F32" s="30" t="s">
        <v>233</v>
      </c>
      <c r="G32" s="31">
        <f>_xlfn.IFNA(VLOOKUP(B32,铝原始数据!$A:$E,5,0),)</f>
        <v>0</v>
      </c>
      <c r="H32" s="31">
        <f>_xlfn.IFNA(VLOOKUP(C32,铝原始数据!$A:$E,5,0),)</f>
        <v>0</v>
      </c>
      <c r="I32" s="31">
        <f>_xlfn.IFNA(VLOOKUP(D32,铝原始数据!$A:$E,5,0),)</f>
        <v>0</v>
      </c>
      <c r="J32" s="31">
        <f>_xlfn.IFNA(VLOOKUP(E32,铝原始数据!$A:$E,5,0),)</f>
        <v>0</v>
      </c>
      <c r="K32" s="31">
        <f>_xlfn.IFNA(VLOOKUP(F32,铝原始数据!$A:$E,5,0),)</f>
        <v>0</v>
      </c>
      <c r="L32" s="31">
        <f t="shared" si="0"/>
        <v>0</v>
      </c>
      <c r="M32" s="31">
        <f>_xlfn.IFNA(VLOOKUP(B32,铝原始数据!$A:$F,6,0),)</f>
        <v>0</v>
      </c>
    </row>
    <row r="33" spans="1:13" x14ac:dyDescent="0.3">
      <c r="A33" s="30" t="s">
        <v>284</v>
      </c>
      <c r="B33" s="30" t="s">
        <v>42</v>
      </c>
      <c r="C33" s="30" t="s">
        <v>91</v>
      </c>
      <c r="D33" s="30" t="s">
        <v>140</v>
      </c>
      <c r="E33" s="30" t="s">
        <v>189</v>
      </c>
      <c r="F33" s="30" t="s">
        <v>239</v>
      </c>
      <c r="G33" s="31">
        <f>_xlfn.IFNA(VLOOKUP(B33,铝原始数据!$A:$E,5,0),)</f>
        <v>0</v>
      </c>
      <c r="H33" s="31">
        <f>_xlfn.IFNA(VLOOKUP(C33,铝原始数据!$A:$E,5,0),)</f>
        <v>0</v>
      </c>
      <c r="I33" s="31">
        <f>_xlfn.IFNA(VLOOKUP(D33,铝原始数据!$A:$E,5,0),)</f>
        <v>0</v>
      </c>
      <c r="J33" s="31">
        <f>_xlfn.IFNA(VLOOKUP(E33,铝原始数据!$A:$E,5,0),)</f>
        <v>0</v>
      </c>
      <c r="K33" s="31">
        <f>_xlfn.IFNA(VLOOKUP(F33,铝原始数据!$A:$E,5,0),)</f>
        <v>0</v>
      </c>
      <c r="L33" s="31">
        <f t="shared" si="0"/>
        <v>0</v>
      </c>
      <c r="M33" s="31">
        <f>_xlfn.IFNA(VLOOKUP(B33,铝原始数据!$A:$F,6,0),)</f>
        <v>0</v>
      </c>
    </row>
    <row r="34" spans="1:13" x14ac:dyDescent="0.3">
      <c r="A34" s="30" t="s">
        <v>285</v>
      </c>
      <c r="B34" s="30" t="s">
        <v>38</v>
      </c>
      <c r="C34" s="30" t="s">
        <v>87</v>
      </c>
      <c r="D34" s="30" t="s">
        <v>136</v>
      </c>
      <c r="E34" s="30" t="s">
        <v>185</v>
      </c>
      <c r="F34" s="30" t="s">
        <v>235</v>
      </c>
      <c r="G34" s="31">
        <f>_xlfn.IFNA(VLOOKUP(B34,铝原始数据!$A:$E,5,0),)</f>
        <v>0</v>
      </c>
      <c r="H34" s="31">
        <f>_xlfn.IFNA(VLOOKUP(C34,铝原始数据!$A:$E,5,0),)</f>
        <v>0</v>
      </c>
      <c r="I34" s="31">
        <f>_xlfn.IFNA(VLOOKUP(D34,铝原始数据!$A:$E,5,0),)</f>
        <v>0</v>
      </c>
      <c r="J34" s="31">
        <f>_xlfn.IFNA(VLOOKUP(E34,铝原始数据!$A:$E,5,0),)</f>
        <v>0</v>
      </c>
      <c r="K34" s="31">
        <f>_xlfn.IFNA(VLOOKUP(F34,铝原始数据!$A:$E,5,0),)</f>
        <v>0</v>
      </c>
      <c r="L34" s="31">
        <f t="shared" si="0"/>
        <v>0</v>
      </c>
      <c r="M34" s="31">
        <f>_xlfn.IFNA(VLOOKUP(B34,铝原始数据!$A:$F,6,0),)</f>
        <v>0</v>
      </c>
    </row>
    <row r="35" spans="1:13" x14ac:dyDescent="0.3">
      <c r="A35" s="30" t="s">
        <v>286</v>
      </c>
      <c r="B35" s="30" t="s">
        <v>34</v>
      </c>
      <c r="C35" s="30" t="s">
        <v>83</v>
      </c>
      <c r="D35" s="30" t="s">
        <v>132</v>
      </c>
      <c r="E35" s="30" t="s">
        <v>181</v>
      </c>
      <c r="F35" s="30" t="s">
        <v>231</v>
      </c>
      <c r="G35" s="31">
        <f>_xlfn.IFNA(VLOOKUP(B35,铝原始数据!$A:$E,5,0),)</f>
        <v>0</v>
      </c>
      <c r="H35" s="31">
        <f>_xlfn.IFNA(VLOOKUP(C35,铝原始数据!$A:$E,5,0),)</f>
        <v>0</v>
      </c>
      <c r="I35" s="31">
        <f>_xlfn.IFNA(VLOOKUP(D35,铝原始数据!$A:$E,5,0),)</f>
        <v>0</v>
      </c>
      <c r="J35" s="31">
        <f>_xlfn.IFNA(VLOOKUP(E35,铝原始数据!$A:$E,5,0),)</f>
        <v>0</v>
      </c>
      <c r="K35" s="31">
        <f>_xlfn.IFNA(VLOOKUP(F35,铝原始数据!$A:$E,5,0),)</f>
        <v>0</v>
      </c>
      <c r="L35" s="31">
        <f t="shared" si="0"/>
        <v>0</v>
      </c>
      <c r="M35" s="31">
        <f>_xlfn.IFNA(VLOOKUP(B35,铝原始数据!$A:$F,6,0),)</f>
        <v>0</v>
      </c>
    </row>
    <row r="36" spans="1:13" x14ac:dyDescent="0.3">
      <c r="A36" s="30" t="s">
        <v>287</v>
      </c>
      <c r="B36" s="30" t="s">
        <v>22</v>
      </c>
      <c r="C36" s="30" t="s">
        <v>71</v>
      </c>
      <c r="D36" s="30" t="s">
        <v>120</v>
      </c>
      <c r="E36" s="30" t="s">
        <v>169</v>
      </c>
      <c r="F36" s="30" t="s">
        <v>219</v>
      </c>
      <c r="G36" s="31">
        <f>_xlfn.IFNA(VLOOKUP(B36,铝原始数据!$A:$E,5,0),)</f>
        <v>0</v>
      </c>
      <c r="H36" s="31">
        <f>_xlfn.IFNA(VLOOKUP(C36,铝原始数据!$A:$E,5,0),)</f>
        <v>0</v>
      </c>
      <c r="I36" s="31">
        <f>_xlfn.IFNA(VLOOKUP(D36,铝原始数据!$A:$E,5,0),)</f>
        <v>0</v>
      </c>
      <c r="J36" s="31">
        <f>_xlfn.IFNA(VLOOKUP(E36,铝原始数据!$A:$E,5,0),)</f>
        <v>0</v>
      </c>
      <c r="K36" s="31">
        <f>_xlfn.IFNA(VLOOKUP(F36,铝原始数据!$A:$E,5,0),)</f>
        <v>0</v>
      </c>
      <c r="L36" s="31">
        <f t="shared" si="0"/>
        <v>0</v>
      </c>
      <c r="M36" s="31">
        <f>_xlfn.IFNA(VLOOKUP(B36,铝原始数据!$A:$F,6,0),)</f>
        <v>0</v>
      </c>
    </row>
    <row r="37" spans="1:13" x14ac:dyDescent="0.3">
      <c r="A37" s="30" t="s">
        <v>325</v>
      </c>
      <c r="B37" s="30" t="s">
        <v>1</v>
      </c>
      <c r="C37" s="30" t="s">
        <v>50</v>
      </c>
      <c r="D37" s="30" t="s">
        <v>99</v>
      </c>
      <c r="E37" s="30" t="s">
        <v>148</v>
      </c>
      <c r="F37" s="30" t="s">
        <v>198</v>
      </c>
      <c r="G37" s="31">
        <f>_xlfn.IFNA(VLOOKUP(B37,铝原始数据!$A:$E,5,0),)</f>
        <v>485100</v>
      </c>
      <c r="H37" s="31">
        <f>_xlfn.IFNA(VLOOKUP(C37,铝原始数据!$A:$E,5,0),)</f>
        <v>189050</v>
      </c>
      <c r="I37" s="31">
        <f>_xlfn.IFNA(VLOOKUP(D37,铝原始数据!$A:$E,5,0),)</f>
        <v>296050</v>
      </c>
      <c r="J37" s="31">
        <f>_xlfn.IFNA(VLOOKUP(E37,铝原始数据!$A:$E,5,0),)</f>
        <v>0</v>
      </c>
      <c r="K37" s="31">
        <f>_xlfn.IFNA(VLOOKUP(F37,铝原始数据!$A:$E,5,0),)</f>
        <v>2000</v>
      </c>
      <c r="L37" s="31">
        <f t="shared" si="0"/>
        <v>-2000</v>
      </c>
      <c r="M37" s="31">
        <f>_xlfn.IFNA(VLOOKUP(B37,铝原始数据!$A:$F,6,0),)</f>
        <v>487100</v>
      </c>
    </row>
    <row r="38" spans="1:13" x14ac:dyDescent="0.3">
      <c r="A38" s="30" t="s">
        <v>326</v>
      </c>
      <c r="B38" s="30" t="s">
        <v>7</v>
      </c>
      <c r="C38" s="30" t="s">
        <v>56</v>
      </c>
      <c r="D38" s="30" t="s">
        <v>105</v>
      </c>
      <c r="E38" s="30" t="s">
        <v>154</v>
      </c>
      <c r="F38" s="30" t="s">
        <v>204</v>
      </c>
      <c r="G38" s="31">
        <f>_xlfn.IFNA(VLOOKUP(B38,铝原始数据!$A:$E,5,0),)</f>
        <v>0</v>
      </c>
      <c r="H38" s="31">
        <f>_xlfn.IFNA(VLOOKUP(C38,铝原始数据!$A:$E,5,0),)</f>
        <v>0</v>
      </c>
      <c r="I38" s="31">
        <f>_xlfn.IFNA(VLOOKUP(D38,铝原始数据!$A:$E,5,0),)</f>
        <v>0</v>
      </c>
      <c r="J38" s="31">
        <f>_xlfn.IFNA(VLOOKUP(E38,铝原始数据!$A:$E,5,0),)</f>
        <v>0</v>
      </c>
      <c r="K38" s="31">
        <f>_xlfn.IFNA(VLOOKUP(F38,铝原始数据!$A:$E,5,0),)</f>
        <v>0</v>
      </c>
      <c r="L38" s="31">
        <f t="shared" si="0"/>
        <v>0</v>
      </c>
      <c r="M38" s="31">
        <f>_xlfn.IFNA(VLOOKUP(B38,铝原始数据!$A:$F,6,0),)</f>
        <v>0</v>
      </c>
    </row>
    <row r="39" spans="1:13" x14ac:dyDescent="0.3">
      <c r="A39" s="30" t="s">
        <v>290</v>
      </c>
      <c r="B39" s="30" t="s">
        <v>46</v>
      </c>
      <c r="C39" s="30" t="s">
        <v>95</v>
      </c>
      <c r="D39" s="30" t="s">
        <v>144</v>
      </c>
      <c r="E39" s="30" t="s">
        <v>194</v>
      </c>
      <c r="F39" s="30" t="s">
        <v>244</v>
      </c>
      <c r="G39" s="31">
        <f>_xlfn.IFNA(VLOOKUP(B39,铝原始数据!$A:$E,5,0),)</f>
        <v>0</v>
      </c>
      <c r="H39" s="31">
        <f>_xlfn.IFNA(VLOOKUP(C39,铝原始数据!$A:$E,5,0),)</f>
        <v>0</v>
      </c>
      <c r="I39" s="31">
        <f>_xlfn.IFNA(VLOOKUP(D39,铝原始数据!$A:$E,5,0),)</f>
        <v>0</v>
      </c>
      <c r="J39" s="31">
        <f>_xlfn.IFNA(VLOOKUP(E39,铝原始数据!$A:$E,5,0),)</f>
        <v>0</v>
      </c>
      <c r="K39" s="31">
        <f>_xlfn.IFNA(VLOOKUP(F39,铝原始数据!$A:$E,5,0),)</f>
        <v>0</v>
      </c>
      <c r="L39" s="31">
        <f t="shared" si="0"/>
        <v>0</v>
      </c>
      <c r="M39" s="31">
        <f>_xlfn.IFNA(VLOOKUP(B39,铝原始数据!$A:$F,6,0),)</f>
        <v>0</v>
      </c>
    </row>
    <row r="40" spans="1:13" x14ac:dyDescent="0.3">
      <c r="A40" s="30" t="s">
        <v>291</v>
      </c>
      <c r="B40" s="30" t="s">
        <v>37</v>
      </c>
      <c r="C40" s="30" t="s">
        <v>86</v>
      </c>
      <c r="D40" s="30" t="s">
        <v>135</v>
      </c>
      <c r="E40" s="30" t="s">
        <v>184</v>
      </c>
      <c r="F40" s="30" t="s">
        <v>234</v>
      </c>
      <c r="G40" s="31">
        <f>_xlfn.IFNA(VLOOKUP(B40,铝原始数据!$A:$E,5,0),)</f>
        <v>0</v>
      </c>
      <c r="H40" s="31">
        <f>_xlfn.IFNA(VLOOKUP(C40,铝原始数据!$A:$E,5,0),)</f>
        <v>0</v>
      </c>
      <c r="I40" s="31">
        <f>_xlfn.IFNA(VLOOKUP(D40,铝原始数据!$A:$E,5,0),)</f>
        <v>0</v>
      </c>
      <c r="J40" s="31">
        <f>_xlfn.IFNA(VLOOKUP(E40,铝原始数据!$A:$E,5,0),)</f>
        <v>0</v>
      </c>
      <c r="K40" s="31">
        <f>_xlfn.IFNA(VLOOKUP(F40,铝原始数据!$A:$E,5,0),)</f>
        <v>0</v>
      </c>
      <c r="L40" s="31">
        <f t="shared" si="0"/>
        <v>0</v>
      </c>
      <c r="M40" s="31">
        <f>_xlfn.IFNA(VLOOKUP(B40,铝原始数据!$A:$F,6,0),)</f>
        <v>0</v>
      </c>
    </row>
    <row r="41" spans="1:13" x14ac:dyDescent="0.3">
      <c r="A41" s="30" t="s">
        <v>327</v>
      </c>
      <c r="B41" s="30" t="s">
        <v>14</v>
      </c>
      <c r="C41" s="30" t="s">
        <v>63</v>
      </c>
      <c r="D41" s="30" t="s">
        <v>112</v>
      </c>
      <c r="E41" s="30" t="s">
        <v>161</v>
      </c>
      <c r="F41" s="30" t="s">
        <v>211</v>
      </c>
      <c r="G41" s="31">
        <f>_xlfn.IFNA(VLOOKUP(B41,铝原始数据!$A:$E,5,0),)</f>
        <v>206375</v>
      </c>
      <c r="H41" s="31">
        <f>_xlfn.IFNA(VLOOKUP(C41,铝原始数据!$A:$E,5,0),)</f>
        <v>34050</v>
      </c>
      <c r="I41" s="31">
        <f>_xlfn.IFNA(VLOOKUP(D41,铝原始数据!$A:$E,5,0),)</f>
        <v>172325</v>
      </c>
      <c r="J41" s="31">
        <f>_xlfn.IFNA(VLOOKUP(E41,铝原始数据!$A:$E,5,0),)</f>
        <v>0</v>
      </c>
      <c r="K41" s="31">
        <f>_xlfn.IFNA(VLOOKUP(F41,铝原始数据!$A:$E,5,0),)</f>
        <v>0</v>
      </c>
      <c r="L41" s="31">
        <f t="shared" si="0"/>
        <v>0</v>
      </c>
      <c r="M41" s="31">
        <f>_xlfn.IFNA(VLOOKUP(B41,铝原始数据!$A:$F,6,0),)</f>
        <v>206375</v>
      </c>
    </row>
    <row r="42" spans="1:13" x14ac:dyDescent="0.3">
      <c r="A42" s="30" t="s">
        <v>293</v>
      </c>
      <c r="B42" s="30" t="s">
        <v>39</v>
      </c>
      <c r="C42" s="30" t="s">
        <v>88</v>
      </c>
      <c r="D42" s="30" t="s">
        <v>137</v>
      </c>
      <c r="E42" s="30" t="s">
        <v>186</v>
      </c>
      <c r="F42" s="30" t="s">
        <v>236</v>
      </c>
      <c r="G42" s="31">
        <f>_xlfn.IFNA(VLOOKUP(B42,铝原始数据!$A:$E,5,0),)</f>
        <v>206375</v>
      </c>
      <c r="H42" s="31">
        <f>_xlfn.IFNA(VLOOKUP(C42,铝原始数据!$A:$E,5,0),)</f>
        <v>34050</v>
      </c>
      <c r="I42" s="31">
        <f>_xlfn.IFNA(VLOOKUP(D42,铝原始数据!$A:$E,5,0),)</f>
        <v>172325</v>
      </c>
      <c r="J42" s="31">
        <f>_xlfn.IFNA(VLOOKUP(E42,铝原始数据!$A:$E,5,0),)</f>
        <v>0</v>
      </c>
      <c r="K42" s="31">
        <f>_xlfn.IFNA(VLOOKUP(F42,铝原始数据!$A:$E,5,0),)</f>
        <v>0</v>
      </c>
      <c r="L42" s="31">
        <f t="shared" si="0"/>
        <v>0</v>
      </c>
      <c r="M42" s="31">
        <f>_xlfn.IFNA(VLOOKUP(B42,铝原始数据!$A:$F,6,0),)</f>
        <v>206375</v>
      </c>
    </row>
    <row r="43" spans="1:13" x14ac:dyDescent="0.3">
      <c r="A43" s="30" t="s">
        <v>294</v>
      </c>
      <c r="B43" s="30" t="s">
        <v>31</v>
      </c>
      <c r="C43" s="30" t="s">
        <v>80</v>
      </c>
      <c r="D43" s="30" t="s">
        <v>129</v>
      </c>
      <c r="E43" s="30" t="s">
        <v>178</v>
      </c>
      <c r="F43" s="30" t="s">
        <v>228</v>
      </c>
      <c r="G43" s="31">
        <f>_xlfn.IFNA(VLOOKUP(B43,铝原始数据!$A:$E,5,0),)</f>
        <v>0</v>
      </c>
      <c r="H43" s="31">
        <f>_xlfn.IFNA(VLOOKUP(C43,铝原始数据!$A:$E,5,0),)</f>
        <v>0</v>
      </c>
      <c r="I43" s="31">
        <f>_xlfn.IFNA(VLOOKUP(D43,铝原始数据!$A:$E,5,0),)</f>
        <v>0</v>
      </c>
      <c r="J43" s="31">
        <f>_xlfn.IFNA(VLOOKUP(E43,铝原始数据!$A:$E,5,0),)</f>
        <v>0</v>
      </c>
      <c r="K43" s="31">
        <f>_xlfn.IFNA(VLOOKUP(F43,铝原始数据!$A:$E,5,0),)</f>
        <v>0</v>
      </c>
      <c r="L43" s="31">
        <f t="shared" si="0"/>
        <v>0</v>
      </c>
      <c r="M43" s="31">
        <f>_xlfn.IFNA(VLOOKUP(B43,铝原始数据!$A:$F,6,0),)</f>
        <v>0</v>
      </c>
    </row>
    <row r="44" spans="1:13" x14ac:dyDescent="0.3">
      <c r="A44" s="30" t="s">
        <v>328</v>
      </c>
      <c r="B44" s="30" t="s">
        <v>4</v>
      </c>
      <c r="C44" s="30" t="s">
        <v>53</v>
      </c>
      <c r="D44" s="30" t="s">
        <v>102</v>
      </c>
      <c r="E44" s="30" t="s">
        <v>151</v>
      </c>
      <c r="F44" s="30" t="s">
        <v>201</v>
      </c>
      <c r="G44" s="31">
        <f>_xlfn.IFNA(VLOOKUP(B44,铝原始数据!$A:$E,5,0),)</f>
        <v>259775</v>
      </c>
      <c r="H44" s="31">
        <f>_xlfn.IFNA(VLOOKUP(C44,铝原始数据!$A:$E,5,0),)</f>
        <v>144250</v>
      </c>
      <c r="I44" s="31">
        <f>_xlfn.IFNA(VLOOKUP(D44,铝原始数据!$A:$E,5,0),)</f>
        <v>115525</v>
      </c>
      <c r="J44" s="31">
        <f>_xlfn.IFNA(VLOOKUP(E44,铝原始数据!$A:$E,5,0),)</f>
        <v>0</v>
      </c>
      <c r="K44" s="31">
        <f>_xlfn.IFNA(VLOOKUP(F44,铝原始数据!$A:$E,5,0),)</f>
        <v>2000</v>
      </c>
      <c r="L44" s="31">
        <f t="shared" si="0"/>
        <v>-2000</v>
      </c>
      <c r="M44" s="31">
        <f>_xlfn.IFNA(VLOOKUP(B44,铝原始数据!$A:$F,6,0),)</f>
        <v>261775</v>
      </c>
    </row>
    <row r="45" spans="1:13" x14ac:dyDescent="0.3">
      <c r="A45" s="30" t="s">
        <v>296</v>
      </c>
      <c r="B45" s="30" t="s">
        <v>21</v>
      </c>
      <c r="C45" s="30" t="s">
        <v>70</v>
      </c>
      <c r="D45" s="30" t="s">
        <v>119</v>
      </c>
      <c r="E45" s="30" t="s">
        <v>168</v>
      </c>
      <c r="F45" s="30" t="s">
        <v>218</v>
      </c>
      <c r="G45" s="31">
        <f>_xlfn.IFNA(VLOOKUP(B45,铝原始数据!$A:$E,5,0),)</f>
        <v>1375</v>
      </c>
      <c r="H45" s="31">
        <f>_xlfn.IFNA(VLOOKUP(C45,铝原始数据!$A:$E,5,0),)</f>
        <v>1200</v>
      </c>
      <c r="I45" s="31">
        <f>_xlfn.IFNA(VLOOKUP(D45,铝原始数据!$A:$E,5,0),)</f>
        <v>175</v>
      </c>
      <c r="J45" s="31">
        <f>_xlfn.IFNA(VLOOKUP(E45,铝原始数据!$A:$E,5,0),)</f>
        <v>0</v>
      </c>
      <c r="K45" s="31">
        <f>_xlfn.IFNA(VLOOKUP(F45,铝原始数据!$A:$E,5,0),)</f>
        <v>0</v>
      </c>
      <c r="L45" s="31">
        <f t="shared" si="0"/>
        <v>0</v>
      </c>
      <c r="M45" s="31">
        <f>_xlfn.IFNA(VLOOKUP(B45,铝原始数据!$A:$F,6,0),)</f>
        <v>1375</v>
      </c>
    </row>
    <row r="46" spans="1:13" x14ac:dyDescent="0.3">
      <c r="A46" s="30" t="s">
        <v>297</v>
      </c>
      <c r="B46" s="30" t="s">
        <v>26</v>
      </c>
      <c r="C46" s="30" t="s">
        <v>75</v>
      </c>
      <c r="D46" s="30" t="s">
        <v>124</v>
      </c>
      <c r="E46" s="30" t="s">
        <v>173</v>
      </c>
      <c r="F46" s="30" t="s">
        <v>223</v>
      </c>
      <c r="G46" s="31">
        <f>_xlfn.IFNA(VLOOKUP(B46,铝原始数据!$A:$E,5,0),)</f>
        <v>258400</v>
      </c>
      <c r="H46" s="31">
        <f>_xlfn.IFNA(VLOOKUP(C46,铝原始数据!$A:$E,5,0),)</f>
        <v>143050</v>
      </c>
      <c r="I46" s="31">
        <f>_xlfn.IFNA(VLOOKUP(D46,铝原始数据!$A:$E,5,0),)</f>
        <v>115350</v>
      </c>
      <c r="J46" s="31">
        <f>_xlfn.IFNA(VLOOKUP(E46,铝原始数据!$A:$E,5,0),)</f>
        <v>0</v>
      </c>
      <c r="K46" s="31">
        <f>_xlfn.IFNA(VLOOKUP(F46,铝原始数据!$A:$E,5,0),)</f>
        <v>2000</v>
      </c>
      <c r="L46" s="31">
        <f t="shared" si="0"/>
        <v>-2000</v>
      </c>
      <c r="M46" s="31">
        <f>_xlfn.IFNA(VLOOKUP(B46,铝原始数据!$A:$F,6,0),)</f>
        <v>260400</v>
      </c>
    </row>
    <row r="47" spans="1:13" x14ac:dyDescent="0.3">
      <c r="A47" s="30" t="s">
        <v>298</v>
      </c>
      <c r="B47" s="30" t="s">
        <v>30</v>
      </c>
      <c r="C47" s="30" t="s">
        <v>79</v>
      </c>
      <c r="D47" s="30" t="s">
        <v>128</v>
      </c>
      <c r="E47" s="30" t="s">
        <v>177</v>
      </c>
      <c r="F47" s="30" t="s">
        <v>227</v>
      </c>
      <c r="G47" s="31">
        <f>_xlfn.IFNA(VLOOKUP(B47,铝原始数据!$A:$E,5,0),)</f>
        <v>0</v>
      </c>
      <c r="H47" s="31">
        <f>_xlfn.IFNA(VLOOKUP(C47,铝原始数据!$A:$E,5,0),)</f>
        <v>0</v>
      </c>
      <c r="I47" s="31">
        <f>_xlfn.IFNA(VLOOKUP(D47,铝原始数据!$A:$E,5,0),)</f>
        <v>0</v>
      </c>
      <c r="J47" s="31">
        <f>_xlfn.IFNA(VLOOKUP(E47,铝原始数据!$A:$E,5,0),)</f>
        <v>0</v>
      </c>
      <c r="K47" s="31">
        <f>_xlfn.IFNA(VLOOKUP(F47,铝原始数据!$A:$E,5,0),)</f>
        <v>0</v>
      </c>
      <c r="L47" s="31">
        <f t="shared" si="0"/>
        <v>0</v>
      </c>
      <c r="M47" s="31">
        <f>_xlfn.IFNA(VLOOKUP(B47,铝原始数据!$A:$F,6,0),)</f>
        <v>0</v>
      </c>
    </row>
    <row r="48" spans="1:13" x14ac:dyDescent="0.3">
      <c r="A48" s="30" t="s">
        <v>329</v>
      </c>
      <c r="B48" s="30" t="s">
        <v>12</v>
      </c>
      <c r="C48" s="30" t="s">
        <v>61</v>
      </c>
      <c r="D48" s="30" t="s">
        <v>110</v>
      </c>
      <c r="E48" s="30" t="s">
        <v>159</v>
      </c>
      <c r="F48" s="30" t="s">
        <v>209</v>
      </c>
      <c r="G48" s="31">
        <f>_xlfn.IFNA(VLOOKUP(B48,铝原始数据!$A:$E,5,0),)</f>
        <v>18750</v>
      </c>
      <c r="H48" s="31">
        <f>_xlfn.IFNA(VLOOKUP(C48,铝原始数据!$A:$E,5,0),)</f>
        <v>10550</v>
      </c>
      <c r="I48" s="31">
        <f>_xlfn.IFNA(VLOOKUP(D48,铝原始数据!$A:$E,5,0),)</f>
        <v>8200</v>
      </c>
      <c r="J48" s="31">
        <f>_xlfn.IFNA(VLOOKUP(E48,铝原始数据!$A:$E,5,0),)</f>
        <v>0</v>
      </c>
      <c r="K48" s="31">
        <f>_xlfn.IFNA(VLOOKUP(F48,铝原始数据!$A:$E,5,0),)</f>
        <v>0</v>
      </c>
      <c r="L48" s="31">
        <f t="shared" si="0"/>
        <v>0</v>
      </c>
      <c r="M48" s="31">
        <f>_xlfn.IFNA(VLOOKUP(B48,铝原始数据!$A:$F,6,0),)</f>
        <v>18750</v>
      </c>
    </row>
    <row r="49" spans="1:13" x14ac:dyDescent="0.3">
      <c r="A49" s="30" t="s">
        <v>300</v>
      </c>
      <c r="B49" s="30" t="s">
        <v>41</v>
      </c>
      <c r="C49" s="30" t="s">
        <v>90</v>
      </c>
      <c r="D49" s="30" t="s">
        <v>139</v>
      </c>
      <c r="E49" s="30" t="s">
        <v>188</v>
      </c>
      <c r="F49" s="30" t="s">
        <v>238</v>
      </c>
      <c r="G49" s="31">
        <f>_xlfn.IFNA(VLOOKUP(B49,铝原始数据!$A:$E,5,0),)</f>
        <v>18750</v>
      </c>
      <c r="H49" s="31">
        <f>_xlfn.IFNA(VLOOKUP(C49,铝原始数据!$A:$E,5,0),)</f>
        <v>10550</v>
      </c>
      <c r="I49" s="31">
        <f>_xlfn.IFNA(VLOOKUP(D49,铝原始数据!$A:$E,5,0),)</f>
        <v>8200</v>
      </c>
      <c r="J49" s="31">
        <f>_xlfn.IFNA(VLOOKUP(E49,铝原始数据!$A:$E,5,0),)</f>
        <v>0</v>
      </c>
      <c r="K49" s="31">
        <f>_xlfn.IFNA(VLOOKUP(F49,铝原始数据!$A:$E,5,0),)</f>
        <v>0</v>
      </c>
      <c r="L49" s="31">
        <f t="shared" si="0"/>
        <v>0</v>
      </c>
      <c r="M49" s="31">
        <f>_xlfn.IFNA(VLOOKUP(B49,铝原始数据!$A:$F,6,0),)</f>
        <v>18750</v>
      </c>
    </row>
    <row r="50" spans="1:13" x14ac:dyDescent="0.3">
      <c r="A50" s="30" t="s">
        <v>330</v>
      </c>
      <c r="B50" s="30" t="s">
        <v>15</v>
      </c>
      <c r="C50" s="30" t="s">
        <v>64</v>
      </c>
      <c r="D50" s="30" t="s">
        <v>113</v>
      </c>
      <c r="E50" s="30" t="s">
        <v>162</v>
      </c>
      <c r="F50" s="30" t="s">
        <v>212</v>
      </c>
      <c r="G50" s="31">
        <f>_xlfn.IFNA(VLOOKUP(B50,铝原始数据!$A:$E,5,0),)</f>
        <v>200</v>
      </c>
      <c r="H50" s="31">
        <f>_xlfn.IFNA(VLOOKUP(C50,铝原始数据!$A:$E,5,0),)</f>
        <v>200</v>
      </c>
      <c r="I50" s="31">
        <f>_xlfn.IFNA(VLOOKUP(D50,铝原始数据!$A:$E,5,0),)</f>
        <v>0</v>
      </c>
      <c r="J50" s="31">
        <f>_xlfn.IFNA(VLOOKUP(E50,铝原始数据!$A:$E,5,0),)</f>
        <v>0</v>
      </c>
      <c r="K50" s="31">
        <f>_xlfn.IFNA(VLOOKUP(F50,铝原始数据!$A:$E,5,0),)</f>
        <v>0</v>
      </c>
      <c r="L50" s="31">
        <f t="shared" si="0"/>
        <v>0</v>
      </c>
      <c r="M50" s="31">
        <f>_xlfn.IFNA(VLOOKUP(B50,铝原始数据!$A:$F,6,0),)</f>
        <v>200</v>
      </c>
    </row>
    <row r="51" spans="1:13" x14ac:dyDescent="0.3">
      <c r="A51" s="30" t="s">
        <v>302</v>
      </c>
      <c r="B51" s="30" t="s">
        <v>47</v>
      </c>
      <c r="C51" s="30" t="s">
        <v>96</v>
      </c>
      <c r="D51" s="30" t="s">
        <v>145</v>
      </c>
      <c r="E51" s="30" t="s">
        <v>195</v>
      </c>
      <c r="F51" s="30" t="s">
        <v>245</v>
      </c>
      <c r="G51" s="31">
        <f>_xlfn.IFNA(VLOOKUP(B51,铝原始数据!$A:$E,5,0),)</f>
        <v>200</v>
      </c>
      <c r="H51" s="31">
        <f>_xlfn.IFNA(VLOOKUP(C51,铝原始数据!$A:$E,5,0),)</f>
        <v>200</v>
      </c>
      <c r="I51" s="31">
        <f>_xlfn.IFNA(VLOOKUP(D51,铝原始数据!$A:$E,5,0),)</f>
        <v>0</v>
      </c>
      <c r="J51" s="31">
        <f>_xlfn.IFNA(VLOOKUP(E51,铝原始数据!$A:$E,5,0),)</f>
        <v>0</v>
      </c>
      <c r="K51" s="31">
        <f>_xlfn.IFNA(VLOOKUP(F51,铝原始数据!$A:$E,5,0),)</f>
        <v>0</v>
      </c>
      <c r="L51" s="31">
        <f t="shared" si="0"/>
        <v>0</v>
      </c>
      <c r="M51" s="31">
        <f>_xlfn.IFNA(VLOOKUP(B51,铝原始数据!$A:$F,6,0),)</f>
        <v>200</v>
      </c>
    </row>
  </sheetData>
  <phoneticPr fontId="1" type="noConversion"/>
  <conditionalFormatting sqref="A50:A51">
    <cfRule type="duplicateValues" dxfId="3" priority="4"/>
  </conditionalFormatting>
  <conditionalFormatting sqref="B1:F1">
    <cfRule type="duplicateValues" dxfId="2" priority="3"/>
  </conditionalFormatting>
  <conditionalFormatting sqref="G1:J1">
    <cfRule type="duplicateValues" dxfId="1" priority="2"/>
  </conditionalFormatting>
  <conditionalFormatting sqref="K1:M1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tabColor rgb="FF63636D"/>
  </sheetPr>
  <dimension ref="A1:L252"/>
  <sheetViews>
    <sheetView workbookViewId="0">
      <selection activeCell="E12" sqref="E12"/>
    </sheetView>
  </sheetViews>
  <sheetFormatPr defaultRowHeight="14.25" x14ac:dyDescent="0.2"/>
  <cols>
    <col min="1" max="1" width="32.75" bestFit="1" customWidth="1"/>
    <col min="2" max="3" width="5.25" bestFit="1" customWidth="1"/>
    <col min="4" max="4" width="9.75" bestFit="1" customWidth="1"/>
    <col min="5" max="11" width="11.75" bestFit="1" customWidth="1"/>
    <col min="12" max="12" width="11.625" bestFit="1" customWidth="1"/>
  </cols>
  <sheetData>
    <row r="1" spans="1:12" x14ac:dyDescent="0.2">
      <c r="A1" s="25" t="str">
        <f>[1]!edb()</f>
        <v>Wind</v>
      </c>
    </row>
    <row r="2" spans="1:12" x14ac:dyDescent="0.2">
      <c r="A2" s="5" t="s">
        <v>346</v>
      </c>
      <c r="B2" s="5" t="s">
        <v>353</v>
      </c>
      <c r="C2" s="5" t="s">
        <v>354</v>
      </c>
      <c r="D2" s="5" t="s">
        <v>355</v>
      </c>
      <c r="E2" s="7">
        <v>45209</v>
      </c>
      <c r="F2" s="7">
        <v>45208</v>
      </c>
      <c r="G2" s="7"/>
      <c r="H2" s="7"/>
      <c r="I2" s="7"/>
      <c r="J2" s="7"/>
      <c r="K2" s="7"/>
      <c r="L2" s="7"/>
    </row>
    <row r="3" spans="1:12" x14ac:dyDescent="0.2">
      <c r="A3" s="5" t="s">
        <v>347</v>
      </c>
      <c r="B3" s="5" t="s">
        <v>350</v>
      </c>
      <c r="C3" s="5" t="s">
        <v>352</v>
      </c>
      <c r="D3" s="5" t="s">
        <v>348</v>
      </c>
      <c r="E3" s="26">
        <v>492650</v>
      </c>
      <c r="F3" s="26">
        <v>495650</v>
      </c>
      <c r="G3" s="6"/>
      <c r="H3" s="6"/>
      <c r="I3" s="6"/>
      <c r="J3" s="6"/>
      <c r="K3" s="6"/>
      <c r="L3" s="6"/>
    </row>
    <row r="4" spans="1:12" x14ac:dyDescent="0.2">
      <c r="A4" s="5" t="s">
        <v>349</v>
      </c>
      <c r="B4" s="5" t="s">
        <v>350</v>
      </c>
      <c r="C4" s="5" t="s">
        <v>352</v>
      </c>
      <c r="D4" s="5" t="s">
        <v>356</v>
      </c>
      <c r="E4" s="26">
        <v>4625</v>
      </c>
      <c r="F4" s="26">
        <v>5625</v>
      </c>
      <c r="G4" s="6"/>
      <c r="H4" s="6"/>
      <c r="I4" s="6"/>
      <c r="J4" s="6"/>
      <c r="K4" s="6"/>
      <c r="L4" s="6"/>
    </row>
    <row r="5" spans="1:12" x14ac:dyDescent="0.2">
      <c r="A5" s="5" t="s">
        <v>357</v>
      </c>
      <c r="B5" s="5" t="s">
        <v>350</v>
      </c>
      <c r="C5" s="5" t="s">
        <v>352</v>
      </c>
      <c r="D5" s="5" t="s">
        <v>358</v>
      </c>
      <c r="E5" s="26">
        <v>485100</v>
      </c>
      <c r="F5" s="26">
        <v>487100</v>
      </c>
      <c r="G5" s="6"/>
      <c r="H5" s="6"/>
      <c r="I5" s="6"/>
      <c r="J5" s="6"/>
      <c r="K5" s="6"/>
      <c r="L5" s="6"/>
    </row>
    <row r="6" spans="1:12" x14ac:dyDescent="0.2">
      <c r="A6" s="5" t="s">
        <v>359</v>
      </c>
      <c r="B6" s="5" t="s">
        <v>350</v>
      </c>
      <c r="C6" s="5" t="s">
        <v>360</v>
      </c>
      <c r="D6" s="5" t="s">
        <v>343</v>
      </c>
      <c r="E6" s="26">
        <v>2925</v>
      </c>
      <c r="F6" s="26">
        <v>2925</v>
      </c>
      <c r="G6" s="6"/>
      <c r="H6" s="6"/>
      <c r="I6" s="6"/>
      <c r="J6" s="6"/>
      <c r="K6" s="6"/>
      <c r="L6" s="6"/>
    </row>
    <row r="7" spans="1:12" x14ac:dyDescent="0.2">
      <c r="A7" s="5" t="s">
        <v>361</v>
      </c>
      <c r="B7" s="5" t="s">
        <v>362</v>
      </c>
      <c r="C7" s="5" t="s">
        <v>352</v>
      </c>
      <c r="D7" s="5" t="s">
        <v>363</v>
      </c>
      <c r="E7" s="26">
        <v>0</v>
      </c>
      <c r="F7" s="26">
        <v>0</v>
      </c>
      <c r="G7" s="6"/>
      <c r="H7" s="6"/>
      <c r="I7" s="6"/>
      <c r="J7" s="6"/>
      <c r="K7" s="6"/>
      <c r="L7" s="6"/>
    </row>
    <row r="8" spans="1:12" x14ac:dyDescent="0.2">
      <c r="A8" s="5" t="s">
        <v>344</v>
      </c>
      <c r="B8" s="5" t="s">
        <v>362</v>
      </c>
      <c r="C8" s="5" t="s">
        <v>360</v>
      </c>
      <c r="D8" s="5" t="s">
        <v>351</v>
      </c>
      <c r="E8" s="26">
        <v>259775</v>
      </c>
      <c r="F8" s="26">
        <v>261775</v>
      </c>
      <c r="G8" s="6"/>
      <c r="H8" s="6"/>
      <c r="I8" s="6"/>
      <c r="J8" s="6"/>
      <c r="K8" s="6"/>
      <c r="L8" s="6"/>
    </row>
    <row r="9" spans="1:12" x14ac:dyDescent="0.2">
      <c r="A9" s="5" t="s">
        <v>364</v>
      </c>
      <c r="B9" s="5" t="s">
        <v>362</v>
      </c>
      <c r="C9" s="5" t="s">
        <v>360</v>
      </c>
      <c r="D9" s="5" t="s">
        <v>365</v>
      </c>
      <c r="E9" s="26">
        <v>4575</v>
      </c>
      <c r="F9" s="26">
        <v>5575</v>
      </c>
      <c r="G9" s="6"/>
      <c r="H9" s="6"/>
      <c r="I9" s="6"/>
      <c r="J9" s="6"/>
      <c r="K9" s="6"/>
      <c r="L9" s="6"/>
    </row>
    <row r="10" spans="1:12" x14ac:dyDescent="0.2">
      <c r="A10" s="5" t="s">
        <v>366</v>
      </c>
      <c r="B10" s="5" t="s">
        <v>362</v>
      </c>
      <c r="C10" s="5" t="s">
        <v>360</v>
      </c>
      <c r="D10" s="5" t="s">
        <v>367</v>
      </c>
      <c r="E10" s="26">
        <v>2925</v>
      </c>
      <c r="F10" s="26">
        <v>2925</v>
      </c>
      <c r="G10" s="6"/>
      <c r="H10" s="6"/>
      <c r="I10" s="6"/>
      <c r="J10" s="6"/>
      <c r="K10" s="6"/>
      <c r="L10" s="6"/>
    </row>
    <row r="11" spans="1:12" x14ac:dyDescent="0.2">
      <c r="A11" s="5" t="s">
        <v>368</v>
      </c>
      <c r="B11" s="5" t="s">
        <v>350</v>
      </c>
      <c r="C11" s="5" t="s">
        <v>360</v>
      </c>
      <c r="D11" s="5" t="s">
        <v>369</v>
      </c>
      <c r="E11" s="26">
        <v>0</v>
      </c>
      <c r="F11" s="26">
        <v>0</v>
      </c>
      <c r="G11" s="6"/>
      <c r="H11" s="6"/>
      <c r="I11" s="6"/>
      <c r="J11" s="6"/>
      <c r="K11" s="6"/>
      <c r="L11" s="6"/>
    </row>
    <row r="12" spans="1:12" x14ac:dyDescent="0.2">
      <c r="A12" s="5" t="s">
        <v>370</v>
      </c>
      <c r="B12" s="5" t="s">
        <v>350</v>
      </c>
      <c r="C12" s="5" t="s">
        <v>360</v>
      </c>
      <c r="D12" s="5" t="s">
        <v>371</v>
      </c>
      <c r="E12" s="26">
        <v>0</v>
      </c>
      <c r="F12" s="26">
        <v>0</v>
      </c>
      <c r="G12" s="6"/>
      <c r="H12" s="6"/>
      <c r="I12" s="6"/>
      <c r="J12" s="6"/>
      <c r="K12" s="6"/>
      <c r="L12" s="6"/>
    </row>
    <row r="13" spans="1:12" x14ac:dyDescent="0.2">
      <c r="A13" s="5" t="s">
        <v>345</v>
      </c>
      <c r="B13" s="5" t="s">
        <v>350</v>
      </c>
      <c r="C13" s="5" t="s">
        <v>352</v>
      </c>
      <c r="D13" s="5" t="s">
        <v>372</v>
      </c>
      <c r="E13" s="26">
        <v>0</v>
      </c>
      <c r="F13" s="26">
        <v>0</v>
      </c>
      <c r="G13" s="6"/>
      <c r="H13" s="6"/>
      <c r="I13" s="6"/>
      <c r="J13" s="6"/>
      <c r="K13" s="6"/>
      <c r="L13" s="6"/>
    </row>
    <row r="14" spans="1:12" x14ac:dyDescent="0.2">
      <c r="A14" s="5" t="s">
        <v>373</v>
      </c>
      <c r="B14" s="5" t="s">
        <v>362</v>
      </c>
      <c r="C14" s="5" t="s">
        <v>360</v>
      </c>
      <c r="D14" s="5" t="s">
        <v>374</v>
      </c>
      <c r="E14" s="26">
        <v>0</v>
      </c>
      <c r="F14" s="26">
        <v>0</v>
      </c>
      <c r="G14" s="6"/>
      <c r="H14" s="6"/>
      <c r="I14" s="6"/>
      <c r="J14" s="6"/>
      <c r="K14" s="6"/>
      <c r="L14" s="6"/>
    </row>
    <row r="15" spans="1:12" x14ac:dyDescent="0.2">
      <c r="A15" s="5" t="s">
        <v>375</v>
      </c>
      <c r="B15" s="5" t="s">
        <v>350</v>
      </c>
      <c r="C15" s="5" t="s">
        <v>360</v>
      </c>
      <c r="D15" s="5" t="s">
        <v>376</v>
      </c>
      <c r="E15" s="26">
        <v>0</v>
      </c>
      <c r="F15" s="26">
        <v>0</v>
      </c>
      <c r="G15" s="6"/>
      <c r="H15" s="6"/>
      <c r="I15" s="6"/>
      <c r="J15" s="6"/>
      <c r="K15" s="6"/>
      <c r="L15" s="6"/>
    </row>
    <row r="16" spans="1:12" x14ac:dyDescent="0.2">
      <c r="A16" s="5" t="s">
        <v>377</v>
      </c>
      <c r="B16" s="5" t="s">
        <v>362</v>
      </c>
      <c r="C16" s="5" t="s">
        <v>360</v>
      </c>
      <c r="D16" s="5" t="s">
        <v>378</v>
      </c>
      <c r="E16" s="26">
        <v>18750</v>
      </c>
      <c r="F16" s="26">
        <v>18750</v>
      </c>
      <c r="G16" s="6"/>
      <c r="H16" s="6"/>
      <c r="I16" s="6"/>
      <c r="J16" s="6"/>
      <c r="K16" s="6"/>
      <c r="L16" s="6"/>
    </row>
    <row r="17" spans="1:12" x14ac:dyDescent="0.2">
      <c r="A17" s="5" t="s">
        <v>379</v>
      </c>
      <c r="B17" s="5" t="s">
        <v>362</v>
      </c>
      <c r="C17" s="5" t="s">
        <v>360</v>
      </c>
      <c r="D17" s="5" t="s">
        <v>380</v>
      </c>
      <c r="E17" s="26">
        <v>50</v>
      </c>
      <c r="F17" s="26">
        <v>50</v>
      </c>
      <c r="G17" s="6"/>
      <c r="H17" s="6"/>
      <c r="I17" s="6"/>
      <c r="J17" s="6"/>
      <c r="K17" s="6"/>
      <c r="L17" s="6"/>
    </row>
    <row r="18" spans="1:12" x14ac:dyDescent="0.2">
      <c r="A18" s="5" t="s">
        <v>381</v>
      </c>
      <c r="B18" s="5" t="s">
        <v>362</v>
      </c>
      <c r="C18" s="5" t="s">
        <v>360</v>
      </c>
      <c r="D18" s="5" t="s">
        <v>382</v>
      </c>
      <c r="E18" s="26">
        <v>206375</v>
      </c>
      <c r="F18" s="26">
        <v>206375</v>
      </c>
      <c r="G18" s="6"/>
      <c r="H18" s="6"/>
      <c r="I18" s="6"/>
      <c r="J18" s="6"/>
      <c r="K18" s="6"/>
      <c r="L18" s="6"/>
    </row>
    <row r="19" spans="1:12" x14ac:dyDescent="0.2">
      <c r="A19" s="5" t="s">
        <v>383</v>
      </c>
      <c r="B19" s="5" t="s">
        <v>362</v>
      </c>
      <c r="C19" s="5" t="s">
        <v>360</v>
      </c>
      <c r="D19" s="5" t="s">
        <v>384</v>
      </c>
      <c r="E19" s="26">
        <v>200</v>
      </c>
      <c r="F19" s="26">
        <v>200</v>
      </c>
      <c r="G19" s="6"/>
      <c r="H19" s="6"/>
      <c r="I19" s="6"/>
      <c r="J19" s="6"/>
      <c r="K19" s="6"/>
      <c r="L19" s="6"/>
    </row>
    <row r="20" spans="1:12" x14ac:dyDescent="0.2">
      <c r="A20" s="5" t="s">
        <v>385</v>
      </c>
      <c r="B20" s="5" t="s">
        <v>362</v>
      </c>
      <c r="C20" s="5" t="s">
        <v>360</v>
      </c>
      <c r="D20" s="5" t="s">
        <v>386</v>
      </c>
      <c r="E20" s="26">
        <v>0</v>
      </c>
      <c r="F20" s="26">
        <v>0</v>
      </c>
      <c r="G20" s="6"/>
      <c r="H20" s="6"/>
      <c r="I20" s="6"/>
      <c r="J20" s="6"/>
      <c r="K20" s="6"/>
      <c r="L20" s="6"/>
    </row>
    <row r="21" spans="1:12" x14ac:dyDescent="0.2">
      <c r="A21" s="5" t="s">
        <v>387</v>
      </c>
      <c r="B21" s="5" t="s">
        <v>362</v>
      </c>
      <c r="C21" s="5" t="s">
        <v>360</v>
      </c>
      <c r="D21" s="5" t="s">
        <v>388</v>
      </c>
      <c r="E21" s="26">
        <v>0</v>
      </c>
      <c r="F21" s="26">
        <v>0</v>
      </c>
      <c r="G21" s="6"/>
      <c r="H21" s="6"/>
      <c r="I21" s="6"/>
      <c r="J21" s="6"/>
      <c r="K21" s="6"/>
      <c r="L21" s="6"/>
    </row>
    <row r="22" spans="1:12" x14ac:dyDescent="0.2">
      <c r="A22" s="5" t="s">
        <v>389</v>
      </c>
      <c r="B22" s="5" t="s">
        <v>362</v>
      </c>
      <c r="C22" s="5" t="s">
        <v>360</v>
      </c>
      <c r="D22" s="5" t="s">
        <v>390</v>
      </c>
      <c r="E22" s="26">
        <v>0</v>
      </c>
      <c r="F22" s="26">
        <v>0</v>
      </c>
      <c r="G22" s="6"/>
      <c r="H22" s="6"/>
      <c r="I22" s="6"/>
      <c r="J22" s="6"/>
      <c r="K22" s="6"/>
      <c r="L22" s="6"/>
    </row>
    <row r="23" spans="1:12" x14ac:dyDescent="0.2">
      <c r="A23" s="5" t="s">
        <v>391</v>
      </c>
      <c r="B23" s="5" t="s">
        <v>362</v>
      </c>
      <c r="C23" s="5" t="s">
        <v>360</v>
      </c>
      <c r="D23" s="5" t="s">
        <v>392</v>
      </c>
      <c r="E23" s="26">
        <v>0</v>
      </c>
      <c r="F23" s="26">
        <v>0</v>
      </c>
      <c r="G23" s="6"/>
      <c r="H23" s="6"/>
      <c r="I23" s="6"/>
      <c r="J23" s="6"/>
      <c r="K23" s="6"/>
      <c r="L23" s="6"/>
    </row>
    <row r="24" spans="1:12" x14ac:dyDescent="0.2">
      <c r="A24" s="5" t="s">
        <v>393</v>
      </c>
      <c r="B24" s="5" t="s">
        <v>350</v>
      </c>
      <c r="C24" s="5" t="s">
        <v>360</v>
      </c>
      <c r="D24" s="5" t="s">
        <v>394</v>
      </c>
      <c r="E24" s="26">
        <v>0</v>
      </c>
      <c r="F24" s="26">
        <v>0</v>
      </c>
      <c r="G24" s="6"/>
      <c r="H24" s="6"/>
      <c r="I24" s="6"/>
      <c r="J24" s="6"/>
      <c r="K24" s="6"/>
      <c r="L24" s="6"/>
    </row>
    <row r="25" spans="1:12" x14ac:dyDescent="0.2">
      <c r="A25" s="5" t="s">
        <v>395</v>
      </c>
      <c r="B25" s="5" t="s">
        <v>362</v>
      </c>
      <c r="C25" s="5" t="s">
        <v>360</v>
      </c>
      <c r="D25" s="5" t="s">
        <v>396</v>
      </c>
      <c r="E25" s="26">
        <v>1375</v>
      </c>
      <c r="F25" s="26">
        <v>1375</v>
      </c>
      <c r="G25" s="6"/>
      <c r="H25" s="6"/>
      <c r="I25" s="6"/>
      <c r="J25" s="6"/>
      <c r="K25" s="6"/>
      <c r="L25" s="6"/>
    </row>
    <row r="26" spans="1:12" x14ac:dyDescent="0.2">
      <c r="A26" s="5" t="s">
        <v>397</v>
      </c>
      <c r="B26" s="5" t="s">
        <v>362</v>
      </c>
      <c r="C26" s="5" t="s">
        <v>360</v>
      </c>
      <c r="D26" s="5" t="s">
        <v>398</v>
      </c>
      <c r="E26" s="26">
        <v>0</v>
      </c>
      <c r="F26" s="26">
        <v>0</v>
      </c>
      <c r="G26" s="6"/>
      <c r="H26" s="6"/>
      <c r="I26" s="6"/>
      <c r="J26" s="6"/>
      <c r="K26" s="6"/>
      <c r="L26" s="6"/>
    </row>
    <row r="27" spans="1:12" x14ac:dyDescent="0.2">
      <c r="A27" s="5" t="s">
        <v>399</v>
      </c>
      <c r="B27" s="5" t="s">
        <v>362</v>
      </c>
      <c r="C27" s="5" t="s">
        <v>360</v>
      </c>
      <c r="D27" s="5" t="s">
        <v>400</v>
      </c>
      <c r="E27" s="26">
        <v>2925</v>
      </c>
      <c r="F27" s="26">
        <v>2925</v>
      </c>
      <c r="G27" s="6"/>
      <c r="H27" s="6"/>
      <c r="I27" s="6"/>
      <c r="J27" s="6"/>
      <c r="K27" s="6"/>
      <c r="L27" s="6"/>
    </row>
    <row r="28" spans="1:12" x14ac:dyDescent="0.2">
      <c r="A28" s="5" t="s">
        <v>401</v>
      </c>
      <c r="B28" s="5" t="s">
        <v>362</v>
      </c>
      <c r="C28" s="5" t="s">
        <v>360</v>
      </c>
      <c r="D28" s="5" t="s">
        <v>402</v>
      </c>
      <c r="E28" s="26">
        <v>0</v>
      </c>
      <c r="F28" s="26">
        <v>0</v>
      </c>
      <c r="G28" s="6"/>
      <c r="H28" s="6"/>
      <c r="I28" s="6"/>
      <c r="J28" s="6"/>
      <c r="K28" s="6"/>
      <c r="L28" s="6"/>
    </row>
    <row r="29" spans="1:12" x14ac:dyDescent="0.2">
      <c r="A29" s="5" t="s">
        <v>403</v>
      </c>
      <c r="B29" s="5" t="s">
        <v>362</v>
      </c>
      <c r="C29" s="5" t="s">
        <v>360</v>
      </c>
      <c r="D29" s="5" t="s">
        <v>404</v>
      </c>
      <c r="E29" s="26">
        <v>0</v>
      </c>
      <c r="F29" s="26">
        <v>0</v>
      </c>
      <c r="G29" s="6"/>
      <c r="H29" s="6"/>
      <c r="I29" s="6"/>
      <c r="J29" s="6"/>
      <c r="K29" s="6"/>
      <c r="L29" s="6"/>
    </row>
    <row r="30" spans="1:12" x14ac:dyDescent="0.2">
      <c r="A30" s="5" t="s">
        <v>405</v>
      </c>
      <c r="B30" s="5" t="s">
        <v>362</v>
      </c>
      <c r="C30" s="5" t="s">
        <v>360</v>
      </c>
      <c r="D30" s="5" t="s">
        <v>406</v>
      </c>
      <c r="E30" s="26">
        <v>258400</v>
      </c>
      <c r="F30" s="26">
        <v>260400</v>
      </c>
      <c r="G30" s="6"/>
      <c r="H30" s="6"/>
      <c r="I30" s="6"/>
      <c r="J30" s="6"/>
      <c r="K30" s="6"/>
      <c r="L30" s="6"/>
    </row>
    <row r="31" spans="1:12" x14ac:dyDescent="0.2">
      <c r="A31" s="5" t="s">
        <v>407</v>
      </c>
      <c r="B31" s="5" t="s">
        <v>350</v>
      </c>
      <c r="C31" s="5" t="s">
        <v>352</v>
      </c>
      <c r="D31" s="5" t="s">
        <v>408</v>
      </c>
      <c r="E31" s="26">
        <v>0</v>
      </c>
      <c r="F31" s="26">
        <v>0</v>
      </c>
      <c r="G31" s="6"/>
      <c r="H31" s="6"/>
      <c r="I31" s="6"/>
      <c r="J31" s="6"/>
      <c r="K31" s="6"/>
      <c r="L31" s="6"/>
    </row>
    <row r="32" spans="1:12" x14ac:dyDescent="0.2">
      <c r="A32" s="5" t="s">
        <v>409</v>
      </c>
      <c r="B32" s="5" t="s">
        <v>362</v>
      </c>
      <c r="C32" s="5" t="s">
        <v>352</v>
      </c>
      <c r="D32" s="5" t="s">
        <v>410</v>
      </c>
      <c r="E32" s="26">
        <v>0</v>
      </c>
      <c r="F32" s="26">
        <v>0</v>
      </c>
      <c r="G32" s="6"/>
      <c r="H32" s="6"/>
      <c r="I32" s="6"/>
      <c r="J32" s="6"/>
      <c r="K32" s="6"/>
      <c r="L32" s="6"/>
    </row>
    <row r="33" spans="1:12" x14ac:dyDescent="0.2">
      <c r="A33" s="5" t="s">
        <v>411</v>
      </c>
      <c r="B33" s="5" t="s">
        <v>362</v>
      </c>
      <c r="C33" s="5" t="s">
        <v>360</v>
      </c>
      <c r="D33" s="5" t="s">
        <v>412</v>
      </c>
      <c r="E33" s="26">
        <v>0</v>
      </c>
      <c r="F33" s="26">
        <v>0</v>
      </c>
      <c r="G33" s="6"/>
      <c r="H33" s="6"/>
      <c r="I33" s="6"/>
      <c r="J33" s="6"/>
      <c r="K33" s="6"/>
      <c r="L33" s="6"/>
    </row>
    <row r="34" spans="1:12" x14ac:dyDescent="0.2">
      <c r="A34" s="5" t="s">
        <v>413</v>
      </c>
      <c r="B34" s="5" t="s">
        <v>350</v>
      </c>
      <c r="C34" s="5" t="s">
        <v>360</v>
      </c>
      <c r="D34" s="5" t="s">
        <v>414</v>
      </c>
      <c r="E34" s="26">
        <v>0</v>
      </c>
      <c r="F34" s="26">
        <v>0</v>
      </c>
      <c r="G34" s="6"/>
      <c r="H34" s="6"/>
      <c r="I34" s="6"/>
      <c r="J34" s="6"/>
      <c r="K34" s="6"/>
      <c r="L34" s="6"/>
    </row>
    <row r="35" spans="1:12" x14ac:dyDescent="0.2">
      <c r="A35" s="5" t="s">
        <v>415</v>
      </c>
      <c r="B35" s="5" t="s">
        <v>362</v>
      </c>
      <c r="C35" s="5" t="s">
        <v>360</v>
      </c>
      <c r="D35" s="5" t="s">
        <v>416</v>
      </c>
      <c r="E35" s="26">
        <v>0</v>
      </c>
      <c r="F35" s="26">
        <v>0</v>
      </c>
      <c r="G35" s="6"/>
      <c r="H35" s="6"/>
      <c r="I35" s="6"/>
      <c r="J35" s="6"/>
      <c r="K35" s="6"/>
      <c r="L35" s="6"/>
    </row>
    <row r="36" spans="1:12" x14ac:dyDescent="0.2">
      <c r="A36" s="5" t="s">
        <v>417</v>
      </c>
      <c r="B36" s="5" t="s">
        <v>362</v>
      </c>
      <c r="C36" s="5" t="s">
        <v>360</v>
      </c>
      <c r="D36" s="5" t="s">
        <v>418</v>
      </c>
      <c r="E36" s="26">
        <v>0</v>
      </c>
      <c r="F36" s="26">
        <v>0</v>
      </c>
      <c r="G36" s="6"/>
      <c r="H36" s="6"/>
      <c r="I36" s="6"/>
      <c r="J36" s="6"/>
      <c r="K36" s="6"/>
      <c r="L36" s="6"/>
    </row>
    <row r="37" spans="1:12" x14ac:dyDescent="0.2">
      <c r="A37" s="5" t="s">
        <v>419</v>
      </c>
      <c r="B37" s="5" t="s">
        <v>362</v>
      </c>
      <c r="C37" s="5" t="s">
        <v>360</v>
      </c>
      <c r="D37" s="5" t="s">
        <v>420</v>
      </c>
      <c r="E37" s="26">
        <v>0</v>
      </c>
      <c r="F37" s="26">
        <v>0</v>
      </c>
      <c r="G37" s="6"/>
      <c r="H37" s="6"/>
      <c r="I37" s="6"/>
      <c r="J37" s="6"/>
      <c r="K37" s="6"/>
      <c r="L37" s="6"/>
    </row>
    <row r="38" spans="1:12" x14ac:dyDescent="0.2">
      <c r="A38" s="5" t="s">
        <v>421</v>
      </c>
      <c r="B38" s="5" t="s">
        <v>362</v>
      </c>
      <c r="C38" s="5" t="s">
        <v>352</v>
      </c>
      <c r="D38" s="5" t="s">
        <v>422</v>
      </c>
      <c r="E38" s="26">
        <v>0</v>
      </c>
      <c r="F38" s="26">
        <v>0</v>
      </c>
      <c r="G38" s="6"/>
      <c r="H38" s="6"/>
      <c r="I38" s="6"/>
      <c r="J38" s="6"/>
      <c r="K38" s="6"/>
      <c r="L38" s="6"/>
    </row>
    <row r="39" spans="1:12" x14ac:dyDescent="0.2">
      <c r="A39" s="5" t="s">
        <v>423</v>
      </c>
      <c r="B39" s="5" t="s">
        <v>362</v>
      </c>
      <c r="C39" s="5" t="s">
        <v>360</v>
      </c>
      <c r="D39" s="5" t="s">
        <v>424</v>
      </c>
      <c r="E39" s="26">
        <v>0</v>
      </c>
      <c r="F39" s="26">
        <v>0</v>
      </c>
      <c r="G39" s="6"/>
      <c r="H39" s="6"/>
      <c r="I39" s="6"/>
      <c r="J39" s="6"/>
      <c r="K39" s="6"/>
      <c r="L39" s="6"/>
    </row>
    <row r="40" spans="1:12" x14ac:dyDescent="0.2">
      <c r="A40" s="5" t="s">
        <v>425</v>
      </c>
      <c r="B40" s="5" t="s">
        <v>362</v>
      </c>
      <c r="C40" s="5" t="s">
        <v>360</v>
      </c>
      <c r="D40" s="5" t="s">
        <v>426</v>
      </c>
      <c r="E40" s="26">
        <v>0</v>
      </c>
      <c r="F40" s="26">
        <v>0</v>
      </c>
      <c r="G40" s="6"/>
      <c r="H40" s="6"/>
      <c r="I40" s="6"/>
      <c r="J40" s="6"/>
      <c r="K40" s="6"/>
      <c r="L40" s="6"/>
    </row>
    <row r="41" spans="1:12" x14ac:dyDescent="0.2">
      <c r="A41" s="5" t="s">
        <v>427</v>
      </c>
      <c r="B41" s="5" t="s">
        <v>362</v>
      </c>
      <c r="C41" s="5" t="s">
        <v>360</v>
      </c>
      <c r="D41" s="5" t="s">
        <v>428</v>
      </c>
      <c r="E41" s="26">
        <v>0</v>
      </c>
      <c r="F41" s="26">
        <v>0</v>
      </c>
      <c r="G41" s="6"/>
      <c r="H41" s="6"/>
      <c r="I41" s="6"/>
      <c r="J41" s="6"/>
      <c r="K41" s="6"/>
      <c r="L41" s="6"/>
    </row>
    <row r="42" spans="1:12" x14ac:dyDescent="0.2">
      <c r="A42" s="5" t="s">
        <v>429</v>
      </c>
      <c r="B42" s="5" t="s">
        <v>362</v>
      </c>
      <c r="C42" s="5" t="s">
        <v>360</v>
      </c>
      <c r="D42" s="5" t="s">
        <v>430</v>
      </c>
      <c r="E42" s="26">
        <v>0</v>
      </c>
      <c r="F42" s="26">
        <v>0</v>
      </c>
      <c r="G42" s="6"/>
      <c r="H42" s="6"/>
      <c r="I42" s="6"/>
      <c r="J42" s="6"/>
      <c r="K42" s="6"/>
      <c r="L42" s="6"/>
    </row>
    <row r="43" spans="1:12" x14ac:dyDescent="0.2">
      <c r="A43" s="5" t="s">
        <v>431</v>
      </c>
      <c r="B43" s="5" t="s">
        <v>362</v>
      </c>
      <c r="C43" s="5" t="s">
        <v>360</v>
      </c>
      <c r="D43" s="5" t="s">
        <v>432</v>
      </c>
      <c r="E43" s="26">
        <v>206375</v>
      </c>
      <c r="F43" s="26">
        <v>206375</v>
      </c>
      <c r="G43" s="6"/>
      <c r="H43" s="6"/>
      <c r="I43" s="6"/>
      <c r="J43" s="6"/>
      <c r="K43" s="6"/>
      <c r="L43" s="6"/>
    </row>
    <row r="44" spans="1:12" x14ac:dyDescent="0.2">
      <c r="A44" s="5" t="s">
        <v>433</v>
      </c>
      <c r="B44" s="5" t="s">
        <v>362</v>
      </c>
      <c r="C44" s="5" t="s">
        <v>360</v>
      </c>
      <c r="D44" s="5" t="s">
        <v>434</v>
      </c>
      <c r="E44" s="26">
        <v>4575</v>
      </c>
      <c r="F44" s="26">
        <v>5575</v>
      </c>
      <c r="G44" s="6"/>
      <c r="H44" s="6"/>
      <c r="I44" s="6"/>
      <c r="J44" s="6"/>
      <c r="K44" s="6"/>
      <c r="L44" s="6"/>
    </row>
    <row r="45" spans="1:12" x14ac:dyDescent="0.2">
      <c r="A45" s="5" t="s">
        <v>435</v>
      </c>
      <c r="B45" s="5" t="s">
        <v>362</v>
      </c>
      <c r="C45" s="5" t="s">
        <v>360</v>
      </c>
      <c r="D45" s="5" t="s">
        <v>436</v>
      </c>
      <c r="E45" s="26">
        <v>18750</v>
      </c>
      <c r="F45" s="26">
        <v>18750</v>
      </c>
      <c r="G45" s="6"/>
      <c r="H45" s="6"/>
      <c r="I45" s="6"/>
      <c r="J45" s="6"/>
      <c r="K45" s="6"/>
      <c r="L45" s="6"/>
    </row>
    <row r="46" spans="1:12" x14ac:dyDescent="0.2">
      <c r="A46" s="5" t="s">
        <v>437</v>
      </c>
      <c r="B46" s="5" t="s">
        <v>362</v>
      </c>
      <c r="C46" s="5" t="s">
        <v>360</v>
      </c>
      <c r="D46" s="5" t="s">
        <v>438</v>
      </c>
      <c r="E46" s="26">
        <v>0</v>
      </c>
      <c r="F46" s="26">
        <v>0</v>
      </c>
      <c r="G46" s="6"/>
      <c r="H46" s="6"/>
      <c r="I46" s="6"/>
      <c r="J46" s="6"/>
      <c r="K46" s="6"/>
      <c r="L46" s="6"/>
    </row>
    <row r="47" spans="1:12" x14ac:dyDescent="0.2">
      <c r="A47" s="5" t="s">
        <v>439</v>
      </c>
      <c r="B47" s="5" t="s">
        <v>362</v>
      </c>
      <c r="C47" s="5" t="s">
        <v>352</v>
      </c>
      <c r="D47" s="5" t="s">
        <v>338</v>
      </c>
      <c r="E47" s="26">
        <v>0</v>
      </c>
      <c r="F47" s="26">
        <v>0</v>
      </c>
      <c r="G47" s="6"/>
      <c r="H47" s="6"/>
      <c r="I47" s="6"/>
      <c r="J47" s="6"/>
      <c r="K47" s="6"/>
      <c r="L47" s="6"/>
    </row>
    <row r="48" spans="1:12" x14ac:dyDescent="0.2">
      <c r="A48" s="5" t="s">
        <v>440</v>
      </c>
      <c r="B48" s="5" t="s">
        <v>362</v>
      </c>
      <c r="C48" s="5" t="s">
        <v>352</v>
      </c>
      <c r="D48" s="5" t="s">
        <v>441</v>
      </c>
      <c r="E48" s="26">
        <v>50</v>
      </c>
      <c r="F48" s="26">
        <v>50</v>
      </c>
      <c r="G48" s="6"/>
      <c r="H48" s="6"/>
      <c r="I48" s="6"/>
      <c r="J48" s="6"/>
      <c r="K48" s="6"/>
      <c r="L48" s="6"/>
    </row>
    <row r="49" spans="1:12" x14ac:dyDescent="0.2">
      <c r="A49" s="5" t="s">
        <v>442</v>
      </c>
      <c r="B49" s="5" t="s">
        <v>362</v>
      </c>
      <c r="C49" s="5" t="s">
        <v>360</v>
      </c>
      <c r="D49" s="5" t="s">
        <v>443</v>
      </c>
      <c r="E49" s="26">
        <v>0</v>
      </c>
      <c r="F49" s="26">
        <v>0</v>
      </c>
      <c r="G49" s="6"/>
      <c r="H49" s="6"/>
      <c r="I49" s="6"/>
      <c r="J49" s="6"/>
      <c r="K49" s="6"/>
      <c r="L49" s="6"/>
    </row>
    <row r="50" spans="1:12" x14ac:dyDescent="0.2">
      <c r="A50" s="5" t="s">
        <v>339</v>
      </c>
      <c r="B50" s="5" t="s">
        <v>362</v>
      </c>
      <c r="C50" s="5" t="s">
        <v>352</v>
      </c>
      <c r="D50" s="5" t="s">
        <v>444</v>
      </c>
      <c r="E50" s="26">
        <v>0</v>
      </c>
      <c r="F50" s="26">
        <v>0</v>
      </c>
      <c r="G50" s="6"/>
      <c r="H50" s="6"/>
      <c r="I50" s="6"/>
      <c r="J50" s="6"/>
      <c r="K50" s="6"/>
      <c r="L50" s="6"/>
    </row>
    <row r="51" spans="1:12" x14ac:dyDescent="0.2">
      <c r="A51" s="5" t="s">
        <v>445</v>
      </c>
      <c r="B51" s="5" t="s">
        <v>362</v>
      </c>
      <c r="C51" s="5" t="s">
        <v>360</v>
      </c>
      <c r="D51" s="5" t="s">
        <v>446</v>
      </c>
      <c r="E51" s="26">
        <v>0</v>
      </c>
      <c r="F51" s="26">
        <v>0</v>
      </c>
      <c r="G51" s="6"/>
      <c r="H51" s="6"/>
      <c r="I51" s="6"/>
      <c r="J51" s="6"/>
      <c r="K51" s="6"/>
      <c r="L51" s="6"/>
    </row>
    <row r="52" spans="1:12" x14ac:dyDescent="0.2">
      <c r="A52" s="5" t="s">
        <v>447</v>
      </c>
      <c r="B52" s="5" t="s">
        <v>362</v>
      </c>
      <c r="C52" s="5" t="s">
        <v>360</v>
      </c>
      <c r="D52" s="5" t="s">
        <v>448</v>
      </c>
      <c r="E52" s="26">
        <v>200</v>
      </c>
      <c r="F52" s="26">
        <v>200</v>
      </c>
      <c r="G52" s="6"/>
      <c r="H52" s="6"/>
      <c r="I52" s="6"/>
      <c r="J52" s="6"/>
      <c r="K52" s="6"/>
      <c r="L52" s="6"/>
    </row>
    <row r="53" spans="1:12" x14ac:dyDescent="0.2">
      <c r="A53" s="5" t="s">
        <v>449</v>
      </c>
      <c r="B53" s="5" t="s">
        <v>362</v>
      </c>
      <c r="C53" s="5" t="s">
        <v>352</v>
      </c>
      <c r="D53" s="5" t="s">
        <v>450</v>
      </c>
      <c r="E53" s="26">
        <v>193300</v>
      </c>
      <c r="F53" s="26">
        <v>193300</v>
      </c>
      <c r="G53" s="6"/>
      <c r="H53" s="6"/>
      <c r="I53" s="6"/>
      <c r="J53" s="6"/>
      <c r="K53" s="6"/>
      <c r="L53" s="6"/>
    </row>
    <row r="54" spans="1:12" x14ac:dyDescent="0.2">
      <c r="A54" s="5" t="s">
        <v>451</v>
      </c>
      <c r="B54" s="5" t="s">
        <v>362</v>
      </c>
      <c r="C54" s="5" t="s">
        <v>360</v>
      </c>
      <c r="D54" s="5" t="s">
        <v>452</v>
      </c>
      <c r="E54" s="26">
        <v>1875</v>
      </c>
      <c r="F54" s="26">
        <v>1875</v>
      </c>
      <c r="G54" s="6"/>
      <c r="H54" s="6"/>
      <c r="I54" s="6"/>
      <c r="J54" s="6"/>
      <c r="K54" s="6"/>
      <c r="L54" s="6"/>
    </row>
    <row r="55" spans="1:12" x14ac:dyDescent="0.2">
      <c r="A55" s="5" t="s">
        <v>453</v>
      </c>
      <c r="B55" s="5" t="s">
        <v>362</v>
      </c>
      <c r="C55" s="5" t="s">
        <v>360</v>
      </c>
      <c r="D55" s="5" t="s">
        <v>454</v>
      </c>
      <c r="E55" s="26">
        <v>189050</v>
      </c>
      <c r="F55" s="26">
        <v>189050</v>
      </c>
      <c r="G55" s="6"/>
      <c r="H55" s="6"/>
      <c r="I55" s="6"/>
      <c r="J55" s="6"/>
      <c r="K55" s="6"/>
      <c r="L55" s="6"/>
    </row>
    <row r="56" spans="1:12" x14ac:dyDescent="0.2">
      <c r="A56" s="5" t="s">
        <v>455</v>
      </c>
      <c r="B56" s="5" t="s">
        <v>362</v>
      </c>
      <c r="C56" s="5" t="s">
        <v>360</v>
      </c>
      <c r="D56" s="5" t="s">
        <v>340</v>
      </c>
      <c r="E56" s="26">
        <v>2375</v>
      </c>
      <c r="F56" s="26">
        <v>2375</v>
      </c>
      <c r="G56" s="6"/>
      <c r="H56" s="6"/>
      <c r="I56" s="6"/>
      <c r="J56" s="6"/>
      <c r="K56" s="6"/>
      <c r="L56" s="6"/>
    </row>
    <row r="57" spans="1:12" x14ac:dyDescent="0.2">
      <c r="A57" s="5" t="s">
        <v>456</v>
      </c>
      <c r="B57" s="5" t="s">
        <v>362</v>
      </c>
      <c r="C57" s="5" t="s">
        <v>360</v>
      </c>
      <c r="D57" s="5" t="s">
        <v>457</v>
      </c>
      <c r="E57" s="26">
        <v>0</v>
      </c>
      <c r="F57" s="26">
        <v>0</v>
      </c>
      <c r="G57" s="6"/>
      <c r="H57" s="6"/>
      <c r="I57" s="6"/>
      <c r="J57" s="6"/>
      <c r="K57" s="6"/>
      <c r="L57" s="6"/>
    </row>
    <row r="58" spans="1:12" x14ac:dyDescent="0.2">
      <c r="A58" s="5" t="s">
        <v>458</v>
      </c>
      <c r="B58" s="5" t="s">
        <v>362</v>
      </c>
      <c r="C58" s="5" t="s">
        <v>360</v>
      </c>
      <c r="D58" s="5" t="s">
        <v>459</v>
      </c>
      <c r="E58" s="26">
        <v>144250</v>
      </c>
      <c r="F58" s="26">
        <v>144250</v>
      </c>
      <c r="G58" s="6"/>
      <c r="H58" s="6"/>
      <c r="I58" s="6"/>
      <c r="J58" s="6"/>
      <c r="K58" s="6"/>
      <c r="L58" s="6"/>
    </row>
    <row r="59" spans="1:12" x14ac:dyDescent="0.2">
      <c r="A59" s="5" t="s">
        <v>460</v>
      </c>
      <c r="B59" s="5" t="s">
        <v>362</v>
      </c>
      <c r="C59" s="5" t="s">
        <v>360</v>
      </c>
      <c r="D59" s="5" t="s">
        <v>461</v>
      </c>
      <c r="E59" s="26">
        <v>1875</v>
      </c>
      <c r="F59" s="26">
        <v>1875</v>
      </c>
      <c r="G59" s="6"/>
      <c r="H59" s="6"/>
      <c r="I59" s="6"/>
      <c r="J59" s="6"/>
      <c r="K59" s="6"/>
      <c r="L59" s="6"/>
    </row>
    <row r="60" spans="1:12" x14ac:dyDescent="0.2">
      <c r="A60" s="5" t="s">
        <v>462</v>
      </c>
      <c r="B60" s="5" t="s">
        <v>362</v>
      </c>
      <c r="C60" s="5" t="s">
        <v>360</v>
      </c>
      <c r="D60" s="5" t="s">
        <v>463</v>
      </c>
      <c r="E60" s="26">
        <v>2375</v>
      </c>
      <c r="F60" s="26">
        <v>2375</v>
      </c>
      <c r="G60" s="6"/>
      <c r="H60" s="6"/>
      <c r="I60" s="6"/>
      <c r="J60" s="6"/>
      <c r="K60" s="6"/>
      <c r="L60" s="6"/>
    </row>
    <row r="61" spans="1:12" x14ac:dyDescent="0.2">
      <c r="A61" s="5" t="s">
        <v>464</v>
      </c>
      <c r="B61" s="5" t="s">
        <v>362</v>
      </c>
      <c r="C61" s="5" t="s">
        <v>360</v>
      </c>
      <c r="D61" s="5" t="s">
        <v>465</v>
      </c>
      <c r="E61" s="26">
        <v>0</v>
      </c>
      <c r="F61" s="26">
        <v>0</v>
      </c>
      <c r="G61" s="6"/>
      <c r="H61" s="6"/>
      <c r="I61" s="6"/>
      <c r="J61" s="6"/>
      <c r="K61" s="6"/>
      <c r="L61" s="6"/>
    </row>
    <row r="62" spans="1:12" x14ac:dyDescent="0.2">
      <c r="A62" s="5" t="s">
        <v>466</v>
      </c>
      <c r="B62" s="5" t="s">
        <v>362</v>
      </c>
      <c r="C62" s="5" t="s">
        <v>360</v>
      </c>
      <c r="D62" s="5" t="s">
        <v>467</v>
      </c>
      <c r="E62" s="26">
        <v>0</v>
      </c>
      <c r="F62" s="26">
        <v>0</v>
      </c>
      <c r="G62" s="6"/>
      <c r="H62" s="6"/>
      <c r="I62" s="6"/>
      <c r="J62" s="6"/>
      <c r="K62" s="6"/>
      <c r="L62" s="6"/>
    </row>
    <row r="63" spans="1:12" x14ac:dyDescent="0.2">
      <c r="A63" s="5" t="s">
        <v>468</v>
      </c>
      <c r="B63" s="5" t="s">
        <v>362</v>
      </c>
      <c r="C63" s="5" t="s">
        <v>360</v>
      </c>
      <c r="D63" s="5" t="s">
        <v>469</v>
      </c>
      <c r="E63" s="26">
        <v>0</v>
      </c>
      <c r="F63" s="26">
        <v>0</v>
      </c>
      <c r="G63" s="6"/>
      <c r="H63" s="6"/>
      <c r="I63" s="6"/>
      <c r="J63" s="6"/>
      <c r="K63" s="6"/>
      <c r="L63" s="6"/>
    </row>
    <row r="64" spans="1:12" x14ac:dyDescent="0.2">
      <c r="A64" s="5" t="s">
        <v>470</v>
      </c>
      <c r="B64" s="5" t="s">
        <v>362</v>
      </c>
      <c r="C64" s="5" t="s">
        <v>360</v>
      </c>
      <c r="D64" s="5" t="s">
        <v>471</v>
      </c>
      <c r="E64" s="26">
        <v>0</v>
      </c>
      <c r="F64" s="26">
        <v>0</v>
      </c>
      <c r="G64" s="6"/>
      <c r="H64" s="6"/>
      <c r="I64" s="6"/>
      <c r="J64" s="6"/>
      <c r="K64" s="6"/>
      <c r="L64" s="6"/>
    </row>
    <row r="65" spans="1:12" x14ac:dyDescent="0.2">
      <c r="A65" s="5" t="s">
        <v>472</v>
      </c>
      <c r="B65" s="5" t="s">
        <v>362</v>
      </c>
      <c r="C65" s="5" t="s">
        <v>360</v>
      </c>
      <c r="D65" s="5" t="s">
        <v>473</v>
      </c>
      <c r="E65" s="26">
        <v>0</v>
      </c>
      <c r="F65" s="26">
        <v>0</v>
      </c>
      <c r="G65" s="6"/>
      <c r="H65" s="6"/>
      <c r="I65" s="6"/>
      <c r="J65" s="6"/>
      <c r="K65" s="6"/>
      <c r="L65" s="6"/>
    </row>
    <row r="66" spans="1:12" x14ac:dyDescent="0.2">
      <c r="A66" s="5" t="s">
        <v>474</v>
      </c>
      <c r="B66" s="5" t="s">
        <v>362</v>
      </c>
      <c r="C66" s="5" t="s">
        <v>360</v>
      </c>
      <c r="D66" s="5" t="s">
        <v>475</v>
      </c>
      <c r="E66" s="26">
        <v>10550</v>
      </c>
      <c r="F66" s="26">
        <v>10550</v>
      </c>
      <c r="G66" s="6"/>
      <c r="H66" s="6"/>
      <c r="I66" s="6"/>
      <c r="J66" s="6"/>
      <c r="K66" s="6"/>
      <c r="L66" s="6"/>
    </row>
    <row r="67" spans="1:12" x14ac:dyDescent="0.2">
      <c r="A67" s="5" t="s">
        <v>476</v>
      </c>
      <c r="B67" s="5" t="s">
        <v>362</v>
      </c>
      <c r="C67" s="5" t="s">
        <v>360</v>
      </c>
      <c r="D67" s="5" t="s">
        <v>477</v>
      </c>
      <c r="E67" s="26">
        <v>0</v>
      </c>
      <c r="F67" s="26">
        <v>0</v>
      </c>
      <c r="G67" s="6"/>
      <c r="H67" s="6"/>
      <c r="I67" s="6"/>
      <c r="J67" s="6"/>
      <c r="K67" s="6"/>
      <c r="L67" s="6"/>
    </row>
    <row r="68" spans="1:12" x14ac:dyDescent="0.2">
      <c r="A68" s="5" t="s">
        <v>478</v>
      </c>
      <c r="B68" s="5" t="s">
        <v>362</v>
      </c>
      <c r="C68" s="5" t="s">
        <v>360</v>
      </c>
      <c r="D68" s="5" t="s">
        <v>479</v>
      </c>
      <c r="E68" s="26">
        <v>34050</v>
      </c>
      <c r="F68" s="26">
        <v>34050</v>
      </c>
      <c r="G68" s="6"/>
      <c r="H68" s="6"/>
      <c r="I68" s="6"/>
      <c r="J68" s="6"/>
      <c r="K68" s="6"/>
      <c r="L68" s="6"/>
    </row>
    <row r="69" spans="1:12" x14ac:dyDescent="0.2">
      <c r="A69" s="5" t="s">
        <v>480</v>
      </c>
      <c r="B69" s="5" t="s">
        <v>362</v>
      </c>
      <c r="C69" s="5" t="s">
        <v>360</v>
      </c>
      <c r="D69" s="5" t="s">
        <v>341</v>
      </c>
      <c r="E69" s="26">
        <v>200</v>
      </c>
      <c r="F69" s="26">
        <v>200</v>
      </c>
      <c r="G69" s="6"/>
      <c r="H69" s="6"/>
      <c r="I69" s="6"/>
      <c r="J69" s="6"/>
      <c r="K69" s="6"/>
      <c r="L69" s="6"/>
    </row>
    <row r="70" spans="1:12" x14ac:dyDescent="0.2">
      <c r="A70" s="5" t="s">
        <v>481</v>
      </c>
      <c r="B70" s="5" t="s">
        <v>362</v>
      </c>
      <c r="C70" s="5" t="s">
        <v>360</v>
      </c>
      <c r="D70" s="5" t="s">
        <v>482</v>
      </c>
      <c r="E70" s="26">
        <v>0</v>
      </c>
      <c r="F70" s="26">
        <v>0</v>
      </c>
      <c r="G70" s="6"/>
      <c r="H70" s="6"/>
      <c r="I70" s="6"/>
      <c r="J70" s="6"/>
      <c r="K70" s="6"/>
      <c r="L70" s="6"/>
    </row>
    <row r="71" spans="1:12" x14ac:dyDescent="0.2">
      <c r="A71" s="5" t="s">
        <v>483</v>
      </c>
      <c r="B71" s="5" t="s">
        <v>350</v>
      </c>
      <c r="C71" s="5" t="s">
        <v>360</v>
      </c>
      <c r="D71" s="5" t="s">
        <v>484</v>
      </c>
      <c r="E71" s="26">
        <v>0</v>
      </c>
      <c r="F71" s="26">
        <v>0</v>
      </c>
      <c r="G71" s="6"/>
      <c r="H71" s="6"/>
      <c r="I71" s="6"/>
      <c r="J71" s="6"/>
      <c r="K71" s="6"/>
      <c r="L71" s="6"/>
    </row>
    <row r="72" spans="1:12" x14ac:dyDescent="0.2">
      <c r="A72" s="5" t="s">
        <v>485</v>
      </c>
      <c r="B72" s="5" t="s">
        <v>362</v>
      </c>
      <c r="C72" s="5" t="s">
        <v>360</v>
      </c>
      <c r="D72" s="5" t="s">
        <v>486</v>
      </c>
      <c r="E72" s="26">
        <v>0</v>
      </c>
      <c r="F72" s="26">
        <v>0</v>
      </c>
      <c r="G72" s="6"/>
      <c r="H72" s="6"/>
      <c r="I72" s="6"/>
      <c r="J72" s="6"/>
      <c r="K72" s="6"/>
      <c r="L72" s="6"/>
    </row>
    <row r="73" spans="1:12" x14ac:dyDescent="0.2">
      <c r="A73" s="5" t="s">
        <v>342</v>
      </c>
      <c r="B73" s="5" t="s">
        <v>362</v>
      </c>
      <c r="C73" s="5" t="s">
        <v>360</v>
      </c>
      <c r="D73" s="5" t="s">
        <v>487</v>
      </c>
      <c r="E73" s="26">
        <v>0</v>
      </c>
      <c r="F73" s="26">
        <v>0</v>
      </c>
      <c r="G73" s="6"/>
      <c r="H73" s="6"/>
      <c r="I73" s="6"/>
      <c r="J73" s="6"/>
      <c r="K73" s="6"/>
      <c r="L73" s="6"/>
    </row>
    <row r="74" spans="1:12" x14ac:dyDescent="0.2">
      <c r="A74" s="5" t="s">
        <v>488</v>
      </c>
      <c r="B74" s="5" t="s">
        <v>362</v>
      </c>
      <c r="C74" s="5" t="s">
        <v>360</v>
      </c>
      <c r="D74" s="5" t="s">
        <v>489</v>
      </c>
      <c r="E74" s="26">
        <v>0</v>
      </c>
      <c r="F74" s="26">
        <v>0</v>
      </c>
      <c r="G74" s="6"/>
      <c r="H74" s="6"/>
      <c r="I74" s="6"/>
      <c r="J74" s="6"/>
      <c r="K74" s="6"/>
      <c r="L74" s="6"/>
    </row>
    <row r="75" spans="1:12" x14ac:dyDescent="0.2">
      <c r="A75" s="5" t="s">
        <v>490</v>
      </c>
      <c r="B75" s="5" t="s">
        <v>362</v>
      </c>
      <c r="C75" s="5" t="s">
        <v>360</v>
      </c>
      <c r="D75" s="5" t="s">
        <v>491</v>
      </c>
      <c r="E75" s="26">
        <v>1200</v>
      </c>
      <c r="F75" s="26">
        <v>1200</v>
      </c>
      <c r="G75" s="6"/>
      <c r="H75" s="6"/>
      <c r="I75" s="6"/>
      <c r="J75" s="6"/>
      <c r="K75" s="6"/>
      <c r="L75" s="6"/>
    </row>
    <row r="76" spans="1:12" x14ac:dyDescent="0.2">
      <c r="A76" s="5" t="s">
        <v>492</v>
      </c>
      <c r="B76" s="5" t="s">
        <v>362</v>
      </c>
      <c r="C76" s="5" t="s">
        <v>360</v>
      </c>
      <c r="D76" s="5" t="s">
        <v>493</v>
      </c>
      <c r="E76" s="26">
        <v>0</v>
      </c>
      <c r="F76" s="26">
        <v>0</v>
      </c>
      <c r="G76" s="6"/>
      <c r="H76" s="6"/>
      <c r="I76" s="6"/>
      <c r="J76" s="6"/>
      <c r="K76" s="6"/>
      <c r="L76" s="6"/>
    </row>
    <row r="77" spans="1:12" x14ac:dyDescent="0.2">
      <c r="A77" s="5" t="s">
        <v>494</v>
      </c>
      <c r="B77" s="5" t="s">
        <v>362</v>
      </c>
      <c r="C77" s="5" t="s">
        <v>360</v>
      </c>
      <c r="D77" s="5" t="s">
        <v>495</v>
      </c>
      <c r="E77" s="26">
        <v>2375</v>
      </c>
      <c r="F77" s="26">
        <v>2375</v>
      </c>
      <c r="G77" s="6"/>
      <c r="H77" s="6"/>
      <c r="I77" s="6"/>
      <c r="J77" s="6"/>
      <c r="K77" s="6"/>
      <c r="L77" s="6"/>
    </row>
    <row r="78" spans="1:12" x14ac:dyDescent="0.2">
      <c r="A78" s="5" t="s">
        <v>496</v>
      </c>
      <c r="B78" s="5" t="s">
        <v>362</v>
      </c>
      <c r="C78" s="5" t="s">
        <v>360</v>
      </c>
      <c r="D78" s="5" t="s">
        <v>497</v>
      </c>
      <c r="E78" s="26">
        <v>0</v>
      </c>
      <c r="F78" s="26">
        <v>0</v>
      </c>
      <c r="G78" s="6"/>
      <c r="H78" s="6"/>
      <c r="I78" s="6"/>
      <c r="J78" s="6"/>
      <c r="K78" s="6"/>
      <c r="L78" s="6"/>
    </row>
    <row r="79" spans="1:12" x14ac:dyDescent="0.2">
      <c r="A79" s="5" t="s">
        <v>498</v>
      </c>
      <c r="B79" s="5" t="s">
        <v>362</v>
      </c>
      <c r="C79" s="5" t="s">
        <v>360</v>
      </c>
      <c r="D79" s="5" t="s">
        <v>499</v>
      </c>
      <c r="E79" s="26">
        <v>0</v>
      </c>
      <c r="F79" s="26">
        <v>0</v>
      </c>
      <c r="G79" s="6"/>
      <c r="H79" s="6"/>
      <c r="I79" s="6"/>
      <c r="J79" s="6"/>
      <c r="K79" s="6"/>
      <c r="L79" s="6"/>
    </row>
    <row r="80" spans="1:12" x14ac:dyDescent="0.2">
      <c r="A80" s="5" t="s">
        <v>500</v>
      </c>
      <c r="B80" s="5" t="s">
        <v>362</v>
      </c>
      <c r="C80" s="5" t="s">
        <v>360</v>
      </c>
      <c r="D80" s="5" t="s">
        <v>501</v>
      </c>
      <c r="E80" s="26">
        <v>143050</v>
      </c>
      <c r="F80" s="26">
        <v>143050</v>
      </c>
      <c r="G80" s="6"/>
      <c r="H80" s="6"/>
      <c r="I80" s="6"/>
      <c r="J80" s="6"/>
      <c r="K80" s="6"/>
      <c r="L80" s="6"/>
    </row>
    <row r="81" spans="1:12" x14ac:dyDescent="0.2">
      <c r="A81" s="5" t="s">
        <v>502</v>
      </c>
      <c r="B81" s="5" t="s">
        <v>362</v>
      </c>
      <c r="C81" s="5" t="s">
        <v>352</v>
      </c>
      <c r="D81" s="5" t="s">
        <v>503</v>
      </c>
      <c r="E81" s="26">
        <v>0</v>
      </c>
      <c r="F81" s="26">
        <v>0</v>
      </c>
      <c r="G81" s="6"/>
      <c r="H81" s="6"/>
      <c r="I81" s="6"/>
      <c r="J81" s="6"/>
      <c r="K81" s="6"/>
      <c r="L81" s="6"/>
    </row>
    <row r="82" spans="1:12" x14ac:dyDescent="0.2">
      <c r="A82" s="5" t="s">
        <v>504</v>
      </c>
      <c r="B82" s="5" t="s">
        <v>362</v>
      </c>
      <c r="C82" s="5" t="s">
        <v>360</v>
      </c>
      <c r="D82" s="5" t="s">
        <v>505</v>
      </c>
      <c r="E82" s="26">
        <v>0</v>
      </c>
      <c r="F82" s="26">
        <v>0</v>
      </c>
      <c r="G82" s="6"/>
      <c r="H82" s="6"/>
      <c r="I82" s="6"/>
      <c r="J82" s="6"/>
      <c r="K82" s="6"/>
      <c r="L82" s="6"/>
    </row>
    <row r="83" spans="1:12" x14ac:dyDescent="0.2">
      <c r="A83" s="5" t="s">
        <v>506</v>
      </c>
      <c r="B83" s="5" t="s">
        <v>362</v>
      </c>
      <c r="C83" s="5" t="s">
        <v>360</v>
      </c>
      <c r="D83" s="5" t="s">
        <v>507</v>
      </c>
      <c r="E83" s="26">
        <v>0</v>
      </c>
      <c r="F83" s="26">
        <v>0</v>
      </c>
      <c r="G83" s="6"/>
      <c r="H83" s="6"/>
      <c r="I83" s="6"/>
      <c r="J83" s="6"/>
      <c r="K83" s="6"/>
      <c r="L83" s="6"/>
    </row>
    <row r="84" spans="1:12" x14ac:dyDescent="0.2">
      <c r="A84" s="5" t="s">
        <v>508</v>
      </c>
      <c r="B84" s="5" t="s">
        <v>362</v>
      </c>
      <c r="C84" s="5" t="s">
        <v>360</v>
      </c>
      <c r="D84" s="5" t="s">
        <v>509</v>
      </c>
      <c r="E84" s="26">
        <v>0</v>
      </c>
      <c r="F84" s="26">
        <v>0</v>
      </c>
      <c r="G84" s="6"/>
      <c r="H84" s="6"/>
      <c r="I84" s="6"/>
      <c r="J84" s="6"/>
      <c r="K84" s="6"/>
      <c r="L84" s="6"/>
    </row>
    <row r="85" spans="1:12" x14ac:dyDescent="0.2">
      <c r="A85" s="5" t="s">
        <v>510</v>
      </c>
      <c r="B85" s="5" t="s">
        <v>362</v>
      </c>
      <c r="C85" s="5" t="s">
        <v>360</v>
      </c>
      <c r="D85" s="5" t="s">
        <v>511</v>
      </c>
      <c r="E85" s="26">
        <v>0</v>
      </c>
      <c r="F85" s="26">
        <v>0</v>
      </c>
      <c r="G85" s="6"/>
      <c r="H85" s="6"/>
      <c r="I85" s="6"/>
      <c r="J85" s="6"/>
      <c r="K85" s="6"/>
      <c r="L85" s="6"/>
    </row>
    <row r="86" spans="1:12" x14ac:dyDescent="0.2">
      <c r="A86" s="5" t="s">
        <v>512</v>
      </c>
      <c r="B86" s="5" t="s">
        <v>362</v>
      </c>
      <c r="C86" s="5" t="s">
        <v>360</v>
      </c>
      <c r="D86" s="5" t="s">
        <v>513</v>
      </c>
      <c r="E86" s="26">
        <v>0</v>
      </c>
      <c r="F86" s="26">
        <v>0</v>
      </c>
      <c r="G86" s="6"/>
      <c r="H86" s="6"/>
      <c r="I86" s="6"/>
      <c r="J86" s="6"/>
      <c r="K86" s="6"/>
      <c r="L86" s="6"/>
    </row>
    <row r="87" spans="1:12" x14ac:dyDescent="0.2">
      <c r="A87" s="5" t="s">
        <v>514</v>
      </c>
      <c r="B87" s="5" t="s">
        <v>362</v>
      </c>
      <c r="C87" s="5" t="s">
        <v>360</v>
      </c>
      <c r="D87" s="5" t="s">
        <v>515</v>
      </c>
      <c r="E87" s="26">
        <v>0</v>
      </c>
      <c r="F87" s="26">
        <v>0</v>
      </c>
      <c r="G87" s="6"/>
      <c r="H87" s="6"/>
      <c r="I87" s="6"/>
      <c r="J87" s="6"/>
      <c r="K87" s="6"/>
      <c r="L87" s="6"/>
    </row>
    <row r="88" spans="1:12" x14ac:dyDescent="0.2">
      <c r="A88" s="5" t="s">
        <v>516</v>
      </c>
      <c r="B88" s="5" t="s">
        <v>362</v>
      </c>
      <c r="C88" s="5" t="s">
        <v>360</v>
      </c>
      <c r="D88" s="5" t="s">
        <v>517</v>
      </c>
      <c r="E88" s="26">
        <v>0</v>
      </c>
      <c r="F88" s="26">
        <v>0</v>
      </c>
      <c r="G88" s="6"/>
      <c r="H88" s="6"/>
      <c r="I88" s="6"/>
      <c r="J88" s="6"/>
      <c r="K88" s="6"/>
      <c r="L88" s="6"/>
    </row>
    <row r="89" spans="1:12" x14ac:dyDescent="0.2">
      <c r="A89" s="5" t="s">
        <v>518</v>
      </c>
      <c r="B89" s="5" t="s">
        <v>362</v>
      </c>
      <c r="C89" s="5" t="s">
        <v>360</v>
      </c>
      <c r="D89" s="5" t="s">
        <v>519</v>
      </c>
      <c r="E89" s="26">
        <v>0</v>
      </c>
      <c r="F89" s="26">
        <v>0</v>
      </c>
      <c r="G89" s="6"/>
      <c r="H89" s="6"/>
      <c r="I89" s="6"/>
      <c r="J89" s="6"/>
      <c r="K89" s="6"/>
      <c r="L89" s="6"/>
    </row>
    <row r="90" spans="1:12" x14ac:dyDescent="0.2">
      <c r="A90" s="5" t="s">
        <v>520</v>
      </c>
      <c r="B90" s="5" t="s">
        <v>362</v>
      </c>
      <c r="C90" s="5" t="s">
        <v>360</v>
      </c>
      <c r="D90" s="5" t="s">
        <v>521</v>
      </c>
      <c r="E90" s="26">
        <v>0</v>
      </c>
      <c r="F90" s="26">
        <v>0</v>
      </c>
      <c r="G90" s="6"/>
      <c r="H90" s="6"/>
      <c r="I90" s="6"/>
      <c r="J90" s="6"/>
      <c r="K90" s="6"/>
      <c r="L90" s="6"/>
    </row>
    <row r="91" spans="1:12" x14ac:dyDescent="0.2">
      <c r="A91" s="5" t="s">
        <v>522</v>
      </c>
      <c r="B91" s="5" t="s">
        <v>362</v>
      </c>
      <c r="C91" s="5" t="s">
        <v>360</v>
      </c>
      <c r="D91" s="5" t="s">
        <v>523</v>
      </c>
      <c r="E91" s="26">
        <v>0</v>
      </c>
      <c r="F91" s="26">
        <v>0</v>
      </c>
      <c r="G91" s="6"/>
      <c r="H91" s="6"/>
      <c r="I91" s="6"/>
      <c r="J91" s="6"/>
      <c r="K91" s="6"/>
      <c r="L91" s="6"/>
    </row>
    <row r="92" spans="1:12" x14ac:dyDescent="0.2">
      <c r="A92" s="5" t="s">
        <v>524</v>
      </c>
      <c r="B92" s="5" t="s">
        <v>362</v>
      </c>
      <c r="C92" s="5" t="s">
        <v>360</v>
      </c>
      <c r="D92" s="5" t="s">
        <v>525</v>
      </c>
      <c r="E92" s="26">
        <v>0</v>
      </c>
      <c r="F92" s="26">
        <v>0</v>
      </c>
      <c r="G92" s="6"/>
      <c r="H92" s="6"/>
      <c r="I92" s="6"/>
      <c r="J92" s="6"/>
      <c r="K92" s="6"/>
      <c r="L92" s="6"/>
    </row>
    <row r="93" spans="1:12" x14ac:dyDescent="0.2">
      <c r="A93" s="5" t="s">
        <v>526</v>
      </c>
      <c r="B93" s="5" t="s">
        <v>362</v>
      </c>
      <c r="C93" s="5" t="s">
        <v>360</v>
      </c>
      <c r="D93" s="5" t="s">
        <v>527</v>
      </c>
      <c r="E93" s="26">
        <v>34050</v>
      </c>
      <c r="F93" s="26">
        <v>34050</v>
      </c>
      <c r="G93" s="6"/>
      <c r="H93" s="6"/>
      <c r="I93" s="6"/>
      <c r="J93" s="6"/>
      <c r="K93" s="6"/>
      <c r="L93" s="6"/>
    </row>
    <row r="94" spans="1:12" x14ac:dyDescent="0.2">
      <c r="A94" s="5" t="s">
        <v>528</v>
      </c>
      <c r="B94" s="5" t="s">
        <v>362</v>
      </c>
      <c r="C94" s="5" t="s">
        <v>360</v>
      </c>
      <c r="D94" s="5" t="s">
        <v>529</v>
      </c>
      <c r="E94" s="26">
        <v>1875</v>
      </c>
      <c r="F94" s="26">
        <v>1875</v>
      </c>
      <c r="G94" s="6"/>
      <c r="H94" s="6"/>
      <c r="I94" s="6"/>
      <c r="J94" s="6"/>
      <c r="K94" s="6"/>
      <c r="L94" s="6"/>
    </row>
    <row r="95" spans="1:12" x14ac:dyDescent="0.2">
      <c r="A95" s="5" t="s">
        <v>530</v>
      </c>
      <c r="B95" s="5" t="s">
        <v>362</v>
      </c>
      <c r="C95" s="5" t="s">
        <v>360</v>
      </c>
      <c r="D95" s="5" t="s">
        <v>531</v>
      </c>
      <c r="E95" s="26">
        <v>10550</v>
      </c>
      <c r="F95" s="26">
        <v>10550</v>
      </c>
      <c r="G95" s="6"/>
      <c r="H95" s="6"/>
      <c r="I95" s="6"/>
      <c r="J95" s="6"/>
      <c r="K95" s="6"/>
      <c r="L95" s="6"/>
    </row>
    <row r="96" spans="1:12" x14ac:dyDescent="0.2">
      <c r="A96" s="5" t="s">
        <v>532</v>
      </c>
      <c r="B96" s="5" t="s">
        <v>362</v>
      </c>
      <c r="C96" s="5" t="s">
        <v>360</v>
      </c>
      <c r="D96" s="5" t="s">
        <v>533</v>
      </c>
      <c r="E96" s="26">
        <v>0</v>
      </c>
      <c r="F96" s="26">
        <v>0</v>
      </c>
      <c r="G96" s="6"/>
      <c r="H96" s="6"/>
      <c r="I96" s="6"/>
      <c r="J96" s="6"/>
      <c r="K96" s="6"/>
      <c r="L96" s="6"/>
    </row>
    <row r="97" spans="1:12" x14ac:dyDescent="0.2">
      <c r="A97" s="5" t="s">
        <v>534</v>
      </c>
      <c r="B97" s="5" t="s">
        <v>350</v>
      </c>
      <c r="C97" s="5" t="s">
        <v>360</v>
      </c>
      <c r="D97" s="5" t="s">
        <v>535</v>
      </c>
      <c r="E97" s="26">
        <v>0</v>
      </c>
      <c r="F97" s="26">
        <v>0</v>
      </c>
      <c r="G97" s="6"/>
      <c r="H97" s="6"/>
      <c r="I97" s="6"/>
      <c r="J97" s="6"/>
      <c r="K97" s="6"/>
      <c r="L97" s="6"/>
    </row>
    <row r="98" spans="1:12" x14ac:dyDescent="0.2">
      <c r="A98" s="5" t="s">
        <v>536</v>
      </c>
      <c r="B98" s="5" t="s">
        <v>362</v>
      </c>
      <c r="C98" s="5" t="s">
        <v>360</v>
      </c>
      <c r="D98" s="5" t="s">
        <v>537</v>
      </c>
      <c r="E98" s="26">
        <v>0</v>
      </c>
      <c r="F98" s="26">
        <v>0</v>
      </c>
      <c r="G98" s="6"/>
      <c r="H98" s="6"/>
      <c r="I98" s="6"/>
      <c r="J98" s="6"/>
      <c r="K98" s="6"/>
      <c r="L98" s="6"/>
    </row>
    <row r="99" spans="1:12" x14ac:dyDescent="0.2">
      <c r="A99" s="5" t="s">
        <v>538</v>
      </c>
      <c r="B99" s="5" t="s">
        <v>362</v>
      </c>
      <c r="C99" s="5" t="s">
        <v>360</v>
      </c>
      <c r="D99" s="5" t="s">
        <v>539</v>
      </c>
      <c r="E99" s="26">
        <v>0</v>
      </c>
      <c r="F99" s="26">
        <v>0</v>
      </c>
      <c r="G99" s="6"/>
      <c r="H99" s="6"/>
      <c r="I99" s="6"/>
      <c r="J99" s="6"/>
      <c r="K99" s="6"/>
      <c r="L99" s="6"/>
    </row>
    <row r="100" spans="1:12" x14ac:dyDescent="0.2">
      <c r="A100" s="5" t="s">
        <v>540</v>
      </c>
      <c r="B100" s="5" t="s">
        <v>362</v>
      </c>
      <c r="C100" s="5" t="s">
        <v>360</v>
      </c>
      <c r="D100" s="5" t="s">
        <v>541</v>
      </c>
      <c r="E100" s="26">
        <v>0</v>
      </c>
      <c r="F100" s="26">
        <v>0</v>
      </c>
      <c r="G100" s="6"/>
      <c r="H100" s="6"/>
      <c r="I100" s="6"/>
      <c r="J100" s="6"/>
      <c r="K100" s="6"/>
      <c r="L100" s="6"/>
    </row>
    <row r="101" spans="1:12" x14ac:dyDescent="0.2">
      <c r="A101" s="5" t="s">
        <v>542</v>
      </c>
      <c r="B101" s="5" t="s">
        <v>362</v>
      </c>
      <c r="C101" s="5" t="s">
        <v>360</v>
      </c>
      <c r="D101" s="5" t="s">
        <v>543</v>
      </c>
      <c r="E101" s="26">
        <v>0</v>
      </c>
      <c r="F101" s="26">
        <v>0</v>
      </c>
      <c r="G101" s="6"/>
      <c r="H101" s="6"/>
      <c r="I101" s="6"/>
      <c r="J101" s="6"/>
      <c r="K101" s="6"/>
      <c r="L101" s="6"/>
    </row>
    <row r="102" spans="1:12" x14ac:dyDescent="0.2">
      <c r="A102" s="5" t="s">
        <v>544</v>
      </c>
      <c r="B102" s="5" t="s">
        <v>362</v>
      </c>
      <c r="C102" s="5" t="s">
        <v>360</v>
      </c>
      <c r="D102" s="5" t="s">
        <v>545</v>
      </c>
      <c r="E102" s="26">
        <v>200</v>
      </c>
      <c r="F102" s="26">
        <v>200</v>
      </c>
      <c r="G102" s="6"/>
      <c r="H102" s="6"/>
      <c r="I102" s="6"/>
      <c r="J102" s="6"/>
      <c r="K102" s="6"/>
      <c r="L102" s="6"/>
    </row>
    <row r="103" spans="1:12" x14ac:dyDescent="0.2">
      <c r="A103" s="5" t="s">
        <v>546</v>
      </c>
      <c r="B103" s="5" t="s">
        <v>362</v>
      </c>
      <c r="C103" s="5" t="s">
        <v>360</v>
      </c>
      <c r="D103" s="5" t="s">
        <v>547</v>
      </c>
      <c r="E103" s="26">
        <v>299350</v>
      </c>
      <c r="F103" s="26">
        <v>302350</v>
      </c>
      <c r="G103" s="6"/>
      <c r="H103" s="6"/>
      <c r="I103" s="6"/>
      <c r="J103" s="6"/>
      <c r="K103" s="6"/>
      <c r="L103" s="6"/>
    </row>
    <row r="104" spans="1:12" x14ac:dyDescent="0.2">
      <c r="A104" s="5" t="s">
        <v>548</v>
      </c>
      <c r="B104" s="5" t="s">
        <v>362</v>
      </c>
      <c r="C104" s="5" t="s">
        <v>360</v>
      </c>
      <c r="D104" s="5" t="s">
        <v>549</v>
      </c>
      <c r="E104" s="26">
        <v>2750</v>
      </c>
      <c r="F104" s="26">
        <v>3750</v>
      </c>
      <c r="G104" s="6"/>
      <c r="H104" s="6"/>
      <c r="I104" s="6"/>
      <c r="J104" s="6"/>
      <c r="K104" s="6"/>
      <c r="L104" s="6"/>
    </row>
    <row r="105" spans="1:12" x14ac:dyDescent="0.2">
      <c r="A105" s="5" t="s">
        <v>550</v>
      </c>
      <c r="B105" s="5" t="s">
        <v>362</v>
      </c>
      <c r="C105" s="5" t="s">
        <v>360</v>
      </c>
      <c r="D105" s="5" t="s">
        <v>551</v>
      </c>
      <c r="E105" s="26">
        <v>296050</v>
      </c>
      <c r="F105" s="26">
        <v>298050</v>
      </c>
      <c r="G105" s="6"/>
      <c r="H105" s="6"/>
      <c r="I105" s="6"/>
      <c r="J105" s="6"/>
      <c r="K105" s="6"/>
      <c r="L105" s="6"/>
    </row>
    <row r="106" spans="1:12" x14ac:dyDescent="0.2">
      <c r="A106" s="5" t="s">
        <v>552</v>
      </c>
      <c r="B106" s="5" t="s">
        <v>362</v>
      </c>
      <c r="C106" s="5" t="s">
        <v>360</v>
      </c>
      <c r="D106" s="5" t="s">
        <v>553</v>
      </c>
      <c r="E106" s="26">
        <v>550</v>
      </c>
      <c r="F106" s="26">
        <v>550</v>
      </c>
      <c r="G106" s="6"/>
      <c r="H106" s="6"/>
      <c r="I106" s="6"/>
      <c r="J106" s="6"/>
      <c r="K106" s="6"/>
      <c r="L106" s="6"/>
    </row>
    <row r="107" spans="1:12" x14ac:dyDescent="0.2">
      <c r="A107" s="5" t="s">
        <v>554</v>
      </c>
      <c r="B107" s="5" t="s">
        <v>362</v>
      </c>
      <c r="C107" s="5" t="s">
        <v>360</v>
      </c>
      <c r="D107" s="5" t="s">
        <v>555</v>
      </c>
      <c r="E107" s="26">
        <v>0</v>
      </c>
      <c r="F107" s="26">
        <v>0</v>
      </c>
      <c r="G107" s="6"/>
      <c r="H107" s="6"/>
      <c r="I107" s="6"/>
      <c r="J107" s="6"/>
      <c r="K107" s="6"/>
      <c r="L107" s="6"/>
    </row>
    <row r="108" spans="1:12" x14ac:dyDescent="0.2">
      <c r="A108" s="5" t="s">
        <v>556</v>
      </c>
      <c r="B108" s="5" t="s">
        <v>362</v>
      </c>
      <c r="C108" s="5" t="s">
        <v>360</v>
      </c>
      <c r="D108" s="5" t="s">
        <v>557</v>
      </c>
      <c r="E108" s="26">
        <v>115525</v>
      </c>
      <c r="F108" s="26">
        <v>117525</v>
      </c>
      <c r="G108" s="6"/>
      <c r="H108" s="6"/>
      <c r="I108" s="6"/>
      <c r="J108" s="6"/>
      <c r="K108" s="6"/>
      <c r="L108" s="6"/>
    </row>
    <row r="109" spans="1:12" x14ac:dyDescent="0.2">
      <c r="A109" s="5" t="s">
        <v>558</v>
      </c>
      <c r="B109" s="5" t="s">
        <v>362</v>
      </c>
      <c r="C109" s="5" t="s">
        <v>360</v>
      </c>
      <c r="D109" s="5" t="s">
        <v>559</v>
      </c>
      <c r="E109" s="26">
        <v>2700</v>
      </c>
      <c r="F109" s="26">
        <v>3700</v>
      </c>
      <c r="G109" s="6"/>
      <c r="H109" s="6"/>
      <c r="I109" s="6"/>
      <c r="J109" s="6"/>
      <c r="K109" s="6"/>
      <c r="L109" s="6"/>
    </row>
    <row r="110" spans="1:12" x14ac:dyDescent="0.2">
      <c r="A110" s="5" t="s">
        <v>560</v>
      </c>
      <c r="B110" s="5" t="s">
        <v>362</v>
      </c>
      <c r="C110" s="5" t="s">
        <v>360</v>
      </c>
      <c r="D110" s="5" t="s">
        <v>561</v>
      </c>
      <c r="E110" s="26">
        <v>550</v>
      </c>
      <c r="F110" s="26">
        <v>550</v>
      </c>
      <c r="G110" s="6"/>
      <c r="H110" s="6"/>
      <c r="I110" s="6"/>
      <c r="J110" s="6"/>
      <c r="K110" s="6"/>
      <c r="L110" s="6"/>
    </row>
    <row r="111" spans="1:12" x14ac:dyDescent="0.2">
      <c r="A111" s="5" t="s">
        <v>562</v>
      </c>
      <c r="B111" s="5" t="s">
        <v>362</v>
      </c>
      <c r="C111" s="5" t="s">
        <v>360</v>
      </c>
      <c r="D111" s="5" t="s">
        <v>563</v>
      </c>
      <c r="E111" s="26">
        <v>0</v>
      </c>
      <c r="F111" s="26">
        <v>0</v>
      </c>
      <c r="G111" s="6"/>
      <c r="H111" s="6"/>
      <c r="I111" s="6"/>
      <c r="J111" s="6"/>
      <c r="K111" s="6"/>
      <c r="L111" s="6"/>
    </row>
    <row r="112" spans="1:12" x14ac:dyDescent="0.2">
      <c r="A112" s="5" t="s">
        <v>564</v>
      </c>
      <c r="B112" s="5" t="s">
        <v>362</v>
      </c>
      <c r="C112" s="5" t="s">
        <v>360</v>
      </c>
      <c r="D112" s="5" t="s">
        <v>565</v>
      </c>
      <c r="E112" s="26">
        <v>0</v>
      </c>
      <c r="F112" s="26">
        <v>0</v>
      </c>
      <c r="G112" s="6"/>
      <c r="H112" s="6"/>
      <c r="I112" s="6"/>
      <c r="J112" s="6"/>
      <c r="K112" s="6"/>
      <c r="L112" s="6"/>
    </row>
    <row r="113" spans="1:12" x14ac:dyDescent="0.2">
      <c r="A113" s="5" t="s">
        <v>566</v>
      </c>
      <c r="B113" s="5" t="s">
        <v>362</v>
      </c>
      <c r="C113" s="5" t="s">
        <v>360</v>
      </c>
      <c r="D113" s="5" t="s">
        <v>567</v>
      </c>
      <c r="E113" s="26">
        <v>0</v>
      </c>
      <c r="F113" s="26">
        <v>0</v>
      </c>
      <c r="G113" s="6"/>
      <c r="H113" s="6"/>
      <c r="I113" s="6"/>
      <c r="J113" s="6"/>
      <c r="K113" s="6"/>
      <c r="L113" s="6"/>
    </row>
    <row r="114" spans="1:12" x14ac:dyDescent="0.2">
      <c r="A114" s="5" t="s">
        <v>568</v>
      </c>
      <c r="B114" s="5" t="s">
        <v>362</v>
      </c>
      <c r="C114" s="5" t="s">
        <v>360</v>
      </c>
      <c r="D114" s="5" t="s">
        <v>569</v>
      </c>
      <c r="E114" s="26">
        <v>0</v>
      </c>
      <c r="F114" s="26">
        <v>0</v>
      </c>
      <c r="G114" s="6"/>
      <c r="H114" s="6"/>
      <c r="I114" s="6"/>
      <c r="J114" s="6"/>
      <c r="K114" s="6"/>
      <c r="L114" s="6"/>
    </row>
    <row r="115" spans="1:12" x14ac:dyDescent="0.2">
      <c r="A115" s="5" t="s">
        <v>570</v>
      </c>
      <c r="B115" s="5" t="s">
        <v>362</v>
      </c>
      <c r="C115" s="5" t="s">
        <v>360</v>
      </c>
      <c r="D115" s="5" t="s">
        <v>571</v>
      </c>
      <c r="E115" s="26">
        <v>0</v>
      </c>
      <c r="F115" s="26">
        <v>0</v>
      </c>
      <c r="G115" s="6"/>
      <c r="H115" s="6"/>
      <c r="I115" s="6"/>
      <c r="J115" s="6"/>
      <c r="K115" s="6"/>
      <c r="L115" s="6"/>
    </row>
    <row r="116" spans="1:12" x14ac:dyDescent="0.2">
      <c r="A116" s="5" t="s">
        <v>572</v>
      </c>
      <c r="B116" s="5" t="s">
        <v>350</v>
      </c>
      <c r="C116" s="5" t="s">
        <v>360</v>
      </c>
      <c r="D116" s="5" t="s">
        <v>573</v>
      </c>
      <c r="E116" s="26">
        <v>8200</v>
      </c>
      <c r="F116" s="26">
        <v>8200</v>
      </c>
      <c r="G116" s="6"/>
      <c r="H116" s="6"/>
      <c r="I116" s="6"/>
      <c r="J116" s="6"/>
      <c r="K116" s="6"/>
      <c r="L116" s="6"/>
    </row>
    <row r="117" spans="1:12" x14ac:dyDescent="0.2">
      <c r="A117" s="5" t="s">
        <v>574</v>
      </c>
      <c r="B117" s="5" t="s">
        <v>362</v>
      </c>
      <c r="C117" s="5" t="s">
        <v>360</v>
      </c>
      <c r="D117" s="5" t="s">
        <v>575</v>
      </c>
      <c r="E117" s="26">
        <v>50</v>
      </c>
      <c r="F117" s="26">
        <v>50</v>
      </c>
      <c r="G117" s="6"/>
      <c r="H117" s="6"/>
      <c r="I117" s="6"/>
      <c r="J117" s="6"/>
      <c r="K117" s="6"/>
      <c r="L117" s="6"/>
    </row>
    <row r="118" spans="1:12" x14ac:dyDescent="0.2">
      <c r="A118" s="5" t="s">
        <v>576</v>
      </c>
      <c r="B118" s="5" t="s">
        <v>362</v>
      </c>
      <c r="C118" s="5" t="s">
        <v>360</v>
      </c>
      <c r="D118" s="5" t="s">
        <v>577</v>
      </c>
      <c r="E118" s="26">
        <v>172325</v>
      </c>
      <c r="F118" s="26">
        <v>172325</v>
      </c>
      <c r="G118" s="6"/>
      <c r="H118" s="6"/>
      <c r="I118" s="6"/>
      <c r="J118" s="6"/>
      <c r="K118" s="6"/>
      <c r="L118" s="6"/>
    </row>
    <row r="119" spans="1:12" x14ac:dyDescent="0.2">
      <c r="A119" s="5" t="s">
        <v>578</v>
      </c>
      <c r="B119" s="5" t="s">
        <v>362</v>
      </c>
      <c r="C119" s="5" t="s">
        <v>360</v>
      </c>
      <c r="D119" s="5" t="s">
        <v>579</v>
      </c>
      <c r="E119" s="26">
        <v>0</v>
      </c>
      <c r="F119" s="26">
        <v>0</v>
      </c>
      <c r="G119" s="6"/>
      <c r="H119" s="6"/>
      <c r="I119" s="6"/>
      <c r="J119" s="6"/>
      <c r="K119" s="6"/>
      <c r="L119" s="6"/>
    </row>
    <row r="120" spans="1:12" x14ac:dyDescent="0.2">
      <c r="A120" s="5" t="s">
        <v>580</v>
      </c>
      <c r="B120" s="5" t="s">
        <v>362</v>
      </c>
      <c r="C120" s="5" t="s">
        <v>360</v>
      </c>
      <c r="D120" s="5" t="s">
        <v>581</v>
      </c>
      <c r="E120" s="26">
        <v>0</v>
      </c>
      <c r="F120" s="26">
        <v>0</v>
      </c>
      <c r="G120" s="6"/>
      <c r="H120" s="6"/>
      <c r="I120" s="6"/>
      <c r="J120" s="6"/>
      <c r="K120" s="6"/>
      <c r="L120" s="6"/>
    </row>
    <row r="121" spans="1:12" x14ac:dyDescent="0.2">
      <c r="A121" s="5" t="s">
        <v>582</v>
      </c>
      <c r="B121" s="5" t="s">
        <v>362</v>
      </c>
      <c r="C121" s="5" t="s">
        <v>360</v>
      </c>
      <c r="D121" s="5" t="s">
        <v>583</v>
      </c>
      <c r="E121" s="26">
        <v>0</v>
      </c>
      <c r="F121" s="26">
        <v>0</v>
      </c>
      <c r="G121" s="6"/>
      <c r="H121" s="6"/>
      <c r="I121" s="6"/>
      <c r="J121" s="6"/>
      <c r="K121" s="6"/>
      <c r="L121" s="6"/>
    </row>
    <row r="122" spans="1:12" x14ac:dyDescent="0.2">
      <c r="A122" s="5" t="s">
        <v>584</v>
      </c>
      <c r="B122" s="5" t="s">
        <v>362</v>
      </c>
      <c r="C122" s="5" t="s">
        <v>360</v>
      </c>
      <c r="D122" s="5" t="s">
        <v>585</v>
      </c>
      <c r="E122" s="26">
        <v>0</v>
      </c>
      <c r="F122" s="26">
        <v>0</v>
      </c>
      <c r="G122" s="6"/>
      <c r="H122" s="6"/>
      <c r="I122" s="6"/>
      <c r="J122" s="6"/>
      <c r="K122" s="6"/>
      <c r="L122" s="6"/>
    </row>
    <row r="123" spans="1:12" x14ac:dyDescent="0.2">
      <c r="A123" s="5" t="s">
        <v>586</v>
      </c>
      <c r="B123" s="5" t="s">
        <v>362</v>
      </c>
      <c r="C123" s="5" t="s">
        <v>360</v>
      </c>
      <c r="D123" s="5" t="s">
        <v>587</v>
      </c>
      <c r="E123" s="26">
        <v>0</v>
      </c>
      <c r="F123" s="26">
        <v>0</v>
      </c>
      <c r="G123" s="6"/>
      <c r="H123" s="6"/>
      <c r="I123" s="6"/>
      <c r="J123" s="6"/>
      <c r="K123" s="6"/>
      <c r="L123" s="6"/>
    </row>
    <row r="124" spans="1:12" x14ac:dyDescent="0.2">
      <c r="A124" s="5" t="s">
        <v>588</v>
      </c>
      <c r="B124" s="5" t="s">
        <v>362</v>
      </c>
      <c r="C124" s="5" t="s">
        <v>360</v>
      </c>
      <c r="D124" s="5" t="s">
        <v>589</v>
      </c>
      <c r="E124" s="26">
        <v>0</v>
      </c>
      <c r="F124" s="26">
        <v>0</v>
      </c>
      <c r="G124" s="6"/>
      <c r="H124" s="6"/>
      <c r="I124" s="6"/>
      <c r="J124" s="6"/>
      <c r="K124" s="6"/>
      <c r="L124" s="6"/>
    </row>
    <row r="125" spans="1:12" x14ac:dyDescent="0.2">
      <c r="A125" s="5" t="s">
        <v>590</v>
      </c>
      <c r="B125" s="5" t="s">
        <v>350</v>
      </c>
      <c r="C125" s="5" t="s">
        <v>360</v>
      </c>
      <c r="D125" s="5" t="s">
        <v>591</v>
      </c>
      <c r="E125" s="26">
        <v>175</v>
      </c>
      <c r="F125" s="26">
        <v>175</v>
      </c>
      <c r="G125" s="6"/>
      <c r="H125" s="6"/>
      <c r="I125" s="6"/>
      <c r="J125" s="6"/>
      <c r="K125" s="6"/>
      <c r="L125" s="6"/>
    </row>
    <row r="126" spans="1:12" x14ac:dyDescent="0.2">
      <c r="A126" s="5" t="s">
        <v>592</v>
      </c>
      <c r="B126" s="5" t="s">
        <v>362</v>
      </c>
      <c r="C126" s="5" t="s">
        <v>360</v>
      </c>
      <c r="D126" s="5" t="s">
        <v>593</v>
      </c>
      <c r="E126" s="26">
        <v>0</v>
      </c>
      <c r="F126" s="26">
        <v>0</v>
      </c>
      <c r="G126" s="6"/>
      <c r="H126" s="6"/>
      <c r="I126" s="6"/>
      <c r="J126" s="6"/>
      <c r="K126" s="6"/>
      <c r="L126" s="6"/>
    </row>
    <row r="127" spans="1:12" x14ac:dyDescent="0.2">
      <c r="A127" s="5" t="s">
        <v>594</v>
      </c>
      <c r="B127" s="5" t="s">
        <v>362</v>
      </c>
      <c r="C127" s="5" t="s">
        <v>360</v>
      </c>
      <c r="D127" s="5" t="s">
        <v>595</v>
      </c>
      <c r="E127" s="26">
        <v>550</v>
      </c>
      <c r="F127" s="26">
        <v>550</v>
      </c>
      <c r="G127" s="6"/>
      <c r="H127" s="6"/>
      <c r="I127" s="6"/>
      <c r="J127" s="6"/>
      <c r="K127" s="6"/>
      <c r="L127" s="6"/>
    </row>
    <row r="128" spans="1:12" x14ac:dyDescent="0.2">
      <c r="A128" s="5" t="s">
        <v>596</v>
      </c>
      <c r="B128" s="5" t="s">
        <v>362</v>
      </c>
      <c r="C128" s="5" t="s">
        <v>360</v>
      </c>
      <c r="D128" s="5" t="s">
        <v>597</v>
      </c>
      <c r="E128" s="26">
        <v>0</v>
      </c>
      <c r="F128" s="26">
        <v>0</v>
      </c>
      <c r="G128" s="6"/>
      <c r="H128" s="6"/>
      <c r="I128" s="6"/>
      <c r="J128" s="6"/>
      <c r="K128" s="6"/>
      <c r="L128" s="6"/>
    </row>
    <row r="129" spans="1:12" x14ac:dyDescent="0.2">
      <c r="A129" s="5" t="s">
        <v>598</v>
      </c>
      <c r="B129" s="5" t="s">
        <v>362</v>
      </c>
      <c r="C129" s="5" t="s">
        <v>360</v>
      </c>
      <c r="D129" s="5" t="s">
        <v>599</v>
      </c>
      <c r="E129" s="26">
        <v>0</v>
      </c>
      <c r="F129" s="26">
        <v>0</v>
      </c>
      <c r="G129" s="6"/>
      <c r="H129" s="6"/>
      <c r="I129" s="6"/>
      <c r="J129" s="6"/>
      <c r="K129" s="6"/>
      <c r="L129" s="6"/>
    </row>
    <row r="130" spans="1:12" x14ac:dyDescent="0.2">
      <c r="A130" s="5" t="s">
        <v>600</v>
      </c>
      <c r="B130" s="5" t="s">
        <v>362</v>
      </c>
      <c r="C130" s="5" t="s">
        <v>360</v>
      </c>
      <c r="D130" s="5" t="s">
        <v>601</v>
      </c>
      <c r="E130" s="26">
        <v>115350</v>
      </c>
      <c r="F130" s="26">
        <v>117350</v>
      </c>
      <c r="G130" s="6"/>
      <c r="H130" s="6"/>
      <c r="I130" s="6"/>
      <c r="J130" s="6"/>
      <c r="K130" s="6"/>
      <c r="L130" s="6"/>
    </row>
    <row r="131" spans="1:12" x14ac:dyDescent="0.2">
      <c r="A131" s="5" t="s">
        <v>602</v>
      </c>
      <c r="B131" s="5" t="s">
        <v>362</v>
      </c>
      <c r="C131" s="5" t="s">
        <v>360</v>
      </c>
      <c r="D131" s="5" t="s">
        <v>603</v>
      </c>
      <c r="E131" s="26">
        <v>0</v>
      </c>
      <c r="F131" s="26">
        <v>0</v>
      </c>
      <c r="G131" s="6"/>
      <c r="H131" s="6"/>
      <c r="I131" s="6"/>
      <c r="J131" s="6"/>
      <c r="K131" s="6"/>
      <c r="L131" s="6"/>
    </row>
    <row r="132" spans="1:12" x14ac:dyDescent="0.2">
      <c r="A132" s="5" t="s">
        <v>604</v>
      </c>
      <c r="B132" s="5" t="s">
        <v>362</v>
      </c>
      <c r="C132" s="5" t="s">
        <v>360</v>
      </c>
      <c r="D132" s="5" t="s">
        <v>605</v>
      </c>
      <c r="E132" s="26">
        <v>0</v>
      </c>
      <c r="F132" s="26">
        <v>0</v>
      </c>
      <c r="G132" s="6"/>
      <c r="H132" s="6"/>
      <c r="I132" s="6"/>
      <c r="J132" s="6"/>
      <c r="K132" s="6"/>
      <c r="L132" s="6"/>
    </row>
    <row r="133" spans="1:12" x14ac:dyDescent="0.2">
      <c r="A133" s="5" t="s">
        <v>606</v>
      </c>
      <c r="B133" s="5" t="s">
        <v>362</v>
      </c>
      <c r="C133" s="5" t="s">
        <v>360</v>
      </c>
      <c r="D133" s="5" t="s">
        <v>607</v>
      </c>
      <c r="E133" s="26">
        <v>0</v>
      </c>
      <c r="F133" s="26">
        <v>0</v>
      </c>
      <c r="G133" s="6"/>
      <c r="H133" s="6"/>
      <c r="I133" s="6"/>
      <c r="J133" s="6"/>
      <c r="K133" s="6"/>
      <c r="L133" s="6"/>
    </row>
    <row r="134" spans="1:12" x14ac:dyDescent="0.2">
      <c r="A134" s="5" t="s">
        <v>608</v>
      </c>
      <c r="B134" s="5" t="s">
        <v>362</v>
      </c>
      <c r="C134" s="5" t="s">
        <v>360</v>
      </c>
      <c r="D134" s="5" t="s">
        <v>609</v>
      </c>
      <c r="E134" s="26">
        <v>0</v>
      </c>
      <c r="F134" s="26">
        <v>0</v>
      </c>
      <c r="G134" s="6"/>
      <c r="H134" s="6"/>
      <c r="I134" s="6"/>
      <c r="J134" s="6"/>
      <c r="K134" s="6"/>
      <c r="L134" s="6"/>
    </row>
    <row r="135" spans="1:12" x14ac:dyDescent="0.2">
      <c r="A135" s="5" t="s">
        <v>610</v>
      </c>
      <c r="B135" s="5" t="s">
        <v>362</v>
      </c>
      <c r="C135" s="5" t="s">
        <v>360</v>
      </c>
      <c r="D135" s="5" t="s">
        <v>611</v>
      </c>
      <c r="E135" s="26">
        <v>0</v>
      </c>
      <c r="F135" s="26">
        <v>0</v>
      </c>
      <c r="G135" s="6"/>
      <c r="H135" s="6"/>
      <c r="I135" s="6"/>
      <c r="J135" s="6"/>
      <c r="K135" s="6"/>
      <c r="L135" s="6"/>
    </row>
    <row r="136" spans="1:12" x14ac:dyDescent="0.2">
      <c r="A136" s="5" t="s">
        <v>612</v>
      </c>
      <c r="B136" s="5" t="s">
        <v>362</v>
      </c>
      <c r="C136" s="5" t="s">
        <v>360</v>
      </c>
      <c r="D136" s="5" t="s">
        <v>613</v>
      </c>
      <c r="E136" s="26">
        <v>0</v>
      </c>
      <c r="F136" s="26">
        <v>0</v>
      </c>
      <c r="G136" s="6"/>
      <c r="H136" s="6"/>
      <c r="I136" s="6"/>
      <c r="J136" s="6"/>
      <c r="K136" s="6"/>
      <c r="L136" s="6"/>
    </row>
    <row r="137" spans="1:12" x14ac:dyDescent="0.2">
      <c r="A137" s="5" t="s">
        <v>614</v>
      </c>
      <c r="B137" s="5" t="s">
        <v>362</v>
      </c>
      <c r="C137" s="5" t="s">
        <v>360</v>
      </c>
      <c r="D137" s="5" t="s">
        <v>615</v>
      </c>
      <c r="E137" s="26">
        <v>0</v>
      </c>
      <c r="F137" s="26">
        <v>0</v>
      </c>
      <c r="G137" s="6"/>
      <c r="H137" s="6"/>
      <c r="I137" s="6"/>
      <c r="J137" s="6"/>
      <c r="K137" s="6"/>
      <c r="L137" s="6"/>
    </row>
    <row r="138" spans="1:12" x14ac:dyDescent="0.2">
      <c r="A138" s="5" t="s">
        <v>616</v>
      </c>
      <c r="B138" s="5" t="s">
        <v>362</v>
      </c>
      <c r="C138" s="5" t="s">
        <v>360</v>
      </c>
      <c r="D138" s="5" t="s">
        <v>617</v>
      </c>
      <c r="E138" s="26">
        <v>0</v>
      </c>
      <c r="F138" s="26">
        <v>0</v>
      </c>
      <c r="G138" s="6"/>
      <c r="H138" s="6"/>
      <c r="I138" s="6"/>
      <c r="J138" s="6"/>
      <c r="K138" s="6"/>
      <c r="L138" s="6"/>
    </row>
    <row r="139" spans="1:12" x14ac:dyDescent="0.2">
      <c r="A139" s="5" t="s">
        <v>618</v>
      </c>
      <c r="B139" s="5" t="s">
        <v>362</v>
      </c>
      <c r="C139" s="5" t="s">
        <v>360</v>
      </c>
      <c r="D139" s="5" t="s">
        <v>619</v>
      </c>
      <c r="E139" s="26">
        <v>0</v>
      </c>
      <c r="F139" s="26">
        <v>0</v>
      </c>
      <c r="G139" s="6"/>
      <c r="H139" s="6"/>
      <c r="I139" s="6"/>
      <c r="J139" s="6"/>
      <c r="K139" s="6"/>
      <c r="L139" s="6"/>
    </row>
    <row r="140" spans="1:12" x14ac:dyDescent="0.2">
      <c r="A140" s="5" t="s">
        <v>620</v>
      </c>
      <c r="B140" s="5" t="s">
        <v>362</v>
      </c>
      <c r="C140" s="5" t="s">
        <v>360</v>
      </c>
      <c r="D140" s="5" t="s">
        <v>621</v>
      </c>
      <c r="E140" s="26">
        <v>0</v>
      </c>
      <c r="F140" s="26">
        <v>0</v>
      </c>
      <c r="G140" s="6"/>
      <c r="H140" s="6"/>
      <c r="I140" s="6"/>
      <c r="J140" s="6"/>
      <c r="K140" s="6"/>
      <c r="L140" s="6"/>
    </row>
    <row r="141" spans="1:12" x14ac:dyDescent="0.2">
      <c r="A141" s="5" t="s">
        <v>622</v>
      </c>
      <c r="B141" s="5" t="s">
        <v>362</v>
      </c>
      <c r="C141" s="5" t="s">
        <v>360</v>
      </c>
      <c r="D141" s="5" t="s">
        <v>623</v>
      </c>
      <c r="E141" s="26">
        <v>0</v>
      </c>
      <c r="F141" s="26">
        <v>0</v>
      </c>
      <c r="G141" s="6"/>
      <c r="H141" s="6"/>
      <c r="I141" s="6"/>
      <c r="J141" s="6"/>
      <c r="K141" s="6"/>
      <c r="L141" s="6"/>
    </row>
    <row r="142" spans="1:12" x14ac:dyDescent="0.2">
      <c r="A142" s="5" t="s">
        <v>624</v>
      </c>
      <c r="B142" s="5" t="s">
        <v>362</v>
      </c>
      <c r="C142" s="5" t="s">
        <v>360</v>
      </c>
      <c r="D142" s="5" t="s">
        <v>625</v>
      </c>
      <c r="E142" s="26">
        <v>0</v>
      </c>
      <c r="F142" s="26">
        <v>0</v>
      </c>
      <c r="G142" s="6"/>
      <c r="H142" s="6"/>
      <c r="I142" s="6"/>
      <c r="J142" s="6"/>
      <c r="K142" s="6"/>
      <c r="L142" s="6"/>
    </row>
    <row r="143" spans="1:12" x14ac:dyDescent="0.2">
      <c r="A143" s="5" t="s">
        <v>626</v>
      </c>
      <c r="B143" s="5" t="s">
        <v>362</v>
      </c>
      <c r="C143" s="5" t="s">
        <v>360</v>
      </c>
      <c r="D143" s="5" t="s">
        <v>627</v>
      </c>
      <c r="E143" s="26">
        <v>172325</v>
      </c>
      <c r="F143" s="26">
        <v>172325</v>
      </c>
      <c r="G143" s="6"/>
      <c r="H143" s="6"/>
      <c r="I143" s="6"/>
      <c r="J143" s="6"/>
      <c r="K143" s="6"/>
      <c r="L143" s="6"/>
    </row>
    <row r="144" spans="1:12" x14ac:dyDescent="0.2">
      <c r="A144" s="5" t="s">
        <v>628</v>
      </c>
      <c r="B144" s="5" t="s">
        <v>362</v>
      </c>
      <c r="C144" s="5" t="s">
        <v>360</v>
      </c>
      <c r="D144" s="5" t="s">
        <v>629</v>
      </c>
      <c r="E144" s="26">
        <v>2700</v>
      </c>
      <c r="F144" s="26">
        <v>3700</v>
      </c>
      <c r="G144" s="6"/>
      <c r="H144" s="6"/>
      <c r="I144" s="6"/>
      <c r="J144" s="6"/>
      <c r="K144" s="6"/>
      <c r="L144" s="6"/>
    </row>
    <row r="145" spans="1:12" x14ac:dyDescent="0.2">
      <c r="A145" s="5" t="s">
        <v>630</v>
      </c>
      <c r="B145" s="5" t="s">
        <v>362</v>
      </c>
      <c r="C145" s="5" t="s">
        <v>360</v>
      </c>
      <c r="D145" s="5" t="s">
        <v>631</v>
      </c>
      <c r="E145" s="26">
        <v>8200</v>
      </c>
      <c r="F145" s="26">
        <v>8200</v>
      </c>
      <c r="G145" s="6"/>
      <c r="H145" s="6"/>
      <c r="I145" s="6"/>
      <c r="J145" s="6"/>
      <c r="K145" s="6"/>
      <c r="L145" s="6"/>
    </row>
    <row r="146" spans="1:12" x14ac:dyDescent="0.2">
      <c r="A146" s="5" t="s">
        <v>632</v>
      </c>
      <c r="B146" s="5" t="s">
        <v>362</v>
      </c>
      <c r="C146" s="5" t="s">
        <v>360</v>
      </c>
      <c r="D146" s="5" t="s">
        <v>633</v>
      </c>
      <c r="E146" s="26">
        <v>0</v>
      </c>
      <c r="F146" s="26">
        <v>0</v>
      </c>
      <c r="G146" s="6"/>
      <c r="H146" s="6"/>
      <c r="I146" s="6"/>
      <c r="J146" s="6"/>
      <c r="K146" s="6"/>
      <c r="L146" s="6"/>
    </row>
    <row r="147" spans="1:12" x14ac:dyDescent="0.2">
      <c r="A147" s="5" t="s">
        <v>634</v>
      </c>
      <c r="B147" s="5" t="s">
        <v>362</v>
      </c>
      <c r="C147" s="5" t="s">
        <v>360</v>
      </c>
      <c r="D147" s="5" t="s">
        <v>635</v>
      </c>
      <c r="E147" s="26">
        <v>0</v>
      </c>
      <c r="F147" s="26">
        <v>0</v>
      </c>
      <c r="G147" s="6"/>
      <c r="H147" s="6"/>
      <c r="I147" s="6"/>
      <c r="J147" s="6"/>
      <c r="K147" s="6"/>
      <c r="L147" s="6"/>
    </row>
    <row r="148" spans="1:12" x14ac:dyDescent="0.2">
      <c r="A148" s="5" t="s">
        <v>636</v>
      </c>
      <c r="B148" s="5" t="s">
        <v>362</v>
      </c>
      <c r="C148" s="5" t="s">
        <v>360</v>
      </c>
      <c r="D148" s="5" t="s">
        <v>637</v>
      </c>
      <c r="E148" s="26">
        <v>50</v>
      </c>
      <c r="F148" s="26">
        <v>50</v>
      </c>
      <c r="G148" s="6"/>
      <c r="H148" s="6"/>
      <c r="I148" s="6"/>
      <c r="J148" s="6"/>
      <c r="K148" s="6"/>
      <c r="L148" s="6"/>
    </row>
    <row r="149" spans="1:12" x14ac:dyDescent="0.2">
      <c r="A149" s="5" t="s">
        <v>638</v>
      </c>
      <c r="B149" s="5" t="s">
        <v>362</v>
      </c>
      <c r="C149" s="5" t="s">
        <v>360</v>
      </c>
      <c r="D149" s="5" t="s">
        <v>639</v>
      </c>
      <c r="E149" s="26">
        <v>0</v>
      </c>
      <c r="F149" s="26">
        <v>0</v>
      </c>
      <c r="G149" s="6"/>
      <c r="H149" s="6"/>
      <c r="I149" s="6"/>
      <c r="J149" s="6"/>
      <c r="K149" s="6"/>
      <c r="L149" s="6"/>
    </row>
    <row r="150" spans="1:12" x14ac:dyDescent="0.2">
      <c r="A150" s="5" t="s">
        <v>640</v>
      </c>
      <c r="B150" s="5" t="s">
        <v>362</v>
      </c>
      <c r="C150" s="5" t="s">
        <v>360</v>
      </c>
      <c r="D150" s="5" t="s">
        <v>641</v>
      </c>
      <c r="E150" s="26">
        <v>0</v>
      </c>
      <c r="F150" s="26">
        <v>0</v>
      </c>
      <c r="G150" s="6"/>
      <c r="H150" s="6"/>
      <c r="I150" s="6"/>
      <c r="J150" s="6"/>
      <c r="K150" s="6"/>
      <c r="L150" s="6"/>
    </row>
    <row r="151" spans="1:12" x14ac:dyDescent="0.2">
      <c r="A151" s="5" t="s">
        <v>642</v>
      </c>
      <c r="B151" s="5" t="s">
        <v>362</v>
      </c>
      <c r="C151" s="5" t="s">
        <v>360</v>
      </c>
      <c r="D151" s="5" t="s">
        <v>643</v>
      </c>
      <c r="E151" s="26">
        <v>0</v>
      </c>
      <c r="F151" s="26">
        <v>0</v>
      </c>
      <c r="G151" s="6"/>
      <c r="H151" s="6"/>
      <c r="I151" s="6"/>
      <c r="J151" s="6"/>
      <c r="K151" s="6"/>
      <c r="L151" s="6"/>
    </row>
    <row r="152" spans="1:12" x14ac:dyDescent="0.2">
      <c r="A152" s="5" t="s">
        <v>644</v>
      </c>
      <c r="B152" s="5" t="s">
        <v>362</v>
      </c>
      <c r="C152" s="5" t="s">
        <v>360</v>
      </c>
      <c r="D152" s="5" t="s">
        <v>645</v>
      </c>
      <c r="E152" s="26">
        <v>0</v>
      </c>
      <c r="F152" s="26">
        <v>0</v>
      </c>
      <c r="G152" s="6"/>
      <c r="H152" s="6"/>
      <c r="I152" s="6"/>
      <c r="J152" s="6"/>
      <c r="K152" s="6"/>
      <c r="L152" s="6"/>
    </row>
    <row r="153" spans="1:12" x14ac:dyDescent="0.2">
      <c r="A153" s="5" t="s">
        <v>646</v>
      </c>
      <c r="B153" s="5" t="s">
        <v>362</v>
      </c>
      <c r="C153" s="5" t="s">
        <v>360</v>
      </c>
      <c r="D153" s="5" t="s">
        <v>647</v>
      </c>
      <c r="E153" s="26">
        <v>0</v>
      </c>
      <c r="F153" s="26">
        <v>0</v>
      </c>
      <c r="G153" s="6"/>
      <c r="H153" s="6"/>
      <c r="I153" s="6"/>
      <c r="J153" s="6"/>
      <c r="K153" s="6"/>
      <c r="L153" s="6"/>
    </row>
    <row r="154" spans="1:12" x14ac:dyDescent="0.2">
      <c r="A154" s="5" t="s">
        <v>648</v>
      </c>
      <c r="B154" s="5" t="s">
        <v>362</v>
      </c>
      <c r="C154" s="5" t="s">
        <v>360</v>
      </c>
      <c r="D154" s="5" t="s">
        <v>649</v>
      </c>
      <c r="E154" s="26">
        <v>0</v>
      </c>
      <c r="F154" s="26">
        <v>0</v>
      </c>
      <c r="G154" s="6"/>
      <c r="H154" s="6"/>
      <c r="I154" s="6"/>
      <c r="J154" s="6"/>
      <c r="K154" s="6"/>
      <c r="L154" s="6"/>
    </row>
    <row r="155" spans="1:12" x14ac:dyDescent="0.2">
      <c r="A155" s="5" t="s">
        <v>650</v>
      </c>
      <c r="B155" s="5" t="s">
        <v>362</v>
      </c>
      <c r="C155" s="5" t="s">
        <v>360</v>
      </c>
      <c r="D155" s="5" t="s">
        <v>651</v>
      </c>
      <c r="E155" s="26">
        <v>0</v>
      </c>
      <c r="F155" s="26">
        <v>0</v>
      </c>
      <c r="G155" s="6"/>
      <c r="H155" s="6"/>
      <c r="I155" s="6"/>
      <c r="J155" s="6"/>
      <c r="K155" s="6"/>
      <c r="L155" s="6"/>
    </row>
    <row r="156" spans="1:12" x14ac:dyDescent="0.2">
      <c r="A156" s="5" t="s">
        <v>652</v>
      </c>
      <c r="B156" s="5" t="s">
        <v>362</v>
      </c>
      <c r="C156" s="5" t="s">
        <v>360</v>
      </c>
      <c r="D156" s="5" t="s">
        <v>653</v>
      </c>
      <c r="E156" s="26">
        <v>0</v>
      </c>
      <c r="F156" s="26">
        <v>0</v>
      </c>
      <c r="G156" s="6"/>
      <c r="H156" s="6"/>
      <c r="I156" s="6"/>
      <c r="J156" s="6"/>
      <c r="K156" s="6"/>
      <c r="L156" s="6"/>
    </row>
    <row r="157" spans="1:12" x14ac:dyDescent="0.2">
      <c r="A157" s="5" t="s">
        <v>654</v>
      </c>
      <c r="B157" s="5" t="s">
        <v>362</v>
      </c>
      <c r="C157" s="5" t="s">
        <v>360</v>
      </c>
      <c r="D157" s="5" t="s">
        <v>655</v>
      </c>
      <c r="E157" s="26">
        <v>0</v>
      </c>
      <c r="F157" s="26">
        <v>0</v>
      </c>
      <c r="G157" s="6"/>
      <c r="H157" s="6"/>
      <c r="I157" s="6"/>
      <c r="J157" s="6"/>
      <c r="K157" s="6"/>
      <c r="L157" s="6"/>
    </row>
    <row r="158" spans="1:12" x14ac:dyDescent="0.2">
      <c r="A158" s="5" t="s">
        <v>656</v>
      </c>
      <c r="B158" s="5" t="s">
        <v>362</v>
      </c>
      <c r="C158" s="5" t="s">
        <v>360</v>
      </c>
      <c r="D158" s="5" t="s">
        <v>657</v>
      </c>
      <c r="E158" s="26">
        <v>0</v>
      </c>
      <c r="F158" s="26">
        <v>0</v>
      </c>
      <c r="G158" s="6"/>
      <c r="H158" s="6"/>
      <c r="I158" s="6"/>
      <c r="J158" s="6"/>
      <c r="K158" s="6"/>
      <c r="L158" s="6"/>
    </row>
    <row r="159" spans="1:12" x14ac:dyDescent="0.2">
      <c r="A159" s="5" t="s">
        <v>658</v>
      </c>
      <c r="B159" s="5" t="s">
        <v>362</v>
      </c>
      <c r="C159" s="5" t="s">
        <v>360</v>
      </c>
      <c r="D159" s="5" t="s">
        <v>659</v>
      </c>
      <c r="E159" s="26">
        <v>0</v>
      </c>
      <c r="F159" s="26">
        <v>0</v>
      </c>
      <c r="G159" s="6"/>
      <c r="H159" s="6"/>
      <c r="I159" s="6"/>
      <c r="J159" s="6"/>
      <c r="K159" s="6"/>
      <c r="L159" s="6"/>
    </row>
    <row r="160" spans="1:12" x14ac:dyDescent="0.2">
      <c r="A160" s="5" t="s">
        <v>660</v>
      </c>
      <c r="B160" s="5" t="s">
        <v>362</v>
      </c>
      <c r="C160" s="5" t="s">
        <v>360</v>
      </c>
      <c r="D160" s="5" t="s">
        <v>661</v>
      </c>
      <c r="E160" s="26">
        <v>0</v>
      </c>
      <c r="F160" s="26">
        <v>0</v>
      </c>
      <c r="G160" s="6"/>
      <c r="H160" s="6"/>
      <c r="I160" s="6"/>
      <c r="J160" s="6"/>
      <c r="K160" s="6"/>
      <c r="L160" s="6"/>
    </row>
    <row r="161" spans="1:12" x14ac:dyDescent="0.2">
      <c r="A161" s="5" t="s">
        <v>662</v>
      </c>
      <c r="B161" s="5" t="s">
        <v>362</v>
      </c>
      <c r="C161" s="5" t="s">
        <v>360</v>
      </c>
      <c r="D161" s="5" t="s">
        <v>663</v>
      </c>
      <c r="E161" s="26">
        <v>0</v>
      </c>
      <c r="F161" s="26">
        <v>0</v>
      </c>
      <c r="G161" s="6"/>
      <c r="H161" s="6"/>
      <c r="I161" s="6"/>
      <c r="J161" s="6"/>
      <c r="K161" s="6"/>
      <c r="L161" s="6"/>
    </row>
    <row r="162" spans="1:12" x14ac:dyDescent="0.2">
      <c r="A162" s="5" t="s">
        <v>664</v>
      </c>
      <c r="B162" s="5" t="s">
        <v>362</v>
      </c>
      <c r="C162" s="5" t="s">
        <v>360</v>
      </c>
      <c r="D162" s="5" t="s">
        <v>665</v>
      </c>
      <c r="E162" s="26">
        <v>0</v>
      </c>
      <c r="F162" s="26">
        <v>0</v>
      </c>
      <c r="G162" s="6"/>
      <c r="H162" s="6"/>
      <c r="I162" s="6"/>
      <c r="J162" s="6"/>
      <c r="K162" s="6"/>
      <c r="L162" s="6"/>
    </row>
    <row r="163" spans="1:12" x14ac:dyDescent="0.2">
      <c r="A163" s="5" t="s">
        <v>666</v>
      </c>
      <c r="B163" s="5" t="s">
        <v>362</v>
      </c>
      <c r="C163" s="5" t="s">
        <v>360</v>
      </c>
      <c r="D163" s="5" t="s">
        <v>667</v>
      </c>
      <c r="E163" s="26">
        <v>0</v>
      </c>
      <c r="F163" s="26">
        <v>0</v>
      </c>
      <c r="G163" s="6"/>
      <c r="H163" s="6"/>
      <c r="I163" s="6"/>
      <c r="J163" s="6"/>
      <c r="K163" s="6"/>
      <c r="L163" s="6"/>
    </row>
    <row r="164" spans="1:12" x14ac:dyDescent="0.2">
      <c r="A164" s="5" t="s">
        <v>668</v>
      </c>
      <c r="B164" s="5" t="s">
        <v>362</v>
      </c>
      <c r="C164" s="5" t="s">
        <v>360</v>
      </c>
      <c r="D164" s="5" t="s">
        <v>669</v>
      </c>
      <c r="E164" s="26">
        <v>0</v>
      </c>
      <c r="F164" s="26">
        <v>0</v>
      </c>
      <c r="G164" s="6"/>
      <c r="H164" s="6"/>
      <c r="I164" s="6"/>
      <c r="J164" s="6"/>
      <c r="K164" s="6"/>
      <c r="L164" s="6"/>
    </row>
    <row r="165" spans="1:12" x14ac:dyDescent="0.2">
      <c r="A165" s="5" t="s">
        <v>670</v>
      </c>
      <c r="B165" s="5" t="s">
        <v>362</v>
      </c>
      <c r="C165" s="5" t="s">
        <v>360</v>
      </c>
      <c r="D165" s="5" t="s">
        <v>671</v>
      </c>
      <c r="E165" s="26">
        <v>0</v>
      </c>
      <c r="F165" s="26">
        <v>0</v>
      </c>
      <c r="G165" s="6"/>
      <c r="H165" s="6"/>
      <c r="I165" s="6"/>
      <c r="J165" s="6"/>
      <c r="K165" s="6"/>
      <c r="L165" s="6"/>
    </row>
    <row r="166" spans="1:12" x14ac:dyDescent="0.2">
      <c r="A166" s="5" t="s">
        <v>672</v>
      </c>
      <c r="B166" s="5" t="s">
        <v>362</v>
      </c>
      <c r="C166" s="5" t="s">
        <v>360</v>
      </c>
      <c r="D166" s="5" t="s">
        <v>673</v>
      </c>
      <c r="E166" s="26">
        <v>0</v>
      </c>
      <c r="F166" s="26">
        <v>0</v>
      </c>
      <c r="G166" s="6"/>
      <c r="H166" s="6"/>
      <c r="I166" s="6"/>
      <c r="J166" s="6"/>
      <c r="K166" s="6"/>
      <c r="L166" s="6"/>
    </row>
    <row r="167" spans="1:12" x14ac:dyDescent="0.2">
      <c r="A167" s="5" t="s">
        <v>674</v>
      </c>
      <c r="B167" s="5" t="s">
        <v>362</v>
      </c>
      <c r="C167" s="5" t="s">
        <v>360</v>
      </c>
      <c r="D167" s="5" t="s">
        <v>675</v>
      </c>
      <c r="E167" s="26">
        <v>0</v>
      </c>
      <c r="F167" s="26">
        <v>0</v>
      </c>
      <c r="G167" s="6"/>
      <c r="H167" s="6"/>
      <c r="I167" s="6"/>
      <c r="J167" s="6"/>
      <c r="K167" s="6"/>
      <c r="L167" s="6"/>
    </row>
    <row r="168" spans="1:12" x14ac:dyDescent="0.2">
      <c r="A168" s="5" t="s">
        <v>676</v>
      </c>
      <c r="B168" s="5" t="s">
        <v>362</v>
      </c>
      <c r="C168" s="5" t="s">
        <v>360</v>
      </c>
      <c r="D168" s="5" t="s">
        <v>677</v>
      </c>
      <c r="E168" s="26">
        <v>0</v>
      </c>
      <c r="F168" s="26">
        <v>0</v>
      </c>
      <c r="G168" s="6"/>
      <c r="H168" s="6"/>
      <c r="I168" s="6"/>
      <c r="J168" s="6"/>
      <c r="K168" s="6"/>
      <c r="L168" s="6"/>
    </row>
    <row r="169" spans="1:12" x14ac:dyDescent="0.2">
      <c r="A169" s="5" t="s">
        <v>678</v>
      </c>
      <c r="B169" s="5" t="s">
        <v>362</v>
      </c>
      <c r="C169" s="5" t="s">
        <v>360</v>
      </c>
      <c r="D169" s="5" t="s">
        <v>679</v>
      </c>
      <c r="E169" s="26">
        <v>0</v>
      </c>
      <c r="F169" s="26">
        <v>0</v>
      </c>
      <c r="G169" s="6"/>
      <c r="H169" s="6"/>
      <c r="I169" s="6"/>
      <c r="J169" s="6"/>
      <c r="K169" s="6"/>
      <c r="L169" s="6"/>
    </row>
    <row r="170" spans="1:12" x14ac:dyDescent="0.2">
      <c r="A170" s="5" t="s">
        <v>680</v>
      </c>
      <c r="B170" s="5" t="s">
        <v>362</v>
      </c>
      <c r="C170" s="5" t="s">
        <v>360</v>
      </c>
      <c r="D170" s="5" t="s">
        <v>681</v>
      </c>
      <c r="E170" s="26">
        <v>0</v>
      </c>
      <c r="F170" s="26">
        <v>0</v>
      </c>
      <c r="G170" s="6"/>
      <c r="H170" s="6"/>
      <c r="I170" s="6"/>
      <c r="J170" s="6"/>
      <c r="K170" s="6"/>
      <c r="L170" s="6"/>
    </row>
    <row r="171" spans="1:12" x14ac:dyDescent="0.2">
      <c r="A171" s="5" t="s">
        <v>682</v>
      </c>
      <c r="B171" s="5" t="s">
        <v>362</v>
      </c>
      <c r="C171" s="5" t="s">
        <v>360</v>
      </c>
      <c r="D171" s="5" t="s">
        <v>683</v>
      </c>
      <c r="E171" s="26">
        <v>0</v>
      </c>
      <c r="F171" s="26">
        <v>0</v>
      </c>
      <c r="G171" s="6"/>
      <c r="H171" s="6"/>
      <c r="I171" s="6"/>
      <c r="J171" s="6"/>
      <c r="K171" s="6"/>
      <c r="L171" s="6"/>
    </row>
    <row r="172" spans="1:12" x14ac:dyDescent="0.2">
      <c r="A172" s="5" t="s">
        <v>684</v>
      </c>
      <c r="B172" s="5" t="s">
        <v>362</v>
      </c>
      <c r="C172" s="5" t="s">
        <v>360</v>
      </c>
      <c r="D172" s="5" t="s">
        <v>685</v>
      </c>
      <c r="E172" s="26">
        <v>0</v>
      </c>
      <c r="F172" s="26">
        <v>0</v>
      </c>
      <c r="G172" s="6"/>
      <c r="H172" s="6"/>
      <c r="I172" s="6"/>
      <c r="J172" s="6"/>
      <c r="K172" s="6"/>
      <c r="L172" s="6"/>
    </row>
    <row r="173" spans="1:12" x14ac:dyDescent="0.2">
      <c r="A173" s="5" t="s">
        <v>686</v>
      </c>
      <c r="B173" s="5" t="s">
        <v>362</v>
      </c>
      <c r="C173" s="5" t="s">
        <v>360</v>
      </c>
      <c r="D173" s="5" t="s">
        <v>687</v>
      </c>
      <c r="E173" s="26">
        <v>0</v>
      </c>
      <c r="F173" s="26">
        <v>0</v>
      </c>
      <c r="G173" s="6"/>
      <c r="H173" s="6"/>
      <c r="I173" s="6"/>
      <c r="J173" s="6"/>
      <c r="K173" s="6"/>
      <c r="L173" s="6"/>
    </row>
    <row r="174" spans="1:12" x14ac:dyDescent="0.2">
      <c r="A174" s="5" t="s">
        <v>688</v>
      </c>
      <c r="B174" s="5" t="s">
        <v>362</v>
      </c>
      <c r="C174" s="5" t="s">
        <v>360</v>
      </c>
      <c r="D174" s="5" t="s">
        <v>689</v>
      </c>
      <c r="E174" s="26">
        <v>0</v>
      </c>
      <c r="F174" s="26">
        <v>0</v>
      </c>
      <c r="G174" s="6"/>
      <c r="H174" s="6"/>
      <c r="I174" s="6"/>
      <c r="J174" s="6"/>
      <c r="K174" s="6"/>
      <c r="L174" s="6"/>
    </row>
    <row r="175" spans="1:12" x14ac:dyDescent="0.2">
      <c r="A175" s="5" t="s">
        <v>690</v>
      </c>
      <c r="B175" s="5" t="s">
        <v>362</v>
      </c>
      <c r="C175" s="5" t="s">
        <v>360</v>
      </c>
      <c r="D175" s="5" t="s">
        <v>691</v>
      </c>
      <c r="E175" s="26">
        <v>0</v>
      </c>
      <c r="F175" s="26">
        <v>0</v>
      </c>
      <c r="G175" s="6"/>
      <c r="H175" s="6"/>
      <c r="I175" s="6"/>
      <c r="J175" s="6"/>
      <c r="K175" s="6"/>
      <c r="L175" s="6"/>
    </row>
    <row r="176" spans="1:12" x14ac:dyDescent="0.2">
      <c r="A176" s="5" t="s">
        <v>692</v>
      </c>
      <c r="B176" s="5" t="s">
        <v>362</v>
      </c>
      <c r="C176" s="5" t="s">
        <v>360</v>
      </c>
      <c r="D176" s="5" t="s">
        <v>693</v>
      </c>
      <c r="E176" s="26">
        <v>0</v>
      </c>
      <c r="F176" s="26">
        <v>0</v>
      </c>
      <c r="G176" s="6"/>
      <c r="H176" s="6"/>
      <c r="I176" s="6"/>
      <c r="J176" s="6"/>
      <c r="K176" s="6"/>
      <c r="L176" s="6"/>
    </row>
    <row r="177" spans="1:12" x14ac:dyDescent="0.2">
      <c r="A177" s="5" t="s">
        <v>694</v>
      </c>
      <c r="B177" s="5" t="s">
        <v>362</v>
      </c>
      <c r="C177" s="5" t="s">
        <v>360</v>
      </c>
      <c r="D177" s="5" t="s">
        <v>695</v>
      </c>
      <c r="E177" s="26">
        <v>0</v>
      </c>
      <c r="F177" s="26">
        <v>0</v>
      </c>
      <c r="G177" s="6"/>
      <c r="H177" s="6"/>
      <c r="I177" s="6"/>
      <c r="J177" s="6"/>
      <c r="K177" s="6"/>
      <c r="L177" s="6"/>
    </row>
    <row r="178" spans="1:12" x14ac:dyDescent="0.2">
      <c r="A178" s="5" t="s">
        <v>696</v>
      </c>
      <c r="B178" s="5" t="s">
        <v>362</v>
      </c>
      <c r="C178" s="5" t="s">
        <v>360</v>
      </c>
      <c r="D178" s="5" t="s">
        <v>697</v>
      </c>
      <c r="E178" s="26">
        <v>0</v>
      </c>
      <c r="F178" s="26">
        <v>0</v>
      </c>
      <c r="G178" s="6"/>
      <c r="H178" s="6"/>
      <c r="I178" s="6"/>
      <c r="J178" s="6"/>
      <c r="K178" s="6"/>
      <c r="L178" s="6"/>
    </row>
    <row r="179" spans="1:12" x14ac:dyDescent="0.2">
      <c r="A179" s="5" t="s">
        <v>698</v>
      </c>
      <c r="B179" s="5" t="s">
        <v>362</v>
      </c>
      <c r="C179" s="5" t="s">
        <v>360</v>
      </c>
      <c r="D179" s="5" t="s">
        <v>699</v>
      </c>
      <c r="E179" s="26">
        <v>0</v>
      </c>
      <c r="F179" s="26">
        <v>0</v>
      </c>
      <c r="G179" s="6"/>
      <c r="H179" s="6"/>
      <c r="I179" s="6"/>
      <c r="J179" s="6"/>
      <c r="K179" s="6"/>
      <c r="L179" s="6"/>
    </row>
    <row r="180" spans="1:12" x14ac:dyDescent="0.2">
      <c r="A180" s="5" t="s">
        <v>700</v>
      </c>
      <c r="B180" s="5" t="s">
        <v>362</v>
      </c>
      <c r="C180" s="5" t="s">
        <v>360</v>
      </c>
      <c r="D180" s="5" t="s">
        <v>701</v>
      </c>
      <c r="E180" s="26">
        <v>0</v>
      </c>
      <c r="F180" s="26">
        <v>0</v>
      </c>
      <c r="G180" s="6"/>
      <c r="H180" s="6"/>
      <c r="I180" s="6"/>
      <c r="J180" s="6"/>
      <c r="K180" s="6"/>
      <c r="L180" s="6"/>
    </row>
    <row r="181" spans="1:12" x14ac:dyDescent="0.2">
      <c r="A181" s="5" t="s">
        <v>702</v>
      </c>
      <c r="B181" s="5" t="s">
        <v>362</v>
      </c>
      <c r="C181" s="5" t="s">
        <v>360</v>
      </c>
      <c r="D181" s="5" t="s">
        <v>703</v>
      </c>
      <c r="E181" s="26">
        <v>0</v>
      </c>
      <c r="F181" s="26">
        <v>0</v>
      </c>
      <c r="G181" s="6"/>
      <c r="H181" s="6"/>
      <c r="I181" s="6"/>
      <c r="J181" s="6"/>
      <c r="K181" s="6"/>
      <c r="L181" s="6"/>
    </row>
    <row r="182" spans="1:12" x14ac:dyDescent="0.2">
      <c r="A182" s="5" t="s">
        <v>704</v>
      </c>
      <c r="B182" s="5" t="s">
        <v>362</v>
      </c>
      <c r="C182" s="5" t="s">
        <v>360</v>
      </c>
      <c r="D182" s="5" t="s">
        <v>705</v>
      </c>
      <c r="E182" s="26">
        <v>0</v>
      </c>
      <c r="F182" s="26">
        <v>0</v>
      </c>
      <c r="G182" s="6"/>
      <c r="H182" s="6"/>
      <c r="I182" s="6"/>
      <c r="J182" s="6"/>
      <c r="K182" s="6"/>
      <c r="L182" s="6"/>
    </row>
    <row r="183" spans="1:12" x14ac:dyDescent="0.2">
      <c r="A183" s="5" t="s">
        <v>706</v>
      </c>
      <c r="B183" s="5" t="s">
        <v>362</v>
      </c>
      <c r="C183" s="5" t="s">
        <v>360</v>
      </c>
      <c r="D183" s="5" t="s">
        <v>707</v>
      </c>
      <c r="E183" s="26">
        <v>0</v>
      </c>
      <c r="F183" s="26">
        <v>0</v>
      </c>
      <c r="G183" s="6"/>
      <c r="H183" s="6"/>
      <c r="I183" s="6"/>
      <c r="J183" s="6"/>
      <c r="K183" s="6"/>
      <c r="L183" s="6"/>
    </row>
    <row r="184" spans="1:12" x14ac:dyDescent="0.2">
      <c r="A184" s="5" t="s">
        <v>708</v>
      </c>
      <c r="B184" s="5" t="s">
        <v>362</v>
      </c>
      <c r="C184" s="5" t="s">
        <v>360</v>
      </c>
      <c r="D184" s="5" t="s">
        <v>709</v>
      </c>
      <c r="E184" s="26">
        <v>0</v>
      </c>
      <c r="F184" s="26">
        <v>0</v>
      </c>
      <c r="G184" s="6"/>
      <c r="H184" s="6"/>
      <c r="I184" s="6"/>
      <c r="J184" s="6"/>
      <c r="K184" s="6"/>
      <c r="L184" s="6"/>
    </row>
    <row r="185" spans="1:12" x14ac:dyDescent="0.2">
      <c r="A185" s="5" t="s">
        <v>710</v>
      </c>
      <c r="B185" s="5" t="s">
        <v>362</v>
      </c>
      <c r="C185" s="5" t="s">
        <v>360</v>
      </c>
      <c r="D185" s="5" t="s">
        <v>711</v>
      </c>
      <c r="E185" s="26">
        <v>0</v>
      </c>
      <c r="F185" s="26">
        <v>0</v>
      </c>
      <c r="G185" s="6"/>
      <c r="H185" s="6"/>
      <c r="I185" s="6"/>
      <c r="J185" s="6"/>
      <c r="K185" s="6"/>
      <c r="L185" s="6"/>
    </row>
    <row r="186" spans="1:12" x14ac:dyDescent="0.2">
      <c r="A186" s="5" t="s">
        <v>712</v>
      </c>
      <c r="B186" s="5" t="s">
        <v>362</v>
      </c>
      <c r="C186" s="5" t="s">
        <v>360</v>
      </c>
      <c r="D186" s="5" t="s">
        <v>713</v>
      </c>
      <c r="E186" s="26">
        <v>0</v>
      </c>
      <c r="F186" s="26">
        <v>0</v>
      </c>
      <c r="G186" s="6"/>
      <c r="H186" s="6"/>
      <c r="I186" s="6"/>
      <c r="J186" s="6"/>
      <c r="K186" s="6"/>
      <c r="L186" s="6"/>
    </row>
    <row r="187" spans="1:12" x14ac:dyDescent="0.2">
      <c r="A187" s="5" t="s">
        <v>714</v>
      </c>
      <c r="B187" s="5" t="s">
        <v>362</v>
      </c>
      <c r="C187" s="5" t="s">
        <v>360</v>
      </c>
      <c r="D187" s="5" t="s">
        <v>715</v>
      </c>
      <c r="E187" s="26">
        <v>0</v>
      </c>
      <c r="F187" s="26">
        <v>0</v>
      </c>
      <c r="G187" s="6"/>
      <c r="H187" s="6"/>
      <c r="I187" s="6"/>
      <c r="J187" s="6"/>
      <c r="K187" s="6"/>
      <c r="L187" s="6"/>
    </row>
    <row r="188" spans="1:12" x14ac:dyDescent="0.2">
      <c r="A188" s="5" t="s">
        <v>716</v>
      </c>
      <c r="B188" s="5" t="s">
        <v>362</v>
      </c>
      <c r="C188" s="5" t="s">
        <v>360</v>
      </c>
      <c r="D188" s="5" t="s">
        <v>717</v>
      </c>
      <c r="E188" s="26">
        <v>0</v>
      </c>
      <c r="F188" s="26">
        <v>0</v>
      </c>
      <c r="G188" s="6"/>
      <c r="H188" s="6"/>
      <c r="I188" s="6"/>
      <c r="J188" s="6"/>
      <c r="K188" s="6"/>
      <c r="L188" s="6"/>
    </row>
    <row r="189" spans="1:12" x14ac:dyDescent="0.2">
      <c r="A189" s="5" t="s">
        <v>718</v>
      </c>
      <c r="B189" s="5" t="s">
        <v>362</v>
      </c>
      <c r="C189" s="5" t="s">
        <v>360</v>
      </c>
      <c r="D189" s="5" t="s">
        <v>719</v>
      </c>
      <c r="E189" s="26">
        <v>0</v>
      </c>
      <c r="F189" s="26">
        <v>0</v>
      </c>
      <c r="G189" s="6"/>
      <c r="H189" s="6"/>
      <c r="I189" s="6"/>
      <c r="J189" s="6"/>
      <c r="K189" s="6"/>
      <c r="L189" s="6"/>
    </row>
    <row r="190" spans="1:12" x14ac:dyDescent="0.2">
      <c r="A190" s="5" t="s">
        <v>720</v>
      </c>
      <c r="B190" s="5" t="s">
        <v>362</v>
      </c>
      <c r="C190" s="5" t="s">
        <v>360</v>
      </c>
      <c r="D190" s="5" t="s">
        <v>721</v>
      </c>
      <c r="E190" s="26">
        <v>0</v>
      </c>
      <c r="F190" s="26">
        <v>0</v>
      </c>
      <c r="G190" s="6"/>
      <c r="H190" s="6"/>
      <c r="I190" s="6"/>
      <c r="J190" s="6"/>
      <c r="K190" s="6"/>
      <c r="L190" s="6"/>
    </row>
    <row r="191" spans="1:12" x14ac:dyDescent="0.2">
      <c r="A191" s="5" t="s">
        <v>722</v>
      </c>
      <c r="B191" s="5" t="s">
        <v>362</v>
      </c>
      <c r="C191" s="5" t="s">
        <v>360</v>
      </c>
      <c r="D191" s="5" t="s">
        <v>723</v>
      </c>
      <c r="E191" s="26">
        <v>0</v>
      </c>
      <c r="F191" s="26">
        <v>0</v>
      </c>
      <c r="G191" s="6"/>
      <c r="H191" s="6"/>
      <c r="I191" s="6"/>
      <c r="J191" s="6"/>
      <c r="K191" s="6"/>
      <c r="L191" s="6"/>
    </row>
    <row r="192" spans="1:12" x14ac:dyDescent="0.2">
      <c r="A192" s="5" t="s">
        <v>724</v>
      </c>
      <c r="B192" s="5" t="s">
        <v>362</v>
      </c>
      <c r="C192" s="5" t="s">
        <v>360</v>
      </c>
      <c r="D192" s="5" t="s">
        <v>725</v>
      </c>
      <c r="E192" s="26">
        <v>0</v>
      </c>
      <c r="F192" s="26">
        <v>0</v>
      </c>
      <c r="G192" s="6"/>
      <c r="H192" s="6"/>
      <c r="I192" s="6"/>
      <c r="J192" s="6"/>
      <c r="K192" s="6"/>
      <c r="L192" s="6"/>
    </row>
    <row r="193" spans="1:12" x14ac:dyDescent="0.2">
      <c r="A193" s="5" t="s">
        <v>726</v>
      </c>
      <c r="B193" s="5" t="s">
        <v>362</v>
      </c>
      <c r="C193" s="5" t="s">
        <v>360</v>
      </c>
      <c r="D193" s="5" t="s">
        <v>727</v>
      </c>
      <c r="E193" s="26">
        <v>0</v>
      </c>
      <c r="F193" s="26">
        <v>0</v>
      </c>
      <c r="G193" s="6"/>
      <c r="H193" s="6"/>
      <c r="I193" s="6"/>
      <c r="J193" s="6"/>
      <c r="K193" s="6"/>
      <c r="L193" s="6"/>
    </row>
    <row r="194" spans="1:12" x14ac:dyDescent="0.2">
      <c r="A194" s="5" t="s">
        <v>728</v>
      </c>
      <c r="B194" s="5" t="s">
        <v>362</v>
      </c>
      <c r="C194" s="5" t="s">
        <v>360</v>
      </c>
      <c r="D194" s="5" t="s">
        <v>729</v>
      </c>
      <c r="E194" s="26">
        <v>0</v>
      </c>
      <c r="F194" s="26">
        <v>0</v>
      </c>
      <c r="G194" s="6"/>
      <c r="H194" s="6"/>
      <c r="I194" s="6"/>
      <c r="J194" s="6"/>
      <c r="K194" s="6"/>
      <c r="L194" s="6"/>
    </row>
    <row r="195" spans="1:12" x14ac:dyDescent="0.2">
      <c r="A195" s="5" t="s">
        <v>730</v>
      </c>
      <c r="B195" s="5" t="s">
        <v>362</v>
      </c>
      <c r="C195" s="5" t="s">
        <v>360</v>
      </c>
      <c r="D195" s="5" t="s">
        <v>731</v>
      </c>
      <c r="E195" s="26">
        <v>0</v>
      </c>
      <c r="F195" s="26">
        <v>0</v>
      </c>
      <c r="G195" s="6"/>
      <c r="H195" s="6"/>
      <c r="I195" s="6"/>
      <c r="J195" s="6"/>
      <c r="K195" s="6"/>
      <c r="L195" s="6"/>
    </row>
    <row r="196" spans="1:12" x14ac:dyDescent="0.2">
      <c r="A196" s="5" t="s">
        <v>732</v>
      </c>
      <c r="B196" s="5" t="s">
        <v>362</v>
      </c>
      <c r="C196" s="5" t="s">
        <v>360</v>
      </c>
      <c r="D196" s="5" t="s">
        <v>733</v>
      </c>
      <c r="E196" s="26">
        <v>0</v>
      </c>
      <c r="F196" s="26">
        <v>0</v>
      </c>
      <c r="G196" s="6"/>
      <c r="H196" s="6"/>
      <c r="I196" s="6"/>
      <c r="J196" s="6"/>
      <c r="K196" s="6"/>
      <c r="L196" s="6"/>
    </row>
    <row r="197" spans="1:12" x14ac:dyDescent="0.2">
      <c r="A197" s="5" t="s">
        <v>734</v>
      </c>
      <c r="B197" s="5" t="s">
        <v>362</v>
      </c>
      <c r="C197" s="5" t="s">
        <v>360</v>
      </c>
      <c r="D197" s="5" t="s">
        <v>735</v>
      </c>
      <c r="E197" s="26">
        <v>0</v>
      </c>
      <c r="F197" s="26">
        <v>0</v>
      </c>
      <c r="G197" s="6"/>
      <c r="H197" s="6"/>
      <c r="I197" s="6"/>
      <c r="J197" s="6"/>
      <c r="K197" s="6"/>
      <c r="L197" s="6"/>
    </row>
    <row r="198" spans="1:12" x14ac:dyDescent="0.2">
      <c r="A198" s="5" t="s">
        <v>736</v>
      </c>
      <c r="B198" s="5" t="s">
        <v>362</v>
      </c>
      <c r="C198" s="5" t="s">
        <v>360</v>
      </c>
      <c r="D198" s="5" t="s">
        <v>737</v>
      </c>
      <c r="E198" s="26">
        <v>0</v>
      </c>
      <c r="F198" s="26">
        <v>0</v>
      </c>
      <c r="G198" s="6"/>
      <c r="H198" s="6"/>
      <c r="I198" s="6"/>
      <c r="J198" s="6"/>
      <c r="K198" s="6"/>
      <c r="L198" s="6"/>
    </row>
    <row r="199" spans="1:12" x14ac:dyDescent="0.2">
      <c r="A199" s="5" t="s">
        <v>738</v>
      </c>
      <c r="B199" s="5" t="s">
        <v>362</v>
      </c>
      <c r="C199" s="5" t="s">
        <v>360</v>
      </c>
      <c r="D199" s="5" t="s">
        <v>739</v>
      </c>
      <c r="E199" s="26">
        <v>0</v>
      </c>
      <c r="F199" s="26">
        <v>0</v>
      </c>
      <c r="G199" s="6"/>
      <c r="H199" s="6"/>
      <c r="I199" s="6"/>
      <c r="J199" s="6"/>
      <c r="K199" s="6"/>
      <c r="L199" s="6"/>
    </row>
    <row r="200" spans="1:12" x14ac:dyDescent="0.2">
      <c r="A200" s="5" t="s">
        <v>740</v>
      </c>
      <c r="B200" s="5" t="s">
        <v>362</v>
      </c>
      <c r="C200" s="5" t="s">
        <v>360</v>
      </c>
      <c r="D200" s="5" t="s">
        <v>741</v>
      </c>
      <c r="E200" s="26">
        <v>0</v>
      </c>
      <c r="F200" s="26">
        <v>0</v>
      </c>
      <c r="G200" s="6"/>
      <c r="H200" s="6"/>
      <c r="I200" s="6"/>
      <c r="J200" s="6"/>
      <c r="K200" s="6"/>
      <c r="L200" s="6"/>
    </row>
    <row r="201" spans="1:12" x14ac:dyDescent="0.2">
      <c r="A201" s="5" t="s">
        <v>742</v>
      </c>
      <c r="B201" s="5" t="s">
        <v>362</v>
      </c>
      <c r="C201" s="5" t="s">
        <v>360</v>
      </c>
      <c r="D201" s="5" t="s">
        <v>743</v>
      </c>
      <c r="E201" s="26">
        <v>0</v>
      </c>
      <c r="F201" s="26">
        <v>0</v>
      </c>
      <c r="G201" s="6"/>
      <c r="H201" s="6"/>
      <c r="I201" s="6"/>
      <c r="J201" s="6"/>
      <c r="K201" s="6"/>
      <c r="L201" s="6"/>
    </row>
    <row r="202" spans="1:12" x14ac:dyDescent="0.2">
      <c r="A202" s="5" t="s">
        <v>744</v>
      </c>
      <c r="B202" s="5" t="s">
        <v>362</v>
      </c>
      <c r="C202" s="5" t="s">
        <v>360</v>
      </c>
      <c r="D202" s="5" t="s">
        <v>745</v>
      </c>
      <c r="E202" s="26">
        <v>0</v>
      </c>
      <c r="F202" s="26">
        <v>0</v>
      </c>
      <c r="G202" s="6"/>
      <c r="H202" s="6"/>
      <c r="I202" s="6"/>
      <c r="J202" s="6"/>
      <c r="K202" s="6"/>
      <c r="L202" s="6"/>
    </row>
    <row r="203" spans="1:12" x14ac:dyDescent="0.2">
      <c r="A203" s="5" t="s">
        <v>746</v>
      </c>
      <c r="B203" s="5" t="s">
        <v>362</v>
      </c>
      <c r="C203" s="5" t="s">
        <v>360</v>
      </c>
      <c r="D203" s="5" t="s">
        <v>747</v>
      </c>
      <c r="E203" s="26">
        <v>3000</v>
      </c>
      <c r="F203" s="26">
        <v>2000</v>
      </c>
      <c r="G203" s="6"/>
      <c r="H203" s="6"/>
      <c r="I203" s="6"/>
      <c r="J203" s="6"/>
      <c r="K203" s="6"/>
      <c r="L203" s="6"/>
    </row>
    <row r="204" spans="1:12" x14ac:dyDescent="0.2">
      <c r="A204" s="5" t="s">
        <v>748</v>
      </c>
      <c r="B204" s="5" t="s">
        <v>362</v>
      </c>
      <c r="C204" s="5" t="s">
        <v>360</v>
      </c>
      <c r="D204" s="5" t="s">
        <v>749</v>
      </c>
      <c r="E204" s="26">
        <v>1000</v>
      </c>
      <c r="F204" s="26">
        <v>0</v>
      </c>
      <c r="G204" s="6"/>
      <c r="H204" s="6"/>
      <c r="I204" s="6"/>
      <c r="J204" s="6"/>
      <c r="K204" s="6"/>
      <c r="L204" s="6"/>
    </row>
    <row r="205" spans="1:12" x14ac:dyDescent="0.2">
      <c r="A205" s="5" t="s">
        <v>750</v>
      </c>
      <c r="B205" s="5" t="s">
        <v>362</v>
      </c>
      <c r="C205" s="5" t="s">
        <v>360</v>
      </c>
      <c r="D205" s="5" t="s">
        <v>751</v>
      </c>
      <c r="E205" s="26">
        <v>2000</v>
      </c>
      <c r="F205" s="26">
        <v>2000</v>
      </c>
      <c r="G205" s="6"/>
      <c r="H205" s="6"/>
      <c r="I205" s="6"/>
      <c r="J205" s="6"/>
      <c r="K205" s="6"/>
      <c r="L205" s="6"/>
    </row>
    <row r="206" spans="1:12" x14ac:dyDescent="0.2">
      <c r="A206" s="5" t="s">
        <v>752</v>
      </c>
      <c r="B206" s="5" t="s">
        <v>362</v>
      </c>
      <c r="C206" s="5" t="s">
        <v>360</v>
      </c>
      <c r="D206" s="5" t="s">
        <v>753</v>
      </c>
      <c r="E206" s="26">
        <v>0</v>
      </c>
      <c r="F206" s="26">
        <v>0</v>
      </c>
      <c r="G206" s="6"/>
      <c r="H206" s="6"/>
      <c r="I206" s="6"/>
      <c r="J206" s="6"/>
      <c r="K206" s="6"/>
      <c r="L206" s="6"/>
    </row>
    <row r="207" spans="1:12" x14ac:dyDescent="0.2">
      <c r="A207" s="5" t="s">
        <v>754</v>
      </c>
      <c r="B207" s="5" t="s">
        <v>362</v>
      </c>
      <c r="C207" s="5" t="s">
        <v>360</v>
      </c>
      <c r="D207" s="5" t="s">
        <v>755</v>
      </c>
      <c r="E207" s="26">
        <v>0</v>
      </c>
      <c r="F207" s="26">
        <v>0</v>
      </c>
      <c r="G207" s="6"/>
      <c r="H207" s="6"/>
      <c r="I207" s="6"/>
      <c r="J207" s="6"/>
      <c r="K207" s="6"/>
      <c r="L207" s="6"/>
    </row>
    <row r="208" spans="1:12" x14ac:dyDescent="0.2">
      <c r="A208" s="5" t="s">
        <v>756</v>
      </c>
      <c r="B208" s="5" t="s">
        <v>362</v>
      </c>
      <c r="C208" s="5" t="s">
        <v>352</v>
      </c>
      <c r="D208" s="5" t="s">
        <v>757</v>
      </c>
      <c r="E208" s="26">
        <v>2000</v>
      </c>
      <c r="F208" s="26">
        <v>2000</v>
      </c>
      <c r="G208" s="6"/>
      <c r="H208" s="6"/>
      <c r="I208" s="6"/>
      <c r="J208" s="6"/>
      <c r="K208" s="6"/>
      <c r="L208" s="6"/>
    </row>
    <row r="209" spans="1:12" x14ac:dyDescent="0.2">
      <c r="A209" s="5" t="s">
        <v>758</v>
      </c>
      <c r="B209" s="5" t="s">
        <v>362</v>
      </c>
      <c r="C209" s="5" t="s">
        <v>360</v>
      </c>
      <c r="D209" s="5" t="s">
        <v>759</v>
      </c>
      <c r="E209" s="26">
        <v>1000</v>
      </c>
      <c r="F209" s="26">
        <v>0</v>
      </c>
      <c r="G209" s="6"/>
      <c r="H209" s="6"/>
      <c r="I209" s="6"/>
      <c r="J209" s="6"/>
      <c r="K209" s="6"/>
      <c r="L209" s="6"/>
    </row>
    <row r="210" spans="1:12" x14ac:dyDescent="0.2">
      <c r="A210" s="5" t="s">
        <v>760</v>
      </c>
      <c r="B210" s="5" t="s">
        <v>362</v>
      </c>
      <c r="C210" s="5" t="s">
        <v>360</v>
      </c>
      <c r="D210" s="5" t="s">
        <v>761</v>
      </c>
      <c r="E210" s="26">
        <v>0</v>
      </c>
      <c r="F210" s="26">
        <v>0</v>
      </c>
      <c r="G210" s="6"/>
      <c r="H210" s="6"/>
      <c r="I210" s="6"/>
      <c r="J210" s="6"/>
      <c r="K210" s="6"/>
      <c r="L210" s="6"/>
    </row>
    <row r="211" spans="1:12" x14ac:dyDescent="0.2">
      <c r="A211" s="5" t="s">
        <v>762</v>
      </c>
      <c r="B211" s="5" t="s">
        <v>362</v>
      </c>
      <c r="C211" s="5" t="s">
        <v>360</v>
      </c>
      <c r="D211" s="5" t="s">
        <v>763</v>
      </c>
      <c r="E211" s="26">
        <v>0</v>
      </c>
      <c r="F211" s="26">
        <v>0</v>
      </c>
      <c r="G211" s="6"/>
      <c r="H211" s="6"/>
      <c r="I211" s="6"/>
      <c r="J211" s="6"/>
      <c r="K211" s="6"/>
      <c r="L211" s="6"/>
    </row>
    <row r="212" spans="1:12" x14ac:dyDescent="0.2">
      <c r="A212" s="5" t="s">
        <v>764</v>
      </c>
      <c r="B212" s="5" t="s">
        <v>362</v>
      </c>
      <c r="C212" s="5" t="s">
        <v>360</v>
      </c>
      <c r="D212" s="5" t="s">
        <v>765</v>
      </c>
      <c r="E212" s="26">
        <v>0</v>
      </c>
      <c r="F212" s="26">
        <v>0</v>
      </c>
      <c r="G212" s="6"/>
      <c r="H212" s="6"/>
      <c r="I212" s="6"/>
      <c r="J212" s="6"/>
      <c r="K212" s="6"/>
      <c r="L212" s="6"/>
    </row>
    <row r="213" spans="1:12" x14ac:dyDescent="0.2">
      <c r="A213" s="5" t="s">
        <v>766</v>
      </c>
      <c r="B213" s="5" t="s">
        <v>362</v>
      </c>
      <c r="C213" s="5" t="s">
        <v>360</v>
      </c>
      <c r="D213" s="5" t="s">
        <v>767</v>
      </c>
      <c r="E213" s="26">
        <v>0</v>
      </c>
      <c r="F213" s="26">
        <v>0</v>
      </c>
      <c r="G213" s="6"/>
      <c r="H213" s="6"/>
      <c r="I213" s="6"/>
      <c r="J213" s="6"/>
      <c r="K213" s="6"/>
      <c r="L213" s="6"/>
    </row>
    <row r="214" spans="1:12" x14ac:dyDescent="0.2">
      <c r="A214" s="5" t="s">
        <v>768</v>
      </c>
      <c r="B214" s="5" t="s">
        <v>362</v>
      </c>
      <c r="C214" s="5" t="s">
        <v>360</v>
      </c>
      <c r="D214" s="5" t="s">
        <v>769</v>
      </c>
      <c r="E214" s="26">
        <v>0</v>
      </c>
      <c r="F214" s="26">
        <v>0</v>
      </c>
      <c r="G214" s="6"/>
      <c r="H214" s="6"/>
      <c r="I214" s="6"/>
      <c r="J214" s="6"/>
      <c r="K214" s="6"/>
      <c r="L214" s="6"/>
    </row>
    <row r="215" spans="1:12" x14ac:dyDescent="0.2">
      <c r="A215" s="5" t="s">
        <v>770</v>
      </c>
      <c r="B215" s="5" t="s">
        <v>362</v>
      </c>
      <c r="C215" s="5" t="s">
        <v>360</v>
      </c>
      <c r="D215" s="5" t="s">
        <v>771</v>
      </c>
      <c r="E215" s="26">
        <v>0</v>
      </c>
      <c r="F215" s="26">
        <v>0</v>
      </c>
      <c r="G215" s="6"/>
      <c r="H215" s="6"/>
      <c r="I215" s="6"/>
      <c r="J215" s="6"/>
      <c r="K215" s="6"/>
      <c r="L215" s="6"/>
    </row>
    <row r="216" spans="1:12" x14ac:dyDescent="0.2">
      <c r="A216" s="5" t="s">
        <v>772</v>
      </c>
      <c r="B216" s="5" t="s">
        <v>362</v>
      </c>
      <c r="C216" s="5" t="s">
        <v>360</v>
      </c>
      <c r="D216" s="5" t="s">
        <v>773</v>
      </c>
      <c r="E216" s="26">
        <v>0</v>
      </c>
      <c r="F216" s="26">
        <v>0</v>
      </c>
      <c r="G216" s="6"/>
      <c r="H216" s="6"/>
      <c r="I216" s="6"/>
      <c r="J216" s="6"/>
      <c r="K216" s="6"/>
      <c r="L216" s="6"/>
    </row>
    <row r="217" spans="1:12" x14ac:dyDescent="0.2">
      <c r="A217" s="5" t="s">
        <v>774</v>
      </c>
      <c r="B217" s="5" t="s">
        <v>362</v>
      </c>
      <c r="C217" s="5" t="s">
        <v>360</v>
      </c>
      <c r="D217" s="5" t="s">
        <v>775</v>
      </c>
      <c r="E217" s="26">
        <v>0</v>
      </c>
      <c r="F217" s="26">
        <v>0</v>
      </c>
      <c r="G217" s="6"/>
      <c r="H217" s="6"/>
      <c r="I217" s="6"/>
      <c r="J217" s="6"/>
      <c r="K217" s="6"/>
      <c r="L217" s="6"/>
    </row>
    <row r="218" spans="1:12" x14ac:dyDescent="0.2">
      <c r="A218" s="5" t="s">
        <v>776</v>
      </c>
      <c r="B218" s="5" t="s">
        <v>362</v>
      </c>
      <c r="C218" s="5" t="s">
        <v>360</v>
      </c>
      <c r="D218" s="5" t="s">
        <v>777</v>
      </c>
      <c r="E218" s="26">
        <v>0</v>
      </c>
      <c r="F218" s="26">
        <v>0</v>
      </c>
      <c r="G218" s="6"/>
      <c r="H218" s="6"/>
      <c r="I218" s="6"/>
      <c r="J218" s="6"/>
      <c r="K218" s="6"/>
      <c r="L218" s="6"/>
    </row>
    <row r="219" spans="1:12" x14ac:dyDescent="0.2">
      <c r="A219" s="5" t="s">
        <v>778</v>
      </c>
      <c r="B219" s="5" t="s">
        <v>362</v>
      </c>
      <c r="C219" s="5" t="s">
        <v>360</v>
      </c>
      <c r="D219" s="5" t="s">
        <v>779</v>
      </c>
      <c r="E219" s="26">
        <v>0</v>
      </c>
      <c r="F219" s="26">
        <v>0</v>
      </c>
      <c r="G219" s="6"/>
      <c r="H219" s="6"/>
      <c r="I219" s="6"/>
      <c r="J219" s="6"/>
      <c r="K219" s="6"/>
      <c r="L219" s="6"/>
    </row>
    <row r="220" spans="1:12" x14ac:dyDescent="0.2">
      <c r="A220" s="5" t="s">
        <v>780</v>
      </c>
      <c r="B220" s="5" t="s">
        <v>362</v>
      </c>
      <c r="C220" s="5" t="s">
        <v>360</v>
      </c>
      <c r="D220" s="5" t="s">
        <v>781</v>
      </c>
      <c r="E220" s="26">
        <v>0</v>
      </c>
      <c r="F220" s="26">
        <v>0</v>
      </c>
      <c r="G220" s="6"/>
      <c r="H220" s="6"/>
      <c r="I220" s="6"/>
      <c r="J220" s="6"/>
      <c r="K220" s="6"/>
      <c r="L220" s="6"/>
    </row>
    <row r="221" spans="1:12" x14ac:dyDescent="0.2">
      <c r="A221" s="5" t="s">
        <v>782</v>
      </c>
      <c r="B221" s="5" t="s">
        <v>362</v>
      </c>
      <c r="C221" s="5" t="s">
        <v>360</v>
      </c>
      <c r="D221" s="5" t="s">
        <v>783</v>
      </c>
      <c r="E221" s="26">
        <v>0</v>
      </c>
      <c r="F221" s="26">
        <v>0</v>
      </c>
      <c r="G221" s="6"/>
      <c r="H221" s="6"/>
      <c r="I221" s="6"/>
      <c r="J221" s="6"/>
      <c r="K221" s="6"/>
      <c r="L221" s="6"/>
    </row>
    <row r="222" spans="1:12" x14ac:dyDescent="0.2">
      <c r="A222" s="5" t="s">
        <v>784</v>
      </c>
      <c r="B222" s="5" t="s">
        <v>362</v>
      </c>
      <c r="C222" s="5" t="s">
        <v>360</v>
      </c>
      <c r="D222" s="5" t="s">
        <v>785</v>
      </c>
      <c r="E222" s="26">
        <v>0</v>
      </c>
      <c r="F222" s="26">
        <v>0</v>
      </c>
      <c r="G222" s="6"/>
      <c r="H222" s="6"/>
      <c r="I222" s="6"/>
      <c r="J222" s="6"/>
      <c r="K222" s="6"/>
      <c r="L222" s="6"/>
    </row>
    <row r="223" spans="1:12" x14ac:dyDescent="0.2">
      <c r="A223" s="5" t="s">
        <v>786</v>
      </c>
      <c r="B223" s="5" t="s">
        <v>362</v>
      </c>
      <c r="C223" s="5" t="s">
        <v>360</v>
      </c>
      <c r="D223" s="5" t="s">
        <v>787</v>
      </c>
      <c r="E223" s="26">
        <v>0</v>
      </c>
      <c r="F223" s="26">
        <v>0</v>
      </c>
      <c r="G223" s="6"/>
      <c r="H223" s="6"/>
      <c r="I223" s="6"/>
      <c r="J223" s="6"/>
      <c r="K223" s="6"/>
      <c r="L223" s="6"/>
    </row>
    <row r="224" spans="1:12" x14ac:dyDescent="0.2">
      <c r="A224" s="5" t="s">
        <v>788</v>
      </c>
      <c r="B224" s="5" t="s">
        <v>362</v>
      </c>
      <c r="C224" s="5" t="s">
        <v>360</v>
      </c>
      <c r="D224" s="5" t="s">
        <v>789</v>
      </c>
      <c r="E224" s="26">
        <v>0</v>
      </c>
      <c r="F224" s="26">
        <v>0</v>
      </c>
      <c r="G224" s="6"/>
      <c r="H224" s="6"/>
      <c r="I224" s="6"/>
      <c r="J224" s="6"/>
      <c r="K224" s="6"/>
      <c r="L224" s="6"/>
    </row>
    <row r="225" spans="1:12" x14ac:dyDescent="0.2">
      <c r="A225" s="5" t="s">
        <v>790</v>
      </c>
      <c r="B225" s="5" t="s">
        <v>362</v>
      </c>
      <c r="C225" s="5" t="s">
        <v>360</v>
      </c>
      <c r="D225" s="5" t="s">
        <v>791</v>
      </c>
      <c r="E225" s="26">
        <v>0</v>
      </c>
      <c r="F225" s="26">
        <v>0</v>
      </c>
      <c r="G225" s="6"/>
      <c r="H225" s="6"/>
      <c r="I225" s="6"/>
      <c r="J225" s="6"/>
      <c r="K225" s="6"/>
      <c r="L225" s="6"/>
    </row>
    <row r="226" spans="1:12" x14ac:dyDescent="0.2">
      <c r="A226" s="5" t="s">
        <v>792</v>
      </c>
      <c r="B226" s="5" t="s">
        <v>362</v>
      </c>
      <c r="C226" s="5" t="s">
        <v>360</v>
      </c>
      <c r="D226" s="5" t="s">
        <v>793</v>
      </c>
      <c r="E226" s="26">
        <v>0</v>
      </c>
      <c r="F226" s="26">
        <v>0</v>
      </c>
      <c r="G226" s="6"/>
      <c r="H226" s="6"/>
      <c r="I226" s="6"/>
      <c r="J226" s="6"/>
      <c r="K226" s="6"/>
      <c r="L226" s="6"/>
    </row>
    <row r="227" spans="1:12" x14ac:dyDescent="0.2">
      <c r="A227" s="5" t="s">
        <v>794</v>
      </c>
      <c r="B227" s="5" t="s">
        <v>362</v>
      </c>
      <c r="C227" s="5" t="s">
        <v>360</v>
      </c>
      <c r="D227" s="5" t="s">
        <v>795</v>
      </c>
      <c r="E227" s="26">
        <v>0</v>
      </c>
      <c r="F227" s="26">
        <v>0</v>
      </c>
      <c r="G227" s="6"/>
      <c r="H227" s="6"/>
      <c r="I227" s="6"/>
      <c r="J227" s="6"/>
      <c r="K227" s="6"/>
      <c r="L227" s="6"/>
    </row>
    <row r="228" spans="1:12" x14ac:dyDescent="0.2">
      <c r="A228" s="5" t="s">
        <v>796</v>
      </c>
      <c r="B228" s="5" t="s">
        <v>362</v>
      </c>
      <c r="C228" s="5" t="s">
        <v>360</v>
      </c>
      <c r="D228" s="5" t="s">
        <v>797</v>
      </c>
      <c r="E228" s="26">
        <v>0</v>
      </c>
      <c r="F228" s="26">
        <v>0</v>
      </c>
      <c r="G228" s="6"/>
      <c r="H228" s="6"/>
      <c r="I228" s="6"/>
      <c r="J228" s="6"/>
      <c r="K228" s="6"/>
      <c r="L228" s="6"/>
    </row>
    <row r="229" spans="1:12" x14ac:dyDescent="0.2">
      <c r="A229" s="5" t="s">
        <v>798</v>
      </c>
      <c r="B229" s="5" t="s">
        <v>362</v>
      </c>
      <c r="C229" s="5" t="s">
        <v>360</v>
      </c>
      <c r="D229" s="5" t="s">
        <v>799</v>
      </c>
      <c r="E229" s="26">
        <v>0</v>
      </c>
      <c r="F229" s="26">
        <v>0</v>
      </c>
      <c r="G229" s="6"/>
      <c r="H229" s="6"/>
      <c r="I229" s="6"/>
      <c r="J229" s="6"/>
      <c r="K229" s="6"/>
      <c r="L229" s="6"/>
    </row>
    <row r="230" spans="1:12" x14ac:dyDescent="0.2">
      <c r="A230" s="5" t="s">
        <v>800</v>
      </c>
      <c r="B230" s="5" t="s">
        <v>362</v>
      </c>
      <c r="C230" s="5" t="s">
        <v>360</v>
      </c>
      <c r="D230" s="5" t="s">
        <v>801</v>
      </c>
      <c r="E230" s="26">
        <v>2000</v>
      </c>
      <c r="F230" s="26">
        <v>2000</v>
      </c>
      <c r="G230" s="6"/>
      <c r="H230" s="6"/>
      <c r="I230" s="6"/>
      <c r="J230" s="6"/>
      <c r="K230" s="6"/>
      <c r="L230" s="6"/>
    </row>
    <row r="231" spans="1:12" x14ac:dyDescent="0.2">
      <c r="A231" s="5" t="s">
        <v>802</v>
      </c>
      <c r="B231" s="5" t="s">
        <v>350</v>
      </c>
      <c r="C231" s="5" t="s">
        <v>360</v>
      </c>
      <c r="D231" s="5" t="s">
        <v>803</v>
      </c>
      <c r="E231" s="26">
        <v>0</v>
      </c>
      <c r="F231" s="26">
        <v>0</v>
      </c>
      <c r="G231" s="6"/>
      <c r="H231" s="6"/>
      <c r="I231" s="6"/>
      <c r="J231" s="6"/>
      <c r="K231" s="6"/>
      <c r="L231" s="6"/>
    </row>
    <row r="232" spans="1:12" x14ac:dyDescent="0.2">
      <c r="A232" s="5" t="s">
        <v>804</v>
      </c>
      <c r="B232" s="5" t="s">
        <v>362</v>
      </c>
      <c r="C232" s="5" t="s">
        <v>360</v>
      </c>
      <c r="D232" s="5" t="s">
        <v>805</v>
      </c>
      <c r="E232" s="26">
        <v>0</v>
      </c>
      <c r="F232" s="26">
        <v>0</v>
      </c>
      <c r="G232" s="6"/>
      <c r="H232" s="6"/>
      <c r="I232" s="6"/>
      <c r="J232" s="6"/>
      <c r="K232" s="6"/>
      <c r="L232" s="6"/>
    </row>
    <row r="233" spans="1:12" x14ac:dyDescent="0.2">
      <c r="A233" s="5" t="s">
        <v>806</v>
      </c>
      <c r="B233" s="5" t="s">
        <v>362</v>
      </c>
      <c r="C233" s="5" t="s">
        <v>360</v>
      </c>
      <c r="D233" s="5" t="s">
        <v>807</v>
      </c>
      <c r="E233" s="26">
        <v>0</v>
      </c>
      <c r="F233" s="26">
        <v>0</v>
      </c>
      <c r="G233" s="6"/>
      <c r="H233" s="6"/>
      <c r="I233" s="6"/>
      <c r="J233" s="6"/>
      <c r="K233" s="6"/>
      <c r="L233" s="6"/>
    </row>
    <row r="234" spans="1:12" x14ac:dyDescent="0.2">
      <c r="A234" s="5" t="s">
        <v>808</v>
      </c>
      <c r="B234" s="5" t="s">
        <v>362</v>
      </c>
      <c r="C234" s="5" t="s">
        <v>360</v>
      </c>
      <c r="D234" s="5" t="s">
        <v>809</v>
      </c>
      <c r="E234" s="26">
        <v>0</v>
      </c>
      <c r="F234" s="26">
        <v>0</v>
      </c>
      <c r="G234" s="6"/>
      <c r="H234" s="6"/>
      <c r="I234" s="6"/>
      <c r="J234" s="6"/>
      <c r="K234" s="6"/>
      <c r="L234" s="6"/>
    </row>
    <row r="235" spans="1:12" x14ac:dyDescent="0.2">
      <c r="A235" s="5" t="s">
        <v>810</v>
      </c>
      <c r="B235" s="5" t="s">
        <v>362</v>
      </c>
      <c r="C235" s="5" t="s">
        <v>360</v>
      </c>
      <c r="D235" s="5" t="s">
        <v>811</v>
      </c>
      <c r="E235" s="26">
        <v>0</v>
      </c>
      <c r="F235" s="26">
        <v>0</v>
      </c>
      <c r="G235" s="6"/>
      <c r="H235" s="6"/>
      <c r="I235" s="6"/>
      <c r="J235" s="6"/>
      <c r="K235" s="6"/>
      <c r="L235" s="6"/>
    </row>
    <row r="236" spans="1:12" x14ac:dyDescent="0.2">
      <c r="A236" s="5" t="s">
        <v>812</v>
      </c>
      <c r="B236" s="5" t="s">
        <v>362</v>
      </c>
      <c r="C236" s="5" t="s">
        <v>360</v>
      </c>
      <c r="D236" s="5" t="s">
        <v>813</v>
      </c>
      <c r="E236" s="26">
        <v>0</v>
      </c>
      <c r="F236" s="26">
        <v>0</v>
      </c>
      <c r="G236" s="6"/>
      <c r="H236" s="6"/>
      <c r="I236" s="6"/>
      <c r="J236" s="6"/>
      <c r="K236" s="6"/>
      <c r="L236" s="6"/>
    </row>
    <row r="237" spans="1:12" x14ac:dyDescent="0.2">
      <c r="A237" s="5" t="s">
        <v>814</v>
      </c>
      <c r="B237" s="5" t="s">
        <v>362</v>
      </c>
      <c r="C237" s="5" t="s">
        <v>360</v>
      </c>
      <c r="D237" s="5" t="s">
        <v>815</v>
      </c>
      <c r="E237" s="26">
        <v>0</v>
      </c>
      <c r="F237" s="26">
        <v>0</v>
      </c>
      <c r="G237" s="6"/>
      <c r="H237" s="6"/>
      <c r="I237" s="6"/>
      <c r="J237" s="6"/>
      <c r="K237" s="6"/>
      <c r="L237" s="6"/>
    </row>
    <row r="238" spans="1:12" x14ac:dyDescent="0.2">
      <c r="A238" s="5" t="s">
        <v>816</v>
      </c>
      <c r="B238" s="5" t="s">
        <v>362</v>
      </c>
      <c r="C238" s="5" t="s">
        <v>360</v>
      </c>
      <c r="D238" s="5" t="s">
        <v>817</v>
      </c>
      <c r="E238" s="26">
        <v>0</v>
      </c>
      <c r="F238" s="26">
        <v>0</v>
      </c>
      <c r="G238" s="6"/>
      <c r="H238" s="6"/>
      <c r="I238" s="6"/>
      <c r="J238" s="6"/>
      <c r="K238" s="6"/>
      <c r="L238" s="6"/>
    </row>
    <row r="239" spans="1:12" x14ac:dyDescent="0.2">
      <c r="A239" s="5" t="s">
        <v>818</v>
      </c>
      <c r="B239" s="5" t="s">
        <v>362</v>
      </c>
      <c r="C239" s="5" t="s">
        <v>360</v>
      </c>
      <c r="D239" s="5" t="s">
        <v>819</v>
      </c>
      <c r="E239" s="26">
        <v>0</v>
      </c>
      <c r="F239" s="26">
        <v>0</v>
      </c>
      <c r="G239" s="6"/>
      <c r="H239" s="6"/>
      <c r="I239" s="6"/>
      <c r="J239" s="6"/>
      <c r="K239" s="6"/>
      <c r="L239" s="6"/>
    </row>
    <row r="240" spans="1:12" x14ac:dyDescent="0.2">
      <c r="A240" s="5" t="s">
        <v>820</v>
      </c>
      <c r="B240" s="5" t="s">
        <v>362</v>
      </c>
      <c r="C240" s="5" t="s">
        <v>360</v>
      </c>
      <c r="D240" s="5" t="s">
        <v>821</v>
      </c>
      <c r="E240" s="26">
        <v>0</v>
      </c>
      <c r="F240" s="26">
        <v>0</v>
      </c>
      <c r="G240" s="6"/>
      <c r="H240" s="6"/>
      <c r="I240" s="6"/>
      <c r="J240" s="6"/>
      <c r="K240" s="6"/>
      <c r="L240" s="6"/>
    </row>
    <row r="241" spans="1:12" x14ac:dyDescent="0.2">
      <c r="A241" s="5" t="s">
        <v>822</v>
      </c>
      <c r="B241" s="5" t="s">
        <v>362</v>
      </c>
      <c r="C241" s="5" t="s">
        <v>360</v>
      </c>
      <c r="D241" s="5" t="s">
        <v>823</v>
      </c>
      <c r="E241" s="26">
        <v>0</v>
      </c>
      <c r="F241" s="26">
        <v>0</v>
      </c>
      <c r="G241" s="6"/>
      <c r="H241" s="6"/>
      <c r="I241" s="6"/>
      <c r="J241" s="6"/>
      <c r="K241" s="6"/>
      <c r="L241" s="6"/>
    </row>
    <row r="242" spans="1:12" x14ac:dyDescent="0.2">
      <c r="A242" s="5" t="s">
        <v>824</v>
      </c>
      <c r="B242" s="5" t="s">
        <v>362</v>
      </c>
      <c r="C242" s="5" t="s">
        <v>360</v>
      </c>
      <c r="D242" s="5" t="s">
        <v>825</v>
      </c>
      <c r="E242" s="26">
        <v>0</v>
      </c>
      <c r="F242" s="26">
        <v>0</v>
      </c>
      <c r="G242" s="6"/>
      <c r="H242" s="6"/>
      <c r="I242" s="6"/>
      <c r="J242" s="6"/>
      <c r="K242" s="6"/>
      <c r="L242" s="6"/>
    </row>
    <row r="243" spans="1:12" x14ac:dyDescent="0.2">
      <c r="A243" s="5" t="s">
        <v>826</v>
      </c>
      <c r="B243" s="5" t="s">
        <v>362</v>
      </c>
      <c r="C243" s="5" t="s">
        <v>360</v>
      </c>
      <c r="D243" s="5" t="s">
        <v>827</v>
      </c>
      <c r="E243" s="26">
        <v>0</v>
      </c>
      <c r="F243" s="26">
        <v>0</v>
      </c>
      <c r="G243" s="6"/>
      <c r="H243" s="6"/>
      <c r="I243" s="6"/>
      <c r="J243" s="6"/>
      <c r="K243" s="6"/>
      <c r="L243" s="6"/>
    </row>
    <row r="244" spans="1:12" x14ac:dyDescent="0.2">
      <c r="A244" s="5" t="s">
        <v>828</v>
      </c>
      <c r="B244" s="5" t="s">
        <v>362</v>
      </c>
      <c r="C244" s="5" t="s">
        <v>360</v>
      </c>
      <c r="D244" s="5" t="s">
        <v>829</v>
      </c>
      <c r="E244" s="26">
        <v>1000</v>
      </c>
      <c r="F244" s="26">
        <v>0</v>
      </c>
      <c r="G244" s="6"/>
      <c r="H244" s="6"/>
      <c r="I244" s="6"/>
      <c r="J244" s="6"/>
      <c r="K244" s="6"/>
      <c r="L244" s="6"/>
    </row>
    <row r="245" spans="1:12" x14ac:dyDescent="0.2">
      <c r="A245" s="5" t="s">
        <v>830</v>
      </c>
      <c r="B245" s="5" t="s">
        <v>362</v>
      </c>
      <c r="C245" s="5" t="s">
        <v>360</v>
      </c>
      <c r="D245" s="5" t="s">
        <v>831</v>
      </c>
      <c r="E245" s="26">
        <v>0</v>
      </c>
      <c r="F245" s="26">
        <v>0</v>
      </c>
      <c r="G245" s="6"/>
      <c r="H245" s="6"/>
      <c r="I245" s="6"/>
      <c r="J245" s="6"/>
      <c r="K245" s="6"/>
      <c r="L245" s="6"/>
    </row>
    <row r="246" spans="1:12" x14ac:dyDescent="0.2">
      <c r="A246" s="5" t="s">
        <v>832</v>
      </c>
      <c r="B246" s="5" t="s">
        <v>362</v>
      </c>
      <c r="C246" s="5" t="s">
        <v>360</v>
      </c>
      <c r="D246" s="5" t="s">
        <v>833</v>
      </c>
      <c r="E246" s="26">
        <v>0</v>
      </c>
      <c r="F246" s="26">
        <v>0</v>
      </c>
      <c r="G246" s="6"/>
      <c r="H246" s="6"/>
      <c r="I246" s="6"/>
      <c r="J246" s="6"/>
      <c r="K246" s="6"/>
      <c r="L246" s="6"/>
    </row>
    <row r="247" spans="1:12" x14ac:dyDescent="0.2">
      <c r="A247" s="5" t="s">
        <v>834</v>
      </c>
      <c r="B247" s="5" t="s">
        <v>362</v>
      </c>
      <c r="C247" s="5" t="s">
        <v>360</v>
      </c>
      <c r="D247" s="5" t="s">
        <v>835</v>
      </c>
      <c r="E247" s="26">
        <v>0</v>
      </c>
      <c r="F247" s="26">
        <v>0</v>
      </c>
      <c r="G247" s="6"/>
      <c r="H247" s="6"/>
      <c r="I247" s="6"/>
      <c r="J247" s="6"/>
      <c r="K247" s="6"/>
      <c r="L247" s="6"/>
    </row>
    <row r="248" spans="1:12" x14ac:dyDescent="0.2">
      <c r="A248" s="5" t="s">
        <v>836</v>
      </c>
      <c r="B248" s="5" t="s">
        <v>362</v>
      </c>
      <c r="C248" s="5" t="s">
        <v>360</v>
      </c>
      <c r="D248" s="5" t="s">
        <v>837</v>
      </c>
      <c r="E248" s="26">
        <v>0</v>
      </c>
      <c r="F248" s="26">
        <v>0</v>
      </c>
      <c r="G248" s="6"/>
      <c r="H248" s="6"/>
      <c r="I248" s="6"/>
      <c r="J248" s="6"/>
      <c r="K248" s="6"/>
      <c r="L248" s="6"/>
    </row>
    <row r="249" spans="1:12" x14ac:dyDescent="0.2">
      <c r="A249" s="5" t="s">
        <v>838</v>
      </c>
      <c r="B249" s="5" t="s">
        <v>362</v>
      </c>
      <c r="C249" s="5" t="s">
        <v>360</v>
      </c>
      <c r="D249" s="5" t="s">
        <v>839</v>
      </c>
      <c r="E249" s="26">
        <v>0</v>
      </c>
      <c r="F249" s="26">
        <v>0</v>
      </c>
      <c r="G249" s="6"/>
      <c r="H249" s="6"/>
      <c r="I249" s="6"/>
      <c r="J249" s="6"/>
      <c r="K249" s="6"/>
      <c r="L249" s="6"/>
    </row>
    <row r="250" spans="1:12" x14ac:dyDescent="0.2">
      <c r="A250" s="5" t="s">
        <v>840</v>
      </c>
      <c r="B250" s="5" t="s">
        <v>362</v>
      </c>
      <c r="C250" s="5" t="s">
        <v>360</v>
      </c>
      <c r="D250" s="5" t="s">
        <v>841</v>
      </c>
      <c r="E250" s="26">
        <v>0</v>
      </c>
      <c r="F250" s="26">
        <v>0</v>
      </c>
      <c r="G250" s="6"/>
      <c r="H250" s="6"/>
      <c r="I250" s="6"/>
      <c r="J250" s="6"/>
      <c r="K250" s="6"/>
      <c r="L250" s="6"/>
    </row>
    <row r="251" spans="1:12" x14ac:dyDescent="0.2">
      <c r="A251" s="5" t="s">
        <v>842</v>
      </c>
      <c r="B251" s="5" t="s">
        <v>362</v>
      </c>
      <c r="C251" s="5" t="s">
        <v>360</v>
      </c>
      <c r="D251" s="5" t="s">
        <v>843</v>
      </c>
      <c r="E251" s="26">
        <v>0</v>
      </c>
      <c r="F251" s="26">
        <v>0</v>
      </c>
      <c r="G251" s="6"/>
      <c r="H251" s="6"/>
      <c r="I251" s="6"/>
      <c r="J251" s="6"/>
      <c r="K251" s="6"/>
      <c r="L251" s="6"/>
    </row>
    <row r="252" spans="1:12" x14ac:dyDescent="0.2">
      <c r="A252" s="5" t="s">
        <v>844</v>
      </c>
      <c r="B252" s="5" t="s">
        <v>362</v>
      </c>
      <c r="C252" s="5" t="s">
        <v>360</v>
      </c>
      <c r="D252" s="5" t="s">
        <v>845</v>
      </c>
      <c r="E252" s="26">
        <v>0</v>
      </c>
      <c r="F252" s="26">
        <v>0</v>
      </c>
      <c r="G252" s="6"/>
      <c r="H252" s="6"/>
      <c r="I252" s="6"/>
      <c r="J252" s="6"/>
      <c r="K252" s="6"/>
      <c r="L252" s="6"/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workbookViewId="0"/>
  </sheetViews>
  <sheetFormatPr defaultRowHeight="14.25" x14ac:dyDescent="0.2"/>
  <sheetData>
    <row r="1" spans="1:1" ht="17.25" x14ac:dyDescent="0.2">
      <c r="A1" s="33" t="s">
        <v>846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铝</vt:lpstr>
      <vt:lpstr>铝模板</vt:lpstr>
      <vt:lpstr>铝原始数据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2023-10-10T09:19:43Z</dcterms:modified>
</cp:coreProperties>
</file>