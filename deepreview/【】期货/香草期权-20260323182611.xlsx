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yqcui\SVN\WindRes\Management\API\QntProduct\PT\yqcui\20230727 模板库-更新计划1期\衍生品\"/>
    </mc:Choice>
  </mc:AlternateContent>
  <bookViews>
    <workbookView xWindow="30975" yWindow="1875" windowWidth="21600" windowHeight="11385"/>
  </bookViews>
  <sheets>
    <sheet name="香草期权计算器" sheetId="1" r:id="rId1"/>
    <sheet name="Wind模板" sheetId="2" state="veryHidden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2" i="1" l="1"/>
  <c r="I11" i="1"/>
  <c r="I10" i="1"/>
  <c r="I9" i="1"/>
  <c r="I8" i="1"/>
  <c r="C40" i="1"/>
  <c r="I7" i="1" l="1"/>
</calcChain>
</file>

<file path=xl/comments1.xml><?xml version="1.0" encoding="utf-8"?>
<comments xmlns="http://schemas.openxmlformats.org/spreadsheetml/2006/main">
  <authors>
    <author>Zhai Shuai</author>
  </authors>
  <commentList>
    <comment ref="C12" authorId="0" shapeId="0">
      <text>
        <r>
          <rPr>
            <b/>
            <sz val="9"/>
            <color indexed="81"/>
            <rFont val="宋体"/>
            <family val="3"/>
            <charset val="134"/>
          </rPr>
          <t>时间格式：yyyy-mm-dd 小时-分钟</t>
        </r>
      </text>
    </comment>
    <comment ref="C15" authorId="0" shapeId="0">
      <text>
        <r>
          <rPr>
            <b/>
            <sz val="9"/>
            <color indexed="81"/>
            <rFont val="宋体"/>
            <family val="3"/>
            <charset val="134"/>
          </rPr>
          <t>合约乘数：当标的类别为外汇时，该参数为名义金额</t>
        </r>
      </text>
    </comment>
    <comment ref="C17" authorId="0" shapeId="0">
      <text>
        <r>
          <rPr>
            <sz val="9"/>
            <color indexed="81"/>
            <rFont val="宋体"/>
            <family val="3"/>
            <charset val="134"/>
          </rPr>
          <t>当行权方式为</t>
        </r>
        <r>
          <rPr>
            <b/>
            <sz val="9"/>
            <color indexed="81"/>
            <rFont val="宋体"/>
            <family val="3"/>
            <charset val="134"/>
          </rPr>
          <t>欧式</t>
        </r>
        <r>
          <rPr>
            <sz val="9"/>
            <color indexed="81"/>
            <rFont val="宋体"/>
            <family val="3"/>
            <charset val="134"/>
          </rPr>
          <t>时，可选择</t>
        </r>
        <r>
          <rPr>
            <b/>
            <sz val="9"/>
            <color indexed="81"/>
            <rFont val="宋体"/>
            <family val="3"/>
            <charset val="134"/>
          </rPr>
          <t>black-scholes连续</t>
        </r>
        <r>
          <rPr>
            <sz val="9"/>
            <color indexed="81"/>
            <rFont val="宋体"/>
            <family val="3"/>
            <charset val="134"/>
          </rPr>
          <t xml:space="preserve"> 或 </t>
        </r>
        <r>
          <rPr>
            <b/>
            <sz val="9"/>
            <color indexed="81"/>
            <rFont val="宋体"/>
            <family val="3"/>
            <charset val="134"/>
          </rPr>
          <t>black-scholes离散</t>
        </r>
        <r>
          <rPr>
            <sz val="9"/>
            <color indexed="81"/>
            <rFont val="宋体"/>
            <family val="3"/>
            <charset val="134"/>
          </rPr>
          <t xml:space="preserve">
当行权方式为</t>
        </r>
        <r>
          <rPr>
            <b/>
            <sz val="9"/>
            <color indexed="81"/>
            <rFont val="宋体"/>
            <family val="3"/>
            <charset val="134"/>
          </rPr>
          <t>美式</t>
        </r>
        <r>
          <rPr>
            <sz val="9"/>
            <color indexed="81"/>
            <rFont val="宋体"/>
            <family val="3"/>
            <charset val="134"/>
          </rPr>
          <t>时，可选择</t>
        </r>
        <r>
          <rPr>
            <b/>
            <sz val="9"/>
            <color indexed="81"/>
            <rFont val="宋体"/>
            <family val="3"/>
            <charset val="134"/>
          </rPr>
          <t>二叉树模型</t>
        </r>
        <r>
          <rPr>
            <sz val="9"/>
            <color indexed="81"/>
            <rFont val="宋体"/>
            <family val="3"/>
            <charset val="134"/>
          </rPr>
          <t xml:space="preserve"> 或</t>
        </r>
        <r>
          <rPr>
            <b/>
            <sz val="9"/>
            <color indexed="81"/>
            <rFont val="宋体"/>
            <family val="3"/>
            <charset val="134"/>
          </rPr>
          <t>BAW模型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C20" authorId="0" shapeId="0">
      <text>
        <r>
          <rPr>
            <sz val="9"/>
            <color indexed="81"/>
            <rFont val="宋体"/>
            <family val="3"/>
            <charset val="134"/>
          </rPr>
          <t>仅在</t>
        </r>
        <r>
          <rPr>
            <b/>
            <sz val="9"/>
            <color indexed="81"/>
            <rFont val="宋体"/>
            <family val="3"/>
            <charset val="134"/>
          </rPr>
          <t>标的类型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b/>
            <sz val="9"/>
            <color indexed="81"/>
            <rFont val="宋体"/>
            <family val="3"/>
            <charset val="134"/>
          </rPr>
          <t>权益</t>
        </r>
        <r>
          <rPr>
            <sz val="9"/>
            <color indexed="81"/>
            <rFont val="宋体"/>
            <family val="3"/>
            <charset val="134"/>
          </rPr>
          <t xml:space="preserve">时才调用
</t>
        </r>
      </text>
    </comment>
    <comment ref="C21" authorId="0" shapeId="0">
      <text>
        <r>
          <rPr>
            <sz val="9"/>
            <color indexed="81"/>
            <rFont val="宋体"/>
            <family val="3"/>
            <charset val="134"/>
          </rPr>
          <t>仅在标</t>
        </r>
        <r>
          <rPr>
            <b/>
            <sz val="9"/>
            <color indexed="81"/>
            <rFont val="宋体"/>
            <family val="3"/>
            <charset val="134"/>
          </rPr>
          <t>的类型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b/>
            <sz val="9"/>
            <color indexed="81"/>
            <rFont val="宋体"/>
            <family val="3"/>
            <charset val="134"/>
          </rPr>
          <t>外汇</t>
        </r>
        <r>
          <rPr>
            <sz val="9"/>
            <color indexed="81"/>
            <rFont val="宋体"/>
            <family val="3"/>
            <charset val="134"/>
          </rPr>
          <t>时才调用</t>
        </r>
        <r>
          <rPr>
            <b/>
            <sz val="9"/>
            <color indexed="81"/>
            <rFont val="宋体"/>
            <family val="3"/>
            <charset val="134"/>
          </rPr>
          <t xml:space="preserve">
</t>
        </r>
      </text>
    </comment>
    <comment ref="C40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计算函数</t>
        </r>
      </text>
    </comment>
  </commentList>
</comments>
</file>

<file path=xl/sharedStrings.xml><?xml version="1.0" encoding="utf-8"?>
<sst xmlns="http://schemas.openxmlformats.org/spreadsheetml/2006/main" count="48" uniqueCount="47">
  <si>
    <t>欧式</t>
  </si>
  <si>
    <t>认购</t>
  </si>
  <si>
    <t>买入</t>
  </si>
  <si>
    <t>期权定价计算器 -香草期权定价计算器</t>
    <phoneticPr fontId="3" type="noConversion"/>
  </si>
  <si>
    <t>标的价格</t>
    <phoneticPr fontId="3" type="noConversion"/>
  </si>
  <si>
    <t>标的类别</t>
    <phoneticPr fontId="3" type="noConversion"/>
  </si>
  <si>
    <t>行权方式</t>
    <phoneticPr fontId="3" type="noConversion"/>
  </si>
  <si>
    <t>定价模型</t>
    <phoneticPr fontId="3" type="noConversion"/>
  </si>
  <si>
    <t>期权种类</t>
    <phoneticPr fontId="3" type="noConversion"/>
  </si>
  <si>
    <t>开始日期</t>
    <phoneticPr fontId="3" type="noConversion"/>
  </si>
  <si>
    <t>结束日期</t>
    <phoneticPr fontId="3" type="noConversion"/>
  </si>
  <si>
    <t>买卖方向</t>
    <phoneticPr fontId="3" type="noConversion"/>
  </si>
  <si>
    <t>行权价</t>
    <phoneticPr fontId="3" type="noConversion"/>
  </si>
  <si>
    <t>波动率(%)</t>
    <phoneticPr fontId="3" type="noConversion"/>
  </si>
  <si>
    <t>利率(%)</t>
    <phoneticPr fontId="3" type="noConversion"/>
  </si>
  <si>
    <t>买卖手数</t>
    <phoneticPr fontId="3" type="noConversion"/>
  </si>
  <si>
    <t>合约乘数</t>
    <phoneticPr fontId="3" type="noConversion"/>
  </si>
  <si>
    <t>股息率(%)</t>
    <phoneticPr fontId="3" type="noConversion"/>
  </si>
  <si>
    <t>第二货币利率(%)</t>
    <phoneticPr fontId="3" type="noConversion"/>
  </si>
  <si>
    <t>参数设置区</t>
    <phoneticPr fontId="3" type="noConversion"/>
  </si>
  <si>
    <t>结果区</t>
    <phoneticPr fontId="3" type="noConversion"/>
  </si>
  <si>
    <t>Theta</t>
    <phoneticPr fontId="1" type="noConversion"/>
  </si>
  <si>
    <t>Delta</t>
    <phoneticPr fontId="1" type="noConversion"/>
  </si>
  <si>
    <t>Gamma</t>
    <phoneticPr fontId="1" type="noConversion"/>
  </si>
  <si>
    <t>Vega</t>
    <phoneticPr fontId="1" type="noConversion"/>
  </si>
  <si>
    <t>Rho</t>
    <phoneticPr fontId="1" type="noConversion"/>
  </si>
  <si>
    <t>理论价</t>
    <phoneticPr fontId="1" type="noConversion"/>
  </si>
  <si>
    <t>权益</t>
    <phoneticPr fontId="1" type="noConversion"/>
  </si>
  <si>
    <t>black-scholes连续</t>
  </si>
  <si>
    <t>使用该模板前，请升级Wind终端至最新版。</t>
  </si>
  <si>
    <t>欧式</t>
    <phoneticPr fontId="1" type="noConversion"/>
  </si>
  <si>
    <t>认购</t>
    <phoneticPr fontId="1" type="noConversion"/>
  </si>
  <si>
    <t>买入</t>
    <phoneticPr fontId="1" type="noConversion"/>
  </si>
  <si>
    <t>期货</t>
    <phoneticPr fontId="1" type="noConversion"/>
  </si>
  <si>
    <t>美式</t>
    <phoneticPr fontId="1" type="noConversion"/>
  </si>
  <si>
    <t>black-scholes离散</t>
    <phoneticPr fontId="1" type="noConversion"/>
  </si>
  <si>
    <t>认沽</t>
    <phoneticPr fontId="1" type="noConversion"/>
  </si>
  <si>
    <t>卖出</t>
    <phoneticPr fontId="1" type="noConversion"/>
  </si>
  <si>
    <t>外汇</t>
    <phoneticPr fontId="1" type="noConversion"/>
  </si>
  <si>
    <t>二叉树模型</t>
    <phoneticPr fontId="1" type="noConversion"/>
  </si>
  <si>
    <t>BAW模型</t>
    <phoneticPr fontId="1" type="noConversion"/>
  </si>
  <si>
    <t>权益</t>
  </si>
  <si>
    <t>交易日</t>
  </si>
  <si>
    <t>交易日</t>
    <phoneticPr fontId="1" type="noConversion"/>
  </si>
  <si>
    <t>自然日</t>
    <phoneticPr fontId="1" type="noConversion"/>
  </si>
  <si>
    <t>日历类型</t>
    <phoneticPr fontId="1" type="noConversion"/>
  </si>
  <si>
    <t>香草期权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</si>
</sst>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\-mm\-dd"/>
    <numFmt numFmtId="177" formatCode="0.00_ "/>
    <numFmt numFmtId="179" formatCode="#,##0.##"/>
  </numFmts>
  <fonts count="1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0"/>
      <name val="微软雅黑"/>
      <family val="2"/>
      <charset val="134"/>
    </font>
    <font>
      <sz val="9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0"/>
      <color rgb="FF212121"/>
      <name val="微软雅黑"/>
      <family val="2"/>
      <charset val="134"/>
    </font>
    <font>
      <sz val="10"/>
      <color rgb="FF212121"/>
      <name val="Arial"/>
      <family val="2"/>
    </font>
    <font>
      <sz val="12"/>
      <name val="微软雅黑"/>
      <family val="2"/>
      <charset val="134"/>
    </font>
    <font>
      <sz val="10"/>
      <color rgb="FF212121"/>
      <name val="微软雅黑"/>
      <family val="2"/>
      <charset val="134"/>
    </font>
    <font>
      <sz val="11"/>
      <color theme="0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8D07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F4F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2" borderId="0" xfId="0" applyFill="1" applyAlignment="1"/>
    <xf numFmtId="0" fontId="2" fillId="2" borderId="0" xfId="0" applyFont="1" applyFill="1" applyAlignment="1">
      <alignment vertical="center"/>
    </xf>
    <xf numFmtId="0" fontId="0" fillId="3" borderId="0" xfId="0" applyFill="1" applyAlignment="1"/>
    <xf numFmtId="0" fontId="6" fillId="4" borderId="0" xfId="0" applyFont="1" applyFill="1" applyAlignment="1"/>
    <xf numFmtId="0" fontId="0" fillId="6" borderId="0" xfId="0" applyFill="1" applyAlignment="1"/>
    <xf numFmtId="0" fontId="8" fillId="6" borderId="1" xfId="0" applyFont="1" applyFill="1" applyBorder="1" applyAlignment="1">
      <alignment vertical="top"/>
    </xf>
    <xf numFmtId="0" fontId="0" fillId="6" borderId="1" xfId="0" applyFill="1" applyBorder="1" applyAlignment="1"/>
    <xf numFmtId="0" fontId="9" fillId="6" borderId="0" xfId="0" applyFont="1" applyFill="1" applyAlignment="1">
      <alignment horizontal="left"/>
    </xf>
    <xf numFmtId="0" fontId="9" fillId="6" borderId="0" xfId="0" applyFont="1" applyFill="1" applyAlignment="1"/>
    <xf numFmtId="177" fontId="7" fillId="7" borderId="0" xfId="0" applyNumberFormat="1" applyFont="1" applyFill="1" applyAlignment="1">
      <alignment horizontal="right" vertical="center"/>
    </xf>
    <xf numFmtId="177" fontId="7" fillId="6" borderId="0" xfId="0" applyNumberFormat="1" applyFont="1" applyFill="1" applyAlignment="1">
      <alignment horizontal="right" vertical="center"/>
    </xf>
    <xf numFmtId="176" fontId="9" fillId="5" borderId="0" xfId="0" applyNumberFormat="1" applyFont="1" applyFill="1" applyBorder="1" applyAlignment="1">
      <alignment horizontal="center"/>
    </xf>
    <xf numFmtId="0" fontId="9" fillId="5" borderId="0" xfId="0" applyNumberFormat="1" applyFont="1" applyFill="1" applyBorder="1" applyAlignment="1">
      <alignment horizontal="center"/>
    </xf>
    <xf numFmtId="0" fontId="6" fillId="6" borderId="0" xfId="0" applyFont="1" applyFill="1" applyAlignment="1"/>
    <xf numFmtId="177" fontId="6" fillId="7" borderId="0" xfId="0" applyNumberFormat="1" applyFont="1" applyFill="1" applyAlignment="1">
      <alignment vertical="center"/>
    </xf>
    <xf numFmtId="0" fontId="0" fillId="6" borderId="0" xfId="0" applyFill="1">
      <alignment vertical="center"/>
    </xf>
    <xf numFmtId="0" fontId="0" fillId="6" borderId="0" xfId="0" applyFill="1" applyAlignment="1">
      <alignment horizontal="right" vertical="center"/>
    </xf>
    <xf numFmtId="49" fontId="0" fillId="6" borderId="0" xfId="0" applyNumberFormat="1" applyFill="1" applyAlignment="1">
      <alignment horizontal="right" vertical="center"/>
    </xf>
    <xf numFmtId="177" fontId="9" fillId="6" borderId="0" xfId="0" applyNumberFormat="1" applyFont="1" applyFill="1" applyAlignment="1"/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0" xfId="0" applyFont="1" applyFill="1" applyAlignment="1">
      <alignment horizontal="right" vertical="center"/>
    </xf>
    <xf numFmtId="0" fontId="12" fillId="6" borderId="0" xfId="0" applyFont="1" applyFill="1">
      <alignment vertical="center"/>
    </xf>
    <xf numFmtId="179" fontId="0" fillId="0" borderId="0" xfId="0" applyNumberFormat="1" applyAlignment="1">
      <alignment horizontal="right" vertical="center"/>
    </xf>
    <xf numFmtId="179" fontId="10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CAC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85725</xdr:rowOff>
    </xdr:from>
    <xdr:to>
      <xdr:col>1</xdr:col>
      <xdr:colOff>95250</xdr:colOff>
      <xdr:row>0</xdr:row>
      <xdr:rowOff>345952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5725"/>
          <a:ext cx="638175" cy="2602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w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CAC20"/>
  </sheetPr>
  <dimension ref="A1:Q54"/>
  <sheetViews>
    <sheetView tabSelected="1" workbookViewId="0">
      <selection activeCell="C48" sqref="C48"/>
    </sheetView>
  </sheetViews>
  <sheetFormatPr defaultRowHeight="14.25" x14ac:dyDescent="0.2"/>
  <cols>
    <col min="1" max="1" width="9" style="16"/>
    <col min="2" max="2" width="6.125" style="16" customWidth="1"/>
    <col min="3" max="3" width="13.625" style="16" customWidth="1"/>
    <col min="4" max="4" width="22.625" style="16" customWidth="1"/>
    <col min="5" max="5" width="8.625" style="16" customWidth="1"/>
    <col min="6" max="6" width="8.25" style="16" bestFit="1" customWidth="1"/>
    <col min="7" max="7" width="8.625" style="16" customWidth="1"/>
    <col min="8" max="8" width="11.625" style="16" customWidth="1"/>
    <col min="9" max="15" width="9" style="16"/>
    <col min="16" max="16" width="15.625" style="16" customWidth="1"/>
    <col min="17" max="17" width="19.625" style="16" customWidth="1"/>
    <col min="18" max="21" width="8.625" style="16" customWidth="1"/>
    <col min="22" max="16384" width="9" style="16"/>
  </cols>
  <sheetData>
    <row r="1" spans="1:17" ht="30.75" customHeight="1" x14ac:dyDescent="0.2">
      <c r="A1" s="1"/>
      <c r="B1" s="1"/>
      <c r="C1" s="1"/>
      <c r="D1" s="2" t="s">
        <v>3</v>
      </c>
      <c r="E1" s="2"/>
      <c r="F1" s="2"/>
      <c r="G1" s="1"/>
      <c r="H1" s="1"/>
      <c r="I1" s="1"/>
      <c r="J1" s="1"/>
      <c r="K1" s="1"/>
    </row>
    <row r="2" spans="1:17" x14ac:dyDescent="0.2">
      <c r="A2" s="3"/>
      <c r="B2" s="3"/>
      <c r="C2" s="3"/>
      <c r="D2" s="3" t="s">
        <v>29</v>
      </c>
      <c r="E2" s="3"/>
      <c r="F2" s="3"/>
      <c r="G2" s="3"/>
      <c r="H2" s="3"/>
      <c r="I2" s="3"/>
      <c r="J2" s="3"/>
      <c r="K2" s="3"/>
    </row>
    <row r="3" spans="1:17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7" x14ac:dyDescent="0.2">
      <c r="A4" s="3"/>
      <c r="B4" s="5"/>
      <c r="C4" s="5"/>
      <c r="D4" s="5"/>
      <c r="E4" s="5"/>
      <c r="F4" s="5"/>
      <c r="G4" s="5"/>
      <c r="H4" s="5"/>
      <c r="I4" s="5"/>
      <c r="J4" s="5"/>
      <c r="K4" s="3"/>
    </row>
    <row r="5" spans="1:17" ht="17.25" x14ac:dyDescent="0.35">
      <c r="A5" s="3"/>
      <c r="B5" s="5"/>
      <c r="C5" s="6" t="s">
        <v>19</v>
      </c>
      <c r="D5" s="7"/>
      <c r="E5" s="8"/>
      <c r="F5" s="8"/>
      <c r="G5" s="8"/>
      <c r="H5" s="6" t="s">
        <v>20</v>
      </c>
      <c r="I5" s="7"/>
      <c r="J5" s="5"/>
      <c r="K5" s="3"/>
      <c r="Q5" s="17"/>
    </row>
    <row r="6" spans="1:17" x14ac:dyDescent="0.2">
      <c r="A6" s="3"/>
      <c r="B6" s="5"/>
      <c r="C6" s="5"/>
      <c r="D6" s="5"/>
      <c r="E6" s="5"/>
      <c r="F6" s="5"/>
      <c r="G6" s="5"/>
      <c r="H6" s="5"/>
      <c r="I6" s="5"/>
      <c r="J6" s="5"/>
      <c r="K6" s="3"/>
      <c r="Q6" s="18"/>
    </row>
    <row r="7" spans="1:17" ht="16.5" x14ac:dyDescent="0.35">
      <c r="A7" s="3"/>
      <c r="B7" s="5"/>
      <c r="C7" s="4" t="s">
        <v>4</v>
      </c>
      <c r="D7" s="13">
        <v>100</v>
      </c>
      <c r="E7" s="8"/>
      <c r="F7" s="8"/>
      <c r="G7" s="8"/>
      <c r="H7" s="15" t="s">
        <v>26</v>
      </c>
      <c r="I7" s="10">
        <f>C40</f>
        <v>4867.3100000000004</v>
      </c>
      <c r="J7" s="5"/>
      <c r="K7" s="3"/>
      <c r="Q7" s="18"/>
    </row>
    <row r="8" spans="1:17" ht="16.5" x14ac:dyDescent="0.35">
      <c r="A8" s="3"/>
      <c r="B8" s="5"/>
      <c r="C8" s="4" t="s">
        <v>5</v>
      </c>
      <c r="D8" s="12" t="s">
        <v>41</v>
      </c>
      <c r="E8" s="8"/>
      <c r="F8" s="8"/>
      <c r="G8" s="9"/>
      <c r="H8" s="14" t="s">
        <v>22</v>
      </c>
      <c r="I8" s="19">
        <f>D40</f>
        <v>1670.47</v>
      </c>
      <c r="J8" s="5"/>
      <c r="K8" s="3"/>
      <c r="Q8" s="18"/>
    </row>
    <row r="9" spans="1:17" ht="16.5" x14ac:dyDescent="0.35">
      <c r="A9" s="3"/>
      <c r="B9" s="5"/>
      <c r="C9" s="4" t="s">
        <v>11</v>
      </c>
      <c r="D9" s="12" t="s">
        <v>2</v>
      </c>
      <c r="E9" s="8"/>
      <c r="F9" s="8"/>
      <c r="G9" s="9"/>
      <c r="H9" s="15" t="s">
        <v>23</v>
      </c>
      <c r="I9" s="10">
        <f>E40</f>
        <v>498.23</v>
      </c>
      <c r="J9" s="5"/>
      <c r="K9" s="3"/>
      <c r="Q9" s="18"/>
    </row>
    <row r="10" spans="1:17" ht="16.5" x14ac:dyDescent="0.35">
      <c r="A10" s="3"/>
      <c r="B10" s="5"/>
      <c r="C10" s="4" t="s">
        <v>6</v>
      </c>
      <c r="D10" s="12" t="s">
        <v>0</v>
      </c>
      <c r="E10" s="8"/>
      <c r="F10" s="8"/>
      <c r="G10" s="9"/>
      <c r="H10" s="14" t="s">
        <v>24</v>
      </c>
      <c r="I10" s="11">
        <f>F40</f>
        <v>1729.38</v>
      </c>
      <c r="J10" s="5"/>
      <c r="K10" s="3"/>
      <c r="Q10" s="18"/>
    </row>
    <row r="11" spans="1:17" ht="16.5" x14ac:dyDescent="0.35">
      <c r="A11" s="3"/>
      <c r="B11" s="5"/>
      <c r="C11" s="4" t="s">
        <v>8</v>
      </c>
      <c r="D11" s="12" t="s">
        <v>1</v>
      </c>
      <c r="E11" s="8"/>
      <c r="F11" s="8"/>
      <c r="G11" s="9"/>
      <c r="H11" s="15" t="s">
        <v>21</v>
      </c>
      <c r="I11" s="10">
        <f>G40</f>
        <v>-418.06</v>
      </c>
      <c r="J11" s="5"/>
      <c r="K11" s="3"/>
      <c r="Q11" s="18"/>
    </row>
    <row r="12" spans="1:17" ht="16.5" x14ac:dyDescent="0.35">
      <c r="A12" s="3"/>
      <c r="B12" s="5"/>
      <c r="C12" s="4" t="s">
        <v>9</v>
      </c>
      <c r="D12" s="13">
        <v>20230616</v>
      </c>
      <c r="E12" s="8"/>
      <c r="F12" s="8"/>
      <c r="G12" s="9"/>
      <c r="H12" s="14" t="s">
        <v>25</v>
      </c>
      <c r="I12" s="11">
        <f>H40</f>
        <v>281.47000000000003</v>
      </c>
      <c r="J12" s="11"/>
      <c r="K12" s="3"/>
      <c r="Q12" s="18"/>
    </row>
    <row r="13" spans="1:17" ht="16.5" x14ac:dyDescent="0.35">
      <c r="A13" s="3"/>
      <c r="B13" s="5"/>
      <c r="C13" s="4" t="s">
        <v>10</v>
      </c>
      <c r="D13" s="13">
        <v>20230816</v>
      </c>
      <c r="E13" s="8"/>
      <c r="F13" s="8"/>
      <c r="G13" s="9"/>
      <c r="H13" s="8"/>
      <c r="I13" s="9"/>
      <c r="J13" s="5"/>
      <c r="K13" s="3"/>
      <c r="Q13" s="18"/>
    </row>
    <row r="14" spans="1:17" ht="16.5" x14ac:dyDescent="0.35">
      <c r="A14" s="3"/>
      <c r="B14" s="5"/>
      <c r="C14" s="4" t="s">
        <v>15</v>
      </c>
      <c r="D14" s="13">
        <v>1</v>
      </c>
      <c r="E14" s="8"/>
      <c r="F14" s="8"/>
      <c r="G14" s="9"/>
      <c r="H14" s="8"/>
      <c r="I14" s="9"/>
      <c r="J14" s="5"/>
      <c r="K14" s="3"/>
      <c r="Q14" s="18"/>
    </row>
    <row r="15" spans="1:17" ht="16.5" x14ac:dyDescent="0.35">
      <c r="A15" s="3"/>
      <c r="B15" s="5"/>
      <c r="C15" s="4" t="s">
        <v>16</v>
      </c>
      <c r="D15" s="13">
        <v>100000</v>
      </c>
      <c r="E15" s="8"/>
      <c r="F15" s="8"/>
      <c r="G15" s="9"/>
      <c r="H15" s="8"/>
      <c r="I15" s="9"/>
      <c r="J15" s="5"/>
      <c r="K15" s="3"/>
      <c r="L15" s="17"/>
      <c r="Q15" s="18"/>
    </row>
    <row r="16" spans="1:17" ht="16.5" x14ac:dyDescent="0.35">
      <c r="A16" s="3"/>
      <c r="B16" s="5"/>
      <c r="C16" s="4" t="s">
        <v>12</v>
      </c>
      <c r="D16" s="13">
        <v>120</v>
      </c>
      <c r="E16" s="8"/>
      <c r="F16" s="8"/>
      <c r="G16" s="9"/>
      <c r="H16" s="8"/>
      <c r="I16" s="9"/>
      <c r="J16" s="5"/>
      <c r="K16" s="3"/>
      <c r="L16" s="18"/>
      <c r="Q16" s="18"/>
    </row>
    <row r="17" spans="1:17" ht="16.5" x14ac:dyDescent="0.35">
      <c r="A17" s="3"/>
      <c r="B17" s="5"/>
      <c r="C17" s="4" t="s">
        <v>7</v>
      </c>
      <c r="D17" s="12" t="s">
        <v>28</v>
      </c>
      <c r="E17" s="8"/>
      <c r="F17" s="8"/>
      <c r="G17" s="9"/>
      <c r="H17" s="8"/>
      <c r="I17" s="9"/>
      <c r="J17" s="5"/>
      <c r="K17" s="3"/>
      <c r="L17" s="18"/>
      <c r="Q17" s="18"/>
    </row>
    <row r="18" spans="1:17" ht="16.5" x14ac:dyDescent="0.35">
      <c r="A18" s="3"/>
      <c r="B18" s="5"/>
      <c r="C18" s="4" t="s">
        <v>13</v>
      </c>
      <c r="D18" s="13">
        <v>20</v>
      </c>
      <c r="E18" s="8"/>
      <c r="F18" s="8"/>
      <c r="G18" s="9"/>
      <c r="H18" s="8"/>
      <c r="I18" s="9"/>
      <c r="J18" s="5"/>
      <c r="K18" s="3"/>
      <c r="L18" s="18"/>
      <c r="Q18" s="18"/>
    </row>
    <row r="19" spans="1:17" ht="16.5" x14ac:dyDescent="0.35">
      <c r="A19" s="3"/>
      <c r="B19" s="5"/>
      <c r="C19" s="4" t="s">
        <v>14</v>
      </c>
      <c r="D19" s="13">
        <v>3</v>
      </c>
      <c r="E19" s="8"/>
      <c r="F19" s="8"/>
      <c r="G19" s="9"/>
      <c r="H19" s="8"/>
      <c r="I19" s="9"/>
      <c r="J19" s="5"/>
      <c r="K19" s="3"/>
      <c r="L19" s="18"/>
      <c r="Q19" s="18"/>
    </row>
    <row r="20" spans="1:17" ht="16.5" x14ac:dyDescent="0.35">
      <c r="A20" s="3"/>
      <c r="B20" s="5"/>
      <c r="C20" s="4" t="s">
        <v>17</v>
      </c>
      <c r="D20" s="13">
        <v>2</v>
      </c>
      <c r="E20" s="8"/>
      <c r="F20" s="8"/>
      <c r="G20" s="9"/>
      <c r="H20" s="8"/>
      <c r="I20" s="9"/>
      <c r="J20" s="5"/>
      <c r="K20" s="3"/>
      <c r="L20" s="18"/>
      <c r="Q20" s="18"/>
    </row>
    <row r="21" spans="1:17" ht="16.5" x14ac:dyDescent="0.35">
      <c r="A21" s="3"/>
      <c r="B21" s="5"/>
      <c r="C21" s="4" t="s">
        <v>18</v>
      </c>
      <c r="D21" s="13">
        <v>0</v>
      </c>
      <c r="E21" s="8"/>
      <c r="F21" s="8"/>
      <c r="G21" s="9"/>
      <c r="H21" s="8"/>
      <c r="I21" s="9"/>
      <c r="J21" s="5"/>
      <c r="K21" s="3"/>
      <c r="L21" s="18"/>
      <c r="Q21" s="18"/>
    </row>
    <row r="22" spans="1:17" ht="16.5" x14ac:dyDescent="0.35">
      <c r="A22" s="3"/>
      <c r="B22" s="5"/>
      <c r="C22" s="4" t="s">
        <v>45</v>
      </c>
      <c r="D22" s="13" t="s">
        <v>42</v>
      </c>
      <c r="E22" s="8"/>
      <c r="F22" s="8"/>
      <c r="G22" s="9"/>
      <c r="H22" s="8"/>
      <c r="I22" s="9"/>
      <c r="J22" s="5"/>
      <c r="K22" s="3"/>
      <c r="L22" s="18"/>
      <c r="Q22" s="18"/>
    </row>
    <row r="23" spans="1:17" ht="16.5" x14ac:dyDescent="0.35">
      <c r="A23" s="3"/>
      <c r="B23" s="5"/>
      <c r="C23" s="8"/>
      <c r="E23" s="11"/>
      <c r="F23" s="11"/>
      <c r="G23" s="11"/>
      <c r="H23" s="11"/>
      <c r="I23" s="11"/>
      <c r="J23" s="5"/>
      <c r="K23" s="3"/>
      <c r="L23" s="18"/>
    </row>
    <row r="24" spans="1:17" ht="25.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18"/>
    </row>
    <row r="25" spans="1:17" x14ac:dyDescent="0.2">
      <c r="L25" s="18"/>
    </row>
    <row r="26" spans="1:17" x14ac:dyDescent="0.2">
      <c r="L26" s="18"/>
    </row>
    <row r="27" spans="1:17" x14ac:dyDescent="0.2">
      <c r="L27" s="18"/>
    </row>
    <row r="28" spans="1:17" x14ac:dyDescent="0.2">
      <c r="L28" s="18"/>
    </row>
    <row r="29" spans="1:17" x14ac:dyDescent="0.2">
      <c r="L29" s="18"/>
    </row>
    <row r="30" spans="1:17" x14ac:dyDescent="0.2">
      <c r="L30" s="18"/>
    </row>
    <row r="31" spans="1:17" x14ac:dyDescent="0.2">
      <c r="L31" s="18"/>
    </row>
    <row r="32" spans="1:17" x14ac:dyDescent="0.2">
      <c r="L32" s="18"/>
    </row>
    <row r="36" spans="1:15" x14ac:dyDescent="0.2"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</row>
    <row r="37" spans="1:15" x14ac:dyDescent="0.2"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</row>
    <row r="38" spans="1:15" s="21" customFormat="1" x14ac:dyDescent="0.2">
      <c r="A38" s="20"/>
      <c r="B38" s="20"/>
    </row>
    <row r="39" spans="1:15" s="20" customFormat="1" hidden="1" x14ac:dyDescent="0.2">
      <c r="D39" s="22"/>
    </row>
    <row r="40" spans="1:15" s="20" customFormat="1" hidden="1" x14ac:dyDescent="0.2">
      <c r="C40" s="24">
        <f>[1]!wset("plainvanilla","underlyingPrice="&amp;$D$7,"underlyingType="&amp;$D$8,"exerciseWay="&amp;D10,"pricingModel="&amp;D17,"optionType="&amp;D11,"startDate="&amp;D12,"endDate="&amp;$D$13,"direction="&amp;D9,"exercisePrice="&amp;D16,"volatilityValue="&amp;D18,"interestRateValue="&amp;D19,"count="&amp;D14,"multiplier="&amp;D15,"dividendYield="&amp;D20,"secondInterestRate="&amp;D21,"dateType="&amp;D22,"field=priceTotal,delta,gamma,vega,theta,rho","cols=6;rows=1")</f>
        <v>4867.3100000000004</v>
      </c>
      <c r="D40" s="25">
        <v>1670.47</v>
      </c>
      <c r="E40" s="25">
        <v>498.23</v>
      </c>
      <c r="F40" s="25">
        <v>1729.38</v>
      </c>
      <c r="G40" s="25">
        <v>-418.06</v>
      </c>
      <c r="H40" s="25">
        <v>281.47000000000003</v>
      </c>
    </row>
    <row r="41" spans="1:15" s="20" customFormat="1" hidden="1" x14ac:dyDescent="0.2">
      <c r="C41" s="20" t="s">
        <v>27</v>
      </c>
      <c r="D41" s="20" t="s">
        <v>30</v>
      </c>
      <c r="E41" s="20" t="s">
        <v>28</v>
      </c>
      <c r="G41" s="20" t="s">
        <v>31</v>
      </c>
      <c r="H41" s="20" t="s">
        <v>32</v>
      </c>
      <c r="I41" s="20" t="s">
        <v>44</v>
      </c>
    </row>
    <row r="42" spans="1:15" s="20" customFormat="1" hidden="1" x14ac:dyDescent="0.2">
      <c r="C42" s="20" t="s">
        <v>33</v>
      </c>
      <c r="D42" s="20" t="s">
        <v>34</v>
      </c>
      <c r="E42" s="20" t="s">
        <v>35</v>
      </c>
      <c r="G42" s="20" t="s">
        <v>36</v>
      </c>
      <c r="H42" s="20" t="s">
        <v>37</v>
      </c>
      <c r="I42" s="20" t="s">
        <v>43</v>
      </c>
    </row>
    <row r="43" spans="1:15" s="20" customFormat="1" hidden="1" x14ac:dyDescent="0.2">
      <c r="C43" s="20" t="s">
        <v>38</v>
      </c>
      <c r="E43" s="20" t="s">
        <v>39</v>
      </c>
    </row>
    <row r="44" spans="1:15" s="20" customFormat="1" hidden="1" x14ac:dyDescent="0.2">
      <c r="E44" s="20" t="s">
        <v>40</v>
      </c>
    </row>
    <row r="45" spans="1:15" s="20" customFormat="1" hidden="1" x14ac:dyDescent="0.2"/>
    <row r="46" spans="1:15" s="20" customFormat="1" hidden="1" x14ac:dyDescent="0.2"/>
    <row r="47" spans="1:15" s="21" customFormat="1" x14ac:dyDescent="0.2">
      <c r="B47" s="20"/>
    </row>
    <row r="48" spans="1:15" x14ac:dyDescent="0.2"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</row>
    <row r="49" spans="3:14" x14ac:dyDescent="0.2"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</row>
    <row r="50" spans="3:14" x14ac:dyDescent="0.2"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</row>
    <row r="51" spans="3:14" x14ac:dyDescent="0.2"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</row>
    <row r="52" spans="3:14" x14ac:dyDescent="0.2"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</row>
    <row r="53" spans="3:14" x14ac:dyDescent="0.2"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</row>
    <row r="54" spans="3:14" x14ac:dyDescent="0.2"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</row>
  </sheetData>
  <phoneticPr fontId="1" type="noConversion"/>
  <dataValidations count="6">
    <dataValidation type="list" allowBlank="1" showInputMessage="1" showErrorMessage="1" sqref="D17">
      <formula1>$E$41:$E$44</formula1>
    </dataValidation>
    <dataValidation type="list" allowBlank="1" showInputMessage="1" showErrorMessage="1" sqref="D8">
      <formula1>$C$41:$C$43</formula1>
    </dataValidation>
    <dataValidation type="list" allowBlank="1" showInputMessage="1" showErrorMessage="1" sqref="D9">
      <formula1>$H$41:$H$42</formula1>
    </dataValidation>
    <dataValidation type="list" allowBlank="1" showInputMessage="1" showErrorMessage="1" sqref="D10">
      <formula1>$D$41:$D$42</formula1>
    </dataValidation>
    <dataValidation type="list" allowBlank="1" showInputMessage="1" showErrorMessage="1" sqref="D11">
      <formula1>$G$41:$G$42</formula1>
    </dataValidation>
    <dataValidation type="list" allowBlank="1" showInputMessage="1" showErrorMessage="1" sqref="D22">
      <formula1>$I$41:$I$42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2"/>
  <sheetData>
    <row r="1" spans="1:1" ht="17.25" x14ac:dyDescent="0.2">
      <c r="A1" s="26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香草期权计算器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</dc:creator>
  <cp:lastModifiedBy>Cui YongQiang</cp:lastModifiedBy>
  <dcterms:created xsi:type="dcterms:W3CDTF">2023-06-16T02:44:58Z</dcterms:created>
  <dcterms:modified xsi:type="dcterms:W3CDTF">2023-11-24T01:58:11Z</dcterms:modified>
</cp:coreProperties>
</file>