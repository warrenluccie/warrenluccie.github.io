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20230727 模板库-更新计划1期\商品\"/>
    </mc:Choice>
  </mc:AlternateContent>
  <bookViews>
    <workbookView xWindow="-15" yWindow="-15" windowWidth="28830" windowHeight="6270" firstSheet="1" activeTab="1"/>
  </bookViews>
  <sheets>
    <sheet name="__FDSCACHE__" sheetId="76" state="veryHidden" r:id="rId1"/>
    <sheet name="持仓报告" sheetId="81" r:id="rId2"/>
    <sheet name="Wind模板" sheetId="82" state="veryHidden" r:id="rId3"/>
  </sheets>
  <externalReferences>
    <externalReference r:id="rId4"/>
  </externalReferences>
  <definedNames>
    <definedName name="__FDS_HYPERLINK_TOGGLE_STATE__" hidden="1">"ON"</definedName>
  </definedNames>
  <calcPr calcId="162913"/>
</workbook>
</file>

<file path=xl/calcChain.xml><?xml version="1.0" encoding="utf-8"?>
<calcChain xmlns="http://schemas.openxmlformats.org/spreadsheetml/2006/main">
  <c r="F3" i="81" l="1"/>
  <c r="H3" i="81"/>
  <c r="AC39" i="81"/>
  <c r="J36" i="81"/>
  <c r="J42" i="81"/>
  <c r="J35" i="81"/>
  <c r="J40" i="81"/>
  <c r="H39" i="81"/>
  <c r="T36" i="81"/>
  <c r="J32" i="81"/>
  <c r="J43" i="81"/>
  <c r="Z39" i="81"/>
  <c r="P32" i="81"/>
  <c r="Z32" i="81"/>
  <c r="P40" i="81"/>
  <c r="H36" i="81"/>
  <c r="H29" i="81"/>
  <c r="AC35" i="81"/>
  <c r="H45" i="81"/>
  <c r="Z33" i="81"/>
  <c r="J31" i="81"/>
  <c r="T43" i="81"/>
  <c r="T39" i="81"/>
  <c r="AC37" i="81"/>
  <c r="J44" i="81"/>
  <c r="P38" i="81"/>
  <c r="P31" i="81"/>
  <c r="J41" i="81"/>
  <c r="P27" i="81"/>
  <c r="H28" i="81"/>
  <c r="P36" i="81"/>
  <c r="Z26" i="81"/>
  <c r="Z34" i="81"/>
  <c r="T34" i="81"/>
  <c r="J28" i="81"/>
  <c r="Z30" i="81"/>
  <c r="T45" i="81"/>
  <c r="AC33" i="81"/>
  <c r="Z27" i="81"/>
  <c r="H37" i="81"/>
  <c r="AC36" i="81"/>
  <c r="P26" i="81"/>
  <c r="H42" i="81"/>
  <c r="H35" i="81"/>
  <c r="P39" i="81"/>
  <c r="H40" i="81"/>
  <c r="P44" i="81"/>
  <c r="AC40" i="81"/>
  <c r="Z45" i="81"/>
  <c r="Z42" i="81"/>
  <c r="AC32" i="81"/>
  <c r="T32" i="81"/>
  <c r="P37" i="81"/>
  <c r="Z41" i="81"/>
  <c r="J37" i="81"/>
  <c r="P33" i="81"/>
  <c r="Z38" i="81"/>
  <c r="AC30" i="81"/>
  <c r="P43" i="81"/>
  <c r="P29" i="81"/>
  <c r="H41" i="81"/>
  <c r="T31" i="81"/>
  <c r="Z44" i="81"/>
  <c r="T41" i="81"/>
  <c r="AC31" i="81"/>
  <c r="J45" i="81"/>
  <c r="J38" i="81"/>
  <c r="AC29" i="81"/>
  <c r="P35" i="81"/>
  <c r="Z36" i="81"/>
  <c r="AC28" i="81"/>
  <c r="AC34" i="81"/>
  <c r="Z40" i="81"/>
  <c r="T42" i="81"/>
  <c r="T28" i="81"/>
  <c r="P30" i="81"/>
  <c r="P41" i="81"/>
  <c r="P28" i="81"/>
  <c r="AC43" i="81"/>
  <c r="J33" i="81"/>
  <c r="AC42" i="81"/>
  <c r="H32" i="81"/>
  <c r="Z29" i="81"/>
  <c r="H34" i="81"/>
  <c r="J26" i="81"/>
  <c r="J27" i="81"/>
  <c r="H26" i="81"/>
  <c r="H44" i="81"/>
  <c r="AC27" i="81"/>
  <c r="H31" i="81"/>
  <c r="AC38" i="81"/>
  <c r="T35" i="81"/>
  <c r="P42" i="81"/>
  <c r="T33" i="81"/>
  <c r="Z31" i="81"/>
  <c r="Z37" i="81"/>
  <c r="AC26" i="81"/>
  <c r="H27" i="81"/>
  <c r="T44" i="81"/>
  <c r="P45" i="81"/>
  <c r="H43" i="81"/>
  <c r="T27" i="81"/>
  <c r="AC44" i="81"/>
  <c r="J30" i="81"/>
  <c r="T29" i="81"/>
  <c r="AC41" i="81"/>
  <c r="T30" i="81"/>
  <c r="J39" i="81"/>
  <c r="Z28" i="81"/>
  <c r="T37" i="81"/>
  <c r="T40" i="81"/>
  <c r="H38" i="81"/>
  <c r="Z35" i="81"/>
  <c r="AC45" i="81"/>
  <c r="Z43" i="81"/>
  <c r="J29" i="81"/>
  <c r="J34" i="81"/>
  <c r="H33" i="81"/>
  <c r="P34" i="81"/>
  <c r="T38" i="81"/>
  <c r="H30" i="81"/>
  <c r="T26" i="81"/>
  <c r="AI26" i="81" l="1"/>
  <c r="AI38" i="81"/>
  <c r="AJ34" i="81"/>
  <c r="AM43" i="81"/>
  <c r="AL45" i="81"/>
  <c r="AM35" i="81"/>
  <c r="AI40" i="81"/>
  <c r="AI37" i="81"/>
  <c r="AM28" i="81"/>
  <c r="AI30" i="81"/>
  <c r="AL41" i="81"/>
  <c r="AI29" i="81"/>
  <c r="AL44" i="81"/>
  <c r="AI27" i="81"/>
  <c r="AJ45" i="81"/>
  <c r="AI44" i="81"/>
  <c r="AL26" i="81"/>
  <c r="AM37" i="81"/>
  <c r="AM31" i="81"/>
  <c r="AI33" i="81"/>
  <c r="AJ42" i="81"/>
  <c r="AI35" i="81"/>
  <c r="AL38" i="81"/>
  <c r="AL27" i="81"/>
  <c r="AM29" i="81"/>
  <c r="AL42" i="81"/>
  <c r="AL43" i="81"/>
  <c r="AJ28" i="81"/>
  <c r="AJ41" i="81"/>
  <c r="AJ30" i="81"/>
  <c r="AI28" i="81"/>
  <c r="AI42" i="81"/>
  <c r="AM40" i="81"/>
  <c r="AL34" i="81"/>
  <c r="AL28" i="81"/>
  <c r="AM36" i="81"/>
  <c r="AJ35" i="81"/>
  <c r="AL29" i="81"/>
  <c r="AL31" i="81"/>
  <c r="AI41" i="81"/>
  <c r="AM44" i="81"/>
  <c r="AI31" i="81"/>
  <c r="AJ29" i="81"/>
  <c r="AJ43" i="81"/>
  <c r="AL30" i="81"/>
  <c r="AM38" i="81"/>
  <c r="AJ33" i="81"/>
  <c r="AM41" i="81"/>
  <c r="AJ37" i="81"/>
  <c r="AI32" i="81"/>
  <c r="AL32" i="81"/>
  <c r="AM42" i="81"/>
  <c r="AM45" i="81"/>
  <c r="AL40" i="81"/>
  <c r="AJ44" i="81"/>
  <c r="AJ39" i="81"/>
  <c r="AJ26" i="81"/>
  <c r="AL36" i="81"/>
  <c r="AM27" i="81"/>
  <c r="AL33" i="81"/>
  <c r="AI45" i="81"/>
  <c r="AM30" i="81"/>
  <c r="AI34" i="81"/>
  <c r="AM34" i="81"/>
  <c r="AM26" i="81"/>
  <c r="AJ36" i="81"/>
  <c r="AJ27" i="81"/>
  <c r="AJ31" i="81"/>
  <c r="AJ38" i="81"/>
  <c r="AL37" i="81"/>
  <c r="AI39" i="81"/>
  <c r="AI43" i="81"/>
  <c r="AM33" i="81"/>
  <c r="AL35" i="81"/>
  <c r="AJ40" i="81"/>
  <c r="AM32" i="81"/>
  <c r="AJ32" i="81"/>
  <c r="AM39" i="81"/>
  <c r="AI36" i="81"/>
  <c r="AL39" i="81"/>
  <c r="AH43" i="81" l="1"/>
  <c r="AH29" i="81"/>
  <c r="AK27" i="81"/>
  <c r="AK33" i="81"/>
  <c r="AH39" i="81"/>
  <c r="AK28" i="81"/>
  <c r="AK38" i="81"/>
  <c r="AK41" i="81"/>
  <c r="AK30" i="81"/>
  <c r="AK34" i="81"/>
  <c r="AH42" i="81"/>
  <c r="AH33" i="81"/>
  <c r="AH37" i="81"/>
  <c r="AK37" i="81"/>
  <c r="AH36" i="81"/>
  <c r="AH28" i="81"/>
  <c r="AH40" i="81"/>
  <c r="AH35" i="81"/>
  <c r="AK40" i="81"/>
  <c r="AH31" i="81"/>
  <c r="AH30" i="81"/>
  <c r="AK26" i="81"/>
  <c r="AK45" i="81"/>
  <c r="AK39" i="81"/>
  <c r="AH41" i="81"/>
  <c r="AH44" i="81"/>
  <c r="AK36" i="81"/>
  <c r="AH34" i="81"/>
  <c r="AK32" i="81"/>
  <c r="AK31" i="81"/>
  <c r="AK43" i="81"/>
  <c r="AK35" i="81"/>
  <c r="AK29" i="81"/>
  <c r="AK42" i="81"/>
  <c r="AH27" i="81"/>
  <c r="AH38" i="81"/>
  <c r="AH32" i="81"/>
  <c r="AH45" i="81"/>
  <c r="AK44" i="81"/>
  <c r="AH26" i="81"/>
</calcChain>
</file>

<file path=xl/comments1.xml><?xml version="1.0" encoding="utf-8"?>
<comments xmlns="http://schemas.openxmlformats.org/spreadsheetml/2006/main">
  <authors>
    <author>Microsoft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&lt;?xml version="1.0" encoding="utf-8"?&gt;&lt;Schema xmlns:xsd="http://www.w3.org/2001/XMLSchema" xmlns:xsi="http://www.w3.org/2001/XMLSchema-instance" Version="2" Timestamp="1648707636"&gt;&lt;FQL&gt;&lt;Q&gt;FDS^FG_COMPANY_NAME&lt;/Q&gt;&lt;R&gt;1&lt;/R&gt;&lt;C&gt;1&lt;/C&gt;&lt;D xsi:type="xsd:string"&gt;FactSet Research Systems Inc.&lt;/D&gt;&lt;/FQL&gt;&lt;FQL&gt;&lt;Q&gt;FDS^FG_BUS_DESC_BRIEF("ARRAY")[0]&lt;/Q&gt;&lt;R&gt;1&lt;/R&gt;&lt;C&gt;1&lt;/C&gt;&lt;D xsi:type="xsd:string"&gt;FactSet Research Systems Inc. (the "Company" or "FactSet") is a global&lt;/D&gt;&lt;/FQL&gt;&lt;FQL&gt;&lt;Q&gt;FDS^FG_BUS_DESC_BRIEF("ARRAY")[1]&lt;/Q&gt;&lt;R&gt;1&lt;/R&gt;&lt;C&gt;1&lt;/C&gt;&lt;D xsi:type="xsd:string"&gt;provider of integrated financial information, analytical applications and&lt;/D&gt;&lt;/FQL&gt;&lt;FQL&gt;&lt;Q&gt;FDS^FG_BUS_DESC_BRIEF("ARRAY")[2]&lt;/Q&gt;&lt;R&gt;1&lt;/R&gt;&lt;C&gt;1&lt;/C&gt;&lt;D xsi:type="xsd:string"&gt;services for the investment and corporate communities. Since inception,&lt;/D&gt;&lt;/FQL&gt;&lt;FQL&gt;&lt;Q&gt;FDS^FG_BUS_DESC_BRIEF("ARRAY")[3]&lt;/Q&gt;&lt;R&gt;1&lt;/R&gt;&lt;C&gt;1&lt;/C&gt;&lt;D xsi:type="xsd:string"&gt;global financial professionals have utilized the Company's content and&lt;/D&gt;&lt;/FQL&gt;&lt;FQL&gt;&lt;Q&gt;FDS^FG_BUS_DESC_BRIEF("ARRAY")[4]&lt;/Q&gt;&lt;R&gt;1&lt;/R&gt;&lt;C&gt;1&lt;/C&gt;&lt;D xsi:type="xsd:string"&gt;multi-asset class solutions across each stage of the investment process.&lt;/D&gt;&lt;/FQL&gt;&lt;FQL&gt;&lt;Q&gt;FDS^FG_BUS_DESC_BRIEF("ARRAY")[5]&lt;/Q&gt;&lt;R&gt;1&lt;/R&gt;&lt;C&gt;1&lt;/C&gt;&lt;D xsi:type="xsd:string"&gt;FactSet's goal is to provide a seamless user experience spanning idea&lt;/D&gt;&lt;/FQL&gt;&lt;FQL&gt;&lt;Q&gt;FDS^FG_BUS_DESC_BRIEF("ARRAY")[6]&lt;/Q&gt;&lt;R&gt;1&lt;/R&gt;&lt;C&gt;1&lt;/C&gt;&lt;D xsi:type="xsd:string"&gt;generation, research, portfolio construction, trade execution,&lt;/D&gt;&lt;/FQL&gt;&lt;FQL&gt;&lt;Q&gt;FDS^FG_BUS_DESC_BRIEF("ARRAY")[7]&lt;/Q&gt;&lt;R&gt;1&lt;/R&gt;&lt;C&gt;1&lt;/C&gt;&lt;D xsi:type="xsd:string"&gt;performance measurement, risk management, reporting, and portfolio&lt;/D&gt;&lt;/FQL&gt;&lt;FQL&gt;&lt;Q&gt;FDS^FG_BUS_DESC_BRIEF("ARRAY")[8]&lt;/Q&gt;&lt;R&gt;1&lt;/R&gt;&lt;C&gt;1&lt;/C&gt;&lt;D xsi:type="xsd:string"&gt;analysis, in which the Company serves the front, middle, and back offices&lt;/D&gt;&lt;/FQL&gt;&lt;FQL&gt;&lt;Q&gt;FDS^FG_BUS_DESC_BRIEF("ARRAY")[9]&lt;/Q&gt;&lt;R&gt;1&lt;/R&gt;&lt;C&gt;1&lt;/C&gt;&lt;D xsi:type="xsd:string"&gt;to drive productivity and improved performance. FactSet's flexible, open&lt;/D&gt;&lt;/FQL&gt;&lt;FQL&gt;&lt;Q&gt;FDS^FG_BUS_DESC_BRIEF("ARRAY")[10]&lt;/Q&gt;&lt;R&gt;1&lt;/R&gt;&lt;C&gt;1&lt;/C&gt;&lt;D xsi:type="xsd:string"&gt;data and technology solutions can be implemented both across the&lt;/D&gt;&lt;/FQL&gt;&lt;FQL&gt;&lt;Q&gt;FDS^FG_BUS_DESC_BRIEF("ARRAY")[11]&lt;/Q&gt;&lt;R&gt;1&lt;/R&gt;&lt;C&gt;1&lt;/C&gt;&lt;D xsi:type="xsd:string"&gt;investment portfolio lifecycle or as standalone components serving&lt;/D&gt;&lt;/FQL&gt;&lt;FQL&gt;&lt;Q&gt;FDS^FG_BUS_DESC_BRIEF("ARRAY")[12]&lt;/Q&gt;&lt;R&gt;1&lt;/R&gt;&lt;C&gt;1&lt;/C&gt;&lt;D xsi:type="xsd:string"&gt;different workflows in the organization. FactSet is focused on growing&lt;/D&gt;&lt;/FQL&gt;&lt;FQL&gt;&lt;Q&gt;FDS^FG_BUS_DESC_BRIEF("ARRAY")[13]&lt;/Q&gt;&lt;R&gt;1&lt;/R&gt;&lt;C&gt;1&lt;/C&gt;&lt;D xsi:type="xsd:string"&gt;the business throughout each of its three segments, the Americas, EMEA&lt;/D&gt;&lt;/FQL&gt;&lt;FQL&gt;&lt;Q&gt;FDS^FG_BUS_DESC_BRIEF("ARRAY")[14]&lt;/Q&gt;&lt;R&gt;1&lt;/R&gt;&lt;C&gt;1&lt;/C&gt;&lt;D xsi:type="xsd:string"&gt;(formerly known as Europe), and Asia Pacific. The Company primarily&lt;/D&gt;&lt;/FQL&gt;&lt;FQL&gt;&lt;Q&gt;FDS^FG_ADDRESS_L1&lt;/Q&gt;&lt;R&gt;1&lt;/R&gt;&lt;C&gt;1&lt;/C&gt;&lt;D xsi:type="xsd:string"&gt;45 Glover Avenue&lt;/D&gt;&lt;/FQL&gt;&lt;FQL&gt;&lt;Q&gt;FDS^FG_ADDRESS_L2&lt;/Q&gt;&lt;R&gt;1&lt;/R&gt;&lt;C&gt;1&lt;/C&gt;&lt;D xsi:type="xsd:string"&gt;Norwalk, Connecticut 06850 US&lt;/D&gt;&lt;/FQL&gt;&lt;FQL&gt;&lt;Q&gt;FDS^PROPER(FG_COUNTRY)&lt;/Q&gt;&lt;R&gt;1&lt;/R&gt;&lt;C&gt;1&lt;/C&gt;&lt;D xsi:type="xsd:string"&gt;United States&lt;/D&gt;&lt;/FQL&gt;&lt;FQL&gt;&lt;Q&gt;JD^FG_BUS_DESC_BRIEF("ARRAY")[0]&lt;/Q&gt;&lt;R&gt;1&lt;/R&gt;&lt;C&gt;1&lt;/C&gt;&lt;D xsi:type="xsd:string"&gt;JD.com, Inc. is a technology driven E-commerce company. It engages in the&lt;/D&gt;&lt;/FQL&gt;&lt;FQL&gt;&lt;Q&gt;FDS^FG_PRICE_ICS(0/0/-1,NOW,D,LOCAL,SPLIT,0,,,5)&lt;/Q&gt;&lt;R&gt;254&lt;/R&gt;&lt;C&gt;1&lt;/C&gt;&lt;D xsi:type="xsd:double"&gt;332.8&lt;/D&gt;&lt;D xsi:type="xsd:double"&gt;327.97&lt;/D&gt;&lt;D xsi:type="xsd:double"&gt;328.48&lt;/D&gt;&lt;D xsi:type="xsd:double"&gt;322.27&lt;/D&gt;&lt;D xsi:type="xsd:double"&gt;318.9&lt;/D&gt;&lt;D xsi:type="xsd:double"&gt;311.23&lt;/D&gt;&lt;D xsi:type="xsd:double"&gt;310.25&lt;/D&gt;&lt;D xsi:type="xsd:double"&gt;306.5&lt;/D&gt;&lt;D xsi:type="xsd:double"&gt;311.18&lt;/D&gt;&lt;D xsi:type="xsd:double"&gt;319.48&lt;/D&gt;&lt;D xsi:type="xsd:double"&gt;327.88&lt;/D&gt;&lt;D xsi:type="xsd:double"&gt;332.97&lt;/D&gt;&lt;D xsi:type="xsd:double"&gt;335.83&lt;/D&gt;&lt;D xsi:type="xsd:double"&gt;316.71&lt;/D&gt;&lt;D xsi:type="xsd:double"&gt;323.1&lt;/D&gt;&lt;D xsi:type="xsd:double"&gt;335.15&lt;/D&gt;&lt;D xsi:type="xsd:double"&gt;324.76&lt;/D&gt;&lt;D xsi:type="xsd:double"&gt;328.26&lt;/D&gt;&lt;D xsi:type="xsd:double"&gt;329.95&lt;/D&gt;&lt;D xsi:type="xsd:double"&gt;323.25&lt;/D&gt;&lt;D xsi:type="xsd:double"&gt;317.06&lt;/D&gt;&lt;D xsi:type="xsd:double"&gt;317.96&lt;/D&gt;&lt;D xsi:type="xsd:double"&gt;321.55&lt;/D&gt;&lt;D xsi:type="xsd:double"&gt;318.88&lt;/D&gt;&lt;D xsi:type="xsd:double"&gt;319.88&lt;/D&gt;&lt;D xsi:type="xsd:double"&gt;322.28&lt;/D&gt;&lt;D xsi:type="xsd:double"&gt;322.75&lt;/D&gt;&lt;D xsi:type="xsd:double"&gt;333.76&lt;/D&gt;&lt;D xsi:type="xsd:double"&gt;342.23&lt;/D&gt;&lt;D xsi:type="xsd:double"&gt;336.15&lt;/D&gt;&lt;D xsi:type="xsd:double"&gt;346.57&lt;/D&gt;&lt;D xsi:type="xsd:double"&gt;351.01&lt;/D&gt;&lt;D xsi:type="xsd:double"&gt;351.71&lt;/D&gt;&lt;D xsi:type="xsd:double"&gt;348.57&lt;/D&gt;&lt;D xsi:type="xsd:double"&gt;345.76&lt;/D&gt;&lt;D xsi:type="xsd:double"&gt;348.69&lt;/D&gt;&lt;D xsi:type="xsd:double"&gt;351.47&lt;/D&gt;&lt;D xsi:type="xsd:double"&gt;344.89&lt;/D&gt;&lt;D xsi:type="xsd:double"&gt;347.99&lt;/D&gt;&lt;D xsi:type="xsd:double"&gt;345.38&lt;/D&gt;&lt;D xsi:type="xsd:double"&gt;345.23&lt;/D&gt;&lt;D xsi:type="xsd:double"&gt;347.03&lt;/D&gt;&lt;D xsi:type="xsd:double"&gt;332.65&lt;/D&gt;&lt;D xsi:type="xsd:double"&gt;331&lt;/D&gt;&lt;D xsi:type="xsd:double"&gt;325.08&lt;/D&gt;&lt;D xsi:type="xsd:double"&gt;327.43&lt;/D&gt;&lt;D xsi:type="xsd:double"&gt;330.02&lt;/D&gt;&lt;D xsi:type="xsd:double"&gt;327.33&lt;/D&gt;&lt;D xsi:type="xsd:double"&gt;328.38&lt;/D&gt;&lt;D xsi:type="xsd:double"&gt;332.5&lt;/D&gt;&lt;D xsi:type="xsd:double"&gt;330.59&lt;/D&gt;&lt;D xsi:type="xsd:double"&gt;329.58&lt;/D&gt;&lt;D xsi:type="xsd:double"&gt;332.23&lt;/D&gt;&lt;D xsi:type="xsd:double"&gt;334.4&lt;/D&gt;&lt;D xsi:type="xsd:double"&gt;334.45&lt;/D&gt;&lt;D xsi:type="xsd:double"&gt;332.25&lt;/D&gt;&lt;D xsi:type="xsd:double"&gt;335.44&lt;/D&gt;&lt;D xsi:type="xsd:double"&gt;330.99&lt;/D&gt;&lt;D xsi:type="xsd:double"&gt;320.64&lt;/D&gt;&lt;D xsi:type="xsd:double"&gt;318.2&lt;/D&gt;&lt;D xsi:type="xsd:double"&gt;319.35&lt;/D&gt;&lt;D xsi:type="xsd:double"&gt;327.45&lt;/D&gt;&lt;D xsi:type="xsd:double"&gt;324.72&lt;/D&gt;&lt;D xsi:type="xsd:double"&gt;320.23&lt;/D&gt;&lt;D xsi:type="xsd:double"&gt;317.52&lt;/D&gt;&lt;D xsi:type="xsd:double"&gt;311.9&lt;/D&gt;&lt;D xsi:type="xsd:double"&gt;312.69&lt;/D&gt;&lt;D xsi:type="xsd:double"&gt;308.79&lt;/D&gt;&lt;D xsi:type="xsd:double"&gt;302.34&lt;/D&gt;&lt;D xsi:type="xsd:double"&gt;312.26&lt;/D&gt;&lt;D xsi:type="xsd:double"&gt;317.7&lt;/D&gt;&lt;D xsi:type="xsd:double"&gt;315.35&lt;/D&gt;&lt;D xsi:type="xsd:double"&gt;315.84&lt;/D&gt;&lt;D xsi:type="xsd:double"&gt;317.97&lt;/D&gt;&lt;D xsi:type="xsd:double"&gt;320.95&lt;/D&gt;&lt;D xsi:type="xsd:double"&gt;313.6&lt;/D&gt;&lt;D xsi:type="xsd:double"&gt;309.41&lt;/D&gt;&lt;D xsi:type="xsd:double"&gt;317.14&lt;/D&gt;&lt;D xsi:type="xsd:double"&gt;316&lt;/D&gt;&lt;D xsi:type="xsd:double"&gt;312.6&lt;/D&gt;&lt;D xsi:type="xsd:double"&gt;315.04&lt;/D&gt;&lt;D xsi:type="xsd:double"&gt;318.5&lt;/D&gt;&lt;D xsi:type="xsd:double"&gt;313.68&lt;/D&gt;&lt;D xsi:type="xsd:double"&gt;303.87&lt;/D&gt;&lt;D xsi:type="xsd:double"&gt;302.79&lt;/D&gt;&lt;D xsi:type="xsd:double"&gt;300.94&lt;/D&gt;&lt;D xsi:type="xsd:double"&gt;294.35&lt;/D&gt;&lt;D xsi:type="xsd:double"&gt;303.91&lt;/D&gt;&lt;D xsi:type="xsd:double"&gt;311.18&lt;/D&gt;&lt;D xsi:type="xsd:double"&gt;310.92&lt;/D&gt;&lt;D xsi:type="xsd:double"&gt;308.87&lt;/D&gt;&lt;D xsi:type="xsd:double"&gt;305.09&lt;/D&gt;&lt;D xsi:type="xsd:double"&gt;314.25&lt;/D&gt;&lt;D xsi:type="xsd:double"&gt;315.9&lt;/D&gt;&lt;D xsi:type="xsd:double"&gt;312.49&lt;/D&gt;&lt;D xsi:type="xsd:double"&gt;312.29&lt;/D&gt;&lt;D xsi:type="xsd:double"&gt;312.74&lt;/D&gt;&lt;D xsi:type="xsd:double"&gt;310.9&lt;/D&gt;&lt;D xsi:type="xsd:double"&gt;318.52&lt;/D&gt;&lt;D xsi:type="xsd:double"&gt;317.76&lt;/D&gt;&lt;D xsi:type="xsd:double"&gt;316.3&lt;/D&gt;&lt;D xsi:type="xsd:double"&gt;310.1&lt;/D&gt;&lt;D xsi:type="xsd:double"&gt;311.44&lt;/D&gt;&lt;D xsi:type="xsd:double"&gt;314.38&lt;/D&gt;&lt;D xsi:type="xsd:double"&gt;320.4&lt;/D&gt;&lt;D xsi:type="xsd:double"&gt;321.35&lt;/D&gt;&lt;D xsi:type="xsd:double"&gt;321.17&lt;/D&gt;&lt;D xsi:type="xsd:double"&gt;325.62&lt;/D&gt;&lt;D xsi:type="xsd:double"&gt;323.95&lt;/D&gt;&lt;D xsi:type="xsd:double"&gt;311.34&lt;/D&gt;&lt;D xsi:type="xsd:double"&gt;308.59&lt;/D&gt;&lt;D xsi:type="xsd:double"&gt;317.01&lt;/D&gt;&lt;D xsi:type="xsd:double"&gt;320.55&lt;/D&gt;&lt;D xsi:type="xsd:double"&gt;318.18&lt;/D&gt;&lt;D xsi:type="xsd:double"&gt;309.36&lt;/D&gt;&lt;D xsi:type="xsd:double"&gt;310.14&lt;/D&gt;&lt;D xsi:type="xsd:double"&gt;309.13&lt;/D&gt;&lt;D xsi:type="xsd:double"&gt;311.26&lt;/D&gt;&lt;D xsi:type="xsd:double"&gt;311.4&lt;/D&gt;&lt;D xsi:type="xsd:double"&gt;309.26&lt;/D&gt;&lt;D xsi:type="xsd:double"&gt;314.9&lt;/D&gt;&lt;D xsi:type="xsd:double"&gt;319.27&lt;/D&gt;&lt;D xsi:type="xsd:double"&gt;317.34&lt;/D&gt;&lt;D xsi:type="xsd:double"&gt;318.85&lt;/D&gt;&lt;D xsi:type="xsd:double"&gt;321.75&lt;/D&gt;&lt;D xsi:type="xsd:double"&gt;323.79&lt;/D&gt;&lt;D xsi:type="xsd:double"&gt;347.1&lt;/D&gt;&lt;D xsi:type="xsd:double"&gt;336.91&lt;/D&gt;&lt;D xsi:type="xsd:double"&gt;342.16&lt;/D&gt;&lt;D xsi:type="xsd:double"&gt;336.4&lt;/D&gt;&lt;D xsi:type="xsd:double"&gt;341.27&lt;/D&gt;&lt;D xsi:type="xsd:double"&gt;336.22&lt;/D&gt;&lt;D xsi:type="xsd:double"&gt;342.06&lt;/D&gt;&lt;D xsi:type="xsd:double"&gt;345.6&lt;/D&gt;&lt;D xsi:type="xsd:double"&gt;336.55&lt;/D&gt;&lt;D xsi:type="xsd:double"&gt;338.06&lt;/D&gt;&lt;D xsi:type="xsd:double"&gt;337.05&lt;/D&gt;&lt;D xsi:type="xsd:double"&gt;335.11&lt;/D&gt;&lt;D xsi:type="xsd:double"&gt;331.86&lt;/D&gt;&lt;D xsi:type="xsd:double"&gt;326.51&lt;/D&gt;&lt;D xsi:type="xsd:double"&gt;328.53&lt;/D&gt;&lt;D xsi:type="xsd:double"&gt;330.91&lt;/D&gt;&lt;D xsi:type="xsd:double"&gt;326.53&lt;/D&gt;&lt;D xsi:type="xsd:double"&gt;321.72&lt;/D&gt;&lt;D xsi:type="xsd:double"&gt;322.4&lt;/D&gt;&lt;D xsi:type="xsd:double"&gt;327.31&lt;/D&gt;&lt;D xsi:type="xsd:double"&gt;328.15&lt;/D&gt;&lt;D xsi:type="xsd:double"&gt;328.94&lt;/D&gt;&lt;D xsi:type="xsd:double"&gt;329.73&lt;/D&gt;&lt;D xsi:type="xsd:double"&gt;331.51&lt;/D&gt;&lt;D xsi:type="xsd:double"&gt;332.26&lt;/D&gt;&lt;D xsi:type="xsd:double"&gt;334.36&lt;/D&gt;&lt;D xsi:type="xsd:double"&gt;324.11&lt;/D&gt;&lt;D xsi:type="xsd:double"&gt;327.49&lt;/D&gt;&lt;D xsi:type="xsd:double"&gt;324.98&lt;/D&gt;&lt;D xsi:type="xsd:double"&gt;325.42&lt;/D&gt;&lt;D xsi:type="xsd:double"&gt;323.15&lt;/D&gt;&lt;D xsi:type="xsd:double"&gt;323.4&lt;/D&gt;&lt;D xsi:type="xsd:double"&gt;321.78&lt;/D&gt;&lt;D xsi:type="xsd:double"&gt;324.44&lt;/D&gt;&lt;D xsi:type="xsd:double"&gt;328.4&lt;/D&gt;&lt;D xsi:type="xsd:double"&gt;328&lt;/D&gt;&lt;D xsi:type="xsd:double"&gt;327.98&lt;/D&gt;&lt;D xsi:type="xsd:double"&gt;326.47&lt;/D&gt;&lt;D xsi:type="xsd:double"&gt;328.58&lt;/D&gt;&lt;D xsi:type="xsd:double"&gt;325.34&lt;/D&gt;&lt;D xsi:type="xsd:double"&gt;329.67&lt;/D&gt;&lt;D xsi:type="xsd:double"&gt;330.79&lt;/D&gt;&lt;D xsi:type="xsd:double"&gt;328.52&lt;/D&gt;&lt;D xsi:type="xsd:double"&gt;330.63&lt;/D&gt;&lt;D xsi:type="xsd:double"&gt;332.08&lt;/D&gt;&lt;D xsi:type="xsd:double"&gt;337.03&lt;/D&gt;&lt;D xsi:type="xsd:double"&gt;336.11&lt;/D&gt;&lt;D xsi:type="xsd:double"&gt;335.61&lt;/D&gt;&lt;D xsi:type="xsd:double"&gt;335.83&lt;/D&gt;&lt;D xsi:type="xsd:double"&gt;338.47&lt;/D&gt;&lt;D xsi:type="xsd:double"&gt;341.01&lt;/D&gt;&lt;D xsi:type="xsd:double"&gt;339.59&lt;/D&gt;&lt;D xsi:type="xsd:double"&gt;340.84&lt;/D&gt;&lt;D xsi:type="xsd:double"&gt;343.2&lt;/D&gt;&lt;D xsi:type="xsd:double"&gt;339.54&lt;/D&gt;&lt;D xsi:type="xsd:double"&gt;335.5&lt;/D&gt;&lt;D xsi:type="xsd:double"&gt;335.71&lt;/D&gt;&lt;D xsi:type="xsd:double"&gt;338.84&lt;/D&gt;&lt;D xsi:type="xsd:double"&gt;341.18&lt;/D&gt;&lt;D xsi:type="xsd:double"&gt;337.18&lt;/D&gt;&lt;D xsi:type="xsd:double"&gt;339.93&lt;/D&gt;&lt;D xsi:type="xsd:double"&gt;340.49&lt;/D&gt;&lt;D xsi:type="xsd:double"&gt;340.83&lt;/D&gt;&lt;D xsi:type="xsd:double"&gt;345.23&lt;/D&gt;&lt;D xsi:type="xsd:double"&gt;342.75&lt;/D&gt;&lt;D xsi:type="xsd:double"&gt;344.09&lt;/D&gt;&lt;D xsi:type="xsd:double"&gt;345.35&lt;/D&gt;&lt;D xsi:type="xsd:double"&gt;349.2&lt;/D&gt;&lt;D xsi:type="xsd:double"&gt;357.28&lt;/D&gt;&lt;D xsi:type="xsd:double"&gt;359.22&lt;/D&gt;&lt;D xsi:type="xsd:double"&gt;357.98&lt;/D&gt;&lt;D xsi:type="xsd:double"&gt;358.79&lt;/D&gt;&lt;D xsi:type="xsd:double"&gt;358.99&lt;/D&gt;&lt;D xsi:type="xsd:double"&gt;362.19&lt;/D&gt;&lt;D xsi:type="xsd:double"&gt;362.61&lt;/D&gt;&lt;D xsi:type="xsd:double"&gt;362&lt;/D&gt;&lt;D xsi:type="xsd:double"&gt;364.34&lt;/D&gt;&lt;D xsi:type="xsd:double"&gt;362.78&lt;/D&gt;&lt;D xsi:type="xsd:double"&gt;368.12&lt;/D&gt;&lt;D xsi:type="xsd:double"&gt;373.94&lt;/D&gt;&lt;D xsi:type="xsd:double"&gt;374.57&lt;/D&gt;&lt;D xsi:type="xsd:double"&gt;361.17&lt;/D&gt;&lt;D xsi:type="xsd:double"&gt;365.16&lt;/D&gt;&lt;D xsi:type="xsd:double"&gt;368.98&lt;/D&gt;&lt;D xsi:type="xsd:double"&gt;366.61&lt;/D&gt;&lt;D xsi:type="xsd:double"&gt;367.64&lt;/D&gt;&lt;D xsi:type="xsd:double"&gt;376&lt;/D&gt;&lt;D xsi:type="xsd:double"&gt;374.01&lt;/D&gt;&lt;D xsi:type="xsd:double"&gt;376.58&lt;/D&gt;&lt;D xsi:type="xsd:double"&gt;380.08&lt;/D&gt;&lt;D xsi:type="xsd:double"&gt;380.22&lt;/D&gt;&lt;D xsi:type="xsd:double"&gt;385.84&lt;/D&gt;&lt;D xsi:type="xsd:double"&gt;386.91&lt;/D&gt;&lt;D xsi:type="xsd:double"&gt;385.91&lt;/D&gt;&lt;D xsi:type="xsd:double"&gt;382.41&lt;/D&gt;&lt;D xsi:type="xsd:double"&gt;384.84&lt;/D&gt;&lt;D xsi:type="xsd:double"&gt;383.57&lt;/D&gt;&lt;D xsi:type="xsd:double"&gt;384.01&lt;/D&gt;&lt;D xsi:type="xsd:double"&gt;382.58&lt;/D&gt;&lt;D xsi:type="xsd:double"&gt;383.75&lt;/D&gt;&lt;D xsi:type="xsd:double"&gt;383.77&lt;/D&gt;&lt;D xsi:type="xsd:double"&gt;382.18&lt;/D&gt;&lt;D xsi:type="xsd:double"&gt;378.25&lt;/D&gt;&lt;D xsi:type="xsd:double"&gt;374.51&lt;/D&gt;&lt;D xsi:type="xsd:double"&gt;371.11&lt;/D&gt;&lt;D xsi:type="xsd:double"&gt;374.43&lt;/D&gt;&lt;D xsi:type="xsd:double"&gt;373.5&lt;/D&gt;&lt;D xsi:type="xsd:double"&gt;372.78&lt;/D&gt;&lt;D xsi:type="xsd:double"&gt;369.12&lt;/D&gt;&lt;D xsi:type="xsd:double"&gt;383.29&lt;/D&gt;&lt;D xsi:type="xsd:double"&gt;394.51&lt;/D&gt;&lt;D xsi:type="xsd:double"&gt;394.78&lt;/D&gt;&lt;D xsi:type="xsd:double"&gt;394.13&lt;/D&gt;&lt;D xsi:type="xsd:double"&gt;396.61&lt;/D&gt;&lt;D xsi:type="xsd:double"&gt;396.74&lt;/D&gt;&lt;D xsi:type="xsd:double"&gt;394.82&lt;/D&gt;&lt;D xsi:type="xsd:double"&gt;401.66&lt;/D&gt;&lt;D xsi:type="xsd:double"&gt;401.13&lt;/D&gt;&lt;D xsi:type="xsd:double"&gt;405.15&lt;/D&gt;&lt;D xsi:type="xsd:double"&gt;410.86&lt;/D&gt;&lt;D xsi:type="xsd:double"&gt;409.73&lt;/D&gt;&lt;D xsi:type="xsd:double"&gt;414.66&lt;/D&gt;&lt;D xsi:type="xsd:double"&gt;414.89&lt;/D&gt;&lt;D xsi:type="xsd:double"&gt;415.8&lt;/D&gt;&lt;D xsi:type="xsd:double"&gt;422.35&lt;/D&gt;&lt;D xsi:type="xsd:double"&gt;421.32&lt;/D&gt;&lt;D xsi:type="xsd:double"&gt;426.99&lt;/D&gt;&lt;D xsi:type="xsd:double"&gt;426.99&lt;/D&gt;&lt;/FQL&gt;&lt;FQL&gt;&lt;Q&gt;FDS^FF_SALES(ANN,-4FY,0FY,,RP)&lt;/Q&gt;&lt;R&gt;5&lt;/R&gt;&lt;C&gt;1&lt;/C&gt;&lt;D xsi:type="xsd:double"&gt;1221.179&lt;/D&gt;&lt;D xsi:type="xsd:double"&gt;1350.145&lt;/D&gt;&lt;D xsi:type="xsd:double"&gt;1435.351&lt;/D&gt;&lt;D xsi:type="xsd:double"&gt;1494.111&lt;/D&gt;&lt;D xsi:type="xsd:double"&gt;1591.445&lt;/D&gt;&lt;/FQL&gt;&lt;FQL&gt;&lt;Q&gt;FDS^FF_SALES(ANN,-5FY,,,RP)&lt;/Q&gt;&lt;R&gt;1&lt;/R&gt;&lt;C&gt;1&lt;/C&gt;&lt;D xsi:type="xsd:double"&gt;1127.092&lt;/D&gt;&lt;/FQL&gt;&lt;FQL&gt;&lt;Q&gt;FDS^FF_SGA(ANN,-4FY,0FY,,RP)&lt;/Q&gt;&lt;R&gt;5&lt;/R&gt;&lt;C&gt;1&lt;/C&gt;&lt;D xsi:type="xsd:double"&gt;502.781&lt;/D&gt;&lt;D xsi:type="xsd:double"&gt;535.951&lt;/D&gt;&lt;D xsi:type="xsd:double"&gt;546.776&lt;/D&gt;&lt;D xsi:type="xsd:double"&gt;564.949&lt;/D&gt;&lt;D xsi:type="xsd:double"&gt;331.004&lt;/D&gt;&lt;/FQL&gt;&lt;FQL&gt;&lt;Q&gt;FDS^FF_SGA(ANN,-5FY,,,RP)&lt;/Q&gt;&lt;R&gt;1&lt;/R&gt;&lt;C&gt;1&lt;/C&gt;&lt;D xsi:type="xsd:double"&gt;282.856&lt;/D&gt;&lt;/FQL&gt;&lt;FQL&gt;&lt;Q&gt;FDS^FF_EBITDA_OPER(ANN,-4FY,0FY,,RP)&lt;/Q&gt;&lt;R&gt;5&lt;/R&gt;&lt;C&gt;1&lt;/C&gt;&lt;D xsi:type="xsd:double"&gt;421.412&lt;/D&gt;&lt;D xsi:type="xsd:double"&gt;437.783&lt;/D&gt;&lt;D xsi:type="xsd:double"&gt;500.292&lt;/D&gt;&lt;D xsi:type="xsd:double"&gt;558.515&lt;/D&gt;&lt;D xsi:type="xsd:double"&gt;581.363&lt;/D&gt;&lt;/FQL&gt;&lt;FQL&gt;&lt;Q&gt;FDS^FF_EBITDA_OPER(ANN,-5FY,,,RP)&lt;/Q&gt;&lt;R&gt;1&lt;/R&gt;&lt;C&gt;1&lt;/C&gt;&lt;D xsi:type="xsd:double"&gt;398.079&lt;/D&gt;&lt;/FQL&gt;&lt;FQL&gt;&lt;Q&gt;FDS^FF_EBIT_OPER(ANN,-4FY,0FY,,RP)&lt;/Q&gt;&lt;R&gt;5&lt;/R&gt;&lt;C&gt;1&lt;/C&gt;&lt;D xsi:type="xsd:double"&gt;373.118&lt;/D&gt;&lt;D xsi:type="xsd:double"&gt;380.498&lt;/D&gt;&lt;D xsi:type="xsd:double"&gt;439.829&lt;/D&gt;&lt;D xsi:type="xsd:double"&gt;457.716&lt;/D&gt;&lt;D xsi:type="xsd:double"&gt;474.041&lt;/D&gt;&lt;/FQL&gt;&lt;FQL&gt;&lt;Q&gt;FDS^FF_EBIT_OPER(ANN,-5FY,,,RP)&lt;/Q&gt;&lt;R&gt;1&lt;/R&gt;&lt;C&gt;1&lt;/C&gt;&lt;D xsi:type="xsd:double"&gt;360.027&lt;/D&gt;&lt;/FQL&gt;&lt;FQL&gt;&lt;Q&gt;FDS^FF_NET_INC(ANN,-4FY,0FY,,RP)&lt;/Q&gt;&lt;R&gt;5&lt;/R&gt;&lt;C&gt;1&lt;/C&gt;&lt;D xsi:type="xsd:double"&gt;258.259&lt;/D&gt;&lt;D xsi:type="xsd:double"&gt;267.085&lt;/D&gt;&lt;D xsi:type="xsd:double"&gt;352.79&lt;/D&gt;&lt;D xsi:type="xsd:double"&gt;372.938&lt;/D&gt;&lt;D xsi:type="xsd:double"&gt;399.59&lt;/D&gt;&lt;/FQL&gt;&lt;FQL&gt;&lt;Q&gt;FDS^FF_NET_INC(ANN,-5FY,,,RP)&lt;/Q&gt;&lt;R&gt;1&lt;/R&gt;&lt;C&gt;1&lt;/C&gt;&lt;D xsi:type="xsd:double"&gt;338.815&lt;/D&gt;&lt;/FQL&gt;&lt;FQL&gt;&lt;Q&gt;FDS^FF_EPS_DIL(ANN,-4FY,0FY,,RP)&lt;/Q&gt;&lt;R&gt;5&lt;/R&gt;&lt;C&gt;1&lt;/C&gt;&lt;D xsi:type="xsd:double"&gt;6.51&lt;/D&gt;&lt;D xsi:type="xsd:double"&gt;6.78&lt;/D&gt;&lt;D xsi:type="xsd:double"&gt;9.0754&lt;/D&gt;&lt;D xsi:type="xsd:double"&gt;9.6501&lt;/D&gt;&lt;D xsi:type="xsd:double"&gt;10.3601&lt;/D&gt;&lt;/FQL&gt;&lt;FQL&gt;&lt;Q&gt;FDS^FF_EPS_DIL(ANN,-5FY,,,RP)&lt;/Q&gt;&lt;R&gt;1&lt;/R&gt;&lt;C&gt;1&lt;/C&gt;&lt;D xsi:type="xsd:double"&gt;8.19&lt;/D&gt;&lt;/FQL&gt;&lt;FQL&gt;&lt;Q&gt;FDS^FF_ASSETS(ANN,-4FY,0FY,,RP)&lt;/Q&gt;&lt;R&gt;5&lt;/R&gt;&lt;C&gt;1&lt;/C&gt;&lt;D xsi:type="xsd:double"&gt;1413.315&lt;/D&gt;&lt;D xsi:type="xsd:double"&gt;1419.447&lt;/D&gt;&lt;D xsi:type="xsd:double"&gt;1560.13&lt;/D&gt;&lt;D xsi:type="xsd:double"&gt;2083.388&lt;/D&gt;&lt;D xsi:type="xsd:double"&gt;2222.847&lt;/D&gt;&lt;/FQL&gt;&lt;FQL&gt;&lt;Q&gt;FDS^FF_ASSETS(ANN,-5FY,,,RP)&lt;/Q&gt;&lt;R&gt;1&lt;/R&gt;&lt;C&gt;1&lt;/C&gt;&lt;D xsi:type="xsd:double"&gt;1019.161&lt;/D&gt;&lt;/FQL&gt;&lt;FQL&gt;&lt;Q&gt;FDS^FF_SHLDRS_EQ(ANN,-4FY,0FY,,RP)&lt;/Q&gt;&lt;R&gt;5&lt;/R&gt;&lt;C&gt;1&lt;/C&gt;&lt;D xsi:type="xsd:double"&gt;559.691&lt;/D&gt;&lt;D xsi:type="xsd:double"&gt;525.9&lt;/D&gt;&lt;D xsi:type="xsd:double"&gt;672.256&lt;/D&gt;&lt;D xsi:type="xsd:double"&gt;896.375&lt;/D&gt;&lt;D xsi:type="xsd:double"&gt;1016.353&lt;/D&gt;&lt;/FQL&gt;&lt;FQL&gt;&lt;Q&gt;FDS^FF_SHLDRS_EQ(ANN,-5FY,,,RP)&lt;/Q&gt;&lt;R&gt;1&lt;/R&gt;&lt;C&gt;1&lt;/C&gt;&lt;D xsi:type="xsd:double"&gt;517.381&lt;/D&gt;&lt;/FQL&gt;&lt;FQL&gt;&lt;Q&gt;FDS^FF_RECEIV_TOT(ANN,-4FY,0FY,,RP)&lt;/Q&gt;&lt;R&gt;5&lt;/R&gt;&lt;C&gt;1&lt;/C&gt;&lt;D xsi:type="xsd:double"&gt;148.331&lt;/D&gt;&lt;D xsi:type="xsd:double"&gt;156.639&lt;/D&gt;&lt;D xsi:type="xsd:double"&gt;146.309&lt;/D&gt;&lt;D xsi:type="xsd:double"&gt;155.011&lt;/D&gt;&lt;D xsi:type="xsd:double"&gt;151.187&lt;/D&gt;&lt;/FQL&gt;&lt;FQL&gt;&lt;Q&gt;FDS^FF_RECEIV_TOT(ANN,-5FY,,,RP)&lt;/Q&gt;&lt;R&gt;1&lt;/R&gt;&lt;C&gt;1&lt;/C&gt;&lt;D xsi:type="xsd:double"&gt;97.797&lt;/D&gt;&lt;/FQL&gt;&lt;FQL&gt;&lt;Q&gt;FDS^FF_INVEN(ANN,-4FY,,,RP)&lt;/Q&gt;&lt;R&gt;1&lt;/R&gt;&lt;C&gt;1&lt;/C&gt;&lt;D xsi:type="xsd:double"&gt;0&lt;/D&gt;&lt;/FQL&gt;&lt;FQL&gt;&lt;Q&gt;FDS^FF_COGS(ANN,-4FY,0FY,,RP)&lt;/Q&gt;&lt;R&gt;5&lt;/R&gt;&lt;C&gt;1&lt;/C&gt;&lt;D xsi:type="xsd:double"&gt;345.28&lt;/D&gt;&lt;D xsi:type="xsd:double"&gt;433.696&lt;/D&gt;&lt;D xsi:type="xsd:double"&gt;448.746&lt;/D&gt;&lt;D xsi:type="xsd:double"&gt;471.446&lt;/D&gt;&lt;D xsi:type="xsd:double"&gt;786.4&lt;/D&gt;&lt;/FQL&gt;&lt;FQL&gt;&lt;Q&gt;FDS^FF_INVEN(ANN,-5FY,,,RP)&lt;/Q&gt;&lt;R&gt;1&lt;/R&gt;&lt;C&gt;1&lt;/C&gt;&lt;D xsi:type="xsd:double"&gt;0&lt;/D&gt;&lt;/FQL&gt;&lt;FQL&gt;&lt;Q&gt;FDS^FF_PAY_ACCT(ANN,-4FY,0FY,,RP)&lt;/Q&gt;&lt;R&gt;5&lt;/R&gt;&lt;C&gt;1&lt;/C&gt;&lt;D xsi:type="xsd:double"&gt;59.214&lt;/D&gt;&lt;D xsi:type="xsd:double"&gt;70.328&lt;/D&gt;&lt;D xsi:type="xsd:double"&gt;76.045&lt;/D&gt;&lt;D xsi:type="xsd:double"&gt;80.14&lt;/D&gt;&lt;D xsi:type="xsd:double"&gt;85.777&lt;/D&gt;&lt;/FQL&gt;&lt;FQL&gt;&lt;Q&gt;FDS^FF_PAY_ACCT(ANN,-6FY,,,RP)&lt;/Q&gt;&lt;R&gt;1&lt;/R&gt;&lt;C&gt;1&lt;/C&gt;&lt;D xsi:type="xsd:double"&gt;33.88&lt;/D&gt;&lt;/FQL&gt;&lt;FQL&gt;&lt;Q&gt;FDS^P_LOCAL_INDEX&lt;/Q&gt;&lt;R&gt;1&lt;/R&gt;&lt;C&gt;1&lt;/C&gt;&lt;D xsi:type="xsd:string"&gt;SP50&lt;/D&gt;&lt;/FQL&gt;&lt;FQL&gt;&lt;Q&gt;FDS^HOMEPAGE&lt;/Q&gt;&lt;R&gt;1&lt;/R&gt;&lt;C&gt;1&lt;/C&gt;&lt;D xsi:type="xsd:string"&gt;http://www.factset.com&lt;/D&gt;&lt;/FQL&gt;&lt;FQL&gt;&lt;Q&gt;FDS^FG_VOLUME(0/0/-1,NOW,D,SPLIT)&lt;/Q&gt;&lt;R&gt;254&lt;/R&gt;&lt;C&gt;1&lt;/C&gt;&lt;D xsi:type="xsd:double"&gt;0.12934&lt;/D&gt;&lt;D xsi:type="xsd:double"&gt;0.158712&lt;/D&gt;&lt;D xsi:type="xsd:double"&gt;0.141846&lt;/D&gt;&lt;D xsi:type="xsd:double"&gt;0.236154&lt;/D&gt;&lt;D xsi:type="xsd:double"&gt;0.179764&lt;/D&gt;&lt;D xsi:type="xsd:double"&gt;0.211497&lt;/D&gt;&lt;D xsi:type="xsd:double"&gt;0.220667&lt;/D&gt;&lt;D xsi:type="xsd:double"&gt;0.297559&lt;/D&gt;&lt;D xsi:type="xsd:double"&gt;0.42996&lt;/D&gt;&lt;D xsi:type="xsd:double"&gt;0.271764&lt;/D&gt;&lt;D xsi:type="xsd:double"&gt;0.204442&lt;/D&gt;&lt;D xsi:type="xsd:double"&gt;0.161936&lt;/D&gt;&lt;D xsi:type="xsd:double"&gt;0.151505&lt;/D&gt;&lt;D xsi:type="xsd:double"&gt;0.332956&lt;/D&gt;&lt;D xsi:type="xsd:double"&gt;0.224719&lt;/D&gt;&lt;D xsi:type="xsd:double"&gt;0.25225&lt;/D&gt;&lt;D xsi:type="xsd:double"&gt;0.177923&lt;/D&gt;&lt;D xsi:type="xsd:double"&gt;0.125519&lt;/D&gt;&lt;D xsi:type="xsd:double"&gt;0.156616&lt;/D&gt;&lt;D xsi:type="xsd:double"&gt;0.157401&lt;/D&gt;&lt;D xsi:type="xsd:double"&gt;0.17356&lt;/D&gt;&lt;D xsi:type="xsd:double"&gt;0.149292&lt;/D&gt;&lt;D xsi:type="xsd:double"&gt;0.187407&lt;/D&gt;&lt;D xsi:type="xsd:double"&gt;0.166135&lt;/D&gt;&lt;D xsi:type="xsd:double"&gt;0.186743&lt;/D&gt;&lt;D xsi:type="xsd:double"&gt;0.144828&lt;/D&gt;&lt;D xsi:type="xsd:double"&gt;0.08984&lt;/D&gt;&lt;D xsi:type="xsd:double"&gt;0.462463&lt;/D&gt;&lt;D xsi:type="xsd:double"&gt;0.378547&lt;/D&gt;&lt;D xsi:type="xsd:double"&gt;0.188139&lt;/D&gt;&lt;D xsi:type="xsd:double"&gt;0.297559&lt;/D&gt;&lt;D xsi:type="xsd:double"&gt;0.19535&lt;/D&gt;&lt;D xsi:type="xsd:double"&gt;0.174521&lt;/D&gt;&lt;D xsi:type="xsd:double"&gt;0.206993&lt;/D&gt;&lt;D xsi:type="xsd:double"&gt;0.216904&lt;/D&gt;&lt;D xsi:type="xsd:double"&gt;0.214282&lt;/D&gt;&lt;D xsi:type="xsd:double"&gt;0.205386&lt;/D&gt;&lt;D xsi:type="xsd:double"&gt;0.187981&lt;/D&gt;&lt;D xsi:type="xsd:double"&gt;0.21492&lt;/D&gt;&lt;D xsi:type="xsd:double"&gt;0.204984&lt;/D&gt;&lt;D xsi:type="xsd:double"&gt;0.215464&lt;/D&gt;&lt;D xsi:type="xsd:double"&gt;0.467208&lt;/D&gt;&lt;D xsi:type="xsd:double"&gt;0.358306&lt;/D&gt;&lt;D xsi:type="xsd:double"&gt;0.239017&lt;/D&gt;&lt;D xsi:type="xsd:double"&gt;0.213106&lt;/D&gt;&lt;D xsi:type="xsd:double"&gt;0.070314&lt;/D&gt;&lt;D xsi:type="xsd:double"&gt;0.166759&lt;/D&gt;&lt;D xsi:type="xsd:double"&gt;0.155975&lt;/D&gt;&lt;D xsi:type="xsd:double"&gt;0.148339&lt;/D&gt;&lt;D xsi:type="xsd:double"&gt;0.159939&lt;/D&gt;&lt;D xsi:type="xsd:double"&gt;0.295401&lt;/D&gt;&lt;D xsi:type="xsd:double"&gt;0.149374&lt;/D&gt;&lt;D xsi:type="xsd:double"&gt;0.250937&lt;/D&gt;&lt;D xsi:type="xsd:double"&gt;0.204853&lt;/D&gt;&lt;D xsi:type="xsd:double"&gt;0.165875&lt;/D&gt;&lt;D xsi:type="xsd:double"&gt;0.139227&lt;/D&gt;&lt;D xsi:type="xsd:double"&gt;0.18390599999999999&lt;/D&gt;&lt;D xsi:type="xsd:double"&gt;0.143995&lt;/D&gt;&lt;D xsi:type="xsd:double"&gt;0.194715&lt;/D&gt;&lt;D xsi:type="xsd:double"&gt;0.173916&lt;/D&gt;&lt;D xsi:type="xsd:double"&gt;0.206086&lt;/D&gt;&lt;D xsi:type="xsd:double"&gt;0.240578&lt;/D&gt;&lt;D xsi:type="xsd:double"&gt;0.224053&lt;/D&gt;&lt;D xsi:type="xsd:double"&gt;0.193212&lt;/D&gt;&lt;D xsi:type="xsd:double"&gt;0.256185&lt;/D&gt;&lt;D xsi:type="xsd:double"&gt;0.235838&lt;/D&gt;&lt;D xsi:type="xsd:double"&gt;0.348027&lt;/D&gt;&lt;D xsi:type="xsd:double"&gt;0.239568&lt;/D&gt;&lt;D xsi:type="xsd:double"&gt;0.52536&lt;/D&gt;&lt;D xsi:type="xsd:double"&gt;0.199688&lt;/D&gt;&lt;D xsi:type="xsd:double"&gt;0.23206&lt;/D&gt;&lt;D xsi:type="xsd:double"&gt;0.142545&lt;/D&gt;&lt;D xsi:type="xsd:double"&gt;0.198207&lt;/D&gt;&lt;D xsi:type="xsd:double"&gt;0.160618&lt;/D&gt;&lt;D xsi:type="xsd:double"&gt;0.124046&lt;/D&gt;&lt;D xsi:type="xsd:double"&gt;0.208062&lt;/D&gt;&lt;D xsi:type="xsd:double"&gt;0.165536&lt;/D&gt;&lt;D xsi:type="xsd:double"&gt;0.225372&lt;/D&gt;&lt;D xsi:type="xsd:double"&gt;0.115579&lt;/D&gt;&lt;D xsi:type="xsd:double"&gt;0.139678&lt;/D&gt;&lt;D xsi:type="xsd:double"&gt;0.17895&lt;/D&gt;&lt;D xsi:type="xsd:double"&gt;0.134708&lt;/D&gt;&lt;D xsi:type="xsd:double"&gt;0.188753&lt;/D&gt;&lt;D xsi:type="xsd:double"&gt;0.195387&lt;/D&gt;&lt;D xsi:type="xsd:double"&gt;0.210747&lt;/D&gt;&lt;D xsi:type="xsd:double"&gt;0.272831&lt;/D&gt;&lt;D xsi:type="xsd:double"&gt;0.208687&lt;/D&gt;&lt;D xsi:type="xsd:double"&gt;0.390831&lt;/D&gt;&lt;D xsi:type="xsd:double"&gt;0.23735&lt;/D&gt;&lt;D xsi:type="xsd:double"&gt;0.243974&lt;/D&gt;&lt;D xsi:type="xsd:double"&gt;0.252055&lt;/D&gt;&lt;D xsi:type="xsd:double"&gt;0.231114&lt;/D&gt;&lt;D xsi:type="xsd:double"&gt;0.246381&lt;/D&gt;&lt;D xsi:type="xsd:double"&gt;0.235918&lt;/D&gt;&lt;D xsi:type="xsd:double"&gt;0.30067&lt;/D&gt;&lt;D xsi:type="xsd:double"&gt;0.218165&lt;/D&gt;&lt;D xsi:type="xsd:double"&gt;0.246458&lt;/D&gt;&lt;D xsi:type="xsd:double"&gt;0.342246&lt;/D&gt;&lt;D xsi:type="xsd:double"&gt;0.240415&lt;/D&gt;&lt;D xsi:type="xsd:double"&gt;0.197748&lt;/D&gt;&lt;D xsi:type="xsd:double"&gt;0.188778&lt;/D&gt;&lt;D xsi:type="xsd:double"&gt;0.271164&lt;/D&gt;&lt;D xsi:type="xsd:double"&gt;0.603312&lt;/D&gt;&lt;D xsi:type="xsd:double"&gt;0.255322&lt;/D&gt;&lt;D xsi:type="xsd:double"&gt;0.26212&lt;/D&gt;&lt;D xsi:type="xsd:double"&gt;0.25761&lt;/D&gt;&lt;D xsi:type="xsd:double"&gt;0.194698&lt;/D&gt;&lt;D xsi:type="xsd:double"&gt;0.170289&lt;/D&gt;&lt;D xsi:type="xsd:double"&gt;0.301945&lt;/D&gt;&lt;D xsi:type="xsd:double"&gt;0.408824&lt;/D&gt;&lt;D xsi:type="xsd:double"&gt;0.367464&lt;/D&gt;&lt;D xsi:type="xsd:double"&gt;0.279309&lt;/D&gt;&lt;D xsi:type="xsd:double"&gt;0.253615&lt;/D&gt;&lt;D xsi:type="xsd:double"&gt;0.215969&lt;/D&gt;&lt;D xsi:type="xsd:double"&gt;0.247906&lt;/D&gt;&lt;D xsi:type="xsd:double"&gt;0.339612&lt;/D&gt;&lt;D xsi:type="xsd:double"&gt;0.212079&lt;/D&gt;&lt;D xsi:type="xsd:double"&gt;0.213007&lt;/D&gt;&lt;D xsi:type="xsd:double"&gt;0.237656&lt;/D&gt;&lt;D xsi:type="xsd:double"&gt;0.308168&lt;/D&gt;&lt;D xsi:type="xsd:double"&gt;0.388408&lt;/D&gt;&lt;D xsi:type="xsd:double"&gt;0.184512&lt;/D&gt;&lt;D xsi:type="xsd:double"&gt;0.223824&lt;/D&gt;&lt;D xsi:type="xsd:double"&gt;0.198951&lt;/D&gt;&lt;D xsi:type="xsd:double"&gt;0.224392&lt;/D&gt;&lt;D xsi:type="xsd:double"&gt;0.263725&lt;/D&gt;&lt;D xsi:type="xsd:double"&gt;1.450496&lt;/D&gt;&lt;D xsi:type="xsd:double"&gt;0.435253&lt;/D&gt;&lt;D xsi:type="xsd:double"&gt;0.291552&lt;/D&gt;&lt;D xsi:type="xsd:double"&gt;0.224687&lt;/D&gt;&lt;D xsi:type="xsd:double"&gt;0.144686&lt;/D&gt;&lt;D xsi:type="xsd:double"&gt;0.280648&lt;/D&gt;&lt;D xsi:type="xsd:double"&gt;0.181907&lt;/D&gt;&lt;D xsi:type="xsd:double"&gt;0.203959&lt;/D&gt;&lt;D xsi:type="xsd:double"&gt;0.347394&lt;/D&gt;&lt;D xsi:type="xsd:double"&gt;0.150044&lt;/D&gt;&lt;D xsi:type="xsd:double"&gt;0.220408&lt;/D&gt;&lt;D xsi:type="xsd:double"&gt;0.197322&lt;/D&gt;&lt;D xsi:type="xsd:double"&gt;0.162824&lt;/D&gt;&lt;D xsi:type="xsd:double"&gt;0.219635&lt;/D&gt;&lt;D xsi:type="xsd:double"&gt;0.211034&lt;/D&gt;&lt;D xsi:type="xsd:double"&gt;0.150355&lt;/D&gt;&lt;D xsi:type="xsd:double"&gt;0.159141&lt;/D&gt;&lt;D xsi:type="xsd:double"&gt;0.096694&lt;/D&gt;&lt;D xsi:type="xsd:double"&gt;0.131933&lt;/D&gt;&lt;D xsi:type="xsd:double"&gt;0.172348&lt;/D&gt;&lt;D xsi:type="xsd:double"&gt;0.125497&lt;/D&gt;&lt;D xsi:type="xsd:double"&gt;0.118802&lt;/D&gt;&lt;D xsi:type="xsd:double"&gt;0.07989&lt;/D&gt;&lt;D xsi:type="xsd:double"&gt;0.160788&lt;/D&gt;&lt;D xsi:type="xsd:double"&gt;0.265722&lt;/D&gt;&lt;D xsi:type="xsd:double"&gt;0.124551&lt;/D&gt;&lt;D xsi:type="xsd:double"&gt;0.167325&lt;/D&gt;&lt;D xsi:type="xsd:double"&gt;0.143405&lt;/D&gt;&lt;D xsi:type="xsd:double"&gt;0.159925&lt;/D&gt;&lt;D xsi:type="xsd:double"&gt;0.114704&lt;/D&gt;&lt;D xsi:type="xsd:double"&gt;0.14605&lt;/D&gt;&lt;D xsi:type="xsd:double"&gt;0.119425&lt;/D&gt;&lt;D xsi:type="xsd:double"&gt;0.105441&lt;/D&gt;&lt;D xsi:type="xsd:double"&gt;0.106305&lt;/D&gt;&lt;D xsi:type="xsd:double"&gt;0.07979&lt;/D&gt;&lt;D xsi:type="xsd:double"&gt;0.144345&lt;/D&gt;&lt;D xsi:type="xsd:double"&gt;0.151768&lt;/D&gt;&lt;D xsi:type="xsd:double"&gt;0.131817&lt;/D&gt;&lt;D xsi:type="xsd:double"&gt;0.15809&lt;/D&gt;&lt;D xsi:type="xsd:double"&gt;0.403927&lt;/D&gt;&lt;D xsi:type="xsd:double"&gt;0.182222&lt;/D&gt;&lt;D xsi:type="xsd:double"&gt;0.174091&lt;/D&gt;&lt;D xsi:type="xsd:double"&gt;0.104039&lt;/D&gt;&lt;D xsi:type="xsd:double"&gt;0.136946&lt;/D&gt;&lt;D xsi:type="xsd:double"&gt;0.326694&lt;/D&gt;&lt;D xsi:type="xsd:double"&gt;0.206976&lt;/D&gt;&lt;D xsi:type="xsd:double"&gt;0.246452&lt;/D&gt;&lt;D xsi:type="xsd:double"&gt;0.267319&lt;/D&gt;&lt;D xsi:type="xsd:double"&gt;0.218536&lt;/D&gt;&lt;D xsi:type="xsd:double"&gt;0.112576&lt;/D&gt;&lt;D xsi:type="xsd:double"&gt;0.163257&lt;/D&gt;&lt;D xsi:type="xsd:double"&gt;0.150439&lt;/D&gt;&lt;D xsi:type="xsd:double"&gt;0.146138&lt;/D&gt;&lt;D xsi:type="xsd:double"&gt;0.117319&lt;/D&gt;&lt;D xsi:type="xsd:double"&gt;0.193908&lt;/D&gt;&lt;D xsi:type="xsd:double"&gt;0.162576&lt;/D&gt;&lt;D xsi:type="xsd:double"&gt;0.123514&lt;/D&gt;&lt;D xsi:type="xsd:double"&gt;0.120619&lt;/D&gt;&lt;D xsi:type="xsd:double"&gt;0.125321&lt;/D&gt;&lt;D xsi:type="xsd:double"&gt;0.184437&lt;/D&gt;&lt;D xsi:type="xsd:double"&gt;0.253964&lt;/D&gt;&lt;D xsi:type="xsd:double"&gt;0.110077&lt;/D&gt;&lt;D xsi:type="xsd:double"&gt;0.145089&lt;/D&gt;&lt;D xsi:type="xsd:double"&gt;0.10369&lt;/D&gt;&lt;D xsi:type="xsd:double"&gt;0.125017&lt;/D&gt;&lt;D xsi:type="xsd:double"&gt;0.093072&lt;/D&gt;&lt;D xsi:type="xsd:double"&gt;0.106967&lt;/D&gt;&lt;D xsi:type="xsd:double"&gt;0.107177&lt;/D&gt;&lt;D xsi:type="xsd:double"&gt;0.280373&lt;/D&gt;&lt;D xsi:type="xsd:double"&gt;0.188527&lt;/D&gt;&lt;D xsi:type="xsd:double"&gt;0.146389&lt;/D&gt;&lt;D xsi:type="xsd:double"&gt;0.112973&lt;/D&gt;&lt;D xsi:type="xsd:double"&gt;0.153904&lt;/D&gt;&lt;D xsi:type="xsd:double"&gt;0.123477&lt;/D&gt;&lt;D xsi:type="xsd:double"&gt;0.129464&lt;/D&gt;&lt;D xsi:type="xsd:double"&gt;0.12281&lt;/D&gt;&lt;D xsi:type="xsd:double"&gt;0.162144&lt;/D&gt;&lt;D xsi:type="xsd:double"&gt;0.132773&lt;/D&gt;&lt;D xsi:type="xsd:double"&gt;0.115815&lt;/D&gt;&lt;D xsi:type="xsd:double"&gt;0.126182&lt;/D&gt;&lt;D xsi:type="xsd:double"&gt;0.155616&lt;/D&gt;&lt;D xsi:type="xsd:double"&gt;0.205873&lt;/D&gt;&lt;D xsi:type="xsd:double"&gt;0.141336&lt;/D&gt;&lt;D xsi:type="xsd:double"&gt;0.089977&lt;/D&gt;&lt;D xsi:type="xsd:double"&gt;0.157303&lt;/D&gt;&lt;D xsi:type="xsd:double"&gt;0.113627&lt;/D&gt;&lt;D xsi:type="xsd:double"&gt;0.195053&lt;/D&gt;&lt;D xsi:type="xsd:double"&gt;0.124169&lt;/D&gt;&lt;D xsi:type="xsd:double"&gt;0.148418&lt;/D&gt;&lt;D xsi:type="xsd:double"&gt;0.109032&lt;/D&gt;&lt;D xsi:type="xsd:double"&gt;0.277554&lt;/D&gt;&lt;D xsi:type="xsd:double"&gt;0.162729&lt;/D&gt;&lt;D xsi:type="xsd:double"&gt;0.175929&lt;/D&gt;&lt;D xsi:type="xsd:double"&gt;0.095151&lt;/D&gt;&lt;D xsi:type="xsd:double"&gt;0.109316&lt;/D&gt;&lt;D xsi:type="xsd:double"&gt;0.211341&lt;/D&gt;&lt;D xsi:type="xsd:double"&gt;0.098996&lt;/D&gt;&lt;D xsi:type="xsd:double"&gt;0.090673&lt;/D&gt;&lt;D xsi:type="xsd:double"&gt;0.134426&lt;/D&gt;&lt;D xsi:type="xsd:double"&gt;0.144606&lt;/D&gt;&lt;D xsi:type="xsd:double"&gt;0.139114&lt;/D&gt;&lt;D xsi:type="xsd:double"&gt;0.170936&lt;/D&gt;&lt;D xsi:type="xsd:double"&gt;0.514067&lt;/D&gt;&lt;D xsi:type="xsd:double"&gt;0.150352&lt;/D&gt;&lt;D xsi:type="xsd:double"&gt;0.131776&lt;/D&gt;&lt;D xsi:type="xsd:double"&gt;0.122114&lt;/D&gt;&lt;D xsi:type="xsd:double"&gt;0.140657&lt;/D&gt;&lt;D xsi:type="xsd:double"&gt;0.271185&lt;/D&gt;&lt;D xsi:type="xsd:double"&gt;0.29635&lt;/D&gt;&lt;D xsi:type="xsd:double"&gt;0.404796&lt;/D&gt;&lt;D xsi:type="xsd:double"&gt;0.276048&lt;/D&gt;&lt;D xsi:type="xsd:double"&gt;0.216048&lt;/D&gt;&lt;D xsi:type="xsd:double"&gt;0.199382&lt;/D&gt;&lt;D xsi:type="xsd:double"&gt;0.222374&lt;/D&gt;&lt;D xsi:type="xsd:double"&gt;0.207358&lt;/D&gt;&lt;D xsi:type="xsd:double"&gt;0.254844&lt;/D&gt;&lt;D xsi:type="xsd:double"&gt;0.2777&lt;/D&gt;&lt;D xsi:type="xsd:double"&gt;0.186818&lt;/D&gt;&lt;D xsi:type="xsd:double"&gt;0.131207&lt;/D&gt;&lt;D xsi:type="xsd:double"&gt;0.221446&lt;/D&gt;&lt;D xsi:type="xsd:double"&gt;0.135862&lt;/D&gt;&lt;D xsi:type="xsd:double"&gt;0.145306&lt;/D&gt;&lt;D xsi:type="xsd:double"&gt;0.158147&lt;/D&gt;&lt;D xsi:type="xsd:double"&gt;0.16586&lt;/D&gt;&lt;D xsi:type="xsd:double"&gt;0.133584&lt;/D&gt;&lt;D xsi:type="xsd:double"&gt;0.149975&lt;/D&gt;&lt;D xsi:type="xsd:double"&gt;0.200584&lt;/D&gt;&lt;D xsi:type="xsd:double"&gt;2E-06&lt;/D&gt;&lt;/FQL&gt;&lt;FQL&gt;&lt;Q&gt;FDS^P_PRICE(NOW)&lt;/Q&gt;&lt;R&gt;1&lt;/R&gt;&lt;C&gt;1&lt;/C&gt;&lt;D xsi:type="xsd:double"&gt;426.99&lt;/D&gt;&lt;/FQL&gt;&lt;FQL&gt;&lt;Q&gt;FDS^P_PRICE_HIGH(-52AW,0,,,,"PRICE","INTRA")&lt;/Q&gt;&lt;R&gt;1&lt;/R&gt;&lt;C&gt;1&lt;/C&gt;&lt;D xsi:type="xsd:double"&gt;430.23&lt;/D&gt;&lt;/FQL&gt;&lt;FQL&gt;&lt;Q&gt;FDS^P_PRICE_LOW(-52AW,0,,,,"PRICE","INTRA")&lt;/Q&gt;&lt;R&gt;1&lt;/R&gt;&lt;C&gt;1&lt;/C&gt;&lt;D xsi:type="xsd:double"&gt;294.21&lt;/D&gt;&lt;/FQL&gt;&lt;FQL&gt;&lt;Q&gt;FDS^P_PRICE_CHANGE(0CY,NOW,RANGE)/100&lt;/Q&gt;&lt;R&gt;1&lt;/R&gt;&lt;C&gt;1&lt;/C&gt;&lt;D xsi:type="xsd:double"&gt;0.2841804&lt;/D&gt;&lt;/FQL&gt;&lt;FQL&gt;&lt;Q&gt;FDS^P_PRICE_CHANGE(-1AY,NOW,RANGE)/100&lt;/Q&gt;&lt;R&gt;1&lt;/R&gt;&lt;C&gt;1&lt;/C&gt;&lt;D xsi:type="xsd:double"&gt;0.28302288&lt;/D&gt;&lt;/FQL&gt;&lt;FQL&gt;&lt;Q&gt;FDS^BETA("SP50",-60AM,0,AM)&lt;/Q&gt;&lt;R&gt;1&lt;/R&gt;&lt;C&gt;1&lt;/C&gt;&lt;D xsi:type="xsd:double"&gt;1.0063407&lt;/D&gt;&lt;/FQL&gt;&lt;FQL&gt;&lt;Q&gt;FDS^FF_FISCAL_DATE(ANN,-4FY,,,RP,"DATEM")&lt;/Q&gt;&lt;R&gt;1&lt;/R&gt;&lt;C&gt;1&lt;/C&gt;&lt;D xsi:type="xsd:string"&gt;08/2017&lt;/D&gt;&lt;/FQL&gt;&lt;FQL&gt;&lt;Q&gt;FDS^FF_FISCAL_DATE(ANN,-3FY,,,RP,"DATEM")&lt;/Q&gt;&lt;R&gt;1&lt;/R&gt;&lt;C&gt;1&lt;/C&gt;&lt;D xsi:type="xsd:string"&gt;08/2018&lt;/D&gt;&lt;/FQL&gt;&lt;FQL&gt;&lt;Q&gt;FDS^FF_FISCAL_DATE(ANN,-2FY,,,RP,"DATEM")&lt;/Q&gt;&lt;R&gt;1&lt;/R&gt;&lt;C&gt;1&lt;/C&gt;&lt;D xsi:type="xsd:string"&gt;08/2019&lt;/D&gt;&lt;/FQL&gt;&lt;FQL&gt;&lt;Q&gt;FDS^FF_FISCAL_DATE(ANN,-1FY,,,RP,"DATEM")&lt;/Q&gt;&lt;R&gt;1&lt;/R&gt;&lt;C&gt;1&lt;/C&gt;&lt;D xsi:type="xsd:string"&gt;08/2020&lt;/D&gt;&lt;/FQL&gt;&lt;FQL&gt;&lt;Q&gt;FDS^FF_FISCAL_DATE(ANN,0FY,,,RP,"DATEM")&lt;/Q&gt;&lt;R&gt;1&lt;/R&gt;&lt;C&gt;1&lt;/C&gt;&lt;D xsi:type="xsd:string"&gt;08/2021&lt;/D&gt;&lt;/FQL&gt;&lt;FQL&gt;&lt;Q&gt;FDS^FF_FISCAL_DATE(QTR,0,,,RP,"DATEM")@FF_FISCAL_DATE(SEMI,0,,,RP,"DATEM")&lt;/Q&gt;&lt;R&gt;1&lt;/R&gt;&lt;C&gt;1&lt;/C&gt;&lt;D xsi:type="xsd:string"&gt;08/2021&lt;/D&gt;&lt;/FQL&gt;&lt;FQL&gt;&lt;Q&gt;FDS^FF_SALES(LTM,0)@FF_SALES(LTM_SEMI,0)&lt;/Q&gt;&lt;R&gt;1&lt;/R&gt;&lt;C&gt;1&lt;/C&gt;&lt;D xsi:type="xsd:double"&gt;1591.446&lt;/D&gt;&lt;/FQL&gt;&lt;FQL&gt;&lt;Q&gt;FDS^FF_COGS(LTM,0)@FF_COGS(LTM_SEMI,0)&lt;/Q&gt;&lt;R&gt;1&lt;/R&gt;&lt;C&gt;1&lt;/C&gt;&lt;D xsi:type="xsd:double"&gt;780.498&lt;/D&gt;&lt;/FQL&gt;&lt;FQL&gt;&lt;Q&gt;FDS^FF_SGA(LTM,0)@FF_SGA(LTM_SEMI,0)&lt;/Q&gt;&lt;R&gt;1&lt;/R&gt;&lt;C&gt;1&lt;/C&gt;&lt;D xsi:type="xsd:double"&gt;334.601&lt;/D&gt;&lt;/FQL&gt;&lt;FQL&gt;&lt;Q&gt;FDS^FF_EBITDA_OPER(LTM,0)@FF_EBITDA_OPER(LTM_SEMI,0)&lt;/Q&gt;&lt;R&gt;1&lt;/R&gt;&lt;C&gt;1&lt;/C&gt;&lt;D xsi:type="xsd:double"&gt;577.767&lt;/D&gt;&lt;/FQL&gt;&lt;FQL&gt;&lt;Q&gt;FDS^FF_EBIT_OPER(LTM,0)@FF_EBIT_OPER(LTM_SEMI,0)&lt;/Q&gt;&lt;R&gt;1&lt;/R&gt;&lt;C&gt;1&lt;/C&gt;&lt;D xsi:type="xsd:double"&gt;470.445&lt;/D&gt;&lt;/FQL&gt;&lt;FQL&gt;&lt;Q&gt;FDS^FF_INT_EXP_NET(ANN,-4FY,,,RP)&lt;/Q&gt;&lt;R&gt;1&lt;/R&gt;&lt;C&gt;1&lt;/C&gt;&lt;D xsi:type="xsd:double"&gt;8.2&lt;/D&gt;&lt;/FQL&gt;&lt;FQL&gt;&lt;Q&gt;FDS^FF_INT_EXP_NET(ANN,-3FY,,,RP)&lt;/Q&gt;&lt;R&gt;1&lt;/R&gt;&lt;C&gt;1&lt;/C&gt;&lt;D xsi:type="xsd:double"&gt;15.9&lt;/D&gt;&lt;/FQL&gt;&lt;FQL&gt;&lt;Q&gt;FDS^FF_INT_EXP_NET(ANN,-2FY,,,RP)&lt;/Q&gt;&lt;R&gt;1&lt;/R&gt;&lt;C&gt;1&lt;/C&gt;&lt;D xsi:type="xsd:double"&gt;19.8&lt;/D&gt;&lt;/FQL&gt;&lt;FQL&gt;&lt;Q&gt;FDS^FF_INT_EXP_NET(ANN,-1FY,,,RP)&lt;/Q&gt;&lt;R&gt;1&lt;/R&gt;&lt;C&gt;1&lt;/C&gt;&lt;D xsi:type="xsd:double"&gt;12.442&lt;/D&gt;&lt;/FQL&gt;&lt;FQL&gt;&lt;Q&gt;FDS^FF_INT_EXP_NET(ANN,0FY,,,RP)&lt;/Q&gt;&lt;R&gt;1&lt;/R&gt;&lt;C&gt;1&lt;/C&gt;&lt;D xsi:type="xsd:double"&gt;6.394&lt;/D&gt;&lt;/FQL&gt;&lt;FQL&gt;&lt;Q&gt;FDS^FF_INT_EXP_NET(LTM,0)&lt;/Q&gt;&lt;R&gt;1&lt;/R&gt;&lt;C&gt;1&lt;/C&gt;&lt;D xsi:type="xsd:double"&gt;6.268&lt;/D&gt;&lt;/FQL&gt;&lt;FQL&gt;&lt;Q&gt;FDS^FF_PTX_INC(ANN,-4FY,0FY,,RP)&lt;/Q&gt;&lt;R&gt;5&lt;/R&gt;&lt;C&gt;1&lt;/C&gt;&lt;D xsi:type="xsd:double"&gt;344.312&lt;/D&gt;&lt;D xsi:type="xsd:double"&gt;351.838&lt;/D&gt;&lt;D xsi:type="xsd:double"&gt;421.965&lt;/D&gt;&lt;D xsi:type="xsd:double"&gt;427.134&lt;/D&gt;&lt;D xsi:type="xsd:double"&gt;467.617&lt;/D&gt;&lt;/FQL&gt;&lt;FQL&gt;&lt;Q&gt;FDS^FF_PTX_INC(LTM,0)@FF_PTX_INC(LTM_SEMI,0)&lt;/Q&gt;&lt;R&gt;1&lt;/R&gt;&lt;C&gt;1&lt;/C&gt;&lt;D xsi:type="xsd:double"&gt;467.617&lt;/D&gt;&lt;/FQL&gt;&lt;FQL&gt;&lt;Q&gt;FDS^FF_NET_INC(LTM,0)@FF_NET_INC(LTM_SEMI,0)&lt;/Q&gt;&lt;R&gt;1&lt;/R&gt;&lt;C&gt;1&lt;/C&gt;&lt;D xsi:type="xsd:double"&gt;399.59&lt;/D&gt;&lt;/FQL&gt;&lt;FQL&gt;&lt;Q&gt;FDS^FF_EPS_DIL(LTM,0)@FF_EPS_DIL(LTM_SEMI,0)&lt;/Q&gt;&lt;R&gt;1&lt;/R&gt;&lt;C&gt;1&lt;/C&gt;&lt;D xsi:type="xsd:double"&gt;10.3602&lt;/D&gt;&lt;/FQL&gt;&lt;FQL&gt;&lt;Q&gt;FDS^FF_COM_SHS_OUT(ANN,-4FY,,,RP)&lt;/Q&gt;&lt;R&gt;1&lt;/R&gt;&lt;C&gt;1&lt;/C&gt;&lt;D xsi:type="xsd:double"&gt;39.023032&lt;/D&gt;&lt;/FQL&gt;&lt;FQL&gt;&lt;Q&gt;FDS^FF_COM_SHS_OUT(ANN,-3FY,,,RP)&lt;/Q&gt;&lt;R&gt;1&lt;/R&gt;&lt;C&gt;1&lt;/C&gt;&lt;D xsi:type="xsd:double"&gt;38.192586&lt;/D&gt;&lt;/FQL&gt;&lt;FQL&gt;&lt;Q&gt;FDS^FF_COM_SHS_OUT(ANN,-2FY,,,RP)&lt;/Q&gt;&lt;R&gt;1&lt;/R&gt;&lt;C&gt;1&lt;/C&gt;&lt;D xsi:type="xsd:double"&gt;38.11784&lt;/D&gt;&lt;/FQL&gt;&lt;FQL&gt;&lt;Q&gt;FDS^FF_COM_SHS_OUT(ANN,-1FY,,,RP)&lt;/Q&gt;&lt;R&gt;1&lt;/R&gt;&lt;C&gt;1&lt;/C&gt;&lt;D xsi:type="xsd:double"&gt;38.030252&lt;/D&gt;&lt;/FQL&gt;&lt;FQL&gt;&lt;Q&gt;FDS^FF_COM_SHS_OUT(ANN,0FY,,,RP)&lt;/Q&gt;&lt;R&gt;0&lt;/R&gt;&lt;C&gt;0&lt;/C&gt;&lt;/FQL&gt;&lt;FQL&gt;&lt;Q&gt;FDS^FF_COM_SHS_OUT(LTM,0)&lt;/Q&gt;&lt;R&gt;0&lt;/R&gt;&lt;C&gt;0&lt;/C&gt;&lt;/FQL&gt;&lt;FQL&gt;&lt;Q&gt;FDS^FF_CAPEX(ANN,-4FY,0FY,,RP)&lt;/Q&gt;&lt;R&gt;5&lt;/R&gt;&lt;C&gt;1&lt;/C&gt;&lt;D xsi:type="xsd:double"&gt;36.862&lt;/D&gt;&lt;D xsi:type="xsd:double"&gt;33.52&lt;/D&gt;&lt;D xsi:type="xsd:double"&gt;59.37&lt;/D&gt;&lt;D xsi:type="xsd:double"&gt;77.642&lt;/D&gt;&lt;D xsi:type="xsd:double"&gt;61.325&lt;/D&gt;&lt;/FQL&gt;&lt;FQL&gt;&lt;Q&gt;FDS^FF_CAPEX(LTM,0)@FF_CAPEX(LTM_SEMI,0)&lt;/Q&gt;&lt;R&gt;1&lt;/R&gt;&lt;C&gt;1&lt;/C&gt;&lt;D xsi:type="xsd:double"&gt;61.325&lt;/D&gt;&lt;/FQL&gt;&lt;FQL&gt;&lt;Q&gt;FDS^FF_FISCAL_DATE(LTM,0,,,RP,"DATEM")&lt;/Q&gt;&lt;R&gt;1&lt;/R&gt;&lt;C&gt;1&lt;/C&gt;&lt;D xsi:type="xsd:string"&gt;08/2021&lt;/D&gt;&lt;/FQL&gt;&lt;FQL&gt;&lt;Q&gt;FDS^FF_CASH_ST(ANN,-4FY,0FY,,RP)&lt;/Q&gt;&lt;R&gt;5&lt;/R&gt;&lt;C&gt;1&lt;/C&gt;&lt;D xsi:type="xsd:double"&gt;227.175&lt;/D&gt;&lt;D xsi:type="xsd:double"&gt;237.882&lt;/D&gt;&lt;D xsi:type="xsd:double"&gt;385.612&lt;/D&gt;&lt;D xsi:type="xsd:double"&gt;605.177&lt;/D&gt;&lt;D xsi:type="xsd:double"&gt;717.849&lt;/D&gt;&lt;/FQL&gt;&lt;FQL&gt;&lt;Q&gt;FDS^FF_CASH_ST(QTR,0)@FF_CASH_ST(SEMI,0)&lt;/Q&gt;&lt;R&gt;1&lt;/R&gt;&lt;C&gt;1&lt;/C&gt;&lt;D xsi:type="xsd:double"&gt;717.849&lt;/D&gt;&lt;/FQL&gt;&lt;FQL&gt;&lt;Q&gt;FDS^FF_RECEIV_TOT(QTR,0,,,RP)@FF_RECEIV_TOT(SEMI,0,,,RP)&lt;/Q&gt;&lt;R&gt;1&lt;/R&gt;&lt;C&gt;1&lt;/C&gt;&lt;D xsi:type="xsd:double"&gt;151.187&lt;/D&gt;&lt;/FQL&gt;&lt;FQL&gt;&lt;Q&gt;FDS^FF_INVEN(ANN,-3FY,,,RP)&lt;/Q&gt;&lt;R&gt;1&lt;/R&gt;&lt;C&gt;1&lt;/C&gt;&lt;D xsi:type="xsd:double"&gt;0&lt;/D&gt;&lt;/FQL&gt;&lt;FQL&gt;&lt;Q&gt;FDS^FF_INVEN(ANN,-2FY,,,RP)&lt;/Q&gt;&lt;R&gt;1&lt;/R&gt;&lt;C&gt;1&lt;/C&gt;&lt;D xsi:type="xsd:double"&gt;0&lt;/D&gt;&lt;/FQL&gt;&lt;FQL&gt;&lt;Q&gt;FDS^FF_INVEN(ANN,-1FY,,,RP)&lt;/Q&gt;&lt;R&gt;1&lt;/R&gt;&lt;C&gt;1&lt;/C&gt;&lt;D xsi:type="xsd:double"&gt;0&lt;/D&gt;&lt;/FQL&gt;&lt;FQL&gt;&lt;Q&gt;FDS^FF_INVEN(ANN,0FY,,,RP)&lt;/Q&gt;&lt;R&gt;0&lt;/R&gt;&lt;C&gt;0&lt;/C&gt;&lt;/FQL&gt;&lt;FQL&gt;&lt;Q&gt;FDS^FF_INVEN(QTR,0)@FF_INVEN(SEMI,0)&lt;/Q&gt;&lt;R&gt;0&lt;/R&gt;&lt;C&gt;0&lt;/C&gt;&lt;/FQL&gt;&lt;FQL&gt;&lt;Q&gt;FDS^FF_ASSETS_CURR(ANN,-4FY,0FY,,RP)&lt;/Q&gt;&lt;R&gt;5&lt;/R&gt;&lt;C&gt;1&lt;/C&gt;&lt;D xsi:type="xsd:double"&gt;409.376&lt;/D&gt;&lt;D xsi:type="xsd:double"&gt;430.916&lt;/D&gt;&lt;D xsi:type="xsd:double"&gt;583.812&lt;/D&gt;&lt;D xsi:type="xsd:double"&gt;841.93&lt;/D&gt;&lt;D xsi:type="xsd:double"&gt;933.578&lt;/D&gt;&lt;/FQL&gt;&lt;FQL&gt;&lt;Q&gt;FDS^FF_ASSETS_CURR(QTR,0)@FF_ASSETS_CURR(SEMI,0)&lt;/Q&gt;&lt;R&gt;1&lt;/R&gt;&lt;C&gt;1&lt;/C&gt;&lt;D xsi:type="xsd:double"&gt;933.578&lt;/D&gt;&lt;/FQL&gt;&lt;FQL&gt;&lt;Q&gt;FDS^FF_PPE_NET(ANN,-4FY,0FY,,RP)&lt;/Q&gt;&lt;R&gt;5&lt;/R&gt;&lt;C&gt;1&lt;/C&gt;&lt;D xsi:type="xsd:double"&gt;100.454&lt;/D&gt;&lt;D xsi:type="xsd:double"&gt;100.545&lt;/D&gt;&lt;D xsi:type="xsd:double"&gt;132.524&lt;/D&gt;&lt;D xsi:type="xsd:double"&gt;382.031&lt;/D&gt;&lt;D xsi:type="xsd:double"&gt;370.441&lt;/D&gt;&lt;/FQL&gt;&lt;FQL&gt;&lt;Q&gt;FDS^FF_PPE_NET(QTR,0)@FF_PPE_NET(SEMI,0)&lt;/Q&gt;&lt;R&gt;1&lt;/R&gt;&lt;C&gt;1&lt;/C&gt;&lt;D xsi:type="xsd:double"&gt;370.441&lt;/D&gt;&lt;/FQL&gt;&lt;FQL&gt;&lt;Q&gt;FDS^FF_ASSETS(QTR,0)&lt;/Q&gt;&lt;R&gt;1&lt;/R&gt;&lt;C&gt;1&lt;/C&gt;&lt;D xsi:type="xsd:double"&gt;2222.847&lt;/D&gt;&lt;/FQL&gt;&lt;FQL&gt;&lt;Q&gt;FDS^FF_DEBT_ST(ANN,-4FY,0FY,,RP)&lt;/Q&gt;&lt;R&gt;5&lt;/R&gt;&lt;C&gt;1&lt;/C&gt;&lt;D xsi:type="xsd:double"&gt;0&lt;/D&gt;&lt;D xsi:type="xsd:double"&gt;0&lt;/D&gt;&lt;D xsi:type="xsd:double"&gt;0&lt;/D&gt;&lt;D xsi:type="xsd:double"&gt;29.056&lt;/D&gt;&lt;D xsi:type="xsd:double"&gt;31.576&lt;/D&gt;&lt;/FQL&gt;&lt;FQL&gt;&lt;Q&gt;FDS^FF_DEBT_ST(QTR,0)@FF_DEBT_ST(SEMI,0)&lt;/Q&gt;&lt;R&gt;1&lt;/R&gt;&lt;C&gt;1&lt;/C&gt;&lt;D xsi:type="xsd:double"&gt;31.576&lt;/D&gt;&lt;/FQL&gt;&lt;FQL&gt;&lt;Q&gt;FDS^FF_PAY_ACCT(QTR,0)@FF_PAY_ACCT(SEMI,0)&lt;/Q&gt;&lt;R&gt;1&lt;/R&gt;&lt;C&gt;1&lt;/C&gt;&lt;D xsi:type="xsd:double"&gt;85.777&lt;/D&gt;&lt;/FQL&gt;&lt;FQL&gt;&lt;Q&gt;FDS^FF_LIABS_CURR(ANN,-4FY,0FY,,RP)&lt;/Q&gt;&lt;R&gt;5&lt;/R&gt;&lt;C&gt;1&lt;/C&gt;&lt;D xsi:type="xsd:double"&gt;201.139&lt;/D&gt;&lt;D xsi:type="xsd:double"&gt;221.134&lt;/D&gt;&lt;D xsi:type="xsd:double"&gt;218.923&lt;/D&gt;&lt;D xsi:type="xsd:double"&gt;276.293&lt;/D&gt;&lt;D xsi:type="xsd:double"&gt;315.705&lt;/D&gt;&lt;/FQL&gt;&lt;FQL&gt;&lt;Q&gt;FDS^FF_LIABS_CURR(QTR,0)@FF_LIABS_CURR(SEMI,0)&lt;/Q&gt;&lt;R&gt;1&lt;/R&gt;&lt;C&gt;1&lt;/C&gt;&lt;D xsi:type="xsd:double"&gt;315.705&lt;/D&gt;&lt;/FQL&gt;&lt;FQL&gt;&lt;Q&gt;FDS^FF_DEBT_LT(ANN,-4FY,0FY,,RP)&lt;/Q&gt;&lt;R&gt;5&lt;/R&gt;&lt;C&gt;1&lt;/C&gt;&lt;D xsi:type="xsd:double"&gt;575&lt;/D&gt;&lt;D xsi:type="xsd:double"&gt;574.775&lt;/D&gt;&lt;D xsi:type="xsd:double"&gt;574.174&lt;/D&gt;&lt;D xsi:type="xsd:double"&gt;846.623&lt;/D&gt;&lt;D xsi:type="xsd:double"&gt;834.672&lt;/D&gt;&lt;/FQL&gt;&lt;FQL&gt;&lt;Q&gt;FDS^FF_DEBT_LT(QTR,0)&lt;/Q&gt;&lt;R&gt;1&lt;/R&gt;&lt;C&gt;1&lt;/C&gt;&lt;D xsi:type="xsd:double"&gt;834.672&lt;/D&gt;&lt;/FQL&gt;&lt;FQL&gt;&lt;Q&gt;FDS^FF_LIABS(ANN,-4FY,0FY,,RP)&lt;/Q&gt;&lt;R&gt;5&lt;/R&gt;&lt;C&gt;1&lt;/C&gt;&lt;D xsi:type="xsd:double"&gt;853.624&lt;/D&gt;&lt;D xsi:type="xsd:double"&gt;893.547&lt;/D&gt;&lt;D xsi:type="xsd:double"&gt;887.874&lt;/D&gt;&lt;D xsi:type="</t>
        </r>
      </text>
    </comment>
    <comment ref="A2" authorId="0" shapeId="0">
      <text>
        <r>
          <rPr>
            <b/>
            <sz val="9"/>
            <color indexed="81"/>
            <rFont val="宋体"/>
            <family val="3"/>
            <charset val="134"/>
          </rPr>
          <t>xsd:double"&gt;1187.013&lt;/D&gt;&lt;D xsi:type="xsd:double"&gt;1206.494&lt;/D&gt;&lt;/FQL&gt;&lt;FQL&gt;&lt;Q&gt;FDS^FF_LIABS(QTR,0)@FF_LIABS(SEMI,0)&lt;/Q&gt;&lt;R&gt;1&lt;/R&gt;&lt;C&gt;1&lt;/C&gt;&lt;D xsi:type="xsd:double"&gt;1206.494&lt;/D&gt;&lt;/FQL&gt;&lt;FQL&gt;&lt;Q&gt;FDS^FF_PFD_STK(ANN,-4FY,0FY,,RP)&lt;/Q&gt;&lt;R&gt;5&lt;/R&gt;&lt;C&gt;1&lt;/C&gt;&lt;D xsi:type="xsd:double"&gt;0&lt;/D&gt;&lt;D xsi:type="xsd:double"&gt;0&lt;/D&gt;&lt;D xsi:type="xsd:double"&gt;0&lt;/D&gt;&lt;D xsi:type="xsd:double"&gt;0&lt;/D&gt;&lt;D xsi:type="xsd:double"&gt;0&lt;/D&gt;&lt;/FQL&gt;&lt;FQL&gt;&lt;Q&gt;FDS^FF_PFD_STK(QTR,0)@FF_PFD_STK(SEMI,0)&lt;/Q&gt;&lt;R&gt;1&lt;/R&gt;&lt;C&gt;1&lt;/C&gt;&lt;D xsi:type="xsd:double"&gt;0&lt;/D&gt;&lt;/FQL&gt;&lt;FQL&gt;&lt;Q&gt;FDS^FF_SHLDRS_EQ(QTR,0)@FF_SHLDRS_EQ(SEMI,0)&lt;/Q&gt;&lt;R&gt;1&lt;/R&gt;&lt;C&gt;1&lt;/C&gt;&lt;D xsi:type="xsd:double"&gt;1016.353&lt;/D&gt;&lt;/FQL&gt;&lt;FQL&gt;&lt;Q&gt;FDS^FF_LIABS_SHLDRS_EQ(ANN,-4FY,0FY,,RP)&lt;/Q&gt;&lt;R&gt;5&lt;/R&gt;&lt;C&gt;1&lt;/C&gt;&lt;D xsi:type="xsd:double"&gt;1413.315&lt;/D&gt;&lt;D xsi:type="xsd:double"&gt;1419.447&lt;/D&gt;&lt;D xsi:type="xsd:double"&gt;1560.13&lt;/D&gt;&lt;D xsi:type="xsd:double"&gt;2083.388&lt;/D&gt;&lt;D xsi:type="xsd:double"&gt;2222.847&lt;/D&gt;&lt;/FQL&gt;&lt;FQL&gt;&lt;Q&gt;FDS^FF_LIABS_SHLDRS_EQ(QTR,0,,,RP)@FF_LIABS_SHLDRS_EQ(SEMI,0,,,RP)&lt;/Q&gt;&lt;R&gt;1&lt;/R&gt;&lt;C&gt;1&lt;/C&gt;&lt;D xsi:type="xsd:double"&gt;2222.847&lt;/D&gt;&lt;/FQL&gt;&lt;FQL&gt;&lt;Q&gt;FDS^FG_PRICE(-4FY,,)&lt;/Q&gt;&lt;R&gt;1&lt;/R&gt;&lt;C&gt;1&lt;/C&gt;&lt;D xsi:type="xsd:double"&gt;157.18&lt;/D&gt;&lt;/FQL&gt;&lt;FQL&gt;&lt;Q&gt;FDS^FG_PRICE(-3FY,,)&lt;/Q&gt;&lt;R&gt;1&lt;/R&gt;&lt;C&gt;1&lt;/C&gt;&lt;D xsi:type="xsd:double"&gt;229.39&lt;/D&gt;&lt;/FQL&gt;&lt;FQL&gt;&lt;Q&gt;FDS^FG_PRICE(-2FY,,)&lt;/Q&gt;&lt;R&gt;1&lt;/R&gt;&lt;C&gt;1&lt;/C&gt;&lt;D xsi:type="xsd:double"&gt;272.09&lt;/D&gt;&lt;/FQL&gt;&lt;FQL&gt;&lt;Q&gt;FDS^FG_PRICE(-1FY,,)&lt;/Q&gt;&lt;R&gt;1&lt;/R&gt;&lt;C&gt;1&lt;/C&gt;&lt;D xsi:type="xsd:double"&gt;350.4&lt;/D&gt;&lt;/FQL&gt;&lt;FQL&gt;&lt;Q&gt;FDS^FG_PRICE(-0FY,,)&lt;/Q&gt;&lt;R&gt;1&lt;/R&gt;&lt;C&gt;1&lt;/C&gt;&lt;D xsi:type="xsd:double"&gt;380.22&lt;/D&gt;&lt;/FQL&gt;&lt;FQL&gt;&lt;Q&gt;FDS^FG_PRICE(0M,,)&lt;/Q&gt;&lt;R&gt;1&lt;/R&gt;&lt;C&gt;1&lt;/C&gt;&lt;D xsi:type="xsd:double"&gt;394.78&lt;/D&gt;&lt;/FQL&gt;&lt;FQL&gt;&lt;Q&gt;FDS^FG_FACTSET_SECTOR&lt;/Q&gt;&lt;R&gt;1&lt;/R&gt;&lt;C&gt;1&lt;/C&gt;&lt;D xsi:type="xsd:string"&gt;Technology Services&lt;/D&gt;&lt;/FQL&gt;&lt;FQL&gt;&lt;Q&gt;FDS^FE_ESTIMATE(EPS,MEAN,ANNUAL,+1,NOW)&lt;/Q&gt;&lt;R&gt;1&lt;/R&gt;&lt;C&gt;1&lt;/C&gt;&lt;D xsi:type="xsd:double"&gt;12.212925&lt;/D&gt;&lt;/FQL&gt;&lt;FQL&gt;&lt;Q&gt;FDS^FE_ESTIMATE(EPS,MEAN,NTMA,,NOW)&lt;/Q&gt;&lt;R&gt;1&lt;/R&gt;&lt;C&gt;1&lt;/C&gt;&lt;D xsi:type="xsd:double"&gt;12.379853&lt;/D&gt;&lt;/FQL&gt;&lt;FQL&gt;&lt;Q&gt;FDS^FE_ESTIMATE(EPS_LTG,MEAN,,,NOW,,,'')/100&lt;/Q&gt;&lt;R&gt;1&lt;/R&gt;&lt;C&gt;1&lt;/C&gt;&lt;D xsi:type="xsd:double"&gt;0.085&lt;/D&gt;&lt;/FQL&gt;&lt;FQL&gt;&lt;Q&gt;FDS^CS_EVENT_DATEJ_N("ER",1)&lt;/Q&gt;&lt;R&gt;1&lt;/R&gt;&lt;C&gt;1&lt;/C&gt;&lt;D xsi:type="xsd:long"&gt;44551&lt;/D&gt;&lt;/FQL&gt;&lt;FQL&gt;&lt;Q&gt;FDS^FG_FACTSET_IND&lt;/Q&gt;&lt;R&gt;1&lt;/R&gt;&lt;C&gt;1&lt;/C&gt;&lt;D xsi:type="xsd:string"&gt;Data Processing Services&lt;/D&gt;&lt;/FQL&gt;&lt;FQL&gt;&lt;Q&gt;FDS^FF_COM_SHS_OUT(CURR,0)&lt;/Q&gt;&lt;R&gt;1&lt;/R&gt;&lt;C&gt;1&lt;/C&gt;&lt;D xsi:type="xsd:double"&gt;37.4565&lt;/D&gt;&lt;/FQL&gt;&lt;FQL&gt;&lt;Q&gt;FDS^FF_DPS(LTM,0)&lt;/Q&gt;&lt;R&gt;1&lt;/R&gt;&lt;C&gt;1&lt;/C&gt;&lt;D xsi:type="xsd:double"&gt;3.18&lt;/D&gt;&lt;/FQL&gt;&lt;FQL&gt;&lt;Q&gt;JD^FG_COMPANY_NAME&lt;/Q&gt;&lt;R&gt;1&lt;/R&gt;&lt;C&gt;1&lt;/C&gt;&lt;D xsi:type="xsd:string"&gt;JD.com, Inc. Sponsored ADR Class A&lt;/D&gt;&lt;/FQL&gt;&lt;FQL&gt;&lt;Q&gt;FDS^P(NOW)&lt;/Q&gt;&lt;R&gt;1&lt;/R&gt;&lt;C&gt;1&lt;/C&gt;&lt;D xsi:type="xsd:double"&gt;426.99&lt;/D&gt;&lt;/FQL&gt;&lt;FQL&gt;&lt;Q&gt;FDS^P_CURRENCY("ISO")&lt;/Q&gt;&lt;R&gt;1&lt;/R&gt;&lt;C&gt;1&lt;/C&gt;&lt;D xsi:type="xsd:string"&gt;USD&lt;/D&gt;&lt;/FQL&gt;&lt;FQL&gt;&lt;Q&gt;FDS^P_EXCHANGE('NAME','FS')&lt;/Q&gt;&lt;R&gt;1&lt;/R&gt;&lt;C&gt;1&lt;/C&gt;&lt;D xsi:type="xsd:string"&gt;NYSE&lt;/D&gt;&lt;/FQL&gt;&lt;FQL&gt;&lt;Q&gt;FDS^FF_COGS(ANN,-5FY,,,RP)&lt;/Q&gt;&lt;R&gt;1&lt;/R&gt;&lt;C&gt;1&lt;/C&gt;&lt;D xsi:type="xsd:double"&gt;484.209&lt;/D&gt;&lt;/FQL&gt;&lt;FQL&gt;&lt;Q&gt;SP50^FG_PRICE_ICS(0/0/-1,NOW,D,LOCAL,SPLIT,0,,,5)&lt;/Q&gt;&lt;R&gt;254&lt;/R&gt;&lt;C&gt;1&lt;/C&gt;&lt;D xsi:type="xsd:double"&gt;3435.56&lt;/D&gt;&lt;D xsi:type="xsd:double"&gt;3453.49&lt;/D&gt;&lt;D xsi:type="xsd:double"&gt;3465.39&lt;/D&gt;&lt;D xsi:type="xsd:double"&gt;3400.97&lt;/D&gt;&lt;D xsi:type="xsd:double"&gt;3390.68&lt;/D&gt;&lt;D xsi:type="xsd:double"&gt;3271.03&lt;/D&gt;&lt;D xsi:type="xsd:double"&gt;3310.11&lt;/D&gt;&lt;D xsi:type="xsd:double"&gt;3269.96&lt;/D&gt;&lt;D xsi:type="xsd:double"&gt;3310.24&lt;/D&gt;&lt;D xsi:type="xsd:double"&gt;3369.1567&lt;/D&gt;&lt;D xsi:type="xsd:double"&gt;3443.44&lt;/D&gt;&lt;D xsi:type="xsd:double"&gt;3510.45&lt;/D&gt;&lt;D xsi:type="xsd:double"&gt;3509.44&lt;/D&gt;&lt;D xsi:type="xsd:double"&gt;3550.5&lt;/D&gt;&lt;D xsi:type="xsd:double"&gt;3545.53&lt;/D&gt;&lt;D xsi:type="xsd:double"&gt;3572.66&lt;/D&gt;&lt;D xsi:type="xsd:double"&gt;3537.01&lt;/D&gt;&lt;D xsi:type="xsd:double"&gt;3585.15&lt;/D&gt;&lt;D xsi:type="xsd:double"&gt;3626.91&lt;/D&gt;&lt;D xsi:type="xsd:double"&gt;3609.53&lt;/D&gt;&lt;D xsi:type="xsd:double"&gt;3567.79&lt;/D&gt;&lt;D xsi:type="xsd:double"&gt;3581.87&lt;/D&gt;&lt;D xsi:type="xsd:double"&gt;3557.54&lt;/D&gt;&lt;D xsi:type="xsd:double"&gt;3577.59&lt;/D&gt;&lt;D xsi:type="xsd:double"&gt;3635.41&lt;/D&gt;&lt;D xsi:type="xsd:double"&gt;3629.65&lt;/D&gt;&lt;D xsi:type="xsd:double"&gt;3638.35&lt;/D&gt;&lt;D xsi:type="xsd:double"&gt;3621.63&lt;/D&gt;&lt;D xsi:type="xsd:double"&gt;3662.45&lt;/D&gt;&lt;D xsi:type="xsd:double"&gt;3669.01&lt;/D&gt;&lt;D xsi:type="xsd:double"&gt;3666.72&lt;/D&gt;&lt;D xsi:type="xsd:double"&gt;3699.12&lt;/D&gt;&lt;D xsi:type="xsd:double"&gt;3691.96&lt;/D&gt;&lt;D xsi:type="xsd:double"&gt;3702.25&lt;/D&gt;&lt;D xsi:type="xsd:double"&gt;3672.82&lt;/D&gt;&lt;D xsi:type="xsd:double"&gt;3668.1&lt;/D&gt;&lt;D xsi:type="xsd:double"&gt;3663.46&lt;/D&gt;&lt;D xsi:type="xsd:double"&gt;3647.49&lt;/D&gt;&lt;D xsi:type="xsd:double"&gt;3694.62&lt;/D&gt;&lt;D xsi:type="xsd:double"&gt;3701.17&lt;/D&gt;&lt;D xsi:type="xsd:double"&gt;3722.48&lt;/D&gt;&lt;D xsi:type="xsd:double"&gt;3709.41&lt;/D&gt;&lt;D xsi:type="xsd:double"&gt;3694.92&lt;/D&gt;&lt;D xsi:type="xsd:double"&gt;3687.26&lt;/D&gt;&lt;D xsi:type="xsd:double"&gt;3690.01&lt;/D&gt;&lt;D xsi:type="xsd:double"&gt;3703.06&lt;/D&gt;&lt;D xsi:type="xsd:double"&gt;3735.36&lt;/D&gt;&lt;D xsi:type="xsd:double"&gt;3727.04&lt;/D&gt;&lt;D xsi:type="xsd:double"&gt;3732.04&lt;/D&gt;&lt;D xsi:type="xsd:double"&gt;3756.07&lt;/D&gt;&lt;D xsi:type="xsd:double"&gt;3700.65&lt;/D&gt;&lt;D xsi:type="xsd:double"&gt;3726.86&lt;/D&gt;&lt;D xsi:type="xsd:double"&gt;3748.14&lt;/D&gt;&lt;D xsi:type="xsd:double"&gt;3803.79&lt;/D&gt;&lt;D xsi:type="xsd:double"&gt;3824.68&lt;/D&gt;&lt;D xsi:type="xsd:double"&gt;3799.61&lt;/D&gt;&lt;D xsi:type="xsd:double"&gt;3801.19&lt;/D&gt;&lt;D xsi:type="xsd:double"&gt;3809.84&lt;/D&gt;&lt;D xsi:type="xsd:double"&gt;3795.54&lt;/D&gt;&lt;D xsi:type="xsd:double"&gt;3768.25&lt;/D&gt;&lt;D xsi:type="xsd:double"&gt;3798.91&lt;/D&gt;&lt;D xsi:type="xsd:double"&gt;3851.85&lt;/D&gt;&lt;D xsi:type="xsd:double"&gt;3853.07&lt;/D&gt;&lt;D xsi:type="xsd:double"&gt;3841.47&lt;/D&gt;&lt;D xsi:type="xsd:double"&gt;3855.36&lt;/D&gt;&lt;D xsi:type="xsd:double"&gt;3849.62&lt;/D&gt;&lt;D xsi:type="xsd:double"&gt;3750.77&lt;/D&gt;&lt;D xsi:type="xsd:double"&gt;3787.38&lt;/D&gt;&lt;D xsi:type="xsd:double"&gt;3714.24&lt;/D&gt;&lt;D xsi:type="xsd:double"&gt;3773.86&lt;/D&gt;&lt;D xsi:type="xsd:double"&gt;3826.31&lt;/D&gt;&lt;D xsi:type="xsd:double"&gt;3830.17&lt;/D&gt;&lt;D xsi:type="xsd:double"&gt;3871.74&lt;/D&gt;&lt;D xsi:type="xsd:double"&gt;3886.83&lt;/D&gt;&lt;D xsi:type="xsd:double"&gt;3915.59&lt;/D&gt;&lt;D xsi:type="xsd:double"&gt;3911.23&lt;/D&gt;&lt;D xsi:type="xsd:double"&gt;3909.88&lt;/D&gt;&lt;D xsi:type="xsd:double"&gt;3916.38&lt;/D&gt;&lt;D xsi:type="xsd:double"&gt;3934.83&lt;/D&gt;&lt;D xsi:type="xsd:double"&gt;3932.59&lt;/D&gt;&lt;D xsi:type="xsd:double"&gt;3931.33&lt;/D&gt;&lt;D xsi:type="xsd:double"&gt;3913.97&lt;/D&gt;&lt;D xsi:type="xsd:double"&gt;3906.71&lt;/D&gt;&lt;D xsi:type="xsd:double"&gt;3876.5&lt;/D&gt;&lt;D xsi:type="xsd:double"&gt;3881.37&lt;/D&gt;&lt;D xsi:type="xsd:double"&gt;3925.43&lt;/D&gt;&lt;D xsi:type="xsd:double"&gt;3829.34&lt;/D&gt;&lt;D xsi:type="xsd:double"&gt;3811.15&lt;/D&gt;&lt;D xsi:type="xsd:double"&gt;3901.82&lt;/D&gt;&lt;D xsi:type="xsd:double"&gt;3870.29&lt;/D&gt;&lt;D xsi:type="xsd:double"&gt;3819.72&lt;/D&gt;&lt;D xsi:type="xsd:double"&gt;3768.47&lt;/D&gt;&lt;D xsi:type="xsd:double"&gt;3841.94&lt;/D&gt;&lt;D xsi:type="xsd:double"&gt;3821.35&lt;/D&gt;&lt;D xsi:type="xsd:double"&gt;3875.44&lt;/D&gt;&lt;D xsi:type="xsd:double"&gt;3898.81&lt;/D&gt;&lt;D xsi:type="xsd:double"&gt;3939.34&lt;/D&gt;&lt;D xsi:type="xsd:double"&gt;3943.34&lt;/D&gt;&lt;D xsi:type="xsd:double"&gt;3968.94&lt;/D&gt;&lt;D xsi:type="xsd:double"&gt;3962.71&lt;/D&gt;&lt;D xsi:type="xsd:double"&gt;3974.12&lt;/D&gt;&lt;D xsi:type="xsd:double"&gt;3915.46&lt;/D&gt;&lt;D xsi:type="xsd:double"&gt;3913.1&lt;/D&gt;&lt;D xsi:type="xsd:double"&gt;3940.59&lt;/D&gt;&lt;D xsi:type="xsd:double"&gt;3910.52&lt;/D&gt;&lt;D xsi:type="xsd:double"&gt;3889.14&lt;/D&gt;&lt;D xsi:type="xsd:double"&gt;3909.52&lt;/D&gt;&lt;D xsi:type="xsd:double"&gt;3974.54&lt;/D&gt;&lt;D xsi:type="xsd:double"&gt;3971.09&lt;/D&gt;&lt;D xsi:type="xsd:double"&gt;3958.55&lt;/D&gt;&lt;D xsi:type="xsd:double"&gt;3972.89&lt;/D&gt;&lt;D xsi:type="xsd:double"&gt;4019.87&lt;/D&gt;&lt;D xsi:type="xsd:double"&gt;4077.91&lt;/D&gt;&lt;D xsi:type="xsd:double"&gt;4073.94&lt;/D&gt;&lt;D xsi:type="xsd:double"&gt;4079.95&lt;/D&gt;&lt;D xsi:type="xsd:double"&gt;4097.17&lt;/D&gt;&lt;D xsi:type="xsd:double"&gt;4128.8&lt;/D&gt;&lt;D xsi:type="xsd:double"&gt;4127.99&lt;/D&gt;&lt;D xsi:type="xsd:double"&gt;4141.59&lt;/D&gt;&lt;D xsi:type="xsd:double"&gt;4124.66&lt;/D&gt;&lt;D xsi:type="xsd:double"&gt;4170.42&lt;/D&gt;&lt;D xsi:type="xsd:double"&gt;4185.47&lt;/D&gt;&lt;D xsi:type="xsd:double"&gt;4163.26&lt;/D&gt;&lt;D xsi:type="xsd:double"&gt;4134.94&lt;/D&gt;&lt;D xsi:type="xsd:double"&gt;4173.42&lt;/D&gt;&lt;D xsi:type="xsd:double"&gt;4134.98&lt;/D&gt;&lt;D xsi:type="xsd:double"&gt;4180.17&lt;/D&gt;&lt;D xsi:type="xsd:double"&gt;4187.62&lt;/D&gt;&lt;D xsi:type="xsd:double"&gt;4186.72&lt;/D&gt;&lt;D xsi:type="xsd:double"&gt;4183.18&lt;/D&gt;&lt;D xsi:type="xsd:double"&gt;4211.47&lt;/D&gt;&lt;D xsi:type="xsd:double"&gt;4181.17&lt;/D&gt;&lt;D xsi:type="xsd:double"&gt;4192.66&lt;/D&gt;&lt;D xsi:type="xsd:double"&gt;4164.66&lt;/D&gt;&lt;D xsi:type="xsd:double"&gt;4167.59&lt;/D&gt;&lt;D xsi:type="xsd:double"&gt;4201.62&lt;/D&gt;&lt;D xsi:type="xsd:double"&gt;4232.6&lt;/D&gt;&lt;D xsi:type="xsd:double"&gt;4188.43&lt;/D&gt;&lt;D xsi:type="xsd:double"&gt;4152.1&lt;/D&gt;&lt;D xsi:type="xsd:double"&gt;4063.04&lt;/D&gt;&lt;D xsi:type="xsd:double"&gt;4112.5&lt;/D&gt;&lt;D xsi:type="xsd:double"&gt;4173.85&lt;/D&gt;&lt;D xsi:type="xsd:double"&gt;4163.29&lt;/D&gt;&lt;D xsi:type="xsd:double"&gt;4127.83&lt;/D&gt;&lt;D xsi:type="xsd:double"&gt;4115.68&lt;/D&gt;&lt;D xsi:type="xsd:double"&gt;4159.12&lt;/D&gt;&lt;D xsi:type="xsd:double"&gt;4155.86&lt;/D&gt;&lt;D xsi:type="xsd:double"&gt;4197.05&lt;/D&gt;&lt;D xsi:type="xsd:double"&gt;4188.13&lt;/D&gt;&lt;D xsi:type="xsd:double"&gt;4195.99&lt;/D&gt;&lt;D xsi:type="xsd:double"&gt;4200.88&lt;/D&gt;&lt;D xsi:type="xsd:double"&gt;4204.11&lt;/D&gt;&lt;D xsi:type="xsd:double"&gt;4202.04&lt;/D&gt;&lt;D xsi:type="xsd:double"&gt;4208.12&lt;/D&gt;&lt;D xsi:type="xsd:double"&gt;4192.85&lt;/D&gt;&lt;D xsi:type="xsd:double"&gt;4229.89&lt;/D&gt;&lt;D xsi:type="xsd:double"&gt;4226.52&lt;/D&gt;&lt;D xsi:type="xsd:double"&gt;4227.26&lt;/D&gt;&lt;D xsi:type="xsd:double"&gt;4219.55&lt;/D&gt;&lt;D xsi:type="xsd:double"&gt;4239.18&lt;/D&gt;&lt;D xsi:type="xsd:double"&gt;4247.44&lt;/D&gt;&lt;D xsi:type="xsd:double"&gt;4255.15&lt;/D&gt;&lt;D xsi:type="xsd:double"&gt;4246.59&lt;/D&gt;&lt;D xsi:type="xsd:double"&gt;4223.7&lt;/D&gt;&lt;D xsi:type="xsd:double"&gt;4221.86&lt;/D&gt;&lt;D xsi:type="xsd:double"&gt;4166.45&lt;/D&gt;&lt;D xsi:type="xsd:double"&gt;4224.79&lt;/D&gt;&lt;D xsi:type="xsd:double"&gt;4246.44&lt;/D&gt;&lt;D xsi:type="xsd:double"&gt;4241.84&lt;/D&gt;&lt;D xsi:type="xsd:double"&gt;4266.49&lt;/D&gt;&lt;D xsi:type="xsd:double"&gt;4280.7&lt;/D&gt;&lt;D xsi:type="xsd:double"&gt;4290.61&lt;/D&gt;&lt;D xsi:type="xsd:double"&gt;4291.8&lt;/D&gt;&lt;D xsi:type="xsd:double"&gt;4297.5&lt;/D&gt;&lt;D xsi:type="xsd:double"&gt;4319.94&lt;/D&gt;&lt;D xsi:type="xsd:double"&gt;4352.34&lt;/D&gt;&lt;D xsi:type="xsd:double"&gt;4343.54&lt;/D&gt;&lt;D xsi:type="xsd:double"&gt;4358.13&lt;/D&gt;&lt;D xsi:type="xsd:double"&gt;4320.82&lt;/D&gt;&lt;D xsi:type="xsd:double"&gt;4369.55&lt;/D&gt;&lt;D xsi:type="xsd:double"&gt;4384.63&lt;/D&gt;&lt;D xsi:type="xsd:double"&gt;4369.21&lt;/D&gt;&lt;D xsi:type="xsd:double"&gt;4374.3&lt;/D&gt;&lt;D xsi:type="xsd:double"&gt;4360.03&lt;/D&gt;&lt;D xsi:type="xsd:double"&gt;4327.16&lt;/D&gt;&lt;D xsi:type="xsd:double"&gt;4258.49&lt;/D&gt;&lt;D xsi:type="xsd:double"&gt;4323.06&lt;/D&gt;&lt;D xsi:type="xsd:double"&gt;4358.69&lt;/D&gt;&lt;D xsi:type="xsd:double"&gt;4367.48&lt;/D&gt;&lt;D xsi:type="xsd:double"&gt;4411.79&lt;/D&gt;&lt;D xsi:type="xsd:double"&gt;4422.3&lt;/D&gt;&lt;D xsi:type="xsd:double"&gt;4401.46&lt;/D&gt;&lt;D xsi:type="xsd:double"&gt;4400.64&lt;/D&gt;&lt;D xsi:type="xsd:double"&gt;4419.15&lt;/D&gt;&lt;D xsi:type="xsd:double"&gt;4395.26&lt;/D&gt;&lt;D xsi:type="xsd:double"&gt;4387.16&lt;/D&gt;&lt;D xsi:type="xsd:double"&gt;4423.15&lt;/D&gt;&lt;D xsi:type="xsd:double"&gt;4402.66&lt;/D&gt;&lt;D xsi:type="xsd:double"&gt;4429.1&lt;/D&gt;&lt;D xsi:type="xsd:double"&gt;4436.52&lt;/D&gt;&lt;D xsi:type="xsd:double"&gt;4432.35&lt;/D&gt;&lt;D xsi:type="xsd:double"&gt;4436.75&lt;/D&gt;&lt;D xsi:type="xsd:double"&gt;4447.7&lt;/D&gt;&lt;D xsi:type="xsd:double"&gt;4460.83&lt;/D&gt;&lt;D xsi:type="xsd:double"&gt;4468&lt;/D&gt;&lt;D xsi:type="xsd:double"&gt;4479.71&lt;/D&gt;&lt;D xsi:type="xsd:double"&gt;4448.08&lt;/D&gt;&lt;D xsi:type="xsd:double"&gt;4400.27&lt;/D&gt;&lt;D xsi:type="xsd:double"&gt;4405.8&lt;/D&gt;&lt;D xsi:type="xsd:double"&gt;4441.67&lt;/D&gt;&lt;D xsi:type="xsd:double"&gt;4479.53&lt;/D&gt;&lt;D xsi:type="xsd:double"&gt;4486.23&lt;/D&gt;&lt;D xsi:type="xsd:double"&gt;4496.19&lt;/D&gt;&lt;D xsi:type="xsd:double"&gt;4470&lt;/D&gt;&lt;D xsi:type="xsd:double"&gt;4509.37&lt;/D&gt;&lt;D xsi:type="xsd:double"&gt;4528.79&lt;/D&gt;&lt;D xsi:type="xsd:double"&gt;4522.68&lt;/D&gt;&lt;D xsi:type="xsd:double"&gt;4524.09&lt;/D&gt;&lt;D xsi:type="xsd:double"&gt;4536.95&lt;/D&gt;&lt;D xsi:type="xsd:double"&gt;4535.43&lt;/D&gt;&lt;D xsi:type="xsd:double"&gt;4520.03&lt;/D&gt;&lt;D xsi:type="xsd:double"&gt;4514.07&lt;/D&gt;&lt;D xsi:type="xsd:double"&gt;4493.28&lt;/D&gt;&lt;D xsi:type="xsd:double"&gt;4458.58&lt;/D&gt;&lt;D xsi:type="xsd:double"&gt;4468.73&lt;/D&gt;&lt;D xsi:type="xsd:double"&gt;4443.05&lt;/D&gt;&lt;D xsi:type="xsd:double"&gt;4480.7&lt;/D&gt;&lt;D xsi:type="xsd:double"&gt;4473.75&lt;/D&gt;&lt;D xsi:type="xsd:double"&gt;4432.99&lt;/D&gt;&lt;D xsi:type="xsd:double"&gt;4357.73&lt;/D&gt;&lt;D xsi:type="xsd:double"&gt;4354.19&lt;/D&gt;&lt;D xsi:type="xsd:double"&gt;4395.64&lt;/D&gt;&lt;D xsi:type="xsd:double"&gt;4448.98&lt;/D&gt;&lt;D xsi:type="xsd:double"&gt;4455.48&lt;/D&gt;&lt;D xsi:type="xsd:double"&gt;4443.11&lt;/D&gt;&lt;D xsi:type="xsd:double"&gt;4352.63&lt;/D&gt;&lt;D xsi:type="xsd:double"&gt;4359.461&lt;/D&gt;&lt;D xsi:type="xsd:double"&gt;4307.54&lt;/D&gt;&lt;D xsi:type="xsd:double"&gt;4357.04&lt;/D&gt;&lt;D xsi:type="xsd:double"&gt;4300.46&lt;/D&gt;&lt;D xsi:type="xsd:double"&gt;4345.72&lt;/D&gt;&lt;D xsi:type="xsd:double"&gt;4363.55&lt;/D&gt;&lt;D xsi:type="xsd:double"&gt;4399.76&lt;/D&gt;&lt;D xsi:type="xsd:double"&gt;4391.34&lt;/D&gt;&lt;D xsi:type="xsd:double"&gt;4361.19&lt;/D&gt;&lt;D xsi:type="xsd:double"&gt;4350.65&lt;/D&gt;&lt;D xsi:type="xsd:double"&gt;4363.8&lt;/D&gt;&lt;D xsi:type="xsd:double"&gt;4438.26&lt;/D&gt;&lt;D xsi:type="xsd:double"&gt;4471.37&lt;/D&gt;&lt;D xsi:type="xsd:double"&gt;4486.46&lt;/D&gt;&lt;D xsi:type="xsd:double"&gt;4519.63&lt;/D&gt;&lt;D xsi:type="xsd:double"&gt;4536.19&lt;/D&gt;&lt;D xsi:type="xsd:double"&gt;4549.78&lt;/D&gt;&lt;D xsi:type="xsd:double"&gt;4549.78&lt;/D&gt;&lt;/FQL&gt;&lt;FQL&gt;&lt;Q&gt;FDS^REBASE(FG_PRICE_ICS(,,,LOCAL,SPLIT,0,,,5), 332.8, 0/0/-1) : 0/0/-1,NOW,D&lt;/Q&gt;&lt;R&gt;254&lt;/R&gt;&lt;C&gt;1&lt;/C&gt;&lt;D xsi:type="xsd:double"&gt;332.8&lt;/D&gt;&lt;D xsi:type="xsd:double"&gt;327.97&lt;/D&gt;&lt;D xsi:type="xsd:double"&gt;328.48&lt;/D&gt;&lt;D xsi:type="xsd:double"&gt;322.27&lt;/D&gt;&lt;D xsi:type="xsd:double"&gt;318.9&lt;/D&gt;&lt;D xsi:type="xsd:double"&gt;311.23&lt;/D&gt;&lt;D xsi:type="xsd:double"&gt;310.25&lt;/D&gt;&lt;D xsi:type="xsd:double"&gt;306.5&lt;/D&gt;&lt;D xsi:type="xsd:double"&gt;311.18&lt;/D&gt;&lt;D xsi:type="xsd:double"&gt;319.48&lt;/D&gt;&lt;D xsi:type="xsd:double"&gt;327.88&lt;/D&gt;&lt;D xsi:type="xsd:double"&gt;332.97&lt;/D&gt;&lt;D xsi:type="xsd:double"&gt;335.83&lt;/D&gt;&lt;D xsi:type="xsd:double"&gt;316.71&lt;/D&gt;&lt;D xsi:type="xsd:double"&gt;323.1&lt;/D&gt;&lt;D xsi:type="xsd:double"&gt;335.15&lt;/D&gt;&lt;D xsi:type="xsd:double"&gt;324.76&lt;/D&gt;&lt;D xsi:type="xsd:double"&gt;328.26&lt;/D&gt;&lt;D xsi:type="xsd:double"&gt;329.95&lt;/D&gt;&lt;D xsi:type="xsd:double"&gt;323.25&lt;/D&gt;&lt;D xsi:type="xsd:double"&gt;317.06&lt;/D&gt;&lt;D xsi:type="xsd:double"&gt;317.96&lt;/D&gt;&lt;D xsi:type="xsd:double"&gt;321.55&lt;/D&gt;&lt;D xsi:type="xsd:double"&gt;318.88&lt;/D&gt;&lt;D xsi:type="xsd:double"&gt;319.88&lt;/D&gt;&lt;D xsi:type="xsd:double"&gt;322.28&lt;/D&gt;&lt;D xsi:type="xsd:double"&gt;322.75&lt;/D&gt;&lt;D xsi:type="xsd:double"&gt;333.76&lt;/D&gt;&lt;D xsi:type="xsd:double"&gt;342.23&lt;/D&gt;&lt;D xsi:type="xsd:double"&gt;336.15&lt;/D&gt;&lt;D xsi:type="xsd:double"&gt;346.57&lt;/D&gt;&lt;D xsi:type="xsd:double"&gt;351.01&lt;/D&gt;&lt;D xsi:type="xsd:double"&gt;351.71&lt;/D&gt;&lt;D xsi:type="xsd:double"&gt;348.57&lt;/D&gt;&lt;D xsi:type="xsd:double"&gt;345.76&lt;/D&gt;&lt;D xsi:type="xsd:double"&gt;348.69&lt;/D&gt;&lt;D xsi:type="xsd:double"&gt;351.47&lt;/D&gt;&lt;D xsi:type="xsd:double"&gt;344.89&lt;/D&gt;&lt;D xsi:type="xsd:double"&gt;347.99&lt;/D&gt;&lt;D xsi:type="xsd:double"&gt;345.38&lt;/D&gt;&lt;D xsi:type="xsd:double"&gt;345.23&lt;/D&gt;&lt;D xsi:type="xsd:double"&gt;347.03&lt;/D&gt;&lt;D xsi:type="xsd:double"&gt;332.65&lt;/D&gt;&lt;D xsi:type="xsd:double"&gt;331&lt;/D&gt;&lt;D xsi:type="xsd:double"&gt;325.08&lt;/D&gt;&lt;D xsi:type="xsd:double"&gt;327.43&lt;/D&gt;&lt;D xsi:type="xsd:double"&gt;330.02&lt;/D&gt;&lt;D xsi:type="xsd:double"&gt;327.33&lt;/D&gt;&lt;D xsi:type="xsd:double"&gt;328.38&lt;/D&gt;&lt;D xsi:type="xsd:double"&gt;332.5&lt;/D&gt;&lt;D xsi:type="xsd:double"&gt;330.59&lt;/D&gt;&lt;D xsi:type="xsd:double"&gt;329.58&lt;/D&gt;&lt;D xsi:type="xsd:double"&gt;332.23&lt;/D&gt;&lt;D xsi:type="xsd:double"&gt;334.4&lt;/D&gt;&lt;D xsi:type="xsd:double"&gt;334.45&lt;/D&gt;&lt;D xsi:type="xsd:double"&gt;332.25&lt;/D&gt;&lt;D xsi:type="xsd:double"&gt;335.44&lt;/D&gt;&lt;D xsi:type="xsd:double"&gt;330.99&lt;/D&gt;&lt;D xsi:type="xsd:double"&gt;320.64&lt;/D&gt;&lt;D xsi:type="xsd:double"&gt;318.2&lt;/D&gt;&lt;D xsi:type="xsd:double"&gt;319.35&lt;/D&gt;&lt;D xsi:type="xsd:double"&gt;327.45&lt;/D&gt;&lt;D xsi:type="xsd:double"&gt;324.72&lt;/D&gt;&lt;D xsi:type="xsd:double"&gt;320.23&lt;/D&gt;&lt;D xsi:type="xsd:double"&gt;317.52&lt;/D&gt;&lt;D xsi:type="xsd:double"&gt;311.9&lt;/D&gt;&lt;D xsi:type="xsd:double"&gt;312.69&lt;/D&gt;&lt;D xsi:type="xsd:double"&gt;308.79&lt;/D&gt;&lt;D xsi:type="xsd:double"&gt;302.34&lt;/D&gt;&lt;D xsi:type="xsd:double"&gt;312.26&lt;/D&gt;&lt;D xsi:type="xsd:double"&gt;317.7&lt;/D&gt;&lt;D xsi:type="xsd:double"&gt;315.35&lt;/D&gt;&lt;D xsi:type="xsd:double"&gt;315.84&lt;/D&gt;&lt;D xsi:type="xsd:double"&gt;317.97&lt;/D&gt;&lt;D xsi:type="xsd:double"&gt;320.95&lt;/D&gt;&lt;D xsi:type="xsd:double"&gt;313.6&lt;/D&gt;&lt;D xsi:type="xsd:double"&gt;309.41&lt;/D&gt;&lt;D xsi:type="xsd:double"&gt;317.14&lt;/D&gt;&lt;D xsi:type="xsd:double"&gt;316&lt;/D&gt;&lt;D xsi:type="xsd:double"&gt;312.6&lt;/D&gt;&lt;D xsi:type="xsd:double"&gt;315.04&lt;/D&gt;&lt;D xsi:type="xsd:double"&gt;318.5&lt;/D&gt;&lt;D xsi:type="xsd:double"&gt;313.68&lt;/D&gt;&lt;D xsi:type="xsd:double"&gt;303.87&lt;/D&gt;&lt;D xsi:type="xsd:double"&gt;302.79&lt;/D&gt;&lt;D xsi:type="xsd:double"&gt;300.94&lt;/D&gt;&lt;D xsi:type="xsd:double"&gt;294.35&lt;/D&gt;&lt;D xsi:type="xsd:double"&gt;303.91&lt;/D&gt;&lt;D xsi:type="xsd:double"&gt;311.18&lt;/D&gt;&lt;D xsi:type="xsd:double"&gt;310.92&lt;/D&gt;&lt;D xsi:type="xsd:double"&gt;308.87&lt;/D&gt;&lt;D xsi:type="xsd:double"&gt;305.09&lt;/D&gt;&lt;D xsi:type="xsd:double"&gt;314.25&lt;/D&gt;&lt;D xsi:type="xsd:double"&gt;315.9&lt;/D&gt;&lt;D xsi:type="xsd:double"&gt;312.49&lt;/D&gt;&lt;D xsi:type="xsd:double"&gt;312.29&lt;/D&gt;&lt;D xsi:type="xsd:double"&gt;312.74&lt;/D&gt;&lt;D xsi:type="xsd:double"&gt;310.9&lt;/D&gt;&lt;D xsi:type="xsd:double"&gt;318.52&lt;/D&gt;&lt;D xsi:type="xsd:double"&gt;317.76&lt;/D&gt;&lt;D xsi:type="xsd:double"&gt;316.3&lt;/D&gt;&lt;D xsi:type="xsd:double"&gt;310.1&lt;/D&gt;&lt;D xsi:type="xsd:double"&gt;311.44&lt;/D&gt;&lt;D xsi:type="xsd:double"&gt;314.38&lt;/D&gt;&lt;D xsi:type="xsd:double"&gt;320.4&lt;/D&gt;&lt;D xsi:type="xsd:double"&gt;321.35&lt;/D&gt;&lt;D xsi:type="xsd:double"&gt;321.17&lt;/D&gt;&lt;D xsi:type="xsd:double"&gt;325.62&lt;/D&gt;&lt;D xsi:type="xsd:double"&gt;323.95&lt;/D&gt;&lt;D xsi:type="xsd:double"&gt;311.34&lt;/D&gt;&lt;D xsi:type="xsd:double"&gt;308.59&lt;/D&gt;&lt;D xsi:type="xsd:double"&gt;317.01&lt;/D&gt;&lt;D xsi:type="xsd:double"&gt;320.55&lt;/D&gt;&lt;D xsi:type="xsd:double"&gt;318.18&lt;/D&gt;&lt;D xsi:type="xsd:double"&gt;309.36&lt;/D&gt;&lt;D xsi:type="xsd:double"&gt;310.14&lt;/D&gt;&lt;D xsi:type="xsd:double"&gt;309.13&lt;/D&gt;&lt;D xsi:type="xsd:double"&gt;311.26&lt;/D&gt;&lt;D xsi:type="xsd:double"&gt;311.4&lt;/D&gt;&lt;D xsi:type="xsd:double"&gt;309.26&lt;/D&gt;&lt;D xsi:type="xsd:double"&gt;314.9&lt;/D&gt;&lt;D xsi:type="xsd:double"&gt;319.27&lt;/D&gt;&lt;D xsi:type="xsd:double"&gt;317.34&lt;/D&gt;&lt;D xsi:type="xsd:double"&gt;318.85&lt;/D&gt;&lt;D xsi:type="xsd:double"&gt;321.75&lt;/D&gt;&lt;D xsi:type="xsd:double"&gt;323.79&lt;/D&gt;&lt;D xsi:type="xsd:double"&gt;347.1&lt;/D&gt;&lt;D xsi:type="xsd:double"&gt;336.91&lt;/D&gt;&lt;D xsi:type="xsd:double"&gt;342.16&lt;/D&gt;&lt;D xsi:type="xsd:double"&gt;336.4&lt;/D&gt;&lt;D xsi:type="xsd:double"&gt;341.27&lt;/D&gt;&lt;D xsi:type="xsd:double"&gt;336.22&lt;/D&gt;&lt;D xsi:type="xsd:double"&gt;342.06&lt;/D&gt;&lt;D xsi:type="xsd:double"&gt;345.6&lt;/D&gt;&lt;D xsi:type="xsd:double"&gt;336.55&lt;/D&gt;&lt;D xsi:type="xsd:double"&gt;338.06&lt;/D&gt;&lt;D xsi:type="xsd:double"&gt;337.05&lt;/D&gt;&lt;D xsi:type="xsd:double"&gt;335.11&lt;/D&gt;&lt;D xsi:type="xsd:double"&gt;331.86&lt;/D&gt;&lt;D xsi:type="xsd:double"&gt;326.51&lt;/D&gt;&lt;D xsi:type="xsd:double"&gt;328.53&lt;/D&gt;&lt;D xsi:type="xsd:double"&gt;330.91&lt;/D&gt;&lt;D xsi:type="xsd:double"&gt;326.53&lt;/D&gt;&lt;D xsi:type="xsd:double"&gt;321.72&lt;/D&gt;&lt;D xsi:type="xsd:double"&gt;322.4&lt;/D&gt;&lt;D xsi:type="xsd:double"&gt;327.31&lt;/D&gt;&lt;D xsi:type="xsd:double"&gt;328.15&lt;/D&gt;&lt;D xsi:type="xsd:double"&gt;328.94&lt;/D&gt;&lt;D xsi:type="xsd:double"&gt;329.73&lt;/D&gt;&lt;D xsi:type="xsd:double"&gt;331.51&lt;/D&gt;&lt;D xsi:type="xsd:double"&gt;332.26&lt;/D&gt;&lt;D xsi:type="xsd:double"&gt;334.36&lt;/D&gt;&lt;D xsi:type="xsd:double"&gt;324.11&lt;/D&gt;&lt;D xsi:type="xsd:double"&gt;327.49&lt;/D&gt;&lt;D xsi:type="xsd:double"&gt;324.98&lt;/D&gt;&lt;D xsi:type="xsd:double"&gt;325.42&lt;/D&gt;&lt;D xsi:type="xsd:double"&gt;323.15&lt;/D&gt;&lt;D xsi:type="xsd:double"&gt;323.4&lt;/D&gt;&lt;D xsi:type="xsd:double"&gt;321.78&lt;/D&gt;&lt;D xsi:type="xsd:double"&gt;324.44&lt;/D&gt;&lt;D xsi:type="xsd:double"&gt;328.4&lt;/D&gt;&lt;D xsi:type="xsd:double"&gt;328&lt;/D&gt;&lt;D xsi:type="xsd:double"&gt;327.98&lt;/D&gt;&lt;D xsi:type="xsd:double"&gt;326.47&lt;/D&gt;&lt;D xsi:type="xsd:double"&gt;328.58&lt;/D&gt;&lt;D xsi:type="xsd:double"&gt;325.34&lt;/D&gt;&lt;D xsi:type="xsd:double"&gt;329.67&lt;/D&gt;&lt;D xsi:type="xsd:double"&gt;330.79&lt;/D&gt;&lt;D xsi:type="xsd:double"&gt;328.52&lt;/D&gt;&lt;D xsi:type="xsd:double"&gt;330.63&lt;/D&gt;&lt;D xsi:type="xsd:double"&gt;332.08&lt;/D&gt;&lt;D xsi:type="xsd:double"&gt;337.03&lt;/D&gt;&lt;D xsi:type="xsd:double"&gt;336.11&lt;/D&gt;&lt;D xsi:type="xsd:double"&gt;335.61&lt;/D&gt;&lt;D xsi:type="xsd:double"&gt;335.83&lt;/D&gt;&lt;D xsi:type="xsd:double"&gt;338.47&lt;/D&gt;&lt;D xsi:type="xsd:double"&gt;341.01&lt;/D&gt;&lt;D xsi:type="xsd:double"&gt;339.59&lt;/D&gt;&lt;D xsi:type="xsd:double"&gt;340.84&lt;/D&gt;&lt;D xsi:type="xsd:double"&gt;343.2&lt;/D&gt;&lt;D xsi:type="xsd:double"&gt;339.54&lt;/D&gt;&lt;D xsi:type="xsd:double"&gt;335.5&lt;/D&gt;&lt;D xsi:type="xsd:double"&gt;335.71&lt;/D&gt;&lt;D xsi:type="xsd:double"&gt;338.84&lt;/D&gt;&lt;D xsi:type="xsd:double"&gt;341.18&lt;/D&gt;&lt;D xsi:type="xsd:double"&gt;337.18&lt;/D&gt;&lt;D xsi:type="xsd:double"&gt;339.93&lt;/D&gt;&lt;D xsi:type="xsd:double"&gt;340.49&lt;/D&gt;&lt;D xsi:type="xsd:double"&gt;340.83&lt;/D&gt;&lt;D xsi:type="xsd:double"&gt;345.23&lt;/D&gt;&lt;D xsi:type="xsd:double"&gt;342.75&lt;/D&gt;&lt;D xsi:type="xsd:double"&gt;344.09&lt;/D&gt;&lt;D xsi:type="xsd:double"&gt;345.35&lt;/D&gt;&lt;D xsi:type="xsd:double"&gt;349.2&lt;/D&gt;&lt;D xsi:type="xsd:double"&gt;357.28&lt;/D&gt;&lt;D xsi:type="xsd:double"&gt;359.22&lt;/D&gt;&lt;D xsi:type="xsd:double"&gt;357.98&lt;/D&gt;&lt;D xsi:type="xsd:double"&gt;358.79&lt;/D&gt;&lt;D xsi:type="xsd:double"&gt;358.99&lt;/D&gt;&lt;D xsi:type="xsd:double"&gt;362.19&lt;/D&gt;&lt;D xsi:type="xsd:double"&gt;362.61&lt;/D&gt;&lt;D xsi:type="xsd:double"&gt;362&lt;/D&gt;&lt;D xsi:type="xsd:double"&gt;364.34&lt;/D&gt;&lt;D xsi:type="xsd:double"&gt;362.78&lt;/D&gt;&lt;D xsi:type="xsd:double"&gt;368.12&lt;/D&gt;&lt;D xsi:type="xsd:double"&gt;373.94&lt;/D&gt;&lt;D xsi:type="xsd:double"&gt;374.57&lt;/D&gt;&lt;D xsi:type="xsd:double"&gt;361.17&lt;/D&gt;&lt;D xsi:type="xsd:double"&gt;365.16&lt;/D&gt;&lt;D xsi:type="xsd:double"&gt;368.98&lt;/D&gt;&lt;D xsi:type="xsd:double"&gt;366.61&lt;/D&gt;&lt;D xsi:type="xsd:double"&gt;367.64&lt;/D&gt;&lt;D xsi:type="xsd:double"&gt;376&lt;/D&gt;&lt;D xsi:type="xsd:double"&gt;374.01&lt;/D&gt;&lt;D xsi:type="xsd:double"&gt;376.58&lt;/D&gt;&lt;D xsi:type="xsd:double"&gt;380.08&lt;/D&gt;&lt;D xsi:type="xsd:double"&gt;380.22&lt;/D&gt;&lt;D xsi:type="xsd:double"&gt;385.84&lt;/D&gt;&lt;D xsi:type="xsd:double"&gt;386.91&lt;/D&gt;&lt;D xsi:type="xsd:double"&gt;385.91&lt;/D&gt;&lt;D xsi:type="xsd:double"&gt;382.41&lt;/D&gt;&lt;D xsi:type="xsd:double"&gt;384.84&lt;/D&gt;&lt;D xsi:type="xsd:double"&gt;383.57&lt;/D&gt;&lt;D xsi:type="xsd:double"&gt;384.01&lt;/D&gt;&lt;D xsi:type="xsd:double"&gt;382.58&lt;/D&gt;&lt;D xsi:type="xsd:double"&gt;383.75&lt;/D&gt;&lt;D xsi:type="xsd:double"&gt;383.77&lt;/D&gt;&lt;D xsi:type="xsd:double"&gt;382.18&lt;/D&gt;&lt;D xsi:type="xsd:double"&gt;378.25&lt;/D&gt;&lt;D xsi:type="xsd:double"&gt;374.51&lt;/D&gt;&lt;D xsi:type="xsd:double"&gt;371.11&lt;/D&gt;&lt;D xsi:type="xsd:double"&gt;374.43&lt;/D&gt;&lt;D xsi:type="xsd:double"&gt;373.5&lt;/D&gt;&lt;D xsi:type="xsd:double"&gt;372.78&lt;/D&gt;&lt;D xsi:type="xsd:double"&gt;369.12&lt;/D&gt;&lt;D xsi:type="xsd:double"&gt;383.29&lt;/D&gt;&lt;D xsi:type="xsd:double"&gt;394.51&lt;/D&gt;&lt;D xsi:type="xsd:double"&gt;394.78&lt;/D&gt;&lt;D xsi:type="xsd:double"&gt;394.13&lt;/D&gt;&lt;D xsi:type="xsd:double"&gt;396.61&lt;/D&gt;&lt;D xsi:type="xsd:double"&gt;396.74&lt;/D&gt;&lt;D xsi:type="xsd:double"&gt;394.82&lt;/D&gt;&lt;D xsi:type="xsd:double"&gt;401.66&lt;/D&gt;&lt;D xsi:type="xsd:double"&gt;401.13&lt;/D&gt;&lt;D xsi:type="xsd:double"&gt;405.15&lt;/D&gt;&lt;D xsi:type="xsd:double"&gt;410.86&lt;/D&gt;&lt;D xsi:type="xsd:double"&gt;409.73&lt;/D&gt;&lt;D xsi:type="xsd:double"&gt;414.66&lt;/D&gt;&lt;D xsi:type="xsd:double"&gt;414.89&lt;/D&gt;&lt;D xsi:type="xsd:double"&gt;415.8&lt;/D&gt;&lt;D xsi:type="xsd:double"&gt;422.35&lt;/D&gt;&lt;D xsi:type="xsd:double"&gt;421.32&lt;/D&gt;&lt;D xsi:type="xsd:double"&gt;426.99&lt;/D&gt;&lt;D xsi:type="xsd:double"&gt;426.99&lt;/D&gt;&lt;/FQL&gt;&lt;FQL&gt;&lt;Q&gt;SP50^REBASE(FG_PRICE_ICS(,,,LOCAL,SPLIT,0,,,5), 332.8, 0/0/-1) : 0/0/-1,NOW,D&lt;/Q&gt;&lt;R&gt;254&lt;/R&gt;&lt;C&gt;1&lt;/C&gt;&lt;D xsi:type="xsd:double"&gt;332.8&lt;/D&gt;&lt;D xsi:type="xsd:double"&gt;334.536865023461&lt;/D&gt;&lt;D xsi:type="xsd:double"&gt;335.689608680972&lt;/D&gt;&lt;D xsi:type="xsd:double"&gt;329.449293856023&lt;/D&gt;&lt;D xsi:type="xsd:double"&gt;328.452509634528&lt;/D&gt;&lt;D xsi:type="xsd:double"&gt;316.862108069718&lt;/D&gt;&lt;D xsi:type="xsd:double"&gt;320.647756988671&lt;/D&gt;&lt;D xsi:type="xsd:double"&gt;316.758458009757&lt;/D&gt;&lt;D xsi:type="xsd:double"&gt;320.660349986611&lt;/D&gt;&lt;D xsi:type="xsd:double"&gt;326.367564461107&lt;/D&gt;&lt;D xsi:type="xsd:double"&gt;333.563329413545&lt;/D&gt;&lt;D xsi:type="xsd:double"&gt;340.054535505129&lt;/D&gt;&lt;D xsi:type="xsd:double"&gt;339.956697598063&lt;/D&gt;&lt;D xsi:type="xsd:double"&gt;343.934147562552&lt;/D&gt;&lt;D xsi:type="xsd:double"&gt;343.452707564415&lt;/D&gt;&lt;D xsi:type="xsd:double"&gt;346.080769365111&lt;/D&gt;&lt;D xsi:type="xsd:double"&gt;342.627381853322&lt;/D&gt;&lt;D xsi:type="xsd:double"&gt;347.290665859423&lt;/D&gt;&lt;D xsi:type="xsd:double"&gt;351.335924274354&lt;/D&gt;&lt;D xsi:type="xsd:double"&gt;349.652337319098&lt;/D&gt;&lt;D xsi:type="xsd:double"&gt;345.609016288465&lt;/D&gt;&lt;D xsi:type="xsd:double"&gt;346.972934834496&lt;/D&gt;&lt;D xsi:type="xsd:double"&gt;344.616106835567&lt;/D&gt;&lt;D xsi:type="xsd:double"&gt;346.558334594651&lt;/D&gt;&lt;D xsi:type="xsd:double"&gt;352.159312601148&lt;/D&gt;&lt;D xsi:type="xsd:double"&gt;351.601345923227&lt;/D&gt;&lt;D xsi:type="xsd:double"&gt;352.444108093004&lt;/D&gt;&lt;D xsi:type="xsd:double"&gt;350.824454819593&lt;/D&gt;&lt;D xsi:type="xsd:double"&gt;354.778656172502&lt;/D&gt;&lt;D xsi:type="xsd:double"&gt;355.414118222357&lt;/D&gt;&lt;D xsi:type="xsd:double"&gt;355.192287720197&lt;/D&gt;&lt;D xsi:type="xsd:double"&gt;358.330850283505&lt;/D&gt;&lt;D xsi:type="xsd:double"&gt;357.6372667047&lt;/D&gt;&lt;D xsi:type="xsd:double"&gt;358.634050926195&lt;/D&gt;&lt;D xsi:type="xsd:double"&gt;355.78318993119&lt;/D&gt;&lt;D xsi:type="xsd:double"&gt;355.325967236782&lt;/D&gt;&lt;D xsi:type="xsd:double"&gt;354.876494079568&lt;/D&gt;&lt;D xsi:type="xsd:double"&gt;353.329492717344&lt;/D&gt;&lt;D xsi:type="xsd:double"&gt;357.894938816379&lt;/D&gt;&lt;D xsi:type="xsd:double"&gt;358.529432174085&lt;/D&gt;&lt;D xsi:type="xsd:double"&gt;360.593715143965&lt;/D&gt;&lt;D xsi:type="xsd:double"&gt;359.327634505001&lt;/D&gt;&lt;D xsi:type="xsd:double"&gt;357.923999580854&lt;/D&gt;&lt;D xsi:type="xsd:double"&gt;357.181981394591&lt;/D&gt;&lt;D xsi:type="xsd:double"&gt;357.448371735612&lt;/D&gt;&lt;D xsi:type="xsd:double"&gt;358.712514990278&lt;/D&gt;&lt;D xsi:type="xsd:double"&gt;361.841390632095&lt;/D&gt;&lt;D xsi:type="xsd:double"&gt;361.035438763986&lt;/D&gt;&lt;D xsi:type="xsd:double"&gt;361.519784838571&lt;/D&gt;&lt;D xsi:type="xsd:double"&gt;363.847552073024&lt;/D&gt;&lt;D xsi:type="xsd:double"&gt;358.479060182328&lt;/D&gt;&lt;D xsi:type="xsd:double"&gt;361.018002305301&lt;/D&gt;&lt;D xsi:type="xsd:double"&gt;363.079379198733&lt;/D&gt;&lt;D xsi:type="xsd:double"&gt;368.47015100886&lt;/D&gt;&lt;D xsi:type="xsd:double"&gt;370.493748908475&lt;/D&gt;&lt;D xsi:type="xsd:double"&gt;368.065237690508&lt;/D&gt;&lt;D xsi:type="xsd:double"&gt;368.218291050076&lt;/D&gt;&lt;D xsi:type="xsd:double"&gt;369.056209759108&lt;/D&gt;&lt;D xsi:type="xsd:double"&gt;367.670979985796&lt;/D&gt;&lt;D xsi:type="xsd:double"&gt;365.027419110713&lt;/D&gt;&lt;D xsi:type="xsd:double"&gt;367.997429240066&lt;/D&gt;&lt;D xsi:type="xsd:double"&gt;373.125685477768&lt;/D&gt;&lt;D xsi:type="xsd:double"&gt;373.243865919966&lt;/D&gt;&lt;D xsi:type="xsd:double"&gt;372.12018302693&lt;/D&gt;&lt;D xsi:type="xsd:double"&gt;373.465696422126&lt;/D&gt;&lt;D xsi:type="xsd:double"&gt;372.909667128503&lt;/D&gt;&lt;D xsi:type="xsd:double"&gt;363.334145233965&lt;/D&gt;&lt;D xsi:type="xsd:double"&gt;366.880527192074&lt;/D&gt;&lt;D xsi:type="xsd:double"&gt;359.795512813049&lt;/D&gt;&lt;D xsi:type="xsd:double"&gt;365.570855406397&lt;/D&gt;&lt;D xsi:type="xsd:double"&gt;370.65164572879&lt;/D&gt;&lt;D xsi:type="xsd:double"&gt;371.025560898369&lt;/D&gt;&lt;D xsi:type="xsd:double"&gt;375.052414162466&lt;/D&gt;&lt;D xsi:type="xsd:double"&gt;376.514170615562&lt;/D&gt;&lt;D xsi:type="xsd:double"&gt;379.300129236573&lt;/D&gt;&lt;D xsi:type="xsd:double"&gt;378.877779459535&lt;/D&gt;&lt;D xsi:type="xsd:double"&gt;378.747006019397&lt;/D&gt;&lt;D xsi:type="xsd:double"&gt;379.376655916357&lt;/D&gt;&lt;D xsi:type="xsd:double"&gt;381.163892931574&lt;/D&gt;&lt;D xsi:type="xsd:double"&gt;380.946905890161&lt;/D&gt;&lt;D xsi:type="xsd:double"&gt;380.824850679365&lt;/D&gt;&lt;D xsi:type="xsd:double"&gt;379.143201108407&lt;/D&gt;&lt;D xsi:type="xsd:double"&gt;378.43993060811&lt;/D&gt;&lt;D xsi:type="xsd:double"&gt;375.51351162547&lt;/D&gt;&lt;D xsi:type="xsd:double"&gt;375.985264702116&lt;/D&gt;&lt;D xsi:type="xsd:double"&gt;380.253322311355&lt;/D&gt;&lt;D xsi:type="xsd:double"&gt;370.945159449988&lt;/D&gt;&lt;D xsi:type="xsd:double"&gt;369.183108430649&lt;/D&gt;&lt;D xsi:type="xsd:double"&gt;377.966240147167&lt;/D&gt;&lt;D xsi:type="xsd:double"&gt;374.911953800836&lt;/D&gt;&lt;D xsi:type="xsd:double"&gt;370.013277602487&lt;/D&gt;&lt;D xsi:type="xsd:double"&gt;365.048730337994&lt;/D&gt;&lt;D xsi:type="xsd:double"&gt;372.165711557941&lt;/D&gt;&lt;D xsi:type="xsd:double"&gt;370.171174422802&lt;/D&gt;&lt;D xsi:type="xsd:double"&gt;375.410830257658&lt;/D&gt;&lt;D xsi:type="xsd:double"&gt;377.674663810267&lt;/D&gt;&lt;D xsi:type="xsd:double"&gt;381.60077309085&lt;/D&gt;&lt;D xsi:type="xsd:double"&gt;381.988249950518&lt;/D&gt;&lt;D xsi:type="xsd:double"&gt;384.468101852391&lt;/D&gt;&lt;D xsi:type="xsd:double"&gt;383.864606643458&lt;/D&gt;&lt;D xsi:type="xsd:double"&gt;384.969884385661&lt;/D&gt;&lt;D xsi:type="xsd:double"&gt;379.287536238634&lt;/D&gt;&lt;D xsi:type="xsd:double"&gt;379.05892489143&lt;/D&gt;&lt;D xsi:type="xsd:double"&gt;381.721859609496&lt;/D&gt;&lt;D xsi:type="xsd:double"&gt;378.809002316944&lt;/D&gt;&lt;D xsi:type="xsd:double"&gt;376.73793850202&lt;/D&gt;&lt;D xsi:type="xsd:double"&gt;378.712133102027&lt;/D&gt;&lt;D xsi:type="xsd:double"&gt;385.010569455926&lt;/D&gt;&lt;D xsi:type="xsd:double"&gt;384.676370664462&lt;/D&gt;&lt;D xsi:type="xsd:double"&gt;383.461630709404&lt;/D&gt;&lt;D xsi:type="xsd:double"&gt;384.850735251313&lt;/D&gt;&lt;D xsi:type="xsd:double"&gt;389.40165096811&lt;/D&gt;&lt;D xsi:type="xsd:double"&gt;395.023940201888&lt;/D&gt;&lt;D xsi:type="xsd:double"&gt;394.639369418668&lt;/D&gt;&lt;D xsi:type="xsd:double"&gt;395.221553400319&lt;/D&gt;&lt;D xsi:type="xsd:double"&gt;396.889641281189&lt;/D&gt;&lt;D xsi:type="xsd:double"&gt;399.953614549011&lt;/D&gt;&lt;D xsi:type="xsd:double"&gt;399.875150484928&lt;/D&gt;&lt;D xsi:type="xsd:double"&gt;401.192571807798&lt;/D&gt;&lt;D xsi:type="xsd:double"&gt;399.552575999255&lt;/D&gt;&lt;D xsi:type="xsd:double"&gt;403.985311273854&lt;/D&gt;&lt;D xsi:type="xsd:double"&gt;405.443192958353&lt;/D&gt;&lt;D xsi:type="xsd:double"&gt;403.291727695048&lt;/D&gt;&lt;D xsi:type="xsd:double"&gt;400.548391528601&lt;/D&gt;&lt;D xsi:type="xsd:double"&gt;404.275918918604&lt;/D&gt;&lt;D xsi:type="xsd:double"&gt;400.552266297198&lt;/D&gt;&lt;D xsi:type="xsd:double"&gt;404.929786119294&lt;/D&gt;&lt;D xsi:type="xsd:double"&gt;405.651461770425&lt;/D&gt;&lt;D xsi:type="xsd:double"&gt;405.564279476999&lt;/D&gt;&lt;D xsi:type="xsd:double"&gt;405.221362456194&lt;/D&gt;&lt;D xsi:type="xsd:double"&gt;407.961792546193&lt;/D&gt;&lt;D xsi:type="xsd:double"&gt;405.02665533421&lt;/D&gt;&lt;D xsi:type="xsd:double"&gt;406.139682613606&lt;/D&gt;&lt;D xsi:type="xsd:double"&gt;403.427344595932&lt;/D&gt;&lt;D xsi:type="xsd:double"&gt;403.711171395639&lt;/D&gt;&lt;D xsi:type="xsd:double"&gt;407.007630779262&lt;/D&gt;&lt;D xsi:type="xsd:double"&gt;410.008639057388&lt;/D&gt;&lt;D xsi:type="xsd:double"&gt;405.729925834507&lt;/D&gt;&lt;D xsi:type="xsd:double"&gt;402.210667256575&lt;/D&gt;&lt;D xsi:type="xsd:double"&gt;393.583494976074&lt;/D&gt;&lt;D xsi:type="xsd:double"&gt;398.374646345865&lt;/D&gt;&lt;D xsi:type="xsd:double"&gt;404.317572681019&lt;/D&gt;&lt;D xsi:type="xsd:double"&gt;403.294633771496&lt;/D&gt;&lt;D xsi:type="xsd:double"&gt;399.859651410542&lt;/D&gt;&lt;D xsi:type="xsd:double"&gt;398.682690449301&lt;/D&gt;&lt;D xsi:type="xsd:double"&gt;402.890689145292&lt;/D&gt;&lt;D xsi:type="xsd:double"&gt;402.574895504663&lt;/D&gt;&lt;D xsi:type="xsd:double"&gt;406.564938467091&lt;/D&gt;&lt;D xsi:type="xsd:double"&gt;405.700865070032&lt;/D&gt;&lt;D xsi:type="xsd:double"&gt;406.462257099279&lt;/D&gt;&lt;D xsi:type="xsd:double"&gt;406.935947560223&lt;/D&gt;&lt;D xsi:type="xsd:double"&gt;407.248835124405&lt;/D&gt;&lt;D xsi:type="xsd:double"&gt;407.048315849527&lt;/D&gt;&lt;D xsi:type="xsd:double"&gt;407.637280676222&lt;/D&gt;&lt;D xsi:type="xsd:double"&gt;406.15808776444&lt;/D&gt;&lt;D xsi:type="xsd:double"&gt;409.746123484963&lt;/D&gt;&lt;D xsi:type="xsd:double"&gt;409.419674230693&lt;/D&gt;&lt;D xsi:type="xsd:double"&gt;409.491357449732&lt;/D&gt;&lt;D xsi:type="xsd:double"&gt;408.744495802722&lt;/D&gt;&lt;D xsi:type="xsd:double"&gt;410.646038491541&lt;/D&gt;&lt;D xsi:type="xsd:double"&gt;411.446178206755&lt;/D&gt;&lt;D xsi:type="xsd:double"&gt;412.193039853765&lt;/D&gt;&lt;D xsi:type="xsd:double"&gt;411.363839374076&lt;/D&gt;&lt;D xsi:type="xsd:double"&gt;409.146503044627&lt;/D&gt;&lt;D xsi:type="xsd:double"&gt;408.96826368918&lt;/D&gt;&lt;D xsi:type="xsd:double"&gt;403.600740490633&lt;/D&gt;&lt;D xsi:type="xsd:double"&gt;409.252090488887&lt;/D&gt;&lt;D xsi:type="xsd:double"&gt;411.349308991838&lt;/D&gt;&lt;D xsi:type="xsd:double"&gt;410.90371060322&lt;/D&gt;&lt;D xsi:type="xsd:double"&gt;413.291536750923&lt;/D&gt;&lt;D xsi:type="xsd:double"&gt;414.668048294892&lt;/D&gt;&lt;D xsi:type="xsd:double"&gt;415.628022214719&lt;/D&gt;&lt;D xsi:type="xsd:double"&gt;415.74329658047&lt;/D&gt;&lt;D xsi:type="xsd:double"&gt;416.295451105497&lt;/D&gt;&lt;D xsi:type="xsd:double"&gt;418.469196288232&lt;/D&gt;&lt;D xsi:type="xsd:double"&gt;421.607758851541&lt;/D&gt;&lt;D xsi:type="xsd:double"&gt;420.755309760272&lt;/D&gt;&lt;D xsi:type="xsd:double"&gt;422.16863160591&lt;/D&gt;&lt;D xsi:type="xsd:double"&gt;418.554441197359&lt;/D&gt;&lt;D xsi:type="xsd:double"&gt;423.274878040261&lt;/D&gt;&lt;D xsi:type="xsd:double"&gt;424.735665801209&lt;/D&gt;&lt;D xsi:type="xsd:double"&gt;423.24194250719&lt;/D&gt;&lt;D xsi:type="xsd:double"&gt;423.735006811117&lt;/D&gt;&lt;D xsi:type="xsd:double"&gt;422.352683114252&lt;/D&gt;&lt;D xsi:type="xsd:double"&gt;419.168592019933&lt;/D&gt;&lt;D xsi:type="xsd:double"&gt;412.516583031587&lt;/D&gt;&lt;D xsi:type="xsd:double"&gt;418.771428238773&lt;/D&gt;&lt;D xsi:type="xsd:double"&gt;422.222878366263&lt;/D&gt;&lt;D xsi:type="xsd:double"&gt;423.074358765383&lt;/D&gt;&lt;D xsi:type="xsd:double"&gt;427.366633678352&lt;/D&gt;&lt;D xsi:type="xsd:double"&gt;428.384729127129&lt;/D&gt;&lt;D xsi:type="xsd:double"&gt;426.36597468826&lt;/D&gt;&lt;D xsi:type="xsd:double"&gt;426.286541932029&lt;/D&gt;&lt;D xsi:type="xsd:double"&gt;428.079591100141&lt;/D&gt;&lt;D xsi:type="xsd:double"&gt;425.765385555776&lt;/D&gt;&lt;D xsi:type="xsd:double"&gt;424.980744914948&lt;/D&gt;&lt;D xsi:type="xsd:double"&gt;428.467067959809&lt;/D&gt;&lt;D xsi:type="xsd:double"&gt;426.482217746161&lt;/D&gt;&lt;D xsi:type="xsd:double"&gt;429.043439788564&lt;/D&gt;&lt;D xsi:type="xsd:double"&gt;429.762209363248&lt;/D&gt;&lt;D xsi:type="xsd:double"&gt;429.358264737044&lt;/D&gt;&lt;D xsi:type="xsd:double"&gt;429.784489282679&lt;/D&gt;&lt;D xsi:type="xsd:double"&gt;430.845207186019&lt;/D&gt;&lt;D xsi:type="xsd:double"&gt;432.117099977878&lt;/D&gt;&lt;D xsi:type="xsd:double"&gt;432.811652248833&lt;/D&gt;&lt;D xsi:type="xsd:double"&gt;433.94599075551&lt;/D&gt;&lt;D xsi:type="xsd:double"&gt;430.882017487688&lt;/D&gt;&lt;D xsi:type="xsd:double"&gt;426.250700322509&lt;/D&gt;&lt;D xsi:type="xsd:double"&gt;426.786387081&lt;/D&gt;&lt;D xsi:type="xsd:double"&gt;430.26108582007&lt;/D&gt;&lt;D xsi:type="xsd:double"&gt;433.928554296825&lt;/D&gt;&lt;D xsi:type="xsd:double"&gt;434.577578036768&lt;/D&gt;&lt;D xsi:type="xsd:double"&gt;435.542395417341&lt;/D&gt;&lt;D xsi:type="xsd:double"&gt;433.005390678667&lt;/D&gt;&lt;D xsi:type="xsd:double"&gt;436.819131669946&lt;/D&gt;&lt;D xsi:type="xsd:double"&gt;438.700331823633&lt;/D&gt;&lt;D xsi:type="xsd:double"&gt;438.10846092049&lt;/D&gt;&lt;D xsi:type="xsd:double"&gt;438.245046513523&lt;/D&gt;&lt;D xsi:type="xsd:double"&gt;439.490784617355&lt;/D&gt;&lt;D xsi:type="xsd:double"&gt;439.343543410681&lt;/D&gt;&lt;D xsi:type="xsd:double"&gt;437.851757500961&lt;/D&gt;&lt;D xsi:type="xsd:double"&gt;437.274416980056&lt;/D&gt;&lt;D xsi:type="xsd:double"&gt;435.260506001933&lt;/D&gt;&lt;D xsi:type="xsd:double"&gt;431.899144244315&lt;/D&gt;&lt;D xsi:type="xsd:double"&gt;432.882366775722&lt;/D&gt;&lt;D xsi:type="xsd:double"&gt;430.394765336655&lt;/D&gt;&lt;D xsi:type="xsd:double"&gt;434.041891278278&lt;/D&gt;&lt;D xsi:type="xsd:double"&gt;433.368650234605&lt;/D&gt;&lt;D xsi:type="xsd:double"&gt;429.420261034591&lt;/D&gt;&lt;D xsi:type="xsd:double"&gt;422.129883919943&lt;/D&gt;&lt;D xsi:type="xsd:double"&gt;421.786966899137&lt;/D&gt;&lt;D xsi:type="xsd:double"&gt;425.802195857444&lt;/D&gt;&lt;D xsi:type="xsd:double"&gt;430.969199781113&lt;/D&gt;&lt;D xsi:type="xsd:double"&gt;431.598849678073&lt;/D&gt;&lt;D xsi:type="xsd:double"&gt;430.40057748955&lt;/D&gt;&lt;D xsi:type="xsd:double"&gt;421.635850923867&lt;/D&gt;&lt;D xsi:type="xsd:double"&gt;422.297564530964&lt;/D&gt;&lt;D xsi:type="xsd:double"&gt;417.268018023263&lt;/D&gt;&lt;D xsi:type="xsd:double"&gt;422.063044161651&lt;/D&gt;&lt;D xsi:type="xsd:double"&gt;416.582183981651&lt;/D&gt;&lt;D xsi:type="xsd:double"&gt;420.966484648791&lt;/D&gt;&lt;D xsi:type="xsd:double"&gt;422.69366275076&lt;/D&gt;&lt;D xsi:type="xsd:double"&gt;426.201297022902&lt;/D&gt;&lt;D xsi:type="xsd:double"&gt;425.385658233301&lt;/D&gt;&lt;D xsi:type="xsd:double"&gt;422.465051403556&lt;/D&gt;&lt;D xsi:type="xsd:double"&gt;421.444049878331&lt;/D&gt;&lt;D xsi:type="xsd:double"&gt;422.717880054489&lt;/D&gt;&lt;D xsi:type="xsd:double"&gt;429.930761797203&lt;/D&gt;&lt;D xsi:type="xsd:double"&gt;433.138101503103&lt;/D&gt;&lt;D xsi:type="xsd:double"&gt;434.599857956199&lt;/D&gt;&lt;D xsi:type="xsd:double"&gt;437.813009814994&lt;/D&gt;&lt;D xsi:type="xsd:double"&gt;439.417164014018&lt;/D&gt;&lt;D xsi:type="xsd:double"&gt;440.733616644739&lt;/D&gt;&lt;D xsi:type="xsd:double"&gt;440.733616644739&lt;/D&gt;&lt;/FQL&gt;&lt;FQL&gt;&lt;Q&gt;JD^FG_BUS_DESC_BRIEF("ARRAY")[1]&lt;/Q&gt;&lt;R&gt;1&lt;/R&gt;&lt;C&gt;1&lt;/C&gt;&lt;D xsi:type="xsd:string"&gt;sale of electronics products and general merchandise products, including&lt;/D&gt;&lt;/FQL&gt;&lt;FQL&gt;&lt;Q&gt;JD^FG_BUS_DESC_BRIEF("ARRAY")[2]&lt;/Q&gt;&lt;R&gt;1&lt;/R&gt;&lt;C&gt;1&lt;/C&gt;&lt;D xsi:type="xsd:string"&gt;audio, video products, and b</t>
        </r>
      </text>
    </commen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ooks. The company operates through the JD&lt;/D&gt;&lt;/FQL&gt;&lt;FQL&gt;&lt;Q&gt;JD^FG_BUS_DESC_BRIEF("ARRAY")[3]&lt;/Q&gt;&lt;R&gt;1&lt;/R&gt;&lt;C&gt;1&lt;/C&gt;&lt;D xsi:type="xsd:string"&gt;Retail and New Businesses segments. The JD Retail segment offers online&lt;/D&gt;&lt;/FQL&gt;&lt;FQL&gt;&lt;Q&gt;JD^FG_BUS_DESC_BRIEF("ARRAY")[4]&lt;/Q&gt;&lt;R&gt;1&lt;/R&gt;&lt;C&gt;1&lt;/C&gt;&lt;D xsi:type="xsd:string"&gt;retail, online marketplace, and marketing services. The New Businesses&lt;/D&gt;&lt;/FQL&gt;&lt;FQL&gt;&lt;Q&gt;JD^FG_BUS_DESC_BRIEF("ARRAY")[5]&lt;/Q&gt;&lt;R&gt;1&lt;/R&gt;&lt;C&gt;1&lt;/C&gt;&lt;D xsi:type="xsd:string"&gt;segment consists of logistic services provided to third parties, the&lt;/D&gt;&lt;/FQL&gt;&lt;FQL&gt;&lt;Q&gt;JD^FG_BUS_DESC_BRIEF("ARRAY")[6]&lt;/Q&gt;&lt;R&gt;1&lt;/R&gt;&lt;C&gt;1&lt;/C&gt;&lt;D xsi:type="xsd:string"&gt;overseas business, and technology initiatives, asset management services&lt;/D&gt;&lt;/FQL&gt;&lt;FQL&gt;&lt;Q&gt;JD^FG_BUS_DESC_BRIEF("ARRAY")[7]&lt;/Q&gt;&lt;R&gt;1&lt;/R&gt;&lt;C&gt;1&lt;/C&gt;&lt;D xsi:type="xsd:string"&gt;to logistics property investors, and the sale of development properties&lt;/D&gt;&lt;/FQL&gt;&lt;FQL&gt;&lt;Q&gt;JD^FG_BUS_DESC_BRIEF("ARRAY")[8]&lt;/Q&gt;&lt;R&gt;1&lt;/R&gt;&lt;C&gt;1&lt;/C&gt;&lt;D xsi:type="xsd:string"&gt;by JD Property. The company was founded on June 18, 1998 by Qiang Dong&lt;/D&gt;&lt;/FQL&gt;&lt;FQL&gt;&lt;Q&gt;JD^FG_BUS_DESC_BRIEF("ARRAY")[9]&lt;/Q&gt;&lt;R&gt;1&lt;/R&gt;&lt;C&gt;1&lt;/C&gt;&lt;D xsi:type="xsd:string"&gt;Liu and is headquartered in Beijing, China.&lt;/D&gt;&lt;/FQL&gt;&lt;FQL&gt;&lt;Q&gt;JD^FG_BUS_DESC_BRIEF("ARRAY")[10]&lt;/Q&gt;&lt;R&gt;0&lt;/R&gt;&lt;C&gt;0&lt;/C&gt;&lt;/FQL&gt;&lt;FQL&gt;&lt;Q&gt;JD^FG_BUS_DESC_BRIEF("ARRAY")[11]&lt;/Q&gt;&lt;R&gt;0&lt;/R&gt;&lt;C&gt;0&lt;/C&gt;&lt;/FQL&gt;&lt;FQL&gt;&lt;Q&gt;JD^FG_BUS_DESC_BRIEF("ARRAY")[12]&lt;/Q&gt;&lt;R&gt;0&lt;/R&gt;&lt;C&gt;0&lt;/C&gt;&lt;/FQL&gt;&lt;FQL&gt;&lt;Q&gt;JD^FG_BUS_DESC_BRIEF("ARRAY")[13]&lt;/Q&gt;&lt;R&gt;0&lt;/R&gt;&lt;C&gt;0&lt;/C&gt;&lt;/FQL&gt;&lt;FQL&gt;&lt;Q&gt;JD^FG_BUS_DESC_BRIEF("ARRAY")[14]&lt;/Q&gt;&lt;R&gt;0&lt;/R&gt;&lt;C&gt;0&lt;/C&gt;&lt;/FQL&gt;&lt;FQL&gt;&lt;Q&gt;JD^FG_ADDRESS_L1&lt;/Q&gt;&lt;R&gt;1&lt;/R&gt;&lt;C&gt;1&lt;/C&gt;&lt;D xsi:type="xsd:string"&gt;No. 18 Kechuang 11 Street&lt;/D&gt;&lt;/FQL&gt;&lt;FQL&gt;&lt;Q&gt;JD^FG_ADDRESS_L2&lt;/Q&gt;&lt;R&gt;1&lt;/R&gt;&lt;C&gt;1&lt;/C&gt;&lt;D xsi:type="xsd:string"&gt;Beijing, Beijing 101111 China&lt;/D&gt;&lt;/FQL&gt;&lt;FQL&gt;&lt;Q&gt;JD^PROPER(FG_COUNTRY)&lt;/Q&gt;&lt;R&gt;1&lt;/R&gt;&lt;C&gt;1&lt;/C&gt;&lt;D xsi:type="xsd:string"&gt;Hong Kong&lt;/D&gt;&lt;/FQL&gt;&lt;FQL&gt;&lt;Q&gt;JD^FF_SALES(ANN,-4FY,0FY,,RP)&lt;/Q&gt;&lt;R&gt;5&lt;/R&gt;&lt;C&gt;1&lt;/C&gt;&lt;D xsi:type="xsd:double"&gt;53613.4779423297&lt;/D&gt;&lt;D xsi:type="xsd:double"&gt;69823.0235914103&lt;/D&gt;&lt;D xsi:type="xsd:double"&gt;83487.7885460179&lt;/D&gt;&lt;D xsi:type="xsd:double"&gt;108052.240301348&lt;/D&gt;&lt;D xsi:type="xsd:double"&gt;147548.346605138&lt;/D&gt;&lt;/FQL&gt;&lt;FQL&gt;&lt;Q&gt;JD^FF_SALES(ANN,-5FY,,,RP)&lt;/Q&gt;&lt;R&gt;1&lt;/R&gt;&lt;C&gt;1&lt;/C&gt;&lt;D xsi:type="xsd:double"&gt;39153.963036177&lt;/D&gt;&lt;/FQL&gt;&lt;FQL&gt;&lt;Q&gt;JD^FF_SGA(ANN,-4FY,0FY,,RP)&lt;/Q&gt;&lt;R&gt;5&lt;/R&gt;&lt;C&gt;1&lt;/C&gt;&lt;D xsi:type="xsd:double"&gt;7379.51541425642&lt;/D&gt;&lt;D xsi:type="xsd:double"&gt;10086.7960876033&lt;/D&gt;&lt;D xsi:type="xsd:double"&gt;11302.9761033912&lt;/D&gt;&lt;D xsi:type="xsd:double"&gt;14070.9887397552&lt;/D&gt;&lt;D xsi:type="xsd:double"&gt;19258.6115083257&lt;/D&gt;&lt;/FQL&gt;&lt;FQL&gt;&lt;Q&gt;JD^FF_SGA(ANN,-5FY,,,RP)&lt;/Q&gt;&lt;R&gt;1&lt;/R&gt;&lt;C&gt;1&lt;/C&gt;&lt;D xsi:type="xsd:double"&gt;6256.85990877324&lt;/D&gt;&lt;/FQL&gt;&lt;FQL&gt;&lt;Q&gt;JD^FF_EBITDA_OPER(ANN,-4FY,0FY,,RP)&lt;/Q&gt;&lt;R&gt;5&lt;/R&gt;&lt;C&gt;1&lt;/C&gt;&lt;D xsi:type="xsd:double"&gt;484.27461&lt;/D&gt;&lt;D xsi:type="xsd:double"&gt;420.44947&lt;/D&gt;&lt;D xsi:type="xsd:double"&gt;1590.84866&lt;/D&gt;&lt;D xsi:type="xsd:double"&gt;2466.47986&lt;/D&gt;&lt;D xsi:type="xsd:double"&gt;1489.51501&lt;/D&gt;&lt;/FQL&gt;&lt;FQL&gt;&lt;Q&gt;JD^FF_EBITDA_OPER(ANN,-5FY,,,RP)&lt;/Q&gt;&lt;R&gt;1&lt;/R&gt;&lt;C&gt;1&lt;/C&gt;&lt;D xsi:type="xsd:double"&gt;216.73942&lt;/D&gt;&lt;/FQL&gt;&lt;FQL&gt;&lt;Q&gt;JD^FF_EBIT_OPER(ANN,-4FY,0FY,,RP)&lt;/Q&gt;&lt;R&gt;5&lt;/R&gt;&lt;C&gt;1&lt;/C&gt;&lt;D xsi:type="xsd:double"&gt;-123.62365&lt;/D&gt;&lt;D xsi:type="xsd:double"&gt;-392.44513&lt;/D&gt;&lt;D xsi:type="xsd:double"&gt;739.54826&lt;/D&gt;&lt;D xsi:type="xsd:double"&gt;1549.36394&lt;/D&gt;&lt;D xsi:type="xsd:double"&gt;523.14631&lt;/D&gt;&lt;/FQL&gt;&lt;FQL&gt;&lt;Q&gt;JD^FF_EBIT_OPER(ANN,-5FY,,,RP)&lt;/Q&gt;&lt;R&gt;1&lt;/R&gt;&lt;C&gt;1&lt;/C&gt;&lt;D xsi:type="xsd:double"&gt;-322.85363&lt;/D&gt;&lt;/FQL&gt;&lt;FQL&gt;&lt;Q&gt;JD^FF_NET_INC(ANN,-4FY,0FY,,RP)&lt;/Q&gt;&lt;R&gt;5&lt;/R&gt;&lt;C&gt;1&lt;/C&gt;&lt;D xsi:type="xsd:double"&gt;17.285465076144&lt;/D&gt;&lt;D xsi:type="xsd:double"&gt;-376.549587655485&lt;/D&gt;&lt;D xsi:type="xsd:double"&gt;1763.30120025746&lt;/D&gt;&lt;D xsi:type="xsd:double"&gt;7157.85938323261&lt;/D&gt;&lt;D xsi:type="xsd:double"&gt;-551.923747105321&lt;/D&gt;&lt;/FQL&gt;&lt;FQL&gt;&lt;Q&gt;JD^FF_NET_INC(ANN,-5FY,,,RP)&lt;/Q&gt;&lt;R&gt;1&lt;/R&gt;&lt;C&gt;1&lt;/C&gt;&lt;D xsi:type="xsd:double"&gt;-573.004660748199&lt;/D&gt;&lt;/FQL&gt;&lt;FQL&gt;&lt;Q&gt;JD^FF_EPS_DIL(ANN,-4FY,0FY,,RP)&lt;/Q&gt;&lt;R&gt;5&lt;/R&gt;&lt;C&gt;1&lt;/C&gt;&lt;D xsi:type="xsd:double"&gt;-0.0146&lt;/D&gt;&lt;D xsi:type="xsd:double"&gt;-0.2447&lt;/D&gt;&lt;D xsi:type="xsd:double"&gt;1.1458&lt;/D&gt;&lt;D xsi:type="xsd:double"&gt;4.5899&lt;/D&gt;&lt;D xsi:type="xsd:double"&gt;-0.3552&lt;/D&gt;&lt;/FQL&gt;&lt;FQL&gt;&lt;Q&gt;JD^FF_EPS_DIL(ANN,-5FY,,,RP)&lt;/Q&gt;&lt;R&gt;1&lt;/R&gt;&lt;C&gt;1&lt;/C&gt;&lt;D xsi:type="xsd:double"&gt;-0.3723&lt;/D&gt;&lt;/FQL&gt;&lt;FQL&gt;&lt;Q&gt;JD^FF_ASSETS(ANN,-4FY,0FY,,RP)&lt;/Q&gt;&lt;R&gt;5&lt;/R&gt;&lt;C&gt;1&lt;/C&gt;&lt;D xsi:type="xsd:double"&gt;28263.9689803446&lt;/D&gt;&lt;D xsi:type="xsd:double"&gt;30465.1902937799&lt;/D&gt;&lt;D xsi:type="xsd:double"&gt;37286.0881174907&lt;/D&gt;&lt;D xsi:type="xsd:double"&gt;64571.9737606665&lt;/D&gt;&lt;D xsi:type="xsd:double"&gt;77903.5698651439&lt;/D&gt;&lt;/FQL&gt;&lt;FQL&gt;&lt;Q&gt;JD^FF_ASSETS(ANN,-5FY,,,RP)&lt;/Q&gt;&lt;R&gt;1&lt;/R&gt;&lt;C&gt;1&lt;/C&gt;&lt;D xsi:type="xsd:double"&gt;23076.9865457942&lt;/D&gt;&lt;/FQL&gt;&lt;FQL&gt;&lt;Q&gt;JD^FF_SHLDRS_EQ(ANN,-4FY,0FY,,RP)&lt;/Q&gt;&lt;R&gt;5&lt;/R&gt;&lt;C&gt;1&lt;/C&gt;&lt;D xsi:type="xsd:double"&gt;7991.52549140068&lt;/D&gt;&lt;D xsi:type="xsd:double"&gt;8705.73619587242&lt;/D&gt;&lt;D xsi:type="xsd:double"&gt;11751.291327505&lt;/D&gt;&lt;D xsi:type="xsd:double"&gt;28677.221780483&lt;/D&gt;&lt;D xsi:type="xsd:double"&gt;32778.9393333186&lt;/D&gt;&lt;/FQL&gt;&lt;FQL&gt;&lt;Q&gt;JD^FF_SHLDRS_EQ(ANN,-5FY,,,RP)&lt;/Q&gt;&lt;R&gt;1&lt;/R&gt;&lt;C&gt;1&lt;/C&gt;&lt;D xsi:type="xsd:double"&gt;4877.02712425345&lt;/D&gt;&lt;/FQL&gt;&lt;FQL&gt;&lt;Q&gt;JD^FF_RECEIV_TOT(ANN,-4FY,0FY,,RP)&lt;/Q&gt;&lt;R&gt;5&lt;/R&gt;&lt;C&gt;1&lt;/C&gt;&lt;D xsi:type="xsd:double"&gt;4958.29330466842&lt;/D&gt;&lt;D xsi:type="xsd:double"&gt;2470.64800384525&lt;/D&gt;&lt;D xsi:type="xsd:double"&gt;1719.29798871617&lt;/D&gt;&lt;D xsi:type="xsd:double"&gt;2211.45402000065&lt;/D&gt;&lt;D xsi:type="xsd:double"&gt;2730.06095695365&lt;/D&gt;&lt;/FQL&gt;&lt;FQL&gt;&lt;Q&gt;JD^FF_RECEIV_TOT(ANN,-5FY,,,RP)&lt;/Q&gt;&lt;R&gt;1&lt;/R&gt;&lt;C&gt;1&lt;/C&gt;&lt;D xsi:type="xsd:double"&gt;4543.11432477148&lt;/D&gt;&lt;/FQL&gt;&lt;FQL&gt;&lt;Q&gt;JD^FF_INVEN(ANN,-4FY,,,RP)&lt;/Q&gt;&lt;R&gt;1&lt;/R&gt;&lt;C&gt;1&lt;/C&gt;&lt;D xsi:type="xsd:double"&gt;6464.21268427534&lt;/D&gt;&lt;/FQL&gt;&lt;FQL&gt;&lt;Q&gt;JD^FF_COGS(ANN,-4FY,0FY,,RP)&lt;/Q&gt;&lt;R&gt;5&lt;/R&gt;&lt;C&gt;1&lt;/C&gt;&lt;D xsi:type="xsd:double"&gt;46357.5861785065&lt;/D&gt;&lt;D xsi:type="xsd:double"&gt;60128.672635541&lt;/D&gt;&lt;D xsi:type="xsd:double"&gt;71445.2641803285&lt;/D&gt;&lt;D xsi:type="xsd:double"&gt;92431.8876255565&lt;/D&gt;&lt;D xsi:type="xsd:double"&gt;127766.588786365&lt;/D&gt;&lt;/FQL&gt;&lt;FQL&gt;&lt;Q&gt;JD^FF_INVEN(ANN,-5FY,,,RP)&lt;/Q&gt;&lt;R&gt;1&lt;/R&gt;&lt;C&gt;1&lt;/C&gt;&lt;D xsi:type="xsd:double"&gt;4364.79948197704&lt;/D&gt;&lt;/FQL&gt;&lt;FQL&gt;&lt;Q&gt;JD^FF_PAY_ACCT(ANN,-4FY,0FY,,RP)&lt;/Q&gt;&lt;R&gt;5&lt;/R&gt;&lt;C&gt;1&lt;/C&gt;&lt;D xsi:type="xsd:double"&gt;11415.495700246&lt;/D&gt;&lt;D xsi:type="xsd:double"&gt;11649.9436328418&lt;/D&gt;&lt;D xsi:type="xsd:double"&gt;12981.9518497784&lt;/D&gt;&lt;D xsi:type="xsd:double"&gt;16333.592005872&lt;/D&gt;&lt;D xsi:type="xsd:double"&gt;22042.4274518117&lt;/D&gt;&lt;/FQL&gt;&lt;FQL&gt;&lt;Q&gt;JD^FF_PAY_ACCT(ANN,-6FY,,,RP)&lt;/Q&gt;&lt;R&gt;1&lt;/R&gt;&lt;C&gt;1&lt;/C&gt;&lt;D xsi:type="xsd:double"&gt;4592.11238758171&lt;/D&gt;&lt;/FQL&gt;&lt;FQL&gt;&lt;Q&gt;JD^HOMEPAGE&lt;/Q&gt;&lt;R&gt;1&lt;/R&gt;&lt;C&gt;1&lt;/C&gt;&lt;D xsi:type="xsd:string"&gt;http://www.jd.com&lt;/D&gt;&lt;/FQL&gt;&lt;FQL&gt;&lt;Q&gt;^JULIAN(DATE_YYYYMMDD(0/0/-1, NOW, D))&lt;/Q&gt;&lt;R&gt;245&lt;/R&gt;&lt;C&gt;1&lt;/C&gt;&lt;D xsi:type="xsd:long"&gt;44285&lt;/D&gt;&lt;D xsi:type="xsd:long"&gt;44286&lt;/D&gt;&lt;D xsi:type="xsd:long"&gt;44287&lt;/D&gt;&lt;D xsi:type="xsd:long"&gt;44288&lt;/D&gt;&lt;D xsi:type="xsd:long"&gt;44292&lt;/D&gt;&lt;D xsi:type="xsd:long"&gt;44293&lt;/D&gt;&lt;D xsi:type="xsd:long"&gt;44294&lt;/D&gt;&lt;D xsi:type="xsd:long"&gt;44295&lt;/D&gt;&lt;D xsi:type="xsd:long"&gt;44298&lt;/D&gt;&lt;D xsi:type="xsd:long"&gt;44299&lt;/D&gt;&lt;D xsi:type="xsd:long"&gt;44300&lt;/D&gt;&lt;D xsi:type="xsd:long"&gt;44301&lt;/D&gt;&lt;D xsi:type="xsd:long"&gt;44302&lt;/D&gt;&lt;D xsi:type="xsd:long"&gt;44305&lt;/D&gt;&lt;D xsi:type="xsd:long"&gt;44306&lt;/D&gt;&lt;D xsi:type="xsd:long"&gt;44307&lt;/D&gt;&lt;D xsi:type="xsd:long"&gt;44308&lt;/D&gt;&lt;D xsi:type="xsd:long"&gt;44309&lt;/D&gt;&lt;D xsi:type="xsd:long"&gt;44312&lt;/D&gt;&lt;D xsi:type="xsd:long"&gt;44313&lt;/D&gt;&lt;D xsi:type="xsd:long"&gt;44314&lt;/D&gt;&lt;D xsi:type="xsd:long"&gt;44315&lt;/D&gt;&lt;D xsi:type="xsd:long"&gt;44316&lt;/D&gt;&lt;D xsi:type="xsd:long"&gt;44322&lt;/D&gt;&lt;D xsi:type="xsd:long"&gt;44323&lt;/D&gt;&lt;D xsi:type="xsd:long"&gt;44326&lt;/D&gt;&lt;D xsi:type="xsd:long"&gt;44327&lt;/D&gt;&lt;D xsi:type="xsd:long"&gt;44328&lt;/D&gt;&lt;D xsi:type="xsd:long"&gt;44329&lt;/D&gt;&lt;D xsi:type="xsd:long"&gt;44330&lt;/D&gt;&lt;D xsi:type="xsd:long"&gt;44333&lt;/D&gt;&lt;D xsi:type="xsd:long"&gt;44334&lt;/D&gt;&lt;D xsi:type="xsd:long"&gt;44335&lt;/D&gt;&lt;D xsi:type="xsd:long"&gt;44336&lt;/D&gt;&lt;D xsi:type="xsd:long"&gt;44337&lt;/D&gt;&lt;D xsi:type="xsd:long"&gt;44340&lt;/D&gt;&lt;D xsi:type="xsd:long"&gt;44341&lt;/D&gt;&lt;D xsi:type="xsd:long"&gt;44342&lt;/D&gt;&lt;D xsi:type="xsd:long"&gt;44343&lt;/D&gt;&lt;D xsi:type="xsd:long"&gt;44344&lt;/D&gt;&lt;D xsi:type="xsd:long"&gt;44347&lt;/D&gt;&lt;D xsi:type="xsd:long"&gt;44348&lt;/D&gt;&lt;D xsi:type="xsd:long"&gt;44349&lt;/D&gt;&lt;D xsi:type="xsd:long"&gt;44350&lt;/D&gt;&lt;D xsi:type="xsd:long"&gt;44351&lt;/D&gt;&lt;D xsi:type="xsd:long"&gt;44354&lt;/D&gt;&lt;D xsi:type="xsd:long"&gt;44355&lt;/D&gt;&lt;D xsi:type="xsd:long"&gt;44356&lt;/D&gt;&lt;D xsi:type="xsd:long"&gt;44357&lt;/D&gt;&lt;D xsi:type="xsd:long"&gt;44358&lt;/D&gt;&lt;D xsi:type="xsd:long"&gt;44362&lt;/D&gt;&lt;D xsi:type="xsd:long"&gt;44363&lt;/D&gt;&lt;D xsi:type="xsd:long"&gt;44364&lt;/D&gt;&lt;D xsi:type="xsd:long"&gt;44365&lt;/D&gt;&lt;D xsi:type="xsd:long"&gt;44368&lt;/D&gt;&lt;D xsi:type="xsd:long"&gt;44369&lt;/D&gt;&lt;D xsi:type="xsd:long"&gt;44370&lt;/D&gt;&lt;D xsi:type="xsd:long"&gt;44371&lt;/D&gt;&lt;D xsi:type="xsd:long"&gt;44372&lt;/D&gt;&lt;D xsi:type="xsd:long"&gt;44375&lt;/D&gt;&lt;D xsi:type="xsd:long"&gt;44376&lt;/D&gt;&lt;D xsi:type="xsd:long"&gt;44377&lt;/D&gt;&lt;D xsi:type="xsd:long"&gt;44378&lt;/D&gt;&lt;D xsi:type="xsd:long"&gt;44379&lt;/D&gt;&lt;D xsi:type="xsd:long"&gt;44382&lt;/D&gt;&lt;D xsi:type="xsd:long"&gt;44383&lt;/D&gt;&lt;D xsi:type="xsd:long"&gt;44384&lt;/D&gt;&lt;D xsi:type="xsd:long"&gt;44385&lt;/D&gt;&lt;D xsi:type="xsd:long"&gt;44386&lt;/D&gt;&lt;D xsi:type="xsd:long"&gt;44389&lt;/D&gt;&lt;D xsi:type="xsd:long"&gt;44390&lt;/D&gt;&lt;D xsi:type="xsd:long"&gt;44391&lt;/D&gt;&lt;D xsi:type="xsd:long"&gt;44392&lt;/D&gt;&lt;D xsi:type="xsd:long"&gt;44393&lt;/D&gt;&lt;D xsi:type="xsd:long"&gt;44396&lt;/D&gt;&lt;D xsi:type="xsd:long"&gt;44397&lt;/D&gt;&lt;D xsi:type="xsd:long"&gt;44398&lt;/D&gt;&lt;D xsi:type="xsd:long"&gt;44399&lt;/D&gt;&lt;D xsi:type="xsd:long"&gt;44400&lt;/D&gt;&lt;D xsi:type="xsd:long"&gt;44403&lt;/D&gt;&lt;D xsi:type="xsd:long"&gt;44404&lt;/D&gt;&lt;D xsi:type="xsd:long"&gt;44405&lt;/D&gt;&lt;D xsi:type="xsd:long"&gt;44406&lt;/D&gt;&lt;D xsi:type="xsd:long"&gt;44407&lt;/D&gt;&lt;D xsi:type="xsd:long"&gt;44410&lt;/D&gt;&lt;D xsi:type="xsd:long"&gt;44411&lt;/D&gt;&lt;D xsi:type="xsd:long"&gt;44412&lt;/D&gt;&lt;D xsi:type="xsd:long"&gt;44413&lt;/D&gt;&lt;D xsi:type="xsd:long"&gt;44414&lt;/D&gt;&lt;D xsi:type="xsd:long"&gt;44417&lt;/D&gt;&lt;D xsi:type="xsd:long"&gt;44418&lt;/D&gt;&lt;D xsi:type="xsd:long"&gt;44419&lt;/D&gt;&lt;D xsi:type="xsd:long"&gt;44420&lt;/D&gt;&lt;D xsi:type="xsd:long"&gt;44421&lt;/D&gt;&lt;D xsi:type="xsd:long"&gt;44424&lt;/D&gt;&lt;D xsi:type="xsd:long"&gt;44425&lt;/D&gt;&lt;D xsi:type="xsd:long"&gt;44426&lt;/D&gt;&lt;D xsi:type="xsd:long"&gt;44427&lt;/D&gt;&lt;D xsi:type="xsd:long"&gt;44428&lt;/D&gt;&lt;D xsi:type="xsd:long"&gt;44431&lt;/D&gt;&lt;D xsi:type="xsd:long"&gt;44432&lt;/D&gt;&lt;D xsi:type="xsd:long"&gt;44433&lt;/D&gt;&lt;D xsi:type="xsd:long"&gt;44434&lt;/D&gt;&lt;D xsi:type="xsd:long"&gt;44435&lt;/D&gt;&lt;D xsi:type="xsd:long"&gt;44438&lt;/D&gt;&lt;D xsi:type="xsd:long"&gt;44439&lt;/D&gt;&lt;D xsi:type="xsd:long"&gt;44440&lt;/D&gt;&lt;D xsi:type="xsd:long"&gt;44441&lt;/D&gt;&lt;D xsi:type="xsd:long"&gt;44442&lt;/D&gt;&lt;D xsi:type="xsd:long"&gt;44445&lt;/D&gt;&lt;D xsi:type="xsd:long"&gt;44446&lt;/D&gt;&lt;D xsi:type="xsd:long"&gt;44447&lt;/D&gt;&lt;D xsi:type="xsd:long"&gt;44448&lt;/D&gt;&lt;D xsi:type="xsd:long"&gt;44449&lt;/D&gt;&lt;D xsi:type="xsd:long"&gt;44452&lt;/D&gt;&lt;D xsi:type="xsd:long"&gt;44453&lt;/D&gt;&lt;D xsi:type="xsd:long"&gt;44454&lt;/D&gt;&lt;D xsi:type="xsd:long"&gt;44455&lt;/D&gt;&lt;D xsi:type="xsd:long"&gt;44456&lt;/D&gt;&lt;D xsi:type="xsd:long"&gt;44461&lt;/D&gt;&lt;D xsi:type="xsd:long"&gt;44462&lt;/D&gt;&lt;D xsi:type="xsd:long"&gt;44463&lt;/D&gt;&lt;D xsi:type="xsd:long"&gt;44466&lt;/D&gt;&lt;D xsi:type="xsd:long"&gt;44467&lt;/D&gt;&lt;D xsi:type="xsd:long"&gt;44468&lt;/D&gt;&lt;D xsi:type="xsd:long"&gt;44469&lt;/D&gt;&lt;D xsi:type="xsd:long"&gt;44477&lt;/D&gt;&lt;D xsi:type="xsd:long"&gt;44480&lt;/D&gt;&lt;D xsi:type="xsd:long"&gt;44481&lt;/D&gt;&lt;D xsi:type="xsd:long"&gt;44482&lt;/D&gt;&lt;D xsi:type="xsd:long"&gt;44483&lt;/D&gt;&lt;D xsi:type="xsd:long"&gt;44484&lt;/D&gt;&lt;D xsi:type="xsd:long"&gt;44487&lt;/D&gt;&lt;D xsi:type="xsd:long"&gt;44488&lt;/D&gt;&lt;D xsi:type="xsd:long"&gt;44489&lt;/D&gt;&lt;D xsi:type="xsd:long"&gt;44490&lt;/D&gt;&lt;D xsi:type="xsd:long"&gt;44491&lt;/D&gt;&lt;D xsi:type="xsd:long"&gt;44494&lt;/D&gt;&lt;D xsi:type="xsd:long"&gt;44495&lt;/D&gt;&lt;D xsi:type="xsd:long"&gt;44496&lt;/D&gt;&lt;D xsi:type="xsd:long"&gt;44497&lt;/D&gt;&lt;D xsi:type="xsd:long"&gt;44498&lt;/D&gt;&lt;D xsi:type="xsd:long"&gt;44501&lt;/D&gt;&lt;D xsi:type="xsd:long"&gt;44502&lt;/D&gt;&lt;D xsi:type="xsd:long"&gt;44503&lt;/D&gt;&lt;D xsi:type="xsd:long"&gt;44504&lt;/D&gt;&lt;D xsi:type="xsd:long"&gt;44505&lt;/D&gt;&lt;D xsi:type="xsd:long"&gt;44508&lt;/D&gt;&lt;D xsi:type="xsd:long"&gt;44509&lt;/D&gt;&lt;D xsi:type="xsd:long"&gt;44510&lt;/D&gt;&lt;D xsi:type="xsd:long"&gt;44511&lt;/D&gt;&lt;D xsi:type="xsd:long"&gt;44512&lt;/D&gt;&lt;D xsi:type="xsd:long"&gt;44515&lt;/D&gt;&lt;D xsi:type="xsd:long"&gt;44516&lt;/D&gt;&lt;D xsi:type="xsd:long"&gt;44517&lt;/D&gt;&lt;D xsi:type="xsd:long"&gt;44518&lt;/D&gt;&lt;D xsi:type="xsd:long"&gt;44519&lt;/D&gt;&lt;D xsi:type="xsd:long"&gt;44522&lt;/D&gt;&lt;D xsi:type="xsd:long"&gt;44523&lt;/D&gt;&lt;D xsi:type="xsd:long"&gt;44524&lt;/D&gt;&lt;D xsi:type="xsd:long"&gt;44525&lt;/D&gt;&lt;D xsi:type="xsd:long"&gt;44526&lt;/D&gt;&lt;D xsi:type="xsd:long"&gt;44529&lt;/D&gt;&lt;D xsi:type="xsd:long"&gt;44530&lt;/D&gt;&lt;D xsi:type="xsd:long"&gt;44531&lt;/D&gt;&lt;D xsi:type="xsd:long"&gt;44532&lt;/D&gt;&lt;D xsi:type="xsd:long"&gt;44533&lt;/D&gt;&lt;D xsi:type="xsd:long"&gt;44536&lt;/D&gt;&lt;D xsi:type="xsd:long"&gt;44537&lt;/D&gt;&lt;D xsi:type="xsd:long"&gt;44538&lt;/D&gt;&lt;D xsi:type="xsd:long"&gt;44539&lt;/D&gt;&lt;D xsi:type="xsd:long"&gt;44540&lt;/D&gt;&lt;D xsi:type="xsd:long"&gt;44543&lt;/D&gt;&lt;D xsi:type="xsd:long"&gt;44544&lt;/D&gt;&lt;D xsi:type="xsd:long"&gt;44545&lt;/D&gt;&lt;D xsi:type="xsd:long"&gt;44546&lt;/D&gt;&lt;D xsi:type="xsd:long"&gt;44547&lt;/D&gt;&lt;D xsi:type="xsd:long"&gt;44550&lt;/D&gt;&lt;D xsi:type="xsd:long"&gt;44551&lt;/D&gt;&lt;D xsi:type="xsd:long"&gt;44552&lt;/D&gt;&lt;D xsi:type="xsd:long"&gt;44553&lt;/D&gt;&lt;D xsi:type="xsd:long"&gt;44554&lt;/D&gt;&lt;D xsi:type="xsd:long"&gt;44557&lt;/D&gt;&lt;D xsi:type="xsd:long"&gt;44558&lt;/D&gt;&lt;D xsi:type="xsd:long"&gt;44559&lt;/D&gt;&lt;D xsi:type="xsd:long"&gt;44560&lt;/D&gt;&lt;D xsi:type="xsd:long"&gt;44561&lt;/D&gt;&lt;D xsi:type="xsd:long"&gt;44565&lt;/D&gt;&lt;D xsi:type="xsd:long"&gt;44566&lt;/D&gt;&lt;D xsi:type="xsd:long"&gt;44567&lt;/D&gt;&lt;D xsi:type="xsd:long"&gt;44568&lt;/D&gt;&lt;D xsi:type="xsd:long"&gt;44571&lt;/D&gt;&lt;D xsi:type="xsd:long"&gt;44572&lt;/D&gt;&lt;D xsi:type="xsd:long"&gt;44573&lt;/D&gt;&lt;D xsi:type="xsd:long"&gt;44574&lt;/D&gt;&lt;D xsi:type="xsd:long"&gt;44575&lt;/D&gt;&lt;D xsi:type="xsd:long"&gt;44578&lt;/D&gt;&lt;D xsi:type="xsd:long"&gt;44579&lt;/D&gt;&lt;D xsi:type="xsd:long"&gt;44580&lt;/D&gt;&lt;D xsi:type="xsd:long"&gt;44581&lt;/D&gt;&lt;D xsi:type="xsd:long"&gt;44582&lt;/D&gt;&lt;D xsi:type="xsd:long"&gt;44585&lt;/D&gt;&lt;D xsi:type="xsd:long"&gt;44586&lt;/D&gt;&lt;D xsi:type="xsd:long"&gt;44587&lt;/D&gt;&lt;D xsi:type="xsd:long"&gt;44588&lt;/D&gt;&lt;D xsi:type="xsd:long"&gt;44589&lt;/D&gt;&lt;D xsi:type="xsd:long"&gt;44599&lt;/D&gt;&lt;D xsi:type="xsd:long"&gt;44600&lt;/D&gt;&lt;D xsi:type="xsd:long"&gt;44601&lt;/D&gt;&lt;D xsi:type="xsd:long"&gt;44602&lt;/D&gt;&lt;D xsi:type="xsd:long"&gt;44603&lt;/D&gt;&lt;D xsi:type="xsd:long"&gt;44606&lt;/D&gt;&lt;D xsi:type="xsd:long"&gt;44607&lt;/D&gt;&lt;D xsi:type="xsd:long"&gt;44608&lt;/D&gt;&lt;D xsi:type="xsd:long"&gt;44609&lt;/D&gt;&lt;D xsi:type="xsd:long"&gt;44610&lt;/D&gt;&lt;D xsi:type="xsd:long"&gt;44613&lt;/D&gt;&lt;D xsi:type="xsd:long"&gt;44614&lt;/D&gt;&lt;D xsi:type="xsd:long"&gt;44615&lt;/D&gt;&lt;D xsi:type="xsd:long"&gt;44616&lt;/D&gt;&lt;D xsi:type="xsd:long"&gt;44617&lt;/D&gt;&lt;D xsi:type="xsd:long"&gt;44620&lt;/D&gt;&lt;D xsi:type="xsd:long"&gt;44621&lt;/D&gt;&lt;D xsi:type="xsd:long"&gt;44622&lt;/D&gt;&lt;D xsi:type="xsd:long"&gt;44623&lt;/D&gt;&lt;D xsi:type="xsd:long"&gt;44624&lt;/D&gt;&lt;D xsi:type="xsd:long"&gt;44627&lt;/D&gt;&lt;D xsi:type="xsd:long"&gt;44628&lt;/D&gt;&lt;D xsi:type="xsd:long"&gt;44629&lt;/D&gt;&lt;D xsi:type="xsd:long"&gt;44630&lt;/D&gt;&lt;D xsi:type="xsd:long"&gt;44631&lt;/D&gt;&lt;D xsi:type="xsd:long"&gt;44634&lt;/D&gt;&lt;D xsi:type="xsd:long"&gt;44635&lt;/D&gt;&lt;D xsi:type="xsd:long"&gt;44636&lt;/D&gt;&lt;D xsi:type="xsd:long"&gt;44637&lt;/D&gt;&lt;D xsi:type="xsd:long"&gt;44638&lt;/D&gt;&lt;D xsi:type="xsd:long"&gt;44641&lt;/D&gt;&lt;D xsi:type="xsd:long"&gt;44642&lt;/D&gt;&lt;D xsi:type="xsd:long"&gt;44643&lt;/D&gt;&lt;D xsi:type="xsd:long"&gt;44644&lt;/D&gt;&lt;D xsi:type="xsd:long"&gt;44645&lt;/D&gt;&lt;D xsi:type="xsd:long"&gt;44648&lt;/D&gt;&lt;D xsi:type="xsd:long"&gt;44649&lt;/D&gt;&lt;D xsi:type="xsd:long"&gt;44650&lt;/D&gt;&lt;D xsi:type="xsd:long"&gt;44651&lt;/D&gt;&lt;/FQL&gt;&lt;FQL&gt;&lt;Q&gt;JD^FG_PRICE_ICS(0/0/-1,NOW,D,LOCAL,SPLIT,0,,,5)&lt;/Q&gt;&lt;R&gt;245&lt;/R&gt;&lt;C&gt;1&lt;/C&gt;&lt;D xsi:type="xsd:double"&gt;83&lt;/D&gt;&lt;D xsi:type="xsd:double"&gt;84.33&lt;/D&gt;&lt;D xsi:type="xsd:double"&gt;84.31&lt;/D&gt;&lt;D xsi:type="xsd:double"&gt;84.31&lt;/D&gt;&lt;D xsi:type="xsd:double"&gt;83.51&lt;/D&gt;&lt;D xsi:type="xsd:double"&gt;81.25&lt;/D&gt;&lt;D xsi:type="xsd:double"&gt;82.14&lt;/D&gt;&lt;D xsi:type="xsd:double"&gt;80.41&lt;/D&gt;&lt;D xsi:type="xsd:double"&gt;78.65&lt;/D&gt;&lt;D xsi:type="xsd:double"&gt;78.8&lt;/D&gt;&lt;D xsi:type="xsd:double"&gt;78.12&lt;/D&gt;&lt;D xsi:type="xsd:double"&gt;77.49&lt;/D&gt;&lt;D xsi:type="xsd:double"&gt;77.04&lt;/D&gt;&lt;D xsi:type="xsd:double"&gt;76.95&lt;/D&gt;&lt;D xsi:type="xsd:double"&gt;74.55&lt;/D&gt;&lt;D xsi:type="xsd:double"&gt;75.72&lt;/D&gt;&lt;D xsi:type="xsd:double"&gt;76.11&lt;/D&gt;&lt;D xsi:type="xsd:double"&gt;76.75&lt;/D&gt;&lt;D xsi:type="xsd:double"&gt;76.14&lt;/D&gt;&lt;D xsi:type="xsd:double"&gt;78.46&lt;/D&gt;&lt;D xsi:type="xsd:double"&gt;79.06&lt;/D&gt;&lt;D xsi:type="xsd:double"&gt;77.83&lt;/D&gt;&lt;D xsi:type="xsd:double"&gt;77.36&lt;/D&gt;&lt;D xsi:type="xsd:double"&gt;76.39&lt;/D&gt;&lt;D xsi:type="xsd:double"&gt;75.51&lt;/D&gt;&lt;D xsi:type="xsd:double"&gt;71.4&lt;/D&gt;&lt;D xsi:type="xsd:double"&gt;72.78&lt;/D&gt;&lt;D xsi:type="xsd:double"&gt;71.25&lt;/D&gt;&lt;D xsi:type="xsd:double"&gt;67.03&lt;/D&gt;&lt;D xsi:type="xsd:double"&gt;68.15&lt;/D&gt;&lt;D xsi:type="xsd:double"&gt;68.21&lt;/D&gt;&lt;D xsi:type="xsd:double"&gt;69.74&lt;/D&gt;&lt;D xsi:type="xsd:double"&gt;70.58&lt;/D&gt;&lt;D xsi:type="xsd:double"&gt;73.7&lt;/D&gt;&lt;D xsi:type="xsd:double"&gt;72.75&lt;/D&gt;&lt;D xsi:type="xsd:double"&gt;71.66&lt;/D&gt;&lt;D xsi:type="xsd:double"&gt;72.81&lt;/D&gt;&lt;D xsi:type="xsd:double"&gt;73.2&lt;/D&gt;&lt;D xsi:type="xsd:double"&gt;72.83&lt;/D&gt;&lt;D xsi:type="xsd:double"&gt;73.94&lt;/D&gt;&lt;D xsi:type="xsd:double"&gt;73.94&lt;/D&gt;&lt;D xsi:type="xsd:double"&gt;78.33&lt;/D&gt;&lt;D xsi:type="xsd:double"&gt;76.54&lt;/D&gt;&lt;D xsi:type="xsd:double"&gt;75.52&lt;/D&gt;&lt;D xsi:type="xsd:double"&gt;75.43&lt;/D&gt;&lt;D xsi:type="xsd:double"&gt;74.68&lt;/D&gt;&lt;D xsi:type="xsd:double"&gt;73.28&lt;/D&gt;&lt;D xsi:type="xsd:double"&gt;72.64&lt;/D&gt;&lt;D xsi:type="xsd:double"&gt;71.85&lt;/D&gt;&lt;D xsi:type="xsd:double"&gt;71.19&lt;/D&gt;&lt;D xsi:type="xsd:double"&gt;70.84&lt;/D&gt;&lt;D xsi:type="xsd:double"&gt;71.49&lt;/D&gt;&lt;D xsi:type="xsd:double"&gt;73.5&lt;/D&gt;&lt;D xsi:type="xsd:double"&gt;71.62&lt;/D&gt;&lt;D xsi:type="xsd:double"&gt;72.62&lt;/D&gt;&lt;D xsi:type="xsd:double"&gt;73.3&lt;/D&gt;&lt;D xsi:type="xsd:double"&gt;73.14&lt;/D&gt;&lt;D xsi:type="xsd:double"&gt;74.9&lt;/D&gt;&lt;D xsi:type="xsd:double"&gt;78.23&lt;/D&gt;&lt;D xsi:type="xsd:double"&gt;77.12&lt;/D&gt;&lt;D xsi:type="xsd:double"&gt;79.75&lt;/D&gt;&lt;D xsi:type="xsd:double"&gt;79.81&lt;/D&gt;&lt;D xsi:type="xsd:double"&gt;77.44&lt;/D&gt;&lt;D xsi:type="xsd:double"&gt;76.23&lt;/D&gt;&lt;D xsi:type="xsd:double"&gt;76.23&lt;/D&gt;&lt;D xsi:type="xsd:double"&gt;72.39&lt;/D&gt;&lt;D xsi:type="xsd:double"&gt;72.7&lt;/D&gt;&lt;D xsi:type="xsd:double"&gt;70.89&lt;/D&gt;&lt;D xsi:type="xsd:double"&gt;73.56&lt;/D&gt;&lt;D xsi:type="xsd:double"&gt;73.17&lt;/D&gt;&lt;D xsi:type="xsd:double"&gt;76.52&lt;/D&gt;&lt;D xsi:type="xsd:double"&gt;75.45&lt;/D&gt;&lt;D xsi:type="xsd:double"&gt;76.86&lt;/D&gt;&lt;D xsi:type="xsd:double"&gt;75.59&lt;/D&gt;&lt;D xsi:type="xsd:double"&gt;74.22&lt;/D&gt;&lt;D xsi:type="xsd:double"&gt;73.87&lt;/D&gt;&lt;D xsi:type="xsd:double"&gt;75.3&lt;/D&gt;&lt;D xsi:type="xsd:double"&gt;75.91&lt;/D&gt;&lt;D xsi:type="xsd:double"&gt;72.29&lt;/D&gt;&lt;D xsi:type="xsd:double"&gt;66.08&lt;/D&gt;&lt;D xsi:type="xsd:double"&gt;64.77&lt;/D&gt;&lt;D xsi:type="xsd:double"&gt;70.28&lt;/D&gt;&lt;D xsi:type="xsd:double"&gt;71.93&lt;/D&gt;&lt;D xsi:type="xsd:double"&gt;70.88&lt;/D&gt;&lt;D xsi:type="xsd:double"&gt;71.49&lt;/D&gt;&lt;D xsi:type="xsd:double"&gt;70.24&lt;/D&gt;&lt;D xsi:type="xsd:double"&gt;71.4&lt;/D&gt;&lt;D xsi:type="xsd:double"&gt;70.74&lt;/D&gt;&lt;D xsi:type="xsd:double"&gt;69.59&lt;/D&gt;&lt;D xsi:type="xsd:double"&gt;71.73&lt;/D&gt;&lt;D xsi:type="xsd:double"&gt;71.76&lt;/D&gt;&lt;D xsi:type="xsd:double"&gt;71.07&lt;/D&gt;&lt;D xsi:type="xsd:double"&gt;70.53&lt;/D&gt;&lt;D xsi:type="xsd:double"&gt;69.86&lt;/D&gt;&lt;D xsi:type="xsd:double"&gt;66.67&lt;/D&gt;&lt;D xsi:type="xsd:double"&gt;64.26&lt;/D&gt;&lt;D xsi:type="xsd:double"&gt;65.53&lt;/D&gt;&lt;D xsi:type="xsd:double"&gt;62.19&lt;/D&gt;&lt;D xsi:type="xsd:double"&gt;63.62&lt;/D&gt;&lt;D xsi:type="xsd:double"&gt;65.73&lt;/D&gt;&lt;D xsi:type="xsd:double"&gt;75.22&lt;/D&gt;&lt;D xsi:type="xsd:double"&gt;76.14&lt;/D&gt;&lt;D xsi:type="xsd:double"&gt;77.04&lt;/D&gt;&lt;D xsi:type="xsd:double"&gt;76.43&lt;/D&gt;&lt;D xsi:type="xsd:double"&gt;76.69&lt;/D&gt;&lt;D xsi:type="xsd:double"&gt;78.56&lt;/D&gt;&lt;D xsi:type="xsd:double"&gt;80.78&lt;/D&gt;&lt;D xsi:type="xsd:double"&gt;80.24&lt;/D&gt;&lt;D xsi:type="xsd:double"&gt;79.855&lt;/D&gt;&lt;D xsi:type="xsd:double"&gt;79.855&lt;/D&gt;&lt;D xsi:type="xsd:double"&gt;83.24&lt;/D&gt;&lt;D xsi:type="xsd:double"&gt;81.73&lt;/D&gt;&lt;D xsi:type="xsd:double"&gt;80.26&lt;/D&gt;&lt;D xsi:type="xsd:double"&gt;80.64&lt;/D&gt;&lt;D xsi:type="xsd:double"&gt;80.17&lt;/D&gt;&lt;D xsi:type="xsd:double"&gt;77.9&lt;/D&gt;&lt;D xsi:type="xsd:double"&gt;76.63&lt;/D&gt;&lt;D xsi:type="xsd:double"&gt;77.17&lt;/D&gt;&lt;D xsi:type="xsd:double"&gt;77.69&lt;/D&gt;&lt;D xsi:type="xsd:double"&gt;75.92&lt;/D&gt;&lt;D xsi:type="xsd:double"&gt;76.13&lt;/D&gt;&lt;D xsi:type="xsd:double"&gt;73.98&lt;/D&gt;&lt;D xsi:type="xsd:double"&gt;76.43&lt;/D&gt;&lt;D xsi:type="xsd:double"&gt;75.42&lt;/D&gt;&lt;D xsi:type="xsd:double"&gt;71.62&lt;/D&gt;&lt;D xsi:type="xsd:double"&gt;72.24&lt;/D&gt;&lt;D xsi:type="xsd:double"&gt;78.61&lt;/D&gt;&lt;D xsi:type="xsd:double"&gt;78&lt;/D&gt;&lt;D xsi:type="xsd:double"&gt;78.41&lt;/D&gt;&lt;D xsi:type="xsd:double"&gt;80.57&lt;/D&gt;&lt;D xsi:type="xsd:double"&gt;81.03&lt;/D&gt;&lt;D xsi:type="xsd:double"&gt;81.42&lt;/D&gt;&lt;D xsi:type="xsd:double"&gt;82.42&lt;/D&gt;&lt;D xsi:type="xsd:double"&gt;84.91&lt;/D&gt;&lt;D xsi:type="xsd:double"&gt;85.53&lt;/D&gt;&lt;D xsi:type="xsd:double"&gt;83.97&lt;/D&gt;&lt;D xsi:type="xsd:double"&gt;83.07&lt;/D&gt;&lt;D xsi:type="xsd:double"&gt;84.25&lt;/D&gt;&lt;D xsi:type="xsd:double"&gt;81.48&lt;/D&gt;&lt;D xsi:type="xsd:double"&gt;80.86&lt;/D&gt;&lt;D xsi:type="xsd:double"&gt;80.92&lt;/D&gt;&lt;D xsi:type="xsd:double"&gt;78.28&lt;/D&gt;&lt;D xsi:type="xsd:double"&gt;82.5&lt;/D&gt;&lt;D xsi:type="xsd:double"&gt;80.7&lt;/D&gt;&lt;D xsi:type="xsd:double"&gt;81.36&lt;/D&gt;&lt;D xsi:type="xsd:double"&gt;80.3&lt;/D&gt;&lt;D xsi:type="xsd:double"&gt;77.57&lt;/D&gt;&lt;D xsi:type="xsd:double"&gt;77.47&lt;/D&gt;&lt;D xsi:type="xsd:double"&gt;77.19&lt;/D&gt;&lt;D xsi:type="xsd:double"&gt;77.74&lt;/D&gt;&lt;D xsi:type="xsd:double"&gt;84.2&lt;/D&gt;&lt;D xsi:type="xsd:double"&gt;85.95&lt;/D&gt;&lt;D xsi:type="xsd:double"&gt;84.62&lt;/D&gt;&lt;D xsi:type="xsd:double"&gt;85.73&lt;/D&gt;&lt;D xsi:type="xsd:double"&gt;83.15&lt;/D&gt;&lt;D xsi:type="xsd:double"&gt;88.1&lt;/D&gt;&lt;D xsi:type="xsd:double"&gt;91.55&lt;/D&gt;&lt;D xsi:type="xsd:double"&gt;87.71&lt;/D&gt;&lt;D xsi:type="xsd:double"&gt;89.46&lt;/D&gt;&lt;D xsi:type="xsd:double"&gt;89.36&lt;/D&gt;&lt;D xsi:type="xsd:double"&gt;89.36&lt;/D&gt;&lt;D xsi:type="xsd:double"&gt;88.67&lt;/D&gt;&lt;D xsi:type="xsd:double"&gt;87.91&lt;/D&gt;&lt;D xsi:type="xsd:double"&gt;84.11&lt;/D&gt;&lt;D xsi:type="xsd:double"&gt;85.18&lt;/D&gt;&lt;D xsi:type="xsd:double"&gt;84.46&lt;/D&gt;&lt;D xsi:type="xsd:double"&gt;77.95&lt;/D&gt;&lt;D xsi:type="xsd:double"&gt;75.19&lt;/D&gt;&lt;D xsi:type="xsd:double"&gt;78.09&lt;/D&gt;&lt;D xsi:type="xsd:double"&gt;78.29&lt;/D&gt;&lt;D xsi:type="xsd:double"&gt;79.57&lt;/D&gt;&lt;D xsi:type="xsd:double"&gt;79.71&lt;/D&gt;&lt;D xsi:type="xsd:double"&gt;78.05&lt;/D&gt;&lt;D xsi:type="xsd:double"&gt;77.65&lt;/D&gt;&lt;D xsi:type="xsd:double"&gt;73.66&lt;/D&gt;&lt;D xsi:type="xsd:double"&gt;72.68&lt;/D&gt;&lt;D xsi:type="xsd:double"&gt;71.04&lt;/D&gt;&lt;D xsi:type="xsd:double"&gt;68.19&lt;/D&gt;&lt;D xsi:type="xsd:double"&gt;73.41&lt;/D&gt;&lt;D xsi:type="xsd:double"&gt;73.75&lt;/D&gt;&lt;D xsi:type="xsd:double"&gt;68.65&lt;/D&gt;&lt;D xsi:type="xsd:double"&gt;68.65&lt;/D&gt;&lt;D xsi:type="xsd:double"&gt;67.71&lt;/D&gt;&lt;D xsi:type="xsd:double"&gt;65.87&lt;/D&gt;&lt;D xsi:type="xsd:double"&gt;65.63&lt;/D&gt;&lt;D xsi:type="xsd:double"&gt;70.4&lt;/D&gt;&lt;D xsi:type="xsd:double"&gt;70.07&lt;/D&gt;&lt;D xsi:type="xsd:double"&gt;64.2&lt;/D&gt;&lt;D xsi:type="xsd:double"&gt;63.02&lt;/D&gt;&lt;D xsi:type="xsd:double"&gt;66.78&lt;/D&gt;&lt;D xsi:type="xsd:double"&gt;68.24&lt;/D&gt;&lt;D xsi:type="xsd:double"&gt;69.6&lt;/D&gt;&lt;D xsi:type="xsd:double"&gt;76.76&lt;/D&gt;&lt;D xsi:type="xsd:double"&gt;76.4&lt;/D&gt;&lt;D xsi:type="xsd:double"&gt;71.44&lt;/D&gt;&lt;D xsi:type="xsd:double"&gt;73.72&lt;/D&gt;&lt;D xsi:type="xsd:double"&gt;73.72&lt;/D&gt;&lt;D xsi:type="xsd:double"&gt;73.4&lt;/D&gt;&lt;D xsi:type="xsd:double"&gt;72.3&lt;/D&gt;&lt;D xsi:type="xsd:double"&gt;77&lt;/D&gt;&lt;D xsi:type="xsd:double"&gt;73.46&lt;/D&gt;&lt;D xsi:type="xsd:double"&gt;71.74&lt;/D&gt;&lt;D xsi:type="xsd:double"&gt;72.15&lt;/D&gt;&lt;D xsi:type="xsd:double"&gt;71.11&lt;/D&gt;&lt;D xsi:type="xsd:double"&gt;66.68&lt;/D&gt;&lt;D xsi:type="xsd:double"&gt;69.34&lt;/D&gt;&lt;D xsi:type="xsd:double"&gt;73.15&lt;/D&gt;&lt;D xsi:type="xsd:double"&gt;75.36&lt;/D&gt;&lt;D xsi:type="xsd:double"&gt;78.29&lt;/D&gt;&lt;D xsi:type="xsd:double"&gt;76.4&lt;/D&gt;&lt;D xsi:type="xsd:double"&gt;73.98&lt;/D&gt;&lt;D xsi:type="xsd:double"&gt;74.45&lt;/D&gt;&lt;D xsi:type="xsd:double"&gt;76.13&lt;/D&gt;&lt;D xsi:type="xsd:double"&gt;75.3&lt;/D&gt;&lt;D xsi:type="xsd:double"&gt;74.55&lt;/D&gt;&lt;D xsi:type="xsd:double"&gt;71.86&lt;/D&gt;&lt;D xsi:type="xsd:double"&gt;71.86&lt;/D&gt;&lt;D xsi:type="xsd:double"&gt;70.98&lt;/D&gt;&lt;D xsi:type="xsd:double"&gt;70.54&lt;/D&gt;&lt;D xsi:type="xsd:double"&gt;70.91&lt;/D&gt;&lt;D xsi:type="xsd:double"&gt;72.5&lt;/D&gt;&lt;D xsi:type="xsd:double"&gt;71.63&lt;/D&gt;&lt;D xsi:type="xsd:double"&gt;73.3&lt;/D&gt;&lt;D xsi:type="xsd:double"&gt;71.79&lt;/D&gt;&lt;D xsi:type="xsd:double"&gt;67.83&lt;/D&gt;&lt;D xsi:type="xsd:double"&gt;63.59&lt;/D&gt;&lt;D xsi:type="xsd:double"&gt;60.52&lt;/D&gt;&lt;D xsi:type="xsd:double"&gt;58.69&lt;/D&gt;&lt;D xsi:type="xsd:double"&gt;62.4&lt;/D&gt;&lt;D xsi:type="xsd:double"&gt;52.52&lt;/D&gt;&lt;D xsi:type="xsd:double"&gt;47.99&lt;/D&gt;&lt;D xsi:type="xsd:double"&gt;42.94&lt;/D&gt;&lt;D xsi:type="xsd:double"&gt;45.98&lt;/D&gt;&lt;D xsi:type="xsd:double"&gt;64.08&lt;/D&gt;&lt;D xsi:type="xsd:double"&gt;61.94&lt;/D&gt;&lt;D xsi:type="xsd:double"&gt;65.13&lt;/D&gt;&lt;D xsi:type="xsd:double"&gt;61.44&lt;/D&gt;&lt;D xsi:type="xsd:double"&gt;64.73&lt;/D&gt;&lt;D xsi:type="xsd:double"&gt;64.29&lt;/D&gt;&lt;D xsi:type="xsd:double"&gt;61.52&lt;/D&gt;&lt;D xsi:type="xsd:double"&gt;59.92&lt;/D&gt;&lt;D xsi:type="xsd:double"&gt;59.77&lt;/D&gt;&lt;D xsi:type="xsd:double"&gt;62.73&lt;/D&gt;&lt;D xsi:type="xsd:double"&gt;61.49&lt;/D&gt;&lt;D xsi:type="xsd:double"&gt;61.49&lt;/D&gt;&lt;/FQL&gt;&lt;FQL&gt;&lt;Q&gt;JD^P_LOCAL_INDEX&lt;/Q&gt;&lt;R&gt;1&lt;/R&gt;&lt;C&gt;1&lt;/C&gt;&lt;D xsi:type="xsd:string"&gt;SP50&lt;/D&gt;&lt;/FQL&gt;&lt;FQL&gt;&lt;Q&gt;JD^FG_VOLUME(0/0/-1,NOW,D,SPLIT)&lt;/Q&gt;&lt;R&gt;245&lt;/R&gt;&lt;C&gt;1&lt;/C&gt;&lt;D xsi:type="xsd:double"&gt;7.102211&lt;/D&gt;&lt;D xsi:type="xsd:double"&gt;10.1406&lt;/D&gt;&lt;D xsi:type="xsd:double"&gt;11.9091&lt;/D&gt;&lt;D xsi:type="xsd:string"&gt;@NA&lt;/D&gt;&lt;D xsi:type="xsd:double"&gt;8.909481&lt;/D&gt;&lt;D xsi:type="xsd:double"&gt;9.445156&lt;/D&gt;&lt;D xsi:type="xsd:double"&gt;6.65182&lt;/D&gt;&lt;D xsi:type="xsd:double"&gt;8.313427&lt;/D&gt;&lt;D xsi:type="xsd:double"&gt;14.30254&lt;/D&gt;&lt;D xsi:type="xsd:double"&gt;12.51154&lt;/D&gt;&lt;D xsi:type="xsd:double"&gt;8.603738&lt;/D&gt;&lt;D xsi:type="xsd:double"&gt;8.614366&lt;/D&gt;&lt;D xsi:type="xsd:double"&gt;13.89161&lt;/D&gt;&lt;D xsi:type="xsd:double"&gt;9.509046&lt;/D&gt;&lt;D xsi:type="xsd:double"&gt;15.55075&lt;/D&gt;&lt;D xsi:type="xsd:double"&gt;10.83353&lt;/D&gt;&lt;D xsi:type="xsd:double"&gt;9.508967&lt;/D&gt;&lt;D xsi:type="xsd:double"&gt;9.587386&lt;/D&gt;&lt;D xsi:type="xsd:double"&gt;12.23862&lt;/D&gt;&lt;D xsi:type="xsd:double"&gt;11.83405&lt;/D&gt;&lt;D xsi:type="xsd:double"&gt;7.035546&lt;/D&gt;&lt;D xsi:type="xsd:double"&gt;7.32734&lt;/D&gt;&lt;D xsi:type="xsd:double"&gt;6.386928&lt;/D&gt;&lt;D xsi:type="xsd:double"&gt;8.142913&lt;/D&gt;&lt;D xsi:type="xsd:double"&gt;7.808512&lt;/D&gt;&lt;D xsi:type="xsd:double"&gt;16.60201&lt;/D&gt;&lt;D xsi:type="xsd:double"&gt;10.50722&lt;/D&gt;&lt;D xsi:type="xsd:double"&gt;8.704053&lt;/D&gt;&lt;D xsi:type="xsd:double"&gt;34.600006&lt;/D&gt;&lt;D xsi:type="xsd:double"&gt;19.3667&lt;/D&gt;&lt;D xsi:type="xsd:double"&gt;11.87467&lt;/D&gt;&lt;D xsi:type="xsd:double"&gt;12.59403&lt;/D&gt;&lt;D xsi:type="xsd:double"&gt;15.6178&lt;/D&gt;&lt;D xsi:type="xsd:double"&gt;18.38454&lt;/D&gt;&lt;D xsi:type="xsd:double"&gt;10.65772&lt;/D&gt;&lt;D xsi:type="xsd:double"&gt;8.579512&lt;/D&gt;&lt;D xsi:type="xsd:double"&gt;9.398954&lt;/D&gt;&lt;D xsi:type="xsd:double"&gt;6.598702&lt;/D&gt;&lt;D xsi:type="xsd:double"&gt;9.926226&lt;/D&gt;&lt;D xsi:type="xsd:double"&gt;7.876436&lt;/D&gt;&lt;D xsi:type="xsd:string"&gt;@NA&lt;/D&gt;&lt;D xsi:type="xsd:double"&gt;21.29213&lt;/D&gt;&lt;D xsi:type="xsd:double"&gt;9.419916&lt;/D&gt;&lt;D xsi:type="xsd:double"&gt;12.02768&lt;/D&gt;&lt;D xsi:type="xsd:double"&gt;8.264643&lt;/D&gt;&lt;D xsi:type="xsd:double"&gt;8.419478&lt;/D&gt;&lt;D xsi:type="xsd:double"&gt;8.902747&lt;/D&gt;&lt;D xsi:type="xsd:double"&gt;7.421482&lt;/D&gt;&lt;D xsi:type="xsd:double"&gt;9.47661&lt;/D&gt;&lt;D xsi:type="xsd:double"&gt;11.38708&lt;/D&gt;&lt;D xsi:type="xsd:double"&gt;8.45556&lt;/D&gt;&lt;D xsi:type="xsd:double"&gt;12.30648&lt;/D&gt;&lt;D xsi:type="xsd:double"&gt;12.894&lt;/D&gt;&lt;D xsi:type="xsd:double"&gt;27.66653&lt;/D&gt;&lt;D xsi:type="xsd:double"&gt;8.410114&lt;/D&gt;&lt;D xsi:type="xsd:double"&gt;10.25039&lt;/D&gt;&lt;D xsi:type="xsd:double"&gt;7.976604&lt;/D&gt;&lt;D xsi:type="xsd:double"&gt;9.80007&lt;/D&gt;&lt;D xsi:type="xsd:double"&gt;16.60447&lt;/D&gt;&lt;D xsi:type="xsd:double"&gt;8.378976&lt;/D&gt;&lt;D xsi:type="xsd:double"&gt;11.87644&lt;/D&gt;&lt;D xsi:type="xsd:double"&gt;11.26397&lt;/D&gt;&lt;D xsi:type="xsd:double"&gt;11.11665&lt;/D&gt;&lt;D xsi:type="xsd:double"&gt;8.016401&lt;/D&gt;&lt;D xsi:type="xsd:string"&gt;@NA&lt;/D&gt;&lt;D xsi:type="xsd:double"&gt;15.59127&lt;/D&gt;&lt;D xsi:type="xsd:double"&gt;10.45951&lt;/D&gt;&lt;D xsi:type="xsd:double"&gt;11.91878&lt;/D&gt;&lt;D xsi:type="xsd:double"&gt;11.20542&lt;/D&gt;&lt;D xsi:type="xsd:double"&gt;5.664117&lt;/D&gt;&lt;D xsi:type="xsd:double"&gt;15.41283&lt;/D&gt;&lt;D xsi:type="xsd:double"&gt;9.620573&lt;/D&gt;&lt;D xsi:type="xsd:double"&gt;9.169867&lt;/D&gt;&lt;D xsi:type="xsd:double"&gt;6.527675&lt;/D&gt;&lt;D xsi:type="xsd:double"&gt;9.476921&lt;/D&gt;&lt;D xsi:type="xsd:double"&gt;6.612382&lt;/D&gt;&lt;D xsi:type="xsd:double"&gt;6.17602&lt;/D&gt;&lt;D xsi:type="xsd:double"&gt;4.531898&lt;/D&gt;&lt;D xsi:type="xsd:double"&gt;20.29002&lt;/D&gt;&lt;D xsi:type="xsd:double"&gt;39.96756&lt;/D&gt;&lt;D xsi:type="xsd:double"&gt;44.22916&lt;/D&gt;&lt;D xsi:type="xsd:double"&gt;33.62872&lt;/D&gt;&lt;D xsi:type="xsd:double"&gt;17.06503&lt;/D&gt;&lt;D xsi:type="xsd:double"&gt;9.947957&lt;/D&gt;&lt;D xsi:type="xsd:double"&gt;8.422528&lt;/D&gt;&lt;D xsi:type="xsd:double"&gt;8.509517&lt;/D&gt;&lt;D xsi:type="xsd:double"&gt;8.074923&lt;/D&gt;&lt;D xsi:type="xsd:double"&gt;7.485547&lt;/D&gt;&lt;D xsi:type="xsd:double"&gt;6.977587&lt;/D&gt;&lt;D xsi:type="xsd:double"&gt;6.342002&lt;/D&gt;&lt;D xsi:type="xsd:double"&gt;5.195324&lt;/D&gt;&lt;D xsi:type="xsd:double"&gt;5.674238&lt;/D&gt;&lt;D xsi:type="xsd:double"&gt;5.78382&lt;/D&gt;&lt;D xsi:type="xsd:double"&gt;5.630593&lt;/D&gt;&lt;D xsi:type="xsd:double"&gt;12.50281&lt;/D&gt;&lt;D xsi:type="xsd:double"&gt;13.38599&lt;/D&gt;&lt;D xsi:type="xsd:double"&gt;9.352488&lt;/D&gt;&lt;D xsi:type="xsd:double"&gt;16.72476&lt;/D&gt;&lt;D xsi:type="xsd:double"&gt;14.98685&lt;/D&gt;&lt;D xsi:type="xsd:double"&gt;19.78276&lt;/D&gt;&lt;D xsi:type="xsd:double"&gt;35.95469&lt;/D&gt;&lt;D xsi:type="xsd:double"&gt;11.31188&lt;/D&gt;&lt;D xsi:type="xsd:double"&gt;11.58111&lt;/D&gt;&lt;D xsi:type="xsd:double"&gt;12.96955&lt;/D&gt;&lt;D xsi:type="xsd:double"&gt;7.979903&lt;/D&gt;&lt;D xsi:type="xsd:double"&gt;13.04441&lt;/D&gt;&lt;D xsi:type="xsd:double"&gt;12.06146&lt;/D&gt;&lt;D xsi:type="xsd:double"&gt;9.906151&lt;/D&gt;&lt;D xsi:type="xsd:double"&gt;8.507041&lt;/D&gt;&lt;D xsi:type="xsd:string"&gt;@NA&lt;/D&gt;&lt;D xsi:type="xsd:double"&gt;19.34413&lt;/D&gt;&lt;D xsi:type="xsd:double"&gt;7.158622&lt;/D&gt;&lt;D xsi:type="xsd:double"&gt;9.719349&lt;/D&gt;&lt;D xsi:type="xsd:double"&gt;8.229947&lt;/D&gt;&lt;D xsi:type="xsd:double"&gt;7.567679&lt;/D&gt;&lt;D xsi:type="xsd:double"&gt;11.32503&lt;/D&gt;&lt;D xsi:type="xsd:double"&gt;10.90163&lt;/D&gt;&lt;D xsi:type="xsd:double"&gt;7.989437&lt;/D&gt;&lt;D xsi:type="xsd:double"&gt;9.779545&lt;/D&gt;&lt;D xsi:type="xsd:double"&gt;7.788362&lt;/D&gt;&lt;D xsi:type="xsd:double"&gt;4.93146&lt;/D&gt;&lt;D xsi:type="xsd:double"&gt;6.085782&lt;/D&gt;&lt;D xsi:type="xsd:double"&gt;7.938996&lt;/D&gt;&lt;D xsi:type="xsd:double"&gt;11.18538&lt;/D&gt;&lt;D xsi:type="xsd:double"&gt;12.04524&lt;/D&gt;&lt;D xsi:type="xsd:double"&gt;7.134269&lt;/D&gt;&lt;D xsi:type="xsd:double"&gt;11.56328&lt;/D&gt;&lt;D xsi:type="xsd:double"&gt;10.27027&lt;/D&gt;&lt;D xsi:type="xsd:double"&gt;8.772753&lt;/D&gt;&lt;D xsi:type="xsd:double"&gt;9.579548&lt;/D&gt;&lt;D xsi:type="xsd:double"&gt;7.895681&lt;/D&gt;&lt;D xsi:type="xsd:double"&gt;8.360972&lt;/D&gt;&lt;D xsi:type="xsd:double"&gt;6.106603&lt;/D&gt;&lt;D xsi:type="xsd:double"&gt;11.38385&lt;/D&gt;&lt;D xsi:type="xsd:double"&gt;9.831278&lt;/D&gt;&lt;D xsi:type="xsd:double"&gt;6.718708&lt;/D&gt;&lt;D xsi:type="xsd:double"&gt;5.852466&lt;/D&gt;&lt;D xsi:type="xsd:double"&gt;5.129227&lt;/D&gt;&lt;D xsi:type="xsd:double"&gt;6.447767&lt;/D&gt;&lt;D xsi:type="xsd:double"&gt;5.779849&lt;/D&gt;&lt;D xsi:type="xsd:double"&gt;4.468662&lt;/D&gt;&lt;D xsi:type="xsd:double"&gt;8.080133&lt;/D&gt;&lt;D xsi:type="xsd:double"&gt;6.063625&lt;/D&gt;&lt;D xsi:type="xsd:double"&gt;6.083705&lt;/D&gt;&lt;D xsi:type="xsd:double"&gt;5.520253&lt;/D&gt;&lt;D xsi:type="xsd:double"&gt;6.799745&lt;/D&gt;&lt;D xsi:type="xsd:double"&gt;5.704234&lt;/D&gt;&lt;D xsi:type="xsd:double"&gt;6.595199&lt;/D&gt;&lt;D xsi:type="xsd:double"&gt;5.2502&lt;/D&gt;&lt;D xsi:type="xsd:double"&gt;8.36711&lt;/D&gt;&lt;D xsi:type="xsd:double"&gt;15.63726&lt;/D&gt;&lt;D xsi:type="xsd:double"&gt;9.315097&lt;/D&gt;&lt;D xsi:type="xsd:double"&gt;7.317918&lt;/D&gt;&lt;D xsi:type="xsd:double"&gt;9.06469&lt;/D&gt;&lt;D xsi:type="xsd:double"&gt;7.427147&lt;/D&gt;&lt;D xsi:type="xsd:double"&gt;19.31872&lt;/D&gt;&lt;D xsi:type="xsd:double"&gt;15.1839&lt;/D&gt;&lt;D xsi:type="xsd:double"&gt;12.30157&lt;/D&gt;&lt;D xsi:type="xsd:double"&gt;11.90336&lt;/D&gt;&lt;D xsi:type="xsd:double"&gt;6.977328&lt;/D&gt;&lt;D xsi:type="xsd:string"&gt;@NA&lt;/D&gt;&lt;D xsi:type="xsd:double"&gt;8.311022&lt;/D&gt;&lt;D xsi:type="xsd:double"&gt;9.475248&lt;/D&gt;&lt;D xsi:type="xsd:double"&gt;14.60836&lt;/D&gt;&lt;D xsi:type="xsd:double"&gt;8.963097&lt;/D&gt;&lt;D xsi:type="xsd:double"&gt;10.69533&lt;/D&gt;&lt;D xsi:type="xsd:double"&gt;20.65693&lt;/D&gt;&lt;D xsi:type="xsd:double"&gt;22.19176&lt;/D&gt;&lt;D xsi:type="xsd:double"&gt;14.54843&lt;/D&gt;&lt;D xsi:type="xsd:double"&gt;11.27031&lt;/D&gt;&lt;D xsi:type="xsd:double"&gt;7.49832&lt;/D&gt;&lt;D xsi:type="xsd:double"&gt;10.62483&lt;/D&gt;&lt;D xsi:type="xsd:double"&gt;6.05947&lt;/D&gt;&lt;D xsi:type="xsd:double"&gt;5.595971&lt;/D&gt;&lt;D xsi:type="xsd:double"&gt;14.82151&lt;/D&gt;&lt;D xsi:type="xsd:double"&gt;7.849844&lt;/D&gt;&lt;D xsi:type="xsd:double"&gt;13.13054&lt;/D&gt;&lt;D xsi:type="xsd:double"&gt;10.71484&lt;/D&gt;&lt;D xsi:type="xsd:double"&gt;9.822844&lt;/D&gt;&lt;D xsi:type="xsd:double"&gt;9.264729&lt;/D&gt;&lt;D xsi:type="xsd:double"&gt;26.52902&lt;/D&gt;&lt;D xsi:type="xsd:string"&gt;@NA&lt;/D&gt;&lt;D xsi:type="xsd:double"&gt;7.691903&lt;/D&gt;&lt;D xsi:type="xsd:double"&gt;9.263487&lt;/D&gt;&lt;D xsi:type="xsd:double"&gt;6.469254&lt;/D&gt;&lt;D xsi:type="xsd:double"&gt;13.90263&lt;/D&gt;&lt;D xsi:type="xsd:double"&gt;5.446238&lt;/D&gt;&lt;D xsi:type="xsd:double"&gt;19.98982&lt;/D&gt;&lt;D xsi:type="xsd:double"&gt;19.18811&lt;/D&gt;&lt;D xsi:type="xsd:double"&gt;12.96537&lt;/D&gt;&lt;D xsi:type="xsd:double"&gt;13.00826&lt;/D&gt;&lt;D xsi:type="xsd:double"&gt;15.80419&lt;/D&gt;&lt;D xsi:type="xsd:double"&gt;27.3756&lt;/D&gt;&lt;D xsi:type="xsd:double"&gt;12.93959&lt;/D&gt;&lt;D xsi:type="xsd:double"&gt;12.50423&lt;/D&gt;&lt;D xsi:type="xsd:double"&gt;12.7831&lt;/D&gt;&lt;D xsi:type="xsd:string"&gt;@NA&lt;/D&gt;&lt;D xsi:type="xsd:double"&gt;10.21382&lt;/D&gt;&lt;D xsi:type="xsd:double"&gt;6.318328&lt;/D&gt;&lt;D xsi:type="xsd:double"&gt;26.21826&lt;/D&gt;&lt;D xsi:type="xsd:double"&gt;14.4405&lt;/D&gt;&lt;D xsi:type="xsd:double"&gt;15.5034&lt;/D&gt;&lt;D xsi:type="xsd:double"&gt;7.291178&lt;/D&gt;&lt;D xsi:type="xsd:double"&gt;9.546074&lt;/D&gt;&lt;D xsi:type="xsd:double"&gt;13.13708&lt;/D&gt;&lt;D xsi:type="xsd:double"&gt;9.026547&lt;/D&gt;&lt;D xsi:type="xsd:double"&gt;6.135832&lt;/D&gt;&lt;D xsi:type="xsd:double"&gt;7.903249&lt;/D&gt;&lt;D xsi:type="xsd:double"&gt;7.061571&lt;/D&gt;&lt;D xsi:type="xsd:double"&gt;6.432184&lt;/D&gt;&lt;D xsi:type="xsd:double"&gt;6.673354&lt;/D&gt;&lt;D xsi:type="xsd:double"&gt;5.244967&lt;/D&gt;&lt;D xsi:type="xsd:double"&gt;6.766205&lt;/D&gt;&lt;D xsi:type="xsd:double"&gt;6.20116&lt;/D&gt;&lt;D xsi:type="xsd:double"&gt;5.944452&lt;/D&gt;&lt;D xsi:type="xsd:double"&gt;8.913822&lt;/D&gt;&lt;D xsi:type="xsd:string"&gt;@NA&lt;/D&gt;&lt;D xsi:type="xsd:double"&gt;8.539445&lt;/D&gt;&lt;D xsi:type="xsd:double"&gt;9.412824&lt;/D&gt;&lt;D xsi:type="xsd:double"&gt;10.30709&lt;/D&gt;&lt;D xsi:type="xsd:double"&gt;6.711319&lt;/D&gt;&lt;D xsi:type="xsd:double"&gt;6.469842&lt;/D&gt;&lt;D xsi:type="xsd:double"&gt;8.89576&lt;/D&gt;&lt;D xsi:type="xsd:double"&gt;4.990926&lt;/D&gt;&lt;D xsi:type="xsd:double"&gt;16.44839&lt;/D&gt;&lt;D xsi:type="xsd:double"&gt;15.96782&lt;/D&gt;&lt;D xsi:type="xsd:double"&gt;15.69678&lt;/D&gt;&lt;D xsi:type="xsd:double"&gt;11.86944&lt;/D&gt;&lt;D xsi:type="xsd:double"&gt;9.487275&lt;/D&gt;&lt;D xsi:type="xsd:double"&gt;55.34814&lt;/D&gt;&lt;D xsi:type="xsd:double"&gt;32.96304&lt;/D&gt;&lt;D xsi:type="xsd:double"&gt;47.47733&lt;/D&gt;&lt;D xsi:type="xsd:double"&gt;39.19454&lt;/D&gt;&lt;D xsi:type="xsd:double"&gt;60.08131&lt;/D&gt;&lt;D xsi:type="xsd:double"&gt;25.85408&lt;/D&gt;&lt;D xsi:type="xsd:double"&gt;46.3441&lt;/D&gt;&lt;D xsi:type="xsd:double"&gt;19.69858&lt;/D&gt;&lt;D xsi:type="xsd:double"&gt;19.03855&lt;/D&gt;&lt;D xsi:type="xsd:double"&gt;23.6264&lt;/D&gt;&lt;D xsi:type="xsd:double"&gt;20.64091&lt;/D&gt;&lt;D xsi:type="xsd:double"&gt;16.01403&lt;/D&gt;&lt;D xsi:type="xsd:double"&gt;18.14596&lt;/D&gt;&lt;D xsi:type="xsd:double"&gt;13.14416&lt;/D&gt;&lt;D xsi:type="xsd:double"&gt;10.68729&lt;/D&gt;&lt;D xsi:type="xsd:string"&gt;@NA&lt;/D&gt;&lt;/FQL&gt;&lt;FQL&gt;&lt;Q&gt;JD^P_PRICE(NOW)&lt;/Q&gt;&lt;R&gt;1&lt;/R&gt;&lt;C&gt;1&lt;/C&gt;&lt;D xsi:type="xsd:double"&gt;61.49&lt;/D&gt;&lt;/FQL&gt;&lt;FQL&gt;&lt;Q&gt;JD^P_PRICE_HIGH(-52AW,0,,,,"PRICE","INTRA")&lt;/Q&gt;&lt;R&gt;1&lt;/R&gt;&lt;C&gt;1&lt;/C&gt;&lt;D xsi:type="xsd:double"&gt;92.69&lt;/D&gt;&lt;/FQL&gt;&lt;FQL&gt;&lt;Q&gt;JD^P_PRICE_LOW(-52AW,0,,,,"PRICE","INTRA")&lt;/Q&gt;&lt;R&gt;1&lt;/R&gt;&lt;C&gt;1&lt;/C&gt;&lt;D xsi:type="xsd:double"&gt;41.56&lt;/D&gt;&lt;/FQL&gt;&lt;FQL&gt;&lt;Q&gt;JD^P_PRICE_CHANGE(0CY,NOW,RANGE)/100&lt;/Q&gt;&lt;R&gt;1&lt;/R&gt;&lt;C&gt;1&lt;/C&gt;&lt;D xsi:type="xsd:double"&gt;-0.12244898&lt;/D&gt;&lt;/FQL&gt;&lt;FQL&gt;&lt;Q&gt;JD^P_PRICE_CHANGE(-1AY,NOW,RANGE)/100&lt;/Q&gt;&lt;R&gt;1&lt;/R&gt;&lt;C&gt;1&lt;/C&gt;&lt;D xsi:type="xsd:double"&gt;-0.25915658&lt;/D&gt;&lt;/FQL&gt;&lt;FQL&gt;&lt;Q&gt;JD^BETA("SP50",-60AM,0,AM)&lt;/Q&gt;&lt;R&gt;1&lt;/R&gt;&lt;C&gt;1&lt;/C&gt;&lt;D xsi:type="xsd:double"&gt;0.70359516&lt;/D&gt;&lt;/FQL&gt;&lt;FQL&gt;&lt;Q&gt;JD^FF_FISCAL_DATE(ANN,-4FY,,,RP,"DATEM")&lt;/Q&gt;&lt;R&gt;1&lt;/R&gt;&lt;C&gt;1&lt;/C&gt;&lt;D xsi:type="xsd:string"&gt;12/2017&lt;/D&gt;&lt;/FQL&gt;&lt;FQL&gt;&lt;Q&gt;JD^FF_FISCAL_DATE(ANN,-3FY,,,RP,"DATEM")&lt;/Q&gt;&lt;R&gt;1&lt;/R&gt;&lt;C&gt;1&lt;/C&gt;&lt;D xsi:type="xsd:string"&gt;12/2018&lt;/D&gt;&lt;/FQL&gt;&lt;FQL&gt;&lt;Q&gt;JD^FF_FISCAL_DATE(ANN,-2FY,,,RP,"DATEM")&lt;/Q&gt;&lt;R&gt;1&lt;/R&gt;&lt;C&gt;1&lt;/C&gt;&lt;D xsi:type="xsd:string"&gt;12/2019&lt;/D&gt;&lt;/FQL&gt;&lt;FQL&gt;&lt;Q&gt;JD^FF_FISCAL_DATE(ANN,-1FY,,,RP,"DATEM")&lt;/Q&gt;&lt;R&gt;1&lt;/R&gt;&lt;C&gt;1&lt;/C&gt;&lt;D xsi:type="xsd:string"&gt;12/2020&lt;/D&gt;&lt;/FQL&gt;&lt;FQL&gt;&lt;Q&gt;JD^FF_</t>
        </r>
      </text>
    </comment>
    <comment ref="A4" authorId="0" shapeId="0">
      <text>
        <r>
          <rPr>
            <b/>
            <sz val="9"/>
            <color indexed="81"/>
            <rFont val="宋体"/>
            <family val="3"/>
            <charset val="134"/>
          </rPr>
          <t>FISCAL_DATE(ANN,0FY,,,RP,"DATEM")&lt;/Q&gt;&lt;R&gt;1&lt;/R&gt;&lt;C&gt;1&lt;/C&gt;&lt;D xsi:type="xsd:string"&gt;12/2021&lt;/D&gt;&lt;/FQL&gt;&lt;FQL&gt;&lt;Q&gt;JD^FF_FISCAL_DATE(QTR,0,,,RP,"DATEM")@FF_FISCAL_DATE(SEMI,0,,,RP,"DATEM")&lt;/Q&gt;&lt;R&gt;1&lt;/R&gt;&lt;C&gt;1&lt;/C&gt;&lt;D xsi:type="xsd:string"&gt;12/2021&lt;/D&gt;&lt;/FQL&gt;&lt;FQL&gt;&lt;Q&gt;JD^FF_SALES(LTM,0)@FF_SALES(LTM_SEMI,0)&lt;/Q&gt;&lt;R&gt;1&lt;/R&gt;&lt;C&gt;1&lt;/C&gt;&lt;D xsi:type="xsd:double"&gt;147625.578788965&lt;/D&gt;&lt;/FQL&gt;&lt;FQL&gt;&lt;Q&gt;JD^FF_COGS(LTM,0)@FF_COGS(LTM_SEMI,0)&lt;/Q&gt;&lt;R&gt;1&lt;/R&gt;&lt;C&gt;1&lt;/C&gt;&lt;D xsi:type="xsd:double"&gt;127835.032106131&lt;/D&gt;&lt;/FQL&gt;&lt;FQL&gt;&lt;Q&gt;JD^FF_SGA(LTM,0)@FF_SGA(LTM_SEMI,0)&lt;/Q&gt;&lt;R&gt;1&lt;/R&gt;&lt;C&gt;1&lt;/C&gt;&lt;D xsi:type="xsd:double"&gt;19270.0649917947&lt;/D&gt;&lt;/FQL&gt;&lt;FQL&gt;&lt;Q&gt;JD^FF_EBITDA_OPER(LTM,0)@FF_EBITDA_OPER(LTM_SEMI,0)&lt;/Q&gt;&lt;R&gt;1&lt;/R&gt;&lt;C&gt;1&lt;/C&gt;&lt;D xsi:type="xsd:double"&gt;1451.19569&lt;/D&gt;&lt;/FQL&gt;&lt;FQL&gt;&lt;Q&gt;JD^FF_EBIT_OPER(LTM,0)@FF_EBIT_OPER(LTM_SEMI,0)&lt;/Q&gt;&lt;R&gt;1&lt;/R&gt;&lt;C&gt;1&lt;/C&gt;&lt;D xsi:type="xsd:double"&gt;520.48169&lt;/D&gt;&lt;/FQL&gt;&lt;FQL&gt;&lt;Q&gt;JD^FF_INT_EXP_NET(ANN,-4FY,,,RP)&lt;/Q&gt;&lt;R&gt;1&lt;/R&gt;&lt;C&gt;1&lt;/C&gt;&lt;D xsi:type="xsd:double"&gt;142.602904351289&lt;/D&gt;&lt;/FQL&gt;&lt;FQL&gt;&lt;Q&gt;JD^FF_INT_EXP_NET(ANN,-3FY,,,RP)&lt;/Q&gt;&lt;R&gt;1&lt;/R&gt;&lt;C&gt;1&lt;/C&gt;&lt;D xsi:type="xsd:double"&gt;129.142587024631&lt;/D&gt;&lt;/FQL&gt;&lt;FQL&gt;&lt;Q&gt;JD^FF_INT_EXP_NET(ANN,-2FY,,,RP)&lt;/Q&gt;&lt;R&gt;1&lt;/R&gt;&lt;C&gt;1&lt;/C&gt;&lt;D xsi:type="xsd:double"&gt;104.924059419686&lt;/D&gt;&lt;/FQL&gt;&lt;FQL&gt;&lt;Q&gt;JD^FF_INT_EXP_NET(ANN,-1FY,,,RP)&lt;/Q&gt;&lt;R&gt;1&lt;/R&gt;&lt;C&gt;1&lt;/C&gt;&lt;D xsi:type="xsd:double"&gt;163.016921888705&lt;/D&gt;&lt;/FQL&gt;&lt;FQL&gt;&lt;Q&gt;JD^FF_INT_EXP_NET(ANN,0FY,,,RP)&lt;/Q&gt;&lt;R&gt;1&lt;/R&gt;&lt;C&gt;1&lt;/C&gt;&lt;D xsi:type="xsd:double"&gt;188.151276970004&lt;/D&gt;&lt;/FQL&gt;&lt;FQL&gt;&lt;Q&gt;JD^FF_INT_EXP_NET(LTM,0)&lt;/Q&gt;&lt;R&gt;1&lt;/R&gt;&lt;C&gt;1&lt;/C&gt;&lt;D xsi:type="xsd:double"&gt;188.398800021067&lt;/D&gt;&lt;/FQL&gt;&lt;FQL&gt;&lt;Q&gt;JD^FF_PTX_INC(ANN,-4FY,0FY,,RP)&lt;/Q&gt;&lt;R&gt;5&lt;/R&gt;&lt;C&gt;1&lt;/C&gt;&lt;D xsi:type="xsd:double"&gt;302.990961462764&lt;/D&gt;&lt;D xsi:type="xsd:double"&gt;-190.504879073137&lt;/D&gt;&lt;D xsi:type="xsd:double"&gt;2233.15131489824&lt;/D&gt;&lt;D xsi:type="xsd:double"&gt;6740.92410565728&lt;/D&gt;&lt;D xsi:type="xsd:double"&gt;362.403961891882&lt;/D&gt;&lt;/FQL&gt;&lt;FQL&gt;&lt;Q&gt;JD^FF_PTX_INC(LTM,0)@FF_PTX_INC(LTM_SEMI,0)&lt;/Q&gt;&lt;R&gt;1&lt;/R&gt;&lt;C&gt;1&lt;/C&gt;&lt;D xsi:type="xsd:double"&gt;359.031037243975&lt;/D&gt;&lt;/FQL&gt;&lt;FQL&gt;&lt;Q&gt;JD^FF_NET_INC(LTM,0)@FF_NET_INC(LTM_SEMI,0)&lt;/Q&gt;&lt;R&gt;1&lt;/R&gt;&lt;C&gt;1&lt;/C&gt;&lt;D xsi:type="xsd:double"&gt;-560.353792169055&lt;/D&gt;&lt;/FQL&gt;&lt;FQL&gt;&lt;Q&gt;JD^FF_EPS_DIL(LTM,0)@FF_EPS_DIL(LTM_SEMI,0)&lt;/Q&gt;&lt;R&gt;1&lt;/R&gt;&lt;C&gt;1&lt;/C&gt;&lt;D xsi:type="xsd:double"&gt;-0.3732&lt;/D&gt;&lt;/FQL&gt;&lt;FQL&gt;&lt;Q&gt;JD^FF_COM_SHS_OUT(ANN,-4FY,,,RP)&lt;/Q&gt;&lt;R&gt;1&lt;/R&gt;&lt;C&gt;1&lt;/C&gt;&lt;D xsi:type="xsd:double"&gt;1329.5005&lt;/D&gt;&lt;/FQL&gt;&lt;FQL&gt;&lt;Q&gt;JD^FF_COM_SHS_OUT(ANN,-3FY,,,RP)&lt;/Q&gt;&lt;R&gt;1&lt;/R&gt;&lt;C&gt;1&lt;/C&gt;&lt;D xsi:type="xsd:double"&gt;1329.5005&lt;/D&gt;&lt;/FQL&gt;&lt;FQL&gt;&lt;Q&gt;JD^FF_COM_SHS_OUT(ANN,-2FY,,,RP)&lt;/Q&gt;&lt;R&gt;1&lt;/R&gt;&lt;C&gt;1&lt;/C&gt;&lt;D xsi:type="xsd:double"&gt;1329.5005&lt;/D&gt;&lt;/FQL&gt;&lt;FQL&gt;&lt;Q&gt;JD^FF_COM_SHS_OUT(ANN,-1FY,,,RP)&lt;/Q&gt;&lt;R&gt;1&lt;/R&gt;&lt;C&gt;1&lt;/C&gt;&lt;D xsi:type="xsd:double"&gt;1339.4565&lt;/D&gt;&lt;/FQL&gt;&lt;FQL&gt;&lt;Q&gt;JD^FF_COM_SHS_OUT(ANN,0FY,,,RP)&lt;/Q&gt;&lt;R&gt;0&lt;/R&gt;&lt;C&gt;0&lt;/C&gt;&lt;/FQL&gt;&lt;FQL&gt;&lt;Q&gt;JD^FF_COM_SHS_OUT(LTM,0)&lt;/Q&gt;&lt;R&gt;0&lt;/R&gt;&lt;C&gt;0&lt;/C&gt;&lt;/FQL&gt;&lt;FQL&gt;&lt;Q&gt;JD^FF_CAPEX(ANN,-4FY,0FY,,RP)&lt;/Q&gt;&lt;R&gt;5&lt;/R&gt;&lt;C&gt;1&lt;/C&gt;&lt;D xsi:type="xsd:double"&gt;1680.3052647391&lt;/D&gt;&lt;D xsi:type="xsd:double"&gt;3229.47807887693&lt;/D&gt;&lt;D xsi:type="xsd:double"&gt;1302.42855375916&lt;/D&gt;&lt;D xsi:type="xsd:double"&gt;1804.76253702638&lt;/D&gt;&lt;D xsi:type="xsd:string"&gt;@NA&lt;/D&gt;&lt;/FQL&gt;&lt;FQL&gt;&lt;Q&gt;JD^FF_CAPEX(LTM,0)@FF_CAPEX(LTM_SEMI,0)&lt;/Q&gt;&lt;R&gt;0&lt;/R&gt;&lt;C&gt;0&lt;/C&gt;&lt;/FQL&gt;&lt;FQL&gt;&lt;Q&gt;JD^FF_FISCAL_DATE(LTM,0,,,RP,"DATEM")&lt;/Q&gt;&lt;R&gt;1&lt;/R&gt;&lt;C&gt;1&lt;/C&gt;&lt;D xsi:type="xsd:string"&gt;12/2021&lt;/D&gt;&lt;/FQL&gt;&lt;FQL&gt;&lt;Q&gt;JD^FF_CASH_ST(ANN,-4FY,0FY,,RP)&lt;/Q&gt;&lt;R&gt;5&lt;/R&gt;&lt;C&gt;1&lt;/C&gt;&lt;D xsi:type="xsd:double"&gt;5894.71575552839&lt;/D&gt;&lt;D xsi:type="xsd:double"&gt;5758.71841181538&lt;/D&gt;&lt;D xsi:type="xsd:double"&gt;9261.81948691462&lt;/D&gt;&lt;D xsi:type="xsd:double"&gt;23104.1339184688&lt;/D&gt;&lt;D xsi:type="xsd:double"&gt;30008.7577176847&lt;/D&gt;&lt;/FQL&gt;&lt;FQL&gt;&lt;Q&gt;JD^FF_CASH_ST(QTR,0)@FF_CASH_ST(SEMI,0)&lt;/Q&gt;&lt;R&gt;1&lt;/R&gt;&lt;C&gt;1&lt;/C&gt;&lt;D xsi:type="xsd:double"&gt;30008.7577176847&lt;/D&gt;&lt;/FQL&gt;&lt;FQL&gt;&lt;Q&gt;JD^FF_RECEIV_TOT(QTR,0,,,RP)@FF_RECEIV_TOT(SEMI,0,,,RP)&lt;/Q&gt;&lt;R&gt;1&lt;/R&gt;&lt;C&gt;1&lt;/C&gt;&lt;D xsi:type="xsd:double"&gt;2730.06095695365&lt;/D&gt;&lt;/FQL&gt;&lt;FQL&gt;&lt;Q&gt;JD^FF_INVEN(ANN,-3FY,,,RP)&lt;/Q&gt;&lt;R&gt;1&lt;/R&gt;&lt;C&gt;1&lt;/C&gt;&lt;D xsi:type="xsd:double"&gt;6482.54263949793&lt;/D&gt;&lt;/FQL&gt;&lt;FQL&gt;&lt;Q&gt;JD^FF_INVEN(ANN,-2FY,,,RP)&lt;/Q&gt;&lt;R&gt;1&lt;/R&gt;&lt;C&gt;1&lt;/C&gt;&lt;D xsi:type="xsd:double"&gt;8401.9245732663&lt;/D&gt;&lt;/FQL&gt;&lt;FQL&gt;&lt;Q&gt;JD^FF_INVEN(ANN,-1FY,,,RP)&lt;/Q&gt;&lt;R&gt;1&lt;/R&gt;&lt;C&gt;1&lt;/C&gt;&lt;D xsi:type="xsd:double"&gt;9587.5182727302&lt;/D&gt;&lt;/FQL&gt;&lt;FQL&gt;&lt;Q&gt;JD^FF_INVEN(ANN,0FY,,,RP)&lt;/Q&gt;&lt;R&gt;1&lt;/R&gt;&lt;C&gt;1&lt;/C&gt;&lt;D xsi:type="xsd:double"&gt;12483.2394266755&lt;/D&gt;&lt;/FQL&gt;&lt;FQL&gt;&lt;Q&gt;JD^FF_INVEN(QTR,0)@FF_INVEN(SEMI,0)&lt;/Q&gt;&lt;R&gt;1&lt;/R&gt;&lt;C&gt;1&lt;/C&gt;&lt;D xsi:type="xsd:double"&gt;12483.2394266755&lt;/D&gt;&lt;/FQL&gt;&lt;FQL&gt;&lt;Q&gt;JD^FF_ASSETS_CURR(ANN,-4FY,0FY,,RP)&lt;/Q&gt;&lt;R&gt;5&lt;/R&gt;&lt;C&gt;1&lt;/C&gt;&lt;D xsi:type="xsd:double"&gt;17664.1050368554&lt;/D&gt;&lt;D xsi:type="xsd:double"&gt;15272.4090770063&lt;/D&gt;&lt;D xsi:type="xsd:double"&gt;19968.4967770651&lt;/D&gt;&lt;D xsi:type="xsd:double"&gt;35903.430991774&lt;/D&gt;&lt;D xsi:type="xsd:double"&gt;47019.4822189287&lt;/D&gt;&lt;/FQL&gt;&lt;FQL&gt;&lt;Q&gt;JD^FF_ASSETS_CURR(QTR,0)@FF_ASSETS_CURR(SEMI,0)&lt;/Q&gt;&lt;R&gt;1&lt;/R&gt;&lt;C&gt;1&lt;/C&gt;&lt;D xsi:type="xsd:double"&gt;47019.4822189287&lt;/D&gt;&lt;/FQL&gt;&lt;FQL&gt;&lt;Q&gt;JD^FF_PPE_NET(ANN,-4FY,0FY,,RP)&lt;/Q&gt;&lt;R&gt;5&lt;/R&gt;&lt;C&gt;1&lt;/C&gt;&lt;D xsi:type="xsd:double"&gt;2421.78961916468&lt;/D&gt;&lt;D xsi:type="xsd:double"&gt;4025.30696068872&lt;/D&gt;&lt;D xsi:type="xsd:double"&gt;5039.54749702121&lt;/D&gt;&lt;D xsi:type="xsd:double"&gt;7031.87528670612&lt;/D&gt;&lt;D xsi:type="xsd:double"&gt;9217.8785097322&lt;/D&gt;&lt;/FQL&gt;&lt;FQL&gt;&lt;Q&gt;JD^FF_PPE_NET(QTR,0)@FF_PPE_NET(SEMI,0)&lt;/Q&gt;&lt;R&gt;1&lt;/R&gt;&lt;C&gt;1&lt;/C&gt;&lt;D xsi:type="xsd:double"&gt;9217.8785097322&lt;/D&gt;&lt;/FQL&gt;&lt;FQL&gt;&lt;Q&gt;JD^FF_ASSETS(QTR,0)&lt;/Q&gt;&lt;R&gt;1&lt;/R&gt;&lt;C&gt;1&lt;/C&gt;&lt;D xsi:type="xsd:double"&gt;77903.5698651439&lt;/D&gt;&lt;/FQL&gt;&lt;FQL&gt;&lt;Q&gt;JD^FF_DEBT_ST(ANN,-4FY,0FY,,RP)&lt;/Q&gt;&lt;R&gt;5&lt;/R&gt;&lt;C&gt;1&lt;/C&gt;&lt;D xsi:type="xsd:double"&gt;2002.00522113027&lt;/D&gt;&lt;D xsi:type="xsd:double"&gt;668.236742065645&lt;/D&gt;&lt;D xsi:type="xsd:double"&gt;516.369926927669&lt;/D&gt;&lt;D xsi:type="xsd:double"&gt;1382.7010000306&lt;/D&gt;&lt;D xsi:type="xsd:double"&gt;1731.03846485762&lt;/D&gt;&lt;/FQL&gt;&lt;FQL&gt;&lt;Q&gt;JD^FF_DEBT_ST(QTR,0)@FF_DEBT_ST(SEMI,0)&lt;/Q&gt;&lt;R&gt;1&lt;/R&gt;&lt;C&gt;1&lt;/C&gt;&lt;D xsi:type="xsd:double"&gt;1731.03846485762&lt;/D&gt;&lt;/FQL&gt;&lt;FQL&gt;&lt;Q&gt;JD^FF_PAY_ACCT(QTR,0)@FF_PAY_ACCT(SEMI,0)&lt;/Q&gt;&lt;R&gt;1&lt;/R&gt;&lt;C&gt;1&lt;/C&gt;&lt;D xsi:type="xsd:double"&gt;22042.4274518117&lt;/D&gt;&lt;/FQL&gt;&lt;FQL&gt;&lt;Q&gt;JD^FF_LIABS_CURR(ANN,-4FY,0FY,,RP)&lt;/Q&gt;&lt;R&gt;5&lt;/R&gt;&lt;C&gt;1&lt;/C&gt;&lt;D xsi:type="xsd:double"&gt;18158.8791461921&lt;/D&gt;&lt;D xsi:type="xsd:double"&gt;17603.7425171508&lt;/D&gt;&lt;D xsi:type="xsd:double"&gt;20100.9261093648&lt;/D&gt;&lt;D xsi:type="xsd:double"&gt;26608.866020368&lt;/D&gt;&lt;D xsi:type="xsd:double"&gt;34775.361466106&lt;/D&gt;&lt;/FQL&gt;&lt;FQL&gt;&lt;Q&gt;JD^FF_LIABS_CURR(QTR,0)@FF_LIABS_CURR(SEMI,0)&lt;/Q&gt;&lt;R&gt;1&lt;/R&gt;&lt;C&gt;1&lt;/C&gt;&lt;D xsi:type="xsd:double"&gt;34775.361466106&lt;/D&gt;&lt;/FQL&gt;&lt;FQL&gt;&lt;Q&gt;JD^FF_DEBT_LT(ANN,-4FY,0FY,,RP)&lt;/Q&gt;&lt;R&gt;5&lt;/R&gt;&lt;C&gt;1&lt;/C&gt;&lt;D xsi:type="xsd:double"&gt;1677.30267199021&lt;/D&gt;&lt;D xsi:type="xsd:double"&gt;1438.24853984302&lt;/D&gt;&lt;D xsi:type="xsd:double"&gt;2235.94843303621&lt;/D&gt;&lt;D xsi:type="xsd:double"&gt;3483.39673996152&lt;/D&gt;&lt;D xsi:type="xsd:double"&gt;3625.52754830673&lt;/D&gt;&lt;/FQL&gt;&lt;FQL&gt;&lt;Q&gt;JD^FF_DEBT_LT(QTR,0)&lt;/Q&gt;&lt;R&gt;1&lt;/R&gt;&lt;C&gt;1&lt;/C&gt;&lt;D xsi:type="xsd:double"&gt;3625.52754830673&lt;/D&gt;&lt;/FQL&gt;&lt;FQL&gt;&lt;Q&gt;JD^FF_LIABS(ANN,-4FY,0FY,,RP)&lt;/Q&gt;&lt;R&gt;5&lt;/R&gt;&lt;C&gt;1&lt;/C&gt;&lt;D xsi:type="xsd:double"&gt;20219.0207309587&lt;/D&gt;&lt;D xsi:type="xsd:double"&gt;19275.0503226186&lt;/D&gt;&lt;D xsi:type="xsd:double"&gt;22840.4141723018&lt;/D&gt;&lt;D xsi:type="xsd:double"&gt;30684.2224532865&lt;/D&gt;&lt;D xsi:type="xsd:double"&gt;39182.3125985561&lt;/D&gt;&lt;/FQL&gt;&lt;FQL&gt;&lt;Q&gt;JD^FF_LIABS(QTR,0)@FF_LIABS(SEMI,0)&lt;/Q&gt;&lt;R&gt;1&lt;/R&gt;&lt;C&gt;1&lt;/C&gt;&lt;D xsi:type="xsd:double"&gt;39182.3125985561&lt;/D&gt;&lt;/FQL&gt;&lt;FQL&gt;&lt;Q&gt;JD^FF_PFD_STK(ANN,-4FY,0FY,,RP)&lt;/Q&gt;&lt;R&gt;5&lt;/R&gt;&lt;C&gt;1&lt;/C&gt;&lt;D xsi:type="xsd:double"&gt;0&lt;/D&gt;&lt;D xsi:type="xsd:double"&gt;0&lt;/D&gt;&lt;D xsi:type="xsd:double"&gt;0&lt;/D&gt;&lt;D xsi:type="xsd:double"&gt;0&lt;/D&gt;&lt;D xsi:type="xsd:double"&gt;0&lt;/D&gt;&lt;/FQL&gt;&lt;FQL&gt;&lt;Q&gt;JD^FF_PFD_STK(QTR,0)@FF_PFD_STK(SEMI,0)&lt;/Q&gt;&lt;R&gt;1&lt;/R&gt;&lt;C&gt;1&lt;/C&gt;&lt;D xsi:type="xsd:double"&gt;0&lt;/D&gt;&lt;/FQL&gt;&lt;FQL&gt;&lt;Q&gt;JD^FF_SHLDRS_EQ(QTR,0)@FF_SHLDRS_EQ(SEMI,0)&lt;/Q&gt;&lt;R&gt;1&lt;/R&gt;&lt;C&gt;1&lt;/C&gt;&lt;D xsi:type="xsd:double"&gt;32778.9393333186&lt;/D&gt;&lt;/FQL&gt;&lt;FQL&gt;&lt;Q&gt;JD^FF_LIABS_SHLDRS_EQ(ANN,-4FY,0FY,,RP)&lt;/Q&gt;&lt;R&gt;5&lt;/R&gt;&lt;C&gt;1&lt;/C&gt;&lt;D xsi:type="xsd:double"&gt;28263.9689803446&lt;/D&gt;&lt;D xsi:type="xsd:double"&gt;30465.1902937799&lt;/D&gt;&lt;D xsi:type="xsd:double"&gt;37286.0881174907&lt;/D&gt;&lt;D xsi:type="xsd:double"&gt;64571.9737606665&lt;/D&gt;&lt;D xsi:type="xsd:double"&gt;77903.5698651439&lt;/D&gt;&lt;/FQL&gt;&lt;FQL&gt;&lt;Q&gt;JD^FF_LIABS_SHLDRS_EQ(QTR,0,,,RP)@FF_LIABS_SHLDRS_EQ(SEMI,0,,,RP)&lt;/Q&gt;&lt;R&gt;1&lt;/R&gt;&lt;C&gt;1&lt;/C&gt;&lt;D xsi:type="xsd:double"&gt;77903.5698651439&lt;/D&gt;&lt;/FQL&gt;&lt;FQL&gt;&lt;Q&gt;JD^FG_PRICE(-4FY,,)&lt;/Q&gt;&lt;R&gt;1&lt;/R&gt;&lt;C&gt;1&lt;/C&gt;&lt;D xsi:type="xsd:double"&gt;41.42&lt;/D&gt;&lt;/FQL&gt;&lt;FQL&gt;&lt;Q&gt;JD^FG_PRICE(-3FY,,)&lt;/Q&gt;&lt;R&gt;1&lt;/R&gt;&lt;C&gt;1&lt;/C&gt;&lt;D xsi:type="xsd:double"&gt;21.71&lt;/D&gt;&lt;/FQL&gt;&lt;FQL&gt;&lt;Q&gt;JD^FG_PRICE(-2FY,,)&lt;/Q&gt;&lt;R&gt;1&lt;/R&gt;&lt;C&gt;1&lt;/C&gt;&lt;D xsi:type="xsd:double"&gt;35.23&lt;/D&gt;&lt;/FQL&gt;&lt;FQL&gt;&lt;Q&gt;JD^FG_PRICE(-1FY,,)&lt;/Q&gt;&lt;R&gt;1&lt;/R&gt;&lt;C&gt;1&lt;/C&gt;&lt;D xsi:type="xsd:double"&gt;87.9&lt;/D&gt;&lt;/FQL&gt;&lt;FQL&gt;&lt;Q&gt;JD^FG_PRICE(-0FY,,)&lt;/Q&gt;&lt;R&gt;1&lt;/R&gt;&lt;C&gt;1&lt;/C&gt;&lt;D xsi:type="xsd:double"&gt;70.07&lt;/D&gt;&lt;/FQL&gt;&lt;FQL&gt;&lt;Q&gt;JD^FG_PRICE(0M,,)&lt;/Q&gt;&lt;R&gt;1&lt;/R&gt;&lt;C&gt;1&lt;/C&gt;&lt;D xsi:type="xsd:double"&gt;71.63&lt;/D&gt;&lt;/FQL&gt;&lt;FQL&gt;&lt;Q&gt;JD^FG_FACTSET_SECTOR&lt;/Q&gt;&lt;R&gt;1&lt;/R&gt;&lt;C&gt;1&lt;/C&gt;&lt;D xsi:type="xsd:string"&gt;Retail Trade&lt;/D&gt;&lt;/FQL&gt;&lt;FQL&gt;&lt;Q&gt;JD^FE_ESTIMATE(EPS,MEAN,ANNUAL,+1,NOW)&lt;/Q&gt;&lt;R&gt;1&lt;/R&gt;&lt;C&gt;1&lt;/C&gt;&lt;D xsi:type="xsd:double"&gt;1.9583534&lt;/D&gt;&lt;/FQL&gt;&lt;FQL&gt;&lt;Q&gt;JD^FE_ESTIMATE(EPS,MEAN,NTMA,,NOW)&lt;/Q&gt;&lt;R&gt;1&lt;/R&gt;&lt;C&gt;1&lt;/C&gt;&lt;D xsi:type="xsd:double"&gt;2.2140288&lt;/D&gt;&lt;/FQL&gt;&lt;FQL&gt;&lt;Q&gt;JD^FE_ESTIMATE(EPS_LTG,MEAN,,,NOW,,,'')/100&lt;/Q&gt;&lt;R&gt;1&lt;/R&gt;&lt;C&gt;1&lt;/C&gt;&lt;D xsi:type="xsd:double"&gt;-0.06498662&lt;/D&gt;&lt;/FQL&gt;&lt;FQL&gt;&lt;Q&gt;JD^CS_EVENT_DATEJ_N("ER",1)&lt;/Q&gt;&lt;R&gt;1&lt;/R&gt;&lt;C&gt;1&lt;/C&gt;&lt;D xsi:type="xsd:long"&gt;44692&lt;/D&gt;&lt;/FQL&gt;&lt;FQL&gt;&lt;Q&gt;JD^FG_FACTSET_IND&lt;/Q&gt;&lt;R&gt;1&lt;/R&gt;&lt;C&gt;1&lt;/C&gt;&lt;D xsi:type="xsd:string"&gt;Internet Retail&lt;/D&gt;&lt;/FQL&gt;&lt;FQL&gt;&lt;Q&gt;JD^FF_COM_SHS_OUT(CURR,0)&lt;/Q&gt;&lt;R&gt;1&lt;/R&gt;&lt;C&gt;1&lt;/C&gt;&lt;D xsi:type="xsd:double"&gt;1317.449284&lt;/D&gt;&lt;/FQL&gt;&lt;FQL&gt;&lt;Q&gt;JD^FF_DPS(LTM,0)&lt;/Q&gt;&lt;R&gt;0&lt;/R&gt;&lt;C&gt;0&lt;/C&gt;&lt;/FQL&gt;&lt;FQL&gt;&lt;Q&gt;DUMMY^JULIAN(TODAY)&lt;/Q&gt;&lt;R&gt;1&lt;/R&gt;&lt;C&gt;1&lt;/C&gt;&lt;D xsi:type="xsd:long"&gt;44651&lt;/D&gt;&lt;/FQL&gt;&lt;FQL&gt;&lt;Q&gt;JD^P(NOW)&lt;/Q&gt;&lt;R&gt;1&lt;/R&gt;&lt;C&gt;1&lt;/C&gt;&lt;D xsi:type="xsd:double"&gt;61.49&lt;/D&gt;&lt;/FQL&gt;&lt;FQL&gt;&lt;Q&gt;JD^P_CURRENCY("ISO")&lt;/Q&gt;&lt;R&gt;1&lt;/R&gt;&lt;C&gt;1&lt;/C&gt;&lt;D xsi:type="xsd:string"&gt;USD&lt;/D&gt;&lt;/FQL&gt;&lt;FQL&gt;&lt;Q&gt;JD^P_EXCHANGE('NAME','FS')&lt;/Q&gt;&lt;R&gt;1&lt;/R&gt;&lt;C&gt;1&lt;/C&gt;&lt;D xsi:type="xsd:string"&gt;NASDAQ&lt;/D&gt;&lt;/FQL&gt;&lt;FQL&gt;&lt;Q&gt;JD^FF_COGS(ANN,-5FY,,,RP)&lt;/Q&gt;&lt;R&gt;1&lt;/R&gt;&lt;C&gt;1&lt;/C&gt;&lt;D xsi:type="xsd:double"&gt;33219.9567594205&lt;/D&gt;&lt;/FQL&gt;&lt;FQL&gt;&lt;Q&gt;JD^REBASE(FG_PRICE_ICS(,,,LOCAL,SPLIT,0,,,5), 83, 0/0/-1) : 0/0/-1,NOW,D&lt;/Q&gt;&lt;R&gt;245&lt;/R&gt;&lt;C&gt;1&lt;/C&gt;&lt;D xsi:type="xsd:double"&gt;83&lt;/D&gt;&lt;D xsi:type="xsd:double"&gt;84.33&lt;/D&gt;&lt;D xsi:type="xsd:double"&gt;84.31&lt;/D&gt;&lt;D xsi:type="xsd:double"&gt;84.31&lt;/D&gt;&lt;D xsi:type="xsd:double"&gt;83.51&lt;/D&gt;&lt;D xsi:type="xsd:double"&gt;81.25&lt;/D&gt;&lt;D xsi:type="xsd:double"&gt;82.14&lt;/D&gt;&lt;D xsi:type="xsd:double"&gt;80.41&lt;/D&gt;&lt;D xsi:type="xsd:double"&gt;78.65&lt;/D&gt;&lt;D xsi:type="xsd:double"&gt;78.8&lt;/D&gt;&lt;D xsi:type="xsd:double"&gt;78.12&lt;/D&gt;&lt;D xsi:type="xsd:double"&gt;77.49&lt;/D&gt;&lt;D xsi:type="xsd:double"&gt;77.04&lt;/D&gt;&lt;D xsi:type="xsd:double"&gt;76.95&lt;/D&gt;&lt;D xsi:type="xsd:double"&gt;74.55&lt;/D&gt;&lt;D xsi:type="xsd:double"&gt;75.72&lt;/D&gt;&lt;D xsi:type="xsd:double"&gt;76.11&lt;/D&gt;&lt;D xsi:type="xsd:double"&gt;76.75&lt;/D&gt;&lt;D xsi:type="xsd:double"&gt;76.14&lt;/D&gt;&lt;D xsi:type="xsd:double"&gt;78.46&lt;/D&gt;&lt;D xsi:type="xsd:double"&gt;79.06&lt;/D&gt;&lt;D xsi:type="xsd:double"&gt;77.83&lt;/D&gt;&lt;D xsi:type="xsd:double"&gt;77.36&lt;/D&gt;&lt;D xsi:type="xsd:double"&gt;76.39&lt;/D&gt;&lt;D xsi:type="xsd:double"&gt;75.51&lt;/D&gt;&lt;D xsi:type="xsd:double"&gt;71.4&lt;/D&gt;&lt;D xsi:type="xsd:double"&gt;72.78&lt;/D&gt;&lt;D xsi:type="xsd:double"&gt;71.25&lt;/D&gt;&lt;D xsi:type="xsd:double"&gt;67.03&lt;/D&gt;&lt;D xsi:type="xsd:double"&gt;68.15&lt;/D&gt;&lt;D xsi:type="xsd:double"&gt;68.21&lt;/D&gt;&lt;D xsi:type="xsd:double"&gt;69.74&lt;/D&gt;&lt;D xsi:type="xsd:double"&gt;70.58&lt;/D&gt;&lt;D xsi:type="xsd:double"&gt;73.7&lt;/D&gt;&lt;D xsi:type="xsd:double"&gt;72.75&lt;/D&gt;&lt;D xsi:type="xsd:double"&gt;71.66&lt;/D&gt;&lt;D xsi:type="xsd:double"&gt;72.81&lt;/D&gt;&lt;D xsi:type="xsd:double"&gt;73.2&lt;/D&gt;&lt;D xsi:type="xsd:double"&gt;72.83&lt;/D&gt;&lt;D xsi:type="xsd:double"&gt;73.94&lt;/D&gt;&lt;D xsi:type="xsd:double"&gt;73.94&lt;/D&gt;&lt;D xsi:type="xsd:double"&gt;78.33&lt;/D&gt;&lt;D xsi:type="xsd:double"&gt;76.54&lt;/D&gt;&lt;D xsi:type="xsd:double"&gt;75.52&lt;/D&gt;&lt;D xsi:type="xsd:double"&gt;75.43&lt;/D&gt;&lt;D xsi:type="xsd:double"&gt;74.68&lt;/D&gt;&lt;D xsi:type="xsd:double"&gt;73.28&lt;/D&gt;&lt;D xsi:type="xsd:double"&gt;72.64&lt;/D&gt;&lt;D xsi:type="xsd:double"&gt;71.85&lt;/D&gt;&lt;D xsi:type="xsd:double"&gt;71.19&lt;/D&gt;&lt;D xsi:type="xsd:double"&gt;70.84&lt;/D&gt;&lt;D xsi:type="xsd:double"&gt;71.49&lt;/D&gt;&lt;D xsi:type="xsd:double"&gt;73.5&lt;/D&gt;&lt;D xsi:type="xsd:double"&gt;71.62&lt;/D&gt;&lt;D xsi:type="xsd:double"&gt;72.62&lt;/D&gt;&lt;D xsi:type="xsd:double"&gt;73.3&lt;/D&gt;&lt;D xsi:type="xsd:double"&gt;73.14&lt;/D&gt;&lt;D xsi:type="xsd:double"&gt;74.9&lt;/D&gt;&lt;D xsi:type="xsd:double"&gt;78.23&lt;/D&gt;&lt;D xsi:type="xsd:double"&gt;77.12&lt;/D&gt;&lt;D xsi:type="xsd:double"&gt;79.75&lt;/D&gt;&lt;D xsi:type="xsd:double"&gt;79.81&lt;/D&gt;&lt;D xsi:type="xsd:double"&gt;77.44&lt;/D&gt;&lt;D xsi:type="xsd:double"&gt;76.23&lt;/D&gt;&lt;D xsi:type="xsd:double"&gt;76.23&lt;/D&gt;&lt;D xsi:type="xsd:double"&gt;72.39&lt;/D&gt;&lt;D xsi:type="xsd:double"&gt;72.7&lt;/D&gt;&lt;D xsi:type="xsd:double"&gt;70.89&lt;/D&gt;&lt;D xsi:type="xsd:double"&gt;73.56&lt;/D&gt;&lt;D xsi:type="xsd:double"&gt;73.17&lt;/D&gt;&lt;D xsi:type="xsd:double"&gt;76.52&lt;/D&gt;&lt;D xsi:type="xsd:double"&gt;75.45&lt;/D&gt;&lt;D xsi:type="xsd:double"&gt;76.86&lt;/D&gt;&lt;D xsi:type="xsd:double"&gt;75.59&lt;/D&gt;&lt;D xsi:type="xsd:double"&gt;74.22&lt;/D&gt;&lt;D xsi:type="xsd:double"&gt;73.87&lt;/D&gt;&lt;D xsi:type="xsd:double"&gt;75.3&lt;/D&gt;&lt;D xsi:type="xsd:double"&gt;75.91&lt;/D&gt;&lt;D xsi:type="xsd:double"&gt;72.29&lt;/D&gt;&lt;D xsi:type="xsd:double"&gt;66.08&lt;/D&gt;&lt;D xsi:type="xsd:double"&gt;64.77&lt;/D&gt;&lt;D xsi:type="xsd:double"&gt;70.28&lt;/D&gt;&lt;D xsi:type="xsd:double"&gt;71.93&lt;/D&gt;&lt;D xsi:type="xsd:double"&gt;70.88&lt;/D&gt;&lt;D xsi:type="xsd:double"&gt;71.49&lt;/D&gt;&lt;D xsi:type="xsd:double"&gt;70.24&lt;/D&gt;&lt;D xsi:type="xsd:double"&gt;71.4&lt;/D&gt;&lt;D xsi:type="xsd:double"&gt;70.74&lt;/D&gt;&lt;D xsi:type="xsd:double"&gt;69.59&lt;/D&gt;&lt;D xsi:type="xsd:double"&gt;71.73&lt;/D&gt;&lt;D xsi:type="xsd:double"&gt;71.76&lt;/D&gt;&lt;D xsi:type="xsd:double"&gt;71.07&lt;/D&gt;&lt;D xsi:type="xsd:double"&gt;70.53&lt;/D&gt;&lt;D xsi:type="xsd:double"&gt;69.86&lt;/D&gt;&lt;D xsi:type="xsd:double"&gt;66.67&lt;/D&gt;&lt;D xsi:type="xsd:double"&gt;64.26&lt;/D&gt;&lt;D xsi:type="xsd:double"&gt;65.53&lt;/D&gt;&lt;D xsi:type="xsd:double"&gt;62.19&lt;/D&gt;&lt;D xsi:type="xsd:double"&gt;63.62&lt;/D&gt;&lt;D xsi:type="xsd:double"&gt;65.73&lt;/D&gt;&lt;D xsi:type="xsd:double"&gt;75.22&lt;/D&gt;&lt;D xsi:type="xsd:double"&gt;76.14&lt;/D&gt;&lt;D xsi:type="xsd:double"&gt;77.04&lt;/D&gt;&lt;D xsi:type="xsd:double"&gt;76.43&lt;/D&gt;&lt;D xsi:type="xsd:double"&gt;76.69&lt;/D&gt;&lt;D xsi:type="xsd:double"&gt;78.56&lt;/D&gt;&lt;D xsi:type="xsd:double"&gt;80.78&lt;/D&gt;&lt;D xsi:type="xsd:double"&gt;80.24&lt;/D&gt;&lt;D xsi:type="xsd:double"&gt;79.855&lt;/D&gt;&lt;D xsi:type="xsd:double"&gt;79.855&lt;/D&gt;&lt;D xsi:type="xsd:double"&gt;83.24&lt;/D&gt;&lt;D xsi:type="xsd:double"&gt;81.73&lt;/D&gt;&lt;D xsi:type="xsd:double"&gt;80.26&lt;/D&gt;&lt;D xsi:type="xsd:double"&gt;80.64&lt;/D&gt;&lt;D xsi:type="xsd:double"&gt;80.17&lt;/D&gt;&lt;D xsi:type="xsd:double"&gt;77.9&lt;/D&gt;&lt;D xsi:type="xsd:double"&gt;76.63&lt;/D&gt;&lt;D xsi:type="xsd:double"&gt;77.17&lt;/D&gt;&lt;D xsi:type="xsd:double"&gt;77.69&lt;/D&gt;&lt;D xsi:type="xsd:double"&gt;75.92&lt;/D&gt;&lt;D xsi:type="xsd:double"&gt;76.13&lt;/D&gt;&lt;D xsi:type="xsd:double"&gt;73.98&lt;/D&gt;&lt;D xsi:type="xsd:double"&gt;76.43&lt;/D&gt;&lt;D xsi:type="xsd:double"&gt;75.42&lt;/D&gt;&lt;D xsi:type="xsd:double"&gt;71.62&lt;/D&gt;&lt;D xsi:type="xsd:double"&gt;72.24&lt;/D&gt;&lt;D xsi:type="xsd:double"&gt;78.61&lt;/D&gt;&lt;D xsi:type="xsd:double"&gt;78&lt;/D&gt;&lt;D xsi:type="xsd:double"&gt;78.41&lt;/D&gt;&lt;D xsi:type="xsd:double"&gt;80.57&lt;/D&gt;&lt;D xsi:type="xsd:double"&gt;81.03&lt;/D&gt;&lt;D xsi:type="xsd:double"&gt;81.42&lt;/D&gt;&lt;D xsi:type="xsd:double"&gt;82.42&lt;/D&gt;&lt;D xsi:type="xsd:double"&gt;84.91&lt;/D&gt;&lt;D xsi:type="xsd:double"&gt;85.53&lt;/D&gt;&lt;D xsi:type="xsd:double"&gt;83.97&lt;/D&gt;&lt;D xsi:type="xsd:double"&gt;83.07&lt;/D&gt;&lt;D xsi:type="xsd:double"&gt;84.25&lt;/D&gt;&lt;D xsi:type="xsd:double"&gt;81.48&lt;/D&gt;&lt;D xsi:type="xsd:double"&gt;80.86&lt;/D&gt;&lt;D xsi:type="xsd:double"&gt;80.92&lt;/D&gt;&lt;D xsi:type="xsd:double"&gt;78.28&lt;/D&gt;&lt;D xsi:type="xsd:double"&gt;82.5&lt;/D&gt;&lt;D xsi:type="xsd:double"&gt;80.7&lt;/D&gt;&lt;D xsi:type="xsd:double"&gt;81.36&lt;/D&gt;&lt;D xsi:type="xsd:double"&gt;80.3&lt;/D&gt;&lt;D xsi:type="xsd:double"&gt;77.57&lt;/D&gt;&lt;D xsi:type="xsd:double"&gt;77.47&lt;/D&gt;&lt;D xsi:type="xsd:double"&gt;77.19&lt;/D&gt;&lt;D xsi:type="xsd:double"&gt;77.74&lt;/D&gt;&lt;D xsi:type="xsd:double"&gt;84.2&lt;/D&gt;&lt;D xsi:type="xsd:double"&gt;85.95&lt;/D&gt;&lt;D xsi:type="xsd:double"&gt;84.62&lt;/D&gt;&lt;D xsi:type="xsd:double"&gt;85.73&lt;/D&gt;&lt;D xsi:type="xsd:double"&gt;83.15&lt;/D&gt;&lt;D xsi:type="xsd:double"&gt;88.1&lt;/D&gt;&lt;D xsi:type="xsd:double"&gt;91.55&lt;/D&gt;&lt;D xsi:type="xsd:double"&gt;87.71&lt;/D&gt;&lt;D xsi:type="xsd:double"&gt;89.46&lt;/D&gt;&lt;D xsi:type="xsd:double"&gt;89.36&lt;/D&gt;&lt;D xsi:type="xsd:double"&gt;89.36&lt;/D&gt;&lt;D xsi:type="xsd:double"&gt;88.67&lt;/D&gt;&lt;D xsi:type="xsd:double"&gt;87.91&lt;/D&gt;&lt;D xsi:type="xsd:double"&gt;84.11&lt;/D&gt;&lt;D xsi:type="xsd:double"&gt;85.18&lt;/D&gt;&lt;D xsi:type="xsd:double"&gt;84.46&lt;/D&gt;&lt;D xsi:type="xsd:double"&gt;77.95&lt;/D&gt;&lt;D xsi:type="xsd:double"&gt;75.19&lt;/D&gt;&lt;D xsi:type="xsd:double"&gt;78.09&lt;/D&gt;&lt;D xsi:type="xsd:double"&gt;78.29&lt;/D&gt;&lt;D xsi:type="xsd:double"&gt;79.57&lt;/D&gt;&lt;D xsi:type="xsd:double"&gt;79.71&lt;/D&gt;&lt;D xsi:type="xsd:double"&gt;78.05&lt;/D&gt;&lt;D xsi:type="xsd:double"&gt;77.65&lt;/D&gt;&lt;D xsi:type="xsd:double"&gt;73.66&lt;/D&gt;&lt;D xsi:type="xsd:double"&gt;72.68&lt;/D&gt;&lt;D xsi:type="xsd:double"&gt;71.04&lt;/D&gt;&lt;D xsi:type="xsd:double"&gt;68.19&lt;/D&gt;&lt;D xsi:type="xsd:double"&gt;73.41&lt;/D&gt;&lt;D xsi:type="xsd:double"&gt;73.75&lt;/D&gt;&lt;D xsi:type="xsd:double"&gt;68.65&lt;/D&gt;&lt;D xsi:type="xsd:double"&gt;68.65&lt;/D&gt;&lt;D xsi:type="xsd:double"&gt;67.71&lt;/D&gt;&lt;D xsi:type="xsd:double"&gt;65.87&lt;/D&gt;&lt;D xsi:type="xsd:double"&gt;65.63&lt;/D&gt;&lt;D xsi:type="xsd:double"&gt;70.4&lt;/D&gt;&lt;D xsi:type="xsd:double"&gt;70.07&lt;/D&gt;&lt;D xsi:type="xsd:double"&gt;64.2&lt;/D&gt;&lt;D xsi:type="xsd:double"&gt;63.02&lt;/D&gt;&lt;D xsi:type="xsd:double"&gt;66.78&lt;/D&gt;&lt;D xsi:type="xsd:double"&gt;68.24&lt;/D&gt;&lt;D xsi:type="xsd:double"&gt;69.6&lt;/D&gt;&lt;D xsi:type="xsd:double"&gt;76.76&lt;/D&gt;&lt;D xsi:type="xsd:double"&gt;76.4&lt;/D&gt;&lt;D xsi:type="xsd:double"&gt;71.44&lt;/D&gt;&lt;D xsi:type="xsd:double"&gt;73.72&lt;/D&gt;&lt;D xsi:type="xsd:double"&gt;73.72&lt;/D&gt;&lt;D xsi:type="xsd:double"&gt;73.4&lt;/D&gt;&lt;D xsi:type="xsd:double"&gt;72.3&lt;/D&gt;&lt;D xsi:type="xsd:double"&gt;77&lt;/D&gt;&lt;D xsi:type="xsd:double"&gt;73.46&lt;/D&gt;&lt;D xsi:type="xsd:double"&gt;71.74&lt;/D&gt;&lt;D xsi:type="xsd:double"&gt;72.15&lt;/D&gt;&lt;D xsi:type="xsd:double"&gt;71.11&lt;/D&gt;&lt;D xsi:type="xsd:double"&gt;66.68&lt;/D&gt;&lt;D xsi:type="xsd:double"&gt;69.34&lt;/D&gt;&lt;D xsi:type="xsd:double"&gt;73.15&lt;/D&gt;&lt;D xsi:type="xsd:double"&gt;75.36&lt;/D&gt;&lt;D xsi:type="xsd:double"&gt;78.29&lt;/D&gt;&lt;D xsi:type="xsd:double"&gt;76.4&lt;/D&gt;&lt;D xsi:type="xsd:double"&gt;73.98&lt;/D&gt;&lt;D xsi:type="xsd:double"&gt;74.45&lt;/D&gt;&lt;D xsi:type="xsd:double"&gt;76.13&lt;/D&gt;&lt;D xsi:type="xsd:double"&gt;75.3&lt;/D&gt;&lt;D xsi:type="xsd:double"&gt;74.55&lt;/D&gt;&lt;D xsi:type="xsd:double"&gt;71.86&lt;/D&gt;&lt;D xsi:type="xsd:double"&gt;71.86&lt;/D&gt;&lt;D xsi:type="xsd:double"&gt;70.98&lt;/D&gt;&lt;D xsi:type="xsd:double"&gt;70.54&lt;/D&gt;&lt;D xsi:type="xsd:double"&gt;70.91&lt;/D&gt;&lt;D xsi:type="xsd:double"&gt;72.5&lt;/D&gt;&lt;D xsi:type="xsd:double"&gt;71.63&lt;/D&gt;&lt;D xsi:type="xsd:double"&gt;73.3&lt;/D&gt;&lt;D xsi:type="xsd:double"&gt;71.79&lt;/D&gt;&lt;D xsi:type="xsd:double"&gt;67.83&lt;/D&gt;&lt;D xsi:type="xsd:double"&gt;63.59&lt;/D&gt;&lt;D xsi:type="xsd:double"&gt;60.52&lt;/D&gt;&lt;D xsi:type="xsd:double"&gt;58.69&lt;/D&gt;&lt;D xsi:type="xsd:double"&gt;62.4&lt;/D&gt;&lt;D xsi:type="xsd:double"&gt;52.52&lt;/D&gt;&lt;D xsi:type="xsd:double"&gt;47.99&lt;/D&gt;&lt;D xsi:type="xsd:double"&gt;42.94&lt;/D&gt;&lt;D xsi:type="xsd:double"&gt;45.98&lt;/D&gt;&lt;D xsi:type="xsd:double"&gt;64.08&lt;/D&gt;&lt;D xsi:type="xsd:double"&gt;61.94&lt;/D&gt;&lt;D xsi:type="xsd:double"&gt;65.13&lt;/D&gt;&lt;D xsi:type="xsd:double"&gt;61.44&lt;/D&gt;&lt;D xsi:type="xsd:double"&gt;64.73&lt;/D&gt;&lt;D xsi:type="xsd:double"&gt;64.29&lt;/D&gt;&lt;D xsi:type="xsd:double"&gt;61.52&lt;/D&gt;&lt;D xsi:type="xsd:double"&gt;59.92&lt;/D&gt;&lt;D xsi:type="xsd:double"&gt;59.77&lt;/D&gt;&lt;D xsi:type="xsd:double"&gt;62.73&lt;/D&gt;&lt;D xsi:type="xsd:double"&gt;61.49&lt;/D&gt;&lt;D xsi:type="xsd:double"&gt;61.49&lt;/D&gt;&lt;/FQL&gt;&lt;FQL&gt;&lt;Q&gt;SP50^REBASE(FG_PRICE_ICS(,,,LOCAL,SPLIT,0,,,5), 83, 0/0/-1) : 0/0/-1,NOW,D&lt;/Q&gt;&lt;R&gt;245&lt;/R&gt;&lt;C&gt;1&lt;/C&gt;&lt;D xsi:type="xsd:double"&gt;83&lt;/D&gt;&lt;D xsi:type="xsd:double"&gt;83.3006707001301&lt;/D&gt;&lt;D xsi:type="xsd:double"&gt;84.2857132030668&lt;/D&gt;&lt;D xsi:type="xsd:double"&gt;84.2857132030668&lt;/D&gt;&lt;D xsi:type="xsd:double"&gt;85.4194136741989&lt;/D&gt;&lt;D xsi:type="xsd:double"&gt;85.5454269871544&lt;/D&gt;&lt;D xsi:type="xsd:double"&gt;85.9064834345909&lt;/D&gt;&lt;D xsi:type="xsd:double"&gt;86.5696782912935&lt;/D&gt;&lt;D xsi:type="xsd:double"&gt;86.5526947998636&lt;/D&gt;&lt;D xsi:type="xsd:double"&gt;86.8378497176997&lt;/D&gt;&lt;D xsi:type="xsd:double"&gt;86.4828737795405&lt;/D&gt;&lt;D xsi:type="xsd:double"&gt;87.4423362089654&lt;/D&gt;&lt;D xsi:type="xsd:double"&gt;87.7578936731884&lt;/D&gt;&lt;D xsi:type="xsd:double"&gt;87.2922105316341&lt;/D&gt;&lt;D xsi:type="xsd:double"&gt;86.6984173497871&lt;/D&gt;&lt;D xsi:type="xsd:double"&gt;87.5052380290763&lt;/D&gt;&lt;D xsi:type="xsd:double"&gt;86.699256040722&lt;/D&gt;&lt;D xsi:type="xsd:double"&gt;87.6467671243258&lt;/D&gt;&lt;D xsi:type="xsd:double"&gt;87.8029733109346&lt;/D&gt;&lt;D xsi:type="xsd:double"&gt;87.7841027649013&lt;/D&gt;&lt;D xsi:type="xsd:double"&gt;87.7098786171704&lt;/D&gt;&lt;D xsi:type="xsd:double"&gt;88.3030427808162&lt;/D&gt;&lt;D xsi:type="xsd:double"&gt;87.6677343976961&lt;/D&gt;&lt;D xsi:type="xsd:double"&gt;88.0965151381187&lt;/D&gt;&lt;D xsi:type="xsd:double"&gt;88.7460812671306&lt;/D&gt;&lt;D xsi:type="xsd:double"&gt;87.8199568023645&lt;/D&gt;&lt;D xsi:type="xsd:double"&gt;87.0582157608215&lt;/D&gt;&lt;D xsi:type="xsd:double"&gt;85.1908703944626&lt;/D&gt;&lt;D xsi:type="xsd:double"&gt;86.2279117353576&lt;/D&gt;&lt;D xsi:type="xsd:double"&gt;87.5142539566255&lt;/D&gt;&lt;D xsi:type="xsd:double"&gt;87.2928395498352&lt;/D&gt;&lt;D xsi:type="xsd:double"&gt;86.5493400361243&lt;/D&gt;&lt;D xsi:type="xsd:double"&gt;86.2945876646752&lt;/D&gt;&lt;D xsi:type="xsd:double"&gt;87.205406019881&lt;/D&gt;&lt;D xsi:type="xsd:double"&gt;87.1370527086938&lt;/D&gt;&lt;D xsi:type="xsd:double"&gt;88.0006946988165&lt;/D&gt;&lt;D xsi:type="xsd:double"&gt;87.8136666203534&lt;/D&gt;&lt;D xsi:type="xsd:double"&gt;87.978469389044&lt;/D&gt;&lt;D xsi:type="xsd:double"&gt;88.0809993558247&lt;/D&gt;&lt;D xsi:type="xsd:double"&gt;88.1487236488108&lt;/D&gt;&lt;D xsi:type="xsd:double"&gt;88.1487236488108&lt;/D&gt;&lt;D xsi:type="xsd:double"&gt;88.1053213929343&lt;/D&gt;&lt;D xsi:type="xsd:double"&gt;88.2328024150257&lt;/D&gt;&lt;D xsi:type="xsd:double"&gt;87.9126321506612&lt;/D&gt;&lt;D xsi:type="xsd:double"&gt;88.6892599562971&lt;/D&gt;&lt;D xsi:type="xsd:double"&gt;88.6186002450392&lt;/D&gt;&lt;D xsi:type="xsd:double"&gt;88.6341160273332&lt;/D&gt;&lt;D xsi:type="xsd:double"&gt;88.4724583496482&lt;/D&gt;&lt;D xsi:type="xsd:double"&gt;88.8840459259072&lt;/D&gt;&lt;D xsi:type="xsd:double"&gt;89.0572356039459&lt;/D&gt;&lt;D xsi:type="xsd:double"&gt;89.0394134215811&lt;/D&gt;&lt;D xsi:type="xsd:double"&gt;88.559472534135&lt;/D&gt;&lt;D xsi:type="xsd:double"&gt;88.5208927511336&lt;/D&gt;&lt;D xsi:type="xsd:double"&gt;87.3590961336853&lt;/D&gt;&lt;D xsi:type="xsd:double"&gt;88.5823268621086&lt;/D&gt;&lt;D xsi:type="xsd:double"&gt;89.0362683305756&lt;/D&gt;&lt;D xsi:type="xsd:double"&gt;88.9398188730722&lt;/D&gt;&lt;D xsi:type="xsd:double"&gt;89.4566621616501&lt;/D&gt;&lt;D xsi:type="xsd:double"&gt;89.7546071162421&lt;/D&gt;&lt;D xsi:type="xsd:double"&gt;89.9623927953417&lt;/D&gt;&lt;D xsi:type="xsd:double"&gt;89.9873438506524&lt;/D&gt;&lt;D xsi:type="xsd:double"&gt;90.1068573088631&lt;/D&gt;&lt;D xsi:type="xsd:double"&gt;90.5773629232926&lt;/D&gt;&lt;D xsi:type="xsd:double"&gt;91.2567025804903&lt;/D&gt;&lt;D xsi:type="xsd:double"&gt;91.2567025804903&lt;/D&gt;&lt;D xsi:type="xsd:double"&gt;91.0721905748317&lt;/D&gt;&lt;D xsi:type="xsd:double"&gt;91.3781030933044&lt;/D&gt;&lt;D xsi:type="xsd:double"&gt;90.5958141238585&lt;/D&gt;&lt;D xsi:type="xsd:double"&gt;91.6175493551932&lt;/D&gt;&lt;D xsi:type="xsd:double"&gt;91.9337358376173&lt;/D&gt;&lt;D xsi:type="xsd:double"&gt;91.6104204822473&lt;/D&gt;&lt;D xsi:type="xsd:double"&gt;91.7171439037021&lt;/D&gt;&lt;D xsi:type="xsd:double"&gt;91.4179409127079&lt;/D&gt;&lt;D xsi:type="xsd:double"&gt;90.7287466370262&lt;/D&gt;&lt;D xsi:type="xsd:double"&gt;89.2889239746877&lt;/D&gt;&lt;D xsi:type="xsd:double"&gt;90.642780816208&lt;/D&gt;&lt;D xsi:type="xsd:double"&gt;91.3898447663917&lt;/D&gt;&lt;D xsi:type="xsd:double"&gt;91.5741470993167&lt;/D&gt;&lt;D xsi:type="xsd:double"&gt;92.5032069823547&lt;/D&gt;&lt;D xsi:type="xsd:double"&gt;92.7235730254765&lt;/D&gt;&lt;D xsi:type="xsd:double"&gt;92.2866150484395&lt;/D&gt;&lt;D xsi:type="xsd:double"&gt;92.2694218842758&lt;/D&gt;&lt;D xsi:type="xsd:double"&gt;92.65752611436&lt;/D&gt;&lt;D xsi:type="xsd:double"&gt;92.1566179535436&lt;/D&gt;&lt;D xsi:type="xsd:double"&gt;91.9867830392442&lt;/D&gt;&lt;D xsi:type="xsd:double"&gt;92.7413952078413&lt;/D&gt;&lt;D xsi:type="xsd:double"&gt;92.3117757764838&lt;/D&gt;&lt;D xsi:type="xsd:double"&gt;92.8661504843946&lt;/D&gt;&lt;D xsi:type="xsd:double"&gt;93.0217276528022&lt;/D&gt;&lt;D xsi:type="xsd:double"&gt;92.934294122848&lt;/D&gt;&lt;D xsi:type="xsd:double"&gt;93.0265501256773&lt;/D&gt;&lt;D xsi:type="xsd:double"&gt;93.2561417690821&lt;/D&gt;&lt;D xsi:type="xsd:double"&gt;93.5314420684341&lt;/D&gt;&lt;D xsi:type="xsd:double"&gt;93.6817774184992&lt;/D&gt;&lt;D xsi:type="xsd:double"&gt;93.9273041896654&lt;/D&gt;&lt;D xsi:type="xsd:double"&gt;93.2641093329628&lt;/D&gt;&lt;D xsi:type="xsd:double"&gt;92.2616639931288&lt;/D&gt;&lt;D xsi:type="xsd:double"&gt;92.3776130148666&lt;/D&gt;&lt;D xsi:type="xsd:double"&gt;93.1297091106592&lt;/D&gt;&lt;D xsi:type="xsd:double"&gt;93.9235300804587&lt;/D&gt;&lt;D xsi:type="xsd:double"&gt;94.0640108120398&lt;/D&gt;&lt;D xsi:type="xsd:double"&gt;94.2728448548079&lt;/D&gt;&lt;D xsi:type="xsd:double"&gt;93.7237119652398&lt;/D&gt;&lt;D xsi:type="xsd:double"&gt;94.5491935178285&lt;/D&gt;&lt;D xsi:type="xsd:double"&gt;94.9563779666797&lt;/D&gt;&lt;D xsi:type="xsd:double"&gt;94.8282679263872&lt;/D&gt;&lt;D xsi:type="xsd:double"&gt;94.8578317818393&lt;/D&gt;&lt;D xsi:type="xsd:double"&gt;95.1274709173814&lt;/D&gt;&lt;D xsi:type="xsd:double"&gt;95.0956006618585&lt;/D&gt;&lt;D xsi:type="xsd:double"&gt;95.0956006618585&lt;/D&gt;&lt;D xsi:type="xsd:double"&gt;94.7727046519559&lt;/D&gt;&lt;D xsi:type="xsd:double"&gt;94.6477397026689&lt;/D&gt;&lt;D xsi:type="xsd:double"&gt;94.2118300893004&lt;/D&gt;&lt;D xsi:type="xsd:double"&gt;93.484265703351&lt;/D&gt;&lt;D xsi:type="xsd:double"&gt;93.6970835280595&lt;/D&gt;&lt;D xsi:type="xsd:double"&gt;93.1586439479102&lt;/D&gt;&lt;D xsi:type="xsd:double"&gt;93.948061790302&lt;/D&gt;&lt;D xsi:type="xsd:double"&gt;93.8023392403784&lt;/D&gt;&lt;D xsi:type="xsd:double"&gt;92.947713177805&lt;/D&gt;&lt;D xsi:type="xsd:double"&gt;92.1645855174243&lt;/D&gt;&lt;D xsi:type="xsd:double"&gt;93.2829798789961&lt;/D&gt;&lt;D xsi:type="xsd:double"&gt;93.419267155903&lt;/D&gt;&lt;D xsi:type="xsd:double"&gt;93.1599019843124&lt;/D&gt;&lt;D xsi:type="xsd:double"&gt;91.2627830897677&lt;/D&gt;&lt;D xsi:type="xsd:double"&gt;91.4060105341602&lt;/D&gt;&lt;D xsi:type="xsd:double"&gt;90.3173687335009&lt;/D&gt;&lt;D xsi:type="xsd:double"&gt;92.074426241932&lt;/D&gt;&lt;D xsi:type="xsd:double"&gt;91.4422629498175&lt;/D&gt;&lt;D xsi:type="xsd:double"&gt;91.2212678884945&lt;/D&gt;&lt;D xsi:type="xsd:double"&gt;91.496987533314&lt;/D&gt;&lt;D xsi:type="xsd:double"&gt;93.0582107084665&lt;/D&gt;&lt;D xsi:type="xsd:double"&gt;93.7524371297571&lt;/D&gt;&lt;D xsi:type="xsd:double"&gt;94.0688332849149&lt;/D&gt;&lt;D xsi:type="xsd:double"&gt;94.7643177426078&lt;/D&gt;&lt;D xsi:type="xsd:double"&gt;95.1115357896199&lt;/D&gt;&lt;D xsi:type="xsd:double"&gt;95.3964810347223&lt;/D&gt;&lt;D xsi:type="xsd:double"&gt;95.2941607406752&lt;/D&gt;&lt;D xsi:type="xsd:double"&gt;95.7466345000063&lt;/D&gt;&lt;D xsi:type="xsd:double"&gt;95.9208725417135&lt;/D&gt;&lt;D xsi:type="xsd:double"&gt;95.4363188541259&lt;/D&gt;&lt;D xsi:type="xsd:double"&gt;96.3743946647131&lt;/D&gt;&lt;D xsi:type="xsd:double"&gt;96.562261434111&lt;/D&gt;&lt;D xsi:type="xsd:double"&gt;96.7360801303508&lt;/D&gt;&lt;D xsi:type="xsd:double"&gt;97.0921044321784&lt;/D&gt;&lt;D xsi:type="xsd:double"&gt;97.7194452514178&lt;/D&gt;&lt;D xsi:type="xsd:double"&gt;98.128097409405&lt;/D&gt;&lt;D xsi:type="xsd:double"&gt;98.4943956751841&lt;/D&gt;&lt;D xsi:type="xsd:double"&gt;98.5818292051382&lt;/D&gt;&lt;D xsi:type="xsd:double"&gt;98.2369175581968&lt;/D&gt;&lt;D xsi:type="xsd:double"&gt;97.4288388425055&lt;/D&gt;&lt;D xsi:type="xsd:double"&gt;97.4825150623334&lt;/D&gt;&lt;D xsi:type="xsd:double"&gt;98.1865961021081&lt;/D&gt;&lt;D xsi:type="xsd:double"&gt;98.1855477384396&lt;/D&gt;&lt;D xsi:type="xsd:double"&gt;98.565055386442&lt;/D&gt;&lt;D xsi:type="xsd:double"&gt;98.3086256331232&lt;/D&gt;&lt;D xsi:type="xsd:double"&gt;98.6413762615099&lt;/D&gt;&lt;D xsi:type="xsd:double"&gt;98.5034116027333&lt;/D&gt;&lt;D xsi:type="xsd:double"&gt;98.1884831567114&lt;/D&gt;&lt;D xsi:type="xsd:double"&gt;98.3511891980649&lt;/D&gt;&lt;D xsi:type="xsd:double"&gt;98.5767970595294&lt;/D&gt;&lt;D xsi:type="xsd:double"&gt;98.5767970595294&lt;/D&gt;&lt;D xsi:type="xsd:double"&gt;96.3366535726465&lt;/D&gt;&lt;D xsi:type="xsd:double"&gt;97.6083187025552&lt;/D&gt;&lt;D xsi:type="xsd:double"&gt;95.7575374821589&lt;/D&gt;&lt;D xsi:type="xsd:double"&gt;94.6261434110975&lt;/D&gt;&lt;D xsi:type="xsd:double"&gt;95.9693069431989&lt;/D&gt;&lt;D xsi:type="xsd:double"&gt;95.1585024819694&lt;/D&gt;&lt;D xsi:type="xsd:double"&gt;96.2748001162042&lt;/D&gt;&lt;D xsi:type="xsd:double"&gt;98.2683684682523&lt;/D&gt;&lt;D xsi:type="xsd:double"&gt;98.5715552411868&lt;/D&gt;&lt;D xsi:type="xsd:double"&gt;97.8637000922055&lt;/D&gt;&lt;D xsi:type="xsd:double"&gt;98.7982114663197&lt;/D&gt;&lt;D xsi:type="xsd:double"&gt;97.8955703477283&lt;/D&gt;&lt;D xsi:type="xsd:double"&gt;97.1642318525723&lt;/D&gt;&lt;D xsi:type="xsd:double"&gt;98.7527124831062&lt;/D&gt;&lt;D xsi:type="xsd:double"&gt;97.8892801657172&lt;/D&gt;&lt;D xsi:type="xsd:double"&gt;96.8822220257418&lt;/D&gt;&lt;D xsi:type="xsd:double"&gt;95.7789241009966&lt;/D&gt;&lt;D xsi:type="xsd:double"&gt;97.4816763713986&lt;/D&gt;&lt;D xsi:type="xsd:double"&gt;98.4740574200149&lt;/D&gt;&lt;D xsi:type="xsd:double"&gt;99.0869308206288&lt;/D&gt;&lt;D xsi:type="xsd:double"&gt;99.0869308206288&lt;/D&gt;&lt;D xsi:type="xsd:double"&gt;100.458190499046&lt;/D&gt;&lt;D xsi:type="xsd:double"&gt;100.356708895934&lt;/D&gt;&lt;D xsi:type="xsd:double"&gt;100.497399300249&lt;/D&gt;&lt;D xsi:type="xsd:double"&gt;100.196938272852&lt;/D&gt;&lt;D xsi:type="xsd:double"&gt;99.9337989920552&lt;/D&gt;&lt;D xsi:type="xsd:double"&gt;100.507463591467&lt;/D&gt;&lt;D xsi:type="xsd:double"&gt;98.5583458589635&lt;/D&gt;&lt;D xsi:type="xsd:double"&gt;98.463364110596&lt;/D&gt;&lt;D xsi:type="xsd:double"&gt;98.0645665710929&lt;/D&gt;&lt;D xsi:type="xsd:double"&gt;97.9232471485771&lt;/D&gt;&lt;D xsi:type="xsd:double"&gt;98.8202271033585&lt;/D&gt;&lt;D xsi:type="xsd:double"&gt;99.0986724937161&lt;/D&gt;&lt;D xsi:type="xsd:double"&gt;97.6871556504275&lt;/D&gt;&lt;D xsi:type="xsd:double"&gt;97.7672506347021&lt;/D&gt;&lt;D xsi:type="xsd:double"&gt;97.7672506347021&lt;/D&gt;&lt;D xsi:type="xsd:double"&gt;95.9695166159326&lt;/D&gt;&lt;D xsi:type="xsd:double"&gt;95.0396180419598&lt;/D&gt;&lt;D xsi:type="xsd:double"&gt;93.9906253552437&lt;/D&gt;&lt;D xsi:type="xsd:double"&gt;92.212810246176&lt;/D&gt;&lt;D xsi:type="xsd:double"&gt;92.46840130856&lt;/D&gt;&lt;D xsi:type="xsd:double"&gt;91.3428780740423&lt;/D&gt;&lt;D xsi:type="xsd:double"&gt;91.2061714516679&lt;/D&gt;&lt;D xsi:type="xsd:double"&gt;90.7151179093355&lt;/D&gt;&lt;D xsi:type="xsd:double"&gt;92.9238104861629&lt;/D&gt;&lt;D xsi:type="xsd:double"&gt;94.0145280468858&lt;/D&gt;&lt;D xsi:type="xsd:double"&gt;94.804365234745&lt;/D&gt;&lt;D xsi:type="xsd:double"&gt;96.1806570587715&lt;/D&gt;&lt;D xsi:type="xsd:double"&gt;94.4382766416996&lt;/D&gt;&lt;D xsi:type="xsd:double"&gt;92.6468328049412&lt;/D&gt;&lt;D xsi:type="xsd:double"&gt;92.2910181758472&lt;/D&gt;&lt;D xsi:type="xsd:double"&gt;93.746146947746&lt;/D&gt;&lt;D xsi:type="xsd:double"&gt;93.828758004825&lt;/D&gt;&lt;D xsi:type="xsd:double"&gt;91.8421088529891&lt;/D&gt;&lt;D xsi:type="xsd:double"&gt;91.1839461418954&lt;/D&gt;&lt;D xsi:type="xsd:double"&gt;91.1839461418954&lt;/D&gt;&lt;D xsi:type="xsd:double"&gt;90.2590797135315&lt;/D&gt;&lt;D xsi:type="xsd:double"&gt;88.5972136262015&lt;/D&gt;&lt;D xsi:type="xsd:double"&gt;89.9223453032044&lt;/D&gt;&lt;D xsi:type="xsd:double"&gt;91.9341551830847&lt;/D&gt;&lt;D xsi:type="xsd:double"&gt;91.7095956852888&lt;/D&gt;&lt;D xsi:type="xsd:double"&gt;90.2905306235869&lt;/D&gt;&lt;D xsi:type="xsd:double"&gt;91.9737833297546&lt;/D&gt;&lt;D xsi:type="xsd:double"&gt;91.4904876785692&lt;/D&gt;&lt;D xsi:type="xsd:double"&gt;90.7646006744894&lt;/D&gt;&lt;D xsi:type="xsd:double"&gt;88.0854024832325&lt;/D&gt;&lt;D xsi:type="xsd:double"&gt;87.4482070455091&lt;/D&gt;&lt;D xsi:type="xsd:double"&gt;89.6954794053378&lt;/D&gt;&lt;D xsi:type="xsd:double"&gt;89.3105202662591&lt;/D&gt;&lt;D xsi:type="xsd:double"&gt;88.1529171034849&lt;/D&gt;&lt;D xsi:type="xsd:double"&gt;87.4987381743315&lt;/D&gt;&lt;D xsi:type="xsd:double"&gt;89.3719543772341&lt;/D&gt;&lt;D xsi:type="xsd:double"&gt;91.3724419294944&lt;/D&gt;&lt;D xsi:type="xsd:double"&gt;92.5006909095502&lt;/D&gt;&lt;D xsi:type="xsd:double"&gt;93.5794571244521&lt;/D&gt;&lt;D xsi:type="xsd:double"&gt;93.5387806141138&lt;/D&gt;&lt;D xsi:type="xsd:double"&gt;94.596160210178&lt;/D&gt;&lt;D xsi:type="xsd:double"&gt;93.4352022836645&lt;/D&gt;&lt;D xsi:type="xsd:double"&gt;94.775430397494&lt;/D&gt;&lt;D xsi:type="xsd:double"&gt;95.2555809576739&lt;/D&gt;&lt;D xsi:type="xsd:double"&gt;95.9361786512738&lt;/D&gt;&lt;D xsi:type="xsd:double"&gt;97.1120233418802&lt;/D&gt;&lt;D xsi:type="xsd:double"&gt;96.500827323136&lt;/D&gt;&lt;D xsi:type="xsd:double"&gt;96.500827323136&lt;/D&gt;&lt;/FQL&gt;&lt;/Schema&gt;</t>
        </r>
      </text>
    </comment>
  </commentList>
</comments>
</file>

<file path=xl/sharedStrings.xml><?xml version="1.0" encoding="utf-8"?>
<sst xmlns="http://schemas.openxmlformats.org/spreadsheetml/2006/main" count="20" uniqueCount="19">
  <si>
    <t>This sheet contains FactSet XML data for use with this workbook's =FDS codes.  Modifying the worksheet's contents may damage the workbook's =FDS functionality.</t>
  </si>
  <si>
    <t>多头持仓</t>
  </si>
  <si>
    <t>序号</t>
  </si>
  <si>
    <t>会员名称</t>
  </si>
  <si>
    <t>成交量（手）</t>
  </si>
  <si>
    <t>多单量（手）</t>
  </si>
  <si>
    <t>IF.CFE</t>
    <phoneticPr fontId="9" type="noConversion"/>
  </si>
  <si>
    <t xml:space="preserve">成交量前五名
</t>
    <phoneticPr fontId="9" type="noConversion"/>
  </si>
  <si>
    <t xml:space="preserve">多头持仓量前五名
</t>
    <phoneticPr fontId="9" type="noConversion"/>
  </si>
  <si>
    <t xml:space="preserve">空头持仓前五名
</t>
    <phoneticPr fontId="9" type="noConversion"/>
  </si>
  <si>
    <t>期货持仓报告</t>
    <phoneticPr fontId="9" type="noConversion"/>
  </si>
  <si>
    <t>分析日期</t>
    <phoneticPr fontId="9" type="noConversion"/>
  </si>
  <si>
    <t>期货合约</t>
    <phoneticPr fontId="9" type="noConversion"/>
  </si>
  <si>
    <t>合约成交持仓排名</t>
    <phoneticPr fontId="9" type="noConversion"/>
  </si>
  <si>
    <t>成交量</t>
    <phoneticPr fontId="9" type="noConversion"/>
  </si>
  <si>
    <t>空头持仓</t>
    <phoneticPr fontId="9" type="noConversion"/>
  </si>
  <si>
    <t>会员名称</t>
    <phoneticPr fontId="9" type="noConversion"/>
  </si>
  <si>
    <t>空单量（手）</t>
    <phoneticPr fontId="9" type="noConversion"/>
  </si>
  <si>
    <t>期货持仓报告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</si>
</sst>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yyyy\-mm\-dd"/>
    <numFmt numFmtId="177" formatCode="0.0000"/>
    <numFmt numFmtId="178" formatCode="0_ ;[Red]\-0\ "/>
    <numFmt numFmtId="179" formatCode="0_ "/>
    <numFmt numFmtId="180" formatCode="yy&quot;年&quot;mm&quot;月&quot;"/>
  </numFmts>
  <fonts count="24" x14ac:knownFonts="1">
    <font>
      <sz val="10"/>
      <name val="Arial"/>
      <family val="2"/>
    </font>
    <font>
      <sz val="10"/>
      <color indexed="8"/>
      <name val="Tahoma"/>
      <family val="2"/>
    </font>
    <font>
      <b/>
      <sz val="10"/>
      <name val="Arial"/>
      <family val="2"/>
    </font>
    <font>
      <sz val="8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1"/>
      <name val="Arial"/>
      <family val="2"/>
    </font>
    <font>
      <sz val="10"/>
      <color rgb="FF0066CC"/>
      <name val="Arial"/>
      <family val="2"/>
    </font>
    <font>
      <i/>
      <sz val="10"/>
      <color indexed="8"/>
      <name val="Arial"/>
      <family val="2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212121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2"/>
      <name val="微软雅黑"/>
      <family val="2"/>
      <charset val="134"/>
    </font>
    <font>
      <sz val="16"/>
      <color theme="1"/>
      <name val="Arial"/>
      <family val="2"/>
    </font>
    <font>
      <b/>
      <sz val="10"/>
      <color indexed="9"/>
      <name val="微软雅黑"/>
      <family val="2"/>
      <charset val="134"/>
    </font>
    <font>
      <b/>
      <sz val="10"/>
      <color theme="1" tint="0.249977111117893"/>
      <name val="微软雅黑"/>
      <family val="2"/>
      <charset val="134"/>
    </font>
    <font>
      <sz val="10"/>
      <color rgb="FF5FBEC0"/>
      <name val="微软雅黑"/>
      <family val="2"/>
      <charset val="134"/>
    </font>
    <font>
      <sz val="10"/>
      <color rgb="FF212121"/>
      <name val="Arial"/>
      <family val="2"/>
    </font>
    <font>
      <sz val="11"/>
      <color theme="1" tint="4.9989318521683403E-2"/>
      <name val="Arial"/>
      <family val="2"/>
    </font>
    <font>
      <sz val="20"/>
      <color theme="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rgb="FFE1E1E1"/>
        </stop>
      </gradientFill>
    </fill>
    <fill>
      <patternFill patternType="solid">
        <fgColor rgb="FFEFF6FB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C658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theme="2"/>
      </right>
      <top/>
      <bottom/>
      <diagonal/>
    </border>
  </borders>
  <cellStyleXfs count="8">
    <xf numFmtId="0" fontId="0" fillId="0" borderId="0"/>
    <xf numFmtId="0" fontId="4" fillId="5" borderId="0" applyNumberFormat="0" applyFont="0" applyBorder="0" applyAlignment="0" applyProtection="0"/>
    <xf numFmtId="0" fontId="2" fillId="3" borderId="3" applyNumberFormat="0" applyFill="0" applyBorder="0" applyProtection="0">
      <alignment horizontal="left"/>
    </xf>
    <xf numFmtId="0" fontId="7" fillId="3" borderId="0" applyNumberFormat="0" applyFill="0" applyBorder="0" applyProtection="0">
      <alignment horizontal="left"/>
    </xf>
    <xf numFmtId="4" fontId="8" fillId="3" borderId="0" applyNumberFormat="0" applyFill="0" applyBorder="0" applyProtection="0">
      <alignment horizontal="left"/>
    </xf>
    <xf numFmtId="0" fontId="6" fillId="4" borderId="2" applyAlignment="0">
      <alignment horizontal="right" vertical="center"/>
    </xf>
    <xf numFmtId="0" fontId="5" fillId="2" borderId="1">
      <alignment horizontal="right" vertical="center" indent="1"/>
    </xf>
    <xf numFmtId="0" fontId="7" fillId="3" borderId="0" applyNumberFormat="0" applyFill="0" applyBorder="0" applyAlignment="0" applyProtection="0">
      <alignment horizontal="right"/>
    </xf>
  </cellStyleXfs>
  <cellXfs count="55">
    <xf numFmtId="0" fontId="0" fillId="0" borderId="0" xfId="0"/>
    <xf numFmtId="0" fontId="1" fillId="0" borderId="0" xfId="0" applyFont="1"/>
    <xf numFmtId="0" fontId="0" fillId="0" borderId="0" xfId="0"/>
    <xf numFmtId="0" fontId="12" fillId="0" borderId="0" xfId="0" applyFont="1"/>
    <xf numFmtId="0" fontId="15" fillId="8" borderId="0" xfId="0" applyFont="1" applyFill="1"/>
    <xf numFmtId="0" fontId="16" fillId="3" borderId="4" xfId="0" applyFont="1" applyFill="1" applyBorder="1" applyAlignment="1">
      <alignment vertical="top"/>
    </xf>
    <xf numFmtId="0" fontId="15" fillId="8" borderId="5" xfId="0" applyFont="1" applyFill="1" applyBorder="1" applyAlignment="1"/>
    <xf numFmtId="0" fontId="12" fillId="7" borderId="0" xfId="0" applyFont="1" applyFill="1"/>
    <xf numFmtId="178" fontId="13" fillId="9" borderId="0" xfId="0" applyNumberFormat="1" applyFont="1" applyFill="1" applyAlignment="1">
      <alignment horizontal="right"/>
    </xf>
    <xf numFmtId="178" fontId="13" fillId="3" borderId="0" xfId="0" applyNumberFormat="1" applyFont="1" applyFill="1" applyAlignment="1">
      <alignment horizontal="right"/>
    </xf>
    <xf numFmtId="178" fontId="13" fillId="9" borderId="0" xfId="0" applyNumberFormat="1" applyFont="1" applyFill="1" applyAlignment="1">
      <alignment horizontal="center"/>
    </xf>
    <xf numFmtId="178" fontId="13" fillId="3" borderId="0" xfId="0" applyNumberFormat="1" applyFont="1" applyFill="1" applyAlignment="1">
      <alignment horizontal="center"/>
    </xf>
    <xf numFmtId="0" fontId="14" fillId="8" borderId="5" xfId="0" applyFont="1" applyFill="1" applyBorder="1" applyAlignment="1"/>
    <xf numFmtId="0" fontId="13" fillId="3" borderId="0" xfId="0" applyFont="1" applyFill="1" applyAlignment="1"/>
    <xf numFmtId="0" fontId="12" fillId="3" borderId="0" xfId="0" applyFont="1" applyFill="1" applyAlignment="1"/>
    <xf numFmtId="0" fontId="13" fillId="3" borderId="0" xfId="0" applyFont="1" applyFill="1" applyAlignment="1">
      <alignment horizontal="right"/>
    </xf>
    <xf numFmtId="178" fontId="13" fillId="9" borderId="0" xfId="0" applyNumberFormat="1" applyFont="1" applyFill="1" applyAlignment="1">
      <alignment horizontal="left"/>
    </xf>
    <xf numFmtId="178" fontId="13" fillId="3" borderId="0" xfId="0" applyNumberFormat="1" applyFont="1" applyFill="1" applyAlignment="1">
      <alignment horizontal="left"/>
    </xf>
    <xf numFmtId="0" fontId="11" fillId="0" borderId="0" xfId="0" applyFont="1"/>
    <xf numFmtId="0" fontId="12" fillId="6" borderId="0" xfId="0" applyFont="1" applyFill="1"/>
    <xf numFmtId="0" fontId="18" fillId="6" borderId="0" xfId="0" applyFont="1" applyFill="1" applyBorder="1" applyAlignment="1">
      <alignment horizontal="center" vertical="center"/>
    </xf>
    <xf numFmtId="0" fontId="12" fillId="3" borderId="0" xfId="0" applyFont="1" applyFill="1"/>
    <xf numFmtId="0" fontId="12" fillId="3" borderId="4" xfId="0" applyFont="1" applyFill="1" applyBorder="1"/>
    <xf numFmtId="0" fontId="12" fillId="3" borderId="0" xfId="0" applyFont="1" applyFill="1" applyBorder="1"/>
    <xf numFmtId="0" fontId="19" fillId="3" borderId="0" xfId="0" applyFont="1" applyFill="1"/>
    <xf numFmtId="0" fontId="11" fillId="3" borderId="0" xfId="0" applyFont="1" applyFill="1"/>
    <xf numFmtId="178" fontId="12" fillId="9" borderId="0" xfId="0" applyNumberFormat="1" applyFont="1" applyFill="1"/>
    <xf numFmtId="178" fontId="13" fillId="9" borderId="0" xfId="0" applyNumberFormat="1" applyFont="1" applyFill="1"/>
    <xf numFmtId="179" fontId="12" fillId="9" borderId="0" xfId="0" applyNumberFormat="1" applyFont="1" applyFill="1"/>
    <xf numFmtId="179" fontId="11" fillId="3" borderId="0" xfId="0" applyNumberFormat="1" applyFont="1" applyFill="1"/>
    <xf numFmtId="179" fontId="11" fillId="3" borderId="0" xfId="0" applyNumberFormat="1" applyFont="1" applyFill="1" applyAlignment="1">
      <alignment vertical="center"/>
    </xf>
    <xf numFmtId="179" fontId="12" fillId="0" borderId="0" xfId="0" applyNumberFormat="1" applyFont="1"/>
    <xf numFmtId="178" fontId="12" fillId="3" borderId="0" xfId="0" applyNumberFormat="1" applyFont="1" applyFill="1"/>
    <xf numFmtId="178" fontId="13" fillId="3" borderId="0" xfId="0" applyNumberFormat="1" applyFont="1" applyFill="1"/>
    <xf numFmtId="179" fontId="12" fillId="3" borderId="0" xfId="0" applyNumberFormat="1" applyFont="1" applyFill="1"/>
    <xf numFmtId="0" fontId="12" fillId="0" borderId="0" xfId="0" applyFont="1" applyFill="1"/>
    <xf numFmtId="0" fontId="20" fillId="0" borderId="0" xfId="0" applyFont="1" applyAlignment="1">
      <alignment horizontal="left"/>
    </xf>
    <xf numFmtId="0" fontId="12" fillId="0" borderId="0" xfId="0" applyNumberFormat="1" applyFont="1" applyAlignment="1">
      <alignment horizontal="right"/>
    </xf>
    <xf numFmtId="176" fontId="12" fillId="0" borderId="0" xfId="0" applyNumberFormat="1" applyFont="1" applyAlignment="1">
      <alignment horizontal="right"/>
    </xf>
    <xf numFmtId="177" fontId="12" fillId="0" borderId="0" xfId="0" applyNumberFormat="1" applyFont="1" applyAlignment="1">
      <alignment horizontal="right"/>
    </xf>
    <xf numFmtId="178" fontId="0" fillId="9" borderId="0" xfId="0" applyNumberFormat="1" applyFont="1" applyFill="1"/>
    <xf numFmtId="178" fontId="21" fillId="9" borderId="0" xfId="0" applyNumberFormat="1" applyFont="1" applyFill="1"/>
    <xf numFmtId="178" fontId="21" fillId="3" borderId="0" xfId="0" applyNumberFormat="1" applyFont="1" applyFill="1"/>
    <xf numFmtId="176" fontId="22" fillId="10" borderId="6" xfId="0" applyNumberFormat="1" applyFont="1" applyFill="1" applyBorder="1" applyAlignment="1">
      <alignment horizontal="right" vertical="center"/>
    </xf>
    <xf numFmtId="180" fontId="17" fillId="11" borderId="7" xfId="0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 applyAlignment="1">
      <alignment vertical="center"/>
    </xf>
    <xf numFmtId="178" fontId="21" fillId="3" borderId="0" xfId="0" applyNumberFormat="1" applyFont="1" applyFill="1" applyAlignment="1">
      <alignment horizontal="center"/>
    </xf>
    <xf numFmtId="178" fontId="21" fillId="9" borderId="0" xfId="0" applyNumberFormat="1" applyFont="1" applyFill="1" applyAlignment="1">
      <alignment horizontal="center"/>
    </xf>
    <xf numFmtId="0" fontId="23" fillId="6" borderId="0" xfId="0" applyFont="1" applyFill="1" applyAlignment="1">
      <alignment horizontal="center" vertical="center"/>
    </xf>
    <xf numFmtId="0" fontId="14" fillId="8" borderId="5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2" fillId="3" borderId="0" xfId="0" applyFont="1" applyFill="1" applyAlignment="1">
      <alignment horizontal="left"/>
    </xf>
    <xf numFmtId="0" fontId="12" fillId="3" borderId="0" xfId="0" applyFont="1" applyFill="1" applyAlignment="1">
      <alignment horizontal="right"/>
    </xf>
    <xf numFmtId="0" fontId="12" fillId="3" borderId="0" xfId="0" applyFont="1" applyFill="1" applyAlignment="1">
      <alignment horizontal="center"/>
    </xf>
  </cellXfs>
  <cellStyles count="8">
    <cellStyle name="Background" xfId="1"/>
    <cellStyle name="CompanyName" xfId="5"/>
    <cellStyle name="DataOutput" xfId="7"/>
    <cellStyle name="FactSet header" xfId="6"/>
    <cellStyle name="KeyDataCalculated" xfId="4"/>
    <cellStyle name="KeyDataOutput" xfId="3"/>
    <cellStyle name="KeyName" xfId="2"/>
    <cellStyle name="常规" xfId="0" builtinId="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339900"/>
      <rgbColor rgb="00000080"/>
      <rgbColor rgb="00996633"/>
      <rgbColor rgb="00800080"/>
      <rgbColor rgb="00009999"/>
      <rgbColor rgb="00C0C0C0"/>
      <rgbColor rgb="00646464"/>
      <rgbColor rgb="00005A9C"/>
      <rgbColor rgb="009A3366"/>
      <rgbColor rgb="008B2A2E"/>
      <rgbColor rgb="00C4A00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AEEF"/>
      <rgbColor rgb="00CCFFFF"/>
      <rgbColor rgb="00CCFFCC"/>
      <rgbColor rgb="00FFFF99"/>
      <rgbColor rgb="0099CCFF"/>
      <rgbColor rgb="00FF99CC"/>
      <rgbColor rgb="00CC99FF"/>
      <rgbColor rgb="00FFCC99"/>
      <rgbColor rgb="000066CC"/>
      <rgbColor rgb="0033CCCC"/>
      <rgbColor rgb="0099CC33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66CC"/>
      <rgbColor rgb="00333333"/>
    </indexedColors>
    <mruColors>
      <color rgb="FF63636D"/>
      <color rgb="FF2276A1"/>
      <color rgb="FF5FBEC0"/>
      <color rgb="FFF4F4F4"/>
      <color rgb="FFE8E8E8"/>
      <color rgb="FFF68616"/>
      <color rgb="FF4B588D"/>
      <color rgb="FFDF5D5D"/>
      <color rgb="FFE4C658"/>
      <color rgb="FF009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6A1"/>
            </a:solidFill>
            <a:ln>
              <a:noFill/>
            </a:ln>
            <a:effectLst/>
          </c:spPr>
          <c:invertIfNegative val="0"/>
          <c:cat>
            <c:strRef>
              <c:f>持仓报告!$P$26:$P$30</c:f>
              <c:strCache>
                <c:ptCount val="5"/>
                <c:pt idx="0">
                  <c:v>国泰君安</c:v>
                </c:pt>
                <c:pt idx="1">
                  <c:v>中信期货</c:v>
                </c:pt>
                <c:pt idx="2">
                  <c:v>海通期货</c:v>
                </c:pt>
                <c:pt idx="3">
                  <c:v>瑞银期货</c:v>
                </c:pt>
                <c:pt idx="4">
                  <c:v>东证期货</c:v>
                </c:pt>
              </c:strCache>
            </c:strRef>
          </c:cat>
          <c:val>
            <c:numRef>
              <c:f>持仓报告!$T$26:$T$30</c:f>
              <c:numCache>
                <c:formatCode>0_ ;[Red]\-0\ </c:formatCode>
                <c:ptCount val="5"/>
                <c:pt idx="0">
                  <c:v>10409</c:v>
                </c:pt>
                <c:pt idx="1">
                  <c:v>9314</c:v>
                </c:pt>
                <c:pt idx="2">
                  <c:v>7301</c:v>
                </c:pt>
                <c:pt idx="3">
                  <c:v>6413</c:v>
                </c:pt>
                <c:pt idx="4">
                  <c:v>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6-4737-ABC2-6F060F69A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42595752"/>
        <c:axId val="1042601328"/>
      </c:barChart>
      <c:catAx>
        <c:axId val="104259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42601328"/>
        <c:crosses val="autoZero"/>
        <c:auto val="1"/>
        <c:lblAlgn val="ctr"/>
        <c:lblOffset val="100"/>
        <c:noMultiLvlLbl val="0"/>
      </c:catAx>
      <c:valAx>
        <c:axId val="10426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42595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6A1"/>
            </a:solidFill>
            <a:ln>
              <a:noFill/>
            </a:ln>
            <a:effectLst/>
          </c:spPr>
          <c:invertIfNegative val="0"/>
          <c:cat>
            <c:strRef>
              <c:f>持仓报告!$H$26:$H$30</c:f>
              <c:strCache>
                <c:ptCount val="5"/>
                <c:pt idx="0">
                  <c:v>中信期货</c:v>
                </c:pt>
                <c:pt idx="1">
                  <c:v>国泰君安</c:v>
                </c:pt>
                <c:pt idx="2">
                  <c:v>东证期货</c:v>
                </c:pt>
                <c:pt idx="3">
                  <c:v>海通期货</c:v>
                </c:pt>
                <c:pt idx="4">
                  <c:v>国信期货</c:v>
                </c:pt>
              </c:strCache>
            </c:strRef>
          </c:cat>
          <c:val>
            <c:numRef>
              <c:f>持仓报告!$J$26:$J$30</c:f>
              <c:numCache>
                <c:formatCode>0_ ;[Red]\-0\ </c:formatCode>
                <c:ptCount val="5"/>
                <c:pt idx="0">
                  <c:v>12722</c:v>
                </c:pt>
                <c:pt idx="1">
                  <c:v>11732</c:v>
                </c:pt>
                <c:pt idx="2">
                  <c:v>5098</c:v>
                </c:pt>
                <c:pt idx="3">
                  <c:v>4410</c:v>
                </c:pt>
                <c:pt idx="4">
                  <c:v>4342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9-4B4E-BE7E-D26CD043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14168088"/>
        <c:axId val="1014168744"/>
      </c:barChart>
      <c:catAx>
        <c:axId val="101416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14168744"/>
        <c:crosses val="autoZero"/>
        <c:auto val="1"/>
        <c:lblAlgn val="ctr"/>
        <c:lblOffset val="100"/>
        <c:noMultiLvlLbl val="0"/>
      </c:catAx>
      <c:valAx>
        <c:axId val="101416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01416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276A1"/>
            </a:solidFill>
            <a:ln>
              <a:noFill/>
            </a:ln>
            <a:effectLst/>
          </c:spPr>
          <c:invertIfNegative val="0"/>
          <c:cat>
            <c:strRef>
              <c:f>持仓报告!$Z$26:$Z$30</c:f>
              <c:strCache>
                <c:ptCount val="5"/>
                <c:pt idx="0">
                  <c:v>中信期货</c:v>
                </c:pt>
                <c:pt idx="1">
                  <c:v>国泰君安</c:v>
                </c:pt>
                <c:pt idx="2">
                  <c:v>华泰期货</c:v>
                </c:pt>
                <c:pt idx="3">
                  <c:v>国信期货</c:v>
                </c:pt>
                <c:pt idx="4">
                  <c:v>海通期货</c:v>
                </c:pt>
              </c:strCache>
            </c:strRef>
          </c:cat>
          <c:val>
            <c:numRef>
              <c:f>持仓报告!$AC$26:$AC$30</c:f>
              <c:numCache>
                <c:formatCode>0_ ;[Red]\-0\ </c:formatCode>
                <c:ptCount val="5"/>
                <c:pt idx="0">
                  <c:v>12872</c:v>
                </c:pt>
                <c:pt idx="1">
                  <c:v>7889</c:v>
                </c:pt>
                <c:pt idx="2">
                  <c:v>6381</c:v>
                </c:pt>
                <c:pt idx="3">
                  <c:v>5075</c:v>
                </c:pt>
                <c:pt idx="4">
                  <c:v>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D-4979-A4E2-2E2015AC4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-25"/>
        <c:axId val="1115258352"/>
        <c:axId val="1115252448"/>
      </c:barChart>
      <c:catAx>
        <c:axId val="11152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115252448"/>
        <c:crosses val="autoZero"/>
        <c:auto val="1"/>
        <c:lblAlgn val="ctr"/>
        <c:lblOffset val="100"/>
        <c:noMultiLvlLbl val="0"/>
      </c:catAx>
      <c:valAx>
        <c:axId val="11152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111525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</xdr:colOff>
      <xdr:row>6</xdr:row>
      <xdr:rowOff>76200</xdr:rowOff>
    </xdr:from>
    <xdr:to>
      <xdr:col>22</xdr:col>
      <xdr:colOff>33337</xdr:colOff>
      <xdr:row>19</xdr:row>
      <xdr:rowOff>161924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</xdr:colOff>
      <xdr:row>6</xdr:row>
      <xdr:rowOff>85724</xdr:rowOff>
    </xdr:from>
    <xdr:to>
      <xdr:col>10</xdr:col>
      <xdr:colOff>19050</xdr:colOff>
      <xdr:row>20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</xdr:colOff>
      <xdr:row>6</xdr:row>
      <xdr:rowOff>47625</xdr:rowOff>
    </xdr:from>
    <xdr:to>
      <xdr:col>30</xdr:col>
      <xdr:colOff>538162</xdr:colOff>
      <xdr:row>19</xdr:row>
      <xdr:rowOff>152400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156883</xdr:colOff>
      <xdr:row>0</xdr:row>
      <xdr:rowOff>67235</xdr:rowOff>
    </xdr:from>
    <xdr:ext cx="607152" cy="219075"/>
    <xdr:pic>
      <xdr:nvPicPr>
        <xdr:cNvPr id="6" name="图片 5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77" y="67235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FS_OI_LNAME"/>
      <definedName name="FS_OI_LOI"/>
      <definedName name="FS_OI_SNAME"/>
      <definedName name="FS_OI_SOI"/>
      <definedName name="FS_OI_VNAME"/>
      <definedName name="s_info_code"/>
      <definedName name="s_oi_volume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FactSet_2012_QR">
  <a:themeElements>
    <a:clrScheme name="FactSet 2012 QR">
      <a:dk1>
        <a:sysClr val="windowText" lastClr="000000"/>
      </a:dk1>
      <a:lt1>
        <a:sysClr val="window" lastClr="FFFFFF"/>
      </a:lt1>
      <a:dk2>
        <a:srgbClr val="00B0F0"/>
      </a:dk2>
      <a:lt2>
        <a:srgbClr val="B4DFEF"/>
      </a:lt2>
      <a:accent1>
        <a:srgbClr val="00AEEF"/>
      </a:accent1>
      <a:accent2>
        <a:srgbClr val="99CC33"/>
      </a:accent2>
      <a:accent3>
        <a:srgbClr val="9A3366"/>
      </a:accent3>
      <a:accent4>
        <a:srgbClr val="FFCC00"/>
      </a:accent4>
      <a:accent5>
        <a:srgbClr val="969696"/>
      </a:accent5>
      <a:accent6>
        <a:srgbClr val="0066CC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accent5"/>
        </a:solidFill>
        <a:ln w="12700" cap="flat" cmpd="sng" algn="ctr">
          <a:solidFill>
            <a:schemeClr val="accent5">
              <a:lumMod val="75000"/>
            </a:schemeClr>
          </a:solidFill>
          <a:prstDash val="solid"/>
          <a:round/>
          <a:headEnd type="oval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1200" b="1" i="0" u="none" strike="noStrike" cap="none" normalizeH="0" baseline="0" dirty="0" smtClean="0">
            <a:ln>
              <a:noFill/>
            </a:ln>
            <a:solidFill>
              <a:schemeClr val="tx1"/>
            </a:solidFill>
            <a:effectLst/>
            <a:latin typeface="Generis Sans Com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hlink"/>
        </a:solidFill>
        <a:ln w="12700" cap="flat" cmpd="sng" algn="ctr">
          <a:solidFill>
            <a:schemeClr val="hlink"/>
          </a:solidFill>
          <a:prstDash val="solid"/>
          <a:round/>
          <a:headEnd type="oval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12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Generis Sans Com" pitchFamily="34" charset="0"/>
          </a:defRPr>
        </a:defPPr>
      </a:lstStyle>
    </a:lnDef>
  </a:objectDefaults>
  <a:extraClrSchemeLst>
    <a:extraClrScheme>
      <a:clrScheme name="Custom Desig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CC3300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E2ADAA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Custom Design 1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008000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007300"/>
        </a:accent6>
        <a:hlink>
          <a:srgbClr val="F8C807"/>
        </a:hlink>
        <a:folHlink>
          <a:srgbClr val="CC0099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4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FF33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E72D"/>
        </a:accent6>
        <a:hlink>
          <a:srgbClr val="F8C807"/>
        </a:hlink>
        <a:folHlink>
          <a:srgbClr val="CC0099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FF33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E72D"/>
        </a:accent6>
        <a:hlink>
          <a:srgbClr val="F8C807"/>
        </a:hlink>
        <a:folHlink>
          <a:srgbClr val="86ADBC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Custom Design 1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AEEF"/>
        </a:accent1>
        <a:accent2>
          <a:srgbClr val="99CC00"/>
        </a:accent2>
        <a:accent3>
          <a:srgbClr val="FFFFFF"/>
        </a:accent3>
        <a:accent4>
          <a:srgbClr val="000000"/>
        </a:accent4>
        <a:accent5>
          <a:srgbClr val="AAD3F6"/>
        </a:accent5>
        <a:accent6>
          <a:srgbClr val="8AB900"/>
        </a:accent6>
        <a:hlink>
          <a:srgbClr val="F8C807"/>
        </a:hlink>
        <a:folHlink>
          <a:srgbClr val="86ADBC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B4"/>
  <sheetViews>
    <sheetView zoomScaleNormal="100" workbookViewId="0"/>
  </sheetViews>
  <sheetFormatPr defaultRowHeight="12.75" x14ac:dyDescent="0.2"/>
  <sheetData>
    <row r="1" spans="1:2" x14ac:dyDescent="0.2">
      <c r="A1" s="1"/>
      <c r="B1" s="2" t="s">
        <v>0</v>
      </c>
    </row>
    <row r="2" spans="1:2" x14ac:dyDescent="0.2"/>
    <row r="3" spans="1:2" x14ac:dyDescent="0.2"/>
    <row r="4" spans="1:2" x14ac:dyDescent="0.2"/>
  </sheetData>
  <phoneticPr fontId="3" type="noConversion"/>
  <pageMargins left="0.7" right="0.7" top="0.75" bottom="0.75" header="0.3" footer="0.3"/>
  <pageSetup paperSize="8" orientation="landscape" horizontalDpi="300" verticalDpi="300" r:id="rId1"/>
  <headerFooter>
    <oddFooter>&amp;RPowered by FactSet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AQ75"/>
  <sheetViews>
    <sheetView showGridLines="0" tabSelected="1" zoomScaleNormal="100" workbookViewId="0">
      <pane ySplit="1" topLeftCell="A2" activePane="bottomLeft" state="frozen"/>
      <selection pane="bottomLeft" activeCell="F51" sqref="F51"/>
    </sheetView>
  </sheetViews>
  <sheetFormatPr defaultRowHeight="16.5" x14ac:dyDescent="0.35"/>
  <cols>
    <col min="1" max="1" width="14.5703125" style="3" customWidth="1"/>
    <col min="2" max="2" width="5.140625" style="3" customWidth="1"/>
    <col min="3" max="3" width="2.5703125" style="3" customWidth="1"/>
    <col min="4" max="4" width="1.5703125" style="3" customWidth="1"/>
    <col min="5" max="5" width="10.7109375" style="3" customWidth="1"/>
    <col min="6" max="6" width="13.140625" style="3" bestFit="1" customWidth="1"/>
    <col min="7" max="7" width="10.7109375" style="3" customWidth="1"/>
    <col min="8" max="8" width="13.7109375" style="3" customWidth="1"/>
    <col min="9" max="10" width="9.140625" style="3"/>
    <col min="11" max="11" width="2" style="3" customWidth="1"/>
    <col min="12" max="12" width="1.7109375" style="3" customWidth="1"/>
    <col min="13" max="13" width="1.42578125" style="3" customWidth="1"/>
    <col min="14" max="16" width="9.140625" style="3"/>
    <col min="17" max="17" width="1.42578125" style="3" customWidth="1"/>
    <col min="18" max="20" width="9.140625" style="3"/>
    <col min="21" max="21" width="9.42578125" style="3" bestFit="1" customWidth="1"/>
    <col min="22" max="24" width="1.42578125" style="3" customWidth="1"/>
    <col min="25" max="31" width="9.140625" style="3"/>
    <col min="32" max="32" width="1.42578125" style="3" customWidth="1"/>
    <col min="33" max="33" width="2.5703125" style="3" customWidth="1"/>
    <col min="34" max="16384" width="9.140625" style="3"/>
  </cols>
  <sheetData>
    <row r="1" spans="1:33" ht="27.75" customHeight="1" x14ac:dyDescent="0.35">
      <c r="A1" s="18" t="s">
        <v>6</v>
      </c>
      <c r="C1" s="19"/>
      <c r="D1" s="19"/>
      <c r="E1" s="19"/>
      <c r="F1" s="48" t="s">
        <v>10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19"/>
      <c r="AE1" s="19"/>
      <c r="AF1" s="19"/>
      <c r="AG1" s="19"/>
    </row>
    <row r="2" spans="1:33" ht="12.75" customHeight="1" x14ac:dyDescent="0.3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20.25" customHeight="1" x14ac:dyDescent="0.35">
      <c r="C3" s="7"/>
      <c r="D3" s="7"/>
      <c r="E3" s="20" t="s">
        <v>11</v>
      </c>
      <c r="F3" s="43">
        <f ca="1">[1]!TDaysOffset(TODAY(),"Offset=-1")</f>
        <v>45385</v>
      </c>
      <c r="G3" s="20" t="s">
        <v>12</v>
      </c>
      <c r="H3" s="44" t="str">
        <f>[1]!s_info_code(A1)</f>
        <v>IF2404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5.0999999999999996" customHeight="1" x14ac:dyDescent="0.3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2.75" customHeight="1" x14ac:dyDescent="0.35">
      <c r="C5" s="7"/>
      <c r="D5" s="21"/>
      <c r="E5" s="21"/>
      <c r="F5" s="21"/>
      <c r="G5" s="21"/>
      <c r="H5" s="21"/>
      <c r="I5" s="21"/>
      <c r="J5" s="21"/>
      <c r="K5" s="21"/>
      <c r="L5" s="7"/>
      <c r="M5" s="21"/>
      <c r="N5" s="21"/>
      <c r="O5" s="21"/>
      <c r="P5" s="21"/>
      <c r="Q5" s="21"/>
      <c r="R5" s="21"/>
      <c r="S5" s="21"/>
      <c r="T5" s="21"/>
      <c r="U5" s="21"/>
      <c r="V5" s="21"/>
      <c r="W5" s="7"/>
      <c r="X5" s="21"/>
      <c r="Y5" s="21"/>
      <c r="Z5" s="21"/>
      <c r="AA5" s="21"/>
      <c r="AB5" s="21"/>
      <c r="AC5" s="21"/>
      <c r="AD5" s="21"/>
      <c r="AE5" s="21"/>
      <c r="AF5" s="21"/>
      <c r="AG5" s="7"/>
    </row>
    <row r="6" spans="1:33" ht="22.5" customHeight="1" x14ac:dyDescent="0.35">
      <c r="C6" s="7"/>
      <c r="D6" s="5"/>
      <c r="E6" s="5" t="s">
        <v>7</v>
      </c>
      <c r="F6" s="22"/>
      <c r="G6" s="22"/>
      <c r="H6" s="22"/>
      <c r="I6" s="22"/>
      <c r="J6" s="22"/>
      <c r="K6" s="21"/>
      <c r="L6" s="7"/>
      <c r="M6" s="5"/>
      <c r="N6" s="5" t="s">
        <v>8</v>
      </c>
      <c r="O6" s="22"/>
      <c r="P6" s="22"/>
      <c r="Q6" s="22"/>
      <c r="R6" s="22"/>
      <c r="S6" s="22"/>
      <c r="T6" s="22"/>
      <c r="U6" s="22"/>
      <c r="V6" s="23"/>
      <c r="W6" s="7"/>
      <c r="X6" s="5"/>
      <c r="Y6" s="5" t="s">
        <v>9</v>
      </c>
      <c r="Z6" s="22"/>
      <c r="AA6" s="22"/>
      <c r="AB6" s="22"/>
      <c r="AC6" s="22"/>
      <c r="AD6" s="22"/>
      <c r="AE6" s="22"/>
      <c r="AF6" s="23"/>
      <c r="AG6" s="7"/>
    </row>
    <row r="7" spans="1:33" ht="12.75" customHeight="1" x14ac:dyDescent="0.35">
      <c r="C7" s="7"/>
      <c r="D7" s="21"/>
      <c r="E7" s="21"/>
      <c r="F7" s="21"/>
      <c r="G7" s="21"/>
      <c r="H7" s="21"/>
      <c r="I7" s="21"/>
      <c r="J7" s="21"/>
      <c r="K7" s="21"/>
      <c r="L7" s="7"/>
      <c r="M7" s="21"/>
      <c r="N7" s="21"/>
      <c r="O7" s="21"/>
      <c r="P7" s="21"/>
      <c r="Q7" s="21"/>
      <c r="R7" s="21"/>
      <c r="S7" s="21"/>
      <c r="T7" s="21"/>
      <c r="U7" s="21"/>
      <c r="V7" s="21"/>
      <c r="W7" s="7"/>
      <c r="X7" s="21"/>
      <c r="Y7" s="21"/>
      <c r="Z7" s="21"/>
      <c r="AA7" s="21"/>
      <c r="AB7" s="21"/>
      <c r="AC7" s="21"/>
      <c r="AD7" s="21"/>
      <c r="AE7" s="21"/>
      <c r="AF7" s="21"/>
      <c r="AG7" s="7"/>
    </row>
    <row r="8" spans="1:33" ht="12.75" customHeight="1" x14ac:dyDescent="0.35">
      <c r="C8" s="7"/>
      <c r="D8" s="24"/>
      <c r="E8" s="24"/>
      <c r="F8" s="24"/>
      <c r="G8" s="24"/>
      <c r="H8" s="24"/>
      <c r="I8" s="24"/>
      <c r="J8" s="24"/>
      <c r="K8" s="21"/>
      <c r="L8" s="7"/>
      <c r="M8" s="24"/>
      <c r="N8" s="24"/>
      <c r="O8" s="24"/>
      <c r="P8" s="24"/>
      <c r="Q8" s="24"/>
      <c r="R8" s="24"/>
      <c r="S8" s="24"/>
      <c r="T8" s="24"/>
      <c r="U8" s="21"/>
      <c r="V8" s="21"/>
      <c r="W8" s="7"/>
      <c r="X8" s="24"/>
      <c r="Y8" s="24"/>
      <c r="Z8" s="24"/>
      <c r="AA8" s="24"/>
      <c r="AB8" s="24"/>
      <c r="AC8" s="24"/>
      <c r="AD8" s="24"/>
      <c r="AE8" s="24"/>
      <c r="AF8" s="24"/>
      <c r="AG8" s="7"/>
    </row>
    <row r="9" spans="1:33" ht="12.75" customHeight="1" x14ac:dyDescent="0.35">
      <c r="C9" s="7"/>
      <c r="D9" s="21"/>
      <c r="E9" s="21"/>
      <c r="F9" s="21"/>
      <c r="G9" s="21"/>
      <c r="H9" s="21"/>
      <c r="I9" s="21"/>
      <c r="J9" s="21"/>
      <c r="K9" s="21"/>
      <c r="L9" s="7"/>
      <c r="M9" s="21"/>
      <c r="N9" s="21"/>
      <c r="O9" s="21"/>
      <c r="P9" s="21"/>
      <c r="Q9" s="21"/>
      <c r="R9" s="21"/>
      <c r="S9" s="21"/>
      <c r="T9" s="21"/>
      <c r="U9" s="21"/>
      <c r="V9" s="21"/>
      <c r="W9" s="7"/>
      <c r="X9" s="21"/>
      <c r="Y9" s="21"/>
      <c r="Z9" s="21"/>
      <c r="AA9" s="21"/>
      <c r="AB9" s="21"/>
      <c r="AC9" s="21"/>
      <c r="AD9" s="21"/>
      <c r="AE9" s="21"/>
      <c r="AF9" s="21"/>
      <c r="AG9" s="7"/>
    </row>
    <row r="10" spans="1:33" ht="12.75" customHeight="1" x14ac:dyDescent="0.35">
      <c r="C10" s="7"/>
      <c r="D10" s="21"/>
      <c r="E10" s="21"/>
      <c r="F10" s="21"/>
      <c r="G10" s="21"/>
      <c r="H10" s="21"/>
      <c r="I10" s="21"/>
      <c r="J10" s="21"/>
      <c r="K10" s="21"/>
      <c r="L10" s="7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7"/>
      <c r="X10" s="21"/>
      <c r="Y10" s="21"/>
      <c r="Z10" s="21"/>
      <c r="AA10" s="21"/>
      <c r="AB10" s="21"/>
      <c r="AC10" s="21"/>
      <c r="AD10" s="21"/>
      <c r="AE10" s="21"/>
      <c r="AF10" s="21"/>
      <c r="AG10" s="7"/>
    </row>
    <row r="11" spans="1:33" ht="12.75" customHeight="1" x14ac:dyDescent="0.35">
      <c r="C11" s="7"/>
      <c r="D11" s="21"/>
      <c r="E11" s="21"/>
      <c r="F11" s="21"/>
      <c r="G11" s="21"/>
      <c r="H11" s="21"/>
      <c r="I11" s="21"/>
      <c r="J11" s="21"/>
      <c r="K11" s="21"/>
      <c r="L11" s="7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7"/>
      <c r="X11" s="21"/>
      <c r="Y11" s="21"/>
      <c r="Z11" s="21"/>
      <c r="AA11" s="21"/>
      <c r="AB11" s="21"/>
      <c r="AC11" s="21"/>
      <c r="AD11" s="21"/>
      <c r="AE11" s="21"/>
      <c r="AF11" s="21"/>
      <c r="AG11" s="7"/>
    </row>
    <row r="12" spans="1:33" ht="12.75" customHeight="1" x14ac:dyDescent="0.35">
      <c r="C12" s="7"/>
      <c r="D12" s="21"/>
      <c r="E12" s="21"/>
      <c r="F12" s="21"/>
      <c r="G12" s="21"/>
      <c r="H12" s="21"/>
      <c r="I12" s="21"/>
      <c r="J12" s="21"/>
      <c r="K12" s="21"/>
      <c r="L12" s="7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7"/>
      <c r="X12" s="21"/>
      <c r="Y12" s="21"/>
      <c r="Z12" s="21"/>
      <c r="AA12" s="21"/>
      <c r="AB12" s="21"/>
      <c r="AC12" s="21"/>
      <c r="AD12" s="21"/>
      <c r="AE12" s="21"/>
      <c r="AF12" s="21"/>
      <c r="AG12" s="7"/>
    </row>
    <row r="13" spans="1:33" ht="12.75" customHeight="1" x14ac:dyDescent="0.35">
      <c r="C13" s="7"/>
      <c r="D13" s="21"/>
      <c r="E13" s="21"/>
      <c r="F13" s="21"/>
      <c r="G13" s="21"/>
      <c r="H13" s="21"/>
      <c r="I13" s="21"/>
      <c r="J13" s="21"/>
      <c r="K13" s="21"/>
      <c r="L13" s="7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7"/>
      <c r="X13" s="21"/>
      <c r="Y13" s="21"/>
      <c r="Z13" s="21"/>
      <c r="AA13" s="21"/>
      <c r="AB13" s="21"/>
      <c r="AC13" s="21"/>
      <c r="AD13" s="21"/>
      <c r="AE13" s="21"/>
      <c r="AF13" s="21"/>
      <c r="AG13" s="7"/>
    </row>
    <row r="14" spans="1:33" ht="12.75" customHeight="1" x14ac:dyDescent="0.35">
      <c r="C14" s="7"/>
      <c r="D14" s="21"/>
      <c r="E14" s="21"/>
      <c r="F14" s="21"/>
      <c r="G14" s="21"/>
      <c r="H14" s="21"/>
      <c r="I14" s="21"/>
      <c r="J14" s="21"/>
      <c r="K14" s="21"/>
      <c r="L14" s="7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7"/>
      <c r="X14" s="21"/>
      <c r="Y14" s="21"/>
      <c r="Z14" s="21"/>
      <c r="AA14" s="21"/>
      <c r="AB14" s="21"/>
      <c r="AC14" s="21"/>
      <c r="AD14" s="21"/>
      <c r="AE14" s="21"/>
      <c r="AF14" s="21"/>
      <c r="AG14" s="7"/>
    </row>
    <row r="15" spans="1:33" ht="12.75" customHeight="1" x14ac:dyDescent="0.35">
      <c r="C15" s="7"/>
      <c r="D15" s="21"/>
      <c r="E15" s="21"/>
      <c r="F15" s="21"/>
      <c r="G15" s="21"/>
      <c r="H15" s="21"/>
      <c r="I15" s="21"/>
      <c r="J15" s="21"/>
      <c r="K15" s="21"/>
      <c r="L15" s="7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7"/>
      <c r="X15" s="21"/>
      <c r="Y15" s="21"/>
      <c r="Z15" s="21"/>
      <c r="AA15" s="21"/>
      <c r="AB15" s="21"/>
      <c r="AC15" s="21"/>
      <c r="AD15" s="21"/>
      <c r="AE15" s="21"/>
      <c r="AF15" s="21"/>
      <c r="AG15" s="7"/>
    </row>
    <row r="16" spans="1:33" ht="12.75" customHeight="1" x14ac:dyDescent="0.35">
      <c r="C16" s="7"/>
      <c r="D16" s="21"/>
      <c r="E16" s="21"/>
      <c r="F16" s="21"/>
      <c r="G16" s="21"/>
      <c r="H16" s="21"/>
      <c r="I16" s="21"/>
      <c r="J16" s="21"/>
      <c r="K16" s="21"/>
      <c r="L16" s="7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7"/>
      <c r="X16" s="21"/>
      <c r="Y16" s="21"/>
      <c r="Z16" s="21"/>
      <c r="AA16" s="21"/>
      <c r="AB16" s="21"/>
      <c r="AC16" s="21"/>
      <c r="AD16" s="21"/>
      <c r="AE16" s="21"/>
      <c r="AF16" s="21"/>
      <c r="AG16" s="7"/>
    </row>
    <row r="17" spans="3:43" ht="12.75" customHeight="1" x14ac:dyDescent="0.35">
      <c r="C17" s="7"/>
      <c r="D17" s="21"/>
      <c r="E17" s="21"/>
      <c r="F17" s="21"/>
      <c r="G17" s="21"/>
      <c r="H17" s="21"/>
      <c r="I17" s="21"/>
      <c r="J17" s="21"/>
      <c r="K17" s="21"/>
      <c r="L17" s="7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7"/>
      <c r="X17" s="21"/>
      <c r="Y17" s="21"/>
      <c r="Z17" s="21"/>
      <c r="AA17" s="21"/>
      <c r="AB17" s="21"/>
      <c r="AC17" s="21"/>
      <c r="AD17" s="21"/>
      <c r="AE17" s="21"/>
      <c r="AF17" s="21"/>
      <c r="AG17" s="7"/>
    </row>
    <row r="18" spans="3:43" ht="12.75" customHeight="1" x14ac:dyDescent="0.35">
      <c r="C18" s="7"/>
      <c r="D18" s="21"/>
      <c r="E18" s="21"/>
      <c r="F18" s="21"/>
      <c r="G18" s="21"/>
      <c r="H18" s="21"/>
      <c r="I18" s="21"/>
      <c r="J18" s="21"/>
      <c r="K18" s="21"/>
      <c r="L18" s="7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7"/>
      <c r="X18" s="21"/>
      <c r="Y18" s="21"/>
      <c r="Z18" s="21"/>
      <c r="AA18" s="21"/>
      <c r="AB18" s="21"/>
      <c r="AC18" s="21"/>
      <c r="AD18" s="21"/>
      <c r="AE18" s="21"/>
      <c r="AF18" s="21"/>
      <c r="AG18" s="7"/>
    </row>
    <row r="19" spans="3:43" ht="12.75" customHeight="1" x14ac:dyDescent="0.35">
      <c r="C19" s="7"/>
      <c r="D19" s="21"/>
      <c r="E19" s="21"/>
      <c r="F19" s="21"/>
      <c r="G19" s="21"/>
      <c r="H19" s="21"/>
      <c r="I19" s="21"/>
      <c r="J19" s="21"/>
      <c r="K19" s="21"/>
      <c r="L19" s="7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7"/>
      <c r="X19" s="21"/>
      <c r="Y19" s="21"/>
      <c r="Z19" s="21"/>
      <c r="AA19" s="21"/>
      <c r="AB19" s="21"/>
      <c r="AC19" s="21"/>
      <c r="AD19" s="21"/>
      <c r="AE19" s="21"/>
      <c r="AF19" s="21"/>
      <c r="AG19" s="7"/>
    </row>
    <row r="20" spans="3:43" ht="12.75" customHeight="1" x14ac:dyDescent="0.35">
      <c r="C20" s="7"/>
      <c r="D20" s="21"/>
      <c r="E20" s="21"/>
      <c r="F20" s="21"/>
      <c r="G20" s="21"/>
      <c r="H20" s="21"/>
      <c r="I20" s="21"/>
      <c r="J20" s="21"/>
      <c r="K20" s="21"/>
      <c r="L20" s="7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7"/>
      <c r="X20" s="21"/>
      <c r="Y20" s="21"/>
      <c r="Z20" s="21"/>
      <c r="AA20" s="21"/>
      <c r="AB20" s="21"/>
      <c r="AC20" s="21"/>
      <c r="AD20" s="21"/>
      <c r="AE20" s="21"/>
      <c r="AF20" s="21"/>
      <c r="AG20" s="7"/>
    </row>
    <row r="21" spans="3:43" x14ac:dyDescent="0.3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3:43" x14ac:dyDescent="0.35">
      <c r="C22" s="7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7"/>
      <c r="AH22" s="18">
        <v>12.75</v>
      </c>
      <c r="AI22" s="18"/>
      <c r="AJ22" s="18"/>
    </row>
    <row r="23" spans="3:43" ht="22.5" customHeight="1" x14ac:dyDescent="0.35">
      <c r="C23" s="7"/>
      <c r="D23" s="21"/>
      <c r="E23" s="5" t="s">
        <v>13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7"/>
      <c r="AH23" s="18">
        <v>22.5</v>
      </c>
      <c r="AI23" s="18"/>
      <c r="AJ23" s="18"/>
    </row>
    <row r="24" spans="3:43" ht="18.75" customHeight="1" x14ac:dyDescent="0.35">
      <c r="C24" s="7"/>
      <c r="D24" s="21"/>
      <c r="E24" s="4"/>
      <c r="F24" s="6"/>
      <c r="G24" s="50" t="s">
        <v>14</v>
      </c>
      <c r="H24" s="50"/>
      <c r="I24" s="50"/>
      <c r="J24" s="50"/>
      <c r="K24" s="50"/>
      <c r="L24" s="50"/>
      <c r="M24" s="6"/>
      <c r="N24" s="6"/>
      <c r="O24" s="6"/>
      <c r="P24" s="6"/>
      <c r="Q24" s="6"/>
      <c r="R24" s="6" t="s">
        <v>1</v>
      </c>
      <c r="S24" s="6"/>
      <c r="T24" s="6"/>
      <c r="U24" s="12"/>
      <c r="V24" s="12"/>
      <c r="W24" s="12"/>
      <c r="X24" s="12"/>
      <c r="Y24" s="12"/>
      <c r="Z24" s="49" t="s">
        <v>15</v>
      </c>
      <c r="AA24" s="49"/>
      <c r="AB24" s="49"/>
      <c r="AC24" s="49"/>
      <c r="AD24" s="49"/>
      <c r="AE24" s="49"/>
      <c r="AF24" s="6"/>
      <c r="AG24" s="7"/>
      <c r="AH24" s="18"/>
      <c r="AI24" s="18"/>
      <c r="AJ24" s="18"/>
    </row>
    <row r="25" spans="3:43" ht="16.5" customHeight="1" x14ac:dyDescent="0.35">
      <c r="C25" s="7"/>
      <c r="D25" s="21"/>
      <c r="E25" s="51" t="s">
        <v>2</v>
      </c>
      <c r="F25" s="51"/>
      <c r="H25" s="13" t="s">
        <v>3</v>
      </c>
      <c r="I25" s="13"/>
      <c r="J25" s="13" t="s">
        <v>4</v>
      </c>
      <c r="O25" s="13"/>
      <c r="P25" s="15" t="s">
        <v>3</v>
      </c>
      <c r="Q25" s="13"/>
      <c r="R25" s="13"/>
      <c r="S25" s="13"/>
      <c r="T25" s="13" t="s">
        <v>5</v>
      </c>
      <c r="U25" s="14"/>
      <c r="V25" s="14"/>
      <c r="W25" s="14"/>
      <c r="X25" s="14"/>
      <c r="Y25" s="14"/>
      <c r="Z25" s="52" t="s">
        <v>16</v>
      </c>
      <c r="AA25" s="52"/>
      <c r="AB25" s="53" t="s">
        <v>17</v>
      </c>
      <c r="AC25" s="53"/>
      <c r="AD25" s="54"/>
      <c r="AE25" s="54"/>
      <c r="AF25" s="21"/>
      <c r="AG25" s="7"/>
      <c r="AH25" s="25"/>
      <c r="AI25" s="25"/>
      <c r="AJ25" s="25"/>
      <c r="AK25" s="25"/>
      <c r="AL25" s="25"/>
      <c r="AM25" s="25"/>
      <c r="AN25" s="25"/>
      <c r="AO25" s="25"/>
    </row>
    <row r="26" spans="3:43" ht="16.5" customHeight="1" x14ac:dyDescent="0.35">
      <c r="C26" s="7"/>
      <c r="D26" s="21"/>
      <c r="E26" s="47">
        <v>1</v>
      </c>
      <c r="F26" s="47"/>
      <c r="G26" s="26"/>
      <c r="H26" s="16" t="str">
        <f ca="1">[1]!FS_OI_VNAME($H$3,$F$3,1)</f>
        <v>中信期货</v>
      </c>
      <c r="I26" s="27"/>
      <c r="J26" s="41">
        <f ca="1">[1]!s_oi_volume($H$3,$F$3,1)</f>
        <v>12722</v>
      </c>
      <c r="K26" s="40"/>
      <c r="L26" s="26"/>
      <c r="M26" s="26"/>
      <c r="N26" s="26"/>
      <c r="O26" s="26"/>
      <c r="P26" s="10" t="str">
        <f ca="1">[1]!FS_OI_LNAME($H$3,$F$3,$E26)</f>
        <v>国泰君安</v>
      </c>
      <c r="Q26" s="27"/>
      <c r="R26" s="26"/>
      <c r="S26" s="26"/>
      <c r="T26" s="41">
        <f ca="1">[1]!FS_OI_LOI($H$3,$F$3,$E26)</f>
        <v>10409</v>
      </c>
      <c r="U26" s="26"/>
      <c r="V26" s="26"/>
      <c r="W26" s="26"/>
      <c r="X26" s="26"/>
      <c r="Y26" s="26"/>
      <c r="Z26" s="8" t="str">
        <f ca="1">[1]!FS_OI_SNAME($H$3,$F$3,$E26)</f>
        <v>中信期货</v>
      </c>
      <c r="AA26" s="26"/>
      <c r="AB26" s="26"/>
      <c r="AC26" s="41">
        <f ca="1">[1]!FS_OI_SOI($H$3,$F$3,$E26)</f>
        <v>12872</v>
      </c>
      <c r="AD26" s="28"/>
      <c r="AE26" s="28"/>
      <c r="AF26" s="21"/>
      <c r="AG26" s="7"/>
      <c r="AH26" s="29">
        <f ca="1">RANK($AI$26:$AI$45,$AI$26:$AI$45,0)</f>
        <v>2</v>
      </c>
      <c r="AI26" s="30">
        <f t="shared" ref="AI26:AI45" ca="1" si="0">T26-IF(ISERROR(VLOOKUP(P26,$Z$26:$AC$45,4,FALSE)),0,VLOOKUP(P26,$Z$26:$AC$45,4,FALSE))+ROW()/1000000</f>
        <v>2520.0000260000002</v>
      </c>
      <c r="AJ26" s="30" t="str">
        <f t="shared" ref="AJ26:AJ45" ca="1" si="1">P26</f>
        <v>国泰君安</v>
      </c>
      <c r="AK26" s="29">
        <f ca="1">RANK($AL$26:$AL$45,$AL$26:$AL$45,0)</f>
        <v>2</v>
      </c>
      <c r="AL26" s="30">
        <f t="shared" ref="AL26:AL45" ca="1" si="2">AC26-IF(ISERROR(VLOOKUP(Z26,$P$26:$T$45,5,FALSE)),0,VLOOKUP(Z26,$P$26:$T$45,5,FALSE))+ROW()/1000000</f>
        <v>3558.0000260000002</v>
      </c>
      <c r="AM26" s="30" t="str">
        <f t="shared" ref="AM26:AM45" ca="1" si="3">Z26</f>
        <v>中信期货</v>
      </c>
      <c r="AN26" s="29"/>
      <c r="AO26" s="29"/>
      <c r="AP26" s="31"/>
      <c r="AQ26" s="31"/>
    </row>
    <row r="27" spans="3:43" ht="16.5" customHeight="1" x14ac:dyDescent="0.35">
      <c r="C27" s="7"/>
      <c r="D27" s="21"/>
      <c r="E27" s="46">
        <v>2</v>
      </c>
      <c r="F27" s="46"/>
      <c r="G27" s="32"/>
      <c r="H27" s="17" t="str">
        <f ca="1">[1]!FS_OI_VNAME($H$3,$F$3,2)</f>
        <v>国泰君安</v>
      </c>
      <c r="I27" s="33"/>
      <c r="J27" s="42">
        <f ca="1">[1]!s_oi_volume($H$3,$F$3,2)</f>
        <v>11732</v>
      </c>
      <c r="K27" s="32"/>
      <c r="L27" s="32"/>
      <c r="M27" s="32"/>
      <c r="N27" s="32"/>
      <c r="O27" s="32"/>
      <c r="P27" s="11" t="str">
        <f ca="1">[1]!FS_OI_LNAME($H$3,$F$3,$E27)</f>
        <v>中信期货</v>
      </c>
      <c r="Q27" s="33"/>
      <c r="R27" s="32"/>
      <c r="S27" s="32"/>
      <c r="T27" s="42">
        <f ca="1">[1]!FS_OI_LOI($H$3,$F$3,$E27)</f>
        <v>9314</v>
      </c>
      <c r="U27" s="32"/>
      <c r="V27" s="32"/>
      <c r="W27" s="32"/>
      <c r="X27" s="32"/>
      <c r="Y27" s="32"/>
      <c r="Z27" s="9" t="str">
        <f ca="1">[1]!FS_OI_SNAME($H$3,$F$3,$E27)</f>
        <v>国泰君安</v>
      </c>
      <c r="AA27" s="32"/>
      <c r="AB27" s="32"/>
      <c r="AC27" s="42">
        <f ca="1">[1]!FS_OI_SOI($H$3,$F$3,$E27)</f>
        <v>7889</v>
      </c>
      <c r="AD27" s="34"/>
      <c r="AE27" s="34"/>
      <c r="AF27" s="21"/>
      <c r="AG27" s="7"/>
      <c r="AH27" s="29">
        <f ca="1">RANK($AI$26:$AI$45,$AI$26:$AI$45,0)</f>
        <v>19</v>
      </c>
      <c r="AI27" s="30">
        <f t="shared" ca="1" si="0"/>
        <v>-3557.999973</v>
      </c>
      <c r="AJ27" s="30" t="str">
        <f t="shared" ca="1" si="1"/>
        <v>中信期货</v>
      </c>
      <c r="AK27" s="29">
        <f t="shared" ref="AK27:AK45" ca="1" si="4">RANK($AL$26:$AL$45,$AL$26:$AL$45,0)</f>
        <v>20</v>
      </c>
      <c r="AL27" s="30">
        <f t="shared" ca="1" si="2"/>
        <v>-2519.999973</v>
      </c>
      <c r="AM27" s="30" t="str">
        <f t="shared" ca="1" si="3"/>
        <v>国泰君安</v>
      </c>
      <c r="AN27" s="29"/>
      <c r="AO27" s="29"/>
      <c r="AP27" s="31"/>
      <c r="AQ27" s="31"/>
    </row>
    <row r="28" spans="3:43" ht="16.5" customHeight="1" x14ac:dyDescent="0.35">
      <c r="C28" s="7"/>
      <c r="D28" s="21"/>
      <c r="E28" s="47">
        <v>3</v>
      </c>
      <c r="F28" s="47"/>
      <c r="G28" s="26"/>
      <c r="H28" s="16" t="str">
        <f ca="1">[1]!FS_OI_VNAME($H$3,$F$3,3)</f>
        <v>东证期货</v>
      </c>
      <c r="I28" s="27"/>
      <c r="J28" s="41">
        <f ca="1">[1]!s_oi_volume($H$3,$F$3,3)</f>
        <v>5098</v>
      </c>
      <c r="K28" s="26"/>
      <c r="L28" s="26"/>
      <c r="M28" s="26"/>
      <c r="N28" s="26"/>
      <c r="O28" s="26"/>
      <c r="P28" s="10" t="str">
        <f ca="1">[1]!FS_OI_LNAME($H$3,$F$3,$E28)</f>
        <v>海通期货</v>
      </c>
      <c r="Q28" s="27"/>
      <c r="R28" s="26"/>
      <c r="S28" s="26"/>
      <c r="T28" s="41">
        <f ca="1">[1]!FS_OI_LOI($H$3,$F$3,$E28)</f>
        <v>7301</v>
      </c>
      <c r="U28" s="26"/>
      <c r="V28" s="26"/>
      <c r="W28" s="26"/>
      <c r="X28" s="26"/>
      <c r="Y28" s="26"/>
      <c r="Z28" s="8" t="str">
        <f ca="1">[1]!FS_OI_SNAME($H$3,$F$3,$E28)</f>
        <v>华泰期货</v>
      </c>
      <c r="AA28" s="26"/>
      <c r="AB28" s="26"/>
      <c r="AC28" s="41">
        <f ca="1">[1]!FS_OI_SOI($H$3,$F$3,$E28)</f>
        <v>6381</v>
      </c>
      <c r="AD28" s="28"/>
      <c r="AE28" s="28"/>
      <c r="AF28" s="21"/>
      <c r="AG28" s="7"/>
      <c r="AH28" s="29">
        <f ca="1">RANK($AI$26:$AI$45,$AI$26:$AI$45,0)</f>
        <v>3</v>
      </c>
      <c r="AI28" s="30">
        <f t="shared" ca="1" si="0"/>
        <v>2306.0000279999999</v>
      </c>
      <c r="AJ28" s="30" t="str">
        <f t="shared" ca="1" si="1"/>
        <v>海通期货</v>
      </c>
      <c r="AK28" s="29">
        <f t="shared" ca="1" si="4"/>
        <v>1</v>
      </c>
      <c r="AL28" s="30">
        <f t="shared" ca="1" si="2"/>
        <v>4149.0000280000004</v>
      </c>
      <c r="AM28" s="30" t="str">
        <f t="shared" ca="1" si="3"/>
        <v>华泰期货</v>
      </c>
      <c r="AN28" s="29"/>
      <c r="AO28" s="29"/>
      <c r="AP28" s="31"/>
      <c r="AQ28" s="31"/>
    </row>
    <row r="29" spans="3:43" ht="16.5" customHeight="1" x14ac:dyDescent="0.35">
      <c r="C29" s="7"/>
      <c r="D29" s="21"/>
      <c r="E29" s="46">
        <v>4</v>
      </c>
      <c r="F29" s="46"/>
      <c r="G29" s="32"/>
      <c r="H29" s="17" t="str">
        <f ca="1">[1]!FS_OI_VNAME($H$3,$F$3,4)</f>
        <v>海通期货</v>
      </c>
      <c r="I29" s="33"/>
      <c r="J29" s="42">
        <f ca="1">[1]!s_oi_volume($H$3,$F$3,4)</f>
        <v>4410</v>
      </c>
      <c r="K29" s="32"/>
      <c r="L29" s="32"/>
      <c r="M29" s="32"/>
      <c r="N29" s="32"/>
      <c r="O29" s="32"/>
      <c r="P29" s="11" t="str">
        <f ca="1">[1]!FS_OI_LNAME($H$3,$F$3,$E29)</f>
        <v>瑞银期货</v>
      </c>
      <c r="Q29" s="33"/>
      <c r="R29" s="32"/>
      <c r="S29" s="32"/>
      <c r="T29" s="42">
        <f ca="1">[1]!FS_OI_LOI($H$3,$F$3,$E29)</f>
        <v>6413</v>
      </c>
      <c r="U29" s="32"/>
      <c r="V29" s="32"/>
      <c r="W29" s="32"/>
      <c r="X29" s="32"/>
      <c r="Y29" s="32"/>
      <c r="Z29" s="9" t="str">
        <f ca="1">[1]!FS_OI_SNAME($H$3,$F$3,$E29)</f>
        <v>国信期货</v>
      </c>
      <c r="AA29" s="32"/>
      <c r="AB29" s="32"/>
      <c r="AC29" s="42">
        <f ca="1">[1]!FS_OI_SOI($H$3,$F$3,$E29)</f>
        <v>5075</v>
      </c>
      <c r="AD29" s="34"/>
      <c r="AE29" s="34"/>
      <c r="AF29" s="21"/>
      <c r="AG29" s="7"/>
      <c r="AH29" s="29">
        <f t="shared" ref="AH29:AH45" ca="1" si="5">RANK($AI$26:$AI$45,$AI$26:$AI$45,0)</f>
        <v>1</v>
      </c>
      <c r="AI29" s="30">
        <f t="shared" ca="1" si="0"/>
        <v>6413.0000289999998</v>
      </c>
      <c r="AJ29" s="30" t="str">
        <f t="shared" ca="1" si="1"/>
        <v>瑞银期货</v>
      </c>
      <c r="AK29" s="29">
        <f t="shared" ca="1" si="4"/>
        <v>3</v>
      </c>
      <c r="AL29" s="30">
        <f t="shared" ca="1" si="2"/>
        <v>3290.0000289999998</v>
      </c>
      <c r="AM29" s="30" t="str">
        <f t="shared" ca="1" si="3"/>
        <v>国信期货</v>
      </c>
      <c r="AN29" s="29"/>
      <c r="AO29" s="29"/>
      <c r="AP29" s="31"/>
      <c r="AQ29" s="31"/>
    </row>
    <row r="30" spans="3:43" ht="16.5" customHeight="1" x14ac:dyDescent="0.35">
      <c r="C30" s="7"/>
      <c r="D30" s="21"/>
      <c r="E30" s="47">
        <v>5</v>
      </c>
      <c r="F30" s="47"/>
      <c r="G30" s="26"/>
      <c r="H30" s="16" t="str">
        <f ca="1">[1]!FS_OI_VNAME($H$3,$F$3,5)</f>
        <v>国信期货</v>
      </c>
      <c r="I30" s="27"/>
      <c r="J30" s="41">
        <f ca="1">[1]!s_oi_volume($H$3,$F$3,5)</f>
        <v>4342</v>
      </c>
      <c r="K30" s="26"/>
      <c r="L30" s="26"/>
      <c r="M30" s="26"/>
      <c r="N30" s="26"/>
      <c r="O30" s="26"/>
      <c r="P30" s="10" t="str">
        <f ca="1">[1]!FS_OI_LNAME($H$3,$F$3,$E30)</f>
        <v>东证期货</v>
      </c>
      <c r="Q30" s="27"/>
      <c r="R30" s="26"/>
      <c r="S30" s="26"/>
      <c r="T30" s="41">
        <f ca="1">[1]!FS_OI_LOI($H$3,$F$3,$E30)</f>
        <v>2801</v>
      </c>
      <c r="U30" s="26"/>
      <c r="V30" s="26"/>
      <c r="W30" s="26"/>
      <c r="X30" s="26"/>
      <c r="Y30" s="26"/>
      <c r="Z30" s="8" t="str">
        <f ca="1">[1]!FS_OI_SNAME($H$3,$F$3,$E30)</f>
        <v>海通期货</v>
      </c>
      <c r="AA30" s="26"/>
      <c r="AB30" s="26"/>
      <c r="AC30" s="41">
        <f ca="1">[1]!FS_OI_SOI($H$3,$F$3,$E30)</f>
        <v>4995</v>
      </c>
      <c r="AD30" s="28"/>
      <c r="AE30" s="28"/>
      <c r="AF30" s="21"/>
      <c r="AG30" s="7"/>
      <c r="AH30" s="29">
        <f t="shared" ca="1" si="5"/>
        <v>15</v>
      </c>
      <c r="AI30" s="30">
        <f t="shared" ca="1" si="0"/>
        <v>-1236.9999700000001</v>
      </c>
      <c r="AJ30" s="30" t="str">
        <f t="shared" ca="1" si="1"/>
        <v>东证期货</v>
      </c>
      <c r="AK30" s="29">
        <f t="shared" ca="1" si="4"/>
        <v>19</v>
      </c>
      <c r="AL30" s="30">
        <f t="shared" ca="1" si="2"/>
        <v>-2305.9999699999998</v>
      </c>
      <c r="AM30" s="30" t="str">
        <f t="shared" ca="1" si="3"/>
        <v>海通期货</v>
      </c>
      <c r="AN30" s="29"/>
      <c r="AO30" s="29"/>
      <c r="AP30" s="31"/>
      <c r="AQ30" s="31"/>
    </row>
    <row r="31" spans="3:43" ht="16.5" customHeight="1" x14ac:dyDescent="0.35">
      <c r="C31" s="7"/>
      <c r="D31" s="21"/>
      <c r="E31" s="46">
        <v>6</v>
      </c>
      <c r="F31" s="46"/>
      <c r="G31" s="32"/>
      <c r="H31" s="17" t="str">
        <f ca="1">[1]!FS_OI_VNAME($H$3,$F$3,6)</f>
        <v>华泰期货</v>
      </c>
      <c r="I31" s="33"/>
      <c r="J31" s="42">
        <f ca="1">[1]!s_oi_volume($H$3,$F$3,6)</f>
        <v>2434</v>
      </c>
      <c r="K31" s="32"/>
      <c r="L31" s="32"/>
      <c r="M31" s="32"/>
      <c r="N31" s="32"/>
      <c r="O31" s="32"/>
      <c r="P31" s="11" t="str">
        <f ca="1">[1]!FS_OI_LNAME($H$3,$F$3,$E31)</f>
        <v>华泰期货</v>
      </c>
      <c r="Q31" s="33"/>
      <c r="R31" s="32"/>
      <c r="S31" s="32"/>
      <c r="T31" s="42">
        <f ca="1">[1]!FS_OI_LOI($H$3,$F$3,$E31)</f>
        <v>2232</v>
      </c>
      <c r="U31" s="32"/>
      <c r="V31" s="32"/>
      <c r="W31" s="32"/>
      <c r="X31" s="32"/>
      <c r="Y31" s="32"/>
      <c r="Z31" s="9" t="str">
        <f ca="1">[1]!FS_OI_SNAME($H$3,$F$3,$E31)</f>
        <v>东证期货</v>
      </c>
      <c r="AA31" s="32"/>
      <c r="AB31" s="32"/>
      <c r="AC31" s="42">
        <f ca="1">[1]!FS_OI_SOI($H$3,$F$3,$E31)</f>
        <v>4038</v>
      </c>
      <c r="AD31" s="34"/>
      <c r="AE31" s="34"/>
      <c r="AF31" s="21"/>
      <c r="AG31" s="7"/>
      <c r="AH31" s="29">
        <f t="shared" ca="1" si="5"/>
        <v>20</v>
      </c>
      <c r="AI31" s="30">
        <f t="shared" ca="1" si="0"/>
        <v>-4148.9999690000004</v>
      </c>
      <c r="AJ31" s="30" t="str">
        <f t="shared" ca="1" si="1"/>
        <v>华泰期货</v>
      </c>
      <c r="AK31" s="29">
        <f t="shared" ca="1" si="4"/>
        <v>7</v>
      </c>
      <c r="AL31" s="30">
        <f t="shared" ca="1" si="2"/>
        <v>1237.000031</v>
      </c>
      <c r="AM31" s="30" t="str">
        <f t="shared" ca="1" si="3"/>
        <v>东证期货</v>
      </c>
      <c r="AN31" s="29"/>
      <c r="AO31" s="29"/>
      <c r="AP31" s="31"/>
      <c r="AQ31" s="31"/>
    </row>
    <row r="32" spans="3:43" ht="16.5" customHeight="1" x14ac:dyDescent="0.35">
      <c r="C32" s="7"/>
      <c r="D32" s="21"/>
      <c r="E32" s="47">
        <v>7</v>
      </c>
      <c r="F32" s="47"/>
      <c r="G32" s="26"/>
      <c r="H32" s="16" t="str">
        <f ca="1">[1]!FS_OI_VNAME($H$3,$F$3,7)</f>
        <v>广发期货</v>
      </c>
      <c r="I32" s="27"/>
      <c r="J32" s="41">
        <f ca="1">[1]!s_oi_volume($H$3,$F$3,7)</f>
        <v>2281</v>
      </c>
      <c r="K32" s="26"/>
      <c r="L32" s="26"/>
      <c r="M32" s="26"/>
      <c r="N32" s="26"/>
      <c r="O32" s="26"/>
      <c r="P32" s="10" t="str">
        <f ca="1">[1]!FS_OI_LNAME($H$3,$F$3,$E32)</f>
        <v>浙商期货</v>
      </c>
      <c r="Q32" s="27"/>
      <c r="R32" s="26"/>
      <c r="S32" s="26"/>
      <c r="T32" s="41">
        <f ca="1">[1]!FS_OI_LOI($H$3,$F$3,$E32)</f>
        <v>1993</v>
      </c>
      <c r="U32" s="26"/>
      <c r="V32" s="26"/>
      <c r="W32" s="26"/>
      <c r="X32" s="26"/>
      <c r="Y32" s="26"/>
      <c r="Z32" s="8" t="str">
        <f ca="1">[1]!FS_OI_SNAME($H$3,$F$3,$E32)</f>
        <v>中信建投</v>
      </c>
      <c r="AA32" s="26"/>
      <c r="AB32" s="26"/>
      <c r="AC32" s="41">
        <f ca="1">[1]!FS_OI_SOI($H$3,$F$3,$E32)</f>
        <v>3743</v>
      </c>
      <c r="AD32" s="28"/>
      <c r="AE32" s="28"/>
      <c r="AF32" s="21"/>
      <c r="AG32" s="7"/>
      <c r="AH32" s="29">
        <f t="shared" ca="1" si="5"/>
        <v>4</v>
      </c>
      <c r="AI32" s="30">
        <f t="shared" ca="1" si="0"/>
        <v>1993.0000319999999</v>
      </c>
      <c r="AJ32" s="30" t="str">
        <f t="shared" ca="1" si="1"/>
        <v>浙商期货</v>
      </c>
      <c r="AK32" s="29">
        <f t="shared" ca="1" si="4"/>
        <v>4</v>
      </c>
      <c r="AL32" s="30">
        <f t="shared" ca="1" si="2"/>
        <v>2608.0000319999999</v>
      </c>
      <c r="AM32" s="30" t="str">
        <f t="shared" ca="1" si="3"/>
        <v>中信建投</v>
      </c>
      <c r="AN32" s="29"/>
      <c r="AO32" s="29"/>
      <c r="AP32" s="31"/>
      <c r="AQ32" s="31"/>
    </row>
    <row r="33" spans="2:43" ht="16.5" customHeight="1" x14ac:dyDescent="0.35">
      <c r="C33" s="7"/>
      <c r="D33" s="21"/>
      <c r="E33" s="46">
        <v>8</v>
      </c>
      <c r="F33" s="46"/>
      <c r="G33" s="32"/>
      <c r="H33" s="17" t="str">
        <f ca="1">[1]!FS_OI_VNAME($H$3,$F$3,8)</f>
        <v>银河期货</v>
      </c>
      <c r="I33" s="33"/>
      <c r="J33" s="42">
        <f ca="1">[1]!s_oi_volume($H$3,$F$3,8)</f>
        <v>2238</v>
      </c>
      <c r="K33" s="32"/>
      <c r="L33" s="32"/>
      <c r="M33" s="32"/>
      <c r="N33" s="32"/>
      <c r="O33" s="32"/>
      <c r="P33" s="11" t="str">
        <f ca="1">[1]!FS_OI_LNAME($H$3,$F$3,$E33)</f>
        <v>银河期货</v>
      </c>
      <c r="Q33" s="33"/>
      <c r="R33" s="32"/>
      <c r="S33" s="32"/>
      <c r="T33" s="42">
        <f ca="1">[1]!FS_OI_LOI($H$3,$F$3,$E33)</f>
        <v>1791</v>
      </c>
      <c r="U33" s="32"/>
      <c r="V33" s="32"/>
      <c r="W33" s="32"/>
      <c r="X33" s="32"/>
      <c r="Y33" s="32"/>
      <c r="Z33" s="9" t="str">
        <f ca="1">[1]!FS_OI_SNAME($H$3,$F$3,$E33)</f>
        <v>申银万国</v>
      </c>
      <c r="AA33" s="32"/>
      <c r="AB33" s="32"/>
      <c r="AC33" s="42">
        <f ca="1">[1]!FS_OI_SOI($H$3,$F$3,$E33)</f>
        <v>3460</v>
      </c>
      <c r="AD33" s="34"/>
      <c r="AE33" s="34"/>
      <c r="AF33" s="21"/>
      <c r="AG33" s="7"/>
      <c r="AH33" s="29">
        <f t="shared" ca="1" si="5"/>
        <v>13</v>
      </c>
      <c r="AI33" s="30">
        <f t="shared" ca="1" si="0"/>
        <v>-888.99996699999997</v>
      </c>
      <c r="AJ33" s="30" t="str">
        <f t="shared" ca="1" si="1"/>
        <v>银河期货</v>
      </c>
      <c r="AK33" s="29">
        <f t="shared" ca="1" si="4"/>
        <v>5</v>
      </c>
      <c r="AL33" s="30">
        <f t="shared" ca="1" si="2"/>
        <v>1919.000033</v>
      </c>
      <c r="AM33" s="30" t="str">
        <f t="shared" ca="1" si="3"/>
        <v>申银万国</v>
      </c>
      <c r="AN33" s="29"/>
      <c r="AO33" s="29"/>
      <c r="AP33" s="31"/>
      <c r="AQ33" s="31"/>
    </row>
    <row r="34" spans="2:43" ht="16.5" customHeight="1" x14ac:dyDescent="0.35">
      <c r="C34" s="7"/>
      <c r="D34" s="21"/>
      <c r="E34" s="47">
        <v>9</v>
      </c>
      <c r="F34" s="47"/>
      <c r="G34" s="26"/>
      <c r="H34" s="16" t="str">
        <f ca="1">[1]!FS_OI_VNAME($H$3,$F$3,9)</f>
        <v>光大期货</v>
      </c>
      <c r="I34" s="27"/>
      <c r="J34" s="41">
        <f ca="1">[1]!s_oi_volume($H$3,$F$3,9)</f>
        <v>1924</v>
      </c>
      <c r="K34" s="26"/>
      <c r="L34" s="26"/>
      <c r="M34" s="26"/>
      <c r="N34" s="26"/>
      <c r="O34" s="26"/>
      <c r="P34" s="10" t="str">
        <f ca="1">[1]!FS_OI_LNAME($H$3,$F$3,$E34)</f>
        <v>国信期货</v>
      </c>
      <c r="Q34" s="27"/>
      <c r="R34" s="26"/>
      <c r="S34" s="26"/>
      <c r="T34" s="41">
        <f ca="1">[1]!FS_OI_LOI($H$3,$F$3,$E34)</f>
        <v>1785</v>
      </c>
      <c r="U34" s="26"/>
      <c r="V34" s="26"/>
      <c r="W34" s="26"/>
      <c r="X34" s="26"/>
      <c r="Y34" s="26"/>
      <c r="Z34" s="8" t="str">
        <f ca="1">[1]!FS_OI_SNAME($H$3,$F$3,$E34)</f>
        <v>银河期货</v>
      </c>
      <c r="AA34" s="26"/>
      <c r="AB34" s="26"/>
      <c r="AC34" s="41">
        <f ca="1">[1]!FS_OI_SOI($H$3,$F$3,$E34)</f>
        <v>2680</v>
      </c>
      <c r="AD34" s="28"/>
      <c r="AE34" s="28"/>
      <c r="AF34" s="21"/>
      <c r="AG34" s="7"/>
      <c r="AH34" s="29">
        <f t="shared" ca="1" si="5"/>
        <v>18</v>
      </c>
      <c r="AI34" s="30">
        <f t="shared" ca="1" si="0"/>
        <v>-3289.9999659999999</v>
      </c>
      <c r="AJ34" s="30" t="str">
        <f t="shared" ca="1" si="1"/>
        <v>国信期货</v>
      </c>
      <c r="AK34" s="29">
        <f t="shared" ca="1" si="4"/>
        <v>10</v>
      </c>
      <c r="AL34" s="30">
        <f t="shared" ca="1" si="2"/>
        <v>889.00003400000003</v>
      </c>
      <c r="AM34" s="30" t="str">
        <f t="shared" ca="1" si="3"/>
        <v>银河期货</v>
      </c>
      <c r="AN34" s="29"/>
      <c r="AO34" s="29"/>
      <c r="AP34" s="31"/>
      <c r="AQ34" s="31"/>
    </row>
    <row r="35" spans="2:43" ht="16.5" customHeight="1" x14ac:dyDescent="0.35">
      <c r="C35" s="7"/>
      <c r="D35" s="21"/>
      <c r="E35" s="46">
        <v>10</v>
      </c>
      <c r="F35" s="46"/>
      <c r="G35" s="32"/>
      <c r="H35" s="17" t="str">
        <f ca="1">[1]!FS_OI_VNAME($H$3,$F$3,10)</f>
        <v>华闻期货</v>
      </c>
      <c r="I35" s="33"/>
      <c r="J35" s="42">
        <f ca="1">[1]!s_oi_volume($H$3,$F$3,10)</f>
        <v>1843</v>
      </c>
      <c r="K35" s="32"/>
      <c r="L35" s="32"/>
      <c r="M35" s="32"/>
      <c r="N35" s="32"/>
      <c r="O35" s="32"/>
      <c r="P35" s="11" t="str">
        <f ca="1">[1]!FS_OI_LNAME($H$3,$F$3,$E35)</f>
        <v>永安期货</v>
      </c>
      <c r="Q35" s="33"/>
      <c r="R35" s="32"/>
      <c r="S35" s="32"/>
      <c r="T35" s="42">
        <f ca="1">[1]!FS_OI_LOI($H$3,$F$3,$E35)</f>
        <v>1621</v>
      </c>
      <c r="U35" s="32"/>
      <c r="V35" s="32"/>
      <c r="W35" s="32"/>
      <c r="X35" s="32"/>
      <c r="Y35" s="32"/>
      <c r="Z35" s="9" t="str">
        <f ca="1">[1]!FS_OI_SNAME($H$3,$F$3,$E35)</f>
        <v>广发期货</v>
      </c>
      <c r="AA35" s="32"/>
      <c r="AB35" s="32"/>
      <c r="AC35" s="42">
        <f ca="1">[1]!FS_OI_SOI($H$3,$F$3,$E35)</f>
        <v>2146</v>
      </c>
      <c r="AD35" s="34"/>
      <c r="AE35" s="34"/>
      <c r="AF35" s="21"/>
      <c r="AG35" s="7"/>
      <c r="AH35" s="29">
        <f t="shared" ca="1" si="5"/>
        <v>8</v>
      </c>
      <c r="AI35" s="30">
        <f t="shared" ca="1" si="0"/>
        <v>834.00003500000003</v>
      </c>
      <c r="AJ35" s="30" t="str">
        <f t="shared" ca="1" si="1"/>
        <v>永安期货</v>
      </c>
      <c r="AK35" s="29">
        <f t="shared" ca="1" si="4"/>
        <v>11</v>
      </c>
      <c r="AL35" s="30">
        <f t="shared" ca="1" si="2"/>
        <v>846.00003500000003</v>
      </c>
      <c r="AM35" s="30" t="str">
        <f t="shared" ca="1" si="3"/>
        <v>广发期货</v>
      </c>
      <c r="AN35" s="29"/>
      <c r="AO35" s="29"/>
      <c r="AP35" s="31"/>
      <c r="AQ35" s="31"/>
    </row>
    <row r="36" spans="2:43" ht="16.5" customHeight="1" x14ac:dyDescent="0.35">
      <c r="C36" s="7"/>
      <c r="D36" s="21"/>
      <c r="E36" s="47">
        <v>11</v>
      </c>
      <c r="F36" s="47"/>
      <c r="G36" s="26"/>
      <c r="H36" s="16" t="str">
        <f ca="1">[1]!FS_OI_VNAME($H$3,$F$3,11)</f>
        <v>永安期货</v>
      </c>
      <c r="I36" s="27"/>
      <c r="J36" s="41">
        <f ca="1">[1]!s_oi_volume($H$3,$F$3,11)</f>
        <v>1501</v>
      </c>
      <c r="K36" s="26"/>
      <c r="L36" s="26"/>
      <c r="M36" s="26"/>
      <c r="N36" s="26"/>
      <c r="O36" s="26"/>
      <c r="P36" s="10" t="str">
        <f ca="1">[1]!FS_OI_LNAME($H$3,$F$3,$E36)</f>
        <v>申银万国</v>
      </c>
      <c r="Q36" s="27"/>
      <c r="R36" s="26"/>
      <c r="S36" s="26"/>
      <c r="T36" s="41">
        <f ca="1">[1]!FS_OI_LOI($H$3,$F$3,$E36)</f>
        <v>1541</v>
      </c>
      <c r="U36" s="26"/>
      <c r="V36" s="26"/>
      <c r="W36" s="26"/>
      <c r="X36" s="26"/>
      <c r="Y36" s="26"/>
      <c r="Z36" s="8" t="str">
        <f ca="1">[1]!FS_OI_SNAME($H$3,$F$3,$E36)</f>
        <v>方正中期</v>
      </c>
      <c r="AA36" s="26"/>
      <c r="AB36" s="26"/>
      <c r="AC36" s="41">
        <f ca="1">[1]!FS_OI_SOI($H$3,$F$3,$E36)</f>
        <v>1782</v>
      </c>
      <c r="AD36" s="28"/>
      <c r="AE36" s="28"/>
      <c r="AF36" s="21"/>
      <c r="AG36" s="7"/>
      <c r="AH36" s="29">
        <f t="shared" ca="1" si="5"/>
        <v>16</v>
      </c>
      <c r="AI36" s="30">
        <f t="shared" ca="1" si="0"/>
        <v>-1918.9999640000001</v>
      </c>
      <c r="AJ36" s="30" t="str">
        <f t="shared" ca="1" si="1"/>
        <v>申银万国</v>
      </c>
      <c r="AK36" s="29">
        <f t="shared" ca="1" si="4"/>
        <v>8</v>
      </c>
      <c r="AL36" s="30">
        <f t="shared" ca="1" si="2"/>
        <v>1052.0000359999999</v>
      </c>
      <c r="AM36" s="30" t="str">
        <f t="shared" ca="1" si="3"/>
        <v>方正中期</v>
      </c>
      <c r="AN36" s="29"/>
      <c r="AO36" s="29"/>
      <c r="AP36" s="31"/>
      <c r="AQ36" s="31"/>
    </row>
    <row r="37" spans="2:43" ht="16.5" customHeight="1" x14ac:dyDescent="0.35">
      <c r="C37" s="7"/>
      <c r="D37" s="21"/>
      <c r="E37" s="46">
        <v>12</v>
      </c>
      <c r="F37" s="46"/>
      <c r="G37" s="32"/>
      <c r="H37" s="17" t="str">
        <f ca="1">[1]!FS_OI_VNAME($H$3,$F$3,12)</f>
        <v>中信建投</v>
      </c>
      <c r="I37" s="33"/>
      <c r="J37" s="42">
        <f ca="1">[1]!s_oi_volume($H$3,$F$3,12)</f>
        <v>1457</v>
      </c>
      <c r="K37" s="32"/>
      <c r="L37" s="32"/>
      <c r="M37" s="32"/>
      <c r="N37" s="32"/>
      <c r="O37" s="32"/>
      <c r="P37" s="11" t="str">
        <f ca="1">[1]!FS_OI_LNAME($H$3,$F$3,$E37)</f>
        <v>国富期货</v>
      </c>
      <c r="Q37" s="33"/>
      <c r="R37" s="32"/>
      <c r="S37" s="32"/>
      <c r="T37" s="42">
        <f ca="1">[1]!FS_OI_LOI($H$3,$F$3,$E37)</f>
        <v>1520</v>
      </c>
      <c r="U37" s="32"/>
      <c r="V37" s="32"/>
      <c r="W37" s="32"/>
      <c r="X37" s="32"/>
      <c r="Y37" s="32"/>
      <c r="Z37" s="9" t="str">
        <f ca="1">[1]!FS_OI_SNAME($H$3,$F$3,$E37)</f>
        <v>国投安信</v>
      </c>
      <c r="AA37" s="32"/>
      <c r="AB37" s="32"/>
      <c r="AC37" s="42">
        <f ca="1">[1]!FS_OI_SOI($H$3,$F$3,$E37)</f>
        <v>1774</v>
      </c>
      <c r="AD37" s="34"/>
      <c r="AE37" s="34"/>
      <c r="AF37" s="21"/>
      <c r="AG37" s="7"/>
      <c r="AH37" s="29">
        <f t="shared" ca="1" si="5"/>
        <v>5</v>
      </c>
      <c r="AI37" s="30">
        <f t="shared" ca="1" si="0"/>
        <v>1520.000037</v>
      </c>
      <c r="AJ37" s="30" t="str">
        <f t="shared" ca="1" si="1"/>
        <v>国富期货</v>
      </c>
      <c r="AK37" s="29">
        <f t="shared" ca="1" si="4"/>
        <v>6</v>
      </c>
      <c r="AL37" s="30">
        <f t="shared" ca="1" si="2"/>
        <v>1774.000037</v>
      </c>
      <c r="AM37" s="30" t="str">
        <f t="shared" ca="1" si="3"/>
        <v>国投安信</v>
      </c>
      <c r="AN37" s="29"/>
      <c r="AO37" s="29"/>
      <c r="AP37" s="31"/>
      <c r="AQ37" s="31"/>
    </row>
    <row r="38" spans="2:43" ht="16.5" customHeight="1" x14ac:dyDescent="0.35">
      <c r="C38" s="7"/>
      <c r="D38" s="21"/>
      <c r="E38" s="47">
        <v>13</v>
      </c>
      <c r="F38" s="47"/>
      <c r="G38" s="26"/>
      <c r="H38" s="16" t="str">
        <f ca="1">[1]!FS_OI_VNAME($H$3,$F$3,13)</f>
        <v>申银万国</v>
      </c>
      <c r="I38" s="27"/>
      <c r="J38" s="41">
        <f ca="1">[1]!s_oi_volume($H$3,$F$3,13)</f>
        <v>1290</v>
      </c>
      <c r="K38" s="26"/>
      <c r="L38" s="26"/>
      <c r="M38" s="26"/>
      <c r="N38" s="26"/>
      <c r="O38" s="26"/>
      <c r="P38" s="10" t="str">
        <f ca="1">[1]!FS_OI_LNAME($H$3,$F$3,$E38)</f>
        <v>兴证期货</v>
      </c>
      <c r="Q38" s="27"/>
      <c r="R38" s="26"/>
      <c r="S38" s="26"/>
      <c r="T38" s="41">
        <f ca="1">[1]!FS_OI_LOI($H$3,$F$3,$E38)</f>
        <v>1310</v>
      </c>
      <c r="U38" s="26"/>
      <c r="V38" s="26"/>
      <c r="W38" s="26"/>
      <c r="X38" s="26"/>
      <c r="Y38" s="26"/>
      <c r="Z38" s="8" t="str">
        <f ca="1">[1]!FS_OI_SNAME($H$3,$F$3,$E38)</f>
        <v>光大期货</v>
      </c>
      <c r="AA38" s="26"/>
      <c r="AB38" s="26"/>
      <c r="AC38" s="41">
        <f ca="1">[1]!FS_OI_SOI($H$3,$F$3,$E38)</f>
        <v>1705</v>
      </c>
      <c r="AD38" s="28"/>
      <c r="AE38" s="28"/>
      <c r="AF38" s="21"/>
      <c r="AG38" s="7"/>
      <c r="AH38" s="29">
        <f t="shared" ca="1" si="5"/>
        <v>10</v>
      </c>
      <c r="AI38" s="30">
        <f t="shared" ca="1" si="0"/>
        <v>734.00003800000002</v>
      </c>
      <c r="AJ38" s="30" t="str">
        <f t="shared" ca="1" si="1"/>
        <v>兴证期货</v>
      </c>
      <c r="AK38" s="29">
        <f t="shared" ca="1" si="4"/>
        <v>13</v>
      </c>
      <c r="AL38" s="30">
        <f t="shared" ca="1" si="2"/>
        <v>712.00003800000002</v>
      </c>
      <c r="AM38" s="30" t="str">
        <f t="shared" ca="1" si="3"/>
        <v>光大期货</v>
      </c>
      <c r="AN38" s="29"/>
      <c r="AO38" s="29"/>
      <c r="AP38" s="31"/>
      <c r="AQ38" s="31"/>
    </row>
    <row r="39" spans="2:43" ht="16.5" customHeight="1" x14ac:dyDescent="0.35">
      <c r="C39" s="7"/>
      <c r="D39" s="21"/>
      <c r="E39" s="46">
        <v>14</v>
      </c>
      <c r="F39" s="46"/>
      <c r="G39" s="32"/>
      <c r="H39" s="17" t="str">
        <f ca="1">[1]!FS_OI_VNAME($H$3,$F$3,14)</f>
        <v>兴证期货</v>
      </c>
      <c r="I39" s="33"/>
      <c r="J39" s="42">
        <f ca="1">[1]!s_oi_volume($H$3,$F$3,14)</f>
        <v>1283</v>
      </c>
      <c r="K39" s="32"/>
      <c r="L39" s="32"/>
      <c r="M39" s="32"/>
      <c r="N39" s="32"/>
      <c r="O39" s="32"/>
      <c r="P39" s="11" t="str">
        <f ca="1">[1]!FS_OI_LNAME($H$3,$F$3,$E39)</f>
        <v>广发期货</v>
      </c>
      <c r="Q39" s="33"/>
      <c r="R39" s="32"/>
      <c r="S39" s="32"/>
      <c r="T39" s="42">
        <f ca="1">[1]!FS_OI_LOI($H$3,$F$3,$E39)</f>
        <v>1300</v>
      </c>
      <c r="U39" s="32"/>
      <c r="V39" s="32"/>
      <c r="W39" s="32"/>
      <c r="X39" s="32"/>
      <c r="Y39" s="32"/>
      <c r="Z39" s="9" t="str">
        <f ca="1">[1]!FS_OI_SNAME($H$3,$F$3,$E39)</f>
        <v>摩根大通</v>
      </c>
      <c r="AA39" s="32"/>
      <c r="AB39" s="32"/>
      <c r="AC39" s="42">
        <f ca="1">[1]!FS_OI_SOI($H$3,$F$3,$E39)</f>
        <v>917</v>
      </c>
      <c r="AD39" s="34"/>
      <c r="AE39" s="34"/>
      <c r="AF39" s="21"/>
      <c r="AG39" s="7"/>
      <c r="AH39" s="29">
        <f t="shared" ca="1" si="5"/>
        <v>12</v>
      </c>
      <c r="AI39" s="30">
        <f t="shared" ca="1" si="0"/>
        <v>-845.99996099999998</v>
      </c>
      <c r="AJ39" s="30" t="str">
        <f t="shared" ca="1" si="1"/>
        <v>广发期货</v>
      </c>
      <c r="AK39" s="29">
        <f t="shared" ca="1" si="4"/>
        <v>9</v>
      </c>
      <c r="AL39" s="30">
        <f t="shared" ca="1" si="2"/>
        <v>917.00003900000002</v>
      </c>
      <c r="AM39" s="30" t="str">
        <f t="shared" ca="1" si="3"/>
        <v>摩根大通</v>
      </c>
      <c r="AN39" s="29"/>
      <c r="AO39" s="29"/>
      <c r="AP39" s="31"/>
      <c r="AQ39" s="31"/>
    </row>
    <row r="40" spans="2:43" ht="16.5" customHeight="1" x14ac:dyDescent="0.35">
      <c r="C40" s="7"/>
      <c r="D40" s="21"/>
      <c r="E40" s="47">
        <v>15</v>
      </c>
      <c r="F40" s="47"/>
      <c r="G40" s="26"/>
      <c r="H40" s="16" t="str">
        <f ca="1">[1]!FS_OI_VNAME($H$3,$F$3,15)</f>
        <v>方正中期</v>
      </c>
      <c r="I40" s="27"/>
      <c r="J40" s="41">
        <f ca="1">[1]!s_oi_volume($H$3,$F$3,15)</f>
        <v>940</v>
      </c>
      <c r="K40" s="26"/>
      <c r="L40" s="26"/>
      <c r="M40" s="26"/>
      <c r="N40" s="26"/>
      <c r="O40" s="26"/>
      <c r="P40" s="10" t="str">
        <f ca="1">[1]!FS_OI_LNAME($H$3,$F$3,$E40)</f>
        <v>中银期货</v>
      </c>
      <c r="Q40" s="27"/>
      <c r="R40" s="26"/>
      <c r="S40" s="26"/>
      <c r="T40" s="41">
        <f ca="1">[1]!FS_OI_LOI($H$3,$F$3,$E40)</f>
        <v>1162</v>
      </c>
      <c r="U40" s="26"/>
      <c r="V40" s="26"/>
      <c r="W40" s="26"/>
      <c r="X40" s="26"/>
      <c r="Y40" s="26"/>
      <c r="Z40" s="8" t="str">
        <f ca="1">[1]!FS_OI_SNAME($H$3,$F$3,$E40)</f>
        <v>永安期货</v>
      </c>
      <c r="AA40" s="26"/>
      <c r="AB40" s="26"/>
      <c r="AC40" s="41">
        <f ca="1">[1]!FS_OI_SOI($H$3,$F$3,$E40)</f>
        <v>787</v>
      </c>
      <c r="AD40" s="28"/>
      <c r="AE40" s="28"/>
      <c r="AF40" s="21"/>
      <c r="AG40" s="7"/>
      <c r="AH40" s="29">
        <f t="shared" ca="1" si="5"/>
        <v>6</v>
      </c>
      <c r="AI40" s="30">
        <f t="shared" ca="1" si="0"/>
        <v>1162.0000399999999</v>
      </c>
      <c r="AJ40" s="30" t="str">
        <f t="shared" ca="1" si="1"/>
        <v>中银期货</v>
      </c>
      <c r="AK40" s="29">
        <f t="shared" ca="1" si="4"/>
        <v>18</v>
      </c>
      <c r="AL40" s="30">
        <f t="shared" ca="1" si="2"/>
        <v>-833.99995999999999</v>
      </c>
      <c r="AM40" s="30" t="str">
        <f t="shared" ca="1" si="3"/>
        <v>永安期货</v>
      </c>
      <c r="AN40" s="29"/>
      <c r="AO40" s="29"/>
      <c r="AP40" s="31"/>
      <c r="AQ40" s="31"/>
    </row>
    <row r="41" spans="2:43" ht="16.5" customHeight="1" x14ac:dyDescent="0.35">
      <c r="C41" s="7"/>
      <c r="D41" s="21"/>
      <c r="E41" s="46">
        <v>16</v>
      </c>
      <c r="F41" s="46"/>
      <c r="G41" s="32"/>
      <c r="H41" s="17" t="str">
        <f ca="1">[1]!FS_OI_VNAME($H$3,$F$3,16)</f>
        <v>徽商期货</v>
      </c>
      <c r="I41" s="33"/>
      <c r="J41" s="42">
        <f ca="1">[1]!s_oi_volume($H$3,$F$3,16)</f>
        <v>912</v>
      </c>
      <c r="K41" s="32"/>
      <c r="L41" s="32"/>
      <c r="M41" s="32"/>
      <c r="N41" s="32"/>
      <c r="O41" s="32"/>
      <c r="P41" s="11" t="str">
        <f ca="1">[1]!FS_OI_LNAME($H$3,$F$3,$E41)</f>
        <v>南华期货</v>
      </c>
      <c r="Q41" s="33"/>
      <c r="R41" s="32"/>
      <c r="S41" s="32"/>
      <c r="T41" s="42">
        <f ca="1">[1]!FS_OI_LOI($H$3,$F$3,$E41)</f>
        <v>1141</v>
      </c>
      <c r="U41" s="32"/>
      <c r="V41" s="32"/>
      <c r="W41" s="32"/>
      <c r="X41" s="32"/>
      <c r="Y41" s="32"/>
      <c r="Z41" s="9" t="str">
        <f ca="1">[1]!FS_OI_SNAME($H$3,$F$3,$E41)</f>
        <v>华闻期货</v>
      </c>
      <c r="AA41" s="32"/>
      <c r="AB41" s="32"/>
      <c r="AC41" s="42">
        <f ca="1">[1]!FS_OI_SOI($H$3,$F$3,$E41)</f>
        <v>722</v>
      </c>
      <c r="AD41" s="34"/>
      <c r="AE41" s="34"/>
      <c r="AF41" s="21"/>
      <c r="AG41" s="7"/>
      <c r="AH41" s="29">
        <f t="shared" ca="1" si="5"/>
        <v>7</v>
      </c>
      <c r="AI41" s="30">
        <f t="shared" ca="1" si="0"/>
        <v>1141.000041</v>
      </c>
      <c r="AJ41" s="30" t="str">
        <f t="shared" ca="1" si="1"/>
        <v>南华期货</v>
      </c>
      <c r="AK41" s="29">
        <f t="shared" ca="1" si="4"/>
        <v>12</v>
      </c>
      <c r="AL41" s="30">
        <f t="shared" ca="1" si="2"/>
        <v>722.00004100000001</v>
      </c>
      <c r="AM41" s="30" t="str">
        <f t="shared" ca="1" si="3"/>
        <v>华闻期货</v>
      </c>
      <c r="AN41" s="29"/>
      <c r="AO41" s="29"/>
      <c r="AP41" s="31"/>
      <c r="AQ41" s="31"/>
    </row>
    <row r="42" spans="2:43" ht="16.5" customHeight="1" x14ac:dyDescent="0.35">
      <c r="C42" s="7"/>
      <c r="D42" s="21"/>
      <c r="E42" s="47">
        <v>17</v>
      </c>
      <c r="F42" s="47"/>
      <c r="G42" s="26"/>
      <c r="H42" s="16" t="str">
        <f ca="1">[1]!FS_OI_VNAME($H$3,$F$3,17)</f>
        <v>招商期货</v>
      </c>
      <c r="I42" s="27"/>
      <c r="J42" s="41">
        <f ca="1">[1]!s_oi_volume($H$3,$F$3,17)</f>
        <v>876</v>
      </c>
      <c r="K42" s="26"/>
      <c r="L42" s="26"/>
      <c r="M42" s="26"/>
      <c r="N42" s="26"/>
      <c r="O42" s="26"/>
      <c r="P42" s="10" t="str">
        <f ca="1">[1]!FS_OI_LNAME($H$3,$F$3,$E42)</f>
        <v>中信建投</v>
      </c>
      <c r="Q42" s="27"/>
      <c r="R42" s="26"/>
      <c r="S42" s="26"/>
      <c r="T42" s="41">
        <f ca="1">[1]!FS_OI_LOI($H$3,$F$3,$E42)</f>
        <v>1135</v>
      </c>
      <c r="U42" s="26"/>
      <c r="V42" s="26"/>
      <c r="W42" s="26"/>
      <c r="X42" s="26"/>
      <c r="Y42" s="26"/>
      <c r="Z42" s="8" t="str">
        <f ca="1">[1]!FS_OI_SNAME($H$3,$F$3,$E42)</f>
        <v>宏源期货</v>
      </c>
      <c r="AA42" s="26"/>
      <c r="AB42" s="26"/>
      <c r="AC42" s="41">
        <f ca="1">[1]!FS_OI_SOI($H$3,$F$3,$E42)</f>
        <v>681</v>
      </c>
      <c r="AD42" s="28"/>
      <c r="AE42" s="28"/>
      <c r="AF42" s="21"/>
      <c r="AG42" s="7"/>
      <c r="AH42" s="29">
        <f t="shared" ca="1" si="5"/>
        <v>17</v>
      </c>
      <c r="AI42" s="30">
        <f t="shared" ca="1" si="0"/>
        <v>-2607.9999579999999</v>
      </c>
      <c r="AJ42" s="30" t="str">
        <f t="shared" ca="1" si="1"/>
        <v>中信建投</v>
      </c>
      <c r="AK42" s="29">
        <f t="shared" ca="1" si="4"/>
        <v>14</v>
      </c>
      <c r="AL42" s="30">
        <f t="shared" ca="1" si="2"/>
        <v>681.00004200000001</v>
      </c>
      <c r="AM42" s="30" t="str">
        <f t="shared" ca="1" si="3"/>
        <v>宏源期货</v>
      </c>
      <c r="AN42" s="29"/>
      <c r="AO42" s="29"/>
      <c r="AP42" s="31"/>
      <c r="AQ42" s="31"/>
    </row>
    <row r="43" spans="2:43" ht="16.5" customHeight="1" x14ac:dyDescent="0.35">
      <c r="B43" s="35"/>
      <c r="C43" s="7"/>
      <c r="D43" s="21"/>
      <c r="E43" s="46">
        <v>18</v>
      </c>
      <c r="F43" s="46"/>
      <c r="G43" s="32"/>
      <c r="H43" s="17" t="str">
        <f ca="1">[1]!FS_OI_VNAME($H$3,$F$3,18)</f>
        <v>浙商期货</v>
      </c>
      <c r="I43" s="33"/>
      <c r="J43" s="42">
        <f ca="1">[1]!s_oi_volume($H$3,$F$3,18)</f>
        <v>835</v>
      </c>
      <c r="K43" s="32"/>
      <c r="L43" s="32"/>
      <c r="M43" s="32"/>
      <c r="N43" s="32"/>
      <c r="O43" s="32"/>
      <c r="P43" s="11" t="str">
        <f ca="1">[1]!FS_OI_LNAME($H$3,$F$3,$E43)</f>
        <v>光大期货</v>
      </c>
      <c r="Q43" s="33"/>
      <c r="R43" s="32"/>
      <c r="S43" s="32"/>
      <c r="T43" s="42">
        <f ca="1">[1]!FS_OI_LOI($H$3,$F$3,$E43)</f>
        <v>993</v>
      </c>
      <c r="U43" s="32"/>
      <c r="V43" s="32"/>
      <c r="W43" s="32"/>
      <c r="X43" s="32"/>
      <c r="Y43" s="32"/>
      <c r="Z43" s="9" t="str">
        <f ca="1">[1]!FS_OI_SNAME($H$3,$F$3,$E43)</f>
        <v>中金期货</v>
      </c>
      <c r="AA43" s="32"/>
      <c r="AB43" s="32"/>
      <c r="AC43" s="42">
        <f ca="1">[1]!FS_OI_SOI($H$3,$F$3,$E43)</f>
        <v>585</v>
      </c>
      <c r="AD43" s="34"/>
      <c r="AE43" s="34"/>
      <c r="AF43" s="21"/>
      <c r="AG43" s="7"/>
      <c r="AH43" s="29">
        <f t="shared" ca="1" si="5"/>
        <v>11</v>
      </c>
      <c r="AI43" s="30">
        <f t="shared" ca="1" si="0"/>
        <v>-711.99995699999999</v>
      </c>
      <c r="AJ43" s="30" t="str">
        <f t="shared" ca="1" si="1"/>
        <v>光大期货</v>
      </c>
      <c r="AK43" s="29">
        <f t="shared" ca="1" si="4"/>
        <v>15</v>
      </c>
      <c r="AL43" s="30">
        <f t="shared" ca="1" si="2"/>
        <v>585.00004300000001</v>
      </c>
      <c r="AM43" s="30" t="str">
        <f t="shared" ca="1" si="3"/>
        <v>中金期货</v>
      </c>
      <c r="AN43" s="29"/>
      <c r="AO43" s="29"/>
      <c r="AP43" s="31"/>
      <c r="AQ43" s="31"/>
    </row>
    <row r="44" spans="2:43" ht="16.5" customHeight="1" x14ac:dyDescent="0.35">
      <c r="C44" s="7"/>
      <c r="D44" s="21"/>
      <c r="E44" s="47">
        <v>19</v>
      </c>
      <c r="F44" s="47"/>
      <c r="G44" s="26"/>
      <c r="H44" s="16" t="str">
        <f ca="1">[1]!FS_OI_VNAME($H$3,$F$3,19)</f>
        <v>东海期货</v>
      </c>
      <c r="I44" s="27"/>
      <c r="J44" s="41">
        <f ca="1">[1]!s_oi_volume($H$3,$F$3,19)</f>
        <v>805</v>
      </c>
      <c r="K44" s="26"/>
      <c r="L44" s="26"/>
      <c r="M44" s="26"/>
      <c r="N44" s="26"/>
      <c r="O44" s="26"/>
      <c r="P44" s="10" t="str">
        <f ca="1">[1]!FS_OI_LNAME($H$3,$F$3,$E44)</f>
        <v>西南期货</v>
      </c>
      <c r="Q44" s="27"/>
      <c r="R44" s="26"/>
      <c r="S44" s="26"/>
      <c r="T44" s="41">
        <f ca="1">[1]!FS_OI_LOI($H$3,$F$3,$E44)</f>
        <v>808</v>
      </c>
      <c r="U44" s="26"/>
      <c r="V44" s="26"/>
      <c r="W44" s="26"/>
      <c r="X44" s="26"/>
      <c r="Y44" s="26"/>
      <c r="Z44" s="8" t="str">
        <f ca="1">[1]!FS_OI_SNAME($H$3,$F$3,$E44)</f>
        <v>兴证期货</v>
      </c>
      <c r="AA44" s="26"/>
      <c r="AB44" s="26"/>
      <c r="AC44" s="41">
        <f ca="1">[1]!FS_OI_SOI($H$3,$F$3,$E44)</f>
        <v>576</v>
      </c>
      <c r="AD44" s="28"/>
      <c r="AE44" s="28"/>
      <c r="AF44" s="21"/>
      <c r="AG44" s="7"/>
      <c r="AH44" s="29">
        <f t="shared" ca="1" si="5"/>
        <v>9</v>
      </c>
      <c r="AI44" s="30">
        <f t="shared" ca="1" si="0"/>
        <v>808.000044</v>
      </c>
      <c r="AJ44" s="30" t="str">
        <f t="shared" ca="1" si="1"/>
        <v>西南期货</v>
      </c>
      <c r="AK44" s="29">
        <f t="shared" ca="1" si="4"/>
        <v>17</v>
      </c>
      <c r="AL44" s="30">
        <f t="shared" ca="1" si="2"/>
        <v>-733.999956</v>
      </c>
      <c r="AM44" s="30" t="str">
        <f t="shared" ca="1" si="3"/>
        <v>兴证期货</v>
      </c>
      <c r="AN44" s="29"/>
      <c r="AO44" s="29"/>
      <c r="AP44" s="31"/>
      <c r="AQ44" s="31"/>
    </row>
    <row r="45" spans="2:43" ht="16.5" customHeight="1" x14ac:dyDescent="0.35">
      <c r="C45" s="7"/>
      <c r="D45" s="21"/>
      <c r="E45" s="46">
        <v>20</v>
      </c>
      <c r="F45" s="46"/>
      <c r="G45" s="9"/>
      <c r="H45" s="17" t="str">
        <f ca="1">[1]!FS_OI_VNAME($H$3,$F$3,20)</f>
        <v>中泰期货</v>
      </c>
      <c r="I45" s="33"/>
      <c r="J45" s="42">
        <f ca="1">[1]!s_oi_volume($H$3,$F$3,20)</f>
        <v>795</v>
      </c>
      <c r="K45" s="9"/>
      <c r="L45" s="9"/>
      <c r="M45" s="9"/>
      <c r="N45" s="9"/>
      <c r="O45" s="32"/>
      <c r="P45" s="11" t="str">
        <f ca="1">[1]!FS_OI_LNAME($H$3,$F$3,$E45)</f>
        <v>方正中期</v>
      </c>
      <c r="Q45" s="33"/>
      <c r="R45" s="32"/>
      <c r="S45" s="32"/>
      <c r="T45" s="42">
        <f ca="1">[1]!FS_OI_LOI($H$3,$F$3,$E45)</f>
        <v>730</v>
      </c>
      <c r="U45" s="9"/>
      <c r="V45" s="32"/>
      <c r="W45" s="32"/>
      <c r="X45" s="32"/>
      <c r="Y45" s="32"/>
      <c r="Z45" s="9" t="str">
        <f ca="1">[1]!FS_OI_SNAME($H$3,$F$3,$E45)</f>
        <v>上海中期</v>
      </c>
      <c r="AA45" s="32"/>
      <c r="AB45" s="32"/>
      <c r="AC45" s="42">
        <f ca="1">[1]!FS_OI_SOI($H$3,$F$3,$E45)</f>
        <v>563</v>
      </c>
      <c r="AF45" s="21"/>
      <c r="AG45" s="7"/>
      <c r="AH45" s="29">
        <f t="shared" ca="1" si="5"/>
        <v>14</v>
      </c>
      <c r="AI45" s="30">
        <f t="shared" ca="1" si="0"/>
        <v>-1051.999955</v>
      </c>
      <c r="AJ45" s="30" t="str">
        <f t="shared" ca="1" si="1"/>
        <v>方正中期</v>
      </c>
      <c r="AK45" s="29">
        <f t="shared" ca="1" si="4"/>
        <v>16</v>
      </c>
      <c r="AL45" s="30">
        <f t="shared" ca="1" si="2"/>
        <v>563.000045</v>
      </c>
      <c r="AM45" s="30" t="str">
        <f t="shared" ca="1" si="3"/>
        <v>上海中期</v>
      </c>
      <c r="AN45" s="29"/>
      <c r="AO45" s="29"/>
      <c r="AP45" s="31"/>
      <c r="AQ45" s="31"/>
    </row>
    <row r="46" spans="2:43" x14ac:dyDescent="0.35">
      <c r="B46" s="3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29"/>
      <c r="AI46" s="29"/>
      <c r="AJ46" s="29"/>
      <c r="AK46" s="29"/>
      <c r="AL46" s="29"/>
      <c r="AM46" s="29"/>
      <c r="AN46" s="29"/>
      <c r="AO46" s="29"/>
      <c r="AP46" s="31"/>
      <c r="AQ46" s="31"/>
    </row>
    <row r="47" spans="2:43" ht="15.75" customHeight="1" x14ac:dyDescent="0.35">
      <c r="B47" s="35"/>
      <c r="E47" s="36"/>
      <c r="F47" s="36"/>
      <c r="G47" s="36"/>
      <c r="AH47" s="29"/>
      <c r="AI47" s="29"/>
      <c r="AJ47" s="29"/>
      <c r="AK47" s="29"/>
      <c r="AL47" s="29"/>
      <c r="AM47" s="29"/>
      <c r="AN47" s="29"/>
      <c r="AO47" s="29"/>
      <c r="AP47" s="31"/>
      <c r="AQ47" s="31"/>
    </row>
    <row r="48" spans="2:43" x14ac:dyDescent="0.35">
      <c r="B48" s="35"/>
      <c r="E48" s="36"/>
      <c r="F48" s="36"/>
      <c r="G48" s="36"/>
      <c r="AH48" s="18"/>
      <c r="AI48" s="18"/>
      <c r="AJ48" s="18"/>
    </row>
    <row r="49" spans="7:36" x14ac:dyDescent="0.35">
      <c r="AH49" s="18"/>
      <c r="AI49" s="18"/>
      <c r="AJ49" s="18"/>
    </row>
    <row r="50" spans="7:36" x14ac:dyDescent="0.35">
      <c r="H50" s="37"/>
      <c r="AH50" s="18"/>
      <c r="AI50" s="18"/>
      <c r="AJ50" s="18"/>
    </row>
    <row r="51" spans="7:36" x14ac:dyDescent="0.35">
      <c r="H51" s="37"/>
    </row>
    <row r="52" spans="7:36" x14ac:dyDescent="0.35">
      <c r="G52" s="37"/>
      <c r="H52" s="37"/>
    </row>
    <row r="53" spans="7:36" x14ac:dyDescent="0.35">
      <c r="G53" s="37"/>
      <c r="H53" s="37"/>
      <c r="I53" s="37"/>
      <c r="J53" s="37"/>
    </row>
    <row r="54" spans="7:36" x14ac:dyDescent="0.35">
      <c r="G54" s="38"/>
      <c r="H54" s="39"/>
    </row>
    <row r="55" spans="7:36" x14ac:dyDescent="0.35">
      <c r="G55" s="38"/>
      <c r="H55" s="39"/>
    </row>
    <row r="56" spans="7:36" x14ac:dyDescent="0.35">
      <c r="G56" s="38"/>
      <c r="H56" s="39"/>
    </row>
    <row r="57" spans="7:36" x14ac:dyDescent="0.35">
      <c r="G57" s="38"/>
      <c r="H57" s="39"/>
    </row>
    <row r="58" spans="7:36" x14ac:dyDescent="0.35">
      <c r="G58" s="38"/>
      <c r="H58" s="39"/>
    </row>
    <row r="59" spans="7:36" x14ac:dyDescent="0.35">
      <c r="G59" s="38"/>
      <c r="H59" s="39"/>
    </row>
    <row r="60" spans="7:36" x14ac:dyDescent="0.35">
      <c r="G60" s="38"/>
      <c r="H60" s="39"/>
    </row>
    <row r="61" spans="7:36" x14ac:dyDescent="0.35">
      <c r="G61" s="38"/>
      <c r="H61" s="39"/>
    </row>
    <row r="63" spans="7:36" x14ac:dyDescent="0.35">
      <c r="G63" s="38"/>
      <c r="H63" s="39"/>
    </row>
    <row r="64" spans="7:36" x14ac:dyDescent="0.35">
      <c r="G64" s="38"/>
      <c r="H64" s="39"/>
    </row>
    <row r="65" spans="7:8" x14ac:dyDescent="0.35">
      <c r="G65" s="38"/>
      <c r="H65" s="39"/>
    </row>
    <row r="66" spans="7:8" x14ac:dyDescent="0.35">
      <c r="G66" s="38"/>
      <c r="H66" s="39"/>
    </row>
    <row r="67" spans="7:8" x14ac:dyDescent="0.35">
      <c r="G67" s="38"/>
      <c r="H67" s="39"/>
    </row>
    <row r="68" spans="7:8" x14ac:dyDescent="0.35">
      <c r="G68" s="38"/>
      <c r="H68" s="39"/>
    </row>
    <row r="69" spans="7:8" x14ac:dyDescent="0.35">
      <c r="G69" s="38"/>
      <c r="H69" s="39"/>
    </row>
    <row r="70" spans="7:8" x14ac:dyDescent="0.35">
      <c r="G70" s="38"/>
      <c r="H70" s="39"/>
    </row>
    <row r="71" spans="7:8" x14ac:dyDescent="0.35">
      <c r="G71" s="38"/>
      <c r="H71" s="39"/>
    </row>
    <row r="72" spans="7:8" x14ac:dyDescent="0.35">
      <c r="G72" s="38"/>
      <c r="H72" s="39"/>
    </row>
    <row r="73" spans="7:8" x14ac:dyDescent="0.35">
      <c r="G73" s="38"/>
      <c r="H73" s="39"/>
    </row>
    <row r="74" spans="7:8" x14ac:dyDescent="0.35">
      <c r="G74" s="38"/>
      <c r="H74" s="39"/>
    </row>
    <row r="75" spans="7:8" x14ac:dyDescent="0.35">
      <c r="G75" s="38"/>
      <c r="H75" s="39"/>
    </row>
  </sheetData>
  <mergeCells count="27">
    <mergeCell ref="F1:AC1"/>
    <mergeCell ref="E30:F30"/>
    <mergeCell ref="E29:F29"/>
    <mergeCell ref="E28:F28"/>
    <mergeCell ref="E27:F27"/>
    <mergeCell ref="E26:F26"/>
    <mergeCell ref="Z24:AE24"/>
    <mergeCell ref="G24:L24"/>
    <mergeCell ref="E25:F25"/>
    <mergeCell ref="Z25:AA25"/>
    <mergeCell ref="AB25:AC25"/>
    <mergeCell ref="AD25:AE25"/>
    <mergeCell ref="E35:F35"/>
    <mergeCell ref="E34:F34"/>
    <mergeCell ref="E33:F33"/>
    <mergeCell ref="E32:F32"/>
    <mergeCell ref="E31:F31"/>
    <mergeCell ref="E40:F40"/>
    <mergeCell ref="E39:F39"/>
    <mergeCell ref="E38:F38"/>
    <mergeCell ref="E37:F37"/>
    <mergeCell ref="E36:F36"/>
    <mergeCell ref="E45:F45"/>
    <mergeCell ref="E44:F44"/>
    <mergeCell ref="E43:F43"/>
    <mergeCell ref="E42:F42"/>
    <mergeCell ref="E41:F41"/>
  </mergeCells>
  <phoneticPr fontId="9" type="noConversion"/>
  <pageMargins left="0.7" right="0.7" top="0.75" bottom="0.75" header="0.3" footer="0.3"/>
  <pageSetup paperSize="9" orientation="portrait" horizontalDpi="120" verticalDpi="12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75" x14ac:dyDescent="0.2"/>
  <sheetData>
    <row r="1" spans="1:1" ht="17.25" x14ac:dyDescent="0.2">
      <c r="A1" s="45" t="s">
        <v>18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48707636"><![CDATA[{"FDS^FG_COMPANY_NAME":"FactSet Research Systems Inc.","FDS^FG_BUS_DESC_BRIEF(\"ARRAY\")[0]":"FactSet Research Systems Inc. (the \"Company\" or \"FactSet\") is a global","FDS^FG_BUS_DESC_BRIEF(\"ARRAY\")[1]":"provider of integrated financial information, analytical applications and","FDS^FG_BUS_DESC_BRIEF(\"ARRAY\")[2]":"services for the investment and corporate communities. Since inception,","FDS^FG_BUS_DESC_BRIEF(\"ARRAY\")[3]":"global financial professionals have utilized the Company's content and","FDS^FG_BUS_DESC_BRIEF(\"ARRAY\")[4]":"multi-asset class solutions across each stage of the investment process.","FDS^FG_BUS_DESC_BRIEF(\"ARRAY\")[5]":"FactSet's goal is to provide a seamless user experience spanning idea","FDS^FG_BUS_DESC_BRIEF(\"ARRAY\")[6]":"generation, research, portfolio construction, trade execution,","FDS^FG_BUS_DESC_BRIEF(\"ARRAY\")[7]":"performance measurement, risk management, reporting, and portfolio","FDS^FG_BUS_DESC_BRIEF(\"ARRAY\")[8]":"analysis, in which the Company serves the front, middle, and back offices","FDS^FG_BUS_DESC_BRIEF(\"ARRAY\")[9]":"to drive productivity and improved performance. FactSet's flexible, open","FDS^FG_BUS_DESC_BRIEF(\"ARRAY\")[10]":"data and technology solutions can be implemented both across the","FDS^FG_BUS_DESC_BRIEF(\"ARRAY\")[11]":"investment portfolio lifecycle or as standalone components serving","FDS^FG_BUS_DESC_BRIEF(\"ARRAY\")[12]":"different workflows in the organization. FactSet is focused on growing","FDS^FG_BUS_DESC_BRIEF(\"ARRAY\")[13]":"the business throughout each of its three segments, the Americas, EMEA","FDS^FG_BUS_DESC_BRIEF(\"ARRAY\")[14]":"(formerly known as Europe), and Asia Pacific. The Company primarily","FDS^FG_ADDRESS_L1":"45 Glover Avenue","FDS^FG_ADDRESS_L2":"Norwalk, Connecticut 06850 US","FDS^PROPER(FG_COUNTRY)":"United States","JD^FG_BUS_DESC_BRIEF(\"ARRAY\")[0]":"JD.com, Inc. is a technology driven E-commerce company. It engages in the","FDS^FG_PRICE_ICS(0/0/-1,NOW,D,LOCAL,SPLIT,0,,,5)":[332.8,327.97,328.48,322.27,318.9,311.23,310.25,306.5,311.18,319.48,327.88,332.97,335.83,316.71,323.1,335.15,324.76,328.26,329.95,323.25,317.06,317.96,321.55,318.88,319.88,322.28,322.75,333.76,342.23,336.15,346.57,351.01,351.71,348.57,345.76,348.69,351.47,344.89,347.99,345.38,345.23,347.03,332.65,331.0,325.08,327.43,330.02,327.33,328.38,332.5,330.59,329.58,332.23,334.4,334.45,332.25,335.44,330.99,320.64,318.2,319.35,327.45,324.72,320.23,317.52,311.9,312.69,308.79,302.34,312.26,317.7,315.35,315.84,317.97,320.95,313.6,309.41,317.14,316.0,312.6,315.04,318.5,313.68,303.87,302.79,300.94,294.35,303.91,311.18,310.92,308.87,305.09,314.25,315.9,312.49,312.29,312.74,310.9,318.52,317.76,316.3,310.1,311.44,314.38,320.4,321.35,321.17,325.62,323.95,311.34,308.59,317.01,320.55,318.18,309.36,310.14,309.13,311.26,311.4,309.26,314.9,319.27,317.34,318.85,321.75,323.79,347.1,336.91,342.16,336.4,341.27,336.22,342.06,345.6,336.55,338.06,337.05,335.11,331.86,326.51,328.53,330.91,326.53,321.72,322.4,327.31,328.15,328.94,329.73,331.51,332.26,334.36,324.11,327.49,324.98,325.42,323.15,323.4,321.78,324.44,328.4,328.0,327.98,326.47,328.58,325.34,329.67,330.79,328.52,330.63,332.08,337.03,336.11,335.61,335.83,338.47,341.01,339.59,340.84,343.2,339.54,335.5,335.71,338.84,341.18,337.18,339.93,340.49,340.83,345.23,342.75,344.09,345.35,349.2,357.28,359.22,357.98,358.79,358.99,362.19,362.61,362.0,364.34,362.78,368.12,373.94,374.57,361.17,365.16,368.98,366.61,367.64,376.0,374.01,376.58,380.08,380.22,385.84,386.91,385.91,382.41,384.84,383.57,384.01,382.58,383.75,383.77,382.18,378.25,374.51,371.11,374.43,373.5,372.78,369.12,383.29,394.51,394.78,394.13,396.61,396.74,394.82,401.66,401.13,405.15,410.86,409.73,414.66,414.89,415.8,422.35,421.32,426.99,426.99],"FDS^FF_SALES(ANN,-4FY,0FY,,RP)":[1221.179,1350.145,1435.351,1494.111,1591.445],"FDS^FF_SALES(ANN,-5FY,,,RP)":1127.092,"FDS^FF_SGA(ANN,-4FY,0FY,,RP)":[502.781,535.951,546.776,564.949,331.004],"FDS^FF_SGA(ANN,-5FY,,,RP)":282.856,"FDS^FF_EBITDA_OPER(ANN,-4FY,0FY,,RP)":[421.412,437.783,500.292,558.515,581.363],"FDS^FF_EBITDA_OPER(ANN,-5FY,,,RP)":398.079,"FDS^FF_EBIT_OPER(ANN,-4FY,0FY,,RP)":[373.118,380.498,439.829,457.716,474.041],"FDS^FF_EBIT_OPER(ANN,-5FY,,,RP)":360.027,"FDS^FF_NET_INC(ANN,-4FY,0FY,,RP)":[258.259,267.085,352.79,372.938,399.59],"FDS^FF_NET_INC(ANN,-5FY,,,RP)":338.815,"FDS^FF_EPS_DIL(ANN,-4FY,0FY,,RP)":[6.51,6.78,9.0754,9.6501,10.3601],"FDS^FF_EPS_DIL(ANN,-5FY,,,RP)":8.19,"FDS^FF_ASSETS(ANN,-4FY,0FY,,RP)":[1413.315,1419.447,1560.13,2083.388,2222.847],"FDS^FF_ASSETS(ANN,-5FY,,,RP)":1019.161,"FDS^FF_SHLDRS_EQ(ANN,-4FY,0FY,,RP)":[559.691,525.9,672.256,896.375,1016.353],"FDS^FF_SHLDRS_EQ(ANN,-5FY,,,RP)":517.381,"FDS^FF_RECEIV_TOT(ANN,-4FY,0FY,,RP)":[148.331,156.639,146.309,155.011,151.187],"FDS^FF_RECEIV_TOT(ANN,-5FY,,,RP)":97.797,"FDS^FF_INVEN(ANN,-4FY,,,RP)":0.0,"FDS^FF_COGS(ANN,-4FY,0FY,,RP)":[345.28,433.696,448.746,471.446,786.4],"FDS^FF_INVEN(ANN,-5FY,,,RP)":0.0,"FDS^FF_PAY_ACCT(ANN,-4FY,0FY,,RP)":[59.214,70.328,76.045,80.14,85.777],"FDS^FF_PAY_ACCT(ANN,-6FY,,,RP)":33.88,"FDS^P_LOCAL_INDEX":"SP50","FDS^HOMEPAGE":"http://www.factset.com","FDS^FG_VOLUME(0/0/-1,NOW,D,SPLIT)":[0.12934,0.158712,0.141846,0.236154,0.179764,0.211497,0.220667,0.297559,0.42996,0.271764,0.204442,0.161936,0.151505,0.332956,0.224719,0.25225,0.177923,0.125519,0.156616,0.157401,0.17356,0.149292,0.187407,0.166135,0.186743,0.144828,0.08984,0.462463,0.378547,0.188139,0.297559,0.19535,0.174521,0.206993,0.216904,0.214282,0.205386,0.187981,0.21492,0.204984,0.215464,0.467208,0.358306,0.239017,0.213106,0.070314,0.166759,0.155975,0.148339,0.159939,0.295401,0.149374,0.250937,0.204853,0.165875,0.139227,0.18390599999999999,0.143995,0.194715,0.173916,0.206086,0.240578,0.224053,0.193212,0.256185,0.235838,0.348027,0.239568,0.52536,0.199688,0.23206,0.142545,0.198207,0.160618,0.124046,0.208062,0.165536,0.225372,0.115579,0.139678,0.17895,0.134708,0.188753,0.195387,0.210747,0.272831,0.208687,0.390831,0.23735,0.243974,0.252055,0.231114,0.246381,0.235918,0.30067,0.218165,0.246458,0.342246,0.240415,0.197748,0.188778,0.271164,0.603312,0.255322,0.26212,0.25761,0.194698,0.170289,0.301945,0.408824,0.367464,0.279309,0.253615,0.215969,0.247906,0.339612,0.212079,0.213007,0.237656,0.308168,0.388408,0.184512,0.223824,0.198951,0.224392,0.263725,1.450496,0.435253,0.291552,0.224687,0.144686,0.280648,0.181907,0.203959,0.347394,0.150044,0.220408,0.197322,0.162824,0.219635,0.211034,0.150355,0.159141,0.096694,0.131933,0.172348,0.125497,0.118802,0.07989,0.160788,0.265722,0.124551,0.167325,0.143405,0.159925,0.114704,0.14605,0.119425,0.105441,0.106305,0.07979,0.144345,0.151768,0.131817,0.15809,0.403927,0.182222,0.174091,0.104039,0.136946,0.326694,0.206976,0.246452,0.267319,0.218536,0.112576,0.163257,0.150439,0.146138,0.117319,0.193908,0.162576,0.123514,0.120619,0.125321,0.184437,0.253964,0.110077,0.145089,0.10369,0.125017,0.093072,0.106967,0.107177,0.280373,0.188527,0.146389,0.112973,0.153904,0.123477,0.129464,0.12281,0.162144,0.132773,0.115815,0.126182,0.155616,0.205873,0.141336,0.089977,0.157303,0.113627,0.195053,0.124169,0.148418,0.109032,0.277554,0.162729,0.175929,0.095151,0.109316,0.211341,0.098996,0.090673,0.134426,0.144606,0.139114,0.170936,0.514067,0.150352,0.131776,0.122114,0.140657,0.271185,0.29635,0.404796,0.276048,0.216048,0.199382,0.222374,0.207358,0.254844,0.2777,0.186818,0.131207,0.221446,0.135862,0.145306,0.158147,0.16586,0.133584,0.149975,0.200584,2E-06],"FDS^P_PRICE(NOW)":426.99,"FDS^P_PRICE_HIGH(-52AW,0,,,,\"PRICE\",\"INTRA\")":430.23,"FDS^P_PRICE_LOW(-52AW,0,,,,\"PRICE\",\"INTRA\")":294.21,"FDS^P_PRICE_CHANGE(0CY,NOW,RANGE)/100":0.2841804,"FDS^P_PRICE_CHANGE(-1AY,NOW,RANGE)/100":0.28302288,"FDS^BETA(\"SP50\",-60AM,0,AM)":1.0063407,"FDS^FF_FISCAL_DATE(ANN,-4FY,,,RP,\"DATEM\")":"08/2017","FDS^FF_FISCAL_DATE(ANN,-3FY,,,RP,\"DATEM\")":"08/2018","FDS^FF_FISCAL_DATE(ANN,-2FY,,,RP,\"DATEM\")":"08/2019","FDS^FF_FISCAL_DATE(ANN,-1FY,,,RP,\"DATEM\")":"08/2020","FDS^FF_FISCAL_DATE(ANN,0FY,,,RP,\"DATEM\")":"08/2021","FDS^FF_FISCAL_DATE(QTR,0,,,RP,\"DATEM\")@FF_FISCAL_DATE(SEMI,0,,,RP,\"DATEM\")":"08/2021","FDS^FF_SALES(LTM,0)@FF_SALES(LTM_SEMI,0)":1591.446,"FDS^FF_COGS(LTM,0)@FF_COGS(LTM_SEMI,0)":780.498,"FDS^FF_SGA(LTM,0)@FF_SGA(LTM_SEMI,0)":334.601,"FDS^FF_EBITDA_OPER(LTM,0)@FF_EBITDA_OPER(LTM_SEMI,0)":577.767,"FDS^FF_EBIT_OPER(LTM,0)@FF_EBIT_OPER(LTM_SEMI,0)":470.445,"FDS^FF_INT_EXP_NET(ANN,-4FY,,,RP)":8.2,"FDS^FF_INT_EXP_NET(ANN,-3FY,,,RP)":15.9,"FDS^FF_INT_EXP_NET(ANN,-2FY,,,RP)":19.8,"FDS^FF_INT_EXP_NET(ANN,-1FY,,,RP)":12.442,"FDS^FF_INT_EXP_NET(ANN,0FY,,,RP)":6.394,"FDS^FF_INT_EXP_NET(LTM,0)":6.268,"FDS^FF_PTX_INC(ANN,-4FY,0FY,,RP)":[344.312,351.838,421.965,427.134,467.617],"FDS^FF_PTX_INC(LTM,0)@FF_PTX_INC(LTM_SEMI,0)":467.617,"FDS^FF_NET_INC(LTM,0)@FF_NET_INC(LTM_SEMI,0)":399.59,"FDS^FF_EPS_DIL(LTM,0)@FF_EPS_DIL(LTM_SEMI,0)":10.3602,"FDS^FF_COM_SHS_OUT(ANN,-4FY,,,RP)":39.023032,"FDS^FF_COM_SHS_OUT(ANN,-3FY,,,RP)":38.192586,"FDS^FF_COM_SHS_OUT(ANN,-2FY,,,RP)":38.11784,"FDS^FF_COM_SHS_OUT(ANN,-1FY,,,RP)":38.030252,"FDS^FF_COM_SHS_OUT(ANN,0FY,,,RP)":null,"FDS^FF_COM_SHS_OUT(LTM,0)":null,"FDS^FF_CAPEX(ANN,-4FY,0FY,,RP)":[36.862,33.52,59.37,77.642,61.325],"FDS^FF_CAPEX(LTM,0)@FF_CAPEX(LTM_SEMI,0)":61.325,"FDS^FF_FISCAL_DATE(LTM,0,,,RP,\"DATEM\")":"08/2021","FDS^FF_CASH_ST(ANN,-4FY,0FY,,RP)":[227.175,237.882,385.612,605.177,717.849],"FDS^FF_CASH_ST(QTR,0)@FF_CASH_ST(SEMI,0)":717.849,"FDS^FF_RECEIV_TOT(QTR,0,,,RP)@FF_RECEIV_TOT(SEMI,0,,,RP)":151.187,"FDS^FF_INVEN(ANN,-3FY,,,RP)":0.0,"FDS^FF_INVEN(ANN,-2FY,,,RP)":0.0,"FDS^FF_INVEN(ANN,-1FY,,,RP)":0.0,"FDS^FF_INVEN(ANN,0FY,,,RP)":null,"FDS^FF_INVEN(QTR,0)@FF_INVEN(SEMI,0)":null,"FDS^FF_ASSETS_CURR(ANN,-4FY,0FY,,RP)":[409.376,430.916,583.812,841.93,933.578],"FDS^FF_ASSETS_CURR(QTR,0)@FF_ASSETS_CURR(SEMI,0)":933.578,"FDS^FF_PPE_NET(ANN,-4FY,0FY,,RP)":[100.454,100.545,132.524,382.031,370.441],"FDS^FF_PPE_NET(QTR,0)@FF_PPE_NET(SEMI,0)":370.441,"FDS^FF_ASSETS(QTR,0)":2222.847,"FDS^FF_DEBT_ST(ANN,-4FY,0FY,,RP)":[0.0,0.0,0.0,29.056,31.576],"FDS^FF_DEBT_ST(QTR,0)@FF_DEBT_ST(SEMI,0)":31.576,"FDS^FF_PAY_ACCT(QTR,0)@FF_PAY_ACCT(SEMI,0)":85.777,"FDS^FF_LIABS_CURR(ANN,-4FY,0FY,,RP)":[201.139,221.134,218.923,276.293,315.705],"FDS^FF_LIABS_CURR(QTR,0)@FF_LIABS_CURR(SEMI,0)":315.705,"FDS^FF_DEBT_LT(ANN,-4FY,0FY,,RP)":[575.0,574.775,574.174,846.623,834.672],"FDS^FF_DEBT_LT(QTR,0)":834.672,"FDS^FF_LIABS(ANN,-4FY,0FY,,RP)":[853.624,893.547,887.874,1187.013,1206.494],"FDS^FF_LIABS(QTR,0)@FF_LIABS(SEMI,0)":1206.494,"FDS^FF_PFD_STK(ANN,-4FY,0FY,,RP)":[0.0,0.0,0.0,0.0,0.0],"FDS^FF_PFD_STK(QTR,0)@FF_PFD_STK(SEMI,0)":0.0,"FDS^FF_SHLDRS_EQ(QTR,0)@FF_SHLDRS_EQ(SEMI,0)":1016.353,"FDS^FF_LIABS_SHLDRS_EQ(ANN,-4FY,0FY,,RP)":[1413.315,1419.447,1560.13,2083.388,2222.847],"FDS^FF_LIABS_SHLDRS_EQ(QTR,0,,,RP)@FF_LIABS_SHLDRS_EQ(SEMI,0,,,RP)":2222.847,"FDS^FG_PRICE(-4FY,,)":157.18,"FDS^FG_PRICE(-3FY,,)":229.39,"FDS^FG_PRICE(-2FY,,)":272.09,"FDS^FG_PRICE(-1FY,,)":350.4,"FDS^FG_PRICE(-0FY,,)":380.22,"FDS^FG_PRICE(0M,,)":394.78,"FDS^FG_FACTSET_SECTOR":"Technology Services","FDS^FE_ESTIMATE(EPS,MEAN,ANNUAL,+1,NOW)":12.212925,"FDS^FE_ESTIMATE(EPS,MEAN,NTMA,,NOW)":12.379853,"FDS^FE_ESTIMATE(EPS_LTG,MEAN,,,NOW,,,'')/100":0.085,"FDS^CS_EVENT_DATEJ_N(\"ER\",1)":44551,"FDS^FG_FACTSET_IND":"Data Processing Services","FDS^FF_COM_SHS_OUT(CURR,0)":37.4565,"FDS^FF_DPS(LTM,0)":3.18,"JD^FG_COMPANY_NAME":"JD.com, Inc. Sponsored ADR Class A","FDS^P(NOW)":426.99,"FDS^P_CURRENCY(\"ISO\")":"USD","FDS^P_EXCHANGE('NAME','FS')":"NYSE","FDS^FF_COGS(ANN,-5FY,,,RP)":484.209,"SP50^FG_PRICE_ICS(0/0/-1,NOW,D,LOCAL,SPLIT,0,,,5)":[3435.56,3453.49,3465.39,3400.97,3390.68,3271.03,3310.11,3269.96,3310.24,3369.1567,3443.44,3510.45,3509.44,3550.5,3545.53,3572.66,3537.01,3585.15,3626.91,3609.53,3567.79,3581.87,3557.54,3577.59,3635.41,3629.65,3638.35,3621.63,3662.45,3669.01,3666.72,3699.12,3691.96,3702.25,3672.82,3668.1,3663.46,3647.49,3694.62,3701.17,3722.48,3709.41,3694.92,3687.26,3690.01,3703.06,3735.36,3727.04,3732.04,3756.07,3700.65,3726.86,3748.14,3803.79,3824.68,3799.61,3801.19,3809.84,3795.54,3768.25,3798.91,3851.85,3853.07,3841.47,3855.36,3849.62,3750.77,3787.38,3714.24,3773.86,3826.31,3830.17,3871.74,3886.83,3915.59,3911.23,3909.88,3916.38,3934.83,3932.59,3931.33,3913.97,3906.71,3876.5,3881.37,3925.43,3829.34,3811.15,3901.82,3870.29,3819.72,3768.47,3841.94,3821.35,3875.44,3898.81,3939.34,3943.34,3968.94,3962.71,3974.12,3915.46,3913.1,3940.59,3910.52,3889.14,3909.52,3974.54,3971.09,3958.55,3972.89,4019.87,4077.91,4073.94,4079.95,4097.17,4128.8,4127.99,4141.59,4124.66,4170.42,4185.47,4163.26,4134.94,4173.42,4134.98,4180.17,4187.62,4186.72,4183.18,4211.47,4181.17,4192.66,4164.66,4167.59,4201.62,4232.6,4188.43,4152.1,4063.04,4112.5,4173.85,4163.29,4127.83,4115.68,4159.12,4155.86,4197.05,4188.13,4195.99,4200.88,4204.11,4202.04,4208.12,4192.85,4229.89,4226.52,4227.26,4219.55,4239.18,4247.44,4255.15,4246.59,4223.7,4221.86,4166.45,4224.79,4246.44,4241.84,4266.49,4280.7,4290.61,4291.8,4297.5,4319.94,4352.34,4343.54,4358.13,4320.82,4369.55,4384.63,4369.21,4374.3,4360.03,4327.16,4258.49,4323.06,4358.69,4367.48,4411.79,4422.3,4401.46,4400.64,4419.15,4395.26,4387.16,4423.15,4402.66,4429.1,4436.52,4432.35,4436.75,4447.7,4460.83,4468.0,4479.71,4448.08,4400.27,4405.8,4441.67,4479.53,4486.23,4496.19,4470.0,4509.37,4528.79,4522.68,4524.09,4536.95,4535.43,4520.03,4514.07,4493.28,4458.58,4468.73,4443.05,4480.7,4473.75,4432.99,4357.73,4354.19,4395.64,4448.98,4455.48,4443.11,4352.63,4359.461,4307.54,4357.04,4300.46,4345.72,4363.55,4399.76,4391.34,4361.19,4350.65,4363.8,4438.26,4471.37,4486.46,4519.63,4536.19,4549.78,4549.78],"FDS^REBASE(FG_PRICE_ICS(,,,LOCAL,SPLIT,0,,,5), 332.8, 0/0/-1) : 0/0/-1,NOW,D":[332.8,327.97,328.48,322.27,318.9,311.23,310.25,306.5,311.18,319.48,327.88,332.97,335.83,316.71,323.1,335.15,324.76,328.26,329.95,323.25,317.06,317.96,321.55,318.88,319.88,322.28,322.75,333.76,342.23,336.15,346.57,351.01,351.71,348.57,345.76,348.69,351.47,344.89,347.99,345.38,345.23,347.03,332.65,331.0,325.08,327.43,330.02,327.33,328.38,332.5,330.59,329.58,332.23,334.4,334.45,332.25,335.44,330.99,320.64,318.2,319.35,327.45,324.72,320.23,317.52,311.9,312.69,308.79,302.34,312.26,317.7,315.35,315.84,317.97,320.95,313.6,309.41,317.14,316.0,312.6,315.04,318.5,313.68,303.87,302.79,300.94,294.35,303.91,311.18,310.92,308.87,305.09,314.25,315.9,312.49,312.29,312.74,310.9,318.52,317.76,316.3,310.1,311.44,314.38,320.4,321.35,321.17,325.62,323.95,311.34,308.59,317.01,320.55,318.18,309.36,310.14,309.13,311.26,311.4,309.26,314.9,319.27,317.34,318.85,321.75,323.79,347.1,336.91,342.16,336.4,341.27,336.22,342.06,345.6,336.55,338.06,337.05,335.11,331.86,326.51,328.53,330.91,326.53,321.72,322.4,327.31,328.15,328.94,329.73,331.51,332.26,334.36,324.11,327.49,324.98,325.42,323.15,323.4,321.78,324.44,328.4,328.0,327.98,326.47,328.58,325.34,329.67,330.79,328.52,330.63,332.08,337.03,336.11,335.61,335.83,338.47,341.01,339.59,340.84,343.2,339.54,335.5,335.71,338.84,341.18,337.18,339.93,340.49,340.83,345.23,342.75,344.09,345.35,349.2,357.28,359.22,357.98,358.79,358.99,362.19,362.61,362.0,364.34,362.78,368.12,373.94,374.57,361.17,365.16,368.98,366.61,367.64,376.0,374.01,376.58,380.08,380.22,385.84,386.91,385.91,382.41,384.84,383.57,384.01,382.58,383.75,383.77,382.18,378.25,374.51,371.11,374.43,373.5,372.78,369.12,383.29,394.51,394.78,394.13,396.61,396.74,394.82,401.66,401.13,405.15,410.86,409.73,414.66,414.89,415.8,422.35,421.32,426.99,426.99],"SP50^REBASE(FG_PRICE_ICS(,,,LOCAL,SPLIT,0,,,5), 332.8, 0/0/-1) : 0/0/-1,NOW,D":[332.8,334.536865023461,335.689608680972,329.449293856023,328.452509634528,316.862108069718,320.647756988671,316.758458009757,320.660349986611,326.367564461107,333.563329413545,340.054535505129,339.956697598063,343.934147562552,343.452707564415,346.080769365111,342.627381853322,347.290665859423,351.335924274354,349.652337319098,345.609016288465,346.972934834496,344.616106835567,346.558334594651,352.159312601148,351.601345923227,352.444108093004,350.824454819593,354.778656172502,355.414118222357,355.192287720197,358.330850283505,357.6372667047,358.634050926195,355.78318993119,355.325967236782,354.876494079568,353.329492717344,357.894938816379,358.529432174085,360.593715143965,359.327634505001,357.923999580854,357.181981394591,357.448371735612,358.712514990278,361.841390632095,361.035438763986,361.519784838571,363.847552073024,358.479060182328,361.018002305301,363.079379198733,368.47015100886,370.493748908475,368.065237690508,368.218291050076,369.056209759108,367.670979985796,365.027419110713,367.997429240066,373.125685477768,373.243865919966,372.12018302693,373.465696422126,372.909667128503,363.334145233965,366.880527192074,359.795512813049,365.570855406397,370.65164572879,371.025560898369,375.052414162466,376.514170615562,379.300129236573,378.877779459535,378.747006019397,379.376655916357,381.163892931574,380.946905890161,380.824850679365,379.143201108407,378.43993060811,375.51351162547,375.985264702116,380.253322311355,370.945159449988,369.183108430649,377.966240147167,374.911953800836,370.013277602487,365.048730337994,372.165711557941,370.171174422802,375.410830257658,377.674663810267,381.60077309085,381.988249950518,384.468101852391,383.864606643458,384.969884385661,379.287536238634,379.05892489143,381.721859609496,378.809002316944,376.73793850202,378.712133102027,385.010569455926,384.676370664462,383.461630709404,384.850735251313,389.40165096811,395.023940201888,394.639369418668,395.221553400319,396.889641281189,399.953614549011,399.875150484928,401.192571807798,399.552575999255,403.985311273854,405.443192958353,403.291727695048,400.548391528601,404.275918918604,400.552266297198,404.929786119294,405.651461770425,405.564279476999,405.221362456194,407.961792546193,405.02665533421,406.139682613606,403.427344595932,403.711171395639,407.007630779262,410.008639057388,405.729925834507,402.210667256575,393.583494976074,398.374646345865,404.317572681019,403.294633771496,399.859651410542,398.682690449301,402.890689145292,402.574895504663,406.564938467091,405.700865070032,406.462257099279,406.935947560223,407.248835124405,407.048315849527,407.637280676222,406.15808776444,409.746123484963,409.419674230693,409.491357449732,408.744495802722,410.646038491541,411.446178206755,412.193039853765,411.363839374076,409.146503044627,408.96826368918,403.600740490633,409.252090488887,411.349308991838,410.90371060322,413.291536750923,414.668048294892,415.628022214719,415.74329658047,416.295451105497,418.469196288232,421.607758851541,420.755309760272,422.16863160591,418.554441197359,423.274878040261,424.735665801209,423.24194250719,423.735006811117,422.352683114252,419.168592019933,412.516583031587,418.771428238773,422.222878366263,423.074358765383,427.366633678352,428.384729127129,426.36597468826,426.286541932029,428.079591100141,425.765385555776,424.980744914948,428.467067959809,426.482217746161,429.043439788564,429.762209363248,429.358264737044,429.784489282679,430.845207186019,432.117099977878,432.811652248833,433.94599075551,430.882017487688,426.250700322509,426.786387081,430.26108582007,433.928554296825,434.577578036768,435.542395417341,433.005390678667,436.819131669946,438.700331823633,438.10846092049,438.245046513523,439.490784617355,439.343543410681,437.851757500961,437.274416980056,435.260506001933,431.899144244315,432.882366775722,430.394765336655,434.041891278278,433.368650234605,429.420261034591,422.129883919943,421.786966899137,425.802195857444,430.969199781113,431.598849678073,430.40057748955,421.635850923867,422.297564530964,417.268018023263,422.063044161651,416.582183981651,420.966484648791,422.69366275076,426.201297022902,425.385658233301,422.465051403556,421.444049878331,422.717880054489,429.930761797203,433.138101503103,434.599857956199,437.813009814994,439.417164014018,440.733616644739,440.733616644739],"JD^FG_BUS_DESC_BRIEF(\"ARRAY\")[1]":"sale of electronics products and general merchandise products, including","JD^FG_BUS_DESC_BRIEF(\"ARRAY\")[2]":"audio, video products, and books. The company operates through the JD","JD^FG_BUS_DESC_BRIEF(\"ARRAY\")[3]":"Retail and New Businesses segments. The JD Retail segment offers online","JD^FG_BUS_DESC_BRIEF(\"ARRAY\")[4]":"retail, online marketplace, and marketing services. The New Businesses","JD^FG_BUS_DESC_BRIEF(\"ARRAY\")[5]":"segment consists of logistic services provided to third parties, the","JD^FG_BUS_DESC_BRIEF(\"ARRAY\")[6]":"overseas business, and technology initiatives, asset management services","JD^FG_BUS_DESC_BRIEF(\"ARRAY\")[7]":"to logistics property investors, and the sale of development properties","JD^FG_BUS_DESC_BRIEF(\"ARRAY\")[8]":"by JD Property. The company was founded on June 18, 1998 by Qiang Dong","JD^FG_BUS_DESC_BRIEF(\"ARRAY\")[9]":"Liu and is headquartered in Beijing, China.","JD^FG_BUS_DESC_BRIEF(\"ARRAY\")[10]":null,"JD^FG_BUS_DESC_BRIEF(\"ARRAY\")[11]":null,"JD^FG_BUS_DESC_BRIEF(\"ARRAY\")[12]":null,"JD^FG_BUS_DESC_BRIEF(\"ARRAY\")[13]":null,"JD^FG_BUS_DESC_BRIEF(\"ARRAY\")[14]":null,"JD^FG_ADDRESS_L1":"No. 18 Kechuang 11 Street","JD^FG_ADDRESS_L2":"Beijing, Beijing 101111 China","JD^PROPER(FG_COUNTRY)":"Hong Kong","JD^FF_SALES(ANN,-4FY,0FY,,RP)":[53613.4779423297,69823.0235914103,83487.7885460179,108052.240301348,147548.346605138],"JD^FF_SALES(ANN,-5FY,,,RP)":39153.963036177,"JD^FF_SGA(ANN,-4FY,0FY,,RP)":[7379.51541425642,10086.7960876033,11302.9761033912,14070.9887397552,19258.6115083257],"JD^FF_SGA(ANN,-5FY,,,RP)":6256.85990877324,"JD^FF_EBITDA_OPER(ANN,-4FY,0FY,,RP)":[484.27461,420.44947,1590.84866,2466.47986,1489.51501],"JD^FF_EBITDA_OPER(ANN,-5FY,,,RP)":216.73942,"JD^FF_EBIT_OPER(ANN,-4FY,0FY,,RP)":[-123.62365,-392.44513,739.54826,1549.36394,523.14631],"JD^FF_EBIT_OPER(ANN,-5FY,,,RP)":-322.85363,"JD^FF_NET_INC(ANN,-4FY,0FY,,RP)":[17.285465076144,-376.549587655485,1763.30120025746,7157.85938323261,-551.923747105321],"JD^FF_NET_INC(ANN,-5FY,,,RP)":-573.004660748199,"JD^FF_EPS_DIL(ANN,-4FY,0FY,,RP)":[-0.0146,-0.2447,1.1458,4.5899,-0.3552],"JD^FF_EPS_DIL(ANN,-5FY,,,RP)":-0.3723,"JD^FF_ASSETS(ANN,-4FY,0FY,,RP)":[28263.9689803446,30465.1902937799,37286.0881174907,64571.9737606665,77903.5698651439],"JD^FF_ASSETS(ANN,-5FY,,,RP)":23076.9865457942,"JD^FF_SHLDRS_EQ(ANN,-4FY,0FY,,RP)":[7991.52549140068,8705.73619587242,11751.291327505,28677.221780483,32778.9393333186],"JD^FF_SHLDRS_EQ(ANN,-5FY,,,RP)":4877.02712425345,"JD^FF_RECEIV_TOT(ANN,-4FY,0FY,,RP)":[4958.29330466842,2470.64800384525,1719.29798871617,2211.45402000065,2730.06095695365],"JD^FF_RECEIV_TOT(ANN,-5FY,,,RP)":4543.11432477148,"JD^FF_INVEN(ANN,-4FY,,,RP)":6464.21268427534,"JD^FF_COGS(ANN,-4FY,0FY,,RP)":[46357.5861785065,60128.672635541,71445.2641803285,92431.8876255565,127766.588786365],"JD^FF_INVEN(ANN,-5FY,,,RP)":4364.79948197704,"JD^FF_PAY_ACCT(ANN,-4FY,0FY,,RP)":[11415.495700246,11649.9436328418,12981.9518497784,16333.592005872,22042.4274518117],"JD^FF_PAY_ACCT(ANN,-6FY,,,RP)":4592.11238758171,"JD^HOMEPAGE":"http://www.jd.com","^JULIAN(DATE_YYYYMMDD(0/0/-1, NOW, D))":[44285,44286,44287,44288,44292,44293,44294,44295,44298,44299,44300,44301,44302,44305,44306,44307,44308,44309,44312,44313,44314,44315,44316,44322,44323,44326,44327,44328,44329,44330,44333,44334,44335,44336,44337,44340,44341,44342,44343,44344,44347,44348,44349,44350,44351,44354,44355,44356,44357,44358,44362,44363,44364,44365,44368,44369,44370,44371,44372,44375,44376,44377,44378,44379,44382,44383,44384,44385,44386,44389,44390,44391,44392,44393,44396,44397,44398,44399,44400,44403,44404,44405,44406,44407,44410,44411,44412,44413,44414,44417,44418,44419,44420,44421,44424,44425,44426,44427,44428,44431,44432,44433,44434,44435,44438,44439,44440,44441,44442,44445,44446,44447,44448,44449,44452,44453,44454,44455,44456,44461,44462,44463,44466,44467,44468,44469,44477,44480,44481,44482,44483,44484,44487,44488,44489,44490,44491,44494,44495,44496,44497,44498,44501,44502,44503,44504,44505,44508,44509,44510,44511,44512,44515,44516,44517,44518,44519,44522,44523,44524,44525,44526,44529,44530,44531,44532,44533,44536,44537,44538,44539,44540,44543,44544,44545,44546,44547,44550,44551,44552,44553,44554,44557,44558,44559,44560,44561,44565,44566,44567,44568,44571,44572,44573,44574,44575,44578,44579,44580,44581,44582,44585,44586,44587,44588,44589,44599,44600,44601,44602,44603,44606,44607,44608,44609,44610,44613,44614,44615,44616,44617,44620,44621,44622,44623,44624,44627,44628,44629,44630,44631,44634,44635,44636,44637,44638,44641,44642,44643,44644,44645,44648,44649,44650,44651],"JD^FG_PRICE_ICS(0/0/-1,NOW,D,LOCAL,SPLIT,0,,,5)":[83.0,84.33,84.31,84.31,83.51,81.25,82.14,80.41,78.65,78.8,78.12,77.49,77.04,76.95,74.55,75.72,76.11,76.75,76.14,78.46,79.06,77.83,77.36,76.39,75.51,71.4,72.78,71.25,67.03,68.15,68.21,69.74,70.58,73.7,72.75,71.66,72.81,73.2,72.83,73.94,73.94,78.33,76.54,75.52,75.43,74.68,73.28,72.64,71.85,71.19,70.84,71.49,73.5,71.62,72.62,73.3,73.14,74.9,78.23,77.12,79.75,79.81,77.44,76.23,76.23,72.39,72.7,70.89,73.56,73.17,76.52,75.45,76.86,75.59,74.22,73.87,75.3,75.91,72.29,66.08,64.77,70.28,71.93,70.88,71.49,70.24,71.4,70.74,69.59,71.73,71.76,71.07,70.53,69.86,66.67,64.26,65.53,62.19,63.62,65.73,75.22,76.14,77.04,76.43,76.69,78.56,80.78,80.24,79.855,79.855,83.24,81.73,80.26,80.64,80.17,77.9,76.63,77.17,77.69,75.92,76.13,73.98,76.43,75.42,71.62,72.24,78.61,78.0,78.41,80.57,81.03,81.42,82.42,84.91,85.53,83.97,83.07,84.25,81.48,80.86,80.92,78.28,82.5,80.7,81.36,80.3,77.57,77.47,77.19,77.74,84.2,85.95,84.62,85.73,83.15,88.1,91.55,87.71,89.46,89.36,89.36,88.67,87.91,84.11,85.18,84.46,77.95,75.19,78.09,78.29,79.57,79.71,78.05,77.65,73.66,72.68,71.04,68.19,73.41,73.75,68.65,68.65,67.71,65.87,65.63,70.4,70.07,64.2,63.02,66.78,68.24,69.6,76.76,76.4,71.44,73.72,73.72,73.4,72.3,77.0,73.46,71.74,72.15,71.11,66.68,69.34,73.15,75.36,78.29,76.4,73.98,74.45,76.13,75.3,74.55,71.86,71.86,70.98,70.54,70.91,72.5,71.63,73.3,71.79,67.83,63.59,60.52,58.69,62.4,52.52,47.99,42.94,45.98,64.08,61.94,65.13,61.44,64.73,64.29,61.52,59.92,59.77,62.73,61.49,61.49],"JD^P_LOCAL_INDEX":"SP50","JD^FG_VOLUME(0/0/-1,NOW,D,SPLIT)":[7.102211,10.1406,11.9091,null,8.909481,9.445156,6.65182,8.313427,14.30254,12.51154,8.603738,8.614366,13.89161,9.509046,15.55075,10.83353,9.508967,9.587386,12.23862,11.83405,7.035546,7.32734,6.386928,8.142913,7.808512,16.60201,10.50722,8.704053,34.600006,19.3667,11.87467,12.59403,15.6178,18.38454,10.65772,8.579512,9.398954,6.598702,9.926226,7.876436,null,21.29213,9.419916,12.02768,8.264643,8.419478,8.902747,7.421482,9.47661,11.38708,8.45556,12.30648,12.894,27.66653,8.410114,10.25039,7.976604,9.80007,16.60447,8.378976,11.87644,11.26397,11.11665,8.016401,null,15.59127,10.45951,11.91878,11.20542,5.664117,15.41283,9.620573,9.169867,6.527675,9.476921,6.612382,6.17602,4.531898,20.29002,39.96756,44.22916,33.62872,17.06503,9.947957,8.422528,8.509517,8.074923,7.485547,6.977587,6.342002,5.195324,5.674238,5.78382,5.630593,12.50281,13.38599,9.352488,16.72476,14.98685,19.78276,35.95469,11.31188,11.58111,12.96955,7.979903,13.04441,12.06146,9.906151,8.507041,null,19.34413,7.158622,9.719349,8.229947,7.567679,11.32503,10.90163,7.989437,9.779545,7.788362,4.93146,6.085782,7.938996,11.18538,12.04524,7.134269,11.56328,10.27027,8.772753,9.579548,7.895681,8.360972,6.106603,11.38385,9.831278,6.718708,5.852466,5.129227,6.447767,5.779849,4.468662,8.080133,6.063625,6.083705,5.520253,6.799745,5.704234,6.595199,5.2502,8.36711,15.63726,9.315097,7.317918,9.06469,7.427147,19.31872,15.1839,12.30157,11.90336,6.977328,null,8.311022,9.475248,14.60836,8.963097,10.69533,20.65693,22.19176,14.54843,11.27031,7.49832,10.62483,6.05947,5.595971,14.82151,7.849844,13.13054,10.71484,9.822844,9.264729,26.52902,null,7.691903,9.263487,6.469254,13.90263,5.446238,19.98982,19.18811,12.96537,13.00826,15.80419,27.3756,12.93959,12.50423,12.7831,null,10.21382,6.318328,26.21826,14.4405,15.5034,7.291178,9.546074,13.13708,9.026547,6.135832,7.903249,7.061571,6.432184,6.673354,5.244967,6.766205,6.20116,5.944452,8.913822,null,8.539445,9.412824,10.30709,6.711319,6.469842,8.89576,4.990926,16.44839,15.96782,15.69678,11.86944,9.487275,55.34814,32.96304,47.47733,39.19454,60.08131,25.85408,46.3441,19.69858,19.03855,23.6264,20.64091,16.01403,18.14596,13.14416,10.68729,null],"JD^P_PRICE(NOW)":61.49,"JD^P_PRICE_HIGH(-52AW,0,,,,\"PRICE\",\"INTRA\")":92.69,"JD^P_PRICE_LOW(-52AW,0,,,,\"PRICE\",\"INTRA\")":41.56,"JD^P_PRICE_CHANGE(0CY,NOW,RANGE)/100":-0.12244898,"JD^P_PRICE_CHANGE(-1AY,NOW,RANGE)/100":-0.25915658,"JD^BETA(\"SP50\",-60AM,0,AM)":0.70359516,"JD^FF_FISCAL_DATE(ANN,-4FY,,,RP,\"DATEM\")":"12/2017","JD^FF_FISCAL_DATE(ANN,-3FY,,,RP,\"DATEM\")":"12/2018","JD^FF_FISCAL_DATE(ANN,-2FY,,,RP,\"DATEM\")":"12/2019","JD^FF_FISCAL_DATE(ANN,-1FY,,,RP,\"DATEM\")":"12/2020","JD^FF_FISCAL_DATE(ANN,0FY,,,RP,\"DATEM\")":"12/2021","JD^FF_FISCAL_DATE(QTR,0,,,RP,\"DATEM\")@FF_FISCAL_DATE(SEMI,0,,,RP,\"DATEM\")":"12/2021","JD^FF_SALES(LTM,0)@FF_SALES(LTM_SEMI,0)":147625.578788965,"JD^FF_COGS(LTM,0)@FF_COGS(LTM_SEMI,0)":127835.032106131,"JD^FF_SGA(LTM,0)@FF_SGA(LTM_SEMI,0)":19270.0649917947,"JD^FF_EBITDA_OPER(LTM,0)@FF_EBITDA_OPER(LTM_SEMI,0)":1451.19569,"JD^FF_EBIT_OPER(LTM,0)@FF_EBIT_OPER(LTM_SEMI,0)":520.48169,"JD^FF_INT_EXP_NET(ANN,-4FY,,,RP)":142.602904351289,"JD^FF_INT_EXP_NET(ANN,-3FY,,,RP)":129.142587024631,"JD^FF_INT_EXP_NET(ANN,-2FY,,,RP)":104.924059419686,"JD^FF_INT_EXP_NET(ANN,-1FY,,,RP)":163.016921888705,"JD^FF_INT_EXP_NET(ANN,0FY,,,RP)":188.151276970004,"JD^FF_INT_EXP_NET(LTM,0)":188.398800021067,"JD^FF_PTX_INC(ANN,-4FY,0FY,,RP)":[302.990961462764,-190.504879073137,2233.15131489824,6740.92410565728,362.403961891882],"JD^FF_PTX_INC(LTM,0)@FF_PTX_INC(LTM_SEMI,0)":359.031037243975,"JD^FF_NET_INC(LTM,0)@FF_NET_INC(LTM_SEMI,0)":-560.353792169055,"JD^FF_EPS_DIL(LTM,0)@FF_EPS_DIL(LTM_SEMI,0)":-0.3732,"JD^FF_COM_SHS_OUT(ANN,-4FY,,,RP)":1329.5005,"JD^FF_COM_SHS_OUT(ANN,-3FY,,,RP)":1329.5005,"JD^FF_COM_SHS_OUT(ANN,-2FY,,,RP)":1329.5005,"JD^FF_COM_SHS_OUT(ANN,-1FY,,,RP)":1339.4565,"JD^FF_COM_SHS_OUT(ANN,0FY,,,RP)":null,"JD^FF_COM_SHS_OUT(LTM,0)":null,"JD^FF_CAPEX(ANN,-4FY,0FY,,RP)":[1680.3052647391,3229.47807887693,1302.42855375916,1804.76253702638,null],"JD^FF_CAPEX(LTM,0)@FF_CAPEX(LTM_SEMI,0)":null,"JD^FF_FISCAL_DATE(LTM,0,,,RP,\"DATEM\")":"12/2021","JD^FF_CASH_ST(ANN,-4FY,0FY,,RP)":[5894.71575552839,5758.71841181538,9261.81948691462,23104.1339184688,30008.7577176847],"JD^FF_CASH_ST(QTR,0)@FF_CASH_ST(SEMI,0)":30008.7577176847,"JD^FF_RECEIV_TOT(QTR,0,,,RP)@FF_RECEIV_TOT(SEMI,0,,,RP)":2730.06095695365,"JD^FF_INVEN(ANN,-3FY,,,RP)":6482.54263949793,"JD^FF_INVEN(ANN,-2FY,,,RP)":8401.9245732663,"JD^FF_INVEN(ANN,-1FY,,,RP)":9587.5182727302,"JD^FF_INVEN(ANN,0FY,,,RP)":12483.2394266755,"JD^FF_INVEN(QTR,0)@FF_INVEN(SEMI,0)":12483.2394266755,"JD^FF_ASSETS_CURR(ANN,-4FY,0FY,,RP)":[17664.1050368554,15272.4090770063,19968.4967770651,35903.430991774,47019.4822189287],"JD^FF_ASSETS_CURR(QTR,0)@FF_ASSETS_CURR(SEMI,0)":47019.4822189287,"JD^FF_PPE_NET(ANN,-4FY,0FY,,RP)":[2421.78961916468,4025.30696068872,5039.54749702121,7031.87528670612,9217.8785097322],"JD^FF_PPE_NET(QTR,0)@FF_PPE_NET(SEMI,0)":9217.8785097322,"JD^FF_ASSETS(QTR,0)":77903.5698651439,"JD^FF_DEBT_ST(ANN,-4FY,0FY,,RP)":[2002.00522113027,668.236742065645,516.369926927669,1382.7010000306,1731.03846485762],"JD^FF_DEBT_ST(QTR,0)@FF_DEBT_ST(SEMI,0)":1731.03846485762,"JD^FF_PAY_ACCT(QTR,0)@FF_PAY_ACCT(SEMI,0)":22042.4274518117,"JD^FF_LIABS_CURR(ANN,-4FY,0FY,,RP)":[18158.8791461921,17603.7425171508,20100.9261093648,26608.866020368,34775.361466106],"JD^FF_LIABS_CURR(QTR,0)@FF_LIABS_CURR(SEMI,0)":34775.361466106,"JD^FF_DEBT_LT(ANN,-4FY,0FY,,RP)":[1677.30267199021,1438.24853984302,2235.94843303621,3483.39673996152,3625.52754830673],"JD^FF_DEBT_LT(QTR,0)":3625.52754830673,"JD^FF_LIABS(ANN,-4FY,0FY,,RP)":[20219.0207309587,19275.0503226186,22840.4141723018,30684.2224532865,39182.3125985561],"JD^FF_LIABS(QTR,0)@FF_LIABS(SEMI,0)":39182.3125985561,"JD^FF_PFD_STK(ANN,-4FY,0FY,,RP)":[0.0,0.0,0.0,0.0,0.0],"JD^FF_PFD_STK(QTR,0)@FF_PFD_STK(SEMI,0)":0.0,"JD^FF_SHLDRS_EQ(QTR,0)@FF_SHLDRS_EQ(SEMI,0)":32778.9393333186,"JD^FF_LIABS_SHLDRS_EQ(ANN,-4FY,0FY,,RP)":[28263.9689803446,30465.1902937799,37286.0881174907,64571.9737606665,77903.5698651439],"JD^FF_LIABS_SHLDRS_EQ(QTR,0,,,RP)@FF_LIABS_SHLDRS_EQ(SEMI,0,,,RP)":77903.5698651439,"JD^FG_PRICE(-4FY,,)":41.42,"JD^FG_PRICE(-3FY,,)":21.71,"JD^FG_PRICE(-2FY,,)":35.23,"JD^FG_PRICE(-1FY,,)":87.9,"JD^FG_PRICE(-0FY,,)":70.07,"JD^FG_PRICE(0M,,)":71.63,"JD^FG_FACTSET_SECTOR":"Retail Trade","JD^FE_ESTIMATE(EPS,MEAN,ANNUAL,+1,NOW)":1.9583534,"JD^FE_ESTIMATE(EPS,MEAN,NTMA,,NOW)":2.2140288,"JD^FE_ESTIMATE(EPS_LTG,MEAN,,,NOW,,,'')/100":-0.06498662,"JD^CS_EVENT_DATEJ_N(\"ER\",1)":44692,"JD^FG_FACTSET_IND":"Internet Retail","JD^FF_COM_SHS_OUT(CURR,0)":1317.449284,"JD^FF_DPS(LTM,0)":null,"DUMMY^JULIAN(TODAY)":44651,"JD^P(NOW)":61.49,"JD^P_CURRENCY(\"ISO\")":"USD","JD^P_EXCHANGE('NAME','FS')":"NASDAQ","JD^FF_COGS(ANN,-5FY,,,RP)":33219.9567594205,"JD^REBASE(FG_PRICE_ICS(,,,LOCAL,SPLIT,0,,,5), 83, 0/0/-1) : 0/0/-1,NOW,D":[83.0,84.33,84.31,84.31,83.51,81.25,82.14,80.41,78.65,78.8,78.12,77.49,77.04,76.95,74.55,75.72,76.11,76.75,76.14,78.46,79.06,77.83,77.36,76.39,75.51,71.4,72.78,71.25,67.03,68.15,68.21,69.74,70.58,73.7,72.75,71.66,72.81,73.2,72.83,73.94,73.94,78.33,76.54,75.52,75.43,74.68,73.28,72.64,71.85,71.19,70.84,71.49,73.5,71.62,72.62,73.3,73.14,74.9,78.23,77.12,79.75,79.81,77.44,76.23,76.23,72.39,72.7,70.89,73.56,73.17,76.52,75.45,76.86,75.59,74.22,73.87,75.3,75.91,72.29,66.08,64.77,70.28,71.93,70.88,71.49,70.24,71.4,70.74,69.59,71.73,71.76,71.07,70.53,69.86,66.67,64.26,65.53,62.19,63.62,65.73,75.22,76.14,77.04,76.43,76.69,78.56,80.78,80.24,79.855,79.855,83.24,81.73,80.26,80.64,80.17,77.9,76.63,77.17,77.69,75.92,76.13,73.98,76.43,75.42,71.62,72.24,78.61,78.0,78.41,80.57,81.03,81.42,82.42,84.91,85.53,83.97,83.07,84.25,81.48,80.86,80.92,78.28,82.5,80.7,81.36,80.3,77.57,77.47,77.19,77.74,84.2,85.95,84.62,85.73,83.15,88.1,91.55,87.71,89.46,89.36,89.36,88.67,87.91,84.11,85.18,84.46,77.95,75.19,78.09,78.29,79.57,79.71,78.05,77.65,73.66,72.68,71.04,68.19,73.41,73.75,68.65,68.65,67.71,65.87,65.63,70.4,70.07,64.2,63.02,66.78,68.24,69.6,76.76,76.4,71.44,73.72,73.72,73.4,72.3,77.0,73.46,71.74,72.15,71.11,66.68,69.34,73.15,75.36,78.29,76.4,73.98,74.45,76.13,75.3,74.55,71.86,71.86,70.98,70.54,70.91,72.5,71.63,73.3,71.79,67.83,63.59,60.52,58.69,62.4,52.52,47.99,42.94,45.98,64.08,61.94,65.13,61.44,64.73,64.29,61.52,59.92,59.77,62.73,61.49,61.49],"SP50^REBASE(FG_PRICE_ICS(,,,LOCAL,SPLIT,0,,,5), 83, 0/0/-1) : 0/0/-1,NOW,D":[83.0,83.3006707001301,84.2857132030668,84.2857132030668,85.4194136741989,85.5454269871544,85.9064834345909,86.5696782912935,86.5526947998636,86.8378497176997,86.4828737795405,87.4423362089654,87.7578936731884,87.2922105316341,86.6984173497871,87.5052380290763,86.699256040722,87.6467671243258,87.8029733109346,87.7841027649013,87.7098786171704,88.3030427808162,87.6677343976961,88.0965151381187,88.7460812671306,87.8199568023645,87.0582157608215,85.1908703944626,86.2279117353576,87.5142539566255,87.2928395498352,86.5493400361243,86.2945876646752,87.205406019881,87.1370527086938,88.0006946988165,87.8136666203534,87.978469389044,88.0809993558247,88.1487236488108,88.1487236488108,88.1053213929343,88.2328024150257,87.9126321506612,88.6892599562971,88.6186002450392,88.6341160273332,88.4724583496482,88.8840459259072,89.0572356039459,89.0394134215811,88.559472534135,88.5208927511336,87.3590961336853,88.5823268621086,89.0362683305756,88.9398188730722,89.4566621616501,89.7546071162421,89.9623927953417,89.9873438506524,90.1068573088631,90.5773629232926,91.2567025804903,91.2567025804903,91.0721905748317,91.3781030933044,90.5958141238585,91.6175493551932,91.9337358376173,91.6104204822473,91.7171439037021,91.4179409127079,90.7287466370262,89.2889239746877,90.642780816208,91.3898447663917,91.5741470993167,92.5032069823547,92.7235730254765,92.2866150484395,92.2694218842758,92.65752611436,92.1566179535436,91.9867830392442,92.7413952078413,92.3117757764838,92.8661504843946,93.0217276528022,92.934294122848,93.0265501256773,93.2561417690821,93.5314420684341,93.6817774184992,93.9273041896654,93.2641093329628,92.2616639931288,92.3776130148666,93.1297091106592,93.9235300804587,94.0640108120398,94.2728448548079,93.7237119652398,94.5491935178285,94.9563779666797,94.8282679263872,94.8578317818393,95.1274709173814,95.0956006618585,95.0956006618585,94.7727046519559,94.6477397026689,94.2118300893004,93.484265703351,93.6970835280595,93.1586439479102,93.948061790302,93.8023392403784,92.947713177805,92.1645855174243,93.2829798789961,93.419267155903,93.1599019843124,91.2627830897677,91.4060105341602,90.3173687335009,92.074426241932,91.4422629498175,91.2212678884945,91.496987533314,93.0582107084665,93.7524371297571,94.0688332849149,94.7643177426078,95.1115357896199,95.3964810347223,95.2941607406752,95.7466345000063,95.9208725417135,95.4363188541259,96.3743946647131,96.562261434111,96.7360801303508,97.0921044321784,97.7194452514178,98.128097409405,98.4943956751841,98.5818292051382,98.2369175581968,97.4288388425055,97.4825150623334,98.1865961021081,98.1855477384396,98.565055386442,98.3086256331232,98.6413762615099,98.5034116027333,98.1884831567114,98.3511891980649,98.5767970595294,98.5767970595294,96.3366535726465,97.6083187025552,95.7575374821589,94.6261434110975,95.9693069431989,95.1585024819694,96.2748001162042,98.2683684682523,98.5715552411868,97.8637000922055,98.7982114663197,97.8955703477283,97.1642318525723,98.7527124831062,97.8892801657172,96.8822220257418,95.7789241009966,97.4816763713986,98.4740574200149,99.0869308206288,99.0869308206288,100.458190499046,100.356708895934,100.497399300249,100.196938272852,99.9337989920552,100.507463591467,98.5583458589635,98.463364110596,98.0645665710929,97.9232471485771,98.8202271033585,99.0986724937161,97.6871556504275,97.7672506347021,97.7672506347021,95.9695166159326,95.0396180419598,93.9906253552437,92.212810246176,92.46840130856,91.3428780740423,91.2061714516679,90.7151179093355,92.9238104861629,94.0145280468858,94.804365234745,96.1806570587715,94.4382766416996,92.6468328049412,92.2910181758472,93.746146947746,93.828758004825,91.8421088529891,91.1839461418954,91.1839461418954,90.2590797135315,88.5972136262015,89.9223453032044,91.9341551830847,91.7095956852888,90.2905306235869,91.9737833297546,91.4904876785692,90.7646006744894,88.0854024832325,87.4482070455091,89.6954794053378,89.3105202662591,88.1529171034849,87.4987381743315,89.3719543772341,91.3724419294944,92.5006909095502,93.5794571244521,93.5387806141138,94.596160210178,93.4352022836645,94.775430397494,95.2555809576739,95.9361786512738,97.1120233418802,96.500827323136,96.500827323136]}]]></FdsFormulaCache>
</file>

<file path=customXml/itemProps1.xml><?xml version="1.0" encoding="utf-8"?>
<ds:datastoreItem xmlns:ds="http://schemas.openxmlformats.org/officeDocument/2006/customXml" ds:itemID="{527AE2B3-EEBD-447A-BD19-AB0BE27B1D92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持仓报告</vt:lpstr>
    </vt:vector>
  </TitlesOfParts>
  <Company>FactSet Research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at a Glance</dc:title>
  <dc:creator>Wind</dc:creator>
  <cp:lastModifiedBy>Cui YongQiang</cp:lastModifiedBy>
  <cp:lastPrinted>2012-08-17T09:22:51Z</cp:lastPrinted>
  <dcterms:created xsi:type="dcterms:W3CDTF">2002-04-02T21:37:13Z</dcterms:created>
  <dcterms:modified xsi:type="dcterms:W3CDTF">2024-04-08T05:46:30Z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SMenuDocLevelBtnStates">
    <vt:lpwstr>&lt;btnStates&gt;&lt;btn tag="1001" state="UP"/&gt;&lt;/btnStates&gt;_x000d_
</vt:lpwstr>
  </property>
  <property fmtid="{D5CDD505-2E9C-101B-9397-08002B2CF9AE}" pid="3" name="FactSetAutoResize">
    <vt:i4>1</vt:i4>
  </property>
  <property fmtid="{D5CDD505-2E9C-101B-9397-08002B2CF9AE}" pid="4" name="=fdsSearchOrder">
    <vt:i4>0</vt:i4>
  </property>
</Properties>
</file>