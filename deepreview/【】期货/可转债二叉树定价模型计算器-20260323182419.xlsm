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20230727 模板库-更新计划1期\债券\"/>
    </mc:Choice>
  </mc:AlternateContent>
  <bookViews>
    <workbookView xWindow="0" yWindow="0" windowWidth="28800" windowHeight="12240"/>
  </bookViews>
  <sheets>
    <sheet name="定价" sheetId="1" r:id="rId1"/>
    <sheet name="Wind模板" sheetId="5" state="hidden" r:id="rId2"/>
    <sheet name="使用说明" sheetId="4" r:id="rId3"/>
    <sheet name="数据" sheetId="2" r:id="rId4"/>
    <sheet name="算法说明" sheetId="3" r:id="rId5"/>
  </sheets>
  <functionGroups builtInGroupCount="18"/>
  <externalReferences>
    <externalReference r:id="rId6"/>
    <externalReference r:id="rId7"/>
  </externalReferences>
  <definedNames>
    <definedName name="A股列表">[1]证券列表!$A$1:$A$1898</definedName>
    <definedName name="cba">数据!$A$2:$A$14</definedName>
    <definedName name="Index">[1]证券列表!$B$1:$B$7</definedName>
  </definedNames>
  <calcPr calcId="162913" iterate="1"/>
</workbook>
</file>

<file path=xl/calcChain.xml><?xml version="1.0" encoding="utf-8"?>
<calcChain xmlns="http://schemas.openxmlformats.org/spreadsheetml/2006/main">
  <c r="C5" i="1" l="1"/>
  <c r="B2" i="2"/>
  <c r="C11" i="1"/>
  <c r="A6" i="2"/>
  <c r="C6" i="1"/>
  <c r="E11" i="1"/>
  <c r="E12" i="1"/>
  <c r="C13" i="1"/>
  <c r="D16" i="1"/>
  <c r="C12" i="1"/>
  <c r="E9" i="1" s="1"/>
  <c r="E13" i="1"/>
  <c r="B29" i="1" l="1"/>
  <c r="B25" i="1"/>
  <c r="B26" i="1"/>
  <c r="B31" i="1"/>
  <c r="B28" i="1"/>
  <c r="B30" i="1"/>
  <c r="B27" i="1"/>
  <c r="E27" i="1"/>
  <c r="D29" i="1"/>
  <c r="E26" i="1"/>
  <c r="E25" i="1"/>
  <c r="C28" i="1"/>
  <c r="G29" i="1"/>
  <c r="D31" i="1"/>
  <c r="F27" i="1"/>
  <c r="G25" i="1"/>
  <c r="E28" i="1"/>
  <c r="G26" i="1"/>
  <c r="E31" i="1"/>
  <c r="F26" i="1"/>
  <c r="E30" i="1"/>
  <c r="D27" i="1"/>
  <c r="C29" i="1"/>
  <c r="G27" i="1"/>
  <c r="G31" i="1"/>
  <c r="D25" i="1"/>
  <c r="D30" i="1"/>
  <c r="C30" i="1"/>
  <c r="C26" i="1"/>
  <c r="F30" i="1"/>
  <c r="G30" i="1"/>
  <c r="C25" i="1"/>
  <c r="G28" i="1"/>
  <c r="F31" i="1"/>
  <c r="C27" i="1"/>
  <c r="C31" i="1"/>
  <c r="E29" i="1"/>
  <c r="D26" i="1"/>
  <c r="F25" i="1"/>
  <c r="F28" i="1"/>
  <c r="D28" i="1"/>
  <c r="F29" i="1"/>
  <c r="C16" i="1"/>
  <c r="E16" i="1" l="1"/>
</calcChain>
</file>

<file path=xl/comments1.xml><?xml version="1.0" encoding="utf-8"?>
<comments xmlns="http://schemas.openxmlformats.org/spreadsheetml/2006/main">
  <authors>
    <author>作者</author>
  </authors>
  <commentLis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<sst xmlns="http://schemas.openxmlformats.org/spreadsheetml/2006/main" count="1223" uniqueCount="1222">
  <si>
    <r>
      <rPr>
        <b/>
        <sz val="10"/>
        <color indexed="9"/>
        <rFont val="宋体"/>
        <family val="3"/>
        <charset val="134"/>
      </rPr>
      <t>债券代码</t>
    </r>
    <phoneticPr fontId="1" type="noConversion"/>
  </si>
  <si>
    <r>
      <rPr>
        <b/>
        <sz val="10"/>
        <color indexed="9"/>
        <rFont val="宋体"/>
        <family val="3"/>
        <charset val="134"/>
      </rPr>
      <t>债券简称</t>
    </r>
    <phoneticPr fontId="1" type="noConversion"/>
  </si>
  <si>
    <r>
      <rPr>
        <b/>
        <sz val="10"/>
        <color indexed="9"/>
        <rFont val="宋体"/>
        <family val="3"/>
        <charset val="134"/>
      </rPr>
      <t>时间周期</t>
    </r>
    <phoneticPr fontId="1" type="noConversion"/>
  </si>
  <si>
    <r>
      <rPr>
        <b/>
        <sz val="10"/>
        <color indexed="9"/>
        <rFont val="宋体"/>
        <family val="3"/>
        <charset val="134"/>
      </rPr>
      <t>计算日期</t>
    </r>
    <phoneticPr fontId="1" type="noConversion"/>
  </si>
  <si>
    <r>
      <rPr>
        <b/>
        <sz val="10"/>
        <color indexed="9"/>
        <rFont val="宋体"/>
        <family val="3"/>
        <charset val="134"/>
      </rPr>
      <t>正股代码</t>
    </r>
    <phoneticPr fontId="1" type="noConversion"/>
  </si>
  <si>
    <r>
      <t>T-1</t>
    </r>
    <r>
      <rPr>
        <b/>
        <sz val="10"/>
        <color indexed="9"/>
        <rFont val="宋体"/>
        <family val="3"/>
        <charset val="134"/>
      </rPr>
      <t>日正股价格</t>
    </r>
    <phoneticPr fontId="1" type="noConversion"/>
  </si>
  <si>
    <r>
      <rPr>
        <b/>
        <sz val="10"/>
        <color indexed="9"/>
        <rFont val="宋体"/>
        <family val="3"/>
        <charset val="134"/>
      </rPr>
      <t>转债剩余年限</t>
    </r>
    <phoneticPr fontId="1" type="noConversion"/>
  </si>
  <si>
    <r>
      <rPr>
        <b/>
        <sz val="10"/>
        <color indexed="9"/>
        <rFont val="宋体"/>
        <family val="3"/>
        <charset val="134"/>
      </rPr>
      <t>二叉树</t>
    </r>
    <phoneticPr fontId="1" type="noConversion"/>
  </si>
  <si>
    <r>
      <rPr>
        <b/>
        <sz val="10"/>
        <color indexed="9"/>
        <rFont val="宋体"/>
        <family val="3"/>
        <charset val="134"/>
      </rPr>
      <t>理论价</t>
    </r>
    <phoneticPr fontId="1" type="noConversion"/>
  </si>
  <si>
    <r>
      <rPr>
        <b/>
        <sz val="10"/>
        <color indexed="9"/>
        <rFont val="宋体"/>
        <family val="3"/>
        <charset val="134"/>
      </rPr>
      <t>市价</t>
    </r>
    <phoneticPr fontId="1" type="noConversion"/>
  </si>
  <si>
    <r>
      <rPr>
        <b/>
        <sz val="10"/>
        <color indexed="9"/>
        <rFont val="宋体"/>
        <family val="3"/>
        <charset val="134"/>
      </rPr>
      <t>差值</t>
    </r>
    <phoneticPr fontId="1" type="noConversion"/>
  </si>
  <si>
    <r>
      <rPr>
        <b/>
        <sz val="10"/>
        <color indexed="9"/>
        <rFont val="宋体"/>
        <family val="3"/>
        <charset val="134"/>
      </rPr>
      <t>定价模型</t>
    </r>
    <phoneticPr fontId="1" type="noConversion"/>
  </si>
  <si>
    <r>
      <rPr>
        <b/>
        <sz val="10"/>
        <color indexed="9"/>
        <rFont val="宋体"/>
        <family val="3"/>
        <charset val="134"/>
      </rPr>
      <t>无风险利率</t>
    </r>
    <r>
      <rPr>
        <b/>
        <sz val="10"/>
        <color indexed="9"/>
        <rFont val="Arial"/>
        <family val="2"/>
      </rPr>
      <t>(%)</t>
    </r>
    <phoneticPr fontId="1" type="noConversion"/>
  </si>
  <si>
    <t>最近24个月历史数据</t>
  </si>
  <si>
    <r>
      <rPr>
        <b/>
        <sz val="10"/>
        <color indexed="9"/>
        <rFont val="宋体"/>
        <family val="3"/>
        <charset val="134"/>
      </rPr>
      <t>正股年波动率</t>
    </r>
    <r>
      <rPr>
        <b/>
        <sz val="10"/>
        <color indexed="9"/>
        <rFont val="Arial"/>
        <family val="2"/>
      </rPr>
      <t>(%)</t>
    </r>
    <phoneticPr fontId="1" type="noConversion"/>
  </si>
  <si>
    <r>
      <rPr>
        <b/>
        <sz val="10"/>
        <color indexed="9"/>
        <rFont val="宋体"/>
        <family val="3"/>
        <charset val="134"/>
      </rPr>
      <t>转股价</t>
    </r>
    <phoneticPr fontId="1" type="noConversion"/>
  </si>
  <si>
    <r>
      <t>T-1</t>
    </r>
    <r>
      <rPr>
        <b/>
        <sz val="10"/>
        <color indexed="9"/>
        <rFont val="宋体"/>
        <family val="3"/>
        <charset val="134"/>
      </rPr>
      <t>日正股价格</t>
    </r>
    <phoneticPr fontId="1" type="noConversion"/>
  </si>
  <si>
    <r>
      <rPr>
        <b/>
        <sz val="10"/>
        <color indexed="9"/>
        <rFont val="宋体"/>
        <family val="3"/>
        <charset val="134"/>
      </rPr>
      <t>纯债价值</t>
    </r>
    <phoneticPr fontId="1" type="noConversion"/>
  </si>
  <si>
    <r>
      <rPr>
        <b/>
        <sz val="10"/>
        <color indexed="9"/>
        <rFont val="宋体"/>
        <family val="3"/>
        <charset val="134"/>
      </rPr>
      <t>正股年波动率（</t>
    </r>
    <r>
      <rPr>
        <b/>
        <sz val="10"/>
        <color indexed="9"/>
        <rFont val="Arial"/>
        <family val="2"/>
      </rPr>
      <t>%</t>
    </r>
    <r>
      <rPr>
        <b/>
        <sz val="10"/>
        <color indexed="9"/>
        <rFont val="宋体"/>
        <family val="3"/>
        <charset val="134"/>
      </rPr>
      <t>）</t>
    </r>
    <phoneticPr fontId="1" type="noConversion"/>
  </si>
  <si>
    <t>数据集名称</t>
  </si>
  <si>
    <t>板块成分</t>
  </si>
  <si>
    <t>日期</t>
  </si>
  <si>
    <t>板块ID</t>
  </si>
  <si>
    <t>a101020600000000</t>
  </si>
  <si>
    <t>date</t>
  </si>
  <si>
    <t>最新调整日期</t>
  </si>
  <si>
    <t>wind_code</t>
    <phoneticPr fontId="1" type="noConversion"/>
  </si>
  <si>
    <t>Wind代码</t>
  </si>
  <si>
    <t>sec_name</t>
  </si>
  <si>
    <t>证券名称</t>
  </si>
  <si>
    <t>110047.SH</t>
  </si>
  <si>
    <t>山鹰转债</t>
  </si>
  <si>
    <t>110048.SH</t>
  </si>
  <si>
    <t>福能转债</t>
  </si>
  <si>
    <t>110052.SH</t>
  </si>
  <si>
    <t>贵广转债</t>
  </si>
  <si>
    <t>110055.SH</t>
  </si>
  <si>
    <t>伊力转债</t>
  </si>
  <si>
    <t>110058.SH</t>
  </si>
  <si>
    <t>永鼎转债</t>
  </si>
  <si>
    <t>110059.SH</t>
  </si>
  <si>
    <t>浦发转债</t>
  </si>
  <si>
    <t>110060.SH</t>
  </si>
  <si>
    <t>天路转债</t>
  </si>
  <si>
    <t>110062.SH</t>
  </si>
  <si>
    <t>烽火转债</t>
  </si>
  <si>
    <t>110063.SH</t>
  </si>
  <si>
    <t>鹰19转债</t>
  </si>
  <si>
    <t>110064.SH</t>
  </si>
  <si>
    <t>建工转债</t>
  </si>
  <si>
    <t>110067.SH</t>
  </si>
  <si>
    <t>华安转债</t>
  </si>
  <si>
    <t>110068.SH</t>
  </si>
  <si>
    <t>龙净转债</t>
  </si>
  <si>
    <t>110070.SH</t>
  </si>
  <si>
    <t>凌钢转债</t>
  </si>
  <si>
    <t>110072.SH</t>
  </si>
  <si>
    <t>广汇转债</t>
  </si>
  <si>
    <t>110073.SH</t>
  </si>
  <si>
    <t>国投转债</t>
  </si>
  <si>
    <t>110074.SH</t>
  </si>
  <si>
    <t>精达转债</t>
  </si>
  <si>
    <t>110075.SH</t>
  </si>
  <si>
    <t>南航转债</t>
  </si>
  <si>
    <t>110076.SH</t>
  </si>
  <si>
    <t>华海转债</t>
  </si>
  <si>
    <t>110077.SH</t>
  </si>
  <si>
    <t>洪城转债</t>
  </si>
  <si>
    <t>110079.SH</t>
  </si>
  <si>
    <t>杭银转债</t>
  </si>
  <si>
    <t>110081.SH</t>
  </si>
  <si>
    <t>闻泰转债</t>
  </si>
  <si>
    <t>110082.SH</t>
  </si>
  <si>
    <t>宏发转债</t>
  </si>
  <si>
    <t>110083.SH</t>
  </si>
  <si>
    <t>苏租转债</t>
  </si>
  <si>
    <t>110084.SH</t>
  </si>
  <si>
    <t>贵燃转债</t>
  </si>
  <si>
    <t>110085.SH</t>
  </si>
  <si>
    <t>通22转债</t>
  </si>
  <si>
    <t>110086.SH</t>
  </si>
  <si>
    <t>精工转债</t>
  </si>
  <si>
    <t>110087.SH</t>
  </si>
  <si>
    <t>天业转债</t>
  </si>
  <si>
    <t>110801.SH</t>
  </si>
  <si>
    <t>继峰定01</t>
  </si>
  <si>
    <t>110807.SH</t>
  </si>
  <si>
    <t>动力定01</t>
  </si>
  <si>
    <t>110808.SH</t>
  </si>
  <si>
    <t>动力定02</t>
  </si>
  <si>
    <t>110813.SH</t>
  </si>
  <si>
    <t>海正定转</t>
  </si>
  <si>
    <t>111000.SH</t>
  </si>
  <si>
    <t>起帆转债</t>
  </si>
  <si>
    <t>111001.SH</t>
  </si>
  <si>
    <t>山玻转债</t>
  </si>
  <si>
    <t>111002.SH</t>
  </si>
  <si>
    <t>特纸转债</t>
  </si>
  <si>
    <t>111003.SH</t>
  </si>
  <si>
    <t>聚合转债</t>
  </si>
  <si>
    <t>111004.SH</t>
  </si>
  <si>
    <t>明新转债</t>
  </si>
  <si>
    <t>111005.SH</t>
  </si>
  <si>
    <t>113021.SH</t>
  </si>
  <si>
    <t>中信转债</t>
  </si>
  <si>
    <t>113024.SH</t>
  </si>
  <si>
    <t>核建转债</t>
  </si>
  <si>
    <t>113027.SH</t>
  </si>
  <si>
    <t>华钰转债</t>
  </si>
  <si>
    <t>113030.SH</t>
  </si>
  <si>
    <t>东风转债</t>
  </si>
  <si>
    <t>113033.SH</t>
  </si>
  <si>
    <t>利群转债</t>
  </si>
  <si>
    <t>113037.SH</t>
  </si>
  <si>
    <t>紫银转债</t>
  </si>
  <si>
    <t>113039.SH</t>
  </si>
  <si>
    <t>嘉泽转债</t>
  </si>
  <si>
    <t>113042.SH</t>
  </si>
  <si>
    <t>上银转债</t>
  </si>
  <si>
    <t>113043.SH</t>
  </si>
  <si>
    <t>财通转债</t>
  </si>
  <si>
    <t>113044.SH</t>
  </si>
  <si>
    <t>大秦转债</t>
  </si>
  <si>
    <t>113045.SH</t>
  </si>
  <si>
    <t>环旭转债</t>
  </si>
  <si>
    <t>113046.SH</t>
  </si>
  <si>
    <t>金田转债</t>
  </si>
  <si>
    <t>113047.SH</t>
  </si>
  <si>
    <t>旗滨转债</t>
  </si>
  <si>
    <t>113048.SH</t>
  </si>
  <si>
    <t>晶科转债</t>
  </si>
  <si>
    <t>113049.SH</t>
  </si>
  <si>
    <t>长汽转债</t>
  </si>
  <si>
    <t>113050.SH</t>
  </si>
  <si>
    <t>南银转债</t>
  </si>
  <si>
    <t>113051.SH</t>
  </si>
  <si>
    <t>节能转债</t>
  </si>
  <si>
    <t>113052.SH</t>
  </si>
  <si>
    <t>兴业转债</t>
  </si>
  <si>
    <t>113053.SH</t>
  </si>
  <si>
    <t>隆22转债</t>
  </si>
  <si>
    <t>113054.SH</t>
  </si>
  <si>
    <t>绿动转债</t>
  </si>
  <si>
    <t>113055.SH</t>
  </si>
  <si>
    <t>成银转债</t>
  </si>
  <si>
    <t>113056.SH</t>
  </si>
  <si>
    <t>重银转债</t>
  </si>
  <si>
    <t>113058.SH</t>
  </si>
  <si>
    <t>友发转债</t>
  </si>
  <si>
    <t>113059.SH</t>
  </si>
  <si>
    <t>福莱转债</t>
  </si>
  <si>
    <t>113060.SH</t>
  </si>
  <si>
    <t>浙22转债</t>
  </si>
  <si>
    <t>113516.SH</t>
  </si>
  <si>
    <t>苏农转债</t>
  </si>
  <si>
    <t>113519.SH</t>
  </si>
  <si>
    <t>长久转债</t>
  </si>
  <si>
    <t>113524.SH</t>
  </si>
  <si>
    <t>奇精转债</t>
  </si>
  <si>
    <t>113526.SH</t>
  </si>
  <si>
    <t>联泰转债</t>
  </si>
  <si>
    <t>113527.SH</t>
  </si>
  <si>
    <t>维格转债</t>
  </si>
  <si>
    <t>113530.SH</t>
  </si>
  <si>
    <t>大丰转债</t>
  </si>
  <si>
    <t>113532.SH</t>
  </si>
  <si>
    <t>海环转债</t>
  </si>
  <si>
    <t>113534.SH</t>
  </si>
  <si>
    <t>鼎胜转债</t>
  </si>
  <si>
    <t>113537.SH</t>
  </si>
  <si>
    <t>文灿转债</t>
  </si>
  <si>
    <t>113542.SH</t>
  </si>
  <si>
    <t>好客转债</t>
  </si>
  <si>
    <t>113545.SH</t>
  </si>
  <si>
    <t>金能转债</t>
  </si>
  <si>
    <t>113546.SH</t>
  </si>
  <si>
    <t>迪贝转债</t>
  </si>
  <si>
    <t>113549.SH</t>
  </si>
  <si>
    <t>白电转债</t>
  </si>
  <si>
    <t>113561.SH</t>
  </si>
  <si>
    <t>正裕转债</t>
  </si>
  <si>
    <t>113563.SH</t>
  </si>
  <si>
    <t>柳药转债</t>
  </si>
  <si>
    <t>113565.SH</t>
  </si>
  <si>
    <t>宏辉转债</t>
  </si>
  <si>
    <t>113569.SH</t>
  </si>
  <si>
    <t>科达转债</t>
  </si>
  <si>
    <t>113573.SH</t>
  </si>
  <si>
    <t>纵横转债</t>
  </si>
  <si>
    <t>113574.SH</t>
  </si>
  <si>
    <t>华体转债</t>
  </si>
  <si>
    <t>113575.SH</t>
  </si>
  <si>
    <t>东时转债</t>
  </si>
  <si>
    <t>113576.SH</t>
  </si>
  <si>
    <t>起步转债</t>
  </si>
  <si>
    <t>113577.SH</t>
  </si>
  <si>
    <t>春秋转债</t>
  </si>
  <si>
    <t>113579.SH</t>
  </si>
  <si>
    <t>健友转债</t>
  </si>
  <si>
    <t>113582.SH</t>
  </si>
  <si>
    <t>火炬转债</t>
  </si>
  <si>
    <t>113584.SH</t>
  </si>
  <si>
    <t>家悦转债</t>
  </si>
  <si>
    <t>113588.SH</t>
  </si>
  <si>
    <t>润达转债</t>
  </si>
  <si>
    <t>113589.SH</t>
  </si>
  <si>
    <t>天创转债</t>
  </si>
  <si>
    <t>113593.SH</t>
  </si>
  <si>
    <t>沪工转债</t>
  </si>
  <si>
    <t>113596.SH</t>
  </si>
  <si>
    <t>城地转债</t>
  </si>
  <si>
    <t>113597.SH</t>
  </si>
  <si>
    <t>佳力转债</t>
  </si>
  <si>
    <t>113598.SH</t>
  </si>
  <si>
    <t>法兰转债</t>
  </si>
  <si>
    <t>113600.SH</t>
  </si>
  <si>
    <t>新星转债</t>
  </si>
  <si>
    <t>113601.SH</t>
  </si>
  <si>
    <t>塞力转债</t>
  </si>
  <si>
    <t>113602.SH</t>
  </si>
  <si>
    <t>景20转债</t>
  </si>
  <si>
    <t>113605.SH</t>
  </si>
  <si>
    <t>大参转债</t>
  </si>
  <si>
    <t>113606.SH</t>
  </si>
  <si>
    <t>荣泰转债</t>
  </si>
  <si>
    <t>113608.SH</t>
  </si>
  <si>
    <t>威派转债</t>
  </si>
  <si>
    <t>113609.SH</t>
  </si>
  <si>
    <t>永安转债</t>
  </si>
  <si>
    <t>113610.SH</t>
  </si>
  <si>
    <t>灵康转债</t>
  </si>
  <si>
    <t>113615.SH</t>
  </si>
  <si>
    <t>金诚转债</t>
  </si>
  <si>
    <t>113616.SH</t>
  </si>
  <si>
    <t>韦尔转债</t>
  </si>
  <si>
    <t>113618.SH</t>
  </si>
  <si>
    <t>美诺转债</t>
  </si>
  <si>
    <t>113619.SH</t>
  </si>
  <si>
    <t>世运转债</t>
  </si>
  <si>
    <t>113621.SH</t>
  </si>
  <si>
    <t>彤程转债</t>
  </si>
  <si>
    <t>113623.SH</t>
  </si>
  <si>
    <t>凤21转债</t>
  </si>
  <si>
    <t>113624.SH</t>
  </si>
  <si>
    <t>正川转债</t>
  </si>
  <si>
    <t>113625.SH</t>
  </si>
  <si>
    <t>江山转债</t>
  </si>
  <si>
    <t>113627.SH</t>
  </si>
  <si>
    <t>太平转债</t>
  </si>
  <si>
    <t>113628.SH</t>
  </si>
  <si>
    <t>晨丰转债</t>
  </si>
  <si>
    <t>113629.SH</t>
  </si>
  <si>
    <t>泉峰转债</t>
  </si>
  <si>
    <t>113631.SH</t>
  </si>
  <si>
    <t>皖天转债</t>
  </si>
  <si>
    <t>113632.SH</t>
  </si>
  <si>
    <t>鹤21转债</t>
  </si>
  <si>
    <t>113633.SH</t>
  </si>
  <si>
    <t>科沃转债</t>
  </si>
  <si>
    <t>113634.SH</t>
  </si>
  <si>
    <t>珀莱转债</t>
  </si>
  <si>
    <t>113636.SH</t>
  </si>
  <si>
    <t>甬金转债</t>
  </si>
  <si>
    <t>113637.SH</t>
  </si>
  <si>
    <t>华翔转债</t>
  </si>
  <si>
    <t>113638.SH</t>
  </si>
  <si>
    <t>台21转债</t>
  </si>
  <si>
    <t>113639.SH</t>
  </si>
  <si>
    <t>华正转债</t>
  </si>
  <si>
    <t>113640.SH</t>
  </si>
  <si>
    <t>苏利转债</t>
  </si>
  <si>
    <t>113641.SH</t>
  </si>
  <si>
    <t>华友转债</t>
  </si>
  <si>
    <t>113643.SH</t>
  </si>
  <si>
    <t>风语转债</t>
  </si>
  <si>
    <t>113644.SH</t>
  </si>
  <si>
    <t>艾迪转债</t>
  </si>
  <si>
    <t>113646.SH</t>
  </si>
  <si>
    <t>永吉转债</t>
  </si>
  <si>
    <t>113647.SH</t>
  </si>
  <si>
    <t>禾丰转债</t>
  </si>
  <si>
    <t>113648.SH</t>
  </si>
  <si>
    <t>巨星转债</t>
  </si>
  <si>
    <t>113649.SH</t>
  </si>
  <si>
    <t>丰山转债</t>
  </si>
  <si>
    <t>113650.SH</t>
  </si>
  <si>
    <t>博22转债</t>
  </si>
  <si>
    <t>118000.SH</t>
  </si>
  <si>
    <t>嘉元转债</t>
  </si>
  <si>
    <t>118003.SH</t>
  </si>
  <si>
    <t>华兴转债</t>
  </si>
  <si>
    <t>118004.SH</t>
  </si>
  <si>
    <t>博瑞转债</t>
  </si>
  <si>
    <t>118005.SH</t>
  </si>
  <si>
    <t>天奈转债</t>
  </si>
  <si>
    <t>118006.SH</t>
  </si>
  <si>
    <t>阿拉转债</t>
  </si>
  <si>
    <t>118007.SH</t>
  </si>
  <si>
    <t>山石转债</t>
  </si>
  <si>
    <t>118008.SH</t>
  </si>
  <si>
    <t>海优转债</t>
  </si>
  <si>
    <t>118009.SH</t>
  </si>
  <si>
    <t>华锐转债</t>
  </si>
  <si>
    <t>118010.SH</t>
  </si>
  <si>
    <t>洁特转债</t>
  </si>
  <si>
    <t>118011.SH</t>
  </si>
  <si>
    <t>银微转债</t>
  </si>
  <si>
    <t>118012.SH</t>
  </si>
  <si>
    <t>微芯转债</t>
  </si>
  <si>
    <t>118013.SH</t>
  </si>
  <si>
    <t>道通转债</t>
  </si>
  <si>
    <t>123010.SZ</t>
  </si>
  <si>
    <t>博世转债</t>
  </si>
  <si>
    <t>123011.SZ</t>
  </si>
  <si>
    <t>德尔转债</t>
  </si>
  <si>
    <t>123012.SZ</t>
  </si>
  <si>
    <t>万顺转债</t>
  </si>
  <si>
    <t>123013.SZ</t>
  </si>
  <si>
    <t>横河转债</t>
  </si>
  <si>
    <t>123018.SZ</t>
  </si>
  <si>
    <t>溢利转债</t>
  </si>
  <si>
    <t>123022.SZ</t>
  </si>
  <si>
    <t>长信转债</t>
  </si>
  <si>
    <t>123025.SZ</t>
  </si>
  <si>
    <t>精测转债</t>
  </si>
  <si>
    <t>123029.SZ</t>
  </si>
  <si>
    <t>英科转债</t>
  </si>
  <si>
    <t>123031.SZ</t>
  </si>
  <si>
    <t>晶瑞转债</t>
  </si>
  <si>
    <t>123034.SZ</t>
  </si>
  <si>
    <t>通光转债</t>
  </si>
  <si>
    <t>123035.SZ</t>
  </si>
  <si>
    <t>利德转债</t>
  </si>
  <si>
    <t>123038.SZ</t>
  </si>
  <si>
    <t>联得转债</t>
  </si>
  <si>
    <t>123039.SZ</t>
  </si>
  <si>
    <t>开润转债</t>
  </si>
  <si>
    <t>123044.SZ</t>
  </si>
  <si>
    <t>红相转债</t>
  </si>
  <si>
    <t>123048.SZ</t>
  </si>
  <si>
    <t>应急转债</t>
  </si>
  <si>
    <t>123049.SZ</t>
  </si>
  <si>
    <t>维尔转债</t>
  </si>
  <si>
    <t>123050.SZ</t>
  </si>
  <si>
    <t>聚飞转债</t>
  </si>
  <si>
    <t>123052.SZ</t>
  </si>
  <si>
    <t>飞鹿转债</t>
  </si>
  <si>
    <t>123054.SZ</t>
  </si>
  <si>
    <t>思特转债</t>
  </si>
  <si>
    <t>123056.SZ</t>
  </si>
  <si>
    <t>雪榕转债</t>
  </si>
  <si>
    <t>123059.SZ</t>
  </si>
  <si>
    <t>银信转债</t>
  </si>
  <si>
    <t>123061.SZ</t>
  </si>
  <si>
    <t>航新转债</t>
  </si>
  <si>
    <t>123063.SZ</t>
  </si>
  <si>
    <t>大禹转债</t>
  </si>
  <si>
    <t>123064.SZ</t>
  </si>
  <si>
    <t>万孚转债</t>
  </si>
  <si>
    <t>123065.SZ</t>
  </si>
  <si>
    <t>宝莱转债</t>
  </si>
  <si>
    <t>123067.SZ</t>
  </si>
  <si>
    <t>斯莱转债</t>
  </si>
  <si>
    <t>123071.SZ</t>
  </si>
  <si>
    <t>天能转债</t>
  </si>
  <si>
    <t>123072.SZ</t>
  </si>
  <si>
    <t>乐歌转债</t>
  </si>
  <si>
    <t>123076.SZ</t>
  </si>
  <si>
    <t>强力转债</t>
  </si>
  <si>
    <t>123078.SZ</t>
  </si>
  <si>
    <t>飞凯转债</t>
  </si>
  <si>
    <t>123080.SZ</t>
  </si>
  <si>
    <t>海波转债</t>
  </si>
  <si>
    <t>123082.SZ</t>
  </si>
  <si>
    <t>北陆转债</t>
  </si>
  <si>
    <t>123085.SZ</t>
  </si>
  <si>
    <t>万顺转2</t>
  </si>
  <si>
    <t>123087.SZ</t>
  </si>
  <si>
    <t>明电转债</t>
  </si>
  <si>
    <t>123088.SZ</t>
  </si>
  <si>
    <t>威唐转债</t>
  </si>
  <si>
    <t>123089.SZ</t>
  </si>
  <si>
    <t>九洲转2</t>
  </si>
  <si>
    <t>123090.SZ</t>
  </si>
  <si>
    <t>三诺转债</t>
  </si>
  <si>
    <t>123091.SZ</t>
  </si>
  <si>
    <t>长海转债</t>
  </si>
  <si>
    <t>123092.SZ</t>
  </si>
  <si>
    <t>天壕转债</t>
  </si>
  <si>
    <t>123093.SZ</t>
  </si>
  <si>
    <t>金陵转债</t>
  </si>
  <si>
    <t>123096.SZ</t>
  </si>
  <si>
    <t>思创转债</t>
  </si>
  <si>
    <t>123099.SZ</t>
  </si>
  <si>
    <t>普利转债</t>
  </si>
  <si>
    <t>123100.SZ</t>
  </si>
  <si>
    <t>朗科转债</t>
  </si>
  <si>
    <t>123101.SZ</t>
  </si>
  <si>
    <t>拓斯转债</t>
  </si>
  <si>
    <t>123103.SZ</t>
  </si>
  <si>
    <t>震安转债</t>
  </si>
  <si>
    <t>123104.SZ</t>
  </si>
  <si>
    <t>卫宁转债</t>
  </si>
  <si>
    <t>123106.SZ</t>
  </si>
  <si>
    <t>正丹转债</t>
  </si>
  <si>
    <t>123107.SZ</t>
  </si>
  <si>
    <t>温氏转债</t>
  </si>
  <si>
    <t>123108.SZ</t>
  </si>
  <si>
    <t>乐普转2</t>
  </si>
  <si>
    <t>123109.SZ</t>
  </si>
  <si>
    <t>昌红转债</t>
  </si>
  <si>
    <t>123112.SZ</t>
  </si>
  <si>
    <t>万讯转债</t>
  </si>
  <si>
    <t>123113.SZ</t>
  </si>
  <si>
    <t>仙乐转债</t>
  </si>
  <si>
    <t>123114.SZ</t>
  </si>
  <si>
    <t>三角转债</t>
  </si>
  <si>
    <t>123115.SZ</t>
  </si>
  <si>
    <t>捷捷转债</t>
  </si>
  <si>
    <t>123117.SZ</t>
  </si>
  <si>
    <t>健帆转债</t>
  </si>
  <si>
    <t>123118.SZ</t>
  </si>
  <si>
    <t>惠城转债</t>
  </si>
  <si>
    <t>123119.SZ</t>
  </si>
  <si>
    <t>康泰转2</t>
  </si>
  <si>
    <t>123120.SZ</t>
  </si>
  <si>
    <t>隆华转债</t>
  </si>
  <si>
    <t>123121.SZ</t>
  </si>
  <si>
    <t>帝尔转债</t>
  </si>
  <si>
    <t>123122.SZ</t>
  </si>
  <si>
    <t>富瀚转债</t>
  </si>
  <si>
    <t>123124.SZ</t>
  </si>
  <si>
    <t>晶瑞转2</t>
  </si>
  <si>
    <t>123126.SZ</t>
  </si>
  <si>
    <t>瑞丰转债</t>
  </si>
  <si>
    <t>123127.SZ</t>
  </si>
  <si>
    <t>耐普转债</t>
  </si>
  <si>
    <t>123128.SZ</t>
  </si>
  <si>
    <t>首华转债</t>
  </si>
  <si>
    <t>123129.SZ</t>
  </si>
  <si>
    <t>锦鸡转债</t>
  </si>
  <si>
    <t>123130.SZ</t>
  </si>
  <si>
    <t>设研转债</t>
  </si>
  <si>
    <t>123131.SZ</t>
  </si>
  <si>
    <t>奥飞转债</t>
  </si>
  <si>
    <t>123132.SZ</t>
  </si>
  <si>
    <t>回盛转债</t>
  </si>
  <si>
    <t>123133.SZ</t>
  </si>
  <si>
    <t>佩蒂转债</t>
  </si>
  <si>
    <t>123135.SZ</t>
  </si>
  <si>
    <t>泰林转债</t>
  </si>
  <si>
    <t>123138.SZ</t>
  </si>
  <si>
    <t>丝路转债</t>
  </si>
  <si>
    <t>123141.SZ</t>
  </si>
  <si>
    <t>宏丰转债</t>
  </si>
  <si>
    <t>123142.SZ</t>
  </si>
  <si>
    <t>申昊转债</t>
  </si>
  <si>
    <t>123143.SZ</t>
  </si>
  <si>
    <t>胜蓝转债</t>
  </si>
  <si>
    <t>123144.SZ</t>
  </si>
  <si>
    <t>裕兴转债</t>
  </si>
  <si>
    <t>123145.SZ</t>
  </si>
  <si>
    <t>药石转债</t>
  </si>
  <si>
    <t>123146.SZ</t>
  </si>
  <si>
    <t>中环转2</t>
  </si>
  <si>
    <t>123147.SZ</t>
  </si>
  <si>
    <t>中辰转债</t>
  </si>
  <si>
    <t>123149.SZ</t>
  </si>
  <si>
    <t>通裕转债</t>
  </si>
  <si>
    <t>123150.SZ</t>
  </si>
  <si>
    <t>九强转债</t>
  </si>
  <si>
    <t>123151.SZ</t>
  </si>
  <si>
    <t>康医转债</t>
  </si>
  <si>
    <t>124002.SZ</t>
  </si>
  <si>
    <t>华铭定转</t>
  </si>
  <si>
    <t>124003.SZ</t>
  </si>
  <si>
    <t>必创定转</t>
  </si>
  <si>
    <t>124006.SZ</t>
  </si>
  <si>
    <t>高新定转</t>
  </si>
  <si>
    <t>124012.SZ</t>
  </si>
  <si>
    <t>雷科定02</t>
  </si>
  <si>
    <t>124014.SZ</t>
  </si>
  <si>
    <t>华铭定02</t>
  </si>
  <si>
    <t>127007.SZ</t>
  </si>
  <si>
    <t>湖广转债</t>
  </si>
  <si>
    <t>127014.SZ</t>
  </si>
  <si>
    <t>北方转债</t>
  </si>
  <si>
    <t>127015.SZ</t>
  </si>
  <si>
    <t>希望转债</t>
  </si>
  <si>
    <t>127016.SZ</t>
  </si>
  <si>
    <t>鲁泰转债</t>
  </si>
  <si>
    <t>127017.SZ</t>
  </si>
  <si>
    <t>万青转债</t>
  </si>
  <si>
    <t>127018.SZ</t>
  </si>
  <si>
    <t>本钢转债</t>
  </si>
  <si>
    <t>127019.SZ</t>
  </si>
  <si>
    <t>国城转债</t>
  </si>
  <si>
    <t>127020.SZ</t>
  </si>
  <si>
    <t>中金转债</t>
  </si>
  <si>
    <t>127022.SZ</t>
  </si>
  <si>
    <t>恒逸转债</t>
  </si>
  <si>
    <t>127024.SZ</t>
  </si>
  <si>
    <t>盈峰转债</t>
  </si>
  <si>
    <t>127025.SZ</t>
  </si>
  <si>
    <t>冀东转债</t>
  </si>
  <si>
    <t>127026.SZ</t>
  </si>
  <si>
    <t>超声转债</t>
  </si>
  <si>
    <t>127027.SZ</t>
  </si>
  <si>
    <t>127028.SZ</t>
  </si>
  <si>
    <t>英特转债</t>
  </si>
  <si>
    <t>127030.SZ</t>
  </si>
  <si>
    <t>盛虹转债</t>
  </si>
  <si>
    <t>127031.SZ</t>
  </si>
  <si>
    <t>洋丰转债</t>
  </si>
  <si>
    <t>127032.SZ</t>
  </si>
  <si>
    <t>苏行转债</t>
  </si>
  <si>
    <t>127033.SZ</t>
  </si>
  <si>
    <t>中装转2</t>
  </si>
  <si>
    <t>127034.SZ</t>
  </si>
  <si>
    <t>绿茵转债</t>
  </si>
  <si>
    <t>127035.SZ</t>
  </si>
  <si>
    <t>濮耐转债</t>
  </si>
  <si>
    <t>127037.SZ</t>
  </si>
  <si>
    <t>银轮转债</t>
  </si>
  <si>
    <t>127038.SZ</t>
  </si>
  <si>
    <t>国微转债</t>
  </si>
  <si>
    <t>127039.SZ</t>
  </si>
  <si>
    <t>北港转债</t>
  </si>
  <si>
    <t>127040.SZ</t>
  </si>
  <si>
    <t>国泰转债</t>
  </si>
  <si>
    <t>127041.SZ</t>
  </si>
  <si>
    <t>弘亚转债</t>
  </si>
  <si>
    <t>127042.SZ</t>
  </si>
  <si>
    <t>嘉美转债</t>
  </si>
  <si>
    <t>127043.SZ</t>
  </si>
  <si>
    <t>川恒转债</t>
  </si>
  <si>
    <t>127044.SZ</t>
  </si>
  <si>
    <t>蒙娜转债</t>
  </si>
  <si>
    <t>127045.SZ</t>
  </si>
  <si>
    <t>牧原转债</t>
  </si>
  <si>
    <t>127046.SZ</t>
  </si>
  <si>
    <t>百润转债</t>
  </si>
  <si>
    <t>127047.SZ</t>
  </si>
  <si>
    <t>帝欧转债</t>
  </si>
  <si>
    <t>127049.SZ</t>
  </si>
  <si>
    <t>希望转2</t>
  </si>
  <si>
    <t>127050.SZ</t>
  </si>
  <si>
    <t>麒麟转债</t>
  </si>
  <si>
    <t>127051.SZ</t>
  </si>
  <si>
    <t>博杰转债</t>
  </si>
  <si>
    <t>127052.SZ</t>
  </si>
  <si>
    <t>西子转债</t>
  </si>
  <si>
    <t>127053.SZ</t>
  </si>
  <si>
    <t>豪美转债</t>
  </si>
  <si>
    <t>127054.SZ</t>
  </si>
  <si>
    <t>双箭转债</t>
  </si>
  <si>
    <t>127055.SZ</t>
  </si>
  <si>
    <t>精装转债</t>
  </si>
  <si>
    <t>127056.SZ</t>
  </si>
  <si>
    <t>中特转债</t>
  </si>
  <si>
    <t>127059.SZ</t>
  </si>
  <si>
    <t>永东转2</t>
  </si>
  <si>
    <t>127060.SZ</t>
  </si>
  <si>
    <t>湘佳转债</t>
  </si>
  <si>
    <t>127061.SZ</t>
  </si>
  <si>
    <t>美锦转债</t>
  </si>
  <si>
    <t>127062.SZ</t>
  </si>
  <si>
    <t>垒知转债</t>
  </si>
  <si>
    <t>127063.SZ</t>
  </si>
  <si>
    <t>贵轮转债</t>
  </si>
  <si>
    <t>127064.SZ</t>
  </si>
  <si>
    <t>杭氧转债</t>
  </si>
  <si>
    <t>127066.SZ</t>
  </si>
  <si>
    <t>科利转债</t>
  </si>
  <si>
    <t>128039.SZ</t>
  </si>
  <si>
    <t>三力转债</t>
  </si>
  <si>
    <t>128041.SZ</t>
  </si>
  <si>
    <t>盛路转债</t>
  </si>
  <si>
    <t>128042.SZ</t>
  </si>
  <si>
    <t>凯中转债</t>
  </si>
  <si>
    <t>128044.SZ</t>
  </si>
  <si>
    <t>岭南转债</t>
  </si>
  <si>
    <t>128048.SZ</t>
  </si>
  <si>
    <t>张行转债</t>
  </si>
  <si>
    <t>128049.SZ</t>
  </si>
  <si>
    <t>华源转债</t>
  </si>
  <si>
    <t>128053.SZ</t>
  </si>
  <si>
    <t>尚荣转债</t>
  </si>
  <si>
    <t>128056.SZ</t>
  </si>
  <si>
    <t>今飞转债</t>
  </si>
  <si>
    <t>128062.SZ</t>
  </si>
  <si>
    <t>亚药转债</t>
  </si>
  <si>
    <t>128063.SZ</t>
  </si>
  <si>
    <t>未来转债</t>
  </si>
  <si>
    <t>128066.SZ</t>
  </si>
  <si>
    <t>亚泰转债</t>
  </si>
  <si>
    <t>128070.SZ</t>
  </si>
  <si>
    <t>智能转债</t>
  </si>
  <si>
    <t>128071.SZ</t>
  </si>
  <si>
    <t>合兴转债</t>
  </si>
  <si>
    <t>128072.SZ</t>
  </si>
  <si>
    <t>翔鹭转债</t>
  </si>
  <si>
    <t>128074.SZ</t>
  </si>
  <si>
    <t>游族转债</t>
  </si>
  <si>
    <t>128076.SZ</t>
  </si>
  <si>
    <t>金轮转债</t>
  </si>
  <si>
    <t>128081.SZ</t>
  </si>
  <si>
    <t>海亮转债</t>
  </si>
  <si>
    <t>128082.SZ</t>
  </si>
  <si>
    <t>华锋转债</t>
  </si>
  <si>
    <t>128083.SZ</t>
  </si>
  <si>
    <t>新北转债</t>
  </si>
  <si>
    <t>128087.SZ</t>
  </si>
  <si>
    <t>孚日转债</t>
  </si>
  <si>
    <t>128090.SZ</t>
  </si>
  <si>
    <t>汽模转2</t>
  </si>
  <si>
    <t>128091.SZ</t>
  </si>
  <si>
    <t>新天转债</t>
  </si>
  <si>
    <t>128095.SZ</t>
  </si>
  <si>
    <t>恩捷转债</t>
  </si>
  <si>
    <t>128097.SZ</t>
  </si>
  <si>
    <t>奥佳转债</t>
  </si>
  <si>
    <t>128101.SZ</t>
  </si>
  <si>
    <t>联创转债</t>
  </si>
  <si>
    <t>128105.SZ</t>
  </si>
  <si>
    <t>长集转债</t>
  </si>
  <si>
    <t>128106.SZ</t>
  </si>
  <si>
    <t>华统转债</t>
  </si>
  <si>
    <t>128108.SZ</t>
  </si>
  <si>
    <t>蓝帆转债</t>
  </si>
  <si>
    <t>128109.SZ</t>
  </si>
  <si>
    <t>楚江转债</t>
  </si>
  <si>
    <t>128116.SZ</t>
  </si>
  <si>
    <t>瑞达转债</t>
  </si>
  <si>
    <t>128117.SZ</t>
  </si>
  <si>
    <t>道恩转债</t>
  </si>
  <si>
    <t>128118.SZ</t>
  </si>
  <si>
    <t>瀛通转债</t>
  </si>
  <si>
    <t>128119.SZ</t>
  </si>
  <si>
    <t>龙大转债</t>
  </si>
  <si>
    <t>128120.SZ</t>
  </si>
  <si>
    <t>联诚转债</t>
  </si>
  <si>
    <t>128121.SZ</t>
  </si>
  <si>
    <t>宏川转债</t>
  </si>
  <si>
    <t>128122.SZ</t>
  </si>
  <si>
    <t>兴森转债</t>
  </si>
  <si>
    <t>128123.SZ</t>
  </si>
  <si>
    <t>国光转债</t>
  </si>
  <si>
    <t>128124.SZ</t>
  </si>
  <si>
    <t>科华转债</t>
  </si>
  <si>
    <t>128125.SZ</t>
  </si>
  <si>
    <t>华阳转债</t>
  </si>
  <si>
    <t>128127.SZ</t>
  </si>
  <si>
    <t>文科转债</t>
  </si>
  <si>
    <t>128128.SZ</t>
  </si>
  <si>
    <t>齐翔转2</t>
  </si>
  <si>
    <t>128129.SZ</t>
  </si>
  <si>
    <t>青农转债</t>
  </si>
  <si>
    <t>128130.SZ</t>
  </si>
  <si>
    <t>景兴转债</t>
  </si>
  <si>
    <t>128131.SZ</t>
  </si>
  <si>
    <t>崇达转2</t>
  </si>
  <si>
    <t>128132.SZ</t>
  </si>
  <si>
    <t>交建转债</t>
  </si>
  <si>
    <t>128133.SZ</t>
  </si>
  <si>
    <t>奇正转债</t>
  </si>
  <si>
    <t>128134.SZ</t>
  </si>
  <si>
    <t>鸿路转债</t>
  </si>
  <si>
    <t>128135.SZ</t>
  </si>
  <si>
    <t>洽洽转债</t>
  </si>
  <si>
    <t>128136.SZ</t>
  </si>
  <si>
    <t>立讯转债</t>
  </si>
  <si>
    <t>128137.SZ</t>
  </si>
  <si>
    <t>洁美转债</t>
  </si>
  <si>
    <t>128138.SZ</t>
  </si>
  <si>
    <t>侨银转债</t>
  </si>
  <si>
    <t>128141.SZ</t>
  </si>
  <si>
    <t>旺能转债</t>
  </si>
  <si>
    <t>128142.SZ</t>
  </si>
  <si>
    <t>新乳转债</t>
  </si>
  <si>
    <t>128143.SZ</t>
  </si>
  <si>
    <t>锋龙转债</t>
  </si>
  <si>
    <t>128144.SZ</t>
  </si>
  <si>
    <t>利民转债</t>
  </si>
  <si>
    <t>113061.SH</t>
  </si>
  <si>
    <t>拓普转债</t>
  </si>
  <si>
    <t>113651.SH</t>
  </si>
  <si>
    <t>松霖转债</t>
  </si>
  <si>
    <t>113652.SH</t>
  </si>
  <si>
    <t>伟22转债</t>
  </si>
  <si>
    <t>118014.SH</t>
  </si>
  <si>
    <t>高测转债</t>
  </si>
  <si>
    <t>118015.SH</t>
  </si>
  <si>
    <t>芯海转债</t>
  </si>
  <si>
    <t>123152.SZ</t>
  </si>
  <si>
    <t>润禾转债</t>
  </si>
  <si>
    <t>123153.SZ</t>
  </si>
  <si>
    <t>英力转债</t>
  </si>
  <si>
    <t>127067.SZ</t>
  </si>
  <si>
    <t>恒逸转2</t>
  </si>
  <si>
    <t>810001.NQ</t>
  </si>
  <si>
    <t>三景定转</t>
  </si>
  <si>
    <t>富春转债</t>
  </si>
  <si>
    <t>113653.SH</t>
  </si>
  <si>
    <t>永22转债</t>
  </si>
  <si>
    <t>113654.SH</t>
  </si>
  <si>
    <t>永02转债</t>
  </si>
  <si>
    <t>113655.SH</t>
  </si>
  <si>
    <t>欧22转债</t>
  </si>
  <si>
    <t>118016.SH</t>
  </si>
  <si>
    <t>京源转债</t>
  </si>
  <si>
    <t>123154.SZ</t>
  </si>
  <si>
    <t>火星转债</t>
  </si>
  <si>
    <t>110089.SH</t>
  </si>
  <si>
    <t>兴发转债</t>
  </si>
  <si>
    <t>110090.SH</t>
  </si>
  <si>
    <t>爱迪转债</t>
  </si>
  <si>
    <t>110091.SH</t>
  </si>
  <si>
    <t>合力转债</t>
  </si>
  <si>
    <t>110092.SH</t>
  </si>
  <si>
    <t>三房转债</t>
  </si>
  <si>
    <t>110093.SH</t>
  </si>
  <si>
    <t>神马转债</t>
  </si>
  <si>
    <t>110094.SH</t>
  </si>
  <si>
    <t>众和转债</t>
  </si>
  <si>
    <t>110095.SH</t>
  </si>
  <si>
    <t>双良转债</t>
  </si>
  <si>
    <t>110815.SH</t>
  </si>
  <si>
    <t>九丰定01</t>
  </si>
  <si>
    <t>110816.SH</t>
  </si>
  <si>
    <t>九丰定02</t>
  </si>
  <si>
    <t>111007.SH</t>
  </si>
  <si>
    <t>永和转债</t>
  </si>
  <si>
    <t>111008.SH</t>
  </si>
  <si>
    <t>沿浦转债</t>
  </si>
  <si>
    <t>111009.SH</t>
  </si>
  <si>
    <t>盛泰转债</t>
  </si>
  <si>
    <t>111010.SH</t>
  </si>
  <si>
    <t>立昂转债</t>
  </si>
  <si>
    <t>111011.SH</t>
  </si>
  <si>
    <t>冠盛转债</t>
  </si>
  <si>
    <t>111012.SH</t>
  </si>
  <si>
    <t>福新转债</t>
  </si>
  <si>
    <t>111013.SH</t>
  </si>
  <si>
    <t>新港转债</t>
  </si>
  <si>
    <t>111014.SH</t>
  </si>
  <si>
    <t>李子转债</t>
  </si>
  <si>
    <t>111015.SH</t>
  </si>
  <si>
    <t>东亚转债</t>
  </si>
  <si>
    <t>111016.SH</t>
  </si>
  <si>
    <t>神通转债</t>
  </si>
  <si>
    <t>111017.SH</t>
  </si>
  <si>
    <t>蓝天转债</t>
  </si>
  <si>
    <t>113062.SH</t>
  </si>
  <si>
    <t>常银转债</t>
  </si>
  <si>
    <t>113064.SH</t>
  </si>
  <si>
    <t>东材转债</t>
  </si>
  <si>
    <t>113065.SH</t>
  </si>
  <si>
    <t>齐鲁转债</t>
  </si>
  <si>
    <t>113066.SH</t>
  </si>
  <si>
    <t>平煤转债</t>
  </si>
  <si>
    <t>113067.SH</t>
  </si>
  <si>
    <t>燃23转债</t>
  </si>
  <si>
    <t>113068.SH</t>
  </si>
  <si>
    <t>金铜转债</t>
  </si>
  <si>
    <t>113656.SH</t>
  </si>
  <si>
    <t>嘉诚转债</t>
  </si>
  <si>
    <t>113657.SH</t>
  </si>
  <si>
    <t>再22转债</t>
  </si>
  <si>
    <t>113658.SH</t>
  </si>
  <si>
    <t>密卫转债</t>
  </si>
  <si>
    <t>113659.SH</t>
  </si>
  <si>
    <t>莱克转债</t>
  </si>
  <si>
    <t>113660.SH</t>
  </si>
  <si>
    <t>寿22转债</t>
  </si>
  <si>
    <t>113661.SH</t>
  </si>
  <si>
    <t>福22转债</t>
  </si>
  <si>
    <t>113662.SH</t>
  </si>
  <si>
    <t>豪能转债</t>
  </si>
  <si>
    <t>113663.SH</t>
  </si>
  <si>
    <t>新化转债</t>
  </si>
  <si>
    <t>113664.SH</t>
  </si>
  <si>
    <t>大元转债</t>
  </si>
  <si>
    <t>113665.SH</t>
  </si>
  <si>
    <t>汇通转债</t>
  </si>
  <si>
    <t>113666.SH</t>
  </si>
  <si>
    <t>爱玛转债</t>
  </si>
  <si>
    <t>113667.SH</t>
  </si>
  <si>
    <t>春23转债</t>
  </si>
  <si>
    <t>113668.SH</t>
  </si>
  <si>
    <t>鹿山转债</t>
  </si>
  <si>
    <t>113669.SH</t>
  </si>
  <si>
    <t>景23转债</t>
  </si>
  <si>
    <t>113670.SH</t>
  </si>
  <si>
    <t>金23转债</t>
  </si>
  <si>
    <t>113671.SH</t>
  </si>
  <si>
    <t>武进转债</t>
  </si>
  <si>
    <t>113672.SH</t>
  </si>
  <si>
    <t>福蓉转债</t>
  </si>
  <si>
    <t>113673.SH</t>
  </si>
  <si>
    <t>岱美转债</t>
  </si>
  <si>
    <t>113674.SH</t>
  </si>
  <si>
    <t>华设转债</t>
  </si>
  <si>
    <t>113675.SH</t>
  </si>
  <si>
    <t>新23转债</t>
  </si>
  <si>
    <t>113676.SH</t>
  </si>
  <si>
    <t>荣23转债</t>
  </si>
  <si>
    <t>113677.SH</t>
  </si>
  <si>
    <t>华懋转债</t>
  </si>
  <si>
    <t>118018.SH</t>
  </si>
  <si>
    <t>瑞科转债</t>
  </si>
  <si>
    <t>118019.SH</t>
  </si>
  <si>
    <t>金盘转债</t>
  </si>
  <si>
    <t>118020.SH</t>
  </si>
  <si>
    <t>芳源转债</t>
  </si>
  <si>
    <t>118021.SH</t>
  </si>
  <si>
    <t>新致转债</t>
  </si>
  <si>
    <t>118022.SH</t>
  </si>
  <si>
    <t>锂科转债</t>
  </si>
  <si>
    <t>118023.SH</t>
  </si>
  <si>
    <t>广大转债</t>
  </si>
  <si>
    <t>118024.SH</t>
  </si>
  <si>
    <t>冠宇转债</t>
  </si>
  <si>
    <t>118025.SH</t>
  </si>
  <si>
    <t>奕瑞转债</t>
  </si>
  <si>
    <t>118026.SH</t>
  </si>
  <si>
    <t>利元转债</t>
  </si>
  <si>
    <t>118027.SH</t>
  </si>
  <si>
    <t>宏图转债</t>
  </si>
  <si>
    <t>118028.SH</t>
  </si>
  <si>
    <t>会通转债</t>
  </si>
  <si>
    <t>118029.SH</t>
  </si>
  <si>
    <t>富淼转债</t>
  </si>
  <si>
    <t>118030.SH</t>
  </si>
  <si>
    <t>睿创转债</t>
  </si>
  <si>
    <t>118031.SH</t>
  </si>
  <si>
    <t>天23转债</t>
  </si>
  <si>
    <t>118032.SH</t>
  </si>
  <si>
    <t>建龙转债</t>
  </si>
  <si>
    <t>118033.SH</t>
  </si>
  <si>
    <t>华特转债</t>
  </si>
  <si>
    <t>118034.SH</t>
  </si>
  <si>
    <t>晶能转债</t>
  </si>
  <si>
    <t>118035.SH</t>
  </si>
  <si>
    <t>国力转债</t>
  </si>
  <si>
    <t>118036.SH</t>
  </si>
  <si>
    <t>力合转债</t>
  </si>
  <si>
    <t>118037.SH</t>
  </si>
  <si>
    <t>上声转债</t>
  </si>
  <si>
    <t>118038.SH</t>
  </si>
  <si>
    <t>金宏转债</t>
  </si>
  <si>
    <t>118039.SH</t>
  </si>
  <si>
    <t>煜邦转债</t>
  </si>
  <si>
    <t>118040.SH</t>
  </si>
  <si>
    <t>宏微转债</t>
  </si>
  <si>
    <t>118041.SH</t>
  </si>
  <si>
    <t>星球转债</t>
  </si>
  <si>
    <t>118042.SH</t>
  </si>
  <si>
    <t>奥维转债</t>
  </si>
  <si>
    <t>118043.SH</t>
  </si>
  <si>
    <t>福立转债</t>
  </si>
  <si>
    <t>118044.SH</t>
  </si>
  <si>
    <t>赛特转债</t>
  </si>
  <si>
    <t>118045.SH</t>
  </si>
  <si>
    <t>盟升转债</t>
  </si>
  <si>
    <t>123155.SZ</t>
  </si>
  <si>
    <t>中陆转债</t>
  </si>
  <si>
    <t>123156.SZ</t>
  </si>
  <si>
    <t>博汇转债</t>
  </si>
  <si>
    <t>123157.SZ</t>
  </si>
  <si>
    <t>科蓝转债</t>
  </si>
  <si>
    <t>123158.SZ</t>
  </si>
  <si>
    <t>宙邦转债</t>
  </si>
  <si>
    <t>123159.SZ</t>
  </si>
  <si>
    <t>崧盛转债</t>
  </si>
  <si>
    <t>123160.SZ</t>
  </si>
  <si>
    <t>泰福转债</t>
  </si>
  <si>
    <t>123161.SZ</t>
  </si>
  <si>
    <t>强联转债</t>
  </si>
  <si>
    <t>123162.SZ</t>
  </si>
  <si>
    <t>东杰转债</t>
  </si>
  <si>
    <t>123163.SZ</t>
  </si>
  <si>
    <t>金沃转债</t>
  </si>
  <si>
    <t>123165.SZ</t>
  </si>
  <si>
    <t>回天转债</t>
  </si>
  <si>
    <t>123166.SZ</t>
  </si>
  <si>
    <t>蒙泰转债</t>
  </si>
  <si>
    <t>123167.SZ</t>
  </si>
  <si>
    <t>商络转债</t>
  </si>
  <si>
    <t>123168.SZ</t>
  </si>
  <si>
    <t>惠云转债</t>
  </si>
  <si>
    <t>123169.SZ</t>
  </si>
  <si>
    <t>正海转债</t>
  </si>
  <si>
    <t>123170.SZ</t>
  </si>
  <si>
    <t>南电转债</t>
  </si>
  <si>
    <t>123171.SZ</t>
  </si>
  <si>
    <t>共同转债</t>
  </si>
  <si>
    <t>123172.SZ</t>
  </si>
  <si>
    <t>漱玉转债</t>
  </si>
  <si>
    <t>123173.SZ</t>
  </si>
  <si>
    <t>恒锋转债</t>
  </si>
  <si>
    <t>123174.SZ</t>
  </si>
  <si>
    <t>精锻转债</t>
  </si>
  <si>
    <t>123175.SZ</t>
  </si>
  <si>
    <t>百畅转债</t>
  </si>
  <si>
    <t>123176.SZ</t>
  </si>
  <si>
    <t>精测转2</t>
  </si>
  <si>
    <t>123177.SZ</t>
  </si>
  <si>
    <t>测绘转债</t>
  </si>
  <si>
    <t>123178.SZ</t>
  </si>
  <si>
    <t>花园转债</t>
  </si>
  <si>
    <t>123179.SZ</t>
  </si>
  <si>
    <t>立高转债</t>
  </si>
  <si>
    <t>123180.SZ</t>
  </si>
  <si>
    <t>浙矿转债</t>
  </si>
  <si>
    <t>123182.SZ</t>
  </si>
  <si>
    <t>广联转债</t>
  </si>
  <si>
    <t>123183.SZ</t>
  </si>
  <si>
    <t>海顺转债</t>
  </si>
  <si>
    <t>123184.SZ</t>
  </si>
  <si>
    <t>天阳转债</t>
  </si>
  <si>
    <t>123185.SZ</t>
  </si>
  <si>
    <t>能辉转债</t>
  </si>
  <si>
    <t>123186.SZ</t>
  </si>
  <si>
    <t>志特转债</t>
  </si>
  <si>
    <t>123187.SZ</t>
  </si>
  <si>
    <t>超达转债</t>
  </si>
  <si>
    <t>123188.SZ</t>
  </si>
  <si>
    <t>水羊转债</t>
  </si>
  <si>
    <t>123189.SZ</t>
  </si>
  <si>
    <t>晓鸣转债</t>
  </si>
  <si>
    <t>123190.SZ</t>
  </si>
  <si>
    <t>道氏转02</t>
  </si>
  <si>
    <t>123191.SZ</t>
  </si>
  <si>
    <t>智尚转债</t>
  </si>
  <si>
    <t>123192.SZ</t>
  </si>
  <si>
    <t>科思转债</t>
  </si>
  <si>
    <t>123193.SZ</t>
  </si>
  <si>
    <t>海能转债</t>
  </si>
  <si>
    <t>123194.SZ</t>
  </si>
  <si>
    <t>百洋转债</t>
  </si>
  <si>
    <t>123195.SZ</t>
  </si>
  <si>
    <t>蓝晓转02</t>
  </si>
  <si>
    <t>123196.SZ</t>
  </si>
  <si>
    <t>正元转02</t>
  </si>
  <si>
    <t>123197.SZ</t>
  </si>
  <si>
    <t>光力转债</t>
  </si>
  <si>
    <t>123198.SZ</t>
  </si>
  <si>
    <t>金埔转债</t>
  </si>
  <si>
    <t>123199.SZ</t>
  </si>
  <si>
    <t>山河转债</t>
  </si>
  <si>
    <t>123200.SZ</t>
  </si>
  <si>
    <t>海泰转债</t>
  </si>
  <si>
    <t>123201.SZ</t>
  </si>
  <si>
    <t>纽泰转债</t>
  </si>
  <si>
    <t>123202.SZ</t>
  </si>
  <si>
    <t>祥源转债</t>
  </si>
  <si>
    <t>123203.SZ</t>
  </si>
  <si>
    <t>明电转02</t>
  </si>
  <si>
    <t>123204.SZ</t>
  </si>
  <si>
    <t>金丹转债</t>
  </si>
  <si>
    <t>123205.SZ</t>
  </si>
  <si>
    <t>大叶转债</t>
  </si>
  <si>
    <t>123206.SZ</t>
  </si>
  <si>
    <t>开能转债</t>
  </si>
  <si>
    <t>123207.SZ</t>
  </si>
  <si>
    <t>冠中转债</t>
  </si>
  <si>
    <t>123208.SZ</t>
  </si>
  <si>
    <t>孩王转债</t>
  </si>
  <si>
    <t>123209.SZ</t>
  </si>
  <si>
    <t>聚隆转债</t>
  </si>
  <si>
    <t>123210.SZ</t>
  </si>
  <si>
    <t>信服转债</t>
  </si>
  <si>
    <t>123211.SZ</t>
  </si>
  <si>
    <t>阳谷转债</t>
  </si>
  <si>
    <t>123212.SZ</t>
  </si>
  <si>
    <t>立中转债</t>
  </si>
  <si>
    <t>123213.SZ</t>
  </si>
  <si>
    <t>天源转债</t>
  </si>
  <si>
    <t>123214.SZ</t>
  </si>
  <si>
    <t>东宝转债</t>
  </si>
  <si>
    <t>123215.SZ</t>
  </si>
  <si>
    <t>铭利转债</t>
  </si>
  <si>
    <t>123216.SZ</t>
  </si>
  <si>
    <t>科顺转债</t>
  </si>
  <si>
    <t>123217.SZ</t>
  </si>
  <si>
    <t>富仕转债</t>
  </si>
  <si>
    <t>123218.SZ</t>
  </si>
  <si>
    <t>宏昌转债</t>
  </si>
  <si>
    <t>123219.SZ</t>
  </si>
  <si>
    <t>宇瞳转债</t>
  </si>
  <si>
    <t>123220.SZ</t>
  </si>
  <si>
    <t>易瑞转债</t>
  </si>
  <si>
    <t>123221.SZ</t>
  </si>
  <si>
    <t>力诺转债</t>
  </si>
  <si>
    <t>123222.SZ</t>
  </si>
  <si>
    <t>博俊转债</t>
  </si>
  <si>
    <t>123223.SZ</t>
  </si>
  <si>
    <t>九典转02</t>
  </si>
  <si>
    <t>123224.SZ</t>
  </si>
  <si>
    <t>宇邦转债</t>
  </si>
  <si>
    <t>123225.SZ</t>
  </si>
  <si>
    <t>翔丰转债</t>
  </si>
  <si>
    <t>124010.SZ</t>
  </si>
  <si>
    <t>科斯定转</t>
  </si>
  <si>
    <t>124023.SZ</t>
  </si>
  <si>
    <t>铜陵定转</t>
  </si>
  <si>
    <t>能化转债</t>
  </si>
  <si>
    <t>127068.SZ</t>
  </si>
  <si>
    <t>顺博转债</t>
  </si>
  <si>
    <t>127069.SZ</t>
  </si>
  <si>
    <t>小熊转债</t>
  </si>
  <si>
    <t>127070.SZ</t>
  </si>
  <si>
    <t>大中转债</t>
  </si>
  <si>
    <t>127071.SZ</t>
  </si>
  <si>
    <t>天箭转债</t>
  </si>
  <si>
    <t>127072.SZ</t>
  </si>
  <si>
    <t>博实转债</t>
  </si>
  <si>
    <t>127073.SZ</t>
  </si>
  <si>
    <t>天赐转债</t>
  </si>
  <si>
    <t>127074.SZ</t>
  </si>
  <si>
    <t>麦米转2</t>
  </si>
  <si>
    <t>127075.SZ</t>
  </si>
  <si>
    <t>百川转2</t>
  </si>
  <si>
    <t>127076.SZ</t>
  </si>
  <si>
    <t>中宠转2</t>
  </si>
  <si>
    <t>127077.SZ</t>
  </si>
  <si>
    <t>华宏转债</t>
  </si>
  <si>
    <t>127078.SZ</t>
  </si>
  <si>
    <t>优彩转债</t>
  </si>
  <si>
    <t>127079.SZ</t>
  </si>
  <si>
    <t>华亚转债</t>
  </si>
  <si>
    <t>127080.SZ</t>
  </si>
  <si>
    <t>声迅转债</t>
  </si>
  <si>
    <t>127081.SZ</t>
  </si>
  <si>
    <t>中旗转债</t>
  </si>
  <si>
    <t>127082.SZ</t>
  </si>
  <si>
    <t>亚科转债</t>
  </si>
  <si>
    <t>127083.SZ</t>
  </si>
  <si>
    <t>山路转债</t>
  </si>
  <si>
    <t>127084.SZ</t>
  </si>
  <si>
    <t>柳工转2</t>
  </si>
  <si>
    <t>127085.SZ</t>
  </si>
  <si>
    <t>韵达转债</t>
  </si>
  <si>
    <t>127086.SZ</t>
  </si>
  <si>
    <t>恒邦转债</t>
  </si>
  <si>
    <t>127087.SZ</t>
  </si>
  <si>
    <t>星帅转2</t>
  </si>
  <si>
    <t>127088.SZ</t>
  </si>
  <si>
    <t>赫达转债</t>
  </si>
  <si>
    <t>127089.SZ</t>
  </si>
  <si>
    <t>晶澳转债</t>
  </si>
  <si>
    <t>127090.SZ</t>
  </si>
  <si>
    <t>兴瑞转债</t>
  </si>
  <si>
    <t>127091.SZ</t>
  </si>
  <si>
    <t>科数转债</t>
  </si>
  <si>
    <t>127092.SZ</t>
  </si>
  <si>
    <t>运机转债</t>
  </si>
  <si>
    <t>300001.CCE</t>
  </si>
  <si>
    <t>2018年慧联电子可转债</t>
  </si>
  <si>
    <t>300002.CCE</t>
  </si>
  <si>
    <t>300012.CCE</t>
  </si>
  <si>
    <t>LYC可转债</t>
  </si>
  <si>
    <t>300015.CCE</t>
  </si>
  <si>
    <t>2019爱科麦可转债</t>
  </si>
  <si>
    <t>300016.CCE</t>
  </si>
  <si>
    <t>2019润达转债(01)</t>
  </si>
  <si>
    <t>300017.CCE</t>
  </si>
  <si>
    <t>2019润达转债(02)</t>
  </si>
  <si>
    <t>300018.CCE</t>
  </si>
  <si>
    <t>2019信谊包装可转债</t>
  </si>
  <si>
    <t>300019.CCE</t>
  </si>
  <si>
    <t>2019年三杰可转债</t>
  </si>
  <si>
    <t>300020.CCE</t>
  </si>
  <si>
    <t>2019熔金股份第二次可转债</t>
  </si>
  <si>
    <t>300023.CCE</t>
  </si>
  <si>
    <t>2019惠丰钻石转债</t>
  </si>
  <si>
    <t>404001.NQ</t>
  </si>
  <si>
    <t>蓝盾退债</t>
  </si>
  <si>
    <t>404002.NQ</t>
  </si>
  <si>
    <t>搜特退债</t>
  </si>
  <si>
    <t>58000201.AHE</t>
  </si>
  <si>
    <t>18新华转债01</t>
  </si>
  <si>
    <t>58000202.AHE</t>
  </si>
  <si>
    <t>18新华转债02</t>
  </si>
  <si>
    <t>810003.NQ</t>
  </si>
  <si>
    <t>汉鸣定转</t>
  </si>
  <si>
    <t>810004.NQ</t>
  </si>
  <si>
    <t>派普定转</t>
  </si>
  <si>
    <t>810006.NQ</t>
  </si>
  <si>
    <t>鸿盛定转</t>
  </si>
  <si>
    <t>810007.NQ</t>
  </si>
  <si>
    <t>中科定转</t>
  </si>
  <si>
    <t>810008.NQ</t>
  </si>
  <si>
    <t>四联定转</t>
  </si>
  <si>
    <t>900045.BJE</t>
  </si>
  <si>
    <t>18京西债</t>
  </si>
  <si>
    <t>900050.BJE</t>
  </si>
  <si>
    <t>19康乾01</t>
  </si>
  <si>
    <t>900051.BJE</t>
  </si>
  <si>
    <t>19康乾02</t>
  </si>
  <si>
    <t>900052.BJE</t>
  </si>
  <si>
    <t>19康乾03</t>
  </si>
  <si>
    <t>q17080308.SJZ</t>
  </si>
  <si>
    <t>万源转债</t>
  </si>
  <si>
    <t>q18061203.JXJ</t>
  </si>
  <si>
    <t>源森油茶可转债</t>
  </si>
  <si>
    <t>q18090302.QEE</t>
  </si>
  <si>
    <t>国泰盐湖可转债2018年1号</t>
  </si>
  <si>
    <t>q18092802.QEE</t>
  </si>
  <si>
    <t>富农草业可转债2018年1号(第一期)</t>
  </si>
  <si>
    <t>q18101101.GBG</t>
  </si>
  <si>
    <t>胜利转债</t>
  </si>
  <si>
    <t>q19032508.JXJ</t>
  </si>
  <si>
    <t>2018江右转债01</t>
  </si>
  <si>
    <t>q19032509.JXJ</t>
  </si>
  <si>
    <t>2018江右转债02</t>
  </si>
  <si>
    <t>q19040201.SJZ</t>
  </si>
  <si>
    <t>19宏岳转债</t>
  </si>
  <si>
    <t>q19052301.QEE</t>
  </si>
  <si>
    <t>富农草业可转债2018年1号(第二期)</t>
  </si>
  <si>
    <t>q19052408.IME</t>
  </si>
  <si>
    <t>元宝19号</t>
  </si>
  <si>
    <t>q19052410.IME</t>
  </si>
  <si>
    <t>"元宝18号"第一期</t>
  </si>
  <si>
    <t>q19052412.IME</t>
  </si>
  <si>
    <t>元宝18号</t>
  </si>
  <si>
    <t>q19052415.QEE</t>
  </si>
  <si>
    <t>永和建安可转债【2018】年【1】号(第一期)</t>
  </si>
  <si>
    <t>q19052416.QEE</t>
  </si>
  <si>
    <t>永和建安可转债【2018】年【1】号(第二期)</t>
  </si>
  <si>
    <t>q19052417.QEE</t>
  </si>
  <si>
    <t>永和建安可转债【2018】年【1】号(第三期)</t>
  </si>
  <si>
    <t>q19052707.BJE</t>
  </si>
  <si>
    <t>18三浦债</t>
  </si>
  <si>
    <t>q19101423.JXJ</t>
  </si>
  <si>
    <t>江右私募可转债2017年001号</t>
  </si>
  <si>
    <t>113678.SH</t>
  </si>
  <si>
    <t>中贝转债</t>
  </si>
  <si>
    <t>113679.SH</t>
  </si>
  <si>
    <t>芯能转债</t>
  </si>
  <si>
    <t>113680.SH</t>
  </si>
  <si>
    <t>123226.SZ</t>
  </si>
  <si>
    <t>中富转债</t>
  </si>
  <si>
    <t>123227.SZ</t>
  </si>
  <si>
    <t>雅创转债</t>
  </si>
  <si>
    <t>123228.SZ</t>
  </si>
  <si>
    <t>震裕转债</t>
  </si>
  <si>
    <t>123229.SZ</t>
  </si>
  <si>
    <t>艾录转债</t>
  </si>
  <si>
    <t>123230.SZ</t>
  </si>
  <si>
    <t>金钟转债</t>
  </si>
  <si>
    <t>123231.SZ</t>
  </si>
  <si>
    <t>信测转债</t>
  </si>
  <si>
    <t>123232.SZ</t>
  </si>
  <si>
    <t>金现转债</t>
  </si>
  <si>
    <t>123233.SZ</t>
  </si>
  <si>
    <t>凯盛转债</t>
  </si>
  <si>
    <t>124024.SZ</t>
  </si>
  <si>
    <t>铜陵定02</t>
  </si>
  <si>
    <t>127093.SZ</t>
  </si>
  <si>
    <t>章鼓转债</t>
  </si>
  <si>
    <t>127094.SZ</t>
  </si>
  <si>
    <t>红墙转债</t>
  </si>
  <si>
    <t>127095.SZ</t>
  </si>
  <si>
    <t>广泰转债</t>
  </si>
  <si>
    <t>127096.SZ</t>
  </si>
  <si>
    <t>泰坦转债</t>
  </si>
  <si>
    <t>127097.SZ</t>
  </si>
  <si>
    <t>三羊转债</t>
  </si>
  <si>
    <t>127098.SZ</t>
  </si>
  <si>
    <t>欧晶转债</t>
  </si>
  <si>
    <t>127099.SZ</t>
  </si>
  <si>
    <t>盛航转债</t>
  </si>
  <si>
    <t>可转债二叉树定价模型计算器</t>
  </si>
  <si>
    <t>110044.SH</t>
    <phoneticPr fontId="1" type="noConversion"/>
  </si>
  <si>
    <t>广电转债</t>
    <phoneticPr fontId="1" type="noConversion"/>
  </si>
  <si>
    <t>111018.SH</t>
  </si>
  <si>
    <t>华康转债</t>
  </si>
  <si>
    <t>111019.SH</t>
  </si>
  <si>
    <t>宏柏转债</t>
  </si>
  <si>
    <t>113069.SH</t>
  </si>
  <si>
    <t>博23转债</t>
  </si>
  <si>
    <t>丽岛转债</t>
  </si>
  <si>
    <t>113681.SH</t>
  </si>
  <si>
    <t>镇洋转债</t>
  </si>
  <si>
    <t>113682.SH</t>
  </si>
  <si>
    <t>益丰转债</t>
  </si>
  <si>
    <t>113683.SH</t>
  </si>
  <si>
    <t>伟24转债</t>
  </si>
  <si>
    <t>113684.SH</t>
  </si>
  <si>
    <t>湘泵转债</t>
  </si>
  <si>
    <t>118046.SH</t>
  </si>
  <si>
    <t>诺泰转债</t>
  </si>
  <si>
    <t>123234.SZ</t>
  </si>
  <si>
    <t>中能转债</t>
  </si>
  <si>
    <t>123235.SZ</t>
  </si>
  <si>
    <t>亿田转债</t>
  </si>
  <si>
    <t>123236.SZ</t>
  </si>
  <si>
    <t>家联转债</t>
  </si>
  <si>
    <t>123237.SZ</t>
  </si>
  <si>
    <t>佳禾转债</t>
  </si>
  <si>
    <t>123238.SZ</t>
  </si>
  <si>
    <t>卡倍转02</t>
  </si>
  <si>
    <t>123239.SZ</t>
  </si>
  <si>
    <t>锋工转债</t>
  </si>
  <si>
    <t>123240.SZ</t>
  </si>
  <si>
    <t>楚天转债</t>
  </si>
  <si>
    <t>127100.SZ</t>
  </si>
  <si>
    <t>神码转债</t>
  </si>
  <si>
    <t>127101.SZ</t>
  </si>
  <si>
    <t>豪鹏转债</t>
  </si>
  <si>
    <t>127102.SZ</t>
  </si>
  <si>
    <t>浙建转债</t>
  </si>
  <si>
    <t>127103.SZ</t>
  </si>
  <si>
    <t>东南转债</t>
  </si>
  <si>
    <t>127104.SZ</t>
  </si>
  <si>
    <t>姚记转债</t>
  </si>
  <si>
    <t>127105.SZ</t>
  </si>
  <si>
    <t>龙星转债</t>
  </si>
  <si>
    <t>404003.NQ</t>
  </si>
  <si>
    <t>鸿达退债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</si>
</sst>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##,###,##0.0000"/>
    <numFmt numFmtId="177" formatCode="0.00_ "/>
    <numFmt numFmtId="178" formatCode="###,###,##0.000"/>
    <numFmt numFmtId="179" formatCode="0.0000_ "/>
    <numFmt numFmtId="180" formatCode="0.0000_ ;[Red]\-0.0000\ "/>
    <numFmt numFmtId="181" formatCode="0_ "/>
    <numFmt numFmtId="182" formatCode="0.00_ ;[Red]\-0.00\ "/>
    <numFmt numFmtId="183" formatCode="0_ ;[Red]\-0\ "/>
    <numFmt numFmtId="184" formatCode="yyyy\-mm\-dd"/>
    <numFmt numFmtId="185" formatCode="yyyymmdd"/>
  </numFmts>
  <fonts count="12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2"/>
      <name val="宋体"/>
      <family val="3"/>
      <charset val="134"/>
    </font>
    <font>
      <b/>
      <sz val="12"/>
      <color indexed="10"/>
      <name val="宋体"/>
      <family val="3"/>
      <charset val="134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10"/>
      <name val="Arial"/>
      <family val="2"/>
    </font>
    <font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 tint="4.9989318521683403E-2"/>
      <name val="Arial"/>
      <family val="2"/>
    </font>
    <font>
      <sz val="12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279B5"/>
        <bgColor indexed="64"/>
      </patternFill>
    </fill>
    <fill>
      <patternFill patternType="solid">
        <fgColor rgb="FFC8D8ED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0ECE1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 applyNumberForma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176" fontId="0" fillId="0" borderId="0" xfId="0" applyNumberFormat="1"/>
    <xf numFmtId="178" fontId="4" fillId="0" borderId="0" xfId="0" applyNumberFormat="1" applyFont="1"/>
    <xf numFmtId="178" fontId="0" fillId="0" borderId="0" xfId="0" applyNumberFormat="1"/>
    <xf numFmtId="176" fontId="2" fillId="0" borderId="0" xfId="0" applyNumberFormat="1" applyFont="1"/>
    <xf numFmtId="0" fontId="5" fillId="0" borderId="0" xfId="0" applyFont="1" applyFill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80" fontId="10" fillId="3" borderId="1" xfId="0" applyNumberFormat="1" applyFont="1" applyFill="1" applyBorder="1" applyAlignment="1">
      <alignment horizontal="right" vertical="center"/>
    </xf>
    <xf numFmtId="0" fontId="2" fillId="4" borderId="2" xfId="0" applyFont="1" applyFill="1" applyBorder="1" applyAlignment="1">
      <alignment horizontal="right" vertical="center"/>
    </xf>
    <xf numFmtId="0" fontId="2" fillId="0" borderId="2" xfId="0" applyFont="1" applyBorder="1"/>
    <xf numFmtId="0" fontId="7" fillId="0" borderId="2" xfId="0" applyFont="1" applyBorder="1"/>
    <xf numFmtId="14" fontId="2" fillId="4" borderId="2" xfId="0" applyNumberFormat="1" applyFont="1" applyFill="1" applyBorder="1" applyAlignment="1">
      <alignment vertical="center"/>
    </xf>
    <xf numFmtId="177" fontId="2" fillId="4" borderId="2" xfId="0" applyNumberFormat="1" applyFont="1" applyFill="1" applyBorder="1" applyAlignment="1">
      <alignment vertical="center"/>
    </xf>
    <xf numFmtId="179" fontId="2" fillId="4" borderId="2" xfId="0" applyNumberFormat="1" applyFont="1" applyFill="1" applyBorder="1" applyAlignment="1">
      <alignment horizontal="right" vertical="center"/>
    </xf>
    <xf numFmtId="179" fontId="2" fillId="4" borderId="2" xfId="0" applyNumberFormat="1" applyFont="1" applyFill="1" applyBorder="1" applyAlignmen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77" fontId="8" fillId="4" borderId="2" xfId="0" applyNumberFormat="1" applyFont="1" applyFill="1" applyBorder="1" applyAlignment="1">
      <alignment horizontal="right" vertical="center"/>
    </xf>
    <xf numFmtId="177" fontId="5" fillId="2" borderId="2" xfId="0" applyNumberFormat="1" applyFont="1" applyFill="1" applyBorder="1" applyAlignment="1">
      <alignment horizontal="center" vertical="center"/>
    </xf>
    <xf numFmtId="182" fontId="10" fillId="5" borderId="1" xfId="0" applyNumberFormat="1" applyFont="1" applyFill="1" applyBorder="1" applyAlignment="1">
      <alignment horizontal="right" vertical="center"/>
    </xf>
    <xf numFmtId="183" fontId="10" fillId="5" borderId="1" xfId="0" applyNumberFormat="1" applyFont="1" applyFill="1" applyBorder="1" applyAlignment="1">
      <alignment horizontal="right" vertical="center"/>
    </xf>
    <xf numFmtId="181" fontId="5" fillId="2" borderId="2" xfId="0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184" fontId="0" fillId="0" borderId="0" xfId="0" applyNumberFormat="1" applyAlignment="1">
      <alignment horizontal="right"/>
    </xf>
    <xf numFmtId="185" fontId="3" fillId="0" borderId="0" xfId="0" applyNumberFormat="1" applyFont="1" applyAlignment="1">
      <alignment horizontal="right"/>
    </xf>
    <xf numFmtId="0" fontId="2" fillId="6" borderId="0" xfId="0" applyFont="1" applyFill="1"/>
    <xf numFmtId="0" fontId="11" fillId="0" borderId="0" xfId="0" applyFont="1" applyAlignment="1"/>
    <xf numFmtId="0" fontId="6" fillId="2" borderId="2" xfId="0" applyFont="1" applyFill="1" applyBorder="1" applyAlignment="1">
      <alignment horizontal="center" vertical="center"/>
    </xf>
  </cellXfs>
  <cellStyles count="1">
    <cellStyle name="常规" xfId="0" builtinId="0"/>
  </cellStyles>
  <dxfs count="1">
    <dxf>
      <font>
        <condense val="0"/>
        <extend val="0"/>
        <color indexed="9"/>
      </font>
      <fill>
        <patternFill>
          <bgColor indexed="50"/>
        </patternFill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184.99100000000001</v>
        <stp/>
        <stp>110044.SH</stp>
        <stp>5</stp>
        <tr r="D16" s="1"/>
        <tr r="D1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w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wmf"/><Relationship Id="rId6" Type="http://schemas.openxmlformats.org/officeDocument/2006/relationships/image" Target="../media/image9.wmf"/><Relationship Id="rId5" Type="http://schemas.openxmlformats.org/officeDocument/2006/relationships/image" Target="../media/image8.wmf"/><Relationship Id="rId4" Type="http://schemas.openxmlformats.org/officeDocument/2006/relationships/image" Target="../media/image7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0</xdr:rowOff>
    </xdr:from>
    <xdr:to>
      <xdr:col>7</xdr:col>
      <xdr:colOff>0</xdr:colOff>
      <xdr:row>2</xdr:row>
      <xdr:rowOff>136725</xdr:rowOff>
    </xdr:to>
    <xdr:sp macro="" textlink="">
      <xdr:nvSpPr>
        <xdr:cNvPr id="6" name="com_bar"/>
        <xdr:cNvSpPr>
          <a:spLocks noChangeArrowheads="1"/>
        </xdr:cNvSpPr>
      </xdr:nvSpPr>
      <xdr:spPr bwMode="auto">
        <a:xfrm>
          <a:off x="2419350" y="0"/>
          <a:ext cx="8810625" cy="498675"/>
        </a:xfrm>
        <a:prstGeom prst="rect">
          <a:avLst/>
        </a:prstGeom>
        <a:gradFill>
          <a:gsLst>
            <a:gs pos="0">
              <a:srgbClr val="043E79"/>
            </a:gs>
            <a:gs pos="100000">
              <a:srgbClr val="4177B5"/>
            </a:gs>
          </a:gsLst>
          <a:lin ang="5400000" scaled="0"/>
        </a:gra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lnSpc>
              <a:spcPts val="2000"/>
            </a:lnSpc>
            <a:defRPr sz="1000"/>
          </a:pPr>
          <a:r>
            <a:rPr lang="zh-CN" altLang="en-US" sz="20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可转债二叉树定价模型计算器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19050</xdr:rowOff>
        </xdr:from>
        <xdr:to>
          <xdr:col>1</xdr:col>
          <xdr:colOff>1104900</xdr:colOff>
          <xdr:row>20</xdr:row>
          <xdr:rowOff>85725</xdr:rowOff>
        </xdr:to>
        <xdr:sp macro="" textlink="">
          <xdr:nvSpPr>
            <xdr:cNvPr id="1047" name="CommandButton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381000</xdr:colOff>
      <xdr:row>0</xdr:row>
      <xdr:rowOff>142875</xdr:rowOff>
    </xdr:from>
    <xdr:to>
      <xdr:col>1</xdr:col>
      <xdr:colOff>1209675</xdr:colOff>
      <xdr:row>2</xdr:row>
      <xdr:rowOff>66675</xdr:rowOff>
    </xdr:to>
    <xdr:pic>
      <xdr:nvPicPr>
        <xdr:cNvPr id="2029" name="图片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142875"/>
          <a:ext cx="8286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0</xdr:rowOff>
    </xdr:from>
    <xdr:to>
      <xdr:col>11</xdr:col>
      <xdr:colOff>438150</xdr:colOff>
      <xdr:row>25</xdr:row>
      <xdr:rowOff>19050</xdr:rowOff>
    </xdr:to>
    <xdr:pic>
      <xdr:nvPicPr>
        <xdr:cNvPr id="4854" name="图片 6" descr="新图片(3).bmp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361950"/>
          <a:ext cx="7886700" cy="418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180975</xdr:colOff>
      <xdr:row>2</xdr:row>
      <xdr:rowOff>47625</xdr:rowOff>
    </xdr:from>
    <xdr:to>
      <xdr:col>8</xdr:col>
      <xdr:colOff>476250</xdr:colOff>
      <xdr:row>4</xdr:row>
      <xdr:rowOff>171450</xdr:rowOff>
    </xdr:to>
    <xdr:sp macro="" textlink="">
      <xdr:nvSpPr>
        <xdr:cNvPr id="4115" name="AutoShape 19"/>
        <xdr:cNvSpPr>
          <a:spLocks noChangeArrowheads="1"/>
        </xdr:cNvSpPr>
      </xdr:nvSpPr>
      <xdr:spPr bwMode="auto">
        <a:xfrm>
          <a:off x="3609975" y="409575"/>
          <a:ext cx="2352675" cy="485775"/>
        </a:xfrm>
        <a:prstGeom prst="wedgeRoundRectCallout">
          <a:avLst>
            <a:gd name="adj1" fmla="val -128015"/>
            <a:gd name="adj2" fmla="val 64514"/>
            <a:gd name="adj3" fmla="val 16667"/>
          </a:avLst>
        </a:prstGeom>
        <a:ln>
          <a:headEnd/>
          <a:tailEnd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7432" tIns="18288" rIns="0" bIns="0" anchor="t" upright="1"/>
        <a:lstStyle/>
        <a:p>
          <a:pPr algn="l" rtl="1">
            <a:lnSpc>
              <a:spcPts val="1200"/>
            </a:lnSpc>
            <a:defRPr sz="1000"/>
          </a:pPr>
          <a:r>
            <a:rPr lang="zh-CN" altLang="en-US" sz="1050" b="0" i="0" strike="noStrike">
              <a:solidFill>
                <a:schemeClr val="tx1"/>
              </a:solidFill>
              <a:latin typeface="宋体"/>
              <a:ea typeface="宋体"/>
            </a:rPr>
            <a:t>输入可转债债券代码，此模板也支持计算已发行未上市转债的计算。</a:t>
          </a:r>
        </a:p>
      </xdr:txBody>
    </xdr:sp>
    <xdr:clientData/>
  </xdr:twoCellAnchor>
  <xdr:twoCellAnchor>
    <xdr:from>
      <xdr:col>9</xdr:col>
      <xdr:colOff>123824</xdr:colOff>
      <xdr:row>4</xdr:row>
      <xdr:rowOff>133351</xdr:rowOff>
    </xdr:from>
    <xdr:to>
      <xdr:col>12</xdr:col>
      <xdr:colOff>76199</xdr:colOff>
      <xdr:row>7</xdr:row>
      <xdr:rowOff>104775</xdr:rowOff>
    </xdr:to>
    <xdr:sp macro="" textlink="">
      <xdr:nvSpPr>
        <xdr:cNvPr id="4116" name="AutoShape 20"/>
        <xdr:cNvSpPr>
          <a:spLocks noChangeArrowheads="1"/>
        </xdr:cNvSpPr>
      </xdr:nvSpPr>
      <xdr:spPr bwMode="auto">
        <a:xfrm>
          <a:off x="6296024" y="857251"/>
          <a:ext cx="2009775" cy="514349"/>
        </a:xfrm>
        <a:prstGeom prst="wedgeRoundRectCallout">
          <a:avLst>
            <a:gd name="adj1" fmla="val -129011"/>
            <a:gd name="adj2" fmla="val 69864"/>
            <a:gd name="adj3" fmla="val 16667"/>
          </a:avLst>
        </a:prstGeom>
        <a:ln>
          <a:headEnd/>
          <a:tailEnd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1050" b="0" i="0" strike="noStrike">
              <a:solidFill>
                <a:schemeClr val="tx1"/>
              </a:solidFill>
              <a:latin typeface="宋体"/>
              <a:ea typeface="宋体"/>
            </a:rPr>
            <a:t>输入或选择分析指标：无风险利率、时间周期及正股年波动率</a:t>
          </a:r>
        </a:p>
      </xdr:txBody>
    </xdr:sp>
    <xdr:clientData/>
  </xdr:twoCellAnchor>
  <xdr:twoCellAnchor>
    <xdr:from>
      <xdr:col>4</xdr:col>
      <xdr:colOff>323851</xdr:colOff>
      <xdr:row>14</xdr:row>
      <xdr:rowOff>104775</xdr:rowOff>
    </xdr:from>
    <xdr:to>
      <xdr:col>8</xdr:col>
      <xdr:colOff>1</xdr:colOff>
      <xdr:row>17</xdr:row>
      <xdr:rowOff>171450</xdr:rowOff>
    </xdr:to>
    <xdr:sp macro="" textlink="">
      <xdr:nvSpPr>
        <xdr:cNvPr id="4117" name="AutoShape 21"/>
        <xdr:cNvSpPr>
          <a:spLocks noChangeArrowheads="1"/>
        </xdr:cNvSpPr>
      </xdr:nvSpPr>
      <xdr:spPr bwMode="auto">
        <a:xfrm>
          <a:off x="3067051" y="2638425"/>
          <a:ext cx="2419350" cy="609600"/>
        </a:xfrm>
        <a:prstGeom prst="wedgeRoundRectCallout">
          <a:avLst>
            <a:gd name="adj1" fmla="val -135011"/>
            <a:gd name="adj2" fmla="val -1704"/>
            <a:gd name="adj3" fmla="val 16667"/>
          </a:avLst>
        </a:prstGeom>
        <a:ln>
          <a:headEnd/>
          <a:tailEnd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27432" tIns="18288" rIns="0" bIns="0" anchor="t" upright="1"/>
        <a:lstStyle/>
        <a:p>
          <a:pPr algn="l" rtl="1">
            <a:defRPr sz="1000"/>
          </a:pPr>
          <a:r>
            <a:rPr lang="zh-CN" altLang="en-US" sz="1200" b="0" i="0" strike="noStrike">
              <a:solidFill>
                <a:schemeClr val="tx1"/>
              </a:solidFill>
              <a:latin typeface="宋体"/>
              <a:ea typeface="宋体"/>
            </a:rPr>
            <a:t> </a:t>
          </a:r>
          <a:r>
            <a:rPr lang="zh-CN" altLang="en-US" sz="1050" b="0" i="0" strike="noStrike">
              <a:solidFill>
                <a:schemeClr val="tx1"/>
              </a:solidFill>
              <a:latin typeface="宋体"/>
              <a:ea typeface="宋体"/>
            </a:rPr>
            <a:t>点击“计算”按钮，得到“理论价”及“计算结果矩阵”</a:t>
          </a:r>
        </a:p>
      </xdr:txBody>
    </xdr:sp>
    <xdr:clientData/>
  </xdr:twoCellAnchor>
  <xdr:twoCellAnchor>
    <xdr:from>
      <xdr:col>1</xdr:col>
      <xdr:colOff>95250</xdr:colOff>
      <xdr:row>0</xdr:row>
      <xdr:rowOff>76200</xdr:rowOff>
    </xdr:from>
    <xdr:to>
      <xdr:col>5</xdr:col>
      <xdr:colOff>142875</xdr:colOff>
      <xdr:row>2</xdr:row>
      <xdr:rowOff>66675</xdr:rowOff>
    </xdr:to>
    <xdr:sp macro="" textlink="">
      <xdr:nvSpPr>
        <xdr:cNvPr id="6" name="圆角矩形 5"/>
        <xdr:cNvSpPr/>
      </xdr:nvSpPr>
      <xdr:spPr bwMode="auto">
        <a:xfrm>
          <a:off x="781050" y="76200"/>
          <a:ext cx="2790825" cy="3524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wrap="square" lIns="0" tIns="0" rIns="0" bIns="0" rtlCol="0" anchor="ctr" upright="1"/>
        <a:lstStyle/>
        <a:p>
          <a:pPr algn="ctr"/>
          <a:r>
            <a:rPr lang="zh-CN" altLang="en-US" sz="1100">
              <a:solidFill>
                <a:schemeClr val="tx1"/>
              </a:solidFill>
            </a:rPr>
            <a:t>使用前，请先解开对宏的禁用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1</xdr:row>
      <xdr:rowOff>47625</xdr:rowOff>
    </xdr:from>
    <xdr:to>
      <xdr:col>12</xdr:col>
      <xdr:colOff>57150</xdr:colOff>
      <xdr:row>45</xdr:row>
      <xdr:rowOff>38100</xdr:rowOff>
    </xdr:to>
    <xdr:sp macro="" textlink="">
      <xdr:nvSpPr>
        <xdr:cNvPr id="3102" name="TextBox 1"/>
        <xdr:cNvSpPr txBox="1">
          <a:spLocks noChangeArrowheads="1"/>
        </xdr:cNvSpPr>
      </xdr:nvSpPr>
      <xdr:spPr bwMode="auto">
        <a:xfrm>
          <a:off x="590550" y="228600"/>
          <a:ext cx="7696200" cy="7953375"/>
        </a:xfrm>
        <a:prstGeom prst="rect">
          <a:avLst/>
        </a:prstGeom>
        <a:solidFill>
          <a:srgbClr val="EBF1DE"/>
        </a:solidFill>
        <a:ln w="9525">
          <a:solidFill>
            <a:srgbClr val="BCBCBC"/>
          </a:solidFill>
          <a:miter lim="800000"/>
          <a:headEnd/>
          <a:tailEnd/>
        </a:ln>
        <a:effectLst>
          <a:outerShdw dist="50800" dir="5400000" algn="ctr" rotWithShape="0">
            <a:srgbClr val="DBEEDD"/>
          </a:outerShdw>
        </a:effectLst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                                         </a:t>
          </a:r>
          <a:r>
            <a:rPr lang="zh-CN" altLang="en-US" sz="1600" b="1" i="0" strike="noStrike">
              <a:solidFill>
                <a:srgbClr val="000000"/>
              </a:solidFill>
              <a:latin typeface="宋体"/>
              <a:ea typeface="宋体"/>
            </a:rPr>
            <a:t>算法说明</a:t>
          </a: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一、利用二项式期权定价模型计算转股权价值</a:t>
          </a: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转股权价值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= </a:t>
          </a:r>
          <a:endParaRPr lang="en-US" altLang="zh-CN" sz="1100" b="0" i="0" strike="noStrike">
            <a:solidFill>
              <a:srgbClr val="000000"/>
            </a:solidFill>
            <a:latin typeface="宋体"/>
            <a:ea typeface="宋体"/>
          </a:endParaRPr>
        </a:p>
        <a:p>
          <a:pPr algn="l" rtl="1">
            <a:defRPr sz="1000"/>
          </a:pPr>
          <a:endParaRPr lang="en-US" altLang="zh-CN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        </a:t>
          </a:r>
        </a:p>
        <a:p>
          <a:pPr algn="l" rtl="1">
            <a:defRPr sz="1000"/>
          </a:pP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           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其中：</a:t>
          </a: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    将时间区间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T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平分为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n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份，看做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n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个时间周期，在每个时间周期内股票可能上涨也可能下跌，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幅度分别记为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u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和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d.</a:t>
          </a:r>
          <a:endParaRPr lang="en-US" altLang="zh-CN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                               </a:t>
          </a:r>
        </a:p>
        <a:p>
          <a:pPr algn="l" rtl="1">
            <a:defRPr sz="1000"/>
          </a:pPr>
          <a:endParaRPr lang="en-US" altLang="zh-CN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en-US" altLang="zh-CN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                                  S: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正股价格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X: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转股价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r: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无风险利率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T: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转债剩余期限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  </a:t>
          </a:r>
          <a:r>
            <a:rPr lang="el-GR" altLang="zh-CN" sz="1100" b="0" i="0" strike="noStrike">
              <a:solidFill>
                <a:srgbClr val="000000"/>
              </a:solidFill>
              <a:latin typeface="Calibri"/>
            </a:rPr>
            <a:t>σ</a:t>
          </a: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正股波动率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n: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时间周期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 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二、可转债价值</a:t>
          </a: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可转债价值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=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纯债价值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+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转股权价值</a:t>
          </a: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            纯债价值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=</a:t>
          </a:r>
        </a:p>
        <a:p>
          <a:pPr algn="l" rtl="1">
            <a:defRPr sz="1000"/>
          </a:pPr>
          <a:endParaRPr lang="en-US" altLang="zh-CN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                               Ci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：可转债现金流，取现金流发生日大于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today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的现金流</a:t>
          </a:r>
          <a:endParaRPr lang="zh-CN" altLang="en-US" sz="1100" b="0" i="0" strike="noStrike">
            <a:solidFill>
              <a:srgbClr val="000000"/>
            </a:solidFill>
            <a:latin typeface="Calibri"/>
          </a:endParaRP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r:   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纯债贴现率，取自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</a:rPr>
            <a:t>Wind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上交所企债即期利率曲线</a:t>
          </a:r>
        </a:p>
        <a:p>
          <a:pPr algn="l" rtl="1">
            <a:defRPr sz="1000"/>
          </a:pPr>
          <a:r>
            <a:rPr lang="zh-CN" altLang="en-US" sz="1100" b="0" i="0" strike="noStrike">
              <a:solidFill>
                <a:srgbClr val="000000"/>
              </a:solidFill>
              <a:latin typeface="Calibri"/>
            </a:rPr>
            <a:t>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t :  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（现金流发生日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-today</a:t>
          </a:r>
          <a:r>
            <a:rPr lang="zh-CN" altLang="en-US" sz="1100" b="0" i="0" strike="noStrike">
              <a:solidFill>
                <a:srgbClr val="000000"/>
              </a:solidFill>
              <a:latin typeface="宋体"/>
              <a:ea typeface="宋体"/>
            </a:rPr>
            <a:t>）</a:t>
          </a:r>
          <a:r>
            <a:rPr lang="en-US" altLang="zh-CN" sz="1100" b="0" i="0" strike="noStrike">
              <a:solidFill>
                <a:srgbClr val="000000"/>
              </a:solidFill>
              <a:latin typeface="Calibri"/>
            </a:rPr>
            <a:t>/ 365</a:t>
          </a:r>
          <a:endParaRPr lang="en-US" altLang="zh-CN" sz="1100" b="0" i="0" strike="noStrike">
            <a:solidFill>
              <a:srgbClr val="000000"/>
            </a:solidFill>
            <a:latin typeface="宋体"/>
            <a:ea typeface="宋体"/>
          </a:endParaRPr>
        </a:p>
        <a:p>
          <a:pPr algn="l" rtl="1">
            <a:defRPr sz="1000"/>
          </a:pPr>
          <a:endParaRPr lang="en-US" altLang="zh-CN" sz="1100" b="0" i="0" strike="noStrike">
            <a:solidFill>
              <a:srgbClr val="000000"/>
            </a:solidFill>
            <a:latin typeface="宋体"/>
            <a:ea typeface="宋体"/>
          </a:endParaRPr>
        </a:p>
        <a:p>
          <a:pPr algn="l" rtl="1">
            <a:defRPr sz="1000"/>
          </a:pPr>
          <a:r>
            <a:rPr lang="en-US" altLang="zh-CN" sz="1100" b="0" i="0" strike="noStrike" baseline="0">
              <a:solidFill>
                <a:srgbClr val="000000"/>
              </a:solidFill>
              <a:latin typeface="宋体"/>
              <a:ea typeface="宋体"/>
              <a:cs typeface="+mn-cs"/>
            </a:rPr>
            <a:t>    </a:t>
          </a:r>
        </a:p>
        <a:p>
          <a:r>
            <a:rPr lang="en-US" altLang="zh-CN" sz="1100" b="0" i="0" strike="noStrike" baseline="0">
              <a:solidFill>
                <a:srgbClr val="000000"/>
              </a:solidFill>
              <a:latin typeface="宋体"/>
              <a:ea typeface="宋体"/>
              <a:cs typeface="+mn-cs"/>
            </a:rPr>
            <a:t>      </a:t>
          </a:r>
        </a:p>
        <a:p>
          <a:endParaRPr lang="en-US" altLang="zh-CN" sz="1100" b="0" i="0" strike="noStrike" baseline="0">
            <a:solidFill>
              <a:srgbClr val="000000"/>
            </a:solidFill>
            <a:latin typeface="宋体"/>
            <a:ea typeface="宋体"/>
            <a:cs typeface="+mn-cs"/>
          </a:endParaRPr>
        </a:p>
        <a:p>
          <a:endParaRPr lang="en-US" altLang="zh-CN" sz="1100" b="0" i="0" strike="noStrike" baseline="0">
            <a:solidFill>
              <a:srgbClr val="000000"/>
            </a:solidFill>
            <a:latin typeface="宋体"/>
            <a:ea typeface="宋体"/>
            <a:cs typeface="+mn-cs"/>
          </a:endParaRPr>
        </a:p>
        <a:p>
          <a:r>
            <a:rPr lang="en-US" altLang="zh-CN" sz="1100"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                                               </a:t>
          </a:r>
          <a:r>
            <a:rPr lang="en-US" altLang="zh-CN" sz="1100" b="0" i="0" strike="noStrike">
              <a:solidFill>
                <a:srgbClr val="000000"/>
              </a:solidFill>
              <a:latin typeface="宋体"/>
              <a:ea typeface="宋体"/>
              <a:cs typeface="+mn-cs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5</xdr:col>
          <xdr:colOff>152400</xdr:colOff>
          <xdr:row>8</xdr:row>
          <xdr:rowOff>142875</xdr:rowOff>
        </xdr:to>
        <xdr:sp macro="" textlink="">
          <xdr:nvSpPr>
            <xdr:cNvPr id="3086" name="Object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9</xdr:row>
          <xdr:rowOff>142875</xdr:rowOff>
        </xdr:from>
        <xdr:to>
          <xdr:col>7</xdr:col>
          <xdr:colOff>285750</xdr:colOff>
          <xdr:row>12</xdr:row>
          <xdr:rowOff>76200</xdr:rowOff>
        </xdr:to>
        <xdr:sp macro="" textlink="">
          <xdr:nvSpPr>
            <xdr:cNvPr id="3087" name="Object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15</xdr:row>
          <xdr:rowOff>142875</xdr:rowOff>
        </xdr:from>
        <xdr:to>
          <xdr:col>3</xdr:col>
          <xdr:colOff>361950</xdr:colOff>
          <xdr:row>16</xdr:row>
          <xdr:rowOff>171450</xdr:rowOff>
        </xdr:to>
        <xdr:sp macro="" textlink="">
          <xdr:nvSpPr>
            <xdr:cNvPr id="3088" name="Object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666750</xdr:colOff>
          <xdr:row>15</xdr:row>
          <xdr:rowOff>123825</xdr:rowOff>
        </xdr:from>
        <xdr:to>
          <xdr:col>4</xdr:col>
          <xdr:colOff>542925</xdr:colOff>
          <xdr:row>16</xdr:row>
          <xdr:rowOff>171450</xdr:rowOff>
        </xdr:to>
        <xdr:sp macro="" textlink="">
          <xdr:nvSpPr>
            <xdr:cNvPr id="3089" name="Object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15</xdr:row>
          <xdr:rowOff>114300</xdr:rowOff>
        </xdr:from>
        <xdr:to>
          <xdr:col>6</xdr:col>
          <xdr:colOff>200025</xdr:colOff>
          <xdr:row>17</xdr:row>
          <xdr:rowOff>9525</xdr:rowOff>
        </xdr:to>
        <xdr:sp macro="" textlink="">
          <xdr:nvSpPr>
            <xdr:cNvPr id="3090" name="Object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15</xdr:row>
          <xdr:rowOff>133350</xdr:rowOff>
        </xdr:from>
        <xdr:to>
          <xdr:col>7</xdr:col>
          <xdr:colOff>657225</xdr:colOff>
          <xdr:row>17</xdr:row>
          <xdr:rowOff>19050</xdr:rowOff>
        </xdr:to>
        <xdr:sp macro="" textlink="">
          <xdr:nvSpPr>
            <xdr:cNvPr id="3091" name="Object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27</xdr:row>
          <xdr:rowOff>152400</xdr:rowOff>
        </xdr:from>
        <xdr:to>
          <xdr:col>4</xdr:col>
          <xdr:colOff>85725</xdr:colOff>
          <xdr:row>29</xdr:row>
          <xdr:rowOff>152400</xdr:rowOff>
        </xdr:to>
        <xdr:sp macro="" textlink="">
          <xdr:nvSpPr>
            <xdr:cNvPr id="3093" name="Object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ink\AppData\Local\Microsoft\Windows\Temporary%20Internet%20Files\Content.IE5\RAJZX451\BetaCalcu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ta"/>
      <sheetName val="Rawdata"/>
      <sheetName val="证券列表"/>
      <sheetName val="Help"/>
    </sheetNames>
    <sheetDataSet>
      <sheetData sheetId="0"/>
      <sheetData sheetId="1"/>
      <sheetData sheetId="2">
        <row r="1">
          <cell r="A1" t="str">
            <v>000001.SZ</v>
          </cell>
          <cell r="B1" t="str">
            <v>000001.SH</v>
          </cell>
        </row>
        <row r="2">
          <cell r="A2" t="str">
            <v>000002.SZ</v>
          </cell>
          <cell r="B2" t="str">
            <v>000010.SH</v>
          </cell>
        </row>
        <row r="3">
          <cell r="A3" t="str">
            <v>000004.SZ</v>
          </cell>
          <cell r="B3" t="str">
            <v>000016.SH</v>
          </cell>
        </row>
        <row r="4">
          <cell r="A4" t="str">
            <v>000005.SZ</v>
          </cell>
          <cell r="B4" t="str">
            <v>000300.SH</v>
          </cell>
        </row>
        <row r="5">
          <cell r="A5" t="str">
            <v>000006.SZ</v>
          </cell>
          <cell r="B5" t="str">
            <v>000903.SH</v>
          </cell>
        </row>
        <row r="6">
          <cell r="A6" t="str">
            <v>000007.SZ</v>
          </cell>
          <cell r="B6" t="str">
            <v>399001.SZ</v>
          </cell>
        </row>
        <row r="7">
          <cell r="A7" t="str">
            <v>000008.SZ</v>
          </cell>
          <cell r="B7" t="str">
            <v>399004.SZ</v>
          </cell>
        </row>
        <row r="8">
          <cell r="A8" t="str">
            <v>000009.SZ</v>
          </cell>
        </row>
        <row r="9">
          <cell r="A9" t="str">
            <v>000010.SZ</v>
          </cell>
        </row>
        <row r="10">
          <cell r="A10" t="str">
            <v>000011.SZ</v>
          </cell>
        </row>
        <row r="11">
          <cell r="A11" t="str">
            <v>000012.SZ</v>
          </cell>
        </row>
        <row r="12">
          <cell r="A12" t="str">
            <v>000014.SZ</v>
          </cell>
        </row>
        <row r="13">
          <cell r="A13" t="str">
            <v>000016.SZ</v>
          </cell>
        </row>
        <row r="14">
          <cell r="A14" t="str">
            <v>000017.SZ</v>
          </cell>
        </row>
        <row r="15">
          <cell r="A15" t="str">
            <v>000018.SZ</v>
          </cell>
        </row>
        <row r="16">
          <cell r="A16" t="str">
            <v>000019.SZ</v>
          </cell>
        </row>
        <row r="17">
          <cell r="A17" t="str">
            <v>000020.SZ</v>
          </cell>
        </row>
        <row r="18">
          <cell r="A18" t="str">
            <v>000021.SZ</v>
          </cell>
        </row>
        <row r="19">
          <cell r="A19" t="str">
            <v>000022.SZ</v>
          </cell>
        </row>
        <row r="20">
          <cell r="A20" t="str">
            <v>000023.SZ</v>
          </cell>
        </row>
        <row r="21">
          <cell r="A21" t="str">
            <v>000024.SZ</v>
          </cell>
        </row>
        <row r="22">
          <cell r="A22" t="str">
            <v>000025.SZ</v>
          </cell>
        </row>
        <row r="23">
          <cell r="A23" t="str">
            <v>000026.SZ</v>
          </cell>
        </row>
        <row r="24">
          <cell r="A24" t="str">
            <v>000027.SZ</v>
          </cell>
        </row>
        <row r="25">
          <cell r="A25" t="str">
            <v>000028.SZ</v>
          </cell>
        </row>
        <row r="26">
          <cell r="A26" t="str">
            <v>000029.SZ</v>
          </cell>
        </row>
        <row r="27">
          <cell r="A27" t="str">
            <v>000030.SZ</v>
          </cell>
        </row>
        <row r="28">
          <cell r="A28" t="str">
            <v>000031.SZ</v>
          </cell>
        </row>
        <row r="29">
          <cell r="A29" t="str">
            <v>000032.SZ</v>
          </cell>
        </row>
        <row r="30">
          <cell r="A30" t="str">
            <v>000033.SZ</v>
          </cell>
        </row>
        <row r="31">
          <cell r="A31" t="str">
            <v>000034.SZ</v>
          </cell>
        </row>
        <row r="32">
          <cell r="A32" t="str">
            <v>000035.SZ</v>
          </cell>
        </row>
        <row r="33">
          <cell r="A33" t="str">
            <v>000036.SZ</v>
          </cell>
        </row>
        <row r="34">
          <cell r="A34" t="str">
            <v>000037.SZ</v>
          </cell>
        </row>
        <row r="35">
          <cell r="A35" t="str">
            <v>000038.SZ</v>
          </cell>
        </row>
        <row r="36">
          <cell r="A36" t="str">
            <v>000039.SZ</v>
          </cell>
        </row>
        <row r="37">
          <cell r="A37" t="str">
            <v>000040.SZ</v>
          </cell>
        </row>
        <row r="38">
          <cell r="A38" t="str">
            <v>000042.SZ</v>
          </cell>
        </row>
        <row r="39">
          <cell r="A39" t="str">
            <v>000043.SZ</v>
          </cell>
        </row>
        <row r="40">
          <cell r="A40" t="str">
            <v>000045.SZ</v>
          </cell>
        </row>
        <row r="41">
          <cell r="A41" t="str">
            <v>000046.SZ</v>
          </cell>
        </row>
        <row r="42">
          <cell r="A42" t="str">
            <v>000048.SZ</v>
          </cell>
        </row>
        <row r="43">
          <cell r="A43" t="str">
            <v>000049.SZ</v>
          </cell>
        </row>
        <row r="44">
          <cell r="A44" t="str">
            <v>000050.SZ</v>
          </cell>
        </row>
        <row r="45">
          <cell r="A45" t="str">
            <v>000055.SZ</v>
          </cell>
        </row>
        <row r="46">
          <cell r="A46" t="str">
            <v>000056.SZ</v>
          </cell>
        </row>
        <row r="47">
          <cell r="A47" t="str">
            <v>000058.SZ</v>
          </cell>
        </row>
        <row r="48">
          <cell r="A48" t="str">
            <v>000059.SZ</v>
          </cell>
        </row>
        <row r="49">
          <cell r="A49" t="str">
            <v>000060.SZ</v>
          </cell>
        </row>
        <row r="50">
          <cell r="A50" t="str">
            <v>000061.SZ</v>
          </cell>
        </row>
        <row r="51">
          <cell r="A51" t="str">
            <v>000062.SZ</v>
          </cell>
        </row>
        <row r="52">
          <cell r="A52" t="str">
            <v>000063.SZ</v>
          </cell>
        </row>
        <row r="53">
          <cell r="A53" t="str">
            <v>000065.SZ</v>
          </cell>
        </row>
        <row r="54">
          <cell r="A54" t="str">
            <v>000066.SZ</v>
          </cell>
        </row>
        <row r="55">
          <cell r="A55" t="str">
            <v>000068.SZ</v>
          </cell>
        </row>
        <row r="56">
          <cell r="A56" t="str">
            <v>000069.SZ</v>
          </cell>
        </row>
        <row r="57">
          <cell r="A57" t="str">
            <v>000070.SZ</v>
          </cell>
        </row>
        <row r="58">
          <cell r="A58" t="str">
            <v>000078.SZ</v>
          </cell>
        </row>
        <row r="59">
          <cell r="A59" t="str">
            <v>000088.SZ</v>
          </cell>
        </row>
        <row r="60">
          <cell r="A60" t="str">
            <v>000089.SZ</v>
          </cell>
        </row>
        <row r="61">
          <cell r="A61" t="str">
            <v>000090.SZ</v>
          </cell>
        </row>
        <row r="62">
          <cell r="A62" t="str">
            <v>000096.SZ</v>
          </cell>
        </row>
        <row r="63">
          <cell r="A63" t="str">
            <v>000099.SZ</v>
          </cell>
        </row>
        <row r="64">
          <cell r="A64" t="str">
            <v>000100.SZ</v>
          </cell>
        </row>
        <row r="65">
          <cell r="A65" t="str">
            <v>000150.SZ</v>
          </cell>
        </row>
        <row r="66">
          <cell r="A66" t="str">
            <v>000151.SZ</v>
          </cell>
        </row>
        <row r="67">
          <cell r="A67" t="str">
            <v>000153.SZ</v>
          </cell>
        </row>
        <row r="68">
          <cell r="A68" t="str">
            <v>000155.SZ</v>
          </cell>
        </row>
        <row r="69">
          <cell r="A69" t="str">
            <v>000156.SZ</v>
          </cell>
        </row>
        <row r="70">
          <cell r="A70" t="str">
            <v>000157.SZ</v>
          </cell>
        </row>
        <row r="71">
          <cell r="A71" t="str">
            <v>000158.SZ</v>
          </cell>
        </row>
        <row r="72">
          <cell r="A72" t="str">
            <v>000159.SZ</v>
          </cell>
        </row>
        <row r="73">
          <cell r="A73" t="str">
            <v>000301.SZ</v>
          </cell>
        </row>
        <row r="74">
          <cell r="A74" t="str">
            <v>000338.SZ</v>
          </cell>
        </row>
        <row r="75">
          <cell r="A75" t="str">
            <v>000400.SZ</v>
          </cell>
        </row>
        <row r="76">
          <cell r="A76" t="str">
            <v>000401.SZ</v>
          </cell>
        </row>
        <row r="77">
          <cell r="A77" t="str">
            <v>000402.SZ</v>
          </cell>
        </row>
        <row r="78">
          <cell r="A78" t="str">
            <v>000403.SZ</v>
          </cell>
        </row>
        <row r="79">
          <cell r="A79" t="str">
            <v>000404.SZ</v>
          </cell>
        </row>
        <row r="80">
          <cell r="A80" t="str">
            <v>000407.SZ</v>
          </cell>
        </row>
        <row r="81">
          <cell r="A81" t="str">
            <v>000408.SZ</v>
          </cell>
        </row>
        <row r="82">
          <cell r="A82" t="str">
            <v>000409.SZ</v>
          </cell>
        </row>
        <row r="83">
          <cell r="A83" t="str">
            <v>000410.SZ</v>
          </cell>
        </row>
        <row r="84">
          <cell r="A84" t="str">
            <v>000411.SZ</v>
          </cell>
        </row>
        <row r="85">
          <cell r="A85" t="str">
            <v>000413.SZ</v>
          </cell>
        </row>
        <row r="86">
          <cell r="A86" t="str">
            <v>000415.SZ</v>
          </cell>
        </row>
        <row r="87">
          <cell r="A87" t="str">
            <v>000416.SZ</v>
          </cell>
        </row>
        <row r="88">
          <cell r="A88" t="str">
            <v>000417.SZ</v>
          </cell>
        </row>
        <row r="89">
          <cell r="A89" t="str">
            <v>000418.SZ</v>
          </cell>
        </row>
        <row r="90">
          <cell r="A90" t="str">
            <v>000419.SZ</v>
          </cell>
        </row>
        <row r="91">
          <cell r="A91" t="str">
            <v>000420.SZ</v>
          </cell>
        </row>
        <row r="92">
          <cell r="A92" t="str">
            <v>000421.SZ</v>
          </cell>
        </row>
        <row r="93">
          <cell r="A93" t="str">
            <v>000422.SZ</v>
          </cell>
        </row>
        <row r="94">
          <cell r="A94" t="str">
            <v>000423.SZ</v>
          </cell>
        </row>
        <row r="95">
          <cell r="A95" t="str">
            <v>000425.SZ</v>
          </cell>
        </row>
        <row r="96">
          <cell r="A96" t="str">
            <v>000426.SZ</v>
          </cell>
        </row>
        <row r="97">
          <cell r="A97" t="str">
            <v>000428.SZ</v>
          </cell>
        </row>
        <row r="98">
          <cell r="A98" t="str">
            <v>000429.SZ</v>
          </cell>
        </row>
        <row r="99">
          <cell r="A99" t="str">
            <v>000430.SZ</v>
          </cell>
        </row>
        <row r="100">
          <cell r="A100" t="str">
            <v>000488.SZ</v>
          </cell>
        </row>
        <row r="101">
          <cell r="A101" t="str">
            <v>000498.SZ</v>
          </cell>
        </row>
        <row r="102">
          <cell r="A102" t="str">
            <v>000501.SZ</v>
          </cell>
        </row>
        <row r="103">
          <cell r="A103" t="str">
            <v>000502.SZ</v>
          </cell>
        </row>
        <row r="104">
          <cell r="A104" t="str">
            <v>000503.SZ</v>
          </cell>
        </row>
        <row r="105">
          <cell r="A105" t="str">
            <v>000504.SZ</v>
          </cell>
        </row>
        <row r="106">
          <cell r="A106" t="str">
            <v>000505.SZ</v>
          </cell>
        </row>
        <row r="107">
          <cell r="A107" t="str">
            <v>000506.SZ</v>
          </cell>
        </row>
        <row r="108">
          <cell r="A108" t="str">
            <v>000507.SZ</v>
          </cell>
        </row>
        <row r="109">
          <cell r="A109" t="str">
            <v>000509.SZ</v>
          </cell>
        </row>
        <row r="110">
          <cell r="A110" t="str">
            <v>000510.SZ</v>
          </cell>
        </row>
        <row r="111">
          <cell r="A111" t="str">
            <v>000511.SZ</v>
          </cell>
        </row>
        <row r="112">
          <cell r="A112" t="str">
            <v>000513.SZ</v>
          </cell>
        </row>
        <row r="113">
          <cell r="A113" t="str">
            <v>000514.SZ</v>
          </cell>
        </row>
        <row r="114">
          <cell r="A114" t="str">
            <v>000516.SZ</v>
          </cell>
        </row>
        <row r="115">
          <cell r="A115" t="str">
            <v>000517.SZ</v>
          </cell>
        </row>
        <row r="116">
          <cell r="A116" t="str">
            <v>000518.SZ</v>
          </cell>
        </row>
        <row r="117">
          <cell r="A117" t="str">
            <v>000519.SZ</v>
          </cell>
        </row>
        <row r="118">
          <cell r="A118" t="str">
            <v>000520.SZ</v>
          </cell>
        </row>
        <row r="119">
          <cell r="A119" t="str">
            <v>000521.SZ</v>
          </cell>
        </row>
        <row r="120">
          <cell r="A120" t="str">
            <v>000522.SZ</v>
          </cell>
        </row>
        <row r="121">
          <cell r="A121" t="str">
            <v>000523.SZ</v>
          </cell>
        </row>
        <row r="122">
          <cell r="A122" t="str">
            <v>000524.SZ</v>
          </cell>
        </row>
        <row r="123">
          <cell r="A123" t="str">
            <v>000525.SZ</v>
          </cell>
        </row>
        <row r="124">
          <cell r="A124" t="str">
            <v>000526.SZ</v>
          </cell>
        </row>
        <row r="125">
          <cell r="A125" t="str">
            <v>000527.SZ</v>
          </cell>
        </row>
        <row r="126">
          <cell r="A126" t="str">
            <v>000528.SZ</v>
          </cell>
        </row>
        <row r="127">
          <cell r="A127" t="str">
            <v>000529.SZ</v>
          </cell>
        </row>
        <row r="128">
          <cell r="A128" t="str">
            <v>000530.SZ</v>
          </cell>
        </row>
        <row r="129">
          <cell r="A129" t="str">
            <v>000531.SZ</v>
          </cell>
        </row>
        <row r="130">
          <cell r="A130" t="str">
            <v>000532.SZ</v>
          </cell>
        </row>
        <row r="131">
          <cell r="A131" t="str">
            <v>000533.SZ</v>
          </cell>
        </row>
        <row r="132">
          <cell r="A132" t="str">
            <v>000534.SZ</v>
          </cell>
        </row>
        <row r="133">
          <cell r="A133" t="str">
            <v>000536.SZ</v>
          </cell>
        </row>
        <row r="134">
          <cell r="A134" t="str">
            <v>000537.SZ</v>
          </cell>
        </row>
        <row r="135">
          <cell r="A135" t="str">
            <v>000538.SZ</v>
          </cell>
        </row>
        <row r="136">
          <cell r="A136" t="str">
            <v>000539.SZ</v>
          </cell>
        </row>
        <row r="137">
          <cell r="A137" t="str">
            <v>000540.SZ</v>
          </cell>
        </row>
        <row r="138">
          <cell r="A138" t="str">
            <v>000541.SZ</v>
          </cell>
        </row>
        <row r="139">
          <cell r="A139" t="str">
            <v>000543.SZ</v>
          </cell>
        </row>
        <row r="140">
          <cell r="A140" t="str">
            <v>000544.SZ</v>
          </cell>
        </row>
        <row r="141">
          <cell r="A141" t="str">
            <v>000545.SZ</v>
          </cell>
        </row>
        <row r="142">
          <cell r="A142" t="str">
            <v>000546.SZ</v>
          </cell>
        </row>
        <row r="143">
          <cell r="A143" t="str">
            <v>000547.SZ</v>
          </cell>
        </row>
        <row r="144">
          <cell r="A144" t="str">
            <v>000548.SZ</v>
          </cell>
        </row>
        <row r="145">
          <cell r="A145" t="str">
            <v>000550.SZ</v>
          </cell>
        </row>
        <row r="146">
          <cell r="A146" t="str">
            <v>000551.SZ</v>
          </cell>
        </row>
        <row r="147">
          <cell r="A147" t="str">
            <v>000552.SZ</v>
          </cell>
        </row>
        <row r="148">
          <cell r="A148" t="str">
            <v>000553.SZ</v>
          </cell>
        </row>
        <row r="149">
          <cell r="A149" t="str">
            <v>000554.SZ</v>
          </cell>
        </row>
        <row r="150">
          <cell r="A150" t="str">
            <v>000555.SZ</v>
          </cell>
        </row>
        <row r="151">
          <cell r="A151" t="str">
            <v>000557.SZ</v>
          </cell>
        </row>
        <row r="152">
          <cell r="A152" t="str">
            <v>000558.SZ</v>
          </cell>
        </row>
        <row r="153">
          <cell r="A153" t="str">
            <v>000559.SZ</v>
          </cell>
        </row>
        <row r="154">
          <cell r="A154" t="str">
            <v>000560.SZ</v>
          </cell>
        </row>
        <row r="155">
          <cell r="A155" t="str">
            <v>000561.SZ</v>
          </cell>
        </row>
        <row r="156">
          <cell r="A156" t="str">
            <v>000562.SZ</v>
          </cell>
        </row>
        <row r="157">
          <cell r="A157" t="str">
            <v>000563.SZ</v>
          </cell>
        </row>
        <row r="158">
          <cell r="A158" t="str">
            <v>000564.SZ</v>
          </cell>
        </row>
        <row r="159">
          <cell r="A159" t="str">
            <v>000565.SZ</v>
          </cell>
        </row>
        <row r="160">
          <cell r="A160" t="str">
            <v>000566.SZ</v>
          </cell>
        </row>
        <row r="161">
          <cell r="A161" t="str">
            <v>000567.SZ</v>
          </cell>
        </row>
        <row r="162">
          <cell r="A162" t="str">
            <v>000568.SZ</v>
          </cell>
        </row>
        <row r="163">
          <cell r="A163" t="str">
            <v>000570.SZ</v>
          </cell>
        </row>
        <row r="164">
          <cell r="A164" t="str">
            <v>000571.SZ</v>
          </cell>
        </row>
        <row r="165">
          <cell r="A165" t="str">
            <v>000572.SZ</v>
          </cell>
        </row>
        <row r="166">
          <cell r="A166" t="str">
            <v>000573.SZ</v>
          </cell>
        </row>
        <row r="167">
          <cell r="A167" t="str">
            <v>000576.SZ</v>
          </cell>
        </row>
        <row r="168">
          <cell r="A168" t="str">
            <v>000578.SZ</v>
          </cell>
        </row>
        <row r="169">
          <cell r="A169" t="str">
            <v>000581.SZ</v>
          </cell>
        </row>
        <row r="170">
          <cell r="A170" t="str">
            <v>000582.SZ</v>
          </cell>
        </row>
        <row r="171">
          <cell r="A171" t="str">
            <v>000584.SZ</v>
          </cell>
        </row>
        <row r="172">
          <cell r="A172" t="str">
            <v>000585.SZ</v>
          </cell>
        </row>
        <row r="173">
          <cell r="A173" t="str">
            <v>000586.SZ</v>
          </cell>
        </row>
        <row r="174">
          <cell r="A174" t="str">
            <v>000587.SZ</v>
          </cell>
        </row>
        <row r="175">
          <cell r="A175" t="str">
            <v>000589.SZ</v>
          </cell>
        </row>
        <row r="176">
          <cell r="A176" t="str">
            <v>000590.SZ</v>
          </cell>
        </row>
        <row r="177">
          <cell r="A177" t="str">
            <v>000591.SZ</v>
          </cell>
        </row>
        <row r="178">
          <cell r="A178" t="str">
            <v>000592.SZ</v>
          </cell>
        </row>
        <row r="179">
          <cell r="A179" t="str">
            <v>000593.SZ</v>
          </cell>
        </row>
        <row r="180">
          <cell r="A180" t="str">
            <v>000594.SZ</v>
          </cell>
        </row>
        <row r="181">
          <cell r="A181" t="str">
            <v>000595.SZ</v>
          </cell>
        </row>
        <row r="182">
          <cell r="A182" t="str">
            <v>000596.SZ</v>
          </cell>
        </row>
        <row r="183">
          <cell r="A183" t="str">
            <v>000597.SZ</v>
          </cell>
        </row>
        <row r="184">
          <cell r="A184" t="str">
            <v>000598.SZ</v>
          </cell>
        </row>
        <row r="185">
          <cell r="A185" t="str">
            <v>000599.SZ</v>
          </cell>
        </row>
        <row r="186">
          <cell r="A186" t="str">
            <v>000600.SZ</v>
          </cell>
        </row>
        <row r="187">
          <cell r="A187" t="str">
            <v>000601.SZ</v>
          </cell>
        </row>
        <row r="188">
          <cell r="A188" t="str">
            <v>000602.SZ</v>
          </cell>
        </row>
        <row r="189">
          <cell r="A189" t="str">
            <v>000603.SZ</v>
          </cell>
        </row>
        <row r="190">
          <cell r="A190" t="str">
            <v>000605.SZ</v>
          </cell>
        </row>
        <row r="191">
          <cell r="A191" t="str">
            <v>000606.SZ</v>
          </cell>
        </row>
        <row r="192">
          <cell r="A192" t="str">
            <v>000607.SZ</v>
          </cell>
        </row>
        <row r="193">
          <cell r="A193" t="str">
            <v>000608.SZ</v>
          </cell>
        </row>
        <row r="194">
          <cell r="A194" t="str">
            <v>000609.SZ</v>
          </cell>
        </row>
        <row r="195">
          <cell r="A195" t="str">
            <v>000610.SZ</v>
          </cell>
        </row>
        <row r="196">
          <cell r="A196" t="str">
            <v>000611.SZ</v>
          </cell>
        </row>
        <row r="197">
          <cell r="A197" t="str">
            <v>000612.SZ</v>
          </cell>
        </row>
        <row r="198">
          <cell r="A198" t="str">
            <v>000613.SZ</v>
          </cell>
        </row>
        <row r="199">
          <cell r="A199" t="str">
            <v>000615.SZ</v>
          </cell>
        </row>
        <row r="200">
          <cell r="A200" t="str">
            <v>000616.SZ</v>
          </cell>
        </row>
        <row r="201">
          <cell r="A201" t="str">
            <v>000617.SZ</v>
          </cell>
        </row>
        <row r="202">
          <cell r="A202" t="str">
            <v>000619.SZ</v>
          </cell>
        </row>
        <row r="203">
          <cell r="A203" t="str">
            <v>000620.SZ</v>
          </cell>
        </row>
        <row r="204">
          <cell r="A204" t="str">
            <v>000622.SZ</v>
          </cell>
        </row>
        <row r="205">
          <cell r="A205" t="str">
            <v>000623.SZ</v>
          </cell>
        </row>
        <row r="206">
          <cell r="A206" t="str">
            <v>000625.SZ</v>
          </cell>
        </row>
        <row r="207">
          <cell r="A207" t="str">
            <v>000626.SZ</v>
          </cell>
        </row>
        <row r="208">
          <cell r="A208" t="str">
            <v>000627.SZ</v>
          </cell>
        </row>
        <row r="209">
          <cell r="A209" t="str">
            <v>000628.SZ</v>
          </cell>
        </row>
        <row r="210">
          <cell r="A210" t="str">
            <v>000629.SZ</v>
          </cell>
        </row>
        <row r="211">
          <cell r="A211" t="str">
            <v>000630.SZ</v>
          </cell>
        </row>
        <row r="212">
          <cell r="A212" t="str">
            <v>000631.SZ</v>
          </cell>
        </row>
        <row r="213">
          <cell r="A213" t="str">
            <v>000632.SZ</v>
          </cell>
        </row>
        <row r="214">
          <cell r="A214" t="str">
            <v>000633.SZ</v>
          </cell>
        </row>
        <row r="215">
          <cell r="A215" t="str">
            <v>000635.SZ</v>
          </cell>
        </row>
        <row r="216">
          <cell r="A216" t="str">
            <v>000636.SZ</v>
          </cell>
        </row>
        <row r="217">
          <cell r="A217" t="str">
            <v>000637.SZ</v>
          </cell>
        </row>
        <row r="218">
          <cell r="A218" t="str">
            <v>000638.SZ</v>
          </cell>
        </row>
        <row r="219">
          <cell r="A219" t="str">
            <v>000639.SZ</v>
          </cell>
        </row>
        <row r="220">
          <cell r="A220" t="str">
            <v>000650.SZ</v>
          </cell>
        </row>
        <row r="221">
          <cell r="A221" t="str">
            <v>000651.SZ</v>
          </cell>
        </row>
        <row r="222">
          <cell r="A222" t="str">
            <v>000652.SZ</v>
          </cell>
        </row>
        <row r="223">
          <cell r="A223" t="str">
            <v>000655.SZ</v>
          </cell>
        </row>
        <row r="224">
          <cell r="A224" t="str">
            <v>000656.SZ</v>
          </cell>
        </row>
        <row r="225">
          <cell r="A225" t="str">
            <v>000657.SZ</v>
          </cell>
        </row>
        <row r="226">
          <cell r="A226" t="str">
            <v>000659.SZ</v>
          </cell>
        </row>
        <row r="227">
          <cell r="A227" t="str">
            <v>000661.SZ</v>
          </cell>
        </row>
        <row r="228">
          <cell r="A228" t="str">
            <v>000662.SZ</v>
          </cell>
        </row>
        <row r="229">
          <cell r="A229" t="str">
            <v>000663.SZ</v>
          </cell>
        </row>
        <row r="230">
          <cell r="A230" t="str">
            <v>000665.SZ</v>
          </cell>
        </row>
        <row r="231">
          <cell r="A231" t="str">
            <v>000666.SZ</v>
          </cell>
        </row>
        <row r="232">
          <cell r="A232" t="str">
            <v>000667.SZ</v>
          </cell>
        </row>
        <row r="233">
          <cell r="A233" t="str">
            <v>000668.SZ</v>
          </cell>
        </row>
        <row r="234">
          <cell r="A234" t="str">
            <v>000669.SZ</v>
          </cell>
        </row>
        <row r="235">
          <cell r="A235" t="str">
            <v>000670.SZ</v>
          </cell>
        </row>
        <row r="236">
          <cell r="A236" t="str">
            <v>000671.SZ</v>
          </cell>
        </row>
        <row r="237">
          <cell r="A237" t="str">
            <v>000672.SZ</v>
          </cell>
        </row>
        <row r="238">
          <cell r="A238" t="str">
            <v>000673.SZ</v>
          </cell>
        </row>
        <row r="239">
          <cell r="A239" t="str">
            <v>000676.SZ</v>
          </cell>
        </row>
        <row r="240">
          <cell r="A240" t="str">
            <v>000677.SZ</v>
          </cell>
        </row>
        <row r="241">
          <cell r="A241" t="str">
            <v>000678.SZ</v>
          </cell>
        </row>
        <row r="242">
          <cell r="A242" t="str">
            <v>000679.SZ</v>
          </cell>
        </row>
        <row r="243">
          <cell r="A243" t="str">
            <v>000680.SZ</v>
          </cell>
        </row>
        <row r="244">
          <cell r="A244" t="str">
            <v>000681.SZ</v>
          </cell>
        </row>
        <row r="245">
          <cell r="A245" t="str">
            <v>000682.SZ</v>
          </cell>
        </row>
        <row r="246">
          <cell r="A246" t="str">
            <v>000683.SZ</v>
          </cell>
        </row>
        <row r="247">
          <cell r="A247" t="str">
            <v>000685.SZ</v>
          </cell>
        </row>
        <row r="248">
          <cell r="A248" t="str">
            <v>000686.SZ</v>
          </cell>
        </row>
        <row r="249">
          <cell r="A249" t="str">
            <v>000687.SZ</v>
          </cell>
        </row>
        <row r="250">
          <cell r="A250" t="str">
            <v>000688.SZ</v>
          </cell>
        </row>
        <row r="251">
          <cell r="A251" t="str">
            <v>000690.SZ</v>
          </cell>
        </row>
        <row r="252">
          <cell r="A252" t="str">
            <v>000691.SZ</v>
          </cell>
        </row>
        <row r="253">
          <cell r="A253" t="str">
            <v>000692.SZ</v>
          </cell>
        </row>
        <row r="254">
          <cell r="A254" t="str">
            <v>000693.SZ</v>
          </cell>
        </row>
        <row r="255">
          <cell r="A255" t="str">
            <v>000695.SZ</v>
          </cell>
        </row>
        <row r="256">
          <cell r="A256" t="str">
            <v>000697.SZ</v>
          </cell>
        </row>
        <row r="257">
          <cell r="A257" t="str">
            <v>000698.SZ</v>
          </cell>
        </row>
        <row r="258">
          <cell r="A258" t="str">
            <v>000700.SZ</v>
          </cell>
        </row>
        <row r="259">
          <cell r="A259" t="str">
            <v>000701.SZ</v>
          </cell>
        </row>
        <row r="260">
          <cell r="A260" t="str">
            <v>000702.SZ</v>
          </cell>
        </row>
        <row r="261">
          <cell r="A261" t="str">
            <v>000703.SZ</v>
          </cell>
        </row>
        <row r="262">
          <cell r="A262" t="str">
            <v>000705.SZ</v>
          </cell>
        </row>
        <row r="263">
          <cell r="A263" t="str">
            <v>000707.SZ</v>
          </cell>
        </row>
        <row r="264">
          <cell r="A264" t="str">
            <v>000708.SZ</v>
          </cell>
        </row>
        <row r="265">
          <cell r="A265" t="str">
            <v>000709.SZ</v>
          </cell>
        </row>
        <row r="266">
          <cell r="A266" t="str">
            <v>000710.SZ</v>
          </cell>
        </row>
        <row r="267">
          <cell r="A267" t="str">
            <v>000711.SZ</v>
          </cell>
        </row>
        <row r="268">
          <cell r="A268" t="str">
            <v>000712.SZ</v>
          </cell>
        </row>
        <row r="269">
          <cell r="A269" t="str">
            <v>000713.SZ</v>
          </cell>
        </row>
        <row r="270">
          <cell r="A270" t="str">
            <v>000715.SZ</v>
          </cell>
        </row>
        <row r="271">
          <cell r="A271" t="str">
            <v>000716.SZ</v>
          </cell>
        </row>
        <row r="272">
          <cell r="A272" t="str">
            <v>000717.SZ</v>
          </cell>
        </row>
        <row r="273">
          <cell r="A273" t="str">
            <v>000718.SZ</v>
          </cell>
        </row>
        <row r="274">
          <cell r="A274" t="str">
            <v>000719.SZ</v>
          </cell>
        </row>
        <row r="275">
          <cell r="A275" t="str">
            <v>000720.SZ</v>
          </cell>
        </row>
        <row r="276">
          <cell r="A276" t="str">
            <v>000721.SZ</v>
          </cell>
        </row>
        <row r="277">
          <cell r="A277" t="str">
            <v>000722.SZ</v>
          </cell>
        </row>
        <row r="278">
          <cell r="A278" t="str">
            <v>000723.SZ</v>
          </cell>
        </row>
        <row r="279">
          <cell r="A279" t="str">
            <v>000725.SZ</v>
          </cell>
        </row>
        <row r="280">
          <cell r="A280" t="str">
            <v>000726.SZ</v>
          </cell>
        </row>
        <row r="281">
          <cell r="A281" t="str">
            <v>000727.SZ</v>
          </cell>
        </row>
        <row r="282">
          <cell r="A282" t="str">
            <v>000728.SZ</v>
          </cell>
        </row>
        <row r="283">
          <cell r="A283" t="str">
            <v>000729.SZ</v>
          </cell>
        </row>
        <row r="284">
          <cell r="A284" t="str">
            <v>000731.SZ</v>
          </cell>
        </row>
        <row r="285">
          <cell r="A285" t="str">
            <v>000732.SZ</v>
          </cell>
        </row>
        <row r="286">
          <cell r="A286" t="str">
            <v>000733.SZ</v>
          </cell>
        </row>
        <row r="287">
          <cell r="A287" t="str">
            <v>000735.SZ</v>
          </cell>
        </row>
        <row r="288">
          <cell r="A288" t="str">
            <v>000736.SZ</v>
          </cell>
        </row>
        <row r="289">
          <cell r="A289" t="str">
            <v>000737.SZ</v>
          </cell>
        </row>
        <row r="290">
          <cell r="A290" t="str">
            <v>000738.SZ</v>
          </cell>
        </row>
        <row r="291">
          <cell r="A291" t="str">
            <v>000739.SZ</v>
          </cell>
        </row>
        <row r="292">
          <cell r="A292" t="str">
            <v>000748.SZ</v>
          </cell>
        </row>
        <row r="293">
          <cell r="A293" t="str">
            <v>000750.SZ</v>
          </cell>
        </row>
        <row r="294">
          <cell r="A294" t="str">
            <v>000751.SZ</v>
          </cell>
        </row>
        <row r="295">
          <cell r="A295" t="str">
            <v>000752.SZ</v>
          </cell>
        </row>
        <row r="296">
          <cell r="A296" t="str">
            <v>000753.SZ</v>
          </cell>
        </row>
        <row r="297">
          <cell r="A297" t="str">
            <v>000755.SZ</v>
          </cell>
        </row>
        <row r="298">
          <cell r="A298" t="str">
            <v>000756.SZ</v>
          </cell>
        </row>
        <row r="299">
          <cell r="A299" t="str">
            <v>000757.SZ</v>
          </cell>
        </row>
        <row r="300">
          <cell r="A300" t="str">
            <v>000758.SZ</v>
          </cell>
        </row>
        <row r="301">
          <cell r="A301" t="str">
            <v>000759.SZ</v>
          </cell>
        </row>
        <row r="302">
          <cell r="A302" t="str">
            <v>000760.SZ</v>
          </cell>
        </row>
        <row r="303">
          <cell r="A303" t="str">
            <v>000761.SZ</v>
          </cell>
        </row>
        <row r="304">
          <cell r="A304" t="str">
            <v>000762.SZ</v>
          </cell>
        </row>
        <row r="305">
          <cell r="A305" t="str">
            <v>000766.SZ</v>
          </cell>
        </row>
        <row r="306">
          <cell r="A306" t="str">
            <v>000767.SZ</v>
          </cell>
        </row>
        <row r="307">
          <cell r="A307" t="str">
            <v>000768.SZ</v>
          </cell>
        </row>
        <row r="308">
          <cell r="A308" t="str">
            <v>000776.SZ</v>
          </cell>
        </row>
        <row r="309">
          <cell r="A309" t="str">
            <v>000777.SZ</v>
          </cell>
        </row>
        <row r="310">
          <cell r="A310" t="str">
            <v>000778.SZ</v>
          </cell>
        </row>
        <row r="311">
          <cell r="A311" t="str">
            <v>000779.SZ</v>
          </cell>
        </row>
        <row r="312">
          <cell r="A312" t="str">
            <v>000780.SZ</v>
          </cell>
        </row>
        <row r="313">
          <cell r="A313" t="str">
            <v>000782.SZ</v>
          </cell>
        </row>
        <row r="314">
          <cell r="A314" t="str">
            <v>000783.SZ</v>
          </cell>
        </row>
        <row r="315">
          <cell r="A315" t="str">
            <v>000785.SZ</v>
          </cell>
        </row>
        <row r="316">
          <cell r="A316" t="str">
            <v>000786.SZ</v>
          </cell>
        </row>
        <row r="317">
          <cell r="A317" t="str">
            <v>000787.SZ</v>
          </cell>
        </row>
        <row r="318">
          <cell r="A318" t="str">
            <v>000788.SZ</v>
          </cell>
        </row>
        <row r="319">
          <cell r="A319" t="str">
            <v>000789.SZ</v>
          </cell>
        </row>
        <row r="320">
          <cell r="A320" t="str">
            <v>000790.SZ</v>
          </cell>
        </row>
        <row r="321">
          <cell r="A321" t="str">
            <v>000791.SZ</v>
          </cell>
        </row>
        <row r="322">
          <cell r="A322" t="str">
            <v>000792.SZ</v>
          </cell>
        </row>
        <row r="323">
          <cell r="A323" t="str">
            <v>000793.SZ</v>
          </cell>
        </row>
        <row r="324">
          <cell r="A324" t="str">
            <v>000795.SZ</v>
          </cell>
        </row>
        <row r="325">
          <cell r="A325" t="str">
            <v>000796.SZ</v>
          </cell>
        </row>
        <row r="326">
          <cell r="A326" t="str">
            <v>000797.SZ</v>
          </cell>
        </row>
        <row r="327">
          <cell r="A327" t="str">
            <v>000798.SZ</v>
          </cell>
        </row>
        <row r="328">
          <cell r="A328" t="str">
            <v>000799.SZ</v>
          </cell>
        </row>
        <row r="329">
          <cell r="A329" t="str">
            <v>000800.SZ</v>
          </cell>
        </row>
        <row r="330">
          <cell r="A330" t="str">
            <v>000801.SZ</v>
          </cell>
        </row>
        <row r="331">
          <cell r="A331" t="str">
            <v>000802.SZ</v>
          </cell>
        </row>
        <row r="332">
          <cell r="A332" t="str">
            <v>000803.SZ</v>
          </cell>
        </row>
        <row r="333">
          <cell r="A333" t="str">
            <v>000805.SZ</v>
          </cell>
        </row>
        <row r="334">
          <cell r="A334" t="str">
            <v>000806.SZ</v>
          </cell>
        </row>
        <row r="335">
          <cell r="A335" t="str">
            <v>000807.SZ</v>
          </cell>
        </row>
        <row r="336">
          <cell r="A336" t="str">
            <v>000809.SZ</v>
          </cell>
        </row>
        <row r="337">
          <cell r="A337" t="str">
            <v>000810.SZ</v>
          </cell>
        </row>
        <row r="338">
          <cell r="A338" t="str">
            <v>000811.SZ</v>
          </cell>
        </row>
        <row r="339">
          <cell r="A339" t="str">
            <v>000812.SZ</v>
          </cell>
        </row>
        <row r="340">
          <cell r="A340" t="str">
            <v>000813.SZ</v>
          </cell>
        </row>
        <row r="341">
          <cell r="A341" t="str">
            <v>000815.SZ</v>
          </cell>
        </row>
        <row r="342">
          <cell r="A342" t="str">
            <v>000816.SZ</v>
          </cell>
        </row>
        <row r="343">
          <cell r="A343" t="str">
            <v>000818.SZ</v>
          </cell>
        </row>
        <row r="344">
          <cell r="A344" t="str">
            <v>000819.SZ</v>
          </cell>
        </row>
        <row r="345">
          <cell r="A345" t="str">
            <v>000820.SZ</v>
          </cell>
        </row>
        <row r="346">
          <cell r="A346" t="str">
            <v>000821.SZ</v>
          </cell>
        </row>
        <row r="347">
          <cell r="A347" t="str">
            <v>000822.SZ</v>
          </cell>
        </row>
        <row r="348">
          <cell r="A348" t="str">
            <v>000823.SZ</v>
          </cell>
        </row>
        <row r="349">
          <cell r="A349" t="str">
            <v>000825.SZ</v>
          </cell>
        </row>
        <row r="350">
          <cell r="A350" t="str">
            <v>000826.SZ</v>
          </cell>
        </row>
        <row r="351">
          <cell r="A351" t="str">
            <v>000828.SZ</v>
          </cell>
        </row>
        <row r="352">
          <cell r="A352" t="str">
            <v>000829.SZ</v>
          </cell>
        </row>
        <row r="353">
          <cell r="A353" t="str">
            <v>000830.SZ</v>
          </cell>
        </row>
        <row r="354">
          <cell r="A354" t="str">
            <v>000831.SZ</v>
          </cell>
        </row>
        <row r="355">
          <cell r="A355" t="str">
            <v>000833.SZ</v>
          </cell>
        </row>
        <row r="356">
          <cell r="A356" t="str">
            <v>000835.SZ</v>
          </cell>
        </row>
        <row r="357">
          <cell r="A357" t="str">
            <v>000836.SZ</v>
          </cell>
        </row>
        <row r="358">
          <cell r="A358" t="str">
            <v>000837.SZ</v>
          </cell>
        </row>
        <row r="359">
          <cell r="A359" t="str">
            <v>000838.SZ</v>
          </cell>
        </row>
        <row r="360">
          <cell r="A360" t="str">
            <v>000839.SZ</v>
          </cell>
        </row>
        <row r="361">
          <cell r="A361" t="str">
            <v>000848.SZ</v>
          </cell>
        </row>
        <row r="362">
          <cell r="A362" t="str">
            <v>000850.SZ</v>
          </cell>
        </row>
        <row r="363">
          <cell r="A363" t="str">
            <v>000851.SZ</v>
          </cell>
        </row>
        <row r="364">
          <cell r="A364" t="str">
            <v>000852.SZ</v>
          </cell>
        </row>
        <row r="365">
          <cell r="A365" t="str">
            <v>000856.SZ</v>
          </cell>
        </row>
        <row r="366">
          <cell r="A366" t="str">
            <v>000858.SZ</v>
          </cell>
        </row>
        <row r="367">
          <cell r="A367" t="str">
            <v>000859.SZ</v>
          </cell>
        </row>
        <row r="368">
          <cell r="A368" t="str">
            <v>000860.SZ</v>
          </cell>
        </row>
        <row r="369">
          <cell r="A369" t="str">
            <v>000861.SZ</v>
          </cell>
        </row>
        <row r="370">
          <cell r="A370" t="str">
            <v>000862.SZ</v>
          </cell>
        </row>
        <row r="371">
          <cell r="A371" t="str">
            <v>000863.SZ</v>
          </cell>
        </row>
        <row r="372">
          <cell r="A372" t="str">
            <v>000868.SZ</v>
          </cell>
        </row>
        <row r="373">
          <cell r="A373" t="str">
            <v>000869.SZ</v>
          </cell>
        </row>
        <row r="374">
          <cell r="A374" t="str">
            <v>000875.SZ</v>
          </cell>
        </row>
        <row r="375">
          <cell r="A375" t="str">
            <v>000876.SZ</v>
          </cell>
        </row>
        <row r="376">
          <cell r="A376" t="str">
            <v>000877.SZ</v>
          </cell>
        </row>
        <row r="377">
          <cell r="A377" t="str">
            <v>000878.SZ</v>
          </cell>
        </row>
        <row r="378">
          <cell r="A378" t="str">
            <v>000880.SZ</v>
          </cell>
        </row>
        <row r="379">
          <cell r="A379" t="str">
            <v>000881.SZ</v>
          </cell>
        </row>
        <row r="380">
          <cell r="A380" t="str">
            <v>000882.SZ</v>
          </cell>
        </row>
        <row r="381">
          <cell r="A381" t="str">
            <v>000883.SZ</v>
          </cell>
        </row>
        <row r="382">
          <cell r="A382" t="str">
            <v>000885.SZ</v>
          </cell>
        </row>
        <row r="383">
          <cell r="A383" t="str">
            <v>000886.SZ</v>
          </cell>
        </row>
        <row r="384">
          <cell r="A384" t="str">
            <v>000887.SZ</v>
          </cell>
        </row>
        <row r="385">
          <cell r="A385" t="str">
            <v>000888.SZ</v>
          </cell>
        </row>
        <row r="386">
          <cell r="A386" t="str">
            <v>000889.SZ</v>
          </cell>
        </row>
        <row r="387">
          <cell r="A387" t="str">
            <v>000890.SZ</v>
          </cell>
        </row>
        <row r="388">
          <cell r="A388" t="str">
            <v>000892.SZ</v>
          </cell>
        </row>
        <row r="389">
          <cell r="A389" t="str">
            <v>000893.SZ</v>
          </cell>
        </row>
        <row r="390">
          <cell r="A390" t="str">
            <v>000895.SZ</v>
          </cell>
        </row>
        <row r="391">
          <cell r="A391" t="str">
            <v>000897.SZ</v>
          </cell>
        </row>
        <row r="392">
          <cell r="A392" t="str">
            <v>000898.SZ</v>
          </cell>
        </row>
        <row r="393">
          <cell r="A393" t="str">
            <v>000899.SZ</v>
          </cell>
        </row>
        <row r="394">
          <cell r="A394" t="str">
            <v>000900.SZ</v>
          </cell>
        </row>
        <row r="395">
          <cell r="A395" t="str">
            <v>000901.SZ</v>
          </cell>
        </row>
        <row r="396">
          <cell r="A396" t="str">
            <v>000902.SZ</v>
          </cell>
        </row>
        <row r="397">
          <cell r="A397" t="str">
            <v>000903.SZ</v>
          </cell>
        </row>
        <row r="398">
          <cell r="A398" t="str">
            <v>000905.SZ</v>
          </cell>
        </row>
        <row r="399">
          <cell r="A399" t="str">
            <v>000906.SZ</v>
          </cell>
        </row>
        <row r="400">
          <cell r="A400" t="str">
            <v>000908.SZ</v>
          </cell>
        </row>
        <row r="401">
          <cell r="A401" t="str">
            <v>000909.SZ</v>
          </cell>
        </row>
        <row r="402">
          <cell r="A402" t="str">
            <v>000910.SZ</v>
          </cell>
        </row>
        <row r="403">
          <cell r="A403" t="str">
            <v>000911.SZ</v>
          </cell>
        </row>
        <row r="404">
          <cell r="A404" t="str">
            <v>000912.SZ</v>
          </cell>
        </row>
        <row r="405">
          <cell r="A405" t="str">
            <v>000913.SZ</v>
          </cell>
        </row>
        <row r="406">
          <cell r="A406" t="str">
            <v>000915.SZ</v>
          </cell>
        </row>
        <row r="407">
          <cell r="A407" t="str">
            <v>000916.SZ</v>
          </cell>
        </row>
        <row r="408">
          <cell r="A408" t="str">
            <v>000917.SZ</v>
          </cell>
        </row>
        <row r="409">
          <cell r="A409" t="str">
            <v>000918.SZ</v>
          </cell>
        </row>
        <row r="410">
          <cell r="A410" t="str">
            <v>000919.SZ</v>
          </cell>
        </row>
        <row r="411">
          <cell r="A411" t="str">
            <v>000920.SZ</v>
          </cell>
        </row>
        <row r="412">
          <cell r="A412" t="str">
            <v>000921.SZ</v>
          </cell>
        </row>
        <row r="413">
          <cell r="A413" t="str">
            <v>000922.SZ</v>
          </cell>
        </row>
        <row r="414">
          <cell r="A414" t="str">
            <v>000923.SZ</v>
          </cell>
        </row>
        <row r="415">
          <cell r="A415" t="str">
            <v>000925.SZ</v>
          </cell>
        </row>
        <row r="416">
          <cell r="A416" t="str">
            <v>000926.SZ</v>
          </cell>
        </row>
        <row r="417">
          <cell r="A417" t="str">
            <v>000927.SZ</v>
          </cell>
        </row>
        <row r="418">
          <cell r="A418" t="str">
            <v>000928.SZ</v>
          </cell>
        </row>
        <row r="419">
          <cell r="A419" t="str">
            <v>000929.SZ</v>
          </cell>
        </row>
        <row r="420">
          <cell r="A420" t="str">
            <v>000930.SZ</v>
          </cell>
        </row>
        <row r="421">
          <cell r="A421" t="str">
            <v>000931.SZ</v>
          </cell>
        </row>
        <row r="422">
          <cell r="A422" t="str">
            <v>000932.SZ</v>
          </cell>
        </row>
        <row r="423">
          <cell r="A423" t="str">
            <v>000933.SZ</v>
          </cell>
        </row>
        <row r="424">
          <cell r="A424" t="str">
            <v>000935.SZ</v>
          </cell>
        </row>
        <row r="425">
          <cell r="A425" t="str">
            <v>000936.SZ</v>
          </cell>
        </row>
        <row r="426">
          <cell r="A426" t="str">
            <v>000937.SZ</v>
          </cell>
        </row>
        <row r="427">
          <cell r="A427" t="str">
            <v>000938.SZ</v>
          </cell>
        </row>
        <row r="428">
          <cell r="A428" t="str">
            <v>000939.SZ</v>
          </cell>
        </row>
        <row r="429">
          <cell r="A429" t="str">
            <v>000948.SZ</v>
          </cell>
        </row>
        <row r="430">
          <cell r="A430" t="str">
            <v>000949.SZ</v>
          </cell>
        </row>
        <row r="431">
          <cell r="A431" t="str">
            <v>000950.SZ</v>
          </cell>
        </row>
        <row r="432">
          <cell r="A432" t="str">
            <v>000951.SZ</v>
          </cell>
        </row>
        <row r="433">
          <cell r="A433" t="str">
            <v>000952.SZ</v>
          </cell>
        </row>
        <row r="434">
          <cell r="A434" t="str">
            <v>000953.SZ</v>
          </cell>
        </row>
        <row r="435">
          <cell r="A435" t="str">
            <v>000955.SZ</v>
          </cell>
        </row>
        <row r="436">
          <cell r="A436" t="str">
            <v>000957.SZ</v>
          </cell>
        </row>
        <row r="437">
          <cell r="A437" t="str">
            <v>000958.SZ</v>
          </cell>
        </row>
        <row r="438">
          <cell r="A438" t="str">
            <v>000959.SZ</v>
          </cell>
        </row>
        <row r="439">
          <cell r="A439" t="str">
            <v>000960.SZ</v>
          </cell>
        </row>
        <row r="440">
          <cell r="A440" t="str">
            <v>000961.SZ</v>
          </cell>
        </row>
        <row r="441">
          <cell r="A441" t="str">
            <v>000962.SZ</v>
          </cell>
        </row>
        <row r="442">
          <cell r="A442" t="str">
            <v>000963.SZ</v>
          </cell>
        </row>
        <row r="443">
          <cell r="A443" t="str">
            <v>000965.SZ</v>
          </cell>
        </row>
        <row r="444">
          <cell r="A444" t="str">
            <v>000966.SZ</v>
          </cell>
        </row>
        <row r="445">
          <cell r="A445" t="str">
            <v>000967.SZ</v>
          </cell>
        </row>
        <row r="446">
          <cell r="A446" t="str">
            <v>000968.SZ</v>
          </cell>
        </row>
        <row r="447">
          <cell r="A447" t="str">
            <v>000969.SZ</v>
          </cell>
        </row>
        <row r="448">
          <cell r="A448" t="str">
            <v>000970.SZ</v>
          </cell>
        </row>
        <row r="449">
          <cell r="A449" t="str">
            <v>000971.SZ</v>
          </cell>
        </row>
        <row r="450">
          <cell r="A450" t="str">
            <v>000972.SZ</v>
          </cell>
        </row>
        <row r="451">
          <cell r="A451" t="str">
            <v>000973.SZ</v>
          </cell>
        </row>
        <row r="452">
          <cell r="A452" t="str">
            <v>000975.SZ</v>
          </cell>
        </row>
        <row r="453">
          <cell r="A453" t="str">
            <v>000976.SZ</v>
          </cell>
        </row>
        <row r="454">
          <cell r="A454" t="str">
            <v>000977.SZ</v>
          </cell>
        </row>
        <row r="455">
          <cell r="A455" t="str">
            <v>000978.SZ</v>
          </cell>
        </row>
        <row r="456">
          <cell r="A456" t="str">
            <v>000979.SZ</v>
          </cell>
        </row>
        <row r="457">
          <cell r="A457" t="str">
            <v>000980.SZ</v>
          </cell>
        </row>
        <row r="458">
          <cell r="A458" t="str">
            <v>000981.SZ</v>
          </cell>
        </row>
        <row r="459">
          <cell r="A459" t="str">
            <v>000982.SZ</v>
          </cell>
        </row>
        <row r="460">
          <cell r="A460" t="str">
            <v>000983.SZ</v>
          </cell>
        </row>
        <row r="461">
          <cell r="A461" t="str">
            <v>000985.SZ</v>
          </cell>
        </row>
        <row r="462">
          <cell r="A462" t="str">
            <v>000987.SZ</v>
          </cell>
        </row>
        <row r="463">
          <cell r="A463" t="str">
            <v>000988.SZ</v>
          </cell>
        </row>
        <row r="464">
          <cell r="A464" t="str">
            <v>000989.SZ</v>
          </cell>
        </row>
        <row r="465">
          <cell r="A465" t="str">
            <v>000990.SZ</v>
          </cell>
        </row>
        <row r="466">
          <cell r="A466" t="str">
            <v>000993.SZ</v>
          </cell>
        </row>
        <row r="467">
          <cell r="A467" t="str">
            <v>000995.SZ</v>
          </cell>
        </row>
        <row r="468">
          <cell r="A468" t="str">
            <v>000996.SZ</v>
          </cell>
        </row>
        <row r="469">
          <cell r="A469" t="str">
            <v>000997.SZ</v>
          </cell>
        </row>
        <row r="470">
          <cell r="A470" t="str">
            <v>000998.SZ</v>
          </cell>
        </row>
        <row r="471">
          <cell r="A471" t="str">
            <v>000999.SZ</v>
          </cell>
        </row>
        <row r="472">
          <cell r="A472" t="str">
            <v>001696.SZ</v>
          </cell>
        </row>
        <row r="473">
          <cell r="A473" t="str">
            <v>001896.SZ</v>
          </cell>
        </row>
        <row r="474">
          <cell r="A474" t="str">
            <v>002001.SZ</v>
          </cell>
        </row>
        <row r="475">
          <cell r="A475" t="str">
            <v>002002.SZ</v>
          </cell>
        </row>
        <row r="476">
          <cell r="A476" t="str">
            <v>002003.SZ</v>
          </cell>
        </row>
        <row r="477">
          <cell r="A477" t="str">
            <v>002004.SZ</v>
          </cell>
        </row>
        <row r="478">
          <cell r="A478" t="str">
            <v>002005.SZ</v>
          </cell>
        </row>
        <row r="479">
          <cell r="A479" t="str">
            <v>002006.SZ</v>
          </cell>
        </row>
        <row r="480">
          <cell r="A480" t="str">
            <v>002007.SZ</v>
          </cell>
        </row>
        <row r="481">
          <cell r="A481" t="str">
            <v>002008.SZ</v>
          </cell>
        </row>
        <row r="482">
          <cell r="A482" t="str">
            <v>002009.SZ</v>
          </cell>
        </row>
        <row r="483">
          <cell r="A483" t="str">
            <v>002010.SZ</v>
          </cell>
        </row>
        <row r="484">
          <cell r="A484" t="str">
            <v>002011.SZ</v>
          </cell>
        </row>
        <row r="485">
          <cell r="A485" t="str">
            <v>002012.SZ</v>
          </cell>
        </row>
        <row r="486">
          <cell r="A486" t="str">
            <v>002013.SZ</v>
          </cell>
        </row>
        <row r="487">
          <cell r="A487" t="str">
            <v>002014.SZ</v>
          </cell>
        </row>
        <row r="488">
          <cell r="A488" t="str">
            <v>002015.SZ</v>
          </cell>
        </row>
        <row r="489">
          <cell r="A489" t="str">
            <v>002016.SZ</v>
          </cell>
        </row>
        <row r="490">
          <cell r="A490" t="str">
            <v>002017.SZ</v>
          </cell>
        </row>
        <row r="491">
          <cell r="A491" t="str">
            <v>002018.SZ</v>
          </cell>
        </row>
        <row r="492">
          <cell r="A492" t="str">
            <v>002019.SZ</v>
          </cell>
        </row>
        <row r="493">
          <cell r="A493" t="str">
            <v>002020.SZ</v>
          </cell>
        </row>
        <row r="494">
          <cell r="A494" t="str">
            <v>002021.SZ</v>
          </cell>
        </row>
        <row r="495">
          <cell r="A495" t="str">
            <v>002022.SZ</v>
          </cell>
        </row>
        <row r="496">
          <cell r="A496" t="str">
            <v>002023.SZ</v>
          </cell>
        </row>
        <row r="497">
          <cell r="A497" t="str">
            <v>002024.SZ</v>
          </cell>
        </row>
        <row r="498">
          <cell r="A498" t="str">
            <v>002025.SZ</v>
          </cell>
        </row>
        <row r="499">
          <cell r="A499" t="str">
            <v>002026.SZ</v>
          </cell>
        </row>
        <row r="500">
          <cell r="A500" t="str">
            <v>002027.SZ</v>
          </cell>
        </row>
        <row r="501">
          <cell r="A501" t="str">
            <v>002028.SZ</v>
          </cell>
        </row>
        <row r="502">
          <cell r="A502" t="str">
            <v>002029.SZ</v>
          </cell>
        </row>
        <row r="503">
          <cell r="A503" t="str">
            <v>002030.SZ</v>
          </cell>
        </row>
        <row r="504">
          <cell r="A504" t="str">
            <v>002031.SZ</v>
          </cell>
        </row>
        <row r="505">
          <cell r="A505" t="str">
            <v>002032.SZ</v>
          </cell>
        </row>
        <row r="506">
          <cell r="A506" t="str">
            <v>002033.SZ</v>
          </cell>
        </row>
        <row r="507">
          <cell r="A507" t="str">
            <v>002034.SZ</v>
          </cell>
        </row>
        <row r="508">
          <cell r="A508" t="str">
            <v>002035.SZ</v>
          </cell>
        </row>
        <row r="509">
          <cell r="A509" t="str">
            <v>002036.SZ</v>
          </cell>
        </row>
        <row r="510">
          <cell r="A510" t="str">
            <v>002037.SZ</v>
          </cell>
        </row>
        <row r="511">
          <cell r="A511" t="str">
            <v>002038.SZ</v>
          </cell>
        </row>
        <row r="512">
          <cell r="A512" t="str">
            <v>002039.SZ</v>
          </cell>
        </row>
        <row r="513">
          <cell r="A513" t="str">
            <v>002040.SZ</v>
          </cell>
        </row>
        <row r="514">
          <cell r="A514" t="str">
            <v>002041.SZ</v>
          </cell>
        </row>
        <row r="515">
          <cell r="A515" t="str">
            <v>002042.SZ</v>
          </cell>
        </row>
        <row r="516">
          <cell r="A516" t="str">
            <v>002043.SZ</v>
          </cell>
        </row>
        <row r="517">
          <cell r="A517" t="str">
            <v>002044.SZ</v>
          </cell>
        </row>
        <row r="518">
          <cell r="A518" t="str">
            <v>002045.SZ</v>
          </cell>
        </row>
        <row r="519">
          <cell r="A519" t="str">
            <v>002046.SZ</v>
          </cell>
        </row>
        <row r="520">
          <cell r="A520" t="str">
            <v>002047.SZ</v>
          </cell>
        </row>
        <row r="521">
          <cell r="A521" t="str">
            <v>002048.SZ</v>
          </cell>
        </row>
        <row r="522">
          <cell r="A522" t="str">
            <v>002049.SZ</v>
          </cell>
        </row>
        <row r="523">
          <cell r="A523" t="str">
            <v>002050.SZ</v>
          </cell>
        </row>
        <row r="524">
          <cell r="A524" t="str">
            <v>002051.SZ</v>
          </cell>
        </row>
        <row r="525">
          <cell r="A525" t="str">
            <v>002052.SZ</v>
          </cell>
        </row>
        <row r="526">
          <cell r="A526" t="str">
            <v>002053.SZ</v>
          </cell>
        </row>
        <row r="527">
          <cell r="A527" t="str">
            <v>002054.SZ</v>
          </cell>
        </row>
        <row r="528">
          <cell r="A528" t="str">
            <v>002055.SZ</v>
          </cell>
        </row>
        <row r="529">
          <cell r="A529" t="str">
            <v>002056.SZ</v>
          </cell>
        </row>
        <row r="530">
          <cell r="A530" t="str">
            <v>002057.SZ</v>
          </cell>
        </row>
        <row r="531">
          <cell r="A531" t="str">
            <v>002058.SZ</v>
          </cell>
        </row>
        <row r="532">
          <cell r="A532" t="str">
            <v>002059.SZ</v>
          </cell>
        </row>
        <row r="533">
          <cell r="A533" t="str">
            <v>002060.SZ</v>
          </cell>
        </row>
        <row r="534">
          <cell r="A534" t="str">
            <v>002061.SZ</v>
          </cell>
        </row>
        <row r="535">
          <cell r="A535" t="str">
            <v>002062.SZ</v>
          </cell>
        </row>
        <row r="536">
          <cell r="A536" t="str">
            <v>002063.SZ</v>
          </cell>
        </row>
        <row r="537">
          <cell r="A537" t="str">
            <v>002064.SZ</v>
          </cell>
        </row>
        <row r="538">
          <cell r="A538" t="str">
            <v>002065.SZ</v>
          </cell>
        </row>
        <row r="539">
          <cell r="A539" t="str">
            <v>002066.SZ</v>
          </cell>
        </row>
        <row r="540">
          <cell r="A540" t="str">
            <v>002067.SZ</v>
          </cell>
        </row>
        <row r="541">
          <cell r="A541" t="str">
            <v>002068.SZ</v>
          </cell>
        </row>
        <row r="542">
          <cell r="A542" t="str">
            <v>002069.SZ</v>
          </cell>
        </row>
        <row r="543">
          <cell r="A543" t="str">
            <v>002070.SZ</v>
          </cell>
        </row>
        <row r="544">
          <cell r="A544" t="str">
            <v>002071.SZ</v>
          </cell>
        </row>
        <row r="545">
          <cell r="A545" t="str">
            <v>002072.SZ</v>
          </cell>
        </row>
        <row r="546">
          <cell r="A546" t="str">
            <v>002073.SZ</v>
          </cell>
        </row>
        <row r="547">
          <cell r="A547" t="str">
            <v>002074.SZ</v>
          </cell>
        </row>
        <row r="548">
          <cell r="A548" t="str">
            <v>002075.SZ</v>
          </cell>
        </row>
        <row r="549">
          <cell r="A549" t="str">
            <v>002076.SZ</v>
          </cell>
        </row>
        <row r="550">
          <cell r="A550" t="str">
            <v>002077.SZ</v>
          </cell>
        </row>
        <row r="551">
          <cell r="A551" t="str">
            <v>002078.SZ</v>
          </cell>
        </row>
        <row r="552">
          <cell r="A552" t="str">
            <v>002079.SZ</v>
          </cell>
        </row>
        <row r="553">
          <cell r="A553" t="str">
            <v>002080.SZ</v>
          </cell>
        </row>
        <row r="554">
          <cell r="A554" t="str">
            <v>002081.SZ</v>
          </cell>
        </row>
        <row r="555">
          <cell r="A555" t="str">
            <v>002082.SZ</v>
          </cell>
        </row>
        <row r="556">
          <cell r="A556" t="str">
            <v>002083.SZ</v>
          </cell>
        </row>
        <row r="557">
          <cell r="A557" t="str">
            <v>002084.SZ</v>
          </cell>
        </row>
        <row r="558">
          <cell r="A558" t="str">
            <v>002085.SZ</v>
          </cell>
        </row>
        <row r="559">
          <cell r="A559" t="str">
            <v>002086.SZ</v>
          </cell>
        </row>
        <row r="560">
          <cell r="A560" t="str">
            <v>002087.SZ</v>
          </cell>
        </row>
        <row r="561">
          <cell r="A561" t="str">
            <v>002088.SZ</v>
          </cell>
        </row>
        <row r="562">
          <cell r="A562" t="str">
            <v>002089.SZ</v>
          </cell>
        </row>
        <row r="563">
          <cell r="A563" t="str">
            <v>002090.SZ</v>
          </cell>
        </row>
        <row r="564">
          <cell r="A564" t="str">
            <v>002091.SZ</v>
          </cell>
        </row>
        <row r="565">
          <cell r="A565" t="str">
            <v>002092.SZ</v>
          </cell>
        </row>
        <row r="566">
          <cell r="A566" t="str">
            <v>002093.SZ</v>
          </cell>
        </row>
        <row r="567">
          <cell r="A567" t="str">
            <v>002094.SZ</v>
          </cell>
        </row>
        <row r="568">
          <cell r="A568" t="str">
            <v>002095.SZ</v>
          </cell>
        </row>
        <row r="569">
          <cell r="A569" t="str">
            <v>002096.SZ</v>
          </cell>
        </row>
        <row r="570">
          <cell r="A570" t="str">
            <v>002097.SZ</v>
          </cell>
        </row>
        <row r="571">
          <cell r="A571" t="str">
            <v>002098.SZ</v>
          </cell>
        </row>
        <row r="572">
          <cell r="A572" t="str">
            <v>002099.SZ</v>
          </cell>
        </row>
        <row r="573">
          <cell r="A573" t="str">
            <v>002100.SZ</v>
          </cell>
        </row>
        <row r="574">
          <cell r="A574" t="str">
            <v>002101.SZ</v>
          </cell>
        </row>
        <row r="575">
          <cell r="A575" t="str">
            <v>002102.SZ</v>
          </cell>
        </row>
        <row r="576">
          <cell r="A576" t="str">
            <v>002103.SZ</v>
          </cell>
        </row>
        <row r="577">
          <cell r="A577" t="str">
            <v>002104.SZ</v>
          </cell>
        </row>
        <row r="578">
          <cell r="A578" t="str">
            <v>002105.SZ</v>
          </cell>
        </row>
        <row r="579">
          <cell r="A579" t="str">
            <v>002106.SZ</v>
          </cell>
        </row>
        <row r="580">
          <cell r="A580" t="str">
            <v>002107.SZ</v>
          </cell>
        </row>
        <row r="581">
          <cell r="A581" t="str">
            <v>002108.SZ</v>
          </cell>
        </row>
        <row r="582">
          <cell r="A582" t="str">
            <v>002109.SZ</v>
          </cell>
        </row>
        <row r="583">
          <cell r="A583" t="str">
            <v>002110.SZ</v>
          </cell>
        </row>
        <row r="584">
          <cell r="A584" t="str">
            <v>002111.SZ</v>
          </cell>
        </row>
        <row r="585">
          <cell r="A585" t="str">
            <v>002112.SZ</v>
          </cell>
        </row>
        <row r="586">
          <cell r="A586" t="str">
            <v>002113.SZ</v>
          </cell>
        </row>
        <row r="587">
          <cell r="A587" t="str">
            <v>002114.SZ</v>
          </cell>
        </row>
        <row r="588">
          <cell r="A588" t="str">
            <v>002115.SZ</v>
          </cell>
        </row>
        <row r="589">
          <cell r="A589" t="str">
            <v>002116.SZ</v>
          </cell>
        </row>
        <row r="590">
          <cell r="A590" t="str">
            <v>002117.SZ</v>
          </cell>
        </row>
        <row r="591">
          <cell r="A591" t="str">
            <v>002118.SZ</v>
          </cell>
        </row>
        <row r="592">
          <cell r="A592" t="str">
            <v>002119.SZ</v>
          </cell>
        </row>
        <row r="593">
          <cell r="A593" t="str">
            <v>002120.SZ</v>
          </cell>
        </row>
        <row r="594">
          <cell r="A594" t="str">
            <v>002121.SZ</v>
          </cell>
        </row>
        <row r="595">
          <cell r="A595" t="str">
            <v>002122.SZ</v>
          </cell>
        </row>
        <row r="596">
          <cell r="A596" t="str">
            <v>002123.SZ</v>
          </cell>
        </row>
        <row r="597">
          <cell r="A597" t="str">
            <v>002124.SZ</v>
          </cell>
        </row>
        <row r="598">
          <cell r="A598" t="str">
            <v>002125.SZ</v>
          </cell>
        </row>
        <row r="599">
          <cell r="A599" t="str">
            <v>002126.SZ</v>
          </cell>
        </row>
        <row r="600">
          <cell r="A600" t="str">
            <v>002127.SZ</v>
          </cell>
        </row>
        <row r="601">
          <cell r="A601" t="str">
            <v>002128.SZ</v>
          </cell>
        </row>
        <row r="602">
          <cell r="A602" t="str">
            <v>002129.SZ</v>
          </cell>
        </row>
        <row r="603">
          <cell r="A603" t="str">
            <v>002130.SZ</v>
          </cell>
        </row>
        <row r="604">
          <cell r="A604" t="str">
            <v>002131.SZ</v>
          </cell>
        </row>
        <row r="605">
          <cell r="A605" t="str">
            <v>002132.SZ</v>
          </cell>
        </row>
        <row r="606">
          <cell r="A606" t="str">
            <v>002133.SZ</v>
          </cell>
        </row>
        <row r="607">
          <cell r="A607" t="str">
            <v>002134.SZ</v>
          </cell>
        </row>
        <row r="608">
          <cell r="A608" t="str">
            <v>002135.SZ</v>
          </cell>
        </row>
        <row r="609">
          <cell r="A609" t="str">
            <v>002136.SZ</v>
          </cell>
        </row>
        <row r="610">
          <cell r="A610" t="str">
            <v>002137.SZ</v>
          </cell>
        </row>
        <row r="611">
          <cell r="A611" t="str">
            <v>002138.SZ</v>
          </cell>
        </row>
        <row r="612">
          <cell r="A612" t="str">
            <v>002139.SZ</v>
          </cell>
        </row>
        <row r="613">
          <cell r="A613" t="str">
            <v>002140.SZ</v>
          </cell>
        </row>
        <row r="614">
          <cell r="A614" t="str">
            <v>002141.SZ</v>
          </cell>
        </row>
        <row r="615">
          <cell r="A615" t="str">
            <v>002142.SZ</v>
          </cell>
        </row>
        <row r="616">
          <cell r="A616" t="str">
            <v>002143.SZ</v>
          </cell>
        </row>
        <row r="617">
          <cell r="A617" t="str">
            <v>002144.SZ</v>
          </cell>
        </row>
        <row r="618">
          <cell r="A618" t="str">
            <v>002145.SZ</v>
          </cell>
        </row>
        <row r="619">
          <cell r="A619" t="str">
            <v>002146.SZ</v>
          </cell>
        </row>
        <row r="620">
          <cell r="A620" t="str">
            <v>002147.SZ</v>
          </cell>
        </row>
        <row r="621">
          <cell r="A621" t="str">
            <v>002148.SZ</v>
          </cell>
        </row>
        <row r="622">
          <cell r="A622" t="str">
            <v>002149.SZ</v>
          </cell>
        </row>
        <row r="623">
          <cell r="A623" t="str">
            <v>002150.SZ</v>
          </cell>
        </row>
        <row r="624">
          <cell r="A624" t="str">
            <v>002151.SZ</v>
          </cell>
        </row>
        <row r="625">
          <cell r="A625" t="str">
            <v>002152.SZ</v>
          </cell>
        </row>
        <row r="626">
          <cell r="A626" t="str">
            <v>002153.SZ</v>
          </cell>
        </row>
        <row r="627">
          <cell r="A627" t="str">
            <v>002154.SZ</v>
          </cell>
        </row>
        <row r="628">
          <cell r="A628" t="str">
            <v>002155.SZ</v>
          </cell>
        </row>
        <row r="629">
          <cell r="A629" t="str">
            <v>002156.SZ</v>
          </cell>
        </row>
        <row r="630">
          <cell r="A630" t="str">
            <v>002157.SZ</v>
          </cell>
        </row>
        <row r="631">
          <cell r="A631" t="str">
            <v>002158.SZ</v>
          </cell>
        </row>
        <row r="632">
          <cell r="A632" t="str">
            <v>002159.SZ</v>
          </cell>
        </row>
        <row r="633">
          <cell r="A633" t="str">
            <v>002160.SZ</v>
          </cell>
        </row>
        <row r="634">
          <cell r="A634" t="str">
            <v>002161.SZ</v>
          </cell>
        </row>
        <row r="635">
          <cell r="A635" t="str">
            <v>002162.SZ</v>
          </cell>
        </row>
        <row r="636">
          <cell r="A636" t="str">
            <v>002163.SZ</v>
          </cell>
        </row>
        <row r="637">
          <cell r="A637" t="str">
            <v>002164.SZ</v>
          </cell>
        </row>
        <row r="638">
          <cell r="A638" t="str">
            <v>002165.SZ</v>
          </cell>
        </row>
        <row r="639">
          <cell r="A639" t="str">
            <v>002166.SZ</v>
          </cell>
        </row>
        <row r="640">
          <cell r="A640" t="str">
            <v>002167.SZ</v>
          </cell>
        </row>
        <row r="641">
          <cell r="A641" t="str">
            <v>002168.SZ</v>
          </cell>
        </row>
        <row r="642">
          <cell r="A642" t="str">
            <v>002169.SZ</v>
          </cell>
        </row>
        <row r="643">
          <cell r="A643" t="str">
            <v>002170.SZ</v>
          </cell>
        </row>
        <row r="644">
          <cell r="A644" t="str">
            <v>002171.SZ</v>
          </cell>
        </row>
        <row r="645">
          <cell r="A645" t="str">
            <v>002172.SZ</v>
          </cell>
        </row>
        <row r="646">
          <cell r="A646" t="str">
            <v>002173.SZ</v>
          </cell>
        </row>
        <row r="647">
          <cell r="A647" t="str">
            <v>002174.SZ</v>
          </cell>
        </row>
        <row r="648">
          <cell r="A648" t="str">
            <v>002175.SZ</v>
          </cell>
        </row>
        <row r="649">
          <cell r="A649" t="str">
            <v>002176.SZ</v>
          </cell>
        </row>
        <row r="650">
          <cell r="A650" t="str">
            <v>002177.SZ</v>
          </cell>
        </row>
        <row r="651">
          <cell r="A651" t="str">
            <v>002178.SZ</v>
          </cell>
        </row>
        <row r="652">
          <cell r="A652" t="str">
            <v>002179.SZ</v>
          </cell>
        </row>
        <row r="653">
          <cell r="A653" t="str">
            <v>002180.SZ</v>
          </cell>
        </row>
        <row r="654">
          <cell r="A654" t="str">
            <v>002181.SZ</v>
          </cell>
        </row>
        <row r="655">
          <cell r="A655" t="str">
            <v>002182.SZ</v>
          </cell>
        </row>
        <row r="656">
          <cell r="A656" t="str">
            <v>002183.SZ</v>
          </cell>
        </row>
        <row r="657">
          <cell r="A657" t="str">
            <v>002184.SZ</v>
          </cell>
        </row>
        <row r="658">
          <cell r="A658" t="str">
            <v>002185.SZ</v>
          </cell>
        </row>
        <row r="659">
          <cell r="A659" t="str">
            <v>002186.SZ</v>
          </cell>
        </row>
        <row r="660">
          <cell r="A660" t="str">
            <v>002187.SZ</v>
          </cell>
        </row>
        <row r="661">
          <cell r="A661" t="str">
            <v>002188.SZ</v>
          </cell>
        </row>
        <row r="662">
          <cell r="A662" t="str">
            <v>002189.SZ</v>
          </cell>
        </row>
        <row r="663">
          <cell r="A663" t="str">
            <v>002190.SZ</v>
          </cell>
        </row>
        <row r="664">
          <cell r="A664" t="str">
            <v>002191.SZ</v>
          </cell>
        </row>
        <row r="665">
          <cell r="A665" t="str">
            <v>002192.SZ</v>
          </cell>
        </row>
        <row r="666">
          <cell r="A666" t="str">
            <v>002193.SZ</v>
          </cell>
        </row>
        <row r="667">
          <cell r="A667" t="str">
            <v>002194.SZ</v>
          </cell>
        </row>
        <row r="668">
          <cell r="A668" t="str">
            <v>002195.SZ</v>
          </cell>
        </row>
        <row r="669">
          <cell r="A669" t="str">
            <v>002196.SZ</v>
          </cell>
        </row>
        <row r="670">
          <cell r="A670" t="str">
            <v>002197.SZ</v>
          </cell>
        </row>
        <row r="671">
          <cell r="A671" t="str">
            <v>002198.SZ</v>
          </cell>
        </row>
        <row r="672">
          <cell r="A672" t="str">
            <v>002199.SZ</v>
          </cell>
        </row>
        <row r="673">
          <cell r="A673" t="str">
            <v>002200.SZ</v>
          </cell>
        </row>
        <row r="674">
          <cell r="A674" t="str">
            <v>002201.SZ</v>
          </cell>
        </row>
        <row r="675">
          <cell r="A675" t="str">
            <v>002202.SZ</v>
          </cell>
        </row>
        <row r="676">
          <cell r="A676" t="str">
            <v>002203.SZ</v>
          </cell>
        </row>
        <row r="677">
          <cell r="A677" t="str">
            <v>002204.SZ</v>
          </cell>
        </row>
        <row r="678">
          <cell r="A678" t="str">
            <v>002205.SZ</v>
          </cell>
        </row>
        <row r="679">
          <cell r="A679" t="str">
            <v>002206.SZ</v>
          </cell>
        </row>
        <row r="680">
          <cell r="A680" t="str">
            <v>002207.SZ</v>
          </cell>
        </row>
        <row r="681">
          <cell r="A681" t="str">
            <v>002208.SZ</v>
          </cell>
        </row>
        <row r="682">
          <cell r="A682" t="str">
            <v>002209.SZ</v>
          </cell>
        </row>
        <row r="683">
          <cell r="A683" t="str">
            <v>002210.SZ</v>
          </cell>
        </row>
        <row r="684">
          <cell r="A684" t="str">
            <v>002211.SZ</v>
          </cell>
        </row>
        <row r="685">
          <cell r="A685" t="str">
            <v>002212.SZ</v>
          </cell>
        </row>
        <row r="686">
          <cell r="A686" t="str">
            <v>002213.SZ</v>
          </cell>
        </row>
        <row r="687">
          <cell r="A687" t="str">
            <v>002214.SZ</v>
          </cell>
        </row>
        <row r="688">
          <cell r="A688" t="str">
            <v>002215.SZ</v>
          </cell>
        </row>
        <row r="689">
          <cell r="A689" t="str">
            <v>002216.SZ</v>
          </cell>
        </row>
        <row r="690">
          <cell r="A690" t="str">
            <v>002217.SZ</v>
          </cell>
        </row>
        <row r="691">
          <cell r="A691" t="str">
            <v>002218.SZ</v>
          </cell>
        </row>
        <row r="692">
          <cell r="A692" t="str">
            <v>002219.SZ</v>
          </cell>
        </row>
        <row r="693">
          <cell r="A693" t="str">
            <v>002220.SZ</v>
          </cell>
        </row>
        <row r="694">
          <cell r="A694" t="str">
            <v>002221.SZ</v>
          </cell>
        </row>
        <row r="695">
          <cell r="A695" t="str">
            <v>002222.SZ</v>
          </cell>
        </row>
        <row r="696">
          <cell r="A696" t="str">
            <v>002223.SZ</v>
          </cell>
        </row>
        <row r="697">
          <cell r="A697" t="str">
            <v>002224.SZ</v>
          </cell>
        </row>
        <row r="698">
          <cell r="A698" t="str">
            <v>002225.SZ</v>
          </cell>
        </row>
        <row r="699">
          <cell r="A699" t="str">
            <v>002226.SZ</v>
          </cell>
        </row>
        <row r="700">
          <cell r="A700" t="str">
            <v>002227.SZ</v>
          </cell>
        </row>
        <row r="701">
          <cell r="A701" t="str">
            <v>002228.SZ</v>
          </cell>
        </row>
        <row r="702">
          <cell r="A702" t="str">
            <v>002229.SZ</v>
          </cell>
        </row>
        <row r="703">
          <cell r="A703" t="str">
            <v>002230.SZ</v>
          </cell>
        </row>
        <row r="704">
          <cell r="A704" t="str">
            <v>002231.SZ</v>
          </cell>
        </row>
        <row r="705">
          <cell r="A705" t="str">
            <v>002232.SZ</v>
          </cell>
        </row>
        <row r="706">
          <cell r="A706" t="str">
            <v>002233.SZ</v>
          </cell>
        </row>
        <row r="707">
          <cell r="A707" t="str">
            <v>002234.SZ</v>
          </cell>
        </row>
        <row r="708">
          <cell r="A708" t="str">
            <v>002235.SZ</v>
          </cell>
        </row>
        <row r="709">
          <cell r="A709" t="str">
            <v>002236.SZ</v>
          </cell>
        </row>
        <row r="710">
          <cell r="A710" t="str">
            <v>002237.SZ</v>
          </cell>
        </row>
        <row r="711">
          <cell r="A711" t="str">
            <v>002238.SZ</v>
          </cell>
        </row>
        <row r="712">
          <cell r="A712" t="str">
            <v>002239.SZ</v>
          </cell>
        </row>
        <row r="713">
          <cell r="A713" t="str">
            <v>002240.SZ</v>
          </cell>
        </row>
        <row r="714">
          <cell r="A714" t="str">
            <v>002241.SZ</v>
          </cell>
        </row>
        <row r="715">
          <cell r="A715" t="str">
            <v>002242.SZ</v>
          </cell>
        </row>
        <row r="716">
          <cell r="A716" t="str">
            <v>002243.SZ</v>
          </cell>
        </row>
        <row r="717">
          <cell r="A717" t="str">
            <v>002244.SZ</v>
          </cell>
        </row>
        <row r="718">
          <cell r="A718" t="str">
            <v>002245.SZ</v>
          </cell>
        </row>
        <row r="719">
          <cell r="A719" t="str">
            <v>002246.SZ</v>
          </cell>
        </row>
        <row r="720">
          <cell r="A720" t="str">
            <v>002247.SZ</v>
          </cell>
        </row>
        <row r="721">
          <cell r="A721" t="str">
            <v>002248.SZ</v>
          </cell>
        </row>
        <row r="722">
          <cell r="A722" t="str">
            <v>002249.SZ</v>
          </cell>
        </row>
        <row r="723">
          <cell r="A723" t="str">
            <v>002250.SZ</v>
          </cell>
        </row>
        <row r="724">
          <cell r="A724" t="str">
            <v>002251.SZ</v>
          </cell>
        </row>
        <row r="725">
          <cell r="A725" t="str">
            <v>002252.SZ</v>
          </cell>
        </row>
        <row r="726">
          <cell r="A726" t="str">
            <v>002253.SZ</v>
          </cell>
        </row>
        <row r="727">
          <cell r="A727" t="str">
            <v>002254.SZ</v>
          </cell>
        </row>
        <row r="728">
          <cell r="A728" t="str">
            <v>002255.SZ</v>
          </cell>
        </row>
        <row r="729">
          <cell r="A729" t="str">
            <v>002256.SZ</v>
          </cell>
        </row>
        <row r="730">
          <cell r="A730" t="str">
            <v>002258.SZ</v>
          </cell>
        </row>
        <row r="731">
          <cell r="A731" t="str">
            <v>002259.SZ</v>
          </cell>
        </row>
        <row r="732">
          <cell r="A732" t="str">
            <v>002260.SZ</v>
          </cell>
        </row>
        <row r="733">
          <cell r="A733" t="str">
            <v>002261.SZ</v>
          </cell>
        </row>
        <row r="734">
          <cell r="A734" t="str">
            <v>002262.SZ</v>
          </cell>
        </row>
        <row r="735">
          <cell r="A735" t="str">
            <v>002263.SZ</v>
          </cell>
        </row>
        <row r="736">
          <cell r="A736" t="str">
            <v>002264.SZ</v>
          </cell>
        </row>
        <row r="737">
          <cell r="A737" t="str">
            <v>002265.SZ</v>
          </cell>
        </row>
        <row r="738">
          <cell r="A738" t="str">
            <v>002266.SZ</v>
          </cell>
        </row>
        <row r="739">
          <cell r="A739" t="str">
            <v>002267.SZ</v>
          </cell>
        </row>
        <row r="740">
          <cell r="A740" t="str">
            <v>002268.SZ</v>
          </cell>
        </row>
        <row r="741">
          <cell r="A741" t="str">
            <v>002269.SZ</v>
          </cell>
        </row>
        <row r="742">
          <cell r="A742" t="str">
            <v>002270.SZ</v>
          </cell>
        </row>
        <row r="743">
          <cell r="A743" t="str">
            <v>002271.SZ</v>
          </cell>
        </row>
        <row r="744">
          <cell r="A744" t="str">
            <v>002272.SZ</v>
          </cell>
        </row>
        <row r="745">
          <cell r="A745" t="str">
            <v>002273.SZ</v>
          </cell>
        </row>
        <row r="746">
          <cell r="A746" t="str">
            <v>002274.SZ</v>
          </cell>
        </row>
        <row r="747">
          <cell r="A747" t="str">
            <v>002275.SZ</v>
          </cell>
        </row>
        <row r="748">
          <cell r="A748" t="str">
            <v>002276.SZ</v>
          </cell>
        </row>
        <row r="749">
          <cell r="A749" t="str">
            <v>002277.SZ</v>
          </cell>
        </row>
        <row r="750">
          <cell r="A750" t="str">
            <v>002278.SZ</v>
          </cell>
        </row>
        <row r="751">
          <cell r="A751" t="str">
            <v>002279.SZ</v>
          </cell>
        </row>
        <row r="752">
          <cell r="A752" t="str">
            <v>002280.SZ</v>
          </cell>
        </row>
        <row r="753">
          <cell r="A753" t="str">
            <v>002281.SZ</v>
          </cell>
        </row>
        <row r="754">
          <cell r="A754" t="str">
            <v>002282.SZ</v>
          </cell>
        </row>
        <row r="755">
          <cell r="A755" t="str">
            <v>002283.SZ</v>
          </cell>
        </row>
        <row r="756">
          <cell r="A756" t="str">
            <v>002284.SZ</v>
          </cell>
        </row>
        <row r="757">
          <cell r="A757" t="str">
            <v>002285.SZ</v>
          </cell>
        </row>
        <row r="758">
          <cell r="A758" t="str">
            <v>002286.SZ</v>
          </cell>
        </row>
        <row r="759">
          <cell r="A759" t="str">
            <v>002287.SZ</v>
          </cell>
        </row>
        <row r="760">
          <cell r="A760" t="str">
            <v>002288.SZ</v>
          </cell>
        </row>
        <row r="761">
          <cell r="A761" t="str">
            <v>002289.SZ</v>
          </cell>
        </row>
        <row r="762">
          <cell r="A762" t="str">
            <v>002290.SZ</v>
          </cell>
        </row>
        <row r="763">
          <cell r="A763" t="str">
            <v>002291.SZ</v>
          </cell>
        </row>
        <row r="764">
          <cell r="A764" t="str">
            <v>002292.SZ</v>
          </cell>
        </row>
        <row r="765">
          <cell r="A765" t="str">
            <v>002293.SZ</v>
          </cell>
        </row>
        <row r="766">
          <cell r="A766" t="str">
            <v>002294.SZ</v>
          </cell>
        </row>
        <row r="767">
          <cell r="A767" t="str">
            <v>002295.SZ</v>
          </cell>
        </row>
        <row r="768">
          <cell r="A768" t="str">
            <v>002296.SZ</v>
          </cell>
        </row>
        <row r="769">
          <cell r="A769" t="str">
            <v>002297.SZ</v>
          </cell>
        </row>
        <row r="770">
          <cell r="A770" t="str">
            <v>002298.SZ</v>
          </cell>
        </row>
        <row r="771">
          <cell r="A771" t="str">
            <v>002299.SZ</v>
          </cell>
        </row>
        <row r="772">
          <cell r="A772" t="str">
            <v>002300.SZ</v>
          </cell>
        </row>
        <row r="773">
          <cell r="A773" t="str">
            <v>002301.SZ</v>
          </cell>
        </row>
        <row r="774">
          <cell r="A774" t="str">
            <v>002302.SZ</v>
          </cell>
        </row>
        <row r="775">
          <cell r="A775" t="str">
            <v>002303.SZ</v>
          </cell>
        </row>
        <row r="776">
          <cell r="A776" t="str">
            <v>002304.SZ</v>
          </cell>
        </row>
        <row r="777">
          <cell r="A777" t="str">
            <v>002305.SZ</v>
          </cell>
        </row>
        <row r="778">
          <cell r="A778" t="str">
            <v>002306.SZ</v>
          </cell>
        </row>
        <row r="779">
          <cell r="A779" t="str">
            <v>002307.SZ</v>
          </cell>
        </row>
        <row r="780">
          <cell r="A780" t="str">
            <v>002308.SZ</v>
          </cell>
        </row>
        <row r="781">
          <cell r="A781" t="str">
            <v>002309.SZ</v>
          </cell>
        </row>
        <row r="782">
          <cell r="A782" t="str">
            <v>002310.SZ</v>
          </cell>
        </row>
        <row r="783">
          <cell r="A783" t="str">
            <v>002311.SZ</v>
          </cell>
        </row>
        <row r="784">
          <cell r="A784" t="str">
            <v>002312.SZ</v>
          </cell>
        </row>
        <row r="785">
          <cell r="A785" t="str">
            <v>002313.SZ</v>
          </cell>
        </row>
        <row r="786">
          <cell r="A786" t="str">
            <v>002314.SZ</v>
          </cell>
        </row>
        <row r="787">
          <cell r="A787" t="str">
            <v>002315.SZ</v>
          </cell>
        </row>
        <row r="788">
          <cell r="A788" t="str">
            <v>002316.SZ</v>
          </cell>
        </row>
        <row r="789">
          <cell r="A789" t="str">
            <v>002317.SZ</v>
          </cell>
        </row>
        <row r="790">
          <cell r="A790" t="str">
            <v>002318.SZ</v>
          </cell>
        </row>
        <row r="791">
          <cell r="A791" t="str">
            <v>002319.SZ</v>
          </cell>
        </row>
        <row r="792">
          <cell r="A792" t="str">
            <v>002320.SZ</v>
          </cell>
        </row>
        <row r="793">
          <cell r="A793" t="str">
            <v>002321.SZ</v>
          </cell>
        </row>
        <row r="794">
          <cell r="A794" t="str">
            <v>002322.SZ</v>
          </cell>
        </row>
        <row r="795">
          <cell r="A795" t="str">
            <v>002323.SZ</v>
          </cell>
        </row>
        <row r="796">
          <cell r="A796" t="str">
            <v>002324.SZ</v>
          </cell>
        </row>
        <row r="797">
          <cell r="A797" t="str">
            <v>002325.SZ</v>
          </cell>
        </row>
        <row r="798">
          <cell r="A798" t="str">
            <v>002326.SZ</v>
          </cell>
        </row>
        <row r="799">
          <cell r="A799" t="str">
            <v>002327.SZ</v>
          </cell>
        </row>
        <row r="800">
          <cell r="A800" t="str">
            <v>002328.SZ</v>
          </cell>
        </row>
        <row r="801">
          <cell r="A801" t="str">
            <v>002329.SZ</v>
          </cell>
        </row>
        <row r="802">
          <cell r="A802" t="str">
            <v>002330.SZ</v>
          </cell>
        </row>
        <row r="803">
          <cell r="A803" t="str">
            <v>002331.SZ</v>
          </cell>
        </row>
        <row r="804">
          <cell r="A804" t="str">
            <v>002332.SZ</v>
          </cell>
        </row>
        <row r="805">
          <cell r="A805" t="str">
            <v>002333.SZ</v>
          </cell>
        </row>
        <row r="806">
          <cell r="A806" t="str">
            <v>002334.SZ</v>
          </cell>
        </row>
        <row r="807">
          <cell r="A807" t="str">
            <v>002335.SZ</v>
          </cell>
        </row>
        <row r="808">
          <cell r="A808" t="str">
            <v>002336.SZ</v>
          </cell>
        </row>
        <row r="809">
          <cell r="A809" t="str">
            <v>002337.SZ</v>
          </cell>
        </row>
        <row r="810">
          <cell r="A810" t="str">
            <v>002338.SZ</v>
          </cell>
        </row>
        <row r="811">
          <cell r="A811" t="str">
            <v>002339.SZ</v>
          </cell>
        </row>
        <row r="812">
          <cell r="A812" t="str">
            <v>002340.SZ</v>
          </cell>
        </row>
        <row r="813">
          <cell r="A813" t="str">
            <v>002341.SZ</v>
          </cell>
        </row>
        <row r="814">
          <cell r="A814" t="str">
            <v>002342.SZ</v>
          </cell>
        </row>
        <row r="815">
          <cell r="A815" t="str">
            <v>002343.SZ</v>
          </cell>
        </row>
        <row r="816">
          <cell r="A816" t="str">
            <v>002344.SZ</v>
          </cell>
        </row>
        <row r="817">
          <cell r="A817" t="str">
            <v>002345.SZ</v>
          </cell>
        </row>
        <row r="818">
          <cell r="A818" t="str">
            <v>002346.SZ</v>
          </cell>
        </row>
        <row r="819">
          <cell r="A819" t="str">
            <v>002347.SZ</v>
          </cell>
        </row>
        <row r="820">
          <cell r="A820" t="str">
            <v>002348.SZ</v>
          </cell>
        </row>
        <row r="821">
          <cell r="A821" t="str">
            <v>002349.SZ</v>
          </cell>
        </row>
        <row r="822">
          <cell r="A822" t="str">
            <v>002350.SZ</v>
          </cell>
        </row>
        <row r="823">
          <cell r="A823" t="str">
            <v>002351.SZ</v>
          </cell>
        </row>
        <row r="824">
          <cell r="A824" t="str">
            <v>002352.SZ</v>
          </cell>
        </row>
        <row r="825">
          <cell r="A825" t="str">
            <v>002353.SZ</v>
          </cell>
        </row>
        <row r="826">
          <cell r="A826" t="str">
            <v>002354.SZ</v>
          </cell>
        </row>
        <row r="827">
          <cell r="A827" t="str">
            <v>002355.SZ</v>
          </cell>
        </row>
        <row r="828">
          <cell r="A828" t="str">
            <v>002356.SZ</v>
          </cell>
        </row>
        <row r="829">
          <cell r="A829" t="str">
            <v>002357.SZ</v>
          </cell>
        </row>
        <row r="830">
          <cell r="A830" t="str">
            <v>002358.SZ</v>
          </cell>
        </row>
        <row r="831">
          <cell r="A831" t="str">
            <v>002359.SZ</v>
          </cell>
        </row>
        <row r="832">
          <cell r="A832" t="str">
            <v>002360.SZ</v>
          </cell>
        </row>
        <row r="833">
          <cell r="A833" t="str">
            <v>002361.SZ</v>
          </cell>
        </row>
        <row r="834">
          <cell r="A834" t="str">
            <v>002362.SZ</v>
          </cell>
        </row>
        <row r="835">
          <cell r="A835" t="str">
            <v>002363.SZ</v>
          </cell>
        </row>
        <row r="836">
          <cell r="A836" t="str">
            <v>002364.SZ</v>
          </cell>
        </row>
        <row r="837">
          <cell r="A837" t="str">
            <v>002365.SZ</v>
          </cell>
        </row>
        <row r="838">
          <cell r="A838" t="str">
            <v>002366.SZ</v>
          </cell>
        </row>
        <row r="839">
          <cell r="A839" t="str">
            <v>002367.SZ</v>
          </cell>
        </row>
        <row r="840">
          <cell r="A840" t="str">
            <v>002368.SZ</v>
          </cell>
        </row>
        <row r="841">
          <cell r="A841" t="str">
            <v>002369.SZ</v>
          </cell>
        </row>
        <row r="842">
          <cell r="A842" t="str">
            <v>002370.SZ</v>
          </cell>
        </row>
        <row r="843">
          <cell r="A843" t="str">
            <v>002371.SZ</v>
          </cell>
        </row>
        <row r="844">
          <cell r="A844" t="str">
            <v>002372.SZ</v>
          </cell>
        </row>
        <row r="845">
          <cell r="A845" t="str">
            <v>002373.SZ</v>
          </cell>
        </row>
        <row r="846">
          <cell r="A846" t="str">
            <v>002374.SZ</v>
          </cell>
        </row>
        <row r="847">
          <cell r="A847" t="str">
            <v>002375.SZ</v>
          </cell>
        </row>
        <row r="848">
          <cell r="A848" t="str">
            <v>002376.SZ</v>
          </cell>
        </row>
        <row r="849">
          <cell r="A849" t="str">
            <v>002377.SZ</v>
          </cell>
        </row>
        <row r="850">
          <cell r="A850" t="str">
            <v>002378.SZ</v>
          </cell>
        </row>
        <row r="851">
          <cell r="A851" t="str">
            <v>002379.SZ</v>
          </cell>
        </row>
        <row r="852">
          <cell r="A852" t="str">
            <v>002380.SZ</v>
          </cell>
        </row>
        <row r="853">
          <cell r="A853" t="str">
            <v>002381.SZ</v>
          </cell>
        </row>
        <row r="854">
          <cell r="A854" t="str">
            <v>002382.SZ</v>
          </cell>
        </row>
        <row r="855">
          <cell r="A855" t="str">
            <v>002383.SZ</v>
          </cell>
        </row>
        <row r="856">
          <cell r="A856" t="str">
            <v>002384.SZ</v>
          </cell>
        </row>
        <row r="857">
          <cell r="A857" t="str">
            <v>002385.SZ</v>
          </cell>
        </row>
        <row r="858">
          <cell r="A858" t="str">
            <v>002386.SZ</v>
          </cell>
        </row>
        <row r="859">
          <cell r="A859" t="str">
            <v>002387.SZ</v>
          </cell>
        </row>
        <row r="860">
          <cell r="A860" t="str">
            <v>002388.SZ</v>
          </cell>
        </row>
        <row r="861">
          <cell r="A861" t="str">
            <v>002389.SZ</v>
          </cell>
        </row>
        <row r="862">
          <cell r="A862" t="str">
            <v>002390.SZ</v>
          </cell>
        </row>
        <row r="863">
          <cell r="A863" t="str">
            <v>002391.SZ</v>
          </cell>
        </row>
        <row r="864">
          <cell r="A864" t="str">
            <v>002392.SZ</v>
          </cell>
        </row>
        <row r="865">
          <cell r="A865" t="str">
            <v>002393.SZ</v>
          </cell>
        </row>
        <row r="866">
          <cell r="A866" t="str">
            <v>002394.SZ</v>
          </cell>
        </row>
        <row r="867">
          <cell r="A867" t="str">
            <v>002395.SZ</v>
          </cell>
        </row>
        <row r="868">
          <cell r="A868" t="str">
            <v>002396.SZ</v>
          </cell>
        </row>
        <row r="869">
          <cell r="A869" t="str">
            <v>002397.SZ</v>
          </cell>
        </row>
        <row r="870">
          <cell r="A870" t="str">
            <v>002398.SZ</v>
          </cell>
        </row>
        <row r="871">
          <cell r="A871" t="str">
            <v>002399.SZ</v>
          </cell>
        </row>
        <row r="872">
          <cell r="A872" t="str">
            <v>002400.SZ</v>
          </cell>
        </row>
        <row r="873">
          <cell r="A873" t="str">
            <v>002401.SZ</v>
          </cell>
        </row>
        <row r="874">
          <cell r="A874" t="str">
            <v>002402.SZ</v>
          </cell>
        </row>
        <row r="875">
          <cell r="A875" t="str">
            <v>002403.SZ</v>
          </cell>
        </row>
        <row r="876">
          <cell r="A876" t="str">
            <v>002404.SZ</v>
          </cell>
        </row>
        <row r="877">
          <cell r="A877" t="str">
            <v>002405.SZ</v>
          </cell>
        </row>
        <row r="878">
          <cell r="A878" t="str">
            <v>002406.SZ</v>
          </cell>
        </row>
        <row r="879">
          <cell r="A879" t="str">
            <v>002407.SZ</v>
          </cell>
        </row>
        <row r="880">
          <cell r="A880" t="str">
            <v>002408.SZ</v>
          </cell>
        </row>
        <row r="881">
          <cell r="A881" t="str">
            <v>002409.SZ</v>
          </cell>
        </row>
        <row r="882">
          <cell r="A882" t="str">
            <v>002410.SZ</v>
          </cell>
        </row>
        <row r="883">
          <cell r="A883" t="str">
            <v>002411.SZ</v>
          </cell>
        </row>
        <row r="884">
          <cell r="A884" t="str">
            <v>002412.SZ</v>
          </cell>
        </row>
        <row r="885">
          <cell r="A885" t="str">
            <v>002413.SZ</v>
          </cell>
        </row>
        <row r="886">
          <cell r="A886" t="str">
            <v>002414.SZ</v>
          </cell>
        </row>
        <row r="887">
          <cell r="A887" t="str">
            <v>002415.SZ</v>
          </cell>
        </row>
        <row r="888">
          <cell r="A888" t="str">
            <v>002416.SZ</v>
          </cell>
        </row>
        <row r="889">
          <cell r="A889" t="str">
            <v>002417.SZ</v>
          </cell>
        </row>
        <row r="890">
          <cell r="A890" t="str">
            <v>002418.SZ</v>
          </cell>
        </row>
        <row r="891">
          <cell r="A891" t="str">
            <v>002419.SZ</v>
          </cell>
        </row>
        <row r="892">
          <cell r="A892" t="str">
            <v>002420.SZ</v>
          </cell>
        </row>
        <row r="893">
          <cell r="A893" t="str">
            <v>002421.SZ</v>
          </cell>
        </row>
        <row r="894">
          <cell r="A894" t="str">
            <v>002422.SZ</v>
          </cell>
        </row>
        <row r="895">
          <cell r="A895" t="str">
            <v>002423.SZ</v>
          </cell>
        </row>
        <row r="896">
          <cell r="A896" t="str">
            <v>002424.SZ</v>
          </cell>
        </row>
        <row r="897">
          <cell r="A897" t="str">
            <v>002425.SZ</v>
          </cell>
        </row>
        <row r="898">
          <cell r="A898" t="str">
            <v>002426.SZ</v>
          </cell>
        </row>
        <row r="899">
          <cell r="A899" t="str">
            <v>002427.SZ</v>
          </cell>
        </row>
        <row r="900">
          <cell r="A900" t="str">
            <v>002428.SZ</v>
          </cell>
        </row>
        <row r="901">
          <cell r="A901" t="str">
            <v>002429.SZ</v>
          </cell>
        </row>
        <row r="902">
          <cell r="A902" t="str">
            <v>002430.SZ</v>
          </cell>
        </row>
        <row r="903">
          <cell r="A903" t="str">
            <v>002431.SZ</v>
          </cell>
        </row>
        <row r="904">
          <cell r="A904" t="str">
            <v>002432.SZ</v>
          </cell>
        </row>
        <row r="905">
          <cell r="A905" t="str">
            <v>002433.SZ</v>
          </cell>
        </row>
        <row r="906">
          <cell r="A906" t="str">
            <v>002434.SZ</v>
          </cell>
        </row>
        <row r="907">
          <cell r="A907" t="str">
            <v>002435.SZ</v>
          </cell>
        </row>
        <row r="908">
          <cell r="A908" t="str">
            <v>002436.SZ</v>
          </cell>
        </row>
        <row r="909">
          <cell r="A909" t="str">
            <v>002437.SZ</v>
          </cell>
        </row>
        <row r="910">
          <cell r="A910" t="str">
            <v>002438.SZ</v>
          </cell>
        </row>
        <row r="911">
          <cell r="A911" t="str">
            <v>002439.SZ</v>
          </cell>
        </row>
        <row r="912">
          <cell r="A912" t="str">
            <v>002440.SZ</v>
          </cell>
        </row>
        <row r="913">
          <cell r="A913" t="str">
            <v>002441.SZ</v>
          </cell>
        </row>
        <row r="914">
          <cell r="A914" t="str">
            <v>002442.SZ</v>
          </cell>
        </row>
        <row r="915">
          <cell r="A915" t="str">
            <v>002443.SZ</v>
          </cell>
        </row>
        <row r="916">
          <cell r="A916" t="str">
            <v>002444.SZ</v>
          </cell>
        </row>
        <row r="917">
          <cell r="A917" t="str">
            <v>002445.SZ</v>
          </cell>
        </row>
        <row r="918">
          <cell r="A918" t="str">
            <v>002446.SZ</v>
          </cell>
        </row>
        <row r="919">
          <cell r="A919" t="str">
            <v>002447.SZ</v>
          </cell>
        </row>
        <row r="920">
          <cell r="A920" t="str">
            <v>002448.SZ</v>
          </cell>
        </row>
        <row r="921">
          <cell r="A921" t="str">
            <v>002449.SZ</v>
          </cell>
        </row>
        <row r="922">
          <cell r="A922" t="str">
            <v>002450.SZ</v>
          </cell>
        </row>
        <row r="923">
          <cell r="A923" t="str">
            <v>002451.SZ</v>
          </cell>
        </row>
        <row r="924">
          <cell r="A924" t="str">
            <v>002452.SZ</v>
          </cell>
        </row>
        <row r="925">
          <cell r="A925" t="str">
            <v>002453.SZ</v>
          </cell>
        </row>
        <row r="926">
          <cell r="A926" t="str">
            <v>002454.SZ</v>
          </cell>
        </row>
        <row r="927">
          <cell r="A927" t="str">
            <v>002455.SZ</v>
          </cell>
        </row>
        <row r="928">
          <cell r="A928" t="str">
            <v>002456.SZ</v>
          </cell>
        </row>
        <row r="929">
          <cell r="A929" t="str">
            <v>002457.SZ</v>
          </cell>
        </row>
        <row r="930">
          <cell r="A930" t="str">
            <v>300001.SZ</v>
          </cell>
        </row>
        <row r="931">
          <cell r="A931" t="str">
            <v>300002.SZ</v>
          </cell>
        </row>
        <row r="932">
          <cell r="A932" t="str">
            <v>300003.SZ</v>
          </cell>
        </row>
        <row r="933">
          <cell r="A933" t="str">
            <v>300004.SZ</v>
          </cell>
        </row>
        <row r="934">
          <cell r="A934" t="str">
            <v>300005.SZ</v>
          </cell>
        </row>
        <row r="935">
          <cell r="A935" t="str">
            <v>300006.SZ</v>
          </cell>
        </row>
        <row r="936">
          <cell r="A936" t="str">
            <v>300007.SZ</v>
          </cell>
        </row>
        <row r="937">
          <cell r="A937" t="str">
            <v>300008.SZ</v>
          </cell>
        </row>
        <row r="938">
          <cell r="A938" t="str">
            <v>300009.SZ</v>
          </cell>
        </row>
        <row r="939">
          <cell r="A939" t="str">
            <v>300010.SZ</v>
          </cell>
        </row>
        <row r="940">
          <cell r="A940" t="str">
            <v>300011.SZ</v>
          </cell>
        </row>
        <row r="941">
          <cell r="A941" t="str">
            <v>300012.SZ</v>
          </cell>
        </row>
        <row r="942">
          <cell r="A942" t="str">
            <v>300013.SZ</v>
          </cell>
        </row>
        <row r="943">
          <cell r="A943" t="str">
            <v>300014.SZ</v>
          </cell>
        </row>
        <row r="944">
          <cell r="A944" t="str">
            <v>300015.SZ</v>
          </cell>
        </row>
        <row r="945">
          <cell r="A945" t="str">
            <v>300016.SZ</v>
          </cell>
        </row>
        <row r="946">
          <cell r="A946" t="str">
            <v>300017.SZ</v>
          </cell>
        </row>
        <row r="947">
          <cell r="A947" t="str">
            <v>300018.SZ</v>
          </cell>
        </row>
        <row r="948">
          <cell r="A948" t="str">
            <v>300019.SZ</v>
          </cell>
        </row>
        <row r="949">
          <cell r="A949" t="str">
            <v>300020.SZ</v>
          </cell>
        </row>
        <row r="950">
          <cell r="A950" t="str">
            <v>300021.SZ</v>
          </cell>
        </row>
        <row r="951">
          <cell r="A951" t="str">
            <v>300022.SZ</v>
          </cell>
        </row>
        <row r="952">
          <cell r="A952" t="str">
            <v>300023.SZ</v>
          </cell>
        </row>
        <row r="953">
          <cell r="A953" t="str">
            <v>300024.SZ</v>
          </cell>
        </row>
        <row r="954">
          <cell r="A954" t="str">
            <v>300025.SZ</v>
          </cell>
        </row>
        <row r="955">
          <cell r="A955" t="str">
            <v>300026.SZ</v>
          </cell>
        </row>
        <row r="956">
          <cell r="A956" t="str">
            <v>300027.SZ</v>
          </cell>
        </row>
        <row r="957">
          <cell r="A957" t="str">
            <v>300028.SZ</v>
          </cell>
        </row>
        <row r="958">
          <cell r="A958" t="str">
            <v>300029.SZ</v>
          </cell>
        </row>
        <row r="959">
          <cell r="A959" t="str">
            <v>300030.SZ</v>
          </cell>
        </row>
        <row r="960">
          <cell r="A960" t="str">
            <v>300031.SZ</v>
          </cell>
        </row>
        <row r="961">
          <cell r="A961" t="str">
            <v>300032.SZ</v>
          </cell>
        </row>
        <row r="962">
          <cell r="A962" t="str">
            <v>300033.SZ</v>
          </cell>
        </row>
        <row r="963">
          <cell r="A963" t="str">
            <v>300034.SZ</v>
          </cell>
        </row>
        <row r="964">
          <cell r="A964" t="str">
            <v>300035.SZ</v>
          </cell>
        </row>
        <row r="965">
          <cell r="A965" t="str">
            <v>300036.SZ</v>
          </cell>
        </row>
        <row r="966">
          <cell r="A966" t="str">
            <v>300037.SZ</v>
          </cell>
        </row>
        <row r="967">
          <cell r="A967" t="str">
            <v>300038.SZ</v>
          </cell>
        </row>
        <row r="968">
          <cell r="A968" t="str">
            <v>300039.SZ</v>
          </cell>
        </row>
        <row r="969">
          <cell r="A969" t="str">
            <v>300040.SZ</v>
          </cell>
        </row>
        <row r="970">
          <cell r="A970" t="str">
            <v>300041.SZ</v>
          </cell>
        </row>
        <row r="971">
          <cell r="A971" t="str">
            <v>300042.SZ</v>
          </cell>
        </row>
        <row r="972">
          <cell r="A972" t="str">
            <v>300043.SZ</v>
          </cell>
        </row>
        <row r="973">
          <cell r="A973" t="str">
            <v>300044.SZ</v>
          </cell>
        </row>
        <row r="974">
          <cell r="A974" t="str">
            <v>300045.SZ</v>
          </cell>
        </row>
        <row r="975">
          <cell r="A975" t="str">
            <v>300046.SZ</v>
          </cell>
        </row>
        <row r="976">
          <cell r="A976" t="str">
            <v>300047.SZ</v>
          </cell>
        </row>
        <row r="977">
          <cell r="A977" t="str">
            <v>300048.SZ</v>
          </cell>
        </row>
        <row r="978">
          <cell r="A978" t="str">
            <v>300049.SZ</v>
          </cell>
        </row>
        <row r="979">
          <cell r="A979" t="str">
            <v>300050.SZ</v>
          </cell>
        </row>
        <row r="980">
          <cell r="A980" t="str">
            <v>300051.SZ</v>
          </cell>
        </row>
        <row r="981">
          <cell r="A981" t="str">
            <v>300052.SZ</v>
          </cell>
        </row>
        <row r="982">
          <cell r="A982" t="str">
            <v>300053.SZ</v>
          </cell>
        </row>
        <row r="983">
          <cell r="A983" t="str">
            <v>300054.SZ</v>
          </cell>
        </row>
        <row r="984">
          <cell r="A984" t="str">
            <v>300055.SZ</v>
          </cell>
        </row>
        <row r="985">
          <cell r="A985" t="str">
            <v>300056.SZ</v>
          </cell>
        </row>
        <row r="986">
          <cell r="A986" t="str">
            <v>300057.SZ</v>
          </cell>
        </row>
        <row r="987">
          <cell r="A987" t="str">
            <v>300058.SZ</v>
          </cell>
        </row>
        <row r="988">
          <cell r="A988" t="str">
            <v>300059.SZ</v>
          </cell>
        </row>
        <row r="989">
          <cell r="A989" t="str">
            <v>300061.SZ</v>
          </cell>
        </row>
        <row r="990">
          <cell r="A990" t="str">
            <v>300062.SZ</v>
          </cell>
        </row>
        <row r="991">
          <cell r="A991" t="str">
            <v>300063.SZ</v>
          </cell>
        </row>
        <row r="992">
          <cell r="A992" t="str">
            <v>300064.SZ</v>
          </cell>
        </row>
        <row r="993">
          <cell r="A993" t="str">
            <v>300065.SZ</v>
          </cell>
        </row>
        <row r="994">
          <cell r="A994" t="str">
            <v>300066.SZ</v>
          </cell>
        </row>
        <row r="995">
          <cell r="A995" t="str">
            <v>300067.SZ</v>
          </cell>
        </row>
        <row r="996">
          <cell r="A996" t="str">
            <v>300068.SZ</v>
          </cell>
        </row>
        <row r="997">
          <cell r="A997" t="str">
            <v>300069.SZ</v>
          </cell>
        </row>
        <row r="998">
          <cell r="A998" t="str">
            <v>300070.SZ</v>
          </cell>
        </row>
        <row r="999">
          <cell r="A999" t="str">
            <v>300071.SZ</v>
          </cell>
        </row>
        <row r="1000">
          <cell r="A1000" t="str">
            <v>300072.SZ</v>
          </cell>
        </row>
        <row r="1001">
          <cell r="A1001" t="str">
            <v>300073.SZ</v>
          </cell>
        </row>
        <row r="1002">
          <cell r="A1002" t="str">
            <v>300074.SZ</v>
          </cell>
        </row>
        <row r="1003">
          <cell r="A1003" t="str">
            <v>300075.SZ</v>
          </cell>
        </row>
        <row r="1004">
          <cell r="A1004" t="str">
            <v>300076.SZ</v>
          </cell>
        </row>
        <row r="1005">
          <cell r="A1005" t="str">
            <v>300077.SZ</v>
          </cell>
        </row>
        <row r="1006">
          <cell r="A1006" t="str">
            <v>300078.SZ</v>
          </cell>
        </row>
        <row r="1007">
          <cell r="A1007" t="str">
            <v>300079.SZ</v>
          </cell>
        </row>
        <row r="1008">
          <cell r="A1008" t="str">
            <v>300080.SZ</v>
          </cell>
        </row>
        <row r="1009">
          <cell r="A1009" t="str">
            <v>300081.SZ</v>
          </cell>
        </row>
        <row r="1010">
          <cell r="A1010" t="str">
            <v>300082.SZ</v>
          </cell>
        </row>
        <row r="1011">
          <cell r="A1011" t="str">
            <v>300083.SZ</v>
          </cell>
        </row>
        <row r="1012">
          <cell r="A1012" t="str">
            <v>300084.SZ</v>
          </cell>
        </row>
        <row r="1013">
          <cell r="A1013" t="str">
            <v>300085.SZ</v>
          </cell>
        </row>
        <row r="1014">
          <cell r="A1014" t="str">
            <v>300086.SZ</v>
          </cell>
        </row>
        <row r="1015">
          <cell r="A1015" t="str">
            <v>300087.SZ</v>
          </cell>
        </row>
        <row r="1016">
          <cell r="A1016" t="str">
            <v>300088.SZ</v>
          </cell>
        </row>
        <row r="1017">
          <cell r="A1017" t="str">
            <v>300089.SZ</v>
          </cell>
        </row>
        <row r="1018">
          <cell r="A1018" t="str">
            <v>300090.SZ</v>
          </cell>
        </row>
        <row r="1019">
          <cell r="A1019" t="str">
            <v>300091.SZ</v>
          </cell>
        </row>
        <row r="1020">
          <cell r="A1020" t="str">
            <v>300092.SZ</v>
          </cell>
        </row>
        <row r="1021">
          <cell r="A1021" t="str">
            <v>300093.SZ</v>
          </cell>
        </row>
        <row r="1022">
          <cell r="A1022" t="str">
            <v>300094.SZ</v>
          </cell>
        </row>
        <row r="1023">
          <cell r="A1023" t="str">
            <v>300095.SZ</v>
          </cell>
        </row>
        <row r="1024">
          <cell r="A1024" t="str">
            <v>300096.SZ</v>
          </cell>
        </row>
        <row r="1025">
          <cell r="A1025" t="str">
            <v>300097.SZ</v>
          </cell>
        </row>
        <row r="1026">
          <cell r="A1026" t="str">
            <v>300098.SZ</v>
          </cell>
        </row>
        <row r="1027">
          <cell r="A1027" t="str">
            <v>600000.SH</v>
          </cell>
        </row>
        <row r="1028">
          <cell r="A1028" t="str">
            <v>600004.SH</v>
          </cell>
        </row>
        <row r="1029">
          <cell r="A1029" t="str">
            <v>600005.SH</v>
          </cell>
        </row>
        <row r="1030">
          <cell r="A1030" t="str">
            <v>600006.SH</v>
          </cell>
        </row>
        <row r="1031">
          <cell r="A1031" t="str">
            <v>600007.SH</v>
          </cell>
        </row>
        <row r="1032">
          <cell r="A1032" t="str">
            <v>600008.SH</v>
          </cell>
        </row>
        <row r="1033">
          <cell r="A1033" t="str">
            <v>600009.SH</v>
          </cell>
        </row>
        <row r="1034">
          <cell r="A1034" t="str">
            <v>600010.SH</v>
          </cell>
        </row>
        <row r="1035">
          <cell r="A1035" t="str">
            <v>600011.SH</v>
          </cell>
        </row>
        <row r="1036">
          <cell r="A1036" t="str">
            <v>600012.SH</v>
          </cell>
        </row>
        <row r="1037">
          <cell r="A1037" t="str">
            <v>600015.SH</v>
          </cell>
        </row>
        <row r="1038">
          <cell r="A1038" t="str">
            <v>600016.SH</v>
          </cell>
        </row>
        <row r="1039">
          <cell r="A1039" t="str">
            <v>600017.SH</v>
          </cell>
        </row>
        <row r="1040">
          <cell r="A1040" t="str">
            <v>600018.SH</v>
          </cell>
        </row>
        <row r="1041">
          <cell r="A1041" t="str">
            <v>600019.SH</v>
          </cell>
        </row>
        <row r="1042">
          <cell r="A1042" t="str">
            <v>600020.SH</v>
          </cell>
        </row>
        <row r="1043">
          <cell r="A1043" t="str">
            <v>600021.SH</v>
          </cell>
        </row>
        <row r="1044">
          <cell r="A1044" t="str">
            <v>600022.SH</v>
          </cell>
        </row>
        <row r="1045">
          <cell r="A1045" t="str">
            <v>600026.SH</v>
          </cell>
        </row>
        <row r="1046">
          <cell r="A1046" t="str">
            <v>600027.SH</v>
          </cell>
        </row>
        <row r="1047">
          <cell r="A1047" t="str">
            <v>600028.SH</v>
          </cell>
        </row>
        <row r="1048">
          <cell r="A1048" t="str">
            <v>600029.SH</v>
          </cell>
        </row>
        <row r="1049">
          <cell r="A1049" t="str">
            <v>600030.SH</v>
          </cell>
        </row>
        <row r="1050">
          <cell r="A1050" t="str">
            <v>600031.SH</v>
          </cell>
        </row>
        <row r="1051">
          <cell r="A1051" t="str">
            <v>600033.SH</v>
          </cell>
        </row>
        <row r="1052">
          <cell r="A1052" t="str">
            <v>600035.SH</v>
          </cell>
        </row>
        <row r="1053">
          <cell r="A1053" t="str">
            <v>600036.SH</v>
          </cell>
        </row>
        <row r="1054">
          <cell r="A1054" t="str">
            <v>600037.SH</v>
          </cell>
        </row>
        <row r="1055">
          <cell r="A1055" t="str">
            <v>600038.SH</v>
          </cell>
        </row>
        <row r="1056">
          <cell r="A1056" t="str">
            <v>600039.SH</v>
          </cell>
        </row>
        <row r="1057">
          <cell r="A1057" t="str">
            <v>600048.SH</v>
          </cell>
        </row>
        <row r="1058">
          <cell r="A1058" t="str">
            <v>600050.SH</v>
          </cell>
        </row>
        <row r="1059">
          <cell r="A1059" t="str">
            <v>600051.SH</v>
          </cell>
        </row>
        <row r="1060">
          <cell r="A1060" t="str">
            <v>600052.SH</v>
          </cell>
        </row>
        <row r="1061">
          <cell r="A1061" t="str">
            <v>600053.SH</v>
          </cell>
        </row>
        <row r="1062">
          <cell r="A1062" t="str">
            <v>600054.SH</v>
          </cell>
        </row>
        <row r="1063">
          <cell r="A1063" t="str">
            <v>600055.SH</v>
          </cell>
        </row>
        <row r="1064">
          <cell r="A1064" t="str">
            <v>600056.SH</v>
          </cell>
        </row>
        <row r="1065">
          <cell r="A1065" t="str">
            <v>600057.SH</v>
          </cell>
        </row>
        <row r="1066">
          <cell r="A1066" t="str">
            <v>600058.SH</v>
          </cell>
        </row>
        <row r="1067">
          <cell r="A1067" t="str">
            <v>600059.SH</v>
          </cell>
        </row>
        <row r="1068">
          <cell r="A1068" t="str">
            <v>600060.SH</v>
          </cell>
        </row>
        <row r="1069">
          <cell r="A1069" t="str">
            <v>600061.SH</v>
          </cell>
        </row>
        <row r="1070">
          <cell r="A1070" t="str">
            <v>600062.SH</v>
          </cell>
        </row>
        <row r="1071">
          <cell r="A1071" t="str">
            <v>600063.SH</v>
          </cell>
        </row>
        <row r="1072">
          <cell r="A1072" t="str">
            <v>600064.SH</v>
          </cell>
        </row>
        <row r="1073">
          <cell r="A1073" t="str">
            <v>600066.SH</v>
          </cell>
        </row>
        <row r="1074">
          <cell r="A1074" t="str">
            <v>600067.SH</v>
          </cell>
        </row>
        <row r="1075">
          <cell r="A1075" t="str">
            <v>600068.SH</v>
          </cell>
        </row>
        <row r="1076">
          <cell r="A1076" t="str">
            <v>600069.SH</v>
          </cell>
        </row>
        <row r="1077">
          <cell r="A1077" t="str">
            <v>600070.SH</v>
          </cell>
        </row>
        <row r="1078">
          <cell r="A1078" t="str">
            <v>600071.SH</v>
          </cell>
        </row>
        <row r="1079">
          <cell r="A1079" t="str">
            <v>600072.SH</v>
          </cell>
        </row>
        <row r="1080">
          <cell r="A1080" t="str">
            <v>600073.SH</v>
          </cell>
        </row>
        <row r="1081">
          <cell r="A1081" t="str">
            <v>600074.SH</v>
          </cell>
        </row>
        <row r="1082">
          <cell r="A1082" t="str">
            <v>600075.SH</v>
          </cell>
        </row>
        <row r="1083">
          <cell r="A1083" t="str">
            <v>600076.SH</v>
          </cell>
        </row>
        <row r="1084">
          <cell r="A1084" t="str">
            <v>600077.SH</v>
          </cell>
        </row>
        <row r="1085">
          <cell r="A1085" t="str">
            <v>600078.SH</v>
          </cell>
        </row>
        <row r="1086">
          <cell r="A1086" t="str">
            <v>600079.SH</v>
          </cell>
        </row>
        <row r="1087">
          <cell r="A1087" t="str">
            <v>600080.SH</v>
          </cell>
        </row>
        <row r="1088">
          <cell r="A1088" t="str">
            <v>600081.SH</v>
          </cell>
        </row>
        <row r="1089">
          <cell r="A1089" t="str">
            <v>600082.SH</v>
          </cell>
        </row>
        <row r="1090">
          <cell r="A1090" t="str">
            <v>600083.SH</v>
          </cell>
        </row>
        <row r="1091">
          <cell r="A1091" t="str">
            <v>600084.SH</v>
          </cell>
        </row>
        <row r="1092">
          <cell r="A1092" t="str">
            <v>600085.SH</v>
          </cell>
        </row>
        <row r="1093">
          <cell r="A1093" t="str">
            <v>600086.SH</v>
          </cell>
        </row>
        <row r="1094">
          <cell r="A1094" t="str">
            <v>600087.SH</v>
          </cell>
        </row>
        <row r="1095">
          <cell r="A1095" t="str">
            <v>600088.SH</v>
          </cell>
        </row>
        <row r="1096">
          <cell r="A1096" t="str">
            <v>600089.SH</v>
          </cell>
        </row>
        <row r="1097">
          <cell r="A1097" t="str">
            <v>600090.SH</v>
          </cell>
        </row>
        <row r="1098">
          <cell r="A1098" t="str">
            <v>600091.SH</v>
          </cell>
        </row>
        <row r="1099">
          <cell r="A1099" t="str">
            <v>600093.SH</v>
          </cell>
        </row>
        <row r="1100">
          <cell r="A1100" t="str">
            <v>600094.SH</v>
          </cell>
        </row>
        <row r="1101">
          <cell r="A1101" t="str">
            <v>600095.SH</v>
          </cell>
        </row>
        <row r="1102">
          <cell r="A1102" t="str">
            <v>600096.SH</v>
          </cell>
        </row>
        <row r="1103">
          <cell r="A1103" t="str">
            <v>600097.SH</v>
          </cell>
        </row>
        <row r="1104">
          <cell r="A1104" t="str">
            <v>600098.SH</v>
          </cell>
        </row>
        <row r="1105">
          <cell r="A1105" t="str">
            <v>600099.SH</v>
          </cell>
        </row>
        <row r="1106">
          <cell r="A1106" t="str">
            <v>600100.SH</v>
          </cell>
        </row>
        <row r="1107">
          <cell r="A1107" t="str">
            <v>600101.SH</v>
          </cell>
        </row>
        <row r="1108">
          <cell r="A1108" t="str">
            <v>600102.SH</v>
          </cell>
        </row>
        <row r="1109">
          <cell r="A1109" t="str">
            <v>600103.SH</v>
          </cell>
        </row>
        <row r="1110">
          <cell r="A1110" t="str">
            <v>600104.SH</v>
          </cell>
        </row>
        <row r="1111">
          <cell r="A1111" t="str">
            <v>600105.SH</v>
          </cell>
        </row>
        <row r="1112">
          <cell r="A1112" t="str">
            <v>600106.SH</v>
          </cell>
        </row>
        <row r="1113">
          <cell r="A1113" t="str">
            <v>600107.SH</v>
          </cell>
        </row>
        <row r="1114">
          <cell r="A1114" t="str">
            <v>600108.SH</v>
          </cell>
        </row>
        <row r="1115">
          <cell r="A1115" t="str">
            <v>600109.SH</v>
          </cell>
        </row>
        <row r="1116">
          <cell r="A1116" t="str">
            <v>600110.SH</v>
          </cell>
        </row>
        <row r="1117">
          <cell r="A1117" t="str">
            <v>600111.SH</v>
          </cell>
        </row>
        <row r="1118">
          <cell r="A1118" t="str">
            <v>600112.SH</v>
          </cell>
        </row>
        <row r="1119">
          <cell r="A1119" t="str">
            <v>600113.SH</v>
          </cell>
        </row>
        <row r="1120">
          <cell r="A1120" t="str">
            <v>600114.SH</v>
          </cell>
        </row>
        <row r="1121">
          <cell r="A1121" t="str">
            <v>600115.SH</v>
          </cell>
        </row>
        <row r="1122">
          <cell r="A1122" t="str">
            <v>600116.SH</v>
          </cell>
        </row>
        <row r="1123">
          <cell r="A1123" t="str">
            <v>600117.SH</v>
          </cell>
        </row>
        <row r="1124">
          <cell r="A1124" t="str">
            <v>600118.SH</v>
          </cell>
        </row>
        <row r="1125">
          <cell r="A1125" t="str">
            <v>600119.SH</v>
          </cell>
        </row>
        <row r="1126">
          <cell r="A1126" t="str">
            <v>600120.SH</v>
          </cell>
        </row>
        <row r="1127">
          <cell r="A1127" t="str">
            <v>600121.SH</v>
          </cell>
        </row>
        <row r="1128">
          <cell r="A1128" t="str">
            <v>600122.SH</v>
          </cell>
        </row>
        <row r="1129">
          <cell r="A1129" t="str">
            <v>600123.SH</v>
          </cell>
        </row>
        <row r="1130">
          <cell r="A1130" t="str">
            <v>600125.SH</v>
          </cell>
        </row>
        <row r="1131">
          <cell r="A1131" t="str">
            <v>600126.SH</v>
          </cell>
        </row>
        <row r="1132">
          <cell r="A1132" t="str">
            <v>600127.SH</v>
          </cell>
        </row>
        <row r="1133">
          <cell r="A1133" t="str">
            <v>600128.SH</v>
          </cell>
        </row>
        <row r="1134">
          <cell r="A1134" t="str">
            <v>600129.SH</v>
          </cell>
        </row>
        <row r="1135">
          <cell r="A1135" t="str">
            <v>600130.SH</v>
          </cell>
        </row>
        <row r="1136">
          <cell r="A1136" t="str">
            <v>600131.SH</v>
          </cell>
        </row>
        <row r="1137">
          <cell r="A1137" t="str">
            <v>600132.SH</v>
          </cell>
        </row>
        <row r="1138">
          <cell r="A1138" t="str">
            <v>600133.SH</v>
          </cell>
        </row>
        <row r="1139">
          <cell r="A1139" t="str">
            <v>600135.SH</v>
          </cell>
        </row>
        <row r="1140">
          <cell r="A1140" t="str">
            <v>600136.SH</v>
          </cell>
        </row>
        <row r="1141">
          <cell r="A1141" t="str">
            <v>600137.SH</v>
          </cell>
        </row>
        <row r="1142">
          <cell r="A1142" t="str">
            <v>600138.SH</v>
          </cell>
        </row>
        <row r="1143">
          <cell r="A1143" t="str">
            <v>600139.SH</v>
          </cell>
        </row>
        <row r="1144">
          <cell r="A1144" t="str">
            <v>600141.SH</v>
          </cell>
        </row>
        <row r="1145">
          <cell r="A1145" t="str">
            <v>600143.SH</v>
          </cell>
        </row>
        <row r="1146">
          <cell r="A1146" t="str">
            <v>600145.SH</v>
          </cell>
        </row>
        <row r="1147">
          <cell r="A1147" t="str">
            <v>600146.SH</v>
          </cell>
        </row>
        <row r="1148">
          <cell r="A1148" t="str">
            <v>600148.SH</v>
          </cell>
        </row>
        <row r="1149">
          <cell r="A1149" t="str">
            <v>600149.SH</v>
          </cell>
        </row>
        <row r="1150">
          <cell r="A1150" t="str">
            <v>600150.SH</v>
          </cell>
        </row>
        <row r="1151">
          <cell r="A1151" t="str">
            <v>600151.SH</v>
          </cell>
        </row>
        <row r="1152">
          <cell r="A1152" t="str">
            <v>600152.SH</v>
          </cell>
        </row>
        <row r="1153">
          <cell r="A1153" t="str">
            <v>600153.SH</v>
          </cell>
        </row>
        <row r="1154">
          <cell r="A1154" t="str">
            <v>600155.SH</v>
          </cell>
        </row>
        <row r="1155">
          <cell r="A1155" t="str">
            <v>600156.SH</v>
          </cell>
        </row>
        <row r="1156">
          <cell r="A1156" t="str">
            <v>600157.SH</v>
          </cell>
        </row>
        <row r="1157">
          <cell r="A1157" t="str">
            <v>600158.SH</v>
          </cell>
        </row>
        <row r="1158">
          <cell r="A1158" t="str">
            <v>600159.SH</v>
          </cell>
        </row>
        <row r="1159">
          <cell r="A1159" t="str">
            <v>600160.SH</v>
          </cell>
        </row>
        <row r="1160">
          <cell r="A1160" t="str">
            <v>600161.SH</v>
          </cell>
        </row>
        <row r="1161">
          <cell r="A1161" t="str">
            <v>600162.SH</v>
          </cell>
        </row>
        <row r="1162">
          <cell r="A1162" t="str">
            <v>600163.SH</v>
          </cell>
        </row>
        <row r="1163">
          <cell r="A1163" t="str">
            <v>600165.SH</v>
          </cell>
        </row>
        <row r="1164">
          <cell r="A1164" t="str">
            <v>600166.SH</v>
          </cell>
        </row>
        <row r="1165">
          <cell r="A1165" t="str">
            <v>600167.SH</v>
          </cell>
        </row>
        <row r="1166">
          <cell r="A1166" t="str">
            <v>600168.SH</v>
          </cell>
        </row>
        <row r="1167">
          <cell r="A1167" t="str">
            <v>600169.SH</v>
          </cell>
        </row>
        <row r="1168">
          <cell r="A1168" t="str">
            <v>600170.SH</v>
          </cell>
        </row>
        <row r="1169">
          <cell r="A1169" t="str">
            <v>600171.SH</v>
          </cell>
        </row>
        <row r="1170">
          <cell r="A1170" t="str">
            <v>600172.SH</v>
          </cell>
        </row>
        <row r="1171">
          <cell r="A1171" t="str">
            <v>600173.SH</v>
          </cell>
        </row>
        <row r="1172">
          <cell r="A1172" t="str">
            <v>600175.SH</v>
          </cell>
        </row>
        <row r="1173">
          <cell r="A1173" t="str">
            <v>600176.SH</v>
          </cell>
        </row>
        <row r="1174">
          <cell r="A1174" t="str">
            <v>600177.SH</v>
          </cell>
        </row>
        <row r="1175">
          <cell r="A1175" t="str">
            <v>600178.SH</v>
          </cell>
        </row>
        <row r="1176">
          <cell r="A1176" t="str">
            <v>600179.SH</v>
          </cell>
        </row>
        <row r="1177">
          <cell r="A1177" t="str">
            <v>600180.SH</v>
          </cell>
        </row>
        <row r="1178">
          <cell r="A1178" t="str">
            <v>600182.SH</v>
          </cell>
        </row>
        <row r="1179">
          <cell r="A1179" t="str">
            <v>600183.SH</v>
          </cell>
        </row>
        <row r="1180">
          <cell r="A1180" t="str">
            <v>600184.SH</v>
          </cell>
        </row>
        <row r="1181">
          <cell r="A1181" t="str">
            <v>600185.SH</v>
          </cell>
        </row>
        <row r="1182">
          <cell r="A1182" t="str">
            <v>600186.SH</v>
          </cell>
        </row>
        <row r="1183">
          <cell r="A1183" t="str">
            <v>600187.SH</v>
          </cell>
        </row>
        <row r="1184">
          <cell r="A1184" t="str">
            <v>600188.SH</v>
          </cell>
        </row>
        <row r="1185">
          <cell r="A1185" t="str">
            <v>600189.SH</v>
          </cell>
        </row>
        <row r="1186">
          <cell r="A1186" t="str">
            <v>600190.SH</v>
          </cell>
        </row>
        <row r="1187">
          <cell r="A1187" t="str">
            <v>600191.SH</v>
          </cell>
        </row>
        <row r="1188">
          <cell r="A1188" t="str">
            <v>600192.SH</v>
          </cell>
        </row>
        <row r="1189">
          <cell r="A1189" t="str">
            <v>600193.SH</v>
          </cell>
        </row>
        <row r="1190">
          <cell r="A1190" t="str">
            <v>600195.SH</v>
          </cell>
        </row>
        <row r="1191">
          <cell r="A1191" t="str">
            <v>600196.SH</v>
          </cell>
        </row>
        <row r="1192">
          <cell r="A1192" t="str">
            <v>600197.SH</v>
          </cell>
        </row>
        <row r="1193">
          <cell r="A1193" t="str">
            <v>600198.SH</v>
          </cell>
        </row>
        <row r="1194">
          <cell r="A1194" t="str">
            <v>600199.SH</v>
          </cell>
        </row>
        <row r="1195">
          <cell r="A1195" t="str">
            <v>600200.SH</v>
          </cell>
        </row>
        <row r="1196">
          <cell r="A1196" t="str">
            <v>600201.SH</v>
          </cell>
        </row>
        <row r="1197">
          <cell r="A1197" t="str">
            <v>600202.SH</v>
          </cell>
        </row>
        <row r="1198">
          <cell r="A1198" t="str">
            <v>600203.SH</v>
          </cell>
        </row>
        <row r="1199">
          <cell r="A1199" t="str">
            <v>600206.SH</v>
          </cell>
        </row>
        <row r="1200">
          <cell r="A1200" t="str">
            <v>600207.SH</v>
          </cell>
        </row>
        <row r="1201">
          <cell r="A1201" t="str">
            <v>600208.SH</v>
          </cell>
        </row>
        <row r="1202">
          <cell r="A1202" t="str">
            <v>600209.SH</v>
          </cell>
        </row>
        <row r="1203">
          <cell r="A1203" t="str">
            <v>600210.SH</v>
          </cell>
        </row>
        <row r="1204">
          <cell r="A1204" t="str">
            <v>600211.SH</v>
          </cell>
        </row>
        <row r="1205">
          <cell r="A1205" t="str">
            <v>600212.SH</v>
          </cell>
        </row>
        <row r="1206">
          <cell r="A1206" t="str">
            <v>600213.SH</v>
          </cell>
        </row>
        <row r="1207">
          <cell r="A1207" t="str">
            <v>600215.SH</v>
          </cell>
        </row>
        <row r="1208">
          <cell r="A1208" t="str">
            <v>600216.SH</v>
          </cell>
        </row>
        <row r="1209">
          <cell r="A1209" t="str">
            <v>600217.SH</v>
          </cell>
        </row>
        <row r="1210">
          <cell r="A1210" t="str">
            <v>600218.SH</v>
          </cell>
        </row>
        <row r="1211">
          <cell r="A1211" t="str">
            <v>600219.SH</v>
          </cell>
        </row>
        <row r="1212">
          <cell r="A1212" t="str">
            <v>600220.SH</v>
          </cell>
        </row>
        <row r="1213">
          <cell r="A1213" t="str">
            <v>600221.SH</v>
          </cell>
        </row>
        <row r="1214">
          <cell r="A1214" t="str">
            <v>600222.SH</v>
          </cell>
        </row>
        <row r="1215">
          <cell r="A1215" t="str">
            <v>600223.SH</v>
          </cell>
        </row>
        <row r="1216">
          <cell r="A1216" t="str">
            <v>600225.SH</v>
          </cell>
        </row>
        <row r="1217">
          <cell r="A1217" t="str">
            <v>600226.SH</v>
          </cell>
        </row>
        <row r="1218">
          <cell r="A1218" t="str">
            <v>600227.SH</v>
          </cell>
        </row>
        <row r="1219">
          <cell r="A1219" t="str">
            <v>600228.SH</v>
          </cell>
        </row>
        <row r="1220">
          <cell r="A1220" t="str">
            <v>600229.SH</v>
          </cell>
        </row>
        <row r="1221">
          <cell r="A1221" t="str">
            <v>600230.SH</v>
          </cell>
        </row>
        <row r="1222">
          <cell r="A1222" t="str">
            <v>600231.SH</v>
          </cell>
        </row>
        <row r="1223">
          <cell r="A1223" t="str">
            <v>600232.SH</v>
          </cell>
        </row>
        <row r="1224">
          <cell r="A1224" t="str">
            <v>600233.SH</v>
          </cell>
        </row>
        <row r="1225">
          <cell r="A1225" t="str">
            <v>600234.SH</v>
          </cell>
        </row>
        <row r="1226">
          <cell r="A1226" t="str">
            <v>600235.SH</v>
          </cell>
        </row>
        <row r="1227">
          <cell r="A1227" t="str">
            <v>600236.SH</v>
          </cell>
        </row>
        <row r="1228">
          <cell r="A1228" t="str">
            <v>600237.SH</v>
          </cell>
        </row>
        <row r="1229">
          <cell r="A1229" t="str">
            <v>600238.SH</v>
          </cell>
        </row>
        <row r="1230">
          <cell r="A1230" t="str">
            <v>600239.SH</v>
          </cell>
        </row>
        <row r="1231">
          <cell r="A1231" t="str">
            <v>600240.SH</v>
          </cell>
        </row>
        <row r="1232">
          <cell r="A1232" t="str">
            <v>600241.SH</v>
          </cell>
        </row>
        <row r="1233">
          <cell r="A1233" t="str">
            <v>600242.SH</v>
          </cell>
        </row>
        <row r="1234">
          <cell r="A1234" t="str">
            <v>600243.SH</v>
          </cell>
        </row>
        <row r="1235">
          <cell r="A1235" t="str">
            <v>600246.SH</v>
          </cell>
        </row>
        <row r="1236">
          <cell r="A1236" t="str">
            <v>600247.SH</v>
          </cell>
        </row>
        <row r="1237">
          <cell r="A1237" t="str">
            <v>600248.SH</v>
          </cell>
        </row>
        <row r="1238">
          <cell r="A1238" t="str">
            <v>600249.SH</v>
          </cell>
        </row>
        <row r="1239">
          <cell r="A1239" t="str">
            <v>600250.SH</v>
          </cell>
        </row>
        <row r="1240">
          <cell r="A1240" t="str">
            <v>600251.SH</v>
          </cell>
        </row>
        <row r="1241">
          <cell r="A1241" t="str">
            <v>600252.SH</v>
          </cell>
        </row>
        <row r="1242">
          <cell r="A1242" t="str">
            <v>600253.SH</v>
          </cell>
        </row>
        <row r="1243">
          <cell r="A1243" t="str">
            <v>600255.SH</v>
          </cell>
        </row>
        <row r="1244">
          <cell r="A1244" t="str">
            <v>600256.SH</v>
          </cell>
        </row>
        <row r="1245">
          <cell r="A1245" t="str">
            <v>600257.SH</v>
          </cell>
        </row>
        <row r="1246">
          <cell r="A1246" t="str">
            <v>600258.SH</v>
          </cell>
        </row>
        <row r="1247">
          <cell r="A1247" t="str">
            <v>600259.SH</v>
          </cell>
        </row>
        <row r="1248">
          <cell r="A1248" t="str">
            <v>600260.SH</v>
          </cell>
        </row>
        <row r="1249">
          <cell r="A1249" t="str">
            <v>600261.SH</v>
          </cell>
        </row>
        <row r="1250">
          <cell r="A1250" t="str">
            <v>600262.SH</v>
          </cell>
        </row>
        <row r="1251">
          <cell r="A1251" t="str">
            <v>600263.SH</v>
          </cell>
        </row>
        <row r="1252">
          <cell r="A1252" t="str">
            <v>600265.SH</v>
          </cell>
        </row>
        <row r="1253">
          <cell r="A1253" t="str">
            <v>600266.SH</v>
          </cell>
        </row>
        <row r="1254">
          <cell r="A1254" t="str">
            <v>600267.SH</v>
          </cell>
        </row>
        <row r="1255">
          <cell r="A1255" t="str">
            <v>600268.SH</v>
          </cell>
        </row>
        <row r="1256">
          <cell r="A1256" t="str">
            <v>600269.SH</v>
          </cell>
        </row>
        <row r="1257">
          <cell r="A1257" t="str">
            <v>600270.SH</v>
          </cell>
        </row>
        <row r="1258">
          <cell r="A1258" t="str">
            <v>600271.SH</v>
          </cell>
        </row>
        <row r="1259">
          <cell r="A1259" t="str">
            <v>600272.SH</v>
          </cell>
        </row>
        <row r="1260">
          <cell r="A1260" t="str">
            <v>600273.SH</v>
          </cell>
        </row>
        <row r="1261">
          <cell r="A1261" t="str">
            <v>600275.SH</v>
          </cell>
        </row>
        <row r="1262">
          <cell r="A1262" t="str">
            <v>600276.SH</v>
          </cell>
        </row>
        <row r="1263">
          <cell r="A1263" t="str">
            <v>600277.SH</v>
          </cell>
        </row>
        <row r="1264">
          <cell r="A1264" t="str">
            <v>600278.SH</v>
          </cell>
        </row>
        <row r="1265">
          <cell r="A1265" t="str">
            <v>600279.SH</v>
          </cell>
        </row>
        <row r="1266">
          <cell r="A1266" t="str">
            <v>600280.SH</v>
          </cell>
        </row>
        <row r="1267">
          <cell r="A1267" t="str">
            <v>600281.SH</v>
          </cell>
        </row>
        <row r="1268">
          <cell r="A1268" t="str">
            <v>600282.SH</v>
          </cell>
        </row>
        <row r="1269">
          <cell r="A1269" t="str">
            <v>600283.SH</v>
          </cell>
        </row>
        <row r="1270">
          <cell r="A1270" t="str">
            <v>600284.SH</v>
          </cell>
        </row>
        <row r="1271">
          <cell r="A1271" t="str">
            <v>600285.SH</v>
          </cell>
        </row>
        <row r="1272">
          <cell r="A1272" t="str">
            <v>600287.SH</v>
          </cell>
        </row>
        <row r="1273">
          <cell r="A1273" t="str">
            <v>600288.SH</v>
          </cell>
        </row>
        <row r="1274">
          <cell r="A1274" t="str">
            <v>600289.SH</v>
          </cell>
        </row>
        <row r="1275">
          <cell r="A1275" t="str">
            <v>600290.SH</v>
          </cell>
        </row>
        <row r="1276">
          <cell r="A1276" t="str">
            <v>600291.SH</v>
          </cell>
        </row>
        <row r="1277">
          <cell r="A1277" t="str">
            <v>600292.SH</v>
          </cell>
        </row>
        <row r="1278">
          <cell r="A1278" t="str">
            <v>600293.SH</v>
          </cell>
        </row>
        <row r="1279">
          <cell r="A1279" t="str">
            <v>600295.SH</v>
          </cell>
        </row>
        <row r="1280">
          <cell r="A1280" t="str">
            <v>600297.SH</v>
          </cell>
        </row>
        <row r="1281">
          <cell r="A1281" t="str">
            <v>600298.SH</v>
          </cell>
        </row>
        <row r="1282">
          <cell r="A1282" t="str">
            <v>600299.SH</v>
          </cell>
        </row>
        <row r="1283">
          <cell r="A1283" t="str">
            <v>600300.SH</v>
          </cell>
        </row>
        <row r="1284">
          <cell r="A1284" t="str">
            <v>600301.SH</v>
          </cell>
        </row>
        <row r="1285">
          <cell r="A1285" t="str">
            <v>600302.SH</v>
          </cell>
        </row>
        <row r="1286">
          <cell r="A1286" t="str">
            <v>600303.SH</v>
          </cell>
        </row>
        <row r="1287">
          <cell r="A1287" t="str">
            <v>600305.SH</v>
          </cell>
        </row>
        <row r="1288">
          <cell r="A1288" t="str">
            <v>600306.SH</v>
          </cell>
        </row>
        <row r="1289">
          <cell r="A1289" t="str">
            <v>600307.SH</v>
          </cell>
        </row>
        <row r="1290">
          <cell r="A1290" t="str">
            <v>600308.SH</v>
          </cell>
        </row>
        <row r="1291">
          <cell r="A1291" t="str">
            <v>600309.SH</v>
          </cell>
        </row>
        <row r="1292">
          <cell r="A1292" t="str">
            <v>600310.SH</v>
          </cell>
        </row>
        <row r="1293">
          <cell r="A1293" t="str">
            <v>600311.SH</v>
          </cell>
        </row>
        <row r="1294">
          <cell r="A1294" t="str">
            <v>600312.SH</v>
          </cell>
        </row>
        <row r="1295">
          <cell r="A1295" t="str">
            <v>600313.SH</v>
          </cell>
        </row>
        <row r="1296">
          <cell r="A1296" t="str">
            <v>600315.SH</v>
          </cell>
        </row>
        <row r="1297">
          <cell r="A1297" t="str">
            <v>600316.SH</v>
          </cell>
        </row>
        <row r="1298">
          <cell r="A1298" t="str">
            <v>600317.SH</v>
          </cell>
        </row>
        <row r="1299">
          <cell r="A1299" t="str">
            <v>600318.SH</v>
          </cell>
        </row>
        <row r="1300">
          <cell r="A1300" t="str">
            <v>600319.SH</v>
          </cell>
        </row>
        <row r="1301">
          <cell r="A1301" t="str">
            <v>600320.SH</v>
          </cell>
        </row>
        <row r="1302">
          <cell r="A1302" t="str">
            <v>600321.SH</v>
          </cell>
        </row>
        <row r="1303">
          <cell r="A1303" t="str">
            <v>600322.SH</v>
          </cell>
        </row>
        <row r="1304">
          <cell r="A1304" t="str">
            <v>600323.SH</v>
          </cell>
        </row>
        <row r="1305">
          <cell r="A1305" t="str">
            <v>600325.SH</v>
          </cell>
        </row>
        <row r="1306">
          <cell r="A1306" t="str">
            <v>600326.SH</v>
          </cell>
        </row>
        <row r="1307">
          <cell r="A1307" t="str">
            <v>600327.SH</v>
          </cell>
        </row>
        <row r="1308">
          <cell r="A1308" t="str">
            <v>600328.SH</v>
          </cell>
        </row>
        <row r="1309">
          <cell r="A1309" t="str">
            <v>600329.SH</v>
          </cell>
        </row>
        <row r="1310">
          <cell r="A1310" t="str">
            <v>600330.SH</v>
          </cell>
        </row>
        <row r="1311">
          <cell r="A1311" t="str">
            <v>600331.SH</v>
          </cell>
        </row>
        <row r="1312">
          <cell r="A1312" t="str">
            <v>600332.SH</v>
          </cell>
        </row>
        <row r="1313">
          <cell r="A1313" t="str">
            <v>600333.SH</v>
          </cell>
        </row>
        <row r="1314">
          <cell r="A1314" t="str">
            <v>600335.SH</v>
          </cell>
        </row>
        <row r="1315">
          <cell r="A1315" t="str">
            <v>600336.SH</v>
          </cell>
        </row>
        <row r="1316">
          <cell r="A1316" t="str">
            <v>600337.SH</v>
          </cell>
        </row>
        <row r="1317">
          <cell r="A1317" t="str">
            <v>600338.SH</v>
          </cell>
        </row>
        <row r="1318">
          <cell r="A1318" t="str">
            <v>600339.SH</v>
          </cell>
        </row>
        <row r="1319">
          <cell r="A1319" t="str">
            <v>600340.SH</v>
          </cell>
        </row>
        <row r="1320">
          <cell r="A1320" t="str">
            <v>600343.SH</v>
          </cell>
        </row>
        <row r="1321">
          <cell r="A1321" t="str">
            <v>600345.SH</v>
          </cell>
        </row>
        <row r="1322">
          <cell r="A1322" t="str">
            <v>600346.SH</v>
          </cell>
        </row>
        <row r="1323">
          <cell r="A1323" t="str">
            <v>600348.SH</v>
          </cell>
        </row>
        <row r="1324">
          <cell r="A1324" t="str">
            <v>600350.SH</v>
          </cell>
        </row>
        <row r="1325">
          <cell r="A1325" t="str">
            <v>600351.SH</v>
          </cell>
        </row>
        <row r="1326">
          <cell r="A1326" t="str">
            <v>600352.SH</v>
          </cell>
        </row>
        <row r="1327">
          <cell r="A1327" t="str">
            <v>600353.SH</v>
          </cell>
        </row>
        <row r="1328">
          <cell r="A1328" t="str">
            <v>600354.SH</v>
          </cell>
        </row>
        <row r="1329">
          <cell r="A1329" t="str">
            <v>600355.SH</v>
          </cell>
        </row>
        <row r="1330">
          <cell r="A1330" t="str">
            <v>600356.SH</v>
          </cell>
        </row>
        <row r="1331">
          <cell r="A1331" t="str">
            <v>600358.SH</v>
          </cell>
        </row>
        <row r="1332">
          <cell r="A1332" t="str">
            <v>600359.SH</v>
          </cell>
        </row>
        <row r="1333">
          <cell r="A1333" t="str">
            <v>600360.SH</v>
          </cell>
        </row>
        <row r="1334">
          <cell r="A1334" t="str">
            <v>600361.SH</v>
          </cell>
        </row>
        <row r="1335">
          <cell r="A1335" t="str">
            <v>600362.SH</v>
          </cell>
        </row>
        <row r="1336">
          <cell r="A1336" t="str">
            <v>600363.SH</v>
          </cell>
        </row>
        <row r="1337">
          <cell r="A1337" t="str">
            <v>600365.SH</v>
          </cell>
        </row>
        <row r="1338">
          <cell r="A1338" t="str">
            <v>600366.SH</v>
          </cell>
        </row>
        <row r="1339">
          <cell r="A1339" t="str">
            <v>600367.SH</v>
          </cell>
        </row>
        <row r="1340">
          <cell r="A1340" t="str">
            <v>600368.SH</v>
          </cell>
        </row>
        <row r="1341">
          <cell r="A1341" t="str">
            <v>600369.SH</v>
          </cell>
        </row>
        <row r="1342">
          <cell r="A1342" t="str">
            <v>600370.SH</v>
          </cell>
        </row>
        <row r="1343">
          <cell r="A1343" t="str">
            <v>600371.SH</v>
          </cell>
        </row>
        <row r="1344">
          <cell r="A1344" t="str">
            <v>600372.SH</v>
          </cell>
        </row>
        <row r="1345">
          <cell r="A1345" t="str">
            <v>600373.SH</v>
          </cell>
        </row>
        <row r="1346">
          <cell r="A1346" t="str">
            <v>600375.SH</v>
          </cell>
        </row>
        <row r="1347">
          <cell r="A1347" t="str">
            <v>600376.SH</v>
          </cell>
        </row>
        <row r="1348">
          <cell r="A1348" t="str">
            <v>600377.SH</v>
          </cell>
        </row>
        <row r="1349">
          <cell r="A1349" t="str">
            <v>600378.SH</v>
          </cell>
        </row>
        <row r="1350">
          <cell r="A1350" t="str">
            <v>600379.SH</v>
          </cell>
        </row>
        <row r="1351">
          <cell r="A1351" t="str">
            <v>600380.SH</v>
          </cell>
        </row>
        <row r="1352">
          <cell r="A1352" t="str">
            <v>600381.SH</v>
          </cell>
        </row>
        <row r="1353">
          <cell r="A1353" t="str">
            <v>600382.SH</v>
          </cell>
        </row>
        <row r="1354">
          <cell r="A1354" t="str">
            <v>600383.SH</v>
          </cell>
        </row>
        <row r="1355">
          <cell r="A1355" t="str">
            <v>600385.SH</v>
          </cell>
        </row>
        <row r="1356">
          <cell r="A1356" t="str">
            <v>600386.SH</v>
          </cell>
        </row>
        <row r="1357">
          <cell r="A1357" t="str">
            <v>600387.SH</v>
          </cell>
        </row>
        <row r="1358">
          <cell r="A1358" t="str">
            <v>600388.SH</v>
          </cell>
        </row>
        <row r="1359">
          <cell r="A1359" t="str">
            <v>600389.SH</v>
          </cell>
        </row>
        <row r="1360">
          <cell r="A1360" t="str">
            <v>600390.SH</v>
          </cell>
        </row>
        <row r="1361">
          <cell r="A1361" t="str">
            <v>600391.SH</v>
          </cell>
        </row>
        <row r="1362">
          <cell r="A1362" t="str">
            <v>600392.SH</v>
          </cell>
        </row>
        <row r="1363">
          <cell r="A1363" t="str">
            <v>600393.SH</v>
          </cell>
        </row>
        <row r="1364">
          <cell r="A1364" t="str">
            <v>600395.SH</v>
          </cell>
        </row>
        <row r="1365">
          <cell r="A1365" t="str">
            <v>600396.SH</v>
          </cell>
        </row>
        <row r="1366">
          <cell r="A1366" t="str">
            <v>600397.SH</v>
          </cell>
        </row>
        <row r="1367">
          <cell r="A1367" t="str">
            <v>600398.SH</v>
          </cell>
        </row>
        <row r="1368">
          <cell r="A1368" t="str">
            <v>600399.SH</v>
          </cell>
        </row>
        <row r="1369">
          <cell r="A1369" t="str">
            <v>600400.SH</v>
          </cell>
        </row>
        <row r="1370">
          <cell r="A1370" t="str">
            <v>600401.SH</v>
          </cell>
        </row>
        <row r="1371">
          <cell r="A1371" t="str">
            <v>600403.SH</v>
          </cell>
        </row>
        <row r="1372">
          <cell r="A1372" t="str">
            <v>600405.SH</v>
          </cell>
        </row>
        <row r="1373">
          <cell r="A1373" t="str">
            <v>600406.SH</v>
          </cell>
        </row>
        <row r="1374">
          <cell r="A1374" t="str">
            <v>600408.SH</v>
          </cell>
        </row>
        <row r="1375">
          <cell r="A1375" t="str">
            <v>600409.SH</v>
          </cell>
        </row>
        <row r="1376">
          <cell r="A1376" t="str">
            <v>600410.SH</v>
          </cell>
        </row>
        <row r="1377">
          <cell r="A1377" t="str">
            <v>600415.SH</v>
          </cell>
        </row>
        <row r="1378">
          <cell r="A1378" t="str">
            <v>600416.SH</v>
          </cell>
        </row>
        <row r="1379">
          <cell r="A1379" t="str">
            <v>600418.SH</v>
          </cell>
        </row>
        <row r="1380">
          <cell r="A1380" t="str">
            <v>600419.SH</v>
          </cell>
        </row>
        <row r="1381">
          <cell r="A1381" t="str">
            <v>600420.SH</v>
          </cell>
        </row>
        <row r="1382">
          <cell r="A1382" t="str">
            <v>600421.SH</v>
          </cell>
        </row>
        <row r="1383">
          <cell r="A1383" t="str">
            <v>600422.SH</v>
          </cell>
        </row>
        <row r="1384">
          <cell r="A1384" t="str">
            <v>600423.SH</v>
          </cell>
        </row>
        <row r="1385">
          <cell r="A1385" t="str">
            <v>600425.SH</v>
          </cell>
        </row>
        <row r="1386">
          <cell r="A1386" t="str">
            <v>600426.SH</v>
          </cell>
        </row>
        <row r="1387">
          <cell r="A1387" t="str">
            <v>600428.SH</v>
          </cell>
        </row>
        <row r="1388">
          <cell r="A1388" t="str">
            <v>600429.SH</v>
          </cell>
        </row>
        <row r="1389">
          <cell r="A1389" t="str">
            <v>600432.SH</v>
          </cell>
        </row>
        <row r="1390">
          <cell r="A1390" t="str">
            <v>600433.SH</v>
          </cell>
        </row>
        <row r="1391">
          <cell r="A1391" t="str">
            <v>600435.SH</v>
          </cell>
        </row>
        <row r="1392">
          <cell r="A1392" t="str">
            <v>600436.SH</v>
          </cell>
        </row>
        <row r="1393">
          <cell r="A1393" t="str">
            <v>600438.SH</v>
          </cell>
        </row>
        <row r="1394">
          <cell r="A1394" t="str">
            <v>600439.SH</v>
          </cell>
        </row>
        <row r="1395">
          <cell r="A1395" t="str">
            <v>600444.SH</v>
          </cell>
        </row>
        <row r="1396">
          <cell r="A1396" t="str">
            <v>600446.SH</v>
          </cell>
        </row>
        <row r="1397">
          <cell r="A1397" t="str">
            <v>600448.SH</v>
          </cell>
        </row>
        <row r="1398">
          <cell r="A1398" t="str">
            <v>600449.SH</v>
          </cell>
        </row>
        <row r="1399">
          <cell r="A1399" t="str">
            <v>600452.SH</v>
          </cell>
        </row>
        <row r="1400">
          <cell r="A1400" t="str">
            <v>600455.SH</v>
          </cell>
        </row>
        <row r="1401">
          <cell r="A1401" t="str">
            <v>600456.SH</v>
          </cell>
        </row>
        <row r="1402">
          <cell r="A1402" t="str">
            <v>600458.SH</v>
          </cell>
        </row>
        <row r="1403">
          <cell r="A1403" t="str">
            <v>600459.SH</v>
          </cell>
        </row>
        <row r="1404">
          <cell r="A1404" t="str">
            <v>600460.SH</v>
          </cell>
        </row>
        <row r="1405">
          <cell r="A1405" t="str">
            <v>600461.SH</v>
          </cell>
        </row>
        <row r="1406">
          <cell r="A1406" t="str">
            <v>600462.SH</v>
          </cell>
        </row>
        <row r="1407">
          <cell r="A1407" t="str">
            <v>600463.SH</v>
          </cell>
        </row>
        <row r="1408">
          <cell r="A1408" t="str">
            <v>600466.SH</v>
          </cell>
        </row>
        <row r="1409">
          <cell r="A1409" t="str">
            <v>600467.SH</v>
          </cell>
        </row>
        <row r="1410">
          <cell r="A1410" t="str">
            <v>600468.SH</v>
          </cell>
        </row>
        <row r="1411">
          <cell r="A1411" t="str">
            <v>600469.SH</v>
          </cell>
        </row>
        <row r="1412">
          <cell r="A1412" t="str">
            <v>600470.SH</v>
          </cell>
        </row>
        <row r="1413">
          <cell r="A1413" t="str">
            <v>600475.SH</v>
          </cell>
        </row>
        <row r="1414">
          <cell r="A1414" t="str">
            <v>600476.SH</v>
          </cell>
        </row>
        <row r="1415">
          <cell r="A1415" t="str">
            <v>600477.SH</v>
          </cell>
        </row>
        <row r="1416">
          <cell r="A1416" t="str">
            <v>600478.SH</v>
          </cell>
        </row>
        <row r="1417">
          <cell r="A1417" t="str">
            <v>600479.SH</v>
          </cell>
        </row>
        <row r="1418">
          <cell r="A1418" t="str">
            <v>600480.SH</v>
          </cell>
        </row>
        <row r="1419">
          <cell r="A1419" t="str">
            <v>600481.SH</v>
          </cell>
        </row>
        <row r="1420">
          <cell r="A1420" t="str">
            <v>600482.SH</v>
          </cell>
        </row>
        <row r="1421">
          <cell r="A1421" t="str">
            <v>600483.SH</v>
          </cell>
        </row>
        <row r="1422">
          <cell r="A1422" t="str">
            <v>600485.SH</v>
          </cell>
        </row>
        <row r="1423">
          <cell r="A1423" t="str">
            <v>600486.SH</v>
          </cell>
        </row>
        <row r="1424">
          <cell r="A1424" t="str">
            <v>600487.SH</v>
          </cell>
        </row>
        <row r="1425">
          <cell r="A1425" t="str">
            <v>600488.SH</v>
          </cell>
        </row>
        <row r="1426">
          <cell r="A1426" t="str">
            <v>600489.SH</v>
          </cell>
        </row>
        <row r="1427">
          <cell r="A1427" t="str">
            <v>600490.SH</v>
          </cell>
        </row>
        <row r="1428">
          <cell r="A1428" t="str">
            <v>600491.SH</v>
          </cell>
        </row>
        <row r="1429">
          <cell r="A1429" t="str">
            <v>600493.SH</v>
          </cell>
        </row>
        <row r="1430">
          <cell r="A1430" t="str">
            <v>600495.SH</v>
          </cell>
        </row>
        <row r="1431">
          <cell r="A1431" t="str">
            <v>600496.SH</v>
          </cell>
        </row>
        <row r="1432">
          <cell r="A1432" t="str">
            <v>600497.SH</v>
          </cell>
        </row>
        <row r="1433">
          <cell r="A1433" t="str">
            <v>600498.SH</v>
          </cell>
        </row>
        <row r="1434">
          <cell r="A1434" t="str">
            <v>600499.SH</v>
          </cell>
        </row>
        <row r="1435">
          <cell r="A1435" t="str">
            <v>600500.SH</v>
          </cell>
        </row>
        <row r="1436">
          <cell r="A1436" t="str">
            <v>600501.SH</v>
          </cell>
        </row>
        <row r="1437">
          <cell r="A1437" t="str">
            <v>600502.SH</v>
          </cell>
        </row>
        <row r="1438">
          <cell r="A1438" t="str">
            <v>600503.SH</v>
          </cell>
        </row>
        <row r="1439">
          <cell r="A1439" t="str">
            <v>600505.SH</v>
          </cell>
        </row>
        <row r="1440">
          <cell r="A1440" t="str">
            <v>600506.SH</v>
          </cell>
        </row>
        <row r="1441">
          <cell r="A1441" t="str">
            <v>600507.SH</v>
          </cell>
        </row>
        <row r="1442">
          <cell r="A1442" t="str">
            <v>600508.SH</v>
          </cell>
        </row>
        <row r="1443">
          <cell r="A1443" t="str">
            <v>600509.SH</v>
          </cell>
        </row>
        <row r="1444">
          <cell r="A1444" t="str">
            <v>600510.SH</v>
          </cell>
        </row>
        <row r="1445">
          <cell r="A1445" t="str">
            <v>600511.SH</v>
          </cell>
        </row>
        <row r="1446">
          <cell r="A1446" t="str">
            <v>600512.SH</v>
          </cell>
        </row>
        <row r="1447">
          <cell r="A1447" t="str">
            <v>600513.SH</v>
          </cell>
        </row>
        <row r="1448">
          <cell r="A1448" t="str">
            <v>600515.SH</v>
          </cell>
        </row>
        <row r="1449">
          <cell r="A1449" t="str">
            <v>600516.SH</v>
          </cell>
        </row>
        <row r="1450">
          <cell r="A1450" t="str">
            <v>600517.SH</v>
          </cell>
        </row>
        <row r="1451">
          <cell r="A1451" t="str">
            <v>600518.SH</v>
          </cell>
        </row>
        <row r="1452">
          <cell r="A1452" t="str">
            <v>600519.SH</v>
          </cell>
        </row>
        <row r="1453">
          <cell r="A1453" t="str">
            <v>600520.SH</v>
          </cell>
        </row>
        <row r="1454">
          <cell r="A1454" t="str">
            <v>600521.SH</v>
          </cell>
        </row>
        <row r="1455">
          <cell r="A1455" t="str">
            <v>600522.SH</v>
          </cell>
        </row>
        <row r="1456">
          <cell r="A1456" t="str">
            <v>600523.SH</v>
          </cell>
        </row>
        <row r="1457">
          <cell r="A1457" t="str">
            <v>600525.SH</v>
          </cell>
        </row>
        <row r="1458">
          <cell r="A1458" t="str">
            <v>600526.SH</v>
          </cell>
        </row>
        <row r="1459">
          <cell r="A1459" t="str">
            <v>600527.SH</v>
          </cell>
        </row>
        <row r="1460">
          <cell r="A1460" t="str">
            <v>600528.SH</v>
          </cell>
        </row>
        <row r="1461">
          <cell r="A1461" t="str">
            <v>600529.SH</v>
          </cell>
        </row>
        <row r="1462">
          <cell r="A1462" t="str">
            <v>600530.SH</v>
          </cell>
        </row>
        <row r="1463">
          <cell r="A1463" t="str">
            <v>600531.SH</v>
          </cell>
        </row>
        <row r="1464">
          <cell r="A1464" t="str">
            <v>600532.SH</v>
          </cell>
        </row>
        <row r="1465">
          <cell r="A1465" t="str">
            <v>600533.SH</v>
          </cell>
        </row>
        <row r="1466">
          <cell r="A1466" t="str">
            <v>600535.SH</v>
          </cell>
        </row>
        <row r="1467">
          <cell r="A1467" t="str">
            <v>600536.SH</v>
          </cell>
        </row>
        <row r="1468">
          <cell r="A1468" t="str">
            <v>600537.SH</v>
          </cell>
        </row>
        <row r="1469">
          <cell r="A1469" t="str">
            <v>600538.SH</v>
          </cell>
        </row>
        <row r="1470">
          <cell r="A1470" t="str">
            <v>600539.SH</v>
          </cell>
        </row>
        <row r="1471">
          <cell r="A1471" t="str">
            <v>600540.SH</v>
          </cell>
        </row>
        <row r="1472">
          <cell r="A1472" t="str">
            <v>600543.SH</v>
          </cell>
        </row>
        <row r="1473">
          <cell r="A1473" t="str">
            <v>600545.SH</v>
          </cell>
        </row>
        <row r="1474">
          <cell r="A1474" t="str">
            <v>600546.SH</v>
          </cell>
        </row>
        <row r="1475">
          <cell r="A1475" t="str">
            <v>600547.SH</v>
          </cell>
        </row>
        <row r="1476">
          <cell r="A1476" t="str">
            <v>600548.SH</v>
          </cell>
        </row>
        <row r="1477">
          <cell r="A1477" t="str">
            <v>600549.SH</v>
          </cell>
        </row>
        <row r="1478">
          <cell r="A1478" t="str">
            <v>600550.SH</v>
          </cell>
        </row>
        <row r="1479">
          <cell r="A1479" t="str">
            <v>600551.SH</v>
          </cell>
        </row>
        <row r="1480">
          <cell r="A1480" t="str">
            <v>600552.SH</v>
          </cell>
        </row>
        <row r="1481">
          <cell r="A1481" t="str">
            <v>600553.SH</v>
          </cell>
        </row>
        <row r="1482">
          <cell r="A1482" t="str">
            <v>600555.SH</v>
          </cell>
        </row>
        <row r="1483">
          <cell r="A1483" t="str">
            <v>600556.SH</v>
          </cell>
        </row>
        <row r="1484">
          <cell r="A1484" t="str">
            <v>600557.SH</v>
          </cell>
        </row>
        <row r="1485">
          <cell r="A1485" t="str">
            <v>600558.SH</v>
          </cell>
        </row>
        <row r="1486">
          <cell r="A1486" t="str">
            <v>600559.SH</v>
          </cell>
        </row>
        <row r="1487">
          <cell r="A1487" t="str">
            <v>600560.SH</v>
          </cell>
        </row>
        <row r="1488">
          <cell r="A1488" t="str">
            <v>600561.SH</v>
          </cell>
        </row>
        <row r="1489">
          <cell r="A1489" t="str">
            <v>600562.SH</v>
          </cell>
        </row>
        <row r="1490">
          <cell r="A1490" t="str">
            <v>600563.SH</v>
          </cell>
        </row>
        <row r="1491">
          <cell r="A1491" t="str">
            <v>600565.SH</v>
          </cell>
        </row>
        <row r="1492">
          <cell r="A1492" t="str">
            <v>600566.SH</v>
          </cell>
        </row>
        <row r="1493">
          <cell r="A1493" t="str">
            <v>600567.SH</v>
          </cell>
        </row>
        <row r="1494">
          <cell r="A1494" t="str">
            <v>600568.SH</v>
          </cell>
        </row>
        <row r="1495">
          <cell r="A1495" t="str">
            <v>600569.SH</v>
          </cell>
        </row>
        <row r="1496">
          <cell r="A1496" t="str">
            <v>600570.SH</v>
          </cell>
        </row>
        <row r="1497">
          <cell r="A1497" t="str">
            <v>600571.SH</v>
          </cell>
        </row>
        <row r="1498">
          <cell r="A1498" t="str">
            <v>600572.SH</v>
          </cell>
        </row>
        <row r="1499">
          <cell r="A1499" t="str">
            <v>600573.SH</v>
          </cell>
        </row>
        <row r="1500">
          <cell r="A1500" t="str">
            <v>600575.SH</v>
          </cell>
        </row>
        <row r="1501">
          <cell r="A1501" t="str">
            <v>600576.SH</v>
          </cell>
        </row>
        <row r="1502">
          <cell r="A1502" t="str">
            <v>600577.SH</v>
          </cell>
        </row>
        <row r="1503">
          <cell r="A1503" t="str">
            <v>600578.SH</v>
          </cell>
        </row>
        <row r="1504">
          <cell r="A1504" t="str">
            <v>600579.SH</v>
          </cell>
        </row>
        <row r="1505">
          <cell r="A1505" t="str">
            <v>600580.SH</v>
          </cell>
        </row>
        <row r="1506">
          <cell r="A1506" t="str">
            <v>600581.SH</v>
          </cell>
        </row>
        <row r="1507">
          <cell r="A1507" t="str">
            <v>600582.SH</v>
          </cell>
        </row>
        <row r="1508">
          <cell r="A1508" t="str">
            <v>600583.SH</v>
          </cell>
        </row>
        <row r="1509">
          <cell r="A1509" t="str">
            <v>600584.SH</v>
          </cell>
        </row>
        <row r="1510">
          <cell r="A1510" t="str">
            <v>600585.SH</v>
          </cell>
        </row>
        <row r="1511">
          <cell r="A1511" t="str">
            <v>600586.SH</v>
          </cell>
        </row>
        <row r="1512">
          <cell r="A1512" t="str">
            <v>600587.SH</v>
          </cell>
        </row>
        <row r="1513">
          <cell r="A1513" t="str">
            <v>600588.SH</v>
          </cell>
        </row>
        <row r="1514">
          <cell r="A1514" t="str">
            <v>600589.SH</v>
          </cell>
        </row>
        <row r="1515">
          <cell r="A1515" t="str">
            <v>600590.SH</v>
          </cell>
        </row>
        <row r="1516">
          <cell r="A1516" t="str">
            <v>600592.SH</v>
          </cell>
        </row>
        <row r="1517">
          <cell r="A1517" t="str">
            <v>600593.SH</v>
          </cell>
        </row>
        <row r="1518">
          <cell r="A1518" t="str">
            <v>600594.SH</v>
          </cell>
        </row>
        <row r="1519">
          <cell r="A1519" t="str">
            <v>600595.SH</v>
          </cell>
        </row>
        <row r="1520">
          <cell r="A1520" t="str">
            <v>600596.SH</v>
          </cell>
        </row>
        <row r="1521">
          <cell r="A1521" t="str">
            <v>600597.SH</v>
          </cell>
        </row>
        <row r="1522">
          <cell r="A1522" t="str">
            <v>600598.SH</v>
          </cell>
        </row>
        <row r="1523">
          <cell r="A1523" t="str">
            <v>600599.SH</v>
          </cell>
        </row>
        <row r="1524">
          <cell r="A1524" t="str">
            <v>600600.SH</v>
          </cell>
        </row>
        <row r="1525">
          <cell r="A1525" t="str">
            <v>600601.SH</v>
          </cell>
        </row>
        <row r="1526">
          <cell r="A1526" t="str">
            <v>600602.SH</v>
          </cell>
        </row>
        <row r="1527">
          <cell r="A1527" t="str">
            <v>600603.SH</v>
          </cell>
        </row>
        <row r="1528">
          <cell r="A1528" t="str">
            <v>600604.SH</v>
          </cell>
        </row>
        <row r="1529">
          <cell r="A1529" t="str">
            <v>600605.SH</v>
          </cell>
        </row>
        <row r="1530">
          <cell r="A1530" t="str">
            <v>600606.SH</v>
          </cell>
        </row>
        <row r="1531">
          <cell r="A1531" t="str">
            <v>600608.SH</v>
          </cell>
        </row>
        <row r="1532">
          <cell r="A1532" t="str">
            <v>600609.SH</v>
          </cell>
        </row>
        <row r="1533">
          <cell r="A1533" t="str">
            <v>600610.SH</v>
          </cell>
        </row>
        <row r="1534">
          <cell r="A1534" t="str">
            <v>600611.SH</v>
          </cell>
        </row>
        <row r="1535">
          <cell r="A1535" t="str">
            <v>600612.SH</v>
          </cell>
        </row>
        <row r="1536">
          <cell r="A1536" t="str">
            <v>600613.SH</v>
          </cell>
        </row>
        <row r="1537">
          <cell r="A1537" t="str">
            <v>600614.SH</v>
          </cell>
        </row>
        <row r="1538">
          <cell r="A1538" t="str">
            <v>600615.SH</v>
          </cell>
        </row>
        <row r="1539">
          <cell r="A1539" t="str">
            <v>600616.SH</v>
          </cell>
        </row>
        <row r="1540">
          <cell r="A1540" t="str">
            <v>600617.SH</v>
          </cell>
        </row>
        <row r="1541">
          <cell r="A1541" t="str">
            <v>600618.SH</v>
          </cell>
        </row>
        <row r="1542">
          <cell r="A1542" t="str">
            <v>600619.SH</v>
          </cell>
        </row>
        <row r="1543">
          <cell r="A1543" t="str">
            <v>600620.SH</v>
          </cell>
        </row>
        <row r="1544">
          <cell r="A1544" t="str">
            <v>600621.SH</v>
          </cell>
        </row>
        <row r="1545">
          <cell r="A1545" t="str">
            <v>600622.SH</v>
          </cell>
        </row>
        <row r="1546">
          <cell r="A1546" t="str">
            <v>600623.SH</v>
          </cell>
        </row>
        <row r="1547">
          <cell r="A1547" t="str">
            <v>600624.SH</v>
          </cell>
        </row>
        <row r="1548">
          <cell r="A1548" t="str">
            <v>600626.SH</v>
          </cell>
        </row>
        <row r="1549">
          <cell r="A1549" t="str">
            <v>600628.SH</v>
          </cell>
        </row>
        <row r="1550">
          <cell r="A1550" t="str">
            <v>600629.SH</v>
          </cell>
        </row>
        <row r="1551">
          <cell r="A1551" t="str">
            <v>600630.SH</v>
          </cell>
        </row>
        <row r="1552">
          <cell r="A1552" t="str">
            <v>600631.SH</v>
          </cell>
        </row>
        <row r="1553">
          <cell r="A1553" t="str">
            <v>600633.SH</v>
          </cell>
        </row>
        <row r="1554">
          <cell r="A1554" t="str">
            <v>600634.SH</v>
          </cell>
        </row>
        <row r="1555">
          <cell r="A1555" t="str">
            <v>600635.SH</v>
          </cell>
        </row>
        <row r="1556">
          <cell r="A1556" t="str">
            <v>600636.SH</v>
          </cell>
        </row>
        <row r="1557">
          <cell r="A1557" t="str">
            <v>600637.SH</v>
          </cell>
        </row>
        <row r="1558">
          <cell r="A1558" t="str">
            <v>600638.SH</v>
          </cell>
        </row>
        <row r="1559">
          <cell r="A1559" t="str">
            <v>600639.SH</v>
          </cell>
        </row>
        <row r="1560">
          <cell r="A1560" t="str">
            <v>600640.SH</v>
          </cell>
        </row>
        <row r="1561">
          <cell r="A1561" t="str">
            <v>600641.SH</v>
          </cell>
        </row>
        <row r="1562">
          <cell r="A1562" t="str">
            <v>600642.SH</v>
          </cell>
        </row>
        <row r="1563">
          <cell r="A1563" t="str">
            <v>600643.SH</v>
          </cell>
        </row>
        <row r="1564">
          <cell r="A1564" t="str">
            <v>600644.SH</v>
          </cell>
        </row>
        <row r="1565">
          <cell r="A1565" t="str">
            <v>600645.SH</v>
          </cell>
        </row>
        <row r="1566">
          <cell r="A1566" t="str">
            <v>600647.SH</v>
          </cell>
        </row>
        <row r="1567">
          <cell r="A1567" t="str">
            <v>600648.SH</v>
          </cell>
        </row>
        <row r="1568">
          <cell r="A1568" t="str">
            <v>600649.SH</v>
          </cell>
        </row>
        <row r="1569">
          <cell r="A1569" t="str">
            <v>600650.SH</v>
          </cell>
        </row>
        <row r="1570">
          <cell r="A1570" t="str">
            <v>600651.SH</v>
          </cell>
        </row>
        <row r="1571">
          <cell r="A1571" t="str">
            <v>600652.SH</v>
          </cell>
        </row>
        <row r="1572">
          <cell r="A1572" t="str">
            <v>600653.SH</v>
          </cell>
        </row>
        <row r="1573">
          <cell r="A1573" t="str">
            <v>600654.SH</v>
          </cell>
        </row>
        <row r="1574">
          <cell r="A1574" t="str">
            <v>600655.SH</v>
          </cell>
        </row>
        <row r="1575">
          <cell r="A1575" t="str">
            <v>600656.SH</v>
          </cell>
        </row>
        <row r="1576">
          <cell r="A1576" t="str">
            <v>600657.SH</v>
          </cell>
        </row>
        <row r="1577">
          <cell r="A1577" t="str">
            <v>600658.SH</v>
          </cell>
        </row>
        <row r="1578">
          <cell r="A1578" t="str">
            <v>600660.SH</v>
          </cell>
        </row>
        <row r="1579">
          <cell r="A1579" t="str">
            <v>600661.SH</v>
          </cell>
        </row>
        <row r="1580">
          <cell r="A1580" t="str">
            <v>600662.SH</v>
          </cell>
        </row>
        <row r="1581">
          <cell r="A1581" t="str">
            <v>600663.SH</v>
          </cell>
        </row>
        <row r="1582">
          <cell r="A1582" t="str">
            <v>600664.SH</v>
          </cell>
        </row>
        <row r="1583">
          <cell r="A1583" t="str">
            <v>600665.SH</v>
          </cell>
        </row>
        <row r="1584">
          <cell r="A1584" t="str">
            <v>600666.SH</v>
          </cell>
        </row>
        <row r="1585">
          <cell r="A1585" t="str">
            <v>600667.SH</v>
          </cell>
        </row>
        <row r="1586">
          <cell r="A1586" t="str">
            <v>600668.SH</v>
          </cell>
        </row>
        <row r="1587">
          <cell r="A1587" t="str">
            <v>600671.SH</v>
          </cell>
        </row>
        <row r="1588">
          <cell r="A1588" t="str">
            <v>600673.SH</v>
          </cell>
        </row>
        <row r="1589">
          <cell r="A1589" t="str">
            <v>600674.SH</v>
          </cell>
        </row>
        <row r="1590">
          <cell r="A1590" t="str">
            <v>600675.SH</v>
          </cell>
        </row>
        <row r="1591">
          <cell r="A1591" t="str">
            <v>600676.SH</v>
          </cell>
        </row>
        <row r="1592">
          <cell r="A1592" t="str">
            <v>600677.SH</v>
          </cell>
        </row>
        <row r="1593">
          <cell r="A1593" t="str">
            <v>600678.SH</v>
          </cell>
        </row>
        <row r="1594">
          <cell r="A1594" t="str">
            <v>600679.SH</v>
          </cell>
        </row>
        <row r="1595">
          <cell r="A1595" t="str">
            <v>600680.SH</v>
          </cell>
        </row>
        <row r="1596">
          <cell r="A1596" t="str">
            <v>600681.SH</v>
          </cell>
        </row>
        <row r="1597">
          <cell r="A1597" t="str">
            <v>600682.SH</v>
          </cell>
        </row>
        <row r="1598">
          <cell r="A1598" t="str">
            <v>600683.SH</v>
          </cell>
        </row>
        <row r="1599">
          <cell r="A1599" t="str">
            <v>600684.SH</v>
          </cell>
        </row>
        <row r="1600">
          <cell r="A1600" t="str">
            <v>600685.SH</v>
          </cell>
        </row>
        <row r="1601">
          <cell r="A1601" t="str">
            <v>600686.SH</v>
          </cell>
        </row>
        <row r="1602">
          <cell r="A1602" t="str">
            <v>600687.SH</v>
          </cell>
        </row>
        <row r="1603">
          <cell r="A1603" t="str">
            <v>600688.SH</v>
          </cell>
        </row>
        <row r="1604">
          <cell r="A1604" t="str">
            <v>600689.SH</v>
          </cell>
        </row>
        <row r="1605">
          <cell r="A1605" t="str">
            <v>600690.SH</v>
          </cell>
        </row>
        <row r="1606">
          <cell r="A1606" t="str">
            <v>600691.SH</v>
          </cell>
        </row>
        <row r="1607">
          <cell r="A1607" t="str">
            <v>600692.SH</v>
          </cell>
        </row>
        <row r="1608">
          <cell r="A1608" t="str">
            <v>600693.SH</v>
          </cell>
        </row>
        <row r="1609">
          <cell r="A1609" t="str">
            <v>600694.SH</v>
          </cell>
        </row>
        <row r="1610">
          <cell r="A1610" t="str">
            <v>600695.SH</v>
          </cell>
        </row>
        <row r="1611">
          <cell r="A1611" t="str">
            <v>600696.SH</v>
          </cell>
        </row>
        <row r="1612">
          <cell r="A1612" t="str">
            <v>600697.SH</v>
          </cell>
        </row>
        <row r="1613">
          <cell r="A1613" t="str">
            <v>600698.SH</v>
          </cell>
        </row>
        <row r="1614">
          <cell r="A1614" t="str">
            <v>600699.SH</v>
          </cell>
        </row>
        <row r="1615">
          <cell r="A1615" t="str">
            <v>600701.SH</v>
          </cell>
        </row>
        <row r="1616">
          <cell r="A1616" t="str">
            <v>600702.SH</v>
          </cell>
        </row>
        <row r="1617">
          <cell r="A1617" t="str">
            <v>600703.SH</v>
          </cell>
        </row>
        <row r="1618">
          <cell r="A1618" t="str">
            <v>600704.SH</v>
          </cell>
        </row>
        <row r="1619">
          <cell r="A1619" t="str">
            <v>600705.SH</v>
          </cell>
        </row>
        <row r="1620">
          <cell r="A1620" t="str">
            <v>600706.SH</v>
          </cell>
        </row>
        <row r="1621">
          <cell r="A1621" t="str">
            <v>600707.SH</v>
          </cell>
        </row>
        <row r="1622">
          <cell r="A1622" t="str">
            <v>600708.SH</v>
          </cell>
        </row>
        <row r="1623">
          <cell r="A1623" t="str">
            <v>600710.SH</v>
          </cell>
        </row>
        <row r="1624">
          <cell r="A1624" t="str">
            <v>600711.SH</v>
          </cell>
        </row>
        <row r="1625">
          <cell r="A1625" t="str">
            <v>600712.SH</v>
          </cell>
        </row>
        <row r="1626">
          <cell r="A1626" t="str">
            <v>600713.SH</v>
          </cell>
        </row>
        <row r="1627">
          <cell r="A1627" t="str">
            <v>600714.SH</v>
          </cell>
        </row>
        <row r="1628">
          <cell r="A1628" t="str">
            <v>600715.SH</v>
          </cell>
        </row>
        <row r="1629">
          <cell r="A1629" t="str">
            <v>600716.SH</v>
          </cell>
        </row>
        <row r="1630">
          <cell r="A1630" t="str">
            <v>600717.SH</v>
          </cell>
        </row>
        <row r="1631">
          <cell r="A1631" t="str">
            <v>600718.SH</v>
          </cell>
        </row>
        <row r="1632">
          <cell r="A1632" t="str">
            <v>600719.SH</v>
          </cell>
        </row>
        <row r="1633">
          <cell r="A1633" t="str">
            <v>600720.SH</v>
          </cell>
        </row>
        <row r="1634">
          <cell r="A1634" t="str">
            <v>600721.SH</v>
          </cell>
        </row>
        <row r="1635">
          <cell r="A1635" t="str">
            <v>600722.SH</v>
          </cell>
        </row>
        <row r="1636">
          <cell r="A1636" t="str">
            <v>600723.SH</v>
          </cell>
        </row>
        <row r="1637">
          <cell r="A1637" t="str">
            <v>600724.SH</v>
          </cell>
        </row>
        <row r="1638">
          <cell r="A1638" t="str">
            <v>600725.SH</v>
          </cell>
        </row>
        <row r="1639">
          <cell r="A1639" t="str">
            <v>600726.SH</v>
          </cell>
        </row>
        <row r="1640">
          <cell r="A1640" t="str">
            <v>600727.SH</v>
          </cell>
        </row>
        <row r="1641">
          <cell r="A1641" t="str">
            <v>600728.SH</v>
          </cell>
        </row>
        <row r="1642">
          <cell r="A1642" t="str">
            <v>600729.SH</v>
          </cell>
        </row>
        <row r="1643">
          <cell r="A1643" t="str">
            <v>600730.SH</v>
          </cell>
        </row>
        <row r="1644">
          <cell r="A1644" t="str">
            <v>600731.SH</v>
          </cell>
        </row>
        <row r="1645">
          <cell r="A1645" t="str">
            <v>600732.SH</v>
          </cell>
        </row>
        <row r="1646">
          <cell r="A1646" t="str">
            <v>600733.SH</v>
          </cell>
        </row>
        <row r="1647">
          <cell r="A1647" t="str">
            <v>600734.SH</v>
          </cell>
        </row>
        <row r="1648">
          <cell r="A1648" t="str">
            <v>600735.SH</v>
          </cell>
        </row>
        <row r="1649">
          <cell r="A1649" t="str">
            <v>600736.SH</v>
          </cell>
        </row>
        <row r="1650">
          <cell r="A1650" t="str">
            <v>600737.SH</v>
          </cell>
        </row>
        <row r="1651">
          <cell r="A1651" t="str">
            <v>600738.SH</v>
          </cell>
        </row>
        <row r="1652">
          <cell r="A1652" t="str">
            <v>600739.SH</v>
          </cell>
        </row>
        <row r="1653">
          <cell r="A1653" t="str">
            <v>600740.SH</v>
          </cell>
        </row>
        <row r="1654">
          <cell r="A1654" t="str">
            <v>600741.SH</v>
          </cell>
        </row>
        <row r="1655">
          <cell r="A1655" t="str">
            <v>600742.SH</v>
          </cell>
        </row>
        <row r="1656">
          <cell r="A1656" t="str">
            <v>600743.SH</v>
          </cell>
        </row>
        <row r="1657">
          <cell r="A1657" t="str">
            <v>600744.SH</v>
          </cell>
        </row>
        <row r="1658">
          <cell r="A1658" t="str">
            <v>600745.SH</v>
          </cell>
        </row>
        <row r="1659">
          <cell r="A1659" t="str">
            <v>600746.SH</v>
          </cell>
        </row>
        <row r="1660">
          <cell r="A1660" t="str">
            <v>600747.SH</v>
          </cell>
        </row>
        <row r="1661">
          <cell r="A1661" t="str">
            <v>600748.SH</v>
          </cell>
        </row>
        <row r="1662">
          <cell r="A1662" t="str">
            <v>600749.SH</v>
          </cell>
        </row>
        <row r="1663">
          <cell r="A1663" t="str">
            <v>600750.SH</v>
          </cell>
        </row>
        <row r="1664">
          <cell r="A1664" t="str">
            <v>600751.SH</v>
          </cell>
        </row>
        <row r="1665">
          <cell r="A1665" t="str">
            <v>600753.SH</v>
          </cell>
        </row>
        <row r="1666">
          <cell r="A1666" t="str">
            <v>600754.SH</v>
          </cell>
        </row>
        <row r="1667">
          <cell r="A1667" t="str">
            <v>600755.SH</v>
          </cell>
        </row>
        <row r="1668">
          <cell r="A1668" t="str">
            <v>600756.SH</v>
          </cell>
        </row>
        <row r="1669">
          <cell r="A1669" t="str">
            <v>600757.SH</v>
          </cell>
        </row>
        <row r="1670">
          <cell r="A1670" t="str">
            <v>600758.SH</v>
          </cell>
        </row>
        <row r="1671">
          <cell r="A1671" t="str">
            <v>600759.SH</v>
          </cell>
        </row>
        <row r="1672">
          <cell r="A1672" t="str">
            <v>600760.SH</v>
          </cell>
        </row>
        <row r="1673">
          <cell r="A1673" t="str">
            <v>600761.SH</v>
          </cell>
        </row>
        <row r="1674">
          <cell r="A1674" t="str">
            <v>600763.SH</v>
          </cell>
        </row>
        <row r="1675">
          <cell r="A1675" t="str">
            <v>600764.SH</v>
          </cell>
        </row>
        <row r="1676">
          <cell r="A1676" t="str">
            <v>600765.SH</v>
          </cell>
        </row>
        <row r="1677">
          <cell r="A1677" t="str">
            <v>600766.SH</v>
          </cell>
        </row>
        <row r="1678">
          <cell r="A1678" t="str">
            <v>600767.SH</v>
          </cell>
        </row>
        <row r="1679">
          <cell r="A1679" t="str">
            <v>600768.SH</v>
          </cell>
        </row>
        <row r="1680">
          <cell r="A1680" t="str">
            <v>600769.SH</v>
          </cell>
        </row>
        <row r="1681">
          <cell r="A1681" t="str">
            <v>600770.SH</v>
          </cell>
        </row>
        <row r="1682">
          <cell r="A1682" t="str">
            <v>600771.SH</v>
          </cell>
        </row>
        <row r="1683">
          <cell r="A1683" t="str">
            <v>600773.SH</v>
          </cell>
        </row>
        <row r="1684">
          <cell r="A1684" t="str">
            <v>600774.SH</v>
          </cell>
        </row>
        <row r="1685">
          <cell r="A1685" t="str">
            <v>600775.SH</v>
          </cell>
        </row>
        <row r="1686">
          <cell r="A1686" t="str">
            <v>600776.SH</v>
          </cell>
        </row>
        <row r="1687">
          <cell r="A1687" t="str">
            <v>600777.SH</v>
          </cell>
        </row>
        <row r="1688">
          <cell r="A1688" t="str">
            <v>600778.SH</v>
          </cell>
        </row>
        <row r="1689">
          <cell r="A1689" t="str">
            <v>600779.SH</v>
          </cell>
        </row>
        <row r="1690">
          <cell r="A1690" t="str">
            <v>600780.SH</v>
          </cell>
        </row>
        <row r="1691">
          <cell r="A1691" t="str">
            <v>600781.SH</v>
          </cell>
        </row>
        <row r="1692">
          <cell r="A1692" t="str">
            <v>600782.SH</v>
          </cell>
        </row>
        <row r="1693">
          <cell r="A1693" t="str">
            <v>600783.SH</v>
          </cell>
        </row>
        <row r="1694">
          <cell r="A1694" t="str">
            <v>600784.SH</v>
          </cell>
        </row>
        <row r="1695">
          <cell r="A1695" t="str">
            <v>600785.SH</v>
          </cell>
        </row>
        <row r="1696">
          <cell r="A1696" t="str">
            <v>600787.SH</v>
          </cell>
        </row>
        <row r="1697">
          <cell r="A1697" t="str">
            <v>600789.SH</v>
          </cell>
        </row>
        <row r="1698">
          <cell r="A1698" t="str">
            <v>600790.SH</v>
          </cell>
        </row>
        <row r="1699">
          <cell r="A1699" t="str">
            <v>600791.SH</v>
          </cell>
        </row>
        <row r="1700">
          <cell r="A1700" t="str">
            <v>600792.SH</v>
          </cell>
        </row>
        <row r="1701">
          <cell r="A1701" t="str">
            <v>600793.SH</v>
          </cell>
        </row>
        <row r="1702">
          <cell r="A1702" t="str">
            <v>600794.SH</v>
          </cell>
        </row>
        <row r="1703">
          <cell r="A1703" t="str">
            <v>600795.SH</v>
          </cell>
        </row>
        <row r="1704">
          <cell r="A1704" t="str">
            <v>600796.SH</v>
          </cell>
        </row>
        <row r="1705">
          <cell r="A1705" t="str">
            <v>600797.SH</v>
          </cell>
        </row>
        <row r="1706">
          <cell r="A1706" t="str">
            <v>600798.SH</v>
          </cell>
        </row>
        <row r="1707">
          <cell r="A1707" t="str">
            <v>600800.SH</v>
          </cell>
        </row>
        <row r="1708">
          <cell r="A1708" t="str">
            <v>600801.SH</v>
          </cell>
        </row>
        <row r="1709">
          <cell r="A1709" t="str">
            <v>600802.SH</v>
          </cell>
        </row>
        <row r="1710">
          <cell r="A1710" t="str">
            <v>600803.SH</v>
          </cell>
        </row>
        <row r="1711">
          <cell r="A1711" t="str">
            <v>600804.SH</v>
          </cell>
        </row>
        <row r="1712">
          <cell r="A1712" t="str">
            <v>600805.SH</v>
          </cell>
        </row>
        <row r="1713">
          <cell r="A1713" t="str">
            <v>600806.SH</v>
          </cell>
        </row>
        <row r="1714">
          <cell r="A1714" t="str">
            <v>600807.SH</v>
          </cell>
        </row>
        <row r="1715">
          <cell r="A1715" t="str">
            <v>600808.SH</v>
          </cell>
        </row>
        <row r="1716">
          <cell r="A1716" t="str">
            <v>600809.SH</v>
          </cell>
        </row>
        <row r="1717">
          <cell r="A1717" t="str">
            <v>600810.SH</v>
          </cell>
        </row>
        <row r="1718">
          <cell r="A1718" t="str">
            <v>600811.SH</v>
          </cell>
        </row>
        <row r="1719">
          <cell r="A1719" t="str">
            <v>600812.SH</v>
          </cell>
        </row>
        <row r="1720">
          <cell r="A1720" t="str">
            <v>600814.SH</v>
          </cell>
        </row>
        <row r="1721">
          <cell r="A1721" t="str">
            <v>600815.SH</v>
          </cell>
        </row>
        <row r="1722">
          <cell r="A1722" t="str">
            <v>600816.SH</v>
          </cell>
        </row>
        <row r="1723">
          <cell r="A1723" t="str">
            <v>600817.SH</v>
          </cell>
        </row>
        <row r="1724">
          <cell r="A1724" t="str">
            <v>600818.SH</v>
          </cell>
        </row>
        <row r="1725">
          <cell r="A1725" t="str">
            <v>600819.SH</v>
          </cell>
        </row>
        <row r="1726">
          <cell r="A1726" t="str">
            <v>600820.SH</v>
          </cell>
        </row>
        <row r="1727">
          <cell r="A1727" t="str">
            <v>600821.SH</v>
          </cell>
        </row>
        <row r="1728">
          <cell r="A1728" t="str">
            <v>600822.SH</v>
          </cell>
        </row>
        <row r="1729">
          <cell r="A1729" t="str">
            <v>600823.SH</v>
          </cell>
        </row>
        <row r="1730">
          <cell r="A1730" t="str">
            <v>600824.SH</v>
          </cell>
        </row>
        <row r="1731">
          <cell r="A1731" t="str">
            <v>600825.SH</v>
          </cell>
        </row>
        <row r="1732">
          <cell r="A1732" t="str">
            <v>600826.SH</v>
          </cell>
        </row>
        <row r="1733">
          <cell r="A1733" t="str">
            <v>600827.SH</v>
          </cell>
        </row>
        <row r="1734">
          <cell r="A1734" t="str">
            <v>600828.SH</v>
          </cell>
        </row>
        <row r="1735">
          <cell r="A1735" t="str">
            <v>600829.SH</v>
          </cell>
        </row>
        <row r="1736">
          <cell r="A1736" t="str">
            <v>600830.SH</v>
          </cell>
        </row>
        <row r="1737">
          <cell r="A1737" t="str">
            <v>600831.SH</v>
          </cell>
        </row>
        <row r="1738">
          <cell r="A1738" t="str">
            <v>600832.SH</v>
          </cell>
        </row>
        <row r="1739">
          <cell r="A1739" t="str">
            <v>600833.SH</v>
          </cell>
        </row>
        <row r="1740">
          <cell r="A1740" t="str">
            <v>600834.SH</v>
          </cell>
        </row>
        <row r="1741">
          <cell r="A1741" t="str">
            <v>600835.SH</v>
          </cell>
        </row>
        <row r="1742">
          <cell r="A1742" t="str">
            <v>600836.SH</v>
          </cell>
        </row>
        <row r="1743">
          <cell r="A1743" t="str">
            <v>600837.SH</v>
          </cell>
        </row>
        <row r="1744">
          <cell r="A1744" t="str">
            <v>600838.SH</v>
          </cell>
        </row>
        <row r="1745">
          <cell r="A1745" t="str">
            <v>600839.SH</v>
          </cell>
        </row>
        <row r="1746">
          <cell r="A1746" t="str">
            <v>600841.SH</v>
          </cell>
        </row>
        <row r="1747">
          <cell r="A1747" t="str">
            <v>600843.SH</v>
          </cell>
        </row>
        <row r="1748">
          <cell r="A1748" t="str">
            <v>600844.SH</v>
          </cell>
        </row>
        <row r="1749">
          <cell r="A1749" t="str">
            <v>600845.SH</v>
          </cell>
        </row>
        <row r="1750">
          <cell r="A1750" t="str">
            <v>600846.SH</v>
          </cell>
        </row>
        <row r="1751">
          <cell r="A1751" t="str">
            <v>600847.SH</v>
          </cell>
        </row>
        <row r="1752">
          <cell r="A1752" t="str">
            <v>600848.SH</v>
          </cell>
        </row>
        <row r="1753">
          <cell r="A1753" t="str">
            <v>600850.SH</v>
          </cell>
        </row>
        <row r="1754">
          <cell r="A1754" t="str">
            <v>600851.SH</v>
          </cell>
        </row>
        <row r="1755">
          <cell r="A1755" t="str">
            <v>600853.SH</v>
          </cell>
        </row>
        <row r="1756">
          <cell r="A1756" t="str">
            <v>600854.SH</v>
          </cell>
        </row>
        <row r="1757">
          <cell r="A1757" t="str">
            <v>600855.SH</v>
          </cell>
        </row>
        <row r="1758">
          <cell r="A1758" t="str">
            <v>600856.SH</v>
          </cell>
        </row>
        <row r="1759">
          <cell r="A1759" t="str">
            <v>600857.SH</v>
          </cell>
        </row>
        <row r="1760">
          <cell r="A1760" t="str">
            <v>600858.SH</v>
          </cell>
        </row>
        <row r="1761">
          <cell r="A1761" t="str">
            <v>600859.SH</v>
          </cell>
        </row>
        <row r="1762">
          <cell r="A1762" t="str">
            <v>600860.SH</v>
          </cell>
        </row>
        <row r="1763">
          <cell r="A1763" t="str">
            <v>600861.SH</v>
          </cell>
        </row>
        <row r="1764">
          <cell r="A1764" t="str">
            <v>600862.SH</v>
          </cell>
        </row>
        <row r="1765">
          <cell r="A1765" t="str">
            <v>600863.SH</v>
          </cell>
        </row>
        <row r="1766">
          <cell r="A1766" t="str">
            <v>600864.SH</v>
          </cell>
        </row>
        <row r="1767">
          <cell r="A1767" t="str">
            <v>600865.SH</v>
          </cell>
        </row>
        <row r="1768">
          <cell r="A1768" t="str">
            <v>600866.SH</v>
          </cell>
        </row>
        <row r="1769">
          <cell r="A1769" t="str">
            <v>600867.SH</v>
          </cell>
        </row>
        <row r="1770">
          <cell r="A1770" t="str">
            <v>600868.SH</v>
          </cell>
        </row>
        <row r="1771">
          <cell r="A1771" t="str">
            <v>600869.SH</v>
          </cell>
        </row>
        <row r="1772">
          <cell r="A1772" t="str">
            <v>600870.SH</v>
          </cell>
        </row>
        <row r="1773">
          <cell r="A1773" t="str">
            <v>600871.SH</v>
          </cell>
        </row>
        <row r="1774">
          <cell r="A1774" t="str">
            <v>600872.SH</v>
          </cell>
        </row>
        <row r="1775">
          <cell r="A1775" t="str">
            <v>600873.SH</v>
          </cell>
        </row>
        <row r="1776">
          <cell r="A1776" t="str">
            <v>600874.SH</v>
          </cell>
        </row>
        <row r="1777">
          <cell r="A1777" t="str">
            <v>600875.SH</v>
          </cell>
        </row>
        <row r="1778">
          <cell r="A1778" t="str">
            <v>600876.SH</v>
          </cell>
        </row>
        <row r="1779">
          <cell r="A1779" t="str">
            <v>600877.SH</v>
          </cell>
        </row>
        <row r="1780">
          <cell r="A1780" t="str">
            <v>600879.SH</v>
          </cell>
        </row>
        <row r="1781">
          <cell r="A1781" t="str">
            <v>600880.SH</v>
          </cell>
        </row>
        <row r="1782">
          <cell r="A1782" t="str">
            <v>600881.SH</v>
          </cell>
        </row>
        <row r="1783">
          <cell r="A1783" t="str">
            <v>600882.SH</v>
          </cell>
        </row>
        <row r="1784">
          <cell r="A1784" t="str">
            <v>600883.SH</v>
          </cell>
        </row>
        <row r="1785">
          <cell r="A1785" t="str">
            <v>600884.SH</v>
          </cell>
        </row>
        <row r="1786">
          <cell r="A1786" t="str">
            <v>600885.SH</v>
          </cell>
        </row>
        <row r="1787">
          <cell r="A1787" t="str">
            <v>600886.SH</v>
          </cell>
        </row>
        <row r="1788">
          <cell r="A1788" t="str">
            <v>600887.SH</v>
          </cell>
        </row>
        <row r="1789">
          <cell r="A1789" t="str">
            <v>600888.SH</v>
          </cell>
        </row>
        <row r="1790">
          <cell r="A1790" t="str">
            <v>600889.SH</v>
          </cell>
        </row>
        <row r="1791">
          <cell r="A1791" t="str">
            <v>600890.SH</v>
          </cell>
        </row>
        <row r="1792">
          <cell r="A1792" t="str">
            <v>600891.SH</v>
          </cell>
        </row>
        <row r="1793">
          <cell r="A1793" t="str">
            <v>600892.SH</v>
          </cell>
        </row>
        <row r="1794">
          <cell r="A1794" t="str">
            <v>600893.SH</v>
          </cell>
        </row>
        <row r="1795">
          <cell r="A1795" t="str">
            <v>600894.SH</v>
          </cell>
        </row>
        <row r="1796">
          <cell r="A1796" t="str">
            <v>600895.SH</v>
          </cell>
        </row>
        <row r="1797">
          <cell r="A1797" t="str">
            <v>600896.SH</v>
          </cell>
        </row>
        <row r="1798">
          <cell r="A1798" t="str">
            <v>600897.SH</v>
          </cell>
        </row>
        <row r="1799">
          <cell r="A1799" t="str">
            <v>600898.SH</v>
          </cell>
        </row>
        <row r="1800">
          <cell r="A1800" t="str">
            <v>600900.SH</v>
          </cell>
        </row>
        <row r="1801">
          <cell r="A1801" t="str">
            <v>600960.SH</v>
          </cell>
        </row>
        <row r="1802">
          <cell r="A1802" t="str">
            <v>600961.SH</v>
          </cell>
        </row>
        <row r="1803">
          <cell r="A1803" t="str">
            <v>600962.SH</v>
          </cell>
        </row>
        <row r="1804">
          <cell r="A1804" t="str">
            <v>600963.SH</v>
          </cell>
        </row>
        <row r="1805">
          <cell r="A1805" t="str">
            <v>600965.SH</v>
          </cell>
        </row>
        <row r="1806">
          <cell r="A1806" t="str">
            <v>600966.SH</v>
          </cell>
        </row>
        <row r="1807">
          <cell r="A1807" t="str">
            <v>600967.SH</v>
          </cell>
        </row>
        <row r="1808">
          <cell r="A1808" t="str">
            <v>600969.SH</v>
          </cell>
        </row>
        <row r="1809">
          <cell r="A1809" t="str">
            <v>600970.SH</v>
          </cell>
        </row>
        <row r="1810">
          <cell r="A1810" t="str">
            <v>600971.SH</v>
          </cell>
        </row>
        <row r="1811">
          <cell r="A1811" t="str">
            <v>600973.SH</v>
          </cell>
        </row>
        <row r="1812">
          <cell r="A1812" t="str">
            <v>600975.SH</v>
          </cell>
        </row>
        <row r="1813">
          <cell r="A1813" t="str">
            <v>600976.SH</v>
          </cell>
        </row>
        <row r="1814">
          <cell r="A1814" t="str">
            <v>600978.SH</v>
          </cell>
        </row>
        <row r="1815">
          <cell r="A1815" t="str">
            <v>600979.SH</v>
          </cell>
        </row>
        <row r="1816">
          <cell r="A1816" t="str">
            <v>600980.SH</v>
          </cell>
        </row>
        <row r="1817">
          <cell r="A1817" t="str">
            <v>600981.SH</v>
          </cell>
        </row>
        <row r="1818">
          <cell r="A1818" t="str">
            <v>600982.SH</v>
          </cell>
        </row>
        <row r="1819">
          <cell r="A1819" t="str">
            <v>600983.SH</v>
          </cell>
        </row>
        <row r="1820">
          <cell r="A1820" t="str">
            <v>600984.SH</v>
          </cell>
        </row>
        <row r="1821">
          <cell r="A1821" t="str">
            <v>600985.SH</v>
          </cell>
        </row>
        <row r="1822">
          <cell r="A1822" t="str">
            <v>600986.SH</v>
          </cell>
        </row>
        <row r="1823">
          <cell r="A1823" t="str">
            <v>600987.SH</v>
          </cell>
        </row>
        <row r="1824">
          <cell r="A1824" t="str">
            <v>600988.SH</v>
          </cell>
        </row>
        <row r="1825">
          <cell r="A1825" t="str">
            <v>600990.SH</v>
          </cell>
        </row>
        <row r="1826">
          <cell r="A1826" t="str">
            <v>600991.SH</v>
          </cell>
        </row>
        <row r="1827">
          <cell r="A1827" t="str">
            <v>600992.SH</v>
          </cell>
        </row>
        <row r="1828">
          <cell r="A1828" t="str">
            <v>600993.SH</v>
          </cell>
        </row>
        <row r="1829">
          <cell r="A1829" t="str">
            <v>600995.SH</v>
          </cell>
        </row>
        <row r="1830">
          <cell r="A1830" t="str">
            <v>600997.SH</v>
          </cell>
        </row>
        <row r="1831">
          <cell r="A1831" t="str">
            <v>600999.SH</v>
          </cell>
        </row>
        <row r="1832">
          <cell r="A1832" t="str">
            <v>601000.SH</v>
          </cell>
        </row>
        <row r="1833">
          <cell r="A1833" t="str">
            <v>601001.SH</v>
          </cell>
        </row>
        <row r="1834">
          <cell r="A1834" t="str">
            <v>601002.SH</v>
          </cell>
        </row>
        <row r="1835">
          <cell r="A1835" t="str">
            <v>601003.SH</v>
          </cell>
        </row>
        <row r="1836">
          <cell r="A1836" t="str">
            <v>601005.SH</v>
          </cell>
        </row>
        <row r="1837">
          <cell r="A1837" t="str">
            <v>601006.SH</v>
          </cell>
        </row>
        <row r="1838">
          <cell r="A1838" t="str">
            <v>601007.SH</v>
          </cell>
        </row>
        <row r="1839">
          <cell r="A1839" t="str">
            <v>601008.SH</v>
          </cell>
        </row>
        <row r="1840">
          <cell r="A1840" t="str">
            <v>601009.SH</v>
          </cell>
        </row>
        <row r="1841">
          <cell r="A1841" t="str">
            <v>601088.SH</v>
          </cell>
        </row>
        <row r="1842">
          <cell r="A1842" t="str">
            <v>601099.SH</v>
          </cell>
        </row>
        <row r="1843">
          <cell r="A1843" t="str">
            <v>601101.SH</v>
          </cell>
        </row>
        <row r="1844">
          <cell r="A1844" t="str">
            <v>601106.SH</v>
          </cell>
        </row>
        <row r="1845">
          <cell r="A1845" t="str">
            <v>601107.SH</v>
          </cell>
        </row>
        <row r="1846">
          <cell r="A1846" t="str">
            <v>601111.SH</v>
          </cell>
        </row>
        <row r="1847">
          <cell r="A1847" t="str">
            <v>601117.SH</v>
          </cell>
        </row>
        <row r="1848">
          <cell r="A1848" t="str">
            <v>601139.SH</v>
          </cell>
        </row>
        <row r="1849">
          <cell r="A1849" t="str">
            <v>601158.SH</v>
          </cell>
        </row>
        <row r="1850">
          <cell r="A1850" t="str">
            <v>601166.SH</v>
          </cell>
        </row>
        <row r="1851">
          <cell r="A1851" t="str">
            <v>601168.SH</v>
          </cell>
        </row>
        <row r="1852">
          <cell r="A1852" t="str">
            <v>601169.SH</v>
          </cell>
        </row>
        <row r="1853">
          <cell r="A1853" t="str">
            <v>601179.SH</v>
          </cell>
        </row>
        <row r="1854">
          <cell r="A1854" t="str">
            <v>601186.SH</v>
          </cell>
        </row>
        <row r="1855">
          <cell r="A1855" t="str">
            <v>601188.SH</v>
          </cell>
        </row>
        <row r="1856">
          <cell r="A1856" t="str">
            <v>601268.SH</v>
          </cell>
        </row>
        <row r="1857">
          <cell r="A1857" t="str">
            <v>601288.SH</v>
          </cell>
        </row>
        <row r="1858">
          <cell r="A1858" t="str">
            <v>601299.SH</v>
          </cell>
        </row>
        <row r="1859">
          <cell r="A1859" t="str">
            <v>601318.SH</v>
          </cell>
        </row>
        <row r="1860">
          <cell r="A1860" t="str">
            <v>601328.SH</v>
          </cell>
        </row>
        <row r="1861">
          <cell r="A1861" t="str">
            <v>601333.SH</v>
          </cell>
        </row>
        <row r="1862">
          <cell r="A1862" t="str">
            <v>601369.SH</v>
          </cell>
        </row>
        <row r="1863">
          <cell r="A1863" t="str">
            <v>601390.SH</v>
          </cell>
        </row>
        <row r="1864">
          <cell r="A1864" t="str">
            <v>601398.SH</v>
          </cell>
        </row>
        <row r="1865">
          <cell r="A1865" t="str">
            <v>601518.SH</v>
          </cell>
        </row>
        <row r="1866">
          <cell r="A1866" t="str">
            <v>601588.SH</v>
          </cell>
        </row>
        <row r="1867">
          <cell r="A1867" t="str">
            <v>601600.SH</v>
          </cell>
        </row>
        <row r="1868">
          <cell r="A1868" t="str">
            <v>601601.SH</v>
          </cell>
        </row>
        <row r="1869">
          <cell r="A1869" t="str">
            <v>601607.SH</v>
          </cell>
        </row>
        <row r="1870">
          <cell r="A1870" t="str">
            <v>601618.SH</v>
          </cell>
        </row>
        <row r="1871">
          <cell r="A1871" t="str">
            <v>601628.SH</v>
          </cell>
        </row>
        <row r="1872">
          <cell r="A1872" t="str">
            <v>601666.SH</v>
          </cell>
        </row>
        <row r="1873">
          <cell r="A1873" t="str">
            <v>601668.SH</v>
          </cell>
        </row>
        <row r="1874">
          <cell r="A1874" t="str">
            <v>601678.SH</v>
          </cell>
        </row>
        <row r="1875">
          <cell r="A1875" t="str">
            <v>601688.SH</v>
          </cell>
        </row>
        <row r="1876">
          <cell r="A1876" t="str">
            <v>601699.SH</v>
          </cell>
        </row>
        <row r="1877">
          <cell r="A1877" t="str">
            <v>601717.SH</v>
          </cell>
        </row>
        <row r="1878">
          <cell r="A1878" t="str">
            <v>601727.SH</v>
          </cell>
        </row>
        <row r="1879">
          <cell r="A1879" t="str">
            <v>601766.SH</v>
          </cell>
        </row>
        <row r="1880">
          <cell r="A1880" t="str">
            <v>601788.SH</v>
          </cell>
        </row>
        <row r="1881">
          <cell r="A1881" t="str">
            <v>601801.SH</v>
          </cell>
        </row>
        <row r="1882">
          <cell r="A1882" t="str">
            <v>601808.SH</v>
          </cell>
        </row>
        <row r="1883">
          <cell r="A1883" t="str">
            <v>601857.SH</v>
          </cell>
        </row>
        <row r="1884">
          <cell r="A1884" t="str">
            <v>601866.SH</v>
          </cell>
        </row>
        <row r="1885">
          <cell r="A1885" t="str">
            <v>601872.SH</v>
          </cell>
        </row>
        <row r="1886">
          <cell r="A1886" t="str">
            <v>601877.SH</v>
          </cell>
        </row>
        <row r="1887">
          <cell r="A1887" t="str">
            <v>601888.SH</v>
          </cell>
        </row>
        <row r="1888">
          <cell r="A1888" t="str">
            <v>601898.SH</v>
          </cell>
        </row>
        <row r="1889">
          <cell r="A1889" t="str">
            <v>601899.SH</v>
          </cell>
        </row>
        <row r="1890">
          <cell r="A1890" t="str">
            <v>601918.SH</v>
          </cell>
        </row>
        <row r="1891">
          <cell r="A1891" t="str">
            <v>601919.SH</v>
          </cell>
        </row>
        <row r="1892">
          <cell r="A1892" t="str">
            <v>601939.SH</v>
          </cell>
        </row>
        <row r="1893">
          <cell r="A1893" t="str">
            <v>601958.SH</v>
          </cell>
        </row>
        <row r="1894">
          <cell r="A1894" t="str">
            <v>601988.SH</v>
          </cell>
        </row>
        <row r="1895">
          <cell r="A1895" t="str">
            <v>601989.SH</v>
          </cell>
        </row>
        <row r="1896">
          <cell r="A1896" t="str">
            <v>601991.SH</v>
          </cell>
        </row>
        <row r="1897">
          <cell r="A1897" t="str">
            <v>601998.SH</v>
          </cell>
        </row>
        <row r="1898">
          <cell r="A1898" t="str">
            <v>601999.SH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b_info_name"/>
      <definedName name="CB_ANAL_PTM"/>
      <definedName name="CB_ANAL_STRAIGHTBONDVALUE"/>
      <definedName name="CB_CLAUSE_CONVERSION2_SWAPSHAREPRICE"/>
      <definedName name="CB_DQ_STOCKPRECLOSE"/>
      <definedName name="CB_INFO_UNDERLYINGCODE"/>
      <definedName name="S_RISK_STDEVR24"/>
      <definedName name="S_RISK_STDEVR60"/>
      <definedName name="td"/>
      <definedName name="wset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99CC00">
            <a:alpha val="38000"/>
          </a:srgbClr>
        </a:solidFill>
        <a:ln w="9525" cap="flat" cmpd="sng" algn="ctr">
          <a:solidFill>
            <a:srgbClr val="99CCFF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99CC00">
            <a:alpha val="38000"/>
          </a:srgbClr>
        </a:solidFill>
        <a:ln w="9525" cap="flat" cmpd="sng" algn="ctr">
          <a:solidFill>
            <a:srgbClr val="99CCFF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0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8.w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oleObject" Target="../embeddings/oleObject5.bin"/><Relationship Id="rId17" Type="http://schemas.openxmlformats.org/officeDocument/2006/relationships/image" Target="../media/image10.emf"/><Relationship Id="rId2" Type="http://schemas.openxmlformats.org/officeDocument/2006/relationships/drawing" Target="../drawings/drawing3.xml"/><Relationship Id="rId16" Type="http://schemas.openxmlformats.org/officeDocument/2006/relationships/oleObject" Target="../embeddings/oleObject7.bin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7.wmf"/><Relationship Id="rId5" Type="http://schemas.openxmlformats.org/officeDocument/2006/relationships/image" Target="../media/image4.wmf"/><Relationship Id="rId15" Type="http://schemas.openxmlformats.org/officeDocument/2006/relationships/image" Target="../media/image9.w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6.wmf"/><Relationship Id="rId14" Type="http://schemas.openxmlformats.org/officeDocument/2006/relationships/oleObject" Target="../embeddings/oleObject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H31"/>
  <sheetViews>
    <sheetView showGridLines="0" tabSelected="1" zoomScaleNormal="100" workbookViewId="0">
      <selection activeCell="A51" sqref="A51"/>
    </sheetView>
  </sheetViews>
  <sheetFormatPr defaultColWidth="18.625" defaultRowHeight="12.6" customHeight="1" x14ac:dyDescent="0.2"/>
  <cols>
    <col min="1" max="1" width="5.625" style="1" customWidth="1"/>
    <col min="2" max="2" width="18.625" style="1"/>
    <col min="3" max="7" width="24.625" style="1" customWidth="1"/>
    <col min="8" max="8" width="6.25" style="1" customWidth="1"/>
    <col min="9" max="16384" width="18.625" style="1"/>
  </cols>
  <sheetData>
    <row r="2" spans="2:6" ht="16.5" customHeight="1" x14ac:dyDescent="0.2"/>
    <row r="5" spans="2:6" ht="12.6" customHeight="1" x14ac:dyDescent="0.2">
      <c r="B5" s="7" t="s">
        <v>0</v>
      </c>
      <c r="C5" s="21" t="str">
        <f>数据!$B$6</f>
        <v>110044.SH</v>
      </c>
    </row>
    <row r="6" spans="2:6" ht="12.6" customHeight="1" x14ac:dyDescent="0.2">
      <c r="B6" s="7" t="s">
        <v>1</v>
      </c>
      <c r="C6" s="10" t="str">
        <f>[2]!b_info_name(C5)</f>
        <v>广电转债</v>
      </c>
    </row>
    <row r="8" spans="2:6" ht="12.6" customHeight="1" x14ac:dyDescent="0.2">
      <c r="B8" s="7" t="s">
        <v>12</v>
      </c>
      <c r="C8" s="20">
        <v>2.5</v>
      </c>
      <c r="D8" s="29" t="s">
        <v>14</v>
      </c>
      <c r="E8" s="18" t="s">
        <v>13</v>
      </c>
    </row>
    <row r="9" spans="2:6" ht="12.6" customHeight="1" x14ac:dyDescent="0.2">
      <c r="B9" s="7" t="s">
        <v>2</v>
      </c>
      <c r="C9" s="21">
        <v>30</v>
      </c>
      <c r="D9" s="29"/>
      <c r="E9" s="14">
        <f ca="1">IF(E8="最近24个月历史数据",[2]!S_RISK_STDEVR24(C12,C11),[2]!S_RISK_STDEVR60(C12,C11))</f>
        <v>26.638940811157227</v>
      </c>
      <c r="F9" s="27"/>
    </row>
    <row r="10" spans="2:6" ht="12.6" customHeight="1" x14ac:dyDescent="0.2">
      <c r="B10" s="11"/>
      <c r="C10" s="11"/>
      <c r="D10" s="11"/>
      <c r="E10" s="12"/>
    </row>
    <row r="11" spans="2:6" ht="12.6" customHeight="1" x14ac:dyDescent="0.2">
      <c r="B11" s="7" t="s">
        <v>3</v>
      </c>
      <c r="C11" s="13">
        <f ca="1">TODAY()</f>
        <v>45399</v>
      </c>
      <c r="D11" s="7" t="s">
        <v>15</v>
      </c>
      <c r="E11" s="14">
        <f ca="1">IF([2]!CB_CLAUSE_CONVERSION2_SWAPSHAREPRICE(C5,C11)=0,"自定义(请在F11输入)", [2]!CB_CLAUSE_CONVERSION2_SWAPSHAREPRICE(C5,C11))</f>
        <v>6.82</v>
      </c>
      <c r="F11" s="21"/>
    </row>
    <row r="12" spans="2:6" ht="12.6" customHeight="1" x14ac:dyDescent="0.2">
      <c r="B12" s="7" t="s">
        <v>4</v>
      </c>
      <c r="C12" s="15" t="str">
        <f>[2]!CB_INFO_UNDERLYINGCODE(C5)</f>
        <v>600831.SH</v>
      </c>
      <c r="D12" s="7" t="s">
        <v>16</v>
      </c>
      <c r="E12" s="14">
        <f ca="1">IF([2]!CB_DQ_STOCKPRECLOSE(C5,C11,1)=0,"自定义(请在F12输入)", [2]!CB_DQ_STOCKPRECLOSE(C5,C11,1))</f>
        <v>3.48</v>
      </c>
      <c r="F12" s="21"/>
    </row>
    <row r="13" spans="2:6" ht="12.6" customHeight="1" x14ac:dyDescent="0.2">
      <c r="B13" s="7" t="s">
        <v>6</v>
      </c>
      <c r="C13" s="10">
        <f ca="1">IF([2]!CB_ANAL_PTM(C5,C11,2)=0,"自定义(请在C14输入)",[2]!CB_ANAL_PTM(C5,C11,2))</f>
        <v>0.1940000057220459</v>
      </c>
      <c r="D13" s="7" t="s">
        <v>17</v>
      </c>
      <c r="E13" s="16">
        <f ca="1">IF([2]!CB_ANAL_STRAIGHTBONDVALUE(C5,[2]!td(C11-1))=0,"自定义(请在F13输入)",[2]!CB_ANAL_STRAIGHTBONDVALUE(C5,[2]!td(C11-1)))</f>
        <v>107.55459999999999</v>
      </c>
      <c r="F13" s="21"/>
    </row>
    <row r="14" spans="2:6" ht="12.6" customHeight="1" x14ac:dyDescent="0.2">
      <c r="B14" s="11"/>
      <c r="C14" s="21"/>
      <c r="D14" s="11"/>
      <c r="E14" s="11"/>
    </row>
    <row r="15" spans="2:6" ht="12.6" customHeight="1" x14ac:dyDescent="0.2">
      <c r="B15" s="7" t="s">
        <v>7</v>
      </c>
      <c r="C15" s="7" t="s">
        <v>8</v>
      </c>
      <c r="D15" s="7" t="s">
        <v>9</v>
      </c>
      <c r="E15" s="7" t="s">
        <v>10</v>
      </c>
    </row>
    <row r="16" spans="2:6" ht="12.6" customHeight="1" x14ac:dyDescent="0.2">
      <c r="B16" s="7" t="s">
        <v>11</v>
      </c>
      <c r="C16" s="17">
        <f ca="1">BOPM(IF(E12="自定义(请在F12输入)",F12,[2]!CB_DQ_STOCKPRECLOSE(C5,C11,1)),IF(E11="自定义(请在F11输入)",F11,[2]!CB_CLAUSE_CONVERSION2_SWAPSHAREPRICE(C5,C11)),IF(C13="自定义(请在C14输入)",C14,[2]!CB_ANAL_PTM(C5,C11,2)),C8/100,IF(E8="自定义(请在F9输入)",F9/100,E9/100),C9)*(100/IF(E11="自定义(请在F11输入)",F11,[2]!CB_CLAUSE_CONVERSION2_SWAPSHAREPRICE(C5,C11)))+IF(E13="自定义(请在F13输入)",F13,[2]!CB_ANAL_STRAIGHTBONDVALUE(C5,[2]!td(C11-1)))</f>
        <v>107.55459999999999</v>
      </c>
      <c r="D16" s="17">
        <f>IF(RTD("wdf.rtq",,C5,"5")&lt;&gt;0,RTD("wdf.rtq",,C5,"5"),RTD("wdf.rtq",,C5,"1"))</f>
        <v>184.99100000000001</v>
      </c>
      <c r="E16" s="17">
        <f ca="1">C16-D16</f>
        <v>-77.43640000000002</v>
      </c>
    </row>
    <row r="18" spans="2:8" ht="12.6" customHeight="1" x14ac:dyDescent="0.2">
      <c r="D18" s="5"/>
      <c r="E18" s="5"/>
      <c r="F18" s="5"/>
    </row>
    <row r="19" spans="2:8" ht="12.6" customHeight="1" x14ac:dyDescent="0.2">
      <c r="D19" s="5"/>
      <c r="E19" s="5"/>
      <c r="F19" s="5"/>
    </row>
    <row r="20" spans="2:8" ht="12.6" customHeight="1" x14ac:dyDescent="0.2">
      <c r="D20" s="5"/>
      <c r="E20" s="5"/>
      <c r="F20" s="5"/>
    </row>
    <row r="21" spans="2:8" ht="12.6" customHeight="1" x14ac:dyDescent="0.2">
      <c r="D21" s="5"/>
      <c r="E21" s="5"/>
      <c r="F21" s="5"/>
    </row>
    <row r="23" spans="2:8" ht="12.6" customHeight="1" x14ac:dyDescent="0.2">
      <c r="B23" s="8"/>
      <c r="C23" s="8"/>
      <c r="D23" s="8"/>
      <c r="E23" s="19" t="s">
        <v>18</v>
      </c>
      <c r="F23" s="19"/>
      <c r="G23" s="19"/>
    </row>
    <row r="24" spans="2:8" ht="12.6" customHeight="1" x14ac:dyDescent="0.2">
      <c r="B24" s="7" t="s">
        <v>5</v>
      </c>
      <c r="C24" s="22">
        <v>50</v>
      </c>
      <c r="D24" s="22">
        <v>55</v>
      </c>
      <c r="E24" s="22">
        <v>60</v>
      </c>
      <c r="F24" s="22">
        <v>65</v>
      </c>
      <c r="G24" s="22">
        <v>70</v>
      </c>
      <c r="H24" s="6"/>
    </row>
    <row r="25" spans="2:8" ht="12.6" customHeight="1" x14ac:dyDescent="0.2">
      <c r="B25" s="19">
        <f ca="1">IF(E12="自定义(请在F12输入)",F12-1.5,E12-1.5 )</f>
        <v>1.98</v>
      </c>
      <c r="C25" s="9">
        <f ca="1">BOPM(B25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107.55459999999999</v>
      </c>
      <c r="D25" s="9">
        <f ca="1">BOPM(B25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107.55460000770049</v>
      </c>
      <c r="E25" s="9">
        <f ca="1">BOPM(B25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107.55460061571273</v>
      </c>
      <c r="F25" s="9">
        <f ca="1">BOPM(B25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107.55460708287035</v>
      </c>
      <c r="G25" s="9">
        <f ca="1">BOPM(B25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107.55463279464982</v>
      </c>
      <c r="H25" s="6"/>
    </row>
    <row r="26" spans="2:8" ht="12.6" customHeight="1" x14ac:dyDescent="0.2">
      <c r="B26" s="19">
        <f ca="1">IF(E12="自定义(请在F12输入)",F12-1,E12-1 )</f>
        <v>2.48</v>
      </c>
      <c r="C26" s="9">
        <f ca="1">BOPM(B26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107.55460113472425</v>
      </c>
      <c r="D26" s="9">
        <f ca="1">BOPM(B26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107.55461641814966</v>
      </c>
      <c r="E26" s="9">
        <f ca="1">BOPM(B26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107.55472459491332</v>
      </c>
      <c r="F26" s="9">
        <f ca="1">BOPM(B26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107.55517835684789</v>
      </c>
      <c r="G26" s="9">
        <f ca="1">BOPM(B26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107.55607373523064</v>
      </c>
      <c r="H26" s="6"/>
    </row>
    <row r="27" spans="2:8" ht="12.6" customHeight="1" x14ac:dyDescent="0.2">
      <c r="B27" s="19">
        <f ca="1">IF(E12="自定义(请在F12输入)",F12-0.5,E12-0.5 )</f>
        <v>2.98</v>
      </c>
      <c r="C27" s="9">
        <f ca="1">BOPM(B27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107.55474798358779</v>
      </c>
      <c r="D27" s="9">
        <f ca="1">BOPM(B27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107.55546575763486</v>
      </c>
      <c r="E27" s="9">
        <f ca="1">BOPM(B27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107.55795179986372</v>
      </c>
      <c r="F27" s="9">
        <f ca="1">BOPM(B27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107.56271661062991</v>
      </c>
      <c r="G27" s="9">
        <f ca="1">BOPM(B27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107.5746787599147</v>
      </c>
      <c r="H27" s="6"/>
    </row>
    <row r="28" spans="2:8" ht="12.6" customHeight="1" x14ac:dyDescent="0.2">
      <c r="B28" s="19">
        <f ca="1">IF(E12="自定义(请在F12输入)",F12,E12)</f>
        <v>3.48</v>
      </c>
      <c r="C28" s="9">
        <f ca="1">BOPM(B28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107.55860047073639</v>
      </c>
      <c r="D28" s="9">
        <f ca="1">BOPM(B28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107.56756758314761</v>
      </c>
      <c r="E28" s="9">
        <f ca="1">BOPM(B28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107.58168070872134</v>
      </c>
      <c r="F28" s="9">
        <f ca="1">BOPM(B28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107.61720300299277</v>
      </c>
      <c r="G28" s="9">
        <f ca="1">BOPM(B28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107.65504015144113</v>
      </c>
      <c r="H28" s="6"/>
    </row>
    <row r="29" spans="2:8" ht="12.6" customHeight="1" x14ac:dyDescent="0.2">
      <c r="B29" s="19">
        <f ca="1">IF(E12="自定义(请在F12输入)",F12+0.5,E12+0.5 )</f>
        <v>3.98</v>
      </c>
      <c r="C29" s="9">
        <f ca="1">BOPM(B29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107.59341021043275</v>
      </c>
      <c r="D29" s="9">
        <f ca="1">BOPM(B29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107.63172748197361</v>
      </c>
      <c r="E29" s="9">
        <f ca="1">BOPM(B29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107.71204657011302</v>
      </c>
      <c r="F29" s="9">
        <f ca="1">BOPM(B29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107.79992416682549</v>
      </c>
      <c r="G29" s="9">
        <f ca="1">BOPM(B29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107.94002438742108</v>
      </c>
      <c r="H29" s="6"/>
    </row>
    <row r="30" spans="2:8" ht="12.6" customHeight="1" x14ac:dyDescent="0.2">
      <c r="B30" s="19">
        <f ca="1">IF(E12="自定义(请在F12输入)",F12+1,E12+1 )</f>
        <v>4.4800000000000004</v>
      </c>
      <c r="C30" s="9">
        <f ca="1">BOPM(B30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107.74730767328415</v>
      </c>
      <c r="D30" s="9">
        <f ca="1">BOPM(B30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107.8925234938811</v>
      </c>
      <c r="E30" s="9">
        <f ca="1">BOPM(B30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108.07876034751216</v>
      </c>
      <c r="F30" s="9">
        <f ca="1">BOPM(B30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108.26383687075453</v>
      </c>
      <c r="G30" s="9">
        <f ca="1">BOPM(B30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108.57313672416936</v>
      </c>
      <c r="H30" s="6"/>
    </row>
    <row r="31" spans="2:8" ht="12.6" customHeight="1" x14ac:dyDescent="0.2">
      <c r="B31" s="19">
        <f ca="1">IF(E12="自定义(请在F12输入)",F12+1.5,E12+1.5 )</f>
        <v>4.9800000000000004</v>
      </c>
      <c r="C31" s="9">
        <f ca="1">BOPM(B31,IF(E11="自定义(请在F11输入)",F11,[2]!CB_CLAUSE_CONVERSION2_SWAPSHAREPRICE(C5,C11)),IF(C13="自定义(请在C14输入)",C14,[2]!CB_ANAL_PTM(C5,C11,2)),C8/100,C24/100,C9)*(100/IF(E11="自定义(请在F11输入)",F11,[2]!CB_CLAUSE_CONVERSION2_SWAPSHAREPRICE(C5,C11)))+IF(E13="自定义(请在F13输入)",F13,[2]!CB_ANAL_STRAIGHTBONDVALUE(C5,[2]!td(C11-1)))</f>
        <v>108.20913922153866</v>
      </c>
      <c r="D31" s="9">
        <f ca="1">BOPM(B31,IF(E11="自定义(请在F11输入)",F11,[2]!CB_CLAUSE_CONVERSION2_SWAPSHAREPRICE(C5,C11)),IF(C13="自定义(请在C14输入)",C14,[2]!CB_ANAL_PTM(C5,C11,2)),C8/100,D24/100,C9)*(100/IF(E11="自定义(请在F11输入)",F11,[2]!CB_CLAUSE_CONVERSION2_SWAPSHAREPRICE(C5,C11)))+IF(E13="自定义(请在F13输入)",F13,[2]!CB_ANAL_STRAIGHTBONDVALUE(C5,[2]!td(C11-1)))</f>
        <v>108.5476620678936</v>
      </c>
      <c r="E31" s="9">
        <f ca="1">BOPM(B31,IF(E11="自定义(请在F11输入)",F11,[2]!CB_CLAUSE_CONVERSION2_SWAPSHAREPRICE(C5,C11)),IF(C13="自定义(请在C14输入)",C14,[2]!CB_ANAL_PTM(C5,C11,2)),C8/100,E24/100,C9)*(100/IF(E11="自定义(请在F11输入)",F11,[2]!CB_CLAUSE_CONVERSION2_SWAPSHAREPRICE(C5,C11)))+IF(E13="自定义(请在F13输入)",F13,[2]!CB_ANAL_STRAIGHTBONDVALUE(C5,[2]!td(C11-1)))</f>
        <v>108.88411273787327</v>
      </c>
      <c r="F31" s="9">
        <f ca="1">BOPM(B31,IF(E11="自定义(请在F11输入)",F11,[2]!CB_CLAUSE_CONVERSION2_SWAPSHAREPRICE(C5,C11)),IF(C13="自定义(请在C14输入)",C14,[2]!CB_ANAL_PTM(C5,C11,2)),C8/100,F24/100,C9)*(100/IF(E11="自定义(请在F11输入)",F11,[2]!CB_CLAUSE_CONVERSION2_SWAPSHAREPRICE(C5,C11)))+IF(E13="自定义(请在F13输入)",F13,[2]!CB_ANAL_STRAIGHTBONDVALUE(C5,[2]!td(C11-1)))</f>
        <v>109.21889219978253</v>
      </c>
      <c r="G31" s="9">
        <f ca="1">BOPM(B31,IF(E11="自定义(请在F11输入)",F11,[2]!CB_CLAUSE_CONVERSION2_SWAPSHAREPRICE(C5,C11)),IF(C13="自定义(请在C14输入)",C14,[2]!CB_ANAL_PTM(C5,C11,2)),C8/100,G24/100,C9)*(100/IF(E11="自定义(请在F11输入)",F11,[2]!CB_CLAUSE_CONVERSION2_SWAPSHAREPRICE(C5,C11)))+IF(E13="自定义(请在F13输入)",F13,[2]!CB_ANAL_STRAIGHTBONDVALUE(C5,[2]!td(C11-1)))</f>
        <v>109.71324068724194</v>
      </c>
      <c r="H31" s="6"/>
    </row>
  </sheetData>
  <protectedRanges>
    <protectedRange sqref="C5" name="区域1"/>
    <protectedRange sqref="C5 C11 E8 C8 C9" name="区域2"/>
  </protectedRanges>
  <mergeCells count="1">
    <mergeCell ref="D8:D9"/>
  </mergeCells>
  <phoneticPr fontId="1" type="noConversion"/>
  <conditionalFormatting sqref="E10">
    <cfRule type="expression" dxfId="0" priority="2" stopIfTrue="1">
      <formula>E8="自定义(请在E12输入)"</formula>
    </cfRule>
  </conditionalFormatting>
  <dataValidations count="1">
    <dataValidation type="list" allowBlank="1" showInputMessage="1" showErrorMessage="1" sqref="E8">
      <formula1>"自定义(请在F9输入),最近24个月历史数据,最近60个月历史数据"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7" r:id="rId4" name="CommandButton1">
          <controlPr defaultSize="0" autoLine="0" r:id="rId5">
            <anchor moveWithCells="1">
              <from>
                <xdr:col>1</xdr:col>
                <xdr:colOff>19050</xdr:colOff>
                <xdr:row>18</xdr:row>
                <xdr:rowOff>19050</xdr:rowOff>
              </from>
              <to>
                <xdr:col>1</xdr:col>
                <xdr:colOff>1104900</xdr:colOff>
                <xdr:row>20</xdr:row>
                <xdr:rowOff>85725</xdr:rowOff>
              </to>
            </anchor>
          </controlPr>
        </control>
      </mc:Choice>
      <mc:Fallback>
        <control shapeId="104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15"/>
  <sheetData>
    <row r="1" spans="1:1" ht="17.25" x14ac:dyDescent="0.3">
      <c r="A1" s="28" t="s">
        <v>1174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>
      <selection activeCell="O24" sqref="O24"/>
    </sheetView>
  </sheetViews>
  <sheetFormatPr defaultRowHeight="14.25" x14ac:dyDescent="0.15"/>
  <sheetData/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601"/>
  <sheetViews>
    <sheetView workbookViewId="0">
      <selection activeCell="E7" sqref="E7"/>
    </sheetView>
  </sheetViews>
  <sheetFormatPr defaultRowHeight="14.25" x14ac:dyDescent="0.15"/>
  <cols>
    <col min="1" max="1" width="12.625" customWidth="1"/>
    <col min="2" max="2" width="15" customWidth="1"/>
    <col min="3" max="3" width="43.875" customWidth="1"/>
    <col min="4" max="4" width="10.625" customWidth="1"/>
  </cols>
  <sheetData>
    <row r="1" spans="1:4" x14ac:dyDescent="0.15">
      <c r="A1" s="2" t="s">
        <v>19</v>
      </c>
      <c r="B1" s="23" t="s">
        <v>20</v>
      </c>
      <c r="C1" s="2"/>
      <c r="D1" s="2"/>
    </row>
    <row r="2" spans="1:4" x14ac:dyDescent="0.15">
      <c r="A2" s="2" t="s">
        <v>21</v>
      </c>
      <c r="B2" s="26" t="str">
        <f ca="1">TEXT(TODAY(),"yyyymmdd")</f>
        <v>20240417</v>
      </c>
      <c r="C2" s="2"/>
      <c r="D2" s="2"/>
    </row>
    <row r="3" spans="1:4" x14ac:dyDescent="0.15">
      <c r="A3" s="2" t="s">
        <v>22</v>
      </c>
      <c r="B3" s="24" t="s">
        <v>23</v>
      </c>
      <c r="C3" s="2"/>
      <c r="D3" s="2"/>
    </row>
    <row r="4" spans="1:4" x14ac:dyDescent="0.15">
      <c r="A4" s="2" t="s">
        <v>24</v>
      </c>
      <c r="B4" s="24" t="s">
        <v>26</v>
      </c>
      <c r="C4" s="2" t="s">
        <v>28</v>
      </c>
      <c r="D4" s="2"/>
    </row>
    <row r="5" spans="1:4" x14ac:dyDescent="0.15">
      <c r="A5" s="2" t="s">
        <v>25</v>
      </c>
      <c r="B5" s="2" t="s">
        <v>27</v>
      </c>
      <c r="C5" s="2" t="s">
        <v>29</v>
      </c>
      <c r="D5" s="2"/>
    </row>
    <row r="6" spans="1:4" x14ac:dyDescent="0.15">
      <c r="A6" s="25">
        <f ca="1">[2]!wset("sectorconstituent","date="&amp;B2,"sectorId="&amp;B3,"field=date,wind_code,sec_name","cols=3;rows=596")</f>
        <v>45399</v>
      </c>
      <c r="B6" s="24" t="s">
        <v>1175</v>
      </c>
      <c r="C6" s="24" t="s">
        <v>1176</v>
      </c>
      <c r="D6" s="2"/>
    </row>
    <row r="7" spans="1:4" x14ac:dyDescent="0.15">
      <c r="A7" s="25">
        <v>45399</v>
      </c>
      <c r="B7" s="24" t="s">
        <v>30</v>
      </c>
      <c r="C7" s="24" t="s">
        <v>31</v>
      </c>
      <c r="D7" s="2"/>
    </row>
    <row r="8" spans="1:4" x14ac:dyDescent="0.15">
      <c r="A8" s="25">
        <v>45399</v>
      </c>
      <c r="B8" s="24" t="s">
        <v>32</v>
      </c>
      <c r="C8" s="24" t="s">
        <v>33</v>
      </c>
      <c r="D8" s="2"/>
    </row>
    <row r="9" spans="1:4" x14ac:dyDescent="0.15">
      <c r="A9" s="25">
        <v>45399</v>
      </c>
      <c r="B9" s="24" t="s">
        <v>34</v>
      </c>
      <c r="C9" s="24" t="s">
        <v>35</v>
      </c>
      <c r="D9" s="2"/>
    </row>
    <row r="10" spans="1:4" x14ac:dyDescent="0.15">
      <c r="A10" s="25">
        <v>45399</v>
      </c>
      <c r="B10" s="24" t="s">
        <v>36</v>
      </c>
      <c r="C10" s="24" t="s">
        <v>37</v>
      </c>
      <c r="D10" s="2"/>
    </row>
    <row r="11" spans="1:4" x14ac:dyDescent="0.15">
      <c r="A11" s="25">
        <v>45399</v>
      </c>
      <c r="B11" s="24" t="s">
        <v>38</v>
      </c>
      <c r="C11" s="24" t="s">
        <v>39</v>
      </c>
      <c r="D11" s="2"/>
    </row>
    <row r="12" spans="1:4" x14ac:dyDescent="0.15">
      <c r="A12" s="25">
        <v>45399</v>
      </c>
      <c r="B12" s="24" t="s">
        <v>40</v>
      </c>
      <c r="C12" s="24" t="s">
        <v>41</v>
      </c>
      <c r="D12" s="2"/>
    </row>
    <row r="13" spans="1:4" x14ac:dyDescent="0.15">
      <c r="A13" s="25">
        <v>45399</v>
      </c>
      <c r="B13" s="24" t="s">
        <v>42</v>
      </c>
      <c r="C13" s="24" t="s">
        <v>43</v>
      </c>
      <c r="D13" s="2"/>
    </row>
    <row r="14" spans="1:4" x14ac:dyDescent="0.15">
      <c r="A14" s="25">
        <v>45399</v>
      </c>
      <c r="B14" s="24" t="s">
        <v>44</v>
      </c>
      <c r="C14" s="24" t="s">
        <v>45</v>
      </c>
      <c r="D14" s="2"/>
    </row>
    <row r="15" spans="1:4" x14ac:dyDescent="0.15">
      <c r="A15" s="25">
        <v>45399</v>
      </c>
      <c r="B15" s="24" t="s">
        <v>46</v>
      </c>
      <c r="C15" s="24" t="s">
        <v>47</v>
      </c>
    </row>
    <row r="16" spans="1:4" x14ac:dyDescent="0.15">
      <c r="A16" s="25">
        <v>45399</v>
      </c>
      <c r="B16" s="24" t="s">
        <v>48</v>
      </c>
      <c r="C16" s="24" t="s">
        <v>49</v>
      </c>
    </row>
    <row r="17" spans="1:5" x14ac:dyDescent="0.15">
      <c r="A17" s="25">
        <v>45399</v>
      </c>
      <c r="B17" s="24" t="s">
        <v>50</v>
      </c>
      <c r="C17" s="24" t="s">
        <v>51</v>
      </c>
    </row>
    <row r="18" spans="1:5" x14ac:dyDescent="0.15">
      <c r="A18" s="25">
        <v>45399</v>
      </c>
      <c r="B18" s="24" t="s">
        <v>52</v>
      </c>
      <c r="C18" s="24" t="s">
        <v>53</v>
      </c>
    </row>
    <row r="19" spans="1:5" x14ac:dyDescent="0.15">
      <c r="A19" s="25">
        <v>45399</v>
      </c>
      <c r="B19" s="24" t="s">
        <v>54</v>
      </c>
      <c r="C19" s="24" t="s">
        <v>55</v>
      </c>
    </row>
    <row r="20" spans="1:5" x14ac:dyDescent="0.15">
      <c r="A20" s="25">
        <v>45399</v>
      </c>
      <c r="B20" s="24" t="s">
        <v>56</v>
      </c>
      <c r="C20" s="24" t="s">
        <v>57</v>
      </c>
    </row>
    <row r="21" spans="1:5" x14ac:dyDescent="0.15">
      <c r="A21" s="25">
        <v>45399</v>
      </c>
      <c r="B21" s="24" t="s">
        <v>58</v>
      </c>
      <c r="C21" s="24" t="s">
        <v>59</v>
      </c>
    </row>
    <row r="22" spans="1:5" x14ac:dyDescent="0.15">
      <c r="A22" s="25">
        <v>45399</v>
      </c>
      <c r="B22" s="24" t="s">
        <v>60</v>
      </c>
      <c r="C22" s="24" t="s">
        <v>61</v>
      </c>
    </row>
    <row r="23" spans="1:5" x14ac:dyDescent="0.15">
      <c r="A23" s="25">
        <v>45399</v>
      </c>
      <c r="B23" s="24" t="s">
        <v>62</v>
      </c>
      <c r="C23" s="24" t="s">
        <v>63</v>
      </c>
    </row>
    <row r="24" spans="1:5" x14ac:dyDescent="0.15">
      <c r="A24" s="25">
        <v>45399</v>
      </c>
      <c r="B24" s="24" t="s">
        <v>64</v>
      </c>
      <c r="C24" s="24" t="s">
        <v>65</v>
      </c>
    </row>
    <row r="25" spans="1:5" x14ac:dyDescent="0.15">
      <c r="A25" s="25">
        <v>45399</v>
      </c>
      <c r="B25" s="24" t="s">
        <v>66</v>
      </c>
      <c r="C25" s="24" t="s">
        <v>67</v>
      </c>
    </row>
    <row r="26" spans="1:5" x14ac:dyDescent="0.15">
      <c r="A26" s="25">
        <v>45399</v>
      </c>
      <c r="B26" s="24" t="s">
        <v>68</v>
      </c>
      <c r="C26" s="24" t="s">
        <v>69</v>
      </c>
    </row>
    <row r="27" spans="1:5" x14ac:dyDescent="0.15">
      <c r="A27" s="25">
        <v>45399</v>
      </c>
      <c r="B27" s="24" t="s">
        <v>70</v>
      </c>
      <c r="C27" s="24" t="s">
        <v>71</v>
      </c>
      <c r="D27" s="3"/>
      <c r="E27" s="4"/>
    </row>
    <row r="28" spans="1:5" x14ac:dyDescent="0.15">
      <c r="A28" s="25">
        <v>45399</v>
      </c>
      <c r="B28" s="24" t="s">
        <v>72</v>
      </c>
      <c r="C28" s="24" t="s">
        <v>73</v>
      </c>
      <c r="D28" s="4"/>
      <c r="E28" s="4"/>
    </row>
    <row r="29" spans="1:5" x14ac:dyDescent="0.15">
      <c r="A29" s="25">
        <v>45399</v>
      </c>
      <c r="B29" s="24" t="s">
        <v>74</v>
      </c>
      <c r="C29" s="24" t="s">
        <v>75</v>
      </c>
      <c r="D29" s="4"/>
      <c r="E29" s="4"/>
    </row>
    <row r="30" spans="1:5" x14ac:dyDescent="0.15">
      <c r="A30" s="25">
        <v>45399</v>
      </c>
      <c r="B30" s="24" t="s">
        <v>76</v>
      </c>
      <c r="C30" s="24" t="s">
        <v>77</v>
      </c>
    </row>
    <row r="31" spans="1:5" x14ac:dyDescent="0.15">
      <c r="A31" s="25">
        <v>45399</v>
      </c>
      <c r="B31" s="24" t="s">
        <v>78</v>
      </c>
      <c r="C31" s="24" t="s">
        <v>79</v>
      </c>
    </row>
    <row r="32" spans="1:5" x14ac:dyDescent="0.15">
      <c r="A32" s="25">
        <v>45399</v>
      </c>
      <c r="B32" s="24" t="s">
        <v>80</v>
      </c>
      <c r="C32" s="24" t="s">
        <v>81</v>
      </c>
    </row>
    <row r="33" spans="1:3" x14ac:dyDescent="0.15">
      <c r="A33" s="25">
        <v>45399</v>
      </c>
      <c r="B33" s="24" t="s">
        <v>82</v>
      </c>
      <c r="C33" s="24" t="s">
        <v>83</v>
      </c>
    </row>
    <row r="34" spans="1:3" x14ac:dyDescent="0.15">
      <c r="A34" s="25">
        <v>45399</v>
      </c>
      <c r="B34" s="24" t="s">
        <v>713</v>
      </c>
      <c r="C34" s="24" t="s">
        <v>714</v>
      </c>
    </row>
    <row r="35" spans="1:3" x14ac:dyDescent="0.15">
      <c r="A35" s="25">
        <v>45399</v>
      </c>
      <c r="B35" s="24" t="s">
        <v>715</v>
      </c>
      <c r="C35" s="24" t="s">
        <v>716</v>
      </c>
    </row>
    <row r="36" spans="1:3" x14ac:dyDescent="0.15">
      <c r="A36" s="25">
        <v>45399</v>
      </c>
      <c r="B36" s="24" t="s">
        <v>717</v>
      </c>
      <c r="C36" s="24" t="s">
        <v>718</v>
      </c>
    </row>
    <row r="37" spans="1:3" x14ac:dyDescent="0.15">
      <c r="A37" s="25">
        <v>45399</v>
      </c>
      <c r="B37" s="24" t="s">
        <v>719</v>
      </c>
      <c r="C37" s="24" t="s">
        <v>720</v>
      </c>
    </row>
    <row r="38" spans="1:3" x14ac:dyDescent="0.15">
      <c r="A38" s="25">
        <v>45399</v>
      </c>
      <c r="B38" s="24" t="s">
        <v>721</v>
      </c>
      <c r="C38" s="24" t="s">
        <v>722</v>
      </c>
    </row>
    <row r="39" spans="1:3" x14ac:dyDescent="0.15">
      <c r="A39" s="25">
        <v>45399</v>
      </c>
      <c r="B39" s="24" t="s">
        <v>723</v>
      </c>
      <c r="C39" s="24" t="s">
        <v>724</v>
      </c>
    </row>
    <row r="40" spans="1:3" x14ac:dyDescent="0.15">
      <c r="A40" s="25">
        <v>45399</v>
      </c>
      <c r="B40" s="24" t="s">
        <v>725</v>
      </c>
      <c r="C40" s="24" t="s">
        <v>726</v>
      </c>
    </row>
    <row r="41" spans="1:3" x14ac:dyDescent="0.15">
      <c r="A41" s="25">
        <v>45399</v>
      </c>
      <c r="B41" s="24" t="s">
        <v>84</v>
      </c>
      <c r="C41" s="24" t="s">
        <v>85</v>
      </c>
    </row>
    <row r="42" spans="1:3" x14ac:dyDescent="0.15">
      <c r="A42" s="25">
        <v>45399</v>
      </c>
      <c r="B42" s="24" t="s">
        <v>86</v>
      </c>
      <c r="C42" s="24" t="s">
        <v>87</v>
      </c>
    </row>
    <row r="43" spans="1:3" x14ac:dyDescent="0.15">
      <c r="A43" s="25">
        <v>45399</v>
      </c>
      <c r="B43" s="24" t="s">
        <v>88</v>
      </c>
      <c r="C43" s="24" t="s">
        <v>89</v>
      </c>
    </row>
    <row r="44" spans="1:3" x14ac:dyDescent="0.15">
      <c r="A44" s="25">
        <v>45399</v>
      </c>
      <c r="B44" s="24" t="s">
        <v>90</v>
      </c>
      <c r="C44" s="24" t="s">
        <v>91</v>
      </c>
    </row>
    <row r="45" spans="1:3" x14ac:dyDescent="0.15">
      <c r="A45" s="25">
        <v>45399</v>
      </c>
      <c r="B45" s="24" t="s">
        <v>727</v>
      </c>
      <c r="C45" s="24" t="s">
        <v>728</v>
      </c>
    </row>
    <row r="46" spans="1:3" x14ac:dyDescent="0.15">
      <c r="A46" s="25">
        <v>45399</v>
      </c>
      <c r="B46" s="24" t="s">
        <v>729</v>
      </c>
      <c r="C46" s="24" t="s">
        <v>730</v>
      </c>
    </row>
    <row r="47" spans="1:3" x14ac:dyDescent="0.15">
      <c r="A47" s="25">
        <v>45399</v>
      </c>
      <c r="B47" s="24" t="s">
        <v>92</v>
      </c>
      <c r="C47" s="24" t="s">
        <v>93</v>
      </c>
    </row>
    <row r="48" spans="1:3" x14ac:dyDescent="0.15">
      <c r="A48" s="25">
        <v>45399</v>
      </c>
      <c r="B48" s="24" t="s">
        <v>94</v>
      </c>
      <c r="C48" s="24" t="s">
        <v>95</v>
      </c>
    </row>
    <row r="49" spans="1:3" x14ac:dyDescent="0.15">
      <c r="A49" s="25">
        <v>45399</v>
      </c>
      <c r="B49" s="24" t="s">
        <v>96</v>
      </c>
      <c r="C49" s="24" t="s">
        <v>97</v>
      </c>
    </row>
    <row r="50" spans="1:3" x14ac:dyDescent="0.15">
      <c r="A50" s="25">
        <v>45399</v>
      </c>
      <c r="B50" s="24" t="s">
        <v>98</v>
      </c>
      <c r="C50" s="24" t="s">
        <v>99</v>
      </c>
    </row>
    <row r="51" spans="1:3" x14ac:dyDescent="0.15">
      <c r="A51" s="25">
        <v>45399</v>
      </c>
      <c r="B51" s="24" t="s">
        <v>100</v>
      </c>
      <c r="C51" s="24" t="s">
        <v>101</v>
      </c>
    </row>
    <row r="52" spans="1:3" x14ac:dyDescent="0.15">
      <c r="A52" s="25">
        <v>45399</v>
      </c>
      <c r="B52" s="24" t="s">
        <v>102</v>
      </c>
      <c r="C52" s="24" t="s">
        <v>702</v>
      </c>
    </row>
    <row r="53" spans="1:3" x14ac:dyDescent="0.15">
      <c r="A53" s="25">
        <v>45399</v>
      </c>
      <c r="B53" s="24" t="s">
        <v>731</v>
      </c>
      <c r="C53" s="24" t="s">
        <v>732</v>
      </c>
    </row>
    <row r="54" spans="1:3" x14ac:dyDescent="0.15">
      <c r="A54" s="25">
        <v>45399</v>
      </c>
      <c r="B54" s="24" t="s">
        <v>733</v>
      </c>
      <c r="C54" s="24" t="s">
        <v>734</v>
      </c>
    </row>
    <row r="55" spans="1:3" x14ac:dyDescent="0.15">
      <c r="A55" s="25">
        <v>45399</v>
      </c>
      <c r="B55" s="24" t="s">
        <v>735</v>
      </c>
      <c r="C55" s="24" t="s">
        <v>736</v>
      </c>
    </row>
    <row r="56" spans="1:3" x14ac:dyDescent="0.15">
      <c r="A56" s="25">
        <v>45399</v>
      </c>
      <c r="B56" s="24" t="s">
        <v>737</v>
      </c>
      <c r="C56" s="24" t="s">
        <v>738</v>
      </c>
    </row>
    <row r="57" spans="1:3" x14ac:dyDescent="0.15">
      <c r="A57" s="25">
        <v>45399</v>
      </c>
      <c r="B57" s="24" t="s">
        <v>739</v>
      </c>
      <c r="C57" s="24" t="s">
        <v>740</v>
      </c>
    </row>
    <row r="58" spans="1:3" x14ac:dyDescent="0.15">
      <c r="A58" s="25">
        <v>45399</v>
      </c>
      <c r="B58" s="24" t="s">
        <v>741</v>
      </c>
      <c r="C58" s="24" t="s">
        <v>742</v>
      </c>
    </row>
    <row r="59" spans="1:3" x14ac:dyDescent="0.15">
      <c r="A59" s="25">
        <v>45399</v>
      </c>
      <c r="B59" s="24" t="s">
        <v>743</v>
      </c>
      <c r="C59" s="24" t="s">
        <v>744</v>
      </c>
    </row>
    <row r="60" spans="1:3" x14ac:dyDescent="0.15">
      <c r="A60" s="25">
        <v>45399</v>
      </c>
      <c r="B60" s="24" t="s">
        <v>745</v>
      </c>
      <c r="C60" s="24" t="s">
        <v>746</v>
      </c>
    </row>
    <row r="61" spans="1:3" x14ac:dyDescent="0.15">
      <c r="A61" s="25">
        <v>45399</v>
      </c>
      <c r="B61" s="24" t="s">
        <v>747</v>
      </c>
      <c r="C61" s="24" t="s">
        <v>748</v>
      </c>
    </row>
    <row r="62" spans="1:3" x14ac:dyDescent="0.15">
      <c r="A62" s="25">
        <v>45399</v>
      </c>
      <c r="B62" s="24" t="s">
        <v>749</v>
      </c>
      <c r="C62" s="24" t="s">
        <v>750</v>
      </c>
    </row>
    <row r="63" spans="1:3" x14ac:dyDescent="0.15">
      <c r="A63" s="25">
        <v>45399</v>
      </c>
      <c r="B63" s="24" t="s">
        <v>751</v>
      </c>
      <c r="C63" s="24" t="s">
        <v>752</v>
      </c>
    </row>
    <row r="64" spans="1:3" x14ac:dyDescent="0.15">
      <c r="A64" s="25">
        <v>45399</v>
      </c>
      <c r="B64" s="24" t="s">
        <v>1177</v>
      </c>
      <c r="C64" s="24" t="s">
        <v>1178</v>
      </c>
    </row>
    <row r="65" spans="1:3" x14ac:dyDescent="0.15">
      <c r="A65" s="25">
        <v>45399</v>
      </c>
      <c r="B65" s="24" t="s">
        <v>1179</v>
      </c>
      <c r="C65" s="24" t="s">
        <v>1180</v>
      </c>
    </row>
    <row r="66" spans="1:3" x14ac:dyDescent="0.15">
      <c r="A66" s="25">
        <v>45399</v>
      </c>
      <c r="B66" s="24" t="s">
        <v>103</v>
      </c>
      <c r="C66" s="24" t="s">
        <v>104</v>
      </c>
    </row>
    <row r="67" spans="1:3" x14ac:dyDescent="0.15">
      <c r="A67" s="25">
        <v>45399</v>
      </c>
      <c r="B67" s="24" t="s">
        <v>105</v>
      </c>
      <c r="C67" s="24" t="s">
        <v>106</v>
      </c>
    </row>
    <row r="68" spans="1:3" x14ac:dyDescent="0.15">
      <c r="A68" s="25">
        <v>45399</v>
      </c>
      <c r="B68" s="24" t="s">
        <v>107</v>
      </c>
      <c r="C68" s="24" t="s">
        <v>108</v>
      </c>
    </row>
    <row r="69" spans="1:3" x14ac:dyDescent="0.15">
      <c r="A69" s="25">
        <v>45399</v>
      </c>
      <c r="B69" s="24" t="s">
        <v>109</v>
      </c>
      <c r="C69" s="24" t="s">
        <v>110</v>
      </c>
    </row>
    <row r="70" spans="1:3" x14ac:dyDescent="0.15">
      <c r="A70" s="25">
        <v>45399</v>
      </c>
      <c r="B70" s="24" t="s">
        <v>111</v>
      </c>
      <c r="C70" s="24" t="s">
        <v>112</v>
      </c>
    </row>
    <row r="71" spans="1:3" x14ac:dyDescent="0.15">
      <c r="A71" s="25">
        <v>45399</v>
      </c>
      <c r="B71" s="24" t="s">
        <v>113</v>
      </c>
      <c r="C71" s="24" t="s">
        <v>114</v>
      </c>
    </row>
    <row r="72" spans="1:3" x14ac:dyDescent="0.15">
      <c r="A72" s="25">
        <v>45399</v>
      </c>
      <c r="B72" s="24" t="s">
        <v>115</v>
      </c>
      <c r="C72" s="24" t="s">
        <v>116</v>
      </c>
    </row>
    <row r="73" spans="1:3" x14ac:dyDescent="0.15">
      <c r="A73" s="25">
        <v>45399</v>
      </c>
      <c r="B73" s="24" t="s">
        <v>117</v>
      </c>
      <c r="C73" s="24" t="s">
        <v>118</v>
      </c>
    </row>
    <row r="74" spans="1:3" x14ac:dyDescent="0.15">
      <c r="A74" s="25">
        <v>45399</v>
      </c>
      <c r="B74" s="24" t="s">
        <v>119</v>
      </c>
      <c r="C74" s="24" t="s">
        <v>120</v>
      </c>
    </row>
    <row r="75" spans="1:3" x14ac:dyDescent="0.15">
      <c r="A75" s="25">
        <v>45399</v>
      </c>
      <c r="B75" s="24" t="s">
        <v>121</v>
      </c>
      <c r="C75" s="24" t="s">
        <v>122</v>
      </c>
    </row>
    <row r="76" spans="1:3" x14ac:dyDescent="0.15">
      <c r="A76" s="25">
        <v>45399</v>
      </c>
      <c r="B76" s="24" t="s">
        <v>123</v>
      </c>
      <c r="C76" s="24" t="s">
        <v>124</v>
      </c>
    </row>
    <row r="77" spans="1:3" x14ac:dyDescent="0.15">
      <c r="A77" s="25">
        <v>45399</v>
      </c>
      <c r="B77" s="24" t="s">
        <v>125</v>
      </c>
      <c r="C77" s="24" t="s">
        <v>126</v>
      </c>
    </row>
    <row r="78" spans="1:3" x14ac:dyDescent="0.15">
      <c r="A78" s="25">
        <v>45399</v>
      </c>
      <c r="B78" s="24" t="s">
        <v>127</v>
      </c>
      <c r="C78" s="24" t="s">
        <v>128</v>
      </c>
    </row>
    <row r="79" spans="1:3" x14ac:dyDescent="0.15">
      <c r="A79" s="25">
        <v>45399</v>
      </c>
      <c r="B79" s="24" t="s">
        <v>129</v>
      </c>
      <c r="C79" s="24" t="s">
        <v>130</v>
      </c>
    </row>
    <row r="80" spans="1:3" x14ac:dyDescent="0.15">
      <c r="A80" s="25">
        <v>45399</v>
      </c>
      <c r="B80" s="24" t="s">
        <v>131</v>
      </c>
      <c r="C80" s="24" t="s">
        <v>132</v>
      </c>
    </row>
    <row r="81" spans="1:3" x14ac:dyDescent="0.15">
      <c r="A81" s="25">
        <v>45399</v>
      </c>
      <c r="B81" s="24" t="s">
        <v>133</v>
      </c>
      <c r="C81" s="24" t="s">
        <v>134</v>
      </c>
    </row>
    <row r="82" spans="1:3" x14ac:dyDescent="0.15">
      <c r="A82" s="25">
        <v>45399</v>
      </c>
      <c r="B82" s="24" t="s">
        <v>135</v>
      </c>
      <c r="C82" s="24" t="s">
        <v>136</v>
      </c>
    </row>
    <row r="83" spans="1:3" x14ac:dyDescent="0.15">
      <c r="A83" s="25">
        <v>45399</v>
      </c>
      <c r="B83" s="24" t="s">
        <v>137</v>
      </c>
      <c r="C83" s="24" t="s">
        <v>138</v>
      </c>
    </row>
    <row r="84" spans="1:3" x14ac:dyDescent="0.15">
      <c r="A84" s="25">
        <v>45399</v>
      </c>
      <c r="B84" s="24" t="s">
        <v>139</v>
      </c>
      <c r="C84" s="24" t="s">
        <v>140</v>
      </c>
    </row>
    <row r="85" spans="1:3" x14ac:dyDescent="0.15">
      <c r="A85" s="25">
        <v>45399</v>
      </c>
      <c r="B85" s="24" t="s">
        <v>141</v>
      </c>
      <c r="C85" s="24" t="s">
        <v>142</v>
      </c>
    </row>
    <row r="86" spans="1:3" x14ac:dyDescent="0.15">
      <c r="A86" s="25">
        <v>45399</v>
      </c>
      <c r="B86" s="24" t="s">
        <v>143</v>
      </c>
      <c r="C86" s="24" t="s">
        <v>144</v>
      </c>
    </row>
    <row r="87" spans="1:3" x14ac:dyDescent="0.15">
      <c r="A87" s="25">
        <v>45399</v>
      </c>
      <c r="B87" s="24" t="s">
        <v>145</v>
      </c>
      <c r="C87" s="24" t="s">
        <v>146</v>
      </c>
    </row>
    <row r="88" spans="1:3" x14ac:dyDescent="0.15">
      <c r="A88" s="25">
        <v>45399</v>
      </c>
      <c r="B88" s="24" t="s">
        <v>147</v>
      </c>
      <c r="C88" s="24" t="s">
        <v>148</v>
      </c>
    </row>
    <row r="89" spans="1:3" x14ac:dyDescent="0.15">
      <c r="A89" s="25">
        <v>45399</v>
      </c>
      <c r="B89" s="24" t="s">
        <v>149</v>
      </c>
      <c r="C89" s="24" t="s">
        <v>150</v>
      </c>
    </row>
    <row r="90" spans="1:3" x14ac:dyDescent="0.15">
      <c r="A90" s="25">
        <v>45399</v>
      </c>
      <c r="B90" s="24" t="s">
        <v>151</v>
      </c>
      <c r="C90" s="24" t="s">
        <v>152</v>
      </c>
    </row>
    <row r="91" spans="1:3" x14ac:dyDescent="0.15">
      <c r="A91" s="25">
        <v>45399</v>
      </c>
      <c r="B91" s="24" t="s">
        <v>684</v>
      </c>
      <c r="C91" s="24" t="s">
        <v>685</v>
      </c>
    </row>
    <row r="92" spans="1:3" x14ac:dyDescent="0.15">
      <c r="A92" s="25">
        <v>45399</v>
      </c>
      <c r="B92" s="24" t="s">
        <v>753</v>
      </c>
      <c r="C92" s="24" t="s">
        <v>754</v>
      </c>
    </row>
    <row r="93" spans="1:3" x14ac:dyDescent="0.15">
      <c r="A93" s="25">
        <v>45399</v>
      </c>
      <c r="B93" s="24" t="s">
        <v>755</v>
      </c>
      <c r="C93" s="24" t="s">
        <v>756</v>
      </c>
    </row>
    <row r="94" spans="1:3" x14ac:dyDescent="0.15">
      <c r="A94" s="25">
        <v>45399</v>
      </c>
      <c r="B94" s="24" t="s">
        <v>757</v>
      </c>
      <c r="C94" s="24" t="s">
        <v>758</v>
      </c>
    </row>
    <row r="95" spans="1:3" x14ac:dyDescent="0.15">
      <c r="A95" s="25">
        <v>45399</v>
      </c>
      <c r="B95" s="24" t="s">
        <v>759</v>
      </c>
      <c r="C95" s="24" t="s">
        <v>760</v>
      </c>
    </row>
    <row r="96" spans="1:3" x14ac:dyDescent="0.15">
      <c r="A96" s="25">
        <v>45399</v>
      </c>
      <c r="B96" s="24" t="s">
        <v>761</v>
      </c>
      <c r="C96" s="24" t="s">
        <v>762</v>
      </c>
    </row>
    <row r="97" spans="1:3" x14ac:dyDescent="0.15">
      <c r="A97" s="25">
        <v>45399</v>
      </c>
      <c r="B97" s="24" t="s">
        <v>763</v>
      </c>
      <c r="C97" s="24" t="s">
        <v>764</v>
      </c>
    </row>
    <row r="98" spans="1:3" x14ac:dyDescent="0.15">
      <c r="A98" s="25">
        <v>45399</v>
      </c>
      <c r="B98" s="24" t="s">
        <v>1181</v>
      </c>
      <c r="C98" s="24" t="s">
        <v>1182</v>
      </c>
    </row>
    <row r="99" spans="1:3" x14ac:dyDescent="0.15">
      <c r="A99" s="25">
        <v>45399</v>
      </c>
      <c r="B99" s="24" t="s">
        <v>153</v>
      </c>
      <c r="C99" s="24" t="s">
        <v>154</v>
      </c>
    </row>
    <row r="100" spans="1:3" x14ac:dyDescent="0.15">
      <c r="A100" s="25">
        <v>45399</v>
      </c>
      <c r="B100" s="24" t="s">
        <v>155</v>
      </c>
      <c r="C100" s="24" t="s">
        <v>156</v>
      </c>
    </row>
    <row r="101" spans="1:3" x14ac:dyDescent="0.15">
      <c r="A101" s="25">
        <v>45399</v>
      </c>
      <c r="B101" s="24" t="s">
        <v>157</v>
      </c>
      <c r="C101" s="24" t="s">
        <v>158</v>
      </c>
    </row>
    <row r="102" spans="1:3" x14ac:dyDescent="0.15">
      <c r="A102" s="25">
        <v>45399</v>
      </c>
      <c r="B102" s="24" t="s">
        <v>159</v>
      </c>
      <c r="C102" s="24" t="s">
        <v>160</v>
      </c>
    </row>
    <row r="103" spans="1:3" x14ac:dyDescent="0.15">
      <c r="A103" s="25">
        <v>45399</v>
      </c>
      <c r="B103" s="24" t="s">
        <v>161</v>
      </c>
      <c r="C103" s="24" t="s">
        <v>162</v>
      </c>
    </row>
    <row r="104" spans="1:3" x14ac:dyDescent="0.15">
      <c r="A104" s="25">
        <v>45399</v>
      </c>
      <c r="B104" s="24" t="s">
        <v>163</v>
      </c>
      <c r="C104" s="24" t="s">
        <v>164</v>
      </c>
    </row>
    <row r="105" spans="1:3" x14ac:dyDescent="0.15">
      <c r="A105" s="25">
        <v>45399</v>
      </c>
      <c r="B105" s="24" t="s">
        <v>165</v>
      </c>
      <c r="C105" s="24" t="s">
        <v>166</v>
      </c>
    </row>
    <row r="106" spans="1:3" x14ac:dyDescent="0.15">
      <c r="A106" s="25">
        <v>45399</v>
      </c>
      <c r="B106" s="24" t="s">
        <v>167</v>
      </c>
      <c r="C106" s="24" t="s">
        <v>168</v>
      </c>
    </row>
    <row r="107" spans="1:3" x14ac:dyDescent="0.15">
      <c r="A107" s="25">
        <v>45399</v>
      </c>
      <c r="B107" s="24" t="s">
        <v>169</v>
      </c>
      <c r="C107" s="24" t="s">
        <v>170</v>
      </c>
    </row>
    <row r="108" spans="1:3" x14ac:dyDescent="0.15">
      <c r="A108" s="25">
        <v>45399</v>
      </c>
      <c r="B108" s="24" t="s">
        <v>171</v>
      </c>
      <c r="C108" s="24" t="s">
        <v>172</v>
      </c>
    </row>
    <row r="109" spans="1:3" x14ac:dyDescent="0.15">
      <c r="A109" s="25">
        <v>45399</v>
      </c>
      <c r="B109" s="24" t="s">
        <v>173</v>
      </c>
      <c r="C109" s="24" t="s">
        <v>174</v>
      </c>
    </row>
    <row r="110" spans="1:3" x14ac:dyDescent="0.15">
      <c r="A110" s="25">
        <v>45399</v>
      </c>
      <c r="B110" s="24" t="s">
        <v>175</v>
      </c>
      <c r="C110" s="24" t="s">
        <v>176</v>
      </c>
    </row>
    <row r="111" spans="1:3" x14ac:dyDescent="0.15">
      <c r="A111" s="25">
        <v>45399</v>
      </c>
      <c r="B111" s="24" t="s">
        <v>177</v>
      </c>
      <c r="C111" s="24" t="s">
        <v>178</v>
      </c>
    </row>
    <row r="112" spans="1:3" x14ac:dyDescent="0.15">
      <c r="A112" s="25">
        <v>45399</v>
      </c>
      <c r="B112" s="24" t="s">
        <v>179</v>
      </c>
      <c r="C112" s="24" t="s">
        <v>180</v>
      </c>
    </row>
    <row r="113" spans="1:3" x14ac:dyDescent="0.15">
      <c r="A113" s="25">
        <v>45399</v>
      </c>
      <c r="B113" s="24" t="s">
        <v>181</v>
      </c>
      <c r="C113" s="24" t="s">
        <v>182</v>
      </c>
    </row>
    <row r="114" spans="1:3" x14ac:dyDescent="0.15">
      <c r="A114" s="25">
        <v>45399</v>
      </c>
      <c r="B114" s="24" t="s">
        <v>183</v>
      </c>
      <c r="C114" s="24" t="s">
        <v>184</v>
      </c>
    </row>
    <row r="115" spans="1:3" x14ac:dyDescent="0.15">
      <c r="A115" s="25">
        <v>45399</v>
      </c>
      <c r="B115" s="24" t="s">
        <v>185</v>
      </c>
      <c r="C115" s="24" t="s">
        <v>186</v>
      </c>
    </row>
    <row r="116" spans="1:3" x14ac:dyDescent="0.15">
      <c r="A116" s="25">
        <v>45399</v>
      </c>
      <c r="B116" s="24" t="s">
        <v>187</v>
      </c>
      <c r="C116" s="24" t="s">
        <v>188</v>
      </c>
    </row>
    <row r="117" spans="1:3" x14ac:dyDescent="0.15">
      <c r="A117" s="25">
        <v>45399</v>
      </c>
      <c r="B117" s="24" t="s">
        <v>189</v>
      </c>
      <c r="C117" s="24" t="s">
        <v>190</v>
      </c>
    </row>
    <row r="118" spans="1:3" x14ac:dyDescent="0.15">
      <c r="A118" s="25">
        <v>45399</v>
      </c>
      <c r="B118" s="24" t="s">
        <v>191</v>
      </c>
      <c r="C118" s="24" t="s">
        <v>192</v>
      </c>
    </row>
    <row r="119" spans="1:3" x14ac:dyDescent="0.15">
      <c r="A119" s="25">
        <v>45399</v>
      </c>
      <c r="B119" s="24" t="s">
        <v>193</v>
      </c>
      <c r="C119" s="24" t="s">
        <v>194</v>
      </c>
    </row>
    <row r="120" spans="1:3" x14ac:dyDescent="0.15">
      <c r="A120" s="25">
        <v>45399</v>
      </c>
      <c r="B120" s="24" t="s">
        <v>195</v>
      </c>
      <c r="C120" s="24" t="s">
        <v>196</v>
      </c>
    </row>
    <row r="121" spans="1:3" x14ac:dyDescent="0.15">
      <c r="A121" s="25">
        <v>45399</v>
      </c>
      <c r="B121" s="24" t="s">
        <v>197</v>
      </c>
      <c r="C121" s="24" t="s">
        <v>198</v>
      </c>
    </row>
    <row r="122" spans="1:3" x14ac:dyDescent="0.15">
      <c r="A122" s="25">
        <v>45399</v>
      </c>
      <c r="B122" s="24" t="s">
        <v>199</v>
      </c>
      <c r="C122" s="24" t="s">
        <v>200</v>
      </c>
    </row>
    <row r="123" spans="1:3" x14ac:dyDescent="0.15">
      <c r="A123" s="25">
        <v>45399</v>
      </c>
      <c r="B123" s="24" t="s">
        <v>201</v>
      </c>
      <c r="C123" s="24" t="s">
        <v>202</v>
      </c>
    </row>
    <row r="124" spans="1:3" x14ac:dyDescent="0.15">
      <c r="A124" s="25">
        <v>45399</v>
      </c>
      <c r="B124" s="24" t="s">
        <v>203</v>
      </c>
      <c r="C124" s="24" t="s">
        <v>204</v>
      </c>
    </row>
    <row r="125" spans="1:3" x14ac:dyDescent="0.15">
      <c r="A125" s="25">
        <v>45399</v>
      </c>
      <c r="B125" s="24" t="s">
        <v>205</v>
      </c>
      <c r="C125" s="24" t="s">
        <v>206</v>
      </c>
    </row>
    <row r="126" spans="1:3" x14ac:dyDescent="0.15">
      <c r="A126" s="25">
        <v>45399</v>
      </c>
      <c r="B126" s="24" t="s">
        <v>207</v>
      </c>
      <c r="C126" s="24" t="s">
        <v>208</v>
      </c>
    </row>
    <row r="127" spans="1:3" x14ac:dyDescent="0.15">
      <c r="A127" s="25">
        <v>45399</v>
      </c>
      <c r="B127" s="24" t="s">
        <v>209</v>
      </c>
      <c r="C127" s="24" t="s">
        <v>210</v>
      </c>
    </row>
    <row r="128" spans="1:3" x14ac:dyDescent="0.15">
      <c r="A128" s="25">
        <v>45399</v>
      </c>
      <c r="B128" s="24" t="s">
        <v>211</v>
      </c>
      <c r="C128" s="24" t="s">
        <v>212</v>
      </c>
    </row>
    <row r="129" spans="1:3" x14ac:dyDescent="0.15">
      <c r="A129" s="25">
        <v>45399</v>
      </c>
      <c r="B129" s="24" t="s">
        <v>213</v>
      </c>
      <c r="C129" s="24" t="s">
        <v>214</v>
      </c>
    </row>
    <row r="130" spans="1:3" x14ac:dyDescent="0.15">
      <c r="A130" s="25">
        <v>45399</v>
      </c>
      <c r="B130" s="24" t="s">
        <v>215</v>
      </c>
      <c r="C130" s="24" t="s">
        <v>216</v>
      </c>
    </row>
    <row r="131" spans="1:3" x14ac:dyDescent="0.15">
      <c r="A131" s="25">
        <v>45399</v>
      </c>
      <c r="B131" s="24" t="s">
        <v>217</v>
      </c>
      <c r="C131" s="24" t="s">
        <v>218</v>
      </c>
    </row>
    <row r="132" spans="1:3" x14ac:dyDescent="0.15">
      <c r="A132" s="25">
        <v>45399</v>
      </c>
      <c r="B132" s="24" t="s">
        <v>219</v>
      </c>
      <c r="C132" s="24" t="s">
        <v>220</v>
      </c>
    </row>
    <row r="133" spans="1:3" x14ac:dyDescent="0.15">
      <c r="A133" s="25">
        <v>45399</v>
      </c>
      <c r="B133" s="24" t="s">
        <v>221</v>
      </c>
      <c r="C133" s="24" t="s">
        <v>222</v>
      </c>
    </row>
    <row r="134" spans="1:3" x14ac:dyDescent="0.15">
      <c r="A134" s="25">
        <v>45399</v>
      </c>
      <c r="B134" s="24" t="s">
        <v>223</v>
      </c>
      <c r="C134" s="24" t="s">
        <v>224</v>
      </c>
    </row>
    <row r="135" spans="1:3" x14ac:dyDescent="0.15">
      <c r="A135" s="25">
        <v>45399</v>
      </c>
      <c r="B135" s="24" t="s">
        <v>225</v>
      </c>
      <c r="C135" s="24" t="s">
        <v>226</v>
      </c>
    </row>
    <row r="136" spans="1:3" x14ac:dyDescent="0.15">
      <c r="A136" s="25">
        <v>45399</v>
      </c>
      <c r="B136" s="24" t="s">
        <v>227</v>
      </c>
      <c r="C136" s="24" t="s">
        <v>228</v>
      </c>
    </row>
    <row r="137" spans="1:3" x14ac:dyDescent="0.15">
      <c r="A137" s="25">
        <v>45399</v>
      </c>
      <c r="B137" s="24" t="s">
        <v>229</v>
      </c>
      <c r="C137" s="24" t="s">
        <v>230</v>
      </c>
    </row>
    <row r="138" spans="1:3" x14ac:dyDescent="0.15">
      <c r="A138" s="25">
        <v>45399</v>
      </c>
      <c r="B138" s="24" t="s">
        <v>231</v>
      </c>
      <c r="C138" s="24" t="s">
        <v>232</v>
      </c>
    </row>
    <row r="139" spans="1:3" x14ac:dyDescent="0.15">
      <c r="A139" s="25">
        <v>45399</v>
      </c>
      <c r="B139" s="24" t="s">
        <v>233</v>
      </c>
      <c r="C139" s="24" t="s">
        <v>234</v>
      </c>
    </row>
    <row r="140" spans="1:3" x14ac:dyDescent="0.15">
      <c r="A140" s="25">
        <v>45399</v>
      </c>
      <c r="B140" s="24" t="s">
        <v>235</v>
      </c>
      <c r="C140" s="24" t="s">
        <v>236</v>
      </c>
    </row>
    <row r="141" spans="1:3" x14ac:dyDescent="0.15">
      <c r="A141" s="25">
        <v>45399</v>
      </c>
      <c r="B141" s="24" t="s">
        <v>237</v>
      </c>
      <c r="C141" s="24" t="s">
        <v>238</v>
      </c>
    </row>
    <row r="142" spans="1:3" x14ac:dyDescent="0.15">
      <c r="A142" s="25">
        <v>45399</v>
      </c>
      <c r="B142" s="24" t="s">
        <v>239</v>
      </c>
      <c r="C142" s="24" t="s">
        <v>240</v>
      </c>
    </row>
    <row r="143" spans="1:3" x14ac:dyDescent="0.15">
      <c r="A143" s="25">
        <v>45399</v>
      </c>
      <c r="B143" s="24" t="s">
        <v>241</v>
      </c>
      <c r="C143" s="24" t="s">
        <v>242</v>
      </c>
    </row>
    <row r="144" spans="1:3" x14ac:dyDescent="0.15">
      <c r="A144" s="25">
        <v>45399</v>
      </c>
      <c r="B144" s="24" t="s">
        <v>243</v>
      </c>
      <c r="C144" s="24" t="s">
        <v>244</v>
      </c>
    </row>
    <row r="145" spans="1:3" x14ac:dyDescent="0.15">
      <c r="A145" s="25">
        <v>45399</v>
      </c>
      <c r="B145" s="24" t="s">
        <v>245</v>
      </c>
      <c r="C145" s="24" t="s">
        <v>246</v>
      </c>
    </row>
    <row r="146" spans="1:3" x14ac:dyDescent="0.15">
      <c r="A146" s="25">
        <v>45399</v>
      </c>
      <c r="B146" s="24" t="s">
        <v>247</v>
      </c>
      <c r="C146" s="24" t="s">
        <v>248</v>
      </c>
    </row>
    <row r="147" spans="1:3" x14ac:dyDescent="0.15">
      <c r="A147" s="25">
        <v>45399</v>
      </c>
      <c r="B147" s="24" t="s">
        <v>249</v>
      </c>
      <c r="C147" s="24" t="s">
        <v>250</v>
      </c>
    </row>
    <row r="148" spans="1:3" x14ac:dyDescent="0.15">
      <c r="A148" s="25">
        <v>45399</v>
      </c>
      <c r="B148" s="24" t="s">
        <v>251</v>
      </c>
      <c r="C148" s="24" t="s">
        <v>252</v>
      </c>
    </row>
    <row r="149" spans="1:3" x14ac:dyDescent="0.15">
      <c r="A149" s="25">
        <v>45399</v>
      </c>
      <c r="B149" s="24" t="s">
        <v>253</v>
      </c>
      <c r="C149" s="24" t="s">
        <v>254</v>
      </c>
    </row>
    <row r="150" spans="1:3" x14ac:dyDescent="0.15">
      <c r="A150" s="25">
        <v>45399</v>
      </c>
      <c r="B150" s="24" t="s">
        <v>255</v>
      </c>
      <c r="C150" s="24" t="s">
        <v>256</v>
      </c>
    </row>
    <row r="151" spans="1:3" x14ac:dyDescent="0.15">
      <c r="A151" s="25">
        <v>45399</v>
      </c>
      <c r="B151" s="24" t="s">
        <v>257</v>
      </c>
      <c r="C151" s="24" t="s">
        <v>258</v>
      </c>
    </row>
    <row r="152" spans="1:3" x14ac:dyDescent="0.15">
      <c r="A152" s="25">
        <v>45399</v>
      </c>
      <c r="B152" s="24" t="s">
        <v>259</v>
      </c>
      <c r="C152" s="24" t="s">
        <v>260</v>
      </c>
    </row>
    <row r="153" spans="1:3" x14ac:dyDescent="0.15">
      <c r="A153" s="25">
        <v>45399</v>
      </c>
      <c r="B153" s="24" t="s">
        <v>261</v>
      </c>
      <c r="C153" s="24" t="s">
        <v>262</v>
      </c>
    </row>
    <row r="154" spans="1:3" x14ac:dyDescent="0.15">
      <c r="A154" s="25">
        <v>45399</v>
      </c>
      <c r="B154" s="24" t="s">
        <v>263</v>
      </c>
      <c r="C154" s="24" t="s">
        <v>264</v>
      </c>
    </row>
    <row r="155" spans="1:3" x14ac:dyDescent="0.15">
      <c r="A155" s="25">
        <v>45399</v>
      </c>
      <c r="B155" s="24" t="s">
        <v>265</v>
      </c>
      <c r="C155" s="24" t="s">
        <v>266</v>
      </c>
    </row>
    <row r="156" spans="1:3" x14ac:dyDescent="0.15">
      <c r="A156" s="25">
        <v>45399</v>
      </c>
      <c r="B156" s="24" t="s">
        <v>267</v>
      </c>
      <c r="C156" s="24" t="s">
        <v>268</v>
      </c>
    </row>
    <row r="157" spans="1:3" x14ac:dyDescent="0.15">
      <c r="A157" s="25">
        <v>45399</v>
      </c>
      <c r="B157" s="24" t="s">
        <v>269</v>
      </c>
      <c r="C157" s="24" t="s">
        <v>270</v>
      </c>
    </row>
    <row r="158" spans="1:3" x14ac:dyDescent="0.15">
      <c r="A158" s="25">
        <v>45399</v>
      </c>
      <c r="B158" s="24" t="s">
        <v>271</v>
      </c>
      <c r="C158" s="24" t="s">
        <v>272</v>
      </c>
    </row>
    <row r="159" spans="1:3" x14ac:dyDescent="0.15">
      <c r="A159" s="25">
        <v>45399</v>
      </c>
      <c r="B159" s="24" t="s">
        <v>273</v>
      </c>
      <c r="C159" s="24" t="s">
        <v>274</v>
      </c>
    </row>
    <row r="160" spans="1:3" x14ac:dyDescent="0.15">
      <c r="A160" s="25">
        <v>45399</v>
      </c>
      <c r="B160" s="24" t="s">
        <v>275</v>
      </c>
      <c r="C160" s="24" t="s">
        <v>276</v>
      </c>
    </row>
    <row r="161" spans="1:3" x14ac:dyDescent="0.15">
      <c r="A161" s="25">
        <v>45399</v>
      </c>
      <c r="B161" s="24" t="s">
        <v>277</v>
      </c>
      <c r="C161" s="24" t="s">
        <v>278</v>
      </c>
    </row>
    <row r="162" spans="1:3" x14ac:dyDescent="0.15">
      <c r="A162" s="25">
        <v>45399</v>
      </c>
      <c r="B162" s="24" t="s">
        <v>279</v>
      </c>
      <c r="C162" s="24" t="s">
        <v>280</v>
      </c>
    </row>
    <row r="163" spans="1:3" x14ac:dyDescent="0.15">
      <c r="A163" s="25">
        <v>45399</v>
      </c>
      <c r="B163" s="24" t="s">
        <v>281</v>
      </c>
      <c r="C163" s="24" t="s">
        <v>282</v>
      </c>
    </row>
    <row r="164" spans="1:3" x14ac:dyDescent="0.15">
      <c r="A164" s="25">
        <v>45399</v>
      </c>
      <c r="B164" s="24" t="s">
        <v>283</v>
      </c>
      <c r="C164" s="24" t="s">
        <v>284</v>
      </c>
    </row>
    <row r="165" spans="1:3" x14ac:dyDescent="0.15">
      <c r="A165" s="25">
        <v>45399</v>
      </c>
      <c r="B165" s="24" t="s">
        <v>285</v>
      </c>
      <c r="C165" s="24" t="s">
        <v>286</v>
      </c>
    </row>
    <row r="166" spans="1:3" x14ac:dyDescent="0.15">
      <c r="A166" s="25">
        <v>45399</v>
      </c>
      <c r="B166" s="24" t="s">
        <v>686</v>
      </c>
      <c r="C166" s="24" t="s">
        <v>687</v>
      </c>
    </row>
    <row r="167" spans="1:3" x14ac:dyDescent="0.15">
      <c r="A167" s="25">
        <v>45399</v>
      </c>
      <c r="B167" s="24" t="s">
        <v>688</v>
      </c>
      <c r="C167" s="24" t="s">
        <v>689</v>
      </c>
    </row>
    <row r="168" spans="1:3" x14ac:dyDescent="0.15">
      <c r="A168" s="25">
        <v>45399</v>
      </c>
      <c r="B168" s="24" t="s">
        <v>703</v>
      </c>
      <c r="C168" s="24" t="s">
        <v>704</v>
      </c>
    </row>
    <row r="169" spans="1:3" x14ac:dyDescent="0.15">
      <c r="A169" s="25">
        <v>45399</v>
      </c>
      <c r="B169" s="24" t="s">
        <v>705</v>
      </c>
      <c r="C169" s="24" t="s">
        <v>706</v>
      </c>
    </row>
    <row r="170" spans="1:3" x14ac:dyDescent="0.15">
      <c r="A170" s="25">
        <v>45399</v>
      </c>
      <c r="B170" s="24" t="s">
        <v>707</v>
      </c>
      <c r="C170" s="24" t="s">
        <v>708</v>
      </c>
    </row>
    <row r="171" spans="1:3" x14ac:dyDescent="0.15">
      <c r="A171" s="25">
        <v>45399</v>
      </c>
      <c r="B171" s="24" t="s">
        <v>765</v>
      </c>
      <c r="C171" s="24" t="s">
        <v>766</v>
      </c>
    </row>
    <row r="172" spans="1:3" x14ac:dyDescent="0.15">
      <c r="A172" s="25">
        <v>45399</v>
      </c>
      <c r="B172" s="24" t="s">
        <v>767</v>
      </c>
      <c r="C172" s="24" t="s">
        <v>768</v>
      </c>
    </row>
    <row r="173" spans="1:3" x14ac:dyDescent="0.15">
      <c r="A173" s="25">
        <v>45399</v>
      </c>
      <c r="B173" s="24" t="s">
        <v>769</v>
      </c>
      <c r="C173" s="24" t="s">
        <v>770</v>
      </c>
    </row>
    <row r="174" spans="1:3" x14ac:dyDescent="0.15">
      <c r="A174" s="25">
        <v>45399</v>
      </c>
      <c r="B174" s="24" t="s">
        <v>771</v>
      </c>
      <c r="C174" s="24" t="s">
        <v>772</v>
      </c>
    </row>
    <row r="175" spans="1:3" x14ac:dyDescent="0.15">
      <c r="A175" s="25">
        <v>45399</v>
      </c>
      <c r="B175" s="24" t="s">
        <v>773</v>
      </c>
      <c r="C175" s="24" t="s">
        <v>774</v>
      </c>
    </row>
    <row r="176" spans="1:3" x14ac:dyDescent="0.15">
      <c r="A176" s="25">
        <v>45399</v>
      </c>
      <c r="B176" s="24" t="s">
        <v>775</v>
      </c>
      <c r="C176" s="24" t="s">
        <v>776</v>
      </c>
    </row>
    <row r="177" spans="1:3" x14ac:dyDescent="0.15">
      <c r="A177" s="25">
        <v>45399</v>
      </c>
      <c r="B177" s="24" t="s">
        <v>777</v>
      </c>
      <c r="C177" s="24" t="s">
        <v>778</v>
      </c>
    </row>
    <row r="178" spans="1:3" x14ac:dyDescent="0.15">
      <c r="A178" s="25">
        <v>45399</v>
      </c>
      <c r="B178" s="24" t="s">
        <v>779</v>
      </c>
      <c r="C178" s="24" t="s">
        <v>780</v>
      </c>
    </row>
    <row r="179" spans="1:3" x14ac:dyDescent="0.15">
      <c r="A179" s="25">
        <v>45399</v>
      </c>
      <c r="B179" s="24" t="s">
        <v>781</v>
      </c>
      <c r="C179" s="24" t="s">
        <v>782</v>
      </c>
    </row>
    <row r="180" spans="1:3" x14ac:dyDescent="0.15">
      <c r="A180" s="25">
        <v>45399</v>
      </c>
      <c r="B180" s="24" t="s">
        <v>783</v>
      </c>
      <c r="C180" s="24" t="s">
        <v>784</v>
      </c>
    </row>
    <row r="181" spans="1:3" x14ac:dyDescent="0.15">
      <c r="A181" s="25">
        <v>45399</v>
      </c>
      <c r="B181" s="24" t="s">
        <v>785</v>
      </c>
      <c r="C181" s="24" t="s">
        <v>786</v>
      </c>
    </row>
    <row r="182" spans="1:3" x14ac:dyDescent="0.15">
      <c r="A182" s="25">
        <v>45399</v>
      </c>
      <c r="B182" s="24" t="s">
        <v>787</v>
      </c>
      <c r="C182" s="24" t="s">
        <v>788</v>
      </c>
    </row>
    <row r="183" spans="1:3" x14ac:dyDescent="0.15">
      <c r="A183" s="25">
        <v>45399</v>
      </c>
      <c r="B183" s="24" t="s">
        <v>789</v>
      </c>
      <c r="C183" s="24" t="s">
        <v>790</v>
      </c>
    </row>
    <row r="184" spans="1:3" x14ac:dyDescent="0.15">
      <c r="A184" s="25">
        <v>45399</v>
      </c>
      <c r="B184" s="24" t="s">
        <v>791</v>
      </c>
      <c r="C184" s="24" t="s">
        <v>792</v>
      </c>
    </row>
    <row r="185" spans="1:3" x14ac:dyDescent="0.15">
      <c r="A185" s="25">
        <v>45399</v>
      </c>
      <c r="B185" s="24" t="s">
        <v>793</v>
      </c>
      <c r="C185" s="24" t="s">
        <v>794</v>
      </c>
    </row>
    <row r="186" spans="1:3" x14ac:dyDescent="0.15">
      <c r="A186" s="25">
        <v>45399</v>
      </c>
      <c r="B186" s="24" t="s">
        <v>795</v>
      </c>
      <c r="C186" s="24" t="s">
        <v>796</v>
      </c>
    </row>
    <row r="187" spans="1:3" x14ac:dyDescent="0.15">
      <c r="A187" s="25">
        <v>45399</v>
      </c>
      <c r="B187" s="24" t="s">
        <v>797</v>
      </c>
      <c r="C187" s="24" t="s">
        <v>798</v>
      </c>
    </row>
    <row r="188" spans="1:3" x14ac:dyDescent="0.15">
      <c r="A188" s="25">
        <v>45399</v>
      </c>
      <c r="B188" s="24" t="s">
        <v>799</v>
      </c>
      <c r="C188" s="24" t="s">
        <v>800</v>
      </c>
    </row>
    <row r="189" spans="1:3" x14ac:dyDescent="0.15">
      <c r="A189" s="25">
        <v>45399</v>
      </c>
      <c r="B189" s="24" t="s">
        <v>801</v>
      </c>
      <c r="C189" s="24" t="s">
        <v>802</v>
      </c>
    </row>
    <row r="190" spans="1:3" x14ac:dyDescent="0.15">
      <c r="A190" s="25">
        <v>45399</v>
      </c>
      <c r="B190" s="24" t="s">
        <v>803</v>
      </c>
      <c r="C190" s="24" t="s">
        <v>804</v>
      </c>
    </row>
    <row r="191" spans="1:3" x14ac:dyDescent="0.15">
      <c r="A191" s="25">
        <v>45399</v>
      </c>
      <c r="B191" s="24" t="s">
        <v>805</v>
      </c>
      <c r="C191" s="24" t="s">
        <v>806</v>
      </c>
    </row>
    <row r="192" spans="1:3" x14ac:dyDescent="0.15">
      <c r="A192" s="25">
        <v>45399</v>
      </c>
      <c r="B192" s="24" t="s">
        <v>807</v>
      </c>
      <c r="C192" s="24" t="s">
        <v>808</v>
      </c>
    </row>
    <row r="193" spans="1:3" x14ac:dyDescent="0.15">
      <c r="A193" s="25">
        <v>45399</v>
      </c>
      <c r="B193" s="24" t="s">
        <v>1137</v>
      </c>
      <c r="C193" s="24" t="s">
        <v>1138</v>
      </c>
    </row>
    <row r="194" spans="1:3" x14ac:dyDescent="0.15">
      <c r="A194" s="25">
        <v>45399</v>
      </c>
      <c r="B194" s="24" t="s">
        <v>1139</v>
      </c>
      <c r="C194" s="24" t="s">
        <v>1140</v>
      </c>
    </row>
    <row r="195" spans="1:3" x14ac:dyDescent="0.15">
      <c r="A195" s="25">
        <v>45399</v>
      </c>
      <c r="B195" s="24" t="s">
        <v>1141</v>
      </c>
      <c r="C195" s="24" t="s">
        <v>1183</v>
      </c>
    </row>
    <row r="196" spans="1:3" x14ac:dyDescent="0.15">
      <c r="A196" s="25">
        <v>45399</v>
      </c>
      <c r="B196" s="24" t="s">
        <v>1184</v>
      </c>
      <c r="C196" s="24" t="s">
        <v>1185</v>
      </c>
    </row>
    <row r="197" spans="1:3" x14ac:dyDescent="0.15">
      <c r="A197" s="25">
        <v>45399</v>
      </c>
      <c r="B197" s="24" t="s">
        <v>1186</v>
      </c>
      <c r="C197" s="24" t="s">
        <v>1187</v>
      </c>
    </row>
    <row r="198" spans="1:3" x14ac:dyDescent="0.15">
      <c r="A198" s="25">
        <v>45399</v>
      </c>
      <c r="B198" s="24" t="s">
        <v>1188</v>
      </c>
      <c r="C198" s="24" t="s">
        <v>1189</v>
      </c>
    </row>
    <row r="199" spans="1:3" x14ac:dyDescent="0.15">
      <c r="A199" s="25">
        <v>45399</v>
      </c>
      <c r="B199" s="24" t="s">
        <v>1190</v>
      </c>
      <c r="C199" s="24" t="s">
        <v>1191</v>
      </c>
    </row>
    <row r="200" spans="1:3" x14ac:dyDescent="0.15">
      <c r="A200" s="25">
        <v>45399</v>
      </c>
      <c r="B200" s="24" t="s">
        <v>287</v>
      </c>
      <c r="C200" s="24" t="s">
        <v>288</v>
      </c>
    </row>
    <row r="201" spans="1:3" x14ac:dyDescent="0.15">
      <c r="A201" s="25">
        <v>45399</v>
      </c>
      <c r="B201" s="24" t="s">
        <v>289</v>
      </c>
      <c r="C201" s="24" t="s">
        <v>290</v>
      </c>
    </row>
    <row r="202" spans="1:3" x14ac:dyDescent="0.15">
      <c r="A202" s="25">
        <v>45399</v>
      </c>
      <c r="B202" s="24" t="s">
        <v>291</v>
      </c>
      <c r="C202" s="24" t="s">
        <v>292</v>
      </c>
    </row>
    <row r="203" spans="1:3" x14ac:dyDescent="0.15">
      <c r="A203" s="25">
        <v>45399</v>
      </c>
      <c r="B203" s="24" t="s">
        <v>293</v>
      </c>
      <c r="C203" s="24" t="s">
        <v>294</v>
      </c>
    </row>
    <row r="204" spans="1:3" x14ac:dyDescent="0.15">
      <c r="A204" s="25">
        <v>45399</v>
      </c>
      <c r="B204" s="24" t="s">
        <v>295</v>
      </c>
      <c r="C204" s="24" t="s">
        <v>296</v>
      </c>
    </row>
    <row r="205" spans="1:3" x14ac:dyDescent="0.15">
      <c r="A205" s="25">
        <v>45399</v>
      </c>
      <c r="B205" s="24" t="s">
        <v>297</v>
      </c>
      <c r="C205" s="24" t="s">
        <v>298</v>
      </c>
    </row>
    <row r="206" spans="1:3" x14ac:dyDescent="0.15">
      <c r="A206" s="25">
        <v>45399</v>
      </c>
      <c r="B206" s="24" t="s">
        <v>299</v>
      </c>
      <c r="C206" s="24" t="s">
        <v>300</v>
      </c>
    </row>
    <row r="207" spans="1:3" x14ac:dyDescent="0.15">
      <c r="A207" s="25">
        <v>45399</v>
      </c>
      <c r="B207" s="24" t="s">
        <v>301</v>
      </c>
      <c r="C207" s="24" t="s">
        <v>302</v>
      </c>
    </row>
    <row r="208" spans="1:3" x14ac:dyDescent="0.15">
      <c r="A208" s="25">
        <v>45399</v>
      </c>
      <c r="B208" s="24" t="s">
        <v>303</v>
      </c>
      <c r="C208" s="24" t="s">
        <v>304</v>
      </c>
    </row>
    <row r="209" spans="1:3" x14ac:dyDescent="0.15">
      <c r="A209" s="25">
        <v>45399</v>
      </c>
      <c r="B209" s="24" t="s">
        <v>305</v>
      </c>
      <c r="C209" s="24" t="s">
        <v>306</v>
      </c>
    </row>
    <row r="210" spans="1:3" x14ac:dyDescent="0.15">
      <c r="A210" s="25">
        <v>45399</v>
      </c>
      <c r="B210" s="24" t="s">
        <v>307</v>
      </c>
      <c r="C210" s="24" t="s">
        <v>308</v>
      </c>
    </row>
    <row r="211" spans="1:3" x14ac:dyDescent="0.15">
      <c r="A211" s="25">
        <v>45399</v>
      </c>
      <c r="B211" s="24" t="s">
        <v>309</v>
      </c>
      <c r="C211" s="24" t="s">
        <v>310</v>
      </c>
    </row>
    <row r="212" spans="1:3" x14ac:dyDescent="0.15">
      <c r="A212" s="25">
        <v>45399</v>
      </c>
      <c r="B212" s="24" t="s">
        <v>690</v>
      </c>
      <c r="C212" s="24" t="s">
        <v>691</v>
      </c>
    </row>
    <row r="213" spans="1:3" x14ac:dyDescent="0.15">
      <c r="A213" s="25">
        <v>45399</v>
      </c>
      <c r="B213" s="24" t="s">
        <v>692</v>
      </c>
      <c r="C213" s="24" t="s">
        <v>693</v>
      </c>
    </row>
    <row r="214" spans="1:3" x14ac:dyDescent="0.15">
      <c r="A214" s="25">
        <v>45399</v>
      </c>
      <c r="B214" s="24" t="s">
        <v>709</v>
      </c>
      <c r="C214" s="24" t="s">
        <v>710</v>
      </c>
    </row>
    <row r="215" spans="1:3" x14ac:dyDescent="0.15">
      <c r="A215" s="25">
        <v>45399</v>
      </c>
      <c r="B215" s="24" t="s">
        <v>809</v>
      </c>
      <c r="C215" s="24" t="s">
        <v>810</v>
      </c>
    </row>
    <row r="216" spans="1:3" x14ac:dyDescent="0.15">
      <c r="A216" s="25">
        <v>45399</v>
      </c>
      <c r="B216" s="24" t="s">
        <v>811</v>
      </c>
      <c r="C216" s="24" t="s">
        <v>812</v>
      </c>
    </row>
    <row r="217" spans="1:3" x14ac:dyDescent="0.15">
      <c r="A217" s="25">
        <v>45399</v>
      </c>
      <c r="B217" s="24" t="s">
        <v>813</v>
      </c>
      <c r="C217" s="24" t="s">
        <v>814</v>
      </c>
    </row>
    <row r="218" spans="1:3" x14ac:dyDescent="0.15">
      <c r="A218" s="25">
        <v>45399</v>
      </c>
      <c r="B218" s="24" t="s">
        <v>815</v>
      </c>
      <c r="C218" s="24" t="s">
        <v>816</v>
      </c>
    </row>
    <row r="219" spans="1:3" x14ac:dyDescent="0.15">
      <c r="A219" s="25">
        <v>45399</v>
      </c>
      <c r="B219" s="24" t="s">
        <v>817</v>
      </c>
      <c r="C219" s="24" t="s">
        <v>818</v>
      </c>
    </row>
    <row r="220" spans="1:3" x14ac:dyDescent="0.15">
      <c r="A220" s="25">
        <v>45399</v>
      </c>
      <c r="B220" s="24" t="s">
        <v>819</v>
      </c>
      <c r="C220" s="24" t="s">
        <v>820</v>
      </c>
    </row>
    <row r="221" spans="1:3" x14ac:dyDescent="0.15">
      <c r="A221" s="25">
        <v>45399</v>
      </c>
      <c r="B221" s="24" t="s">
        <v>821</v>
      </c>
      <c r="C221" s="24" t="s">
        <v>822</v>
      </c>
    </row>
    <row r="222" spans="1:3" x14ac:dyDescent="0.15">
      <c r="A222" s="25">
        <v>45399</v>
      </c>
      <c r="B222" s="24" t="s">
        <v>823</v>
      </c>
      <c r="C222" s="24" t="s">
        <v>824</v>
      </c>
    </row>
    <row r="223" spans="1:3" x14ac:dyDescent="0.15">
      <c r="A223" s="25">
        <v>45399</v>
      </c>
      <c r="B223" s="24" t="s">
        <v>825</v>
      </c>
      <c r="C223" s="24" t="s">
        <v>826</v>
      </c>
    </row>
    <row r="224" spans="1:3" x14ac:dyDescent="0.15">
      <c r="A224" s="25">
        <v>45399</v>
      </c>
      <c r="B224" s="24" t="s">
        <v>827</v>
      </c>
      <c r="C224" s="24" t="s">
        <v>828</v>
      </c>
    </row>
    <row r="225" spans="1:3" x14ac:dyDescent="0.15">
      <c r="A225" s="25">
        <v>45399</v>
      </c>
      <c r="B225" s="24" t="s">
        <v>829</v>
      </c>
      <c r="C225" s="24" t="s">
        <v>830</v>
      </c>
    </row>
    <row r="226" spans="1:3" x14ac:dyDescent="0.15">
      <c r="A226" s="25">
        <v>45399</v>
      </c>
      <c r="B226" s="24" t="s">
        <v>831</v>
      </c>
      <c r="C226" s="24" t="s">
        <v>832</v>
      </c>
    </row>
    <row r="227" spans="1:3" x14ac:dyDescent="0.15">
      <c r="A227" s="25">
        <v>45399</v>
      </c>
      <c r="B227" s="24" t="s">
        <v>833</v>
      </c>
      <c r="C227" s="24" t="s">
        <v>834</v>
      </c>
    </row>
    <row r="228" spans="1:3" x14ac:dyDescent="0.15">
      <c r="A228" s="25">
        <v>45399</v>
      </c>
      <c r="B228" s="24" t="s">
        <v>835</v>
      </c>
      <c r="C228" s="24" t="s">
        <v>836</v>
      </c>
    </row>
    <row r="229" spans="1:3" x14ac:dyDescent="0.15">
      <c r="A229" s="25">
        <v>45399</v>
      </c>
      <c r="B229" s="24" t="s">
        <v>837</v>
      </c>
      <c r="C229" s="24" t="s">
        <v>838</v>
      </c>
    </row>
    <row r="230" spans="1:3" x14ac:dyDescent="0.15">
      <c r="A230" s="25">
        <v>45399</v>
      </c>
      <c r="B230" s="24" t="s">
        <v>839</v>
      </c>
      <c r="C230" s="24" t="s">
        <v>840</v>
      </c>
    </row>
    <row r="231" spans="1:3" x14ac:dyDescent="0.15">
      <c r="A231" s="25">
        <v>45399</v>
      </c>
      <c r="B231" s="24" t="s">
        <v>841</v>
      </c>
      <c r="C231" s="24" t="s">
        <v>842</v>
      </c>
    </row>
    <row r="232" spans="1:3" x14ac:dyDescent="0.15">
      <c r="A232" s="25">
        <v>45399</v>
      </c>
      <c r="B232" s="24" t="s">
        <v>843</v>
      </c>
      <c r="C232" s="24" t="s">
        <v>844</v>
      </c>
    </row>
    <row r="233" spans="1:3" x14ac:dyDescent="0.15">
      <c r="A233" s="25">
        <v>45399</v>
      </c>
      <c r="B233" s="24" t="s">
        <v>845</v>
      </c>
      <c r="C233" s="24" t="s">
        <v>846</v>
      </c>
    </row>
    <row r="234" spans="1:3" x14ac:dyDescent="0.15">
      <c r="A234" s="25">
        <v>45399</v>
      </c>
      <c r="B234" s="24" t="s">
        <v>847</v>
      </c>
      <c r="C234" s="24" t="s">
        <v>848</v>
      </c>
    </row>
    <row r="235" spans="1:3" x14ac:dyDescent="0.15">
      <c r="A235" s="25">
        <v>45399</v>
      </c>
      <c r="B235" s="24" t="s">
        <v>849</v>
      </c>
      <c r="C235" s="24" t="s">
        <v>850</v>
      </c>
    </row>
    <row r="236" spans="1:3" x14ac:dyDescent="0.15">
      <c r="A236" s="25">
        <v>45399</v>
      </c>
      <c r="B236" s="24" t="s">
        <v>851</v>
      </c>
      <c r="C236" s="24" t="s">
        <v>852</v>
      </c>
    </row>
    <row r="237" spans="1:3" x14ac:dyDescent="0.15">
      <c r="A237" s="25">
        <v>45399</v>
      </c>
      <c r="B237" s="24" t="s">
        <v>853</v>
      </c>
      <c r="C237" s="24" t="s">
        <v>854</v>
      </c>
    </row>
    <row r="238" spans="1:3" x14ac:dyDescent="0.15">
      <c r="A238" s="25">
        <v>45399</v>
      </c>
      <c r="B238" s="24" t="s">
        <v>855</v>
      </c>
      <c r="C238" s="24" t="s">
        <v>856</v>
      </c>
    </row>
    <row r="239" spans="1:3" x14ac:dyDescent="0.15">
      <c r="A239" s="25">
        <v>45399</v>
      </c>
      <c r="B239" s="24" t="s">
        <v>857</v>
      </c>
      <c r="C239" s="24" t="s">
        <v>858</v>
      </c>
    </row>
    <row r="240" spans="1:3" x14ac:dyDescent="0.15">
      <c r="A240" s="25">
        <v>45399</v>
      </c>
      <c r="B240" s="24" t="s">
        <v>859</v>
      </c>
      <c r="C240" s="24" t="s">
        <v>860</v>
      </c>
    </row>
    <row r="241" spans="1:3" x14ac:dyDescent="0.15">
      <c r="A241" s="25">
        <v>45399</v>
      </c>
      <c r="B241" s="24" t="s">
        <v>861</v>
      </c>
      <c r="C241" s="24" t="s">
        <v>862</v>
      </c>
    </row>
    <row r="242" spans="1:3" x14ac:dyDescent="0.15">
      <c r="A242" s="25">
        <v>45399</v>
      </c>
      <c r="B242" s="24" t="s">
        <v>863</v>
      </c>
      <c r="C242" s="24" t="s">
        <v>864</v>
      </c>
    </row>
    <row r="243" spans="1:3" x14ac:dyDescent="0.15">
      <c r="A243" s="25">
        <v>45399</v>
      </c>
      <c r="B243" s="24" t="s">
        <v>1192</v>
      </c>
      <c r="C243" s="24" t="s">
        <v>1193</v>
      </c>
    </row>
    <row r="244" spans="1:3" x14ac:dyDescent="0.15">
      <c r="A244" s="25">
        <v>45399</v>
      </c>
      <c r="B244" s="24" t="s">
        <v>311</v>
      </c>
      <c r="C244" s="24" t="s">
        <v>312</v>
      </c>
    </row>
    <row r="245" spans="1:3" x14ac:dyDescent="0.15">
      <c r="A245" s="25">
        <v>45399</v>
      </c>
      <c r="B245" s="24" t="s">
        <v>313</v>
      </c>
      <c r="C245" s="24" t="s">
        <v>314</v>
      </c>
    </row>
    <row r="246" spans="1:3" x14ac:dyDescent="0.15">
      <c r="A246" s="25">
        <v>45399</v>
      </c>
      <c r="B246" s="24" t="s">
        <v>315</v>
      </c>
      <c r="C246" s="24" t="s">
        <v>316</v>
      </c>
    </row>
    <row r="247" spans="1:3" x14ac:dyDescent="0.15">
      <c r="A247" s="25">
        <v>45399</v>
      </c>
      <c r="B247" s="24" t="s">
        <v>317</v>
      </c>
      <c r="C247" s="24" t="s">
        <v>318</v>
      </c>
    </row>
    <row r="248" spans="1:3" x14ac:dyDescent="0.15">
      <c r="A248" s="25">
        <v>45399</v>
      </c>
      <c r="B248" s="24" t="s">
        <v>319</v>
      </c>
      <c r="C248" s="24" t="s">
        <v>320</v>
      </c>
    </row>
    <row r="249" spans="1:3" x14ac:dyDescent="0.15">
      <c r="A249" s="25">
        <v>45399</v>
      </c>
      <c r="B249" s="24" t="s">
        <v>321</v>
      </c>
      <c r="C249" s="24" t="s">
        <v>322</v>
      </c>
    </row>
    <row r="250" spans="1:3" x14ac:dyDescent="0.15">
      <c r="A250" s="25">
        <v>45399</v>
      </c>
      <c r="B250" s="24" t="s">
        <v>323</v>
      </c>
      <c r="C250" s="24" t="s">
        <v>324</v>
      </c>
    </row>
    <row r="251" spans="1:3" x14ac:dyDescent="0.15">
      <c r="A251" s="25">
        <v>45399</v>
      </c>
      <c r="B251" s="24" t="s">
        <v>325</v>
      </c>
      <c r="C251" s="24" t="s">
        <v>326</v>
      </c>
    </row>
    <row r="252" spans="1:3" x14ac:dyDescent="0.15">
      <c r="A252" s="25">
        <v>45399</v>
      </c>
      <c r="B252" s="24" t="s">
        <v>327</v>
      </c>
      <c r="C252" s="24" t="s">
        <v>328</v>
      </c>
    </row>
    <row r="253" spans="1:3" x14ac:dyDescent="0.15">
      <c r="A253" s="25">
        <v>45399</v>
      </c>
      <c r="B253" s="24" t="s">
        <v>329</v>
      </c>
      <c r="C253" s="24" t="s">
        <v>330</v>
      </c>
    </row>
    <row r="254" spans="1:3" x14ac:dyDescent="0.15">
      <c r="A254" s="25">
        <v>45399</v>
      </c>
      <c r="B254" s="24" t="s">
        <v>331</v>
      </c>
      <c r="C254" s="24" t="s">
        <v>332</v>
      </c>
    </row>
    <row r="255" spans="1:3" x14ac:dyDescent="0.15">
      <c r="A255" s="25">
        <v>45399</v>
      </c>
      <c r="B255" s="24" t="s">
        <v>333</v>
      </c>
      <c r="C255" s="24" t="s">
        <v>334</v>
      </c>
    </row>
    <row r="256" spans="1:3" x14ac:dyDescent="0.15">
      <c r="A256" s="25">
        <v>45399</v>
      </c>
      <c r="B256" s="24" t="s">
        <v>335</v>
      </c>
      <c r="C256" s="24" t="s">
        <v>336</v>
      </c>
    </row>
    <row r="257" spans="1:3" x14ac:dyDescent="0.15">
      <c r="A257" s="25">
        <v>45399</v>
      </c>
      <c r="B257" s="24" t="s">
        <v>337</v>
      </c>
      <c r="C257" s="24" t="s">
        <v>338</v>
      </c>
    </row>
    <row r="258" spans="1:3" x14ac:dyDescent="0.15">
      <c r="A258" s="25">
        <v>45399</v>
      </c>
      <c r="B258" s="24" t="s">
        <v>339</v>
      </c>
      <c r="C258" s="24" t="s">
        <v>340</v>
      </c>
    </row>
    <row r="259" spans="1:3" x14ac:dyDescent="0.15">
      <c r="A259" s="25">
        <v>45399</v>
      </c>
      <c r="B259" s="24" t="s">
        <v>341</v>
      </c>
      <c r="C259" s="24" t="s">
        <v>342</v>
      </c>
    </row>
    <row r="260" spans="1:3" x14ac:dyDescent="0.15">
      <c r="A260" s="25">
        <v>45399</v>
      </c>
      <c r="B260" s="24" t="s">
        <v>343</v>
      </c>
      <c r="C260" s="24" t="s">
        <v>344</v>
      </c>
    </row>
    <row r="261" spans="1:3" x14ac:dyDescent="0.15">
      <c r="A261" s="25">
        <v>45399</v>
      </c>
      <c r="B261" s="24" t="s">
        <v>345</v>
      </c>
      <c r="C261" s="24" t="s">
        <v>346</v>
      </c>
    </row>
    <row r="262" spans="1:3" x14ac:dyDescent="0.15">
      <c r="A262" s="25">
        <v>45399</v>
      </c>
      <c r="B262" s="24" t="s">
        <v>347</v>
      </c>
      <c r="C262" s="24" t="s">
        <v>348</v>
      </c>
    </row>
    <row r="263" spans="1:3" x14ac:dyDescent="0.15">
      <c r="A263" s="25">
        <v>45399</v>
      </c>
      <c r="B263" s="24" t="s">
        <v>349</v>
      </c>
      <c r="C263" s="24" t="s">
        <v>350</v>
      </c>
    </row>
    <row r="264" spans="1:3" x14ac:dyDescent="0.15">
      <c r="A264" s="25">
        <v>45399</v>
      </c>
      <c r="B264" s="24" t="s">
        <v>351</v>
      </c>
      <c r="C264" s="24" t="s">
        <v>352</v>
      </c>
    </row>
    <row r="265" spans="1:3" x14ac:dyDescent="0.15">
      <c r="A265" s="25">
        <v>45399</v>
      </c>
      <c r="B265" s="24" t="s">
        <v>353</v>
      </c>
      <c r="C265" s="24" t="s">
        <v>354</v>
      </c>
    </row>
    <row r="266" spans="1:3" x14ac:dyDescent="0.15">
      <c r="A266" s="25">
        <v>45399</v>
      </c>
      <c r="B266" s="24" t="s">
        <v>355</v>
      </c>
      <c r="C266" s="24" t="s">
        <v>356</v>
      </c>
    </row>
    <row r="267" spans="1:3" x14ac:dyDescent="0.15">
      <c r="A267" s="25">
        <v>45399</v>
      </c>
      <c r="B267" s="24" t="s">
        <v>357</v>
      </c>
      <c r="C267" s="24" t="s">
        <v>358</v>
      </c>
    </row>
    <row r="268" spans="1:3" x14ac:dyDescent="0.15">
      <c r="A268" s="25">
        <v>45399</v>
      </c>
      <c r="B268" s="24" t="s">
        <v>359</v>
      </c>
      <c r="C268" s="24" t="s">
        <v>360</v>
      </c>
    </row>
    <row r="269" spans="1:3" x14ac:dyDescent="0.15">
      <c r="A269" s="25">
        <v>45399</v>
      </c>
      <c r="B269" s="24" t="s">
        <v>361</v>
      </c>
      <c r="C269" s="24" t="s">
        <v>362</v>
      </c>
    </row>
    <row r="270" spans="1:3" x14ac:dyDescent="0.15">
      <c r="A270" s="25">
        <v>45399</v>
      </c>
      <c r="B270" s="24" t="s">
        <v>363</v>
      </c>
      <c r="C270" s="24" t="s">
        <v>364</v>
      </c>
    </row>
    <row r="271" spans="1:3" x14ac:dyDescent="0.15">
      <c r="A271" s="25">
        <v>45399</v>
      </c>
      <c r="B271" s="24" t="s">
        <v>365</v>
      </c>
      <c r="C271" s="24" t="s">
        <v>366</v>
      </c>
    </row>
    <row r="272" spans="1:3" x14ac:dyDescent="0.15">
      <c r="A272" s="25">
        <v>45399</v>
      </c>
      <c r="B272" s="24" t="s">
        <v>367</v>
      </c>
      <c r="C272" s="24" t="s">
        <v>368</v>
      </c>
    </row>
    <row r="273" spans="1:3" x14ac:dyDescent="0.15">
      <c r="A273" s="25">
        <v>45399</v>
      </c>
      <c r="B273" s="24" t="s">
        <v>369</v>
      </c>
      <c r="C273" s="24" t="s">
        <v>370</v>
      </c>
    </row>
    <row r="274" spans="1:3" x14ac:dyDescent="0.15">
      <c r="A274" s="25">
        <v>45399</v>
      </c>
      <c r="B274" s="24" t="s">
        <v>371</v>
      </c>
      <c r="C274" s="24" t="s">
        <v>372</v>
      </c>
    </row>
    <row r="275" spans="1:3" x14ac:dyDescent="0.15">
      <c r="A275" s="25">
        <v>45399</v>
      </c>
      <c r="B275" s="24" t="s">
        <v>373</v>
      </c>
      <c r="C275" s="24" t="s">
        <v>374</v>
      </c>
    </row>
    <row r="276" spans="1:3" x14ac:dyDescent="0.15">
      <c r="A276" s="25">
        <v>45399</v>
      </c>
      <c r="B276" s="24" t="s">
        <v>375</v>
      </c>
      <c r="C276" s="24" t="s">
        <v>376</v>
      </c>
    </row>
    <row r="277" spans="1:3" x14ac:dyDescent="0.15">
      <c r="A277" s="25">
        <v>45399</v>
      </c>
      <c r="B277" s="24" t="s">
        <v>377</v>
      </c>
      <c r="C277" s="24" t="s">
        <v>378</v>
      </c>
    </row>
    <row r="278" spans="1:3" x14ac:dyDescent="0.15">
      <c r="A278" s="25">
        <v>45399</v>
      </c>
      <c r="B278" s="24" t="s">
        <v>379</v>
      </c>
      <c r="C278" s="24" t="s">
        <v>380</v>
      </c>
    </row>
    <row r="279" spans="1:3" x14ac:dyDescent="0.15">
      <c r="A279" s="25">
        <v>45399</v>
      </c>
      <c r="B279" s="24" t="s">
        <v>381</v>
      </c>
      <c r="C279" s="24" t="s">
        <v>382</v>
      </c>
    </row>
    <row r="280" spans="1:3" x14ac:dyDescent="0.15">
      <c r="A280" s="25">
        <v>45399</v>
      </c>
      <c r="B280" s="24" t="s">
        <v>383</v>
      </c>
      <c r="C280" s="24" t="s">
        <v>384</v>
      </c>
    </row>
    <row r="281" spans="1:3" x14ac:dyDescent="0.15">
      <c r="A281" s="25">
        <v>45399</v>
      </c>
      <c r="B281" s="24" t="s">
        <v>385</v>
      </c>
      <c r="C281" s="24" t="s">
        <v>386</v>
      </c>
    </row>
    <row r="282" spans="1:3" x14ac:dyDescent="0.15">
      <c r="A282" s="25">
        <v>45399</v>
      </c>
      <c r="B282" s="24" t="s">
        <v>387</v>
      </c>
      <c r="C282" s="24" t="s">
        <v>388</v>
      </c>
    </row>
    <row r="283" spans="1:3" x14ac:dyDescent="0.15">
      <c r="A283" s="25">
        <v>45399</v>
      </c>
      <c r="B283" s="24" t="s">
        <v>389</v>
      </c>
      <c r="C283" s="24" t="s">
        <v>390</v>
      </c>
    </row>
    <row r="284" spans="1:3" x14ac:dyDescent="0.15">
      <c r="A284" s="25">
        <v>45399</v>
      </c>
      <c r="B284" s="24" t="s">
        <v>391</v>
      </c>
      <c r="C284" s="24" t="s">
        <v>392</v>
      </c>
    </row>
    <row r="285" spans="1:3" x14ac:dyDescent="0.15">
      <c r="A285" s="25">
        <v>45399</v>
      </c>
      <c r="B285" s="24" t="s">
        <v>393</v>
      </c>
      <c r="C285" s="24" t="s">
        <v>394</v>
      </c>
    </row>
    <row r="286" spans="1:3" x14ac:dyDescent="0.15">
      <c r="A286" s="25">
        <v>45399</v>
      </c>
      <c r="B286" s="24" t="s">
        <v>395</v>
      </c>
      <c r="C286" s="24" t="s">
        <v>396</v>
      </c>
    </row>
    <row r="287" spans="1:3" x14ac:dyDescent="0.15">
      <c r="A287" s="25">
        <v>45399</v>
      </c>
      <c r="B287" s="24" t="s">
        <v>397</v>
      </c>
      <c r="C287" s="24" t="s">
        <v>398</v>
      </c>
    </row>
    <row r="288" spans="1:3" x14ac:dyDescent="0.15">
      <c r="A288" s="25">
        <v>45399</v>
      </c>
      <c r="B288" s="24" t="s">
        <v>399</v>
      </c>
      <c r="C288" s="24" t="s">
        <v>400</v>
      </c>
    </row>
    <row r="289" spans="1:3" x14ac:dyDescent="0.15">
      <c r="A289" s="25">
        <v>45399</v>
      </c>
      <c r="B289" s="24" t="s">
        <v>401</v>
      </c>
      <c r="C289" s="24" t="s">
        <v>402</v>
      </c>
    </row>
    <row r="290" spans="1:3" x14ac:dyDescent="0.15">
      <c r="A290" s="25">
        <v>45399</v>
      </c>
      <c r="B290" s="24" t="s">
        <v>403</v>
      </c>
      <c r="C290" s="24" t="s">
        <v>404</v>
      </c>
    </row>
    <row r="291" spans="1:3" x14ac:dyDescent="0.15">
      <c r="A291" s="25">
        <v>45399</v>
      </c>
      <c r="B291" s="24" t="s">
        <v>405</v>
      </c>
      <c r="C291" s="24" t="s">
        <v>406</v>
      </c>
    </row>
    <row r="292" spans="1:3" x14ac:dyDescent="0.15">
      <c r="A292" s="25">
        <v>45399</v>
      </c>
      <c r="B292" s="24" t="s">
        <v>407</v>
      </c>
      <c r="C292" s="24" t="s">
        <v>408</v>
      </c>
    </row>
    <row r="293" spans="1:3" x14ac:dyDescent="0.15">
      <c r="A293" s="25">
        <v>45399</v>
      </c>
      <c r="B293" s="24" t="s">
        <v>409</v>
      </c>
      <c r="C293" s="24" t="s">
        <v>410</v>
      </c>
    </row>
    <row r="294" spans="1:3" x14ac:dyDescent="0.15">
      <c r="A294" s="25">
        <v>45399</v>
      </c>
      <c r="B294" s="24" t="s">
        <v>411</v>
      </c>
      <c r="C294" s="24" t="s">
        <v>412</v>
      </c>
    </row>
    <row r="295" spans="1:3" x14ac:dyDescent="0.15">
      <c r="A295" s="25">
        <v>45399</v>
      </c>
      <c r="B295" s="24" t="s">
        <v>413</v>
      </c>
      <c r="C295" s="24" t="s">
        <v>414</v>
      </c>
    </row>
    <row r="296" spans="1:3" x14ac:dyDescent="0.15">
      <c r="A296" s="25">
        <v>45399</v>
      </c>
      <c r="B296" s="24" t="s">
        <v>415</v>
      </c>
      <c r="C296" s="24" t="s">
        <v>416</v>
      </c>
    </row>
    <row r="297" spans="1:3" x14ac:dyDescent="0.15">
      <c r="A297" s="25">
        <v>45399</v>
      </c>
      <c r="B297" s="24" t="s">
        <v>417</v>
      </c>
      <c r="C297" s="24" t="s">
        <v>418</v>
      </c>
    </row>
    <row r="298" spans="1:3" x14ac:dyDescent="0.15">
      <c r="A298" s="25">
        <v>45399</v>
      </c>
      <c r="B298" s="24" t="s">
        <v>419</v>
      </c>
      <c r="C298" s="24" t="s">
        <v>420</v>
      </c>
    </row>
    <row r="299" spans="1:3" x14ac:dyDescent="0.15">
      <c r="A299" s="25">
        <v>45399</v>
      </c>
      <c r="B299" s="24" t="s">
        <v>421</v>
      </c>
      <c r="C299" s="24" t="s">
        <v>422</v>
      </c>
    </row>
    <row r="300" spans="1:3" x14ac:dyDescent="0.15">
      <c r="A300" s="25">
        <v>45399</v>
      </c>
      <c r="B300" s="24" t="s">
        <v>423</v>
      </c>
      <c r="C300" s="24" t="s">
        <v>424</v>
      </c>
    </row>
    <row r="301" spans="1:3" x14ac:dyDescent="0.15">
      <c r="A301" s="25">
        <v>45399</v>
      </c>
      <c r="B301" s="24" t="s">
        <v>425</v>
      </c>
      <c r="C301" s="24" t="s">
        <v>426</v>
      </c>
    </row>
    <row r="302" spans="1:3" x14ac:dyDescent="0.15">
      <c r="A302" s="25">
        <v>45399</v>
      </c>
      <c r="B302" s="24" t="s">
        <v>427</v>
      </c>
      <c r="C302" s="24" t="s">
        <v>428</v>
      </c>
    </row>
    <row r="303" spans="1:3" x14ac:dyDescent="0.15">
      <c r="A303" s="25">
        <v>45399</v>
      </c>
      <c r="B303" s="24" t="s">
        <v>429</v>
      </c>
      <c r="C303" s="24" t="s">
        <v>430</v>
      </c>
    </row>
    <row r="304" spans="1:3" x14ac:dyDescent="0.15">
      <c r="A304" s="25">
        <v>45399</v>
      </c>
      <c r="B304" s="24" t="s">
        <v>431</v>
      </c>
      <c r="C304" s="24" t="s">
        <v>432</v>
      </c>
    </row>
    <row r="305" spans="1:3" x14ac:dyDescent="0.15">
      <c r="A305" s="25">
        <v>45399</v>
      </c>
      <c r="B305" s="24" t="s">
        <v>433</v>
      </c>
      <c r="C305" s="24" t="s">
        <v>434</v>
      </c>
    </row>
    <row r="306" spans="1:3" x14ac:dyDescent="0.15">
      <c r="A306" s="25">
        <v>45399</v>
      </c>
      <c r="B306" s="24" t="s">
        <v>435</v>
      </c>
      <c r="C306" s="24" t="s">
        <v>436</v>
      </c>
    </row>
    <row r="307" spans="1:3" x14ac:dyDescent="0.15">
      <c r="A307" s="25">
        <v>45399</v>
      </c>
      <c r="B307" s="24" t="s">
        <v>437</v>
      </c>
      <c r="C307" s="24" t="s">
        <v>438</v>
      </c>
    </row>
    <row r="308" spans="1:3" x14ac:dyDescent="0.15">
      <c r="A308" s="25">
        <v>45399</v>
      </c>
      <c r="B308" s="24" t="s">
        <v>439</v>
      </c>
      <c r="C308" s="24" t="s">
        <v>440</v>
      </c>
    </row>
    <row r="309" spans="1:3" x14ac:dyDescent="0.15">
      <c r="A309" s="25">
        <v>45399</v>
      </c>
      <c r="B309" s="24" t="s">
        <v>441</v>
      </c>
      <c r="C309" s="24" t="s">
        <v>442</v>
      </c>
    </row>
    <row r="310" spans="1:3" x14ac:dyDescent="0.15">
      <c r="A310" s="25">
        <v>45399</v>
      </c>
      <c r="B310" s="24" t="s">
        <v>443</v>
      </c>
      <c r="C310" s="24" t="s">
        <v>444</v>
      </c>
    </row>
    <row r="311" spans="1:3" x14ac:dyDescent="0.15">
      <c r="A311" s="25">
        <v>45399</v>
      </c>
      <c r="B311" s="24" t="s">
        <v>445</v>
      </c>
      <c r="C311" s="24" t="s">
        <v>446</v>
      </c>
    </row>
    <row r="312" spans="1:3" x14ac:dyDescent="0.15">
      <c r="A312" s="25">
        <v>45399</v>
      </c>
      <c r="B312" s="24" t="s">
        <v>447</v>
      </c>
      <c r="C312" s="24" t="s">
        <v>448</v>
      </c>
    </row>
    <row r="313" spans="1:3" x14ac:dyDescent="0.15">
      <c r="A313" s="25">
        <v>45399</v>
      </c>
      <c r="B313" s="24" t="s">
        <v>449</v>
      </c>
      <c r="C313" s="24" t="s">
        <v>450</v>
      </c>
    </row>
    <row r="314" spans="1:3" x14ac:dyDescent="0.15">
      <c r="A314" s="25">
        <v>45399</v>
      </c>
      <c r="B314" s="24" t="s">
        <v>451</v>
      </c>
      <c r="C314" s="24" t="s">
        <v>452</v>
      </c>
    </row>
    <row r="315" spans="1:3" x14ac:dyDescent="0.15">
      <c r="A315" s="25">
        <v>45399</v>
      </c>
      <c r="B315" s="24" t="s">
        <v>453</v>
      </c>
      <c r="C315" s="24" t="s">
        <v>454</v>
      </c>
    </row>
    <row r="316" spans="1:3" x14ac:dyDescent="0.15">
      <c r="A316" s="25">
        <v>45399</v>
      </c>
      <c r="B316" s="24" t="s">
        <v>455</v>
      </c>
      <c r="C316" s="24" t="s">
        <v>456</v>
      </c>
    </row>
    <row r="317" spans="1:3" x14ac:dyDescent="0.15">
      <c r="A317" s="25">
        <v>45399</v>
      </c>
      <c r="B317" s="24" t="s">
        <v>457</v>
      </c>
      <c r="C317" s="24" t="s">
        <v>458</v>
      </c>
    </row>
    <row r="318" spans="1:3" x14ac:dyDescent="0.15">
      <c r="A318" s="25">
        <v>45399</v>
      </c>
      <c r="B318" s="24" t="s">
        <v>459</v>
      </c>
      <c r="C318" s="24" t="s">
        <v>460</v>
      </c>
    </row>
    <row r="319" spans="1:3" x14ac:dyDescent="0.15">
      <c r="A319" s="25">
        <v>45399</v>
      </c>
      <c r="B319" s="24" t="s">
        <v>461</v>
      </c>
      <c r="C319" s="24" t="s">
        <v>462</v>
      </c>
    </row>
    <row r="320" spans="1:3" x14ac:dyDescent="0.15">
      <c r="A320" s="25">
        <v>45399</v>
      </c>
      <c r="B320" s="24" t="s">
        <v>463</v>
      </c>
      <c r="C320" s="24" t="s">
        <v>464</v>
      </c>
    </row>
    <row r="321" spans="1:3" x14ac:dyDescent="0.15">
      <c r="A321" s="25">
        <v>45399</v>
      </c>
      <c r="B321" s="24" t="s">
        <v>465</v>
      </c>
      <c r="C321" s="24" t="s">
        <v>466</v>
      </c>
    </row>
    <row r="322" spans="1:3" x14ac:dyDescent="0.15">
      <c r="A322" s="25">
        <v>45399</v>
      </c>
      <c r="B322" s="24" t="s">
        <v>467</v>
      </c>
      <c r="C322" s="24" t="s">
        <v>468</v>
      </c>
    </row>
    <row r="323" spans="1:3" x14ac:dyDescent="0.15">
      <c r="A323" s="25">
        <v>45399</v>
      </c>
      <c r="B323" s="24" t="s">
        <v>469</v>
      </c>
      <c r="C323" s="24" t="s">
        <v>470</v>
      </c>
    </row>
    <row r="324" spans="1:3" x14ac:dyDescent="0.15">
      <c r="A324" s="25">
        <v>45399</v>
      </c>
      <c r="B324" s="24" t="s">
        <v>471</v>
      </c>
      <c r="C324" s="24" t="s">
        <v>472</v>
      </c>
    </row>
    <row r="325" spans="1:3" x14ac:dyDescent="0.15">
      <c r="A325" s="25">
        <v>45399</v>
      </c>
      <c r="B325" s="24" t="s">
        <v>694</v>
      </c>
      <c r="C325" s="24" t="s">
        <v>695</v>
      </c>
    </row>
    <row r="326" spans="1:3" x14ac:dyDescent="0.15">
      <c r="A326" s="25">
        <v>45399</v>
      </c>
      <c r="B326" s="24" t="s">
        <v>696</v>
      </c>
      <c r="C326" s="24" t="s">
        <v>697</v>
      </c>
    </row>
    <row r="327" spans="1:3" x14ac:dyDescent="0.15">
      <c r="A327" s="25">
        <v>45399</v>
      </c>
      <c r="B327" s="24" t="s">
        <v>711</v>
      </c>
      <c r="C327" s="24" t="s">
        <v>712</v>
      </c>
    </row>
    <row r="328" spans="1:3" x14ac:dyDescent="0.15">
      <c r="A328" s="25">
        <v>45399</v>
      </c>
      <c r="B328" s="24" t="s">
        <v>865</v>
      </c>
      <c r="C328" s="24" t="s">
        <v>866</v>
      </c>
    </row>
    <row r="329" spans="1:3" x14ac:dyDescent="0.15">
      <c r="A329" s="25">
        <v>45399</v>
      </c>
      <c r="B329" s="24" t="s">
        <v>867</v>
      </c>
      <c r="C329" s="24" t="s">
        <v>868</v>
      </c>
    </row>
    <row r="330" spans="1:3" x14ac:dyDescent="0.15">
      <c r="A330" s="25">
        <v>45399</v>
      </c>
      <c r="B330" s="24" t="s">
        <v>869</v>
      </c>
      <c r="C330" s="24" t="s">
        <v>870</v>
      </c>
    </row>
    <row r="331" spans="1:3" x14ac:dyDescent="0.15">
      <c r="A331" s="25">
        <v>45399</v>
      </c>
      <c r="B331" s="24" t="s">
        <v>871</v>
      </c>
      <c r="C331" s="24" t="s">
        <v>872</v>
      </c>
    </row>
    <row r="332" spans="1:3" x14ac:dyDescent="0.15">
      <c r="A332" s="25">
        <v>45399</v>
      </c>
      <c r="B332" s="24" t="s">
        <v>873</v>
      </c>
      <c r="C332" s="24" t="s">
        <v>874</v>
      </c>
    </row>
    <row r="333" spans="1:3" x14ac:dyDescent="0.15">
      <c r="A333" s="25">
        <v>45399</v>
      </c>
      <c r="B333" s="24" t="s">
        <v>875</v>
      </c>
      <c r="C333" s="24" t="s">
        <v>876</v>
      </c>
    </row>
    <row r="334" spans="1:3" x14ac:dyDescent="0.15">
      <c r="A334" s="25">
        <v>45399</v>
      </c>
      <c r="B334" s="24" t="s">
        <v>877</v>
      </c>
      <c r="C334" s="24" t="s">
        <v>878</v>
      </c>
    </row>
    <row r="335" spans="1:3" x14ac:dyDescent="0.15">
      <c r="A335" s="25">
        <v>45399</v>
      </c>
      <c r="B335" s="24" t="s">
        <v>879</v>
      </c>
      <c r="C335" s="24" t="s">
        <v>880</v>
      </c>
    </row>
    <row r="336" spans="1:3" x14ac:dyDescent="0.15">
      <c r="A336" s="25">
        <v>45399</v>
      </c>
      <c r="B336" s="24" t="s">
        <v>881</v>
      </c>
      <c r="C336" s="24" t="s">
        <v>882</v>
      </c>
    </row>
    <row r="337" spans="1:3" x14ac:dyDescent="0.15">
      <c r="A337" s="25">
        <v>45399</v>
      </c>
      <c r="B337" s="24" t="s">
        <v>883</v>
      </c>
      <c r="C337" s="24" t="s">
        <v>884</v>
      </c>
    </row>
    <row r="338" spans="1:3" x14ac:dyDescent="0.15">
      <c r="A338" s="25">
        <v>45399</v>
      </c>
      <c r="B338" s="24" t="s">
        <v>885</v>
      </c>
      <c r="C338" s="24" t="s">
        <v>886</v>
      </c>
    </row>
    <row r="339" spans="1:3" x14ac:dyDescent="0.15">
      <c r="A339" s="25">
        <v>45399</v>
      </c>
      <c r="B339" s="24" t="s">
        <v>887</v>
      </c>
      <c r="C339" s="24" t="s">
        <v>888</v>
      </c>
    </row>
    <row r="340" spans="1:3" x14ac:dyDescent="0.15">
      <c r="A340" s="25">
        <v>45399</v>
      </c>
      <c r="B340" s="24" t="s">
        <v>889</v>
      </c>
      <c r="C340" s="24" t="s">
        <v>890</v>
      </c>
    </row>
    <row r="341" spans="1:3" x14ac:dyDescent="0.15">
      <c r="A341" s="25">
        <v>45399</v>
      </c>
      <c r="B341" s="24" t="s">
        <v>891</v>
      </c>
      <c r="C341" s="24" t="s">
        <v>892</v>
      </c>
    </row>
    <row r="342" spans="1:3" x14ac:dyDescent="0.15">
      <c r="A342" s="25">
        <v>45399</v>
      </c>
      <c r="B342" s="24" t="s">
        <v>893</v>
      </c>
      <c r="C342" s="24" t="s">
        <v>894</v>
      </c>
    </row>
    <row r="343" spans="1:3" x14ac:dyDescent="0.15">
      <c r="A343" s="25">
        <v>45399</v>
      </c>
      <c r="B343" s="24" t="s">
        <v>895</v>
      </c>
      <c r="C343" s="24" t="s">
        <v>896</v>
      </c>
    </row>
    <row r="344" spans="1:3" x14ac:dyDescent="0.15">
      <c r="A344" s="25">
        <v>45399</v>
      </c>
      <c r="B344" s="24" t="s">
        <v>897</v>
      </c>
      <c r="C344" s="24" t="s">
        <v>898</v>
      </c>
    </row>
    <row r="345" spans="1:3" x14ac:dyDescent="0.15">
      <c r="A345" s="25">
        <v>45399</v>
      </c>
      <c r="B345" s="24" t="s">
        <v>899</v>
      </c>
      <c r="C345" s="24" t="s">
        <v>900</v>
      </c>
    </row>
    <row r="346" spans="1:3" x14ac:dyDescent="0.15">
      <c r="A346" s="25">
        <v>45399</v>
      </c>
      <c r="B346" s="24" t="s">
        <v>901</v>
      </c>
      <c r="C346" s="24" t="s">
        <v>902</v>
      </c>
    </row>
    <row r="347" spans="1:3" x14ac:dyDescent="0.15">
      <c r="A347" s="25">
        <v>45399</v>
      </c>
      <c r="B347" s="24" t="s">
        <v>903</v>
      </c>
      <c r="C347" s="24" t="s">
        <v>904</v>
      </c>
    </row>
    <row r="348" spans="1:3" x14ac:dyDescent="0.15">
      <c r="A348" s="25">
        <v>45399</v>
      </c>
      <c r="B348" s="24" t="s">
        <v>905</v>
      </c>
      <c r="C348" s="24" t="s">
        <v>906</v>
      </c>
    </row>
    <row r="349" spans="1:3" x14ac:dyDescent="0.15">
      <c r="A349" s="25">
        <v>45399</v>
      </c>
      <c r="B349" s="24" t="s">
        <v>907</v>
      </c>
      <c r="C349" s="24" t="s">
        <v>908</v>
      </c>
    </row>
    <row r="350" spans="1:3" x14ac:dyDescent="0.15">
      <c r="A350" s="25">
        <v>45399</v>
      </c>
      <c r="B350" s="24" t="s">
        <v>909</v>
      </c>
      <c r="C350" s="24" t="s">
        <v>910</v>
      </c>
    </row>
    <row r="351" spans="1:3" x14ac:dyDescent="0.15">
      <c r="A351" s="25">
        <v>45399</v>
      </c>
      <c r="B351" s="24" t="s">
        <v>911</v>
      </c>
      <c r="C351" s="24" t="s">
        <v>912</v>
      </c>
    </row>
    <row r="352" spans="1:3" x14ac:dyDescent="0.15">
      <c r="A352" s="25">
        <v>45399</v>
      </c>
      <c r="B352" s="24" t="s">
        <v>913</v>
      </c>
      <c r="C352" s="24" t="s">
        <v>914</v>
      </c>
    </row>
    <row r="353" spans="1:3" x14ac:dyDescent="0.15">
      <c r="A353" s="25">
        <v>45399</v>
      </c>
      <c r="B353" s="24" t="s">
        <v>915</v>
      </c>
      <c r="C353" s="24" t="s">
        <v>916</v>
      </c>
    </row>
    <row r="354" spans="1:3" x14ac:dyDescent="0.15">
      <c r="A354" s="25">
        <v>45399</v>
      </c>
      <c r="B354" s="24" t="s">
        <v>917</v>
      </c>
      <c r="C354" s="24" t="s">
        <v>918</v>
      </c>
    </row>
    <row r="355" spans="1:3" x14ac:dyDescent="0.15">
      <c r="A355" s="25">
        <v>45399</v>
      </c>
      <c r="B355" s="24" t="s">
        <v>919</v>
      </c>
      <c r="C355" s="24" t="s">
        <v>920</v>
      </c>
    </row>
    <row r="356" spans="1:3" x14ac:dyDescent="0.15">
      <c r="A356" s="25">
        <v>45399</v>
      </c>
      <c r="B356" s="24" t="s">
        <v>921</v>
      </c>
      <c r="C356" s="24" t="s">
        <v>922</v>
      </c>
    </row>
    <row r="357" spans="1:3" x14ac:dyDescent="0.15">
      <c r="A357" s="25">
        <v>45399</v>
      </c>
      <c r="B357" s="24" t="s">
        <v>923</v>
      </c>
      <c r="C357" s="24" t="s">
        <v>924</v>
      </c>
    </row>
    <row r="358" spans="1:3" x14ac:dyDescent="0.15">
      <c r="A358" s="25">
        <v>45399</v>
      </c>
      <c r="B358" s="24" t="s">
        <v>925</v>
      </c>
      <c r="C358" s="24" t="s">
        <v>926</v>
      </c>
    </row>
    <row r="359" spans="1:3" x14ac:dyDescent="0.15">
      <c r="A359" s="25">
        <v>45399</v>
      </c>
      <c r="B359" s="24" t="s">
        <v>927</v>
      </c>
      <c r="C359" s="24" t="s">
        <v>928</v>
      </c>
    </row>
    <row r="360" spans="1:3" x14ac:dyDescent="0.15">
      <c r="A360" s="25">
        <v>45399</v>
      </c>
      <c r="B360" s="24" t="s">
        <v>929</v>
      </c>
      <c r="C360" s="24" t="s">
        <v>930</v>
      </c>
    </row>
    <row r="361" spans="1:3" x14ac:dyDescent="0.15">
      <c r="A361" s="25">
        <v>45399</v>
      </c>
      <c r="B361" s="24" t="s">
        <v>931</v>
      </c>
      <c r="C361" s="24" t="s">
        <v>932</v>
      </c>
    </row>
    <row r="362" spans="1:3" x14ac:dyDescent="0.15">
      <c r="A362" s="25">
        <v>45399</v>
      </c>
      <c r="B362" s="24" t="s">
        <v>933</v>
      </c>
      <c r="C362" s="24" t="s">
        <v>934</v>
      </c>
    </row>
    <row r="363" spans="1:3" x14ac:dyDescent="0.15">
      <c r="A363" s="25">
        <v>45399</v>
      </c>
      <c r="B363" s="24" t="s">
        <v>935</v>
      </c>
      <c r="C363" s="24" t="s">
        <v>936</v>
      </c>
    </row>
    <row r="364" spans="1:3" x14ac:dyDescent="0.15">
      <c r="A364" s="25">
        <v>45399</v>
      </c>
      <c r="B364" s="24" t="s">
        <v>937</v>
      </c>
      <c r="C364" s="24" t="s">
        <v>938</v>
      </c>
    </row>
    <row r="365" spans="1:3" x14ac:dyDescent="0.15">
      <c r="A365" s="25">
        <v>45399</v>
      </c>
      <c r="B365" s="24" t="s">
        <v>939</v>
      </c>
      <c r="C365" s="24" t="s">
        <v>940</v>
      </c>
    </row>
    <row r="366" spans="1:3" x14ac:dyDescent="0.15">
      <c r="A366" s="25">
        <v>45399</v>
      </c>
      <c r="B366" s="24" t="s">
        <v>941</v>
      </c>
      <c r="C366" s="24" t="s">
        <v>942</v>
      </c>
    </row>
    <row r="367" spans="1:3" x14ac:dyDescent="0.15">
      <c r="A367" s="25">
        <v>45399</v>
      </c>
      <c r="B367" s="24" t="s">
        <v>943</v>
      </c>
      <c r="C367" s="24" t="s">
        <v>944</v>
      </c>
    </row>
    <row r="368" spans="1:3" x14ac:dyDescent="0.15">
      <c r="A368" s="25">
        <v>45399</v>
      </c>
      <c r="B368" s="24" t="s">
        <v>945</v>
      </c>
      <c r="C368" s="24" t="s">
        <v>946</v>
      </c>
    </row>
    <row r="369" spans="1:3" x14ac:dyDescent="0.15">
      <c r="A369" s="25">
        <v>45399</v>
      </c>
      <c r="B369" s="24" t="s">
        <v>947</v>
      </c>
      <c r="C369" s="24" t="s">
        <v>948</v>
      </c>
    </row>
    <row r="370" spans="1:3" x14ac:dyDescent="0.15">
      <c r="A370" s="25">
        <v>45399</v>
      </c>
      <c r="B370" s="24" t="s">
        <v>949</v>
      </c>
      <c r="C370" s="24" t="s">
        <v>950</v>
      </c>
    </row>
    <row r="371" spans="1:3" x14ac:dyDescent="0.15">
      <c r="A371" s="25">
        <v>45399</v>
      </c>
      <c r="B371" s="24" t="s">
        <v>951</v>
      </c>
      <c r="C371" s="24" t="s">
        <v>952</v>
      </c>
    </row>
    <row r="372" spans="1:3" x14ac:dyDescent="0.15">
      <c r="A372" s="25">
        <v>45399</v>
      </c>
      <c r="B372" s="24" t="s">
        <v>953</v>
      </c>
      <c r="C372" s="24" t="s">
        <v>954</v>
      </c>
    </row>
    <row r="373" spans="1:3" x14ac:dyDescent="0.15">
      <c r="A373" s="25">
        <v>45399</v>
      </c>
      <c r="B373" s="24" t="s">
        <v>955</v>
      </c>
      <c r="C373" s="24" t="s">
        <v>956</v>
      </c>
    </row>
    <row r="374" spans="1:3" x14ac:dyDescent="0.15">
      <c r="A374" s="25">
        <v>45399</v>
      </c>
      <c r="B374" s="24" t="s">
        <v>957</v>
      </c>
      <c r="C374" s="24" t="s">
        <v>958</v>
      </c>
    </row>
    <row r="375" spans="1:3" x14ac:dyDescent="0.15">
      <c r="A375" s="25">
        <v>45399</v>
      </c>
      <c r="B375" s="24" t="s">
        <v>959</v>
      </c>
      <c r="C375" s="24" t="s">
        <v>960</v>
      </c>
    </row>
    <row r="376" spans="1:3" x14ac:dyDescent="0.15">
      <c r="A376" s="25">
        <v>45399</v>
      </c>
      <c r="B376" s="24" t="s">
        <v>961</v>
      </c>
      <c r="C376" s="24" t="s">
        <v>962</v>
      </c>
    </row>
    <row r="377" spans="1:3" x14ac:dyDescent="0.15">
      <c r="A377" s="25">
        <v>45399</v>
      </c>
      <c r="B377" s="24" t="s">
        <v>963</v>
      </c>
      <c r="C377" s="24" t="s">
        <v>964</v>
      </c>
    </row>
    <row r="378" spans="1:3" x14ac:dyDescent="0.15">
      <c r="A378" s="25">
        <v>45399</v>
      </c>
      <c r="B378" s="24" t="s">
        <v>965</v>
      </c>
      <c r="C378" s="24" t="s">
        <v>966</v>
      </c>
    </row>
    <row r="379" spans="1:3" x14ac:dyDescent="0.15">
      <c r="A379" s="25">
        <v>45399</v>
      </c>
      <c r="B379" s="24" t="s">
        <v>967</v>
      </c>
      <c r="C379" s="24" t="s">
        <v>968</v>
      </c>
    </row>
    <row r="380" spans="1:3" x14ac:dyDescent="0.15">
      <c r="A380" s="25">
        <v>45399</v>
      </c>
      <c r="B380" s="24" t="s">
        <v>969</v>
      </c>
      <c r="C380" s="24" t="s">
        <v>970</v>
      </c>
    </row>
    <row r="381" spans="1:3" x14ac:dyDescent="0.15">
      <c r="A381" s="25">
        <v>45399</v>
      </c>
      <c r="B381" s="24" t="s">
        <v>971</v>
      </c>
      <c r="C381" s="24" t="s">
        <v>972</v>
      </c>
    </row>
    <row r="382" spans="1:3" x14ac:dyDescent="0.15">
      <c r="A382" s="25">
        <v>45399</v>
      </c>
      <c r="B382" s="24" t="s">
        <v>973</v>
      </c>
      <c r="C382" s="24" t="s">
        <v>974</v>
      </c>
    </row>
    <row r="383" spans="1:3" x14ac:dyDescent="0.15">
      <c r="A383" s="25">
        <v>45399</v>
      </c>
      <c r="B383" s="24" t="s">
        <v>975</v>
      </c>
      <c r="C383" s="24" t="s">
        <v>976</v>
      </c>
    </row>
    <row r="384" spans="1:3" x14ac:dyDescent="0.15">
      <c r="A384" s="25">
        <v>45399</v>
      </c>
      <c r="B384" s="24" t="s">
        <v>977</v>
      </c>
      <c r="C384" s="24" t="s">
        <v>978</v>
      </c>
    </row>
    <row r="385" spans="1:3" x14ac:dyDescent="0.15">
      <c r="A385" s="25">
        <v>45399</v>
      </c>
      <c r="B385" s="24" t="s">
        <v>979</v>
      </c>
      <c r="C385" s="24" t="s">
        <v>980</v>
      </c>
    </row>
    <row r="386" spans="1:3" x14ac:dyDescent="0.15">
      <c r="A386" s="25">
        <v>45399</v>
      </c>
      <c r="B386" s="24" t="s">
        <v>981</v>
      </c>
      <c r="C386" s="24" t="s">
        <v>982</v>
      </c>
    </row>
    <row r="387" spans="1:3" x14ac:dyDescent="0.15">
      <c r="A387" s="25">
        <v>45399</v>
      </c>
      <c r="B387" s="24" t="s">
        <v>983</v>
      </c>
      <c r="C387" s="24" t="s">
        <v>984</v>
      </c>
    </row>
    <row r="388" spans="1:3" x14ac:dyDescent="0.15">
      <c r="A388" s="25">
        <v>45399</v>
      </c>
      <c r="B388" s="24" t="s">
        <v>985</v>
      </c>
      <c r="C388" s="24" t="s">
        <v>986</v>
      </c>
    </row>
    <row r="389" spans="1:3" x14ac:dyDescent="0.15">
      <c r="A389" s="25">
        <v>45399</v>
      </c>
      <c r="B389" s="24" t="s">
        <v>987</v>
      </c>
      <c r="C389" s="24" t="s">
        <v>988</v>
      </c>
    </row>
    <row r="390" spans="1:3" x14ac:dyDescent="0.15">
      <c r="A390" s="25">
        <v>45399</v>
      </c>
      <c r="B390" s="24" t="s">
        <v>989</v>
      </c>
      <c r="C390" s="24" t="s">
        <v>990</v>
      </c>
    </row>
    <row r="391" spans="1:3" x14ac:dyDescent="0.15">
      <c r="A391" s="25">
        <v>45399</v>
      </c>
      <c r="B391" s="24" t="s">
        <v>991</v>
      </c>
      <c r="C391" s="24" t="s">
        <v>992</v>
      </c>
    </row>
    <row r="392" spans="1:3" x14ac:dyDescent="0.15">
      <c r="A392" s="25">
        <v>45399</v>
      </c>
      <c r="B392" s="24" t="s">
        <v>993</v>
      </c>
      <c r="C392" s="24" t="s">
        <v>994</v>
      </c>
    </row>
    <row r="393" spans="1:3" x14ac:dyDescent="0.15">
      <c r="A393" s="25">
        <v>45399</v>
      </c>
      <c r="B393" s="24" t="s">
        <v>995</v>
      </c>
      <c r="C393" s="24" t="s">
        <v>996</v>
      </c>
    </row>
    <row r="394" spans="1:3" x14ac:dyDescent="0.15">
      <c r="A394" s="25">
        <v>45399</v>
      </c>
      <c r="B394" s="24" t="s">
        <v>997</v>
      </c>
      <c r="C394" s="24" t="s">
        <v>998</v>
      </c>
    </row>
    <row r="395" spans="1:3" x14ac:dyDescent="0.15">
      <c r="A395" s="25">
        <v>45399</v>
      </c>
      <c r="B395" s="24" t="s">
        <v>999</v>
      </c>
      <c r="C395" s="24" t="s">
        <v>1000</v>
      </c>
    </row>
    <row r="396" spans="1:3" x14ac:dyDescent="0.15">
      <c r="A396" s="25">
        <v>45399</v>
      </c>
      <c r="B396" s="24" t="s">
        <v>1001</v>
      </c>
      <c r="C396" s="24" t="s">
        <v>1002</v>
      </c>
    </row>
    <row r="397" spans="1:3" x14ac:dyDescent="0.15">
      <c r="A397" s="25">
        <v>45399</v>
      </c>
      <c r="B397" s="24" t="s">
        <v>1142</v>
      </c>
      <c r="C397" s="24" t="s">
        <v>1143</v>
      </c>
    </row>
    <row r="398" spans="1:3" x14ac:dyDescent="0.15">
      <c r="A398" s="25">
        <v>45399</v>
      </c>
      <c r="B398" s="24" t="s">
        <v>1144</v>
      </c>
      <c r="C398" s="24" t="s">
        <v>1145</v>
      </c>
    </row>
    <row r="399" spans="1:3" x14ac:dyDescent="0.15">
      <c r="A399" s="25">
        <v>45399</v>
      </c>
      <c r="B399" s="24" t="s">
        <v>1146</v>
      </c>
      <c r="C399" s="24" t="s">
        <v>1147</v>
      </c>
    </row>
    <row r="400" spans="1:3" x14ac:dyDescent="0.15">
      <c r="A400" s="25">
        <v>45399</v>
      </c>
      <c r="B400" s="24" t="s">
        <v>1148</v>
      </c>
      <c r="C400" s="24" t="s">
        <v>1149</v>
      </c>
    </row>
    <row r="401" spans="1:3" x14ac:dyDescent="0.15">
      <c r="A401" s="25">
        <v>45399</v>
      </c>
      <c r="B401" s="24" t="s">
        <v>1150</v>
      </c>
      <c r="C401" s="24" t="s">
        <v>1151</v>
      </c>
    </row>
    <row r="402" spans="1:3" x14ac:dyDescent="0.15">
      <c r="A402" s="25">
        <v>45399</v>
      </c>
      <c r="B402" s="24" t="s">
        <v>1152</v>
      </c>
      <c r="C402" s="24" t="s">
        <v>1153</v>
      </c>
    </row>
    <row r="403" spans="1:3" x14ac:dyDescent="0.15">
      <c r="A403" s="25">
        <v>45399</v>
      </c>
      <c r="B403" s="24" t="s">
        <v>1154</v>
      </c>
      <c r="C403" s="24" t="s">
        <v>1155</v>
      </c>
    </row>
    <row r="404" spans="1:3" x14ac:dyDescent="0.15">
      <c r="A404" s="25">
        <v>45399</v>
      </c>
      <c r="B404" s="24" t="s">
        <v>1156</v>
      </c>
      <c r="C404" s="24" t="s">
        <v>1157</v>
      </c>
    </row>
    <row r="405" spans="1:3" x14ac:dyDescent="0.15">
      <c r="A405" s="25">
        <v>45399</v>
      </c>
      <c r="B405" s="24" t="s">
        <v>1194</v>
      </c>
      <c r="C405" s="24" t="s">
        <v>1195</v>
      </c>
    </row>
    <row r="406" spans="1:3" x14ac:dyDescent="0.15">
      <c r="A406" s="25">
        <v>45399</v>
      </c>
      <c r="B406" s="24" t="s">
        <v>1196</v>
      </c>
      <c r="C406" s="24" t="s">
        <v>1197</v>
      </c>
    </row>
    <row r="407" spans="1:3" x14ac:dyDescent="0.15">
      <c r="A407" s="25">
        <v>45399</v>
      </c>
      <c r="B407" s="24" t="s">
        <v>1198</v>
      </c>
      <c r="C407" s="24" t="s">
        <v>1199</v>
      </c>
    </row>
    <row r="408" spans="1:3" x14ac:dyDescent="0.15">
      <c r="A408" s="25">
        <v>45399</v>
      </c>
      <c r="B408" s="24" t="s">
        <v>1200</v>
      </c>
      <c r="C408" s="24" t="s">
        <v>1201</v>
      </c>
    </row>
    <row r="409" spans="1:3" x14ac:dyDescent="0.15">
      <c r="A409" s="25">
        <v>45399</v>
      </c>
      <c r="B409" s="24" t="s">
        <v>1202</v>
      </c>
      <c r="C409" s="24" t="s">
        <v>1203</v>
      </c>
    </row>
    <row r="410" spans="1:3" x14ac:dyDescent="0.15">
      <c r="A410" s="25">
        <v>45399</v>
      </c>
      <c r="B410" s="24" t="s">
        <v>1204</v>
      </c>
      <c r="C410" s="24" t="s">
        <v>1205</v>
      </c>
    </row>
    <row r="411" spans="1:3" x14ac:dyDescent="0.15">
      <c r="A411" s="25">
        <v>45399</v>
      </c>
      <c r="B411" s="24" t="s">
        <v>1206</v>
      </c>
      <c r="C411" s="24" t="s">
        <v>1207</v>
      </c>
    </row>
    <row r="412" spans="1:3" x14ac:dyDescent="0.15">
      <c r="A412" s="25">
        <v>45399</v>
      </c>
      <c r="B412" s="24" t="s">
        <v>473</v>
      </c>
      <c r="C412" s="24" t="s">
        <v>474</v>
      </c>
    </row>
    <row r="413" spans="1:3" x14ac:dyDescent="0.15">
      <c r="A413" s="25">
        <v>45399</v>
      </c>
      <c r="B413" s="24" t="s">
        <v>475</v>
      </c>
      <c r="C413" s="24" t="s">
        <v>476</v>
      </c>
    </row>
    <row r="414" spans="1:3" x14ac:dyDescent="0.15">
      <c r="A414" s="25">
        <v>45399</v>
      </c>
      <c r="B414" s="24" t="s">
        <v>477</v>
      </c>
      <c r="C414" s="24" t="s">
        <v>478</v>
      </c>
    </row>
    <row r="415" spans="1:3" x14ac:dyDescent="0.15">
      <c r="A415" s="25">
        <v>45399</v>
      </c>
      <c r="B415" s="24" t="s">
        <v>1003</v>
      </c>
      <c r="C415" s="24" t="s">
        <v>1004</v>
      </c>
    </row>
    <row r="416" spans="1:3" x14ac:dyDescent="0.15">
      <c r="A416" s="25">
        <v>45399</v>
      </c>
      <c r="B416" s="24" t="s">
        <v>479</v>
      </c>
      <c r="C416" s="24" t="s">
        <v>480</v>
      </c>
    </row>
    <row r="417" spans="1:3" x14ac:dyDescent="0.15">
      <c r="A417" s="25">
        <v>45399</v>
      </c>
      <c r="B417" s="24" t="s">
        <v>481</v>
      </c>
      <c r="C417" s="24" t="s">
        <v>482</v>
      </c>
    </row>
    <row r="418" spans="1:3" x14ac:dyDescent="0.15">
      <c r="A418" s="25">
        <v>45399</v>
      </c>
      <c r="B418" s="24" t="s">
        <v>1005</v>
      </c>
      <c r="C418" s="24" t="s">
        <v>1006</v>
      </c>
    </row>
    <row r="419" spans="1:3" x14ac:dyDescent="0.15">
      <c r="A419" s="25">
        <v>45399</v>
      </c>
      <c r="B419" s="24" t="s">
        <v>1158</v>
      </c>
      <c r="C419" s="24" t="s">
        <v>1159</v>
      </c>
    </row>
    <row r="420" spans="1:3" x14ac:dyDescent="0.15">
      <c r="A420" s="25">
        <v>45399</v>
      </c>
      <c r="B420" s="24" t="s">
        <v>483</v>
      </c>
      <c r="C420" s="24" t="s">
        <v>484</v>
      </c>
    </row>
    <row r="421" spans="1:3" x14ac:dyDescent="0.15">
      <c r="A421" s="25">
        <v>45399</v>
      </c>
      <c r="B421" s="24" t="s">
        <v>485</v>
      </c>
      <c r="C421" s="24" t="s">
        <v>486</v>
      </c>
    </row>
    <row r="422" spans="1:3" x14ac:dyDescent="0.15">
      <c r="A422" s="25">
        <v>45399</v>
      </c>
      <c r="B422" s="24" t="s">
        <v>487</v>
      </c>
      <c r="C422" s="24" t="s">
        <v>488</v>
      </c>
    </row>
    <row r="423" spans="1:3" x14ac:dyDescent="0.15">
      <c r="A423" s="25">
        <v>45399</v>
      </c>
      <c r="B423" s="24" t="s">
        <v>489</v>
      </c>
      <c r="C423" s="24" t="s">
        <v>490</v>
      </c>
    </row>
    <row r="424" spans="1:3" x14ac:dyDescent="0.15">
      <c r="A424" s="25">
        <v>45399</v>
      </c>
      <c r="B424" s="24" t="s">
        <v>491</v>
      </c>
      <c r="C424" s="24" t="s">
        <v>492</v>
      </c>
    </row>
    <row r="425" spans="1:3" x14ac:dyDescent="0.15">
      <c r="A425" s="25">
        <v>45399</v>
      </c>
      <c r="B425" s="24" t="s">
        <v>493</v>
      </c>
      <c r="C425" s="24" t="s">
        <v>494</v>
      </c>
    </row>
    <row r="426" spans="1:3" x14ac:dyDescent="0.15">
      <c r="A426" s="25">
        <v>45399</v>
      </c>
      <c r="B426" s="24" t="s">
        <v>495</v>
      </c>
      <c r="C426" s="24" t="s">
        <v>496</v>
      </c>
    </row>
    <row r="427" spans="1:3" x14ac:dyDescent="0.15">
      <c r="A427" s="25">
        <v>45399</v>
      </c>
      <c r="B427" s="24" t="s">
        <v>497</v>
      </c>
      <c r="C427" s="24" t="s">
        <v>498</v>
      </c>
    </row>
    <row r="428" spans="1:3" x14ac:dyDescent="0.15">
      <c r="A428" s="25">
        <v>45399</v>
      </c>
      <c r="B428" s="24" t="s">
        <v>499</v>
      </c>
      <c r="C428" s="24" t="s">
        <v>500</v>
      </c>
    </row>
    <row r="429" spans="1:3" x14ac:dyDescent="0.15">
      <c r="A429" s="25">
        <v>45399</v>
      </c>
      <c r="B429" s="24" t="s">
        <v>501</v>
      </c>
      <c r="C429" s="24" t="s">
        <v>502</v>
      </c>
    </row>
    <row r="430" spans="1:3" x14ac:dyDescent="0.15">
      <c r="A430" s="25">
        <v>45399</v>
      </c>
      <c r="B430" s="24" t="s">
        <v>503</v>
      </c>
      <c r="C430" s="24" t="s">
        <v>504</v>
      </c>
    </row>
    <row r="431" spans="1:3" x14ac:dyDescent="0.15">
      <c r="A431" s="25">
        <v>45399</v>
      </c>
      <c r="B431" s="24" t="s">
        <v>505</v>
      </c>
      <c r="C431" s="24" t="s">
        <v>506</v>
      </c>
    </row>
    <row r="432" spans="1:3" x14ac:dyDescent="0.15">
      <c r="A432" s="25">
        <v>45399</v>
      </c>
      <c r="B432" s="24" t="s">
        <v>507</v>
      </c>
      <c r="C432" s="24" t="s">
        <v>1007</v>
      </c>
    </row>
    <row r="433" spans="1:3" x14ac:dyDescent="0.15">
      <c r="A433" s="25">
        <v>45399</v>
      </c>
      <c r="B433" s="24" t="s">
        <v>508</v>
      </c>
      <c r="C433" s="24" t="s">
        <v>509</v>
      </c>
    </row>
    <row r="434" spans="1:3" x14ac:dyDescent="0.15">
      <c r="A434" s="25">
        <v>45399</v>
      </c>
      <c r="B434" s="24" t="s">
        <v>510</v>
      </c>
      <c r="C434" s="24" t="s">
        <v>511</v>
      </c>
    </row>
    <row r="435" spans="1:3" x14ac:dyDescent="0.15">
      <c r="A435" s="25">
        <v>45399</v>
      </c>
      <c r="B435" s="24" t="s">
        <v>512</v>
      </c>
      <c r="C435" s="24" t="s">
        <v>513</v>
      </c>
    </row>
    <row r="436" spans="1:3" x14ac:dyDescent="0.15">
      <c r="A436" s="25">
        <v>45399</v>
      </c>
      <c r="B436" s="24" t="s">
        <v>514</v>
      </c>
      <c r="C436" s="24" t="s">
        <v>515</v>
      </c>
    </row>
    <row r="437" spans="1:3" x14ac:dyDescent="0.15">
      <c r="A437" s="25">
        <v>45399</v>
      </c>
      <c r="B437" s="24" t="s">
        <v>516</v>
      </c>
      <c r="C437" s="24" t="s">
        <v>517</v>
      </c>
    </row>
    <row r="438" spans="1:3" x14ac:dyDescent="0.15">
      <c r="A438" s="25">
        <v>45399</v>
      </c>
      <c r="B438" s="24" t="s">
        <v>518</v>
      </c>
      <c r="C438" s="24" t="s">
        <v>519</v>
      </c>
    </row>
    <row r="439" spans="1:3" x14ac:dyDescent="0.15">
      <c r="A439" s="25">
        <v>45399</v>
      </c>
      <c r="B439" s="24" t="s">
        <v>520</v>
      </c>
      <c r="C439" s="24" t="s">
        <v>521</v>
      </c>
    </row>
    <row r="440" spans="1:3" x14ac:dyDescent="0.15">
      <c r="A440" s="25">
        <v>45399</v>
      </c>
      <c r="B440" s="24" t="s">
        <v>522</v>
      </c>
      <c r="C440" s="24" t="s">
        <v>523</v>
      </c>
    </row>
    <row r="441" spans="1:3" x14ac:dyDescent="0.15">
      <c r="A441" s="25">
        <v>45399</v>
      </c>
      <c r="B441" s="24" t="s">
        <v>524</v>
      </c>
      <c r="C441" s="24" t="s">
        <v>525</v>
      </c>
    </row>
    <row r="442" spans="1:3" x14ac:dyDescent="0.15">
      <c r="A442" s="25">
        <v>45399</v>
      </c>
      <c r="B442" s="24" t="s">
        <v>526</v>
      </c>
      <c r="C442" s="24" t="s">
        <v>527</v>
      </c>
    </row>
    <row r="443" spans="1:3" x14ac:dyDescent="0.15">
      <c r="A443" s="25">
        <v>45399</v>
      </c>
      <c r="B443" s="24" t="s">
        <v>528</v>
      </c>
      <c r="C443" s="24" t="s">
        <v>529</v>
      </c>
    </row>
    <row r="444" spans="1:3" x14ac:dyDescent="0.15">
      <c r="A444" s="25">
        <v>45399</v>
      </c>
      <c r="B444" s="24" t="s">
        <v>530</v>
      </c>
      <c r="C444" s="24" t="s">
        <v>531</v>
      </c>
    </row>
    <row r="445" spans="1:3" x14ac:dyDescent="0.15">
      <c r="A445" s="25">
        <v>45399</v>
      </c>
      <c r="B445" s="24" t="s">
        <v>532</v>
      </c>
      <c r="C445" s="24" t="s">
        <v>533</v>
      </c>
    </row>
    <row r="446" spans="1:3" x14ac:dyDescent="0.15">
      <c r="A446" s="25">
        <v>45399</v>
      </c>
      <c r="B446" s="24" t="s">
        <v>534</v>
      </c>
      <c r="C446" s="24" t="s">
        <v>535</v>
      </c>
    </row>
    <row r="447" spans="1:3" x14ac:dyDescent="0.15">
      <c r="A447" s="25">
        <v>45399</v>
      </c>
      <c r="B447" s="24" t="s">
        <v>536</v>
      </c>
      <c r="C447" s="24" t="s">
        <v>537</v>
      </c>
    </row>
    <row r="448" spans="1:3" x14ac:dyDescent="0.15">
      <c r="A448" s="25">
        <v>45399</v>
      </c>
      <c r="B448" s="24" t="s">
        <v>538</v>
      </c>
      <c r="C448" s="24" t="s">
        <v>539</v>
      </c>
    </row>
    <row r="449" spans="1:3" x14ac:dyDescent="0.15">
      <c r="A449" s="25">
        <v>45399</v>
      </c>
      <c r="B449" s="24" t="s">
        <v>540</v>
      </c>
      <c r="C449" s="24" t="s">
        <v>541</v>
      </c>
    </row>
    <row r="450" spans="1:3" x14ac:dyDescent="0.15">
      <c r="A450" s="25">
        <v>45399</v>
      </c>
      <c r="B450" s="24" t="s">
        <v>542</v>
      </c>
      <c r="C450" s="24" t="s">
        <v>543</v>
      </c>
    </row>
    <row r="451" spans="1:3" x14ac:dyDescent="0.15">
      <c r="A451" s="25">
        <v>45399</v>
      </c>
      <c r="B451" s="24" t="s">
        <v>544</v>
      </c>
      <c r="C451" s="24" t="s">
        <v>545</v>
      </c>
    </row>
    <row r="452" spans="1:3" x14ac:dyDescent="0.15">
      <c r="A452" s="25">
        <v>45399</v>
      </c>
      <c r="B452" s="24" t="s">
        <v>546</v>
      </c>
      <c r="C452" s="24" t="s">
        <v>547</v>
      </c>
    </row>
    <row r="453" spans="1:3" x14ac:dyDescent="0.15">
      <c r="A453" s="25">
        <v>45399</v>
      </c>
      <c r="B453" s="24" t="s">
        <v>548</v>
      </c>
      <c r="C453" s="24" t="s">
        <v>549</v>
      </c>
    </row>
    <row r="454" spans="1:3" x14ac:dyDescent="0.15">
      <c r="A454" s="25">
        <v>45399</v>
      </c>
      <c r="B454" s="24" t="s">
        <v>550</v>
      </c>
      <c r="C454" s="24" t="s">
        <v>551</v>
      </c>
    </row>
    <row r="455" spans="1:3" x14ac:dyDescent="0.15">
      <c r="A455" s="25">
        <v>45399</v>
      </c>
      <c r="B455" s="24" t="s">
        <v>552</v>
      </c>
      <c r="C455" s="24" t="s">
        <v>553</v>
      </c>
    </row>
    <row r="456" spans="1:3" x14ac:dyDescent="0.15">
      <c r="A456" s="25">
        <v>45399</v>
      </c>
      <c r="B456" s="24" t="s">
        <v>554</v>
      </c>
      <c r="C456" s="24" t="s">
        <v>555</v>
      </c>
    </row>
    <row r="457" spans="1:3" x14ac:dyDescent="0.15">
      <c r="A457" s="25">
        <v>45399</v>
      </c>
      <c r="B457" s="24" t="s">
        <v>556</v>
      </c>
      <c r="C457" s="24" t="s">
        <v>557</v>
      </c>
    </row>
    <row r="458" spans="1:3" x14ac:dyDescent="0.15">
      <c r="A458" s="25">
        <v>45399</v>
      </c>
      <c r="B458" s="24" t="s">
        <v>558</v>
      </c>
      <c r="C458" s="24" t="s">
        <v>559</v>
      </c>
    </row>
    <row r="459" spans="1:3" x14ac:dyDescent="0.15">
      <c r="A459" s="25">
        <v>45399</v>
      </c>
      <c r="B459" s="24" t="s">
        <v>560</v>
      </c>
      <c r="C459" s="24" t="s">
        <v>561</v>
      </c>
    </row>
    <row r="460" spans="1:3" x14ac:dyDescent="0.15">
      <c r="A460" s="25">
        <v>45399</v>
      </c>
      <c r="B460" s="24" t="s">
        <v>562</v>
      </c>
      <c r="C460" s="24" t="s">
        <v>563</v>
      </c>
    </row>
    <row r="461" spans="1:3" x14ac:dyDescent="0.15">
      <c r="A461" s="25">
        <v>45399</v>
      </c>
      <c r="B461" s="24" t="s">
        <v>564</v>
      </c>
      <c r="C461" s="24" t="s">
        <v>565</v>
      </c>
    </row>
    <row r="462" spans="1:3" x14ac:dyDescent="0.15">
      <c r="A462" s="25">
        <v>45399</v>
      </c>
      <c r="B462" s="24" t="s">
        <v>566</v>
      </c>
      <c r="C462" s="24" t="s">
        <v>567</v>
      </c>
    </row>
    <row r="463" spans="1:3" x14ac:dyDescent="0.15">
      <c r="A463" s="25">
        <v>45399</v>
      </c>
      <c r="B463" s="24" t="s">
        <v>568</v>
      </c>
      <c r="C463" s="24" t="s">
        <v>569</v>
      </c>
    </row>
    <row r="464" spans="1:3" x14ac:dyDescent="0.15">
      <c r="A464" s="25">
        <v>45399</v>
      </c>
      <c r="B464" s="24" t="s">
        <v>570</v>
      </c>
      <c r="C464" s="24" t="s">
        <v>571</v>
      </c>
    </row>
    <row r="465" spans="1:3" x14ac:dyDescent="0.15">
      <c r="A465" s="25">
        <v>45399</v>
      </c>
      <c r="B465" s="24" t="s">
        <v>572</v>
      </c>
      <c r="C465" s="24" t="s">
        <v>573</v>
      </c>
    </row>
    <row r="466" spans="1:3" x14ac:dyDescent="0.15">
      <c r="A466" s="25">
        <v>45399</v>
      </c>
      <c r="B466" s="24" t="s">
        <v>698</v>
      </c>
      <c r="C466" s="24" t="s">
        <v>699</v>
      </c>
    </row>
    <row r="467" spans="1:3" x14ac:dyDescent="0.15">
      <c r="A467" s="25">
        <v>45399</v>
      </c>
      <c r="B467" s="24" t="s">
        <v>1008</v>
      </c>
      <c r="C467" s="24" t="s">
        <v>1009</v>
      </c>
    </row>
    <row r="468" spans="1:3" x14ac:dyDescent="0.15">
      <c r="A468" s="25">
        <v>45399</v>
      </c>
      <c r="B468" s="24" t="s">
        <v>1010</v>
      </c>
      <c r="C468" s="24" t="s">
        <v>1011</v>
      </c>
    </row>
    <row r="469" spans="1:3" x14ac:dyDescent="0.15">
      <c r="A469" s="25">
        <v>45399</v>
      </c>
      <c r="B469" s="24" t="s">
        <v>1012</v>
      </c>
      <c r="C469" s="24" t="s">
        <v>1013</v>
      </c>
    </row>
    <row r="470" spans="1:3" x14ac:dyDescent="0.15">
      <c r="A470" s="25">
        <v>45399</v>
      </c>
      <c r="B470" s="24" t="s">
        <v>1014</v>
      </c>
      <c r="C470" s="24" t="s">
        <v>1015</v>
      </c>
    </row>
    <row r="471" spans="1:3" x14ac:dyDescent="0.15">
      <c r="A471" s="25">
        <v>45399</v>
      </c>
      <c r="B471" s="24" t="s">
        <v>1016</v>
      </c>
      <c r="C471" s="24" t="s">
        <v>1017</v>
      </c>
    </row>
    <row r="472" spans="1:3" x14ac:dyDescent="0.15">
      <c r="A472" s="25">
        <v>45399</v>
      </c>
      <c r="B472" s="24" t="s">
        <v>1018</v>
      </c>
      <c r="C472" s="24" t="s">
        <v>1019</v>
      </c>
    </row>
    <row r="473" spans="1:3" x14ac:dyDescent="0.15">
      <c r="A473" s="25">
        <v>45399</v>
      </c>
      <c r="B473" s="24" t="s">
        <v>1020</v>
      </c>
      <c r="C473" s="24" t="s">
        <v>1021</v>
      </c>
    </row>
    <row r="474" spans="1:3" x14ac:dyDescent="0.15">
      <c r="A474" s="25">
        <v>45399</v>
      </c>
      <c r="B474" s="24" t="s">
        <v>1022</v>
      </c>
      <c r="C474" s="24" t="s">
        <v>1023</v>
      </c>
    </row>
    <row r="475" spans="1:3" x14ac:dyDescent="0.15">
      <c r="A475" s="25">
        <v>45399</v>
      </c>
      <c r="B475" s="24" t="s">
        <v>1024</v>
      </c>
      <c r="C475" s="24" t="s">
        <v>1025</v>
      </c>
    </row>
    <row r="476" spans="1:3" x14ac:dyDescent="0.15">
      <c r="A476" s="25">
        <v>45399</v>
      </c>
      <c r="B476" s="24" t="s">
        <v>1026</v>
      </c>
      <c r="C476" s="24" t="s">
        <v>1027</v>
      </c>
    </row>
    <row r="477" spans="1:3" x14ac:dyDescent="0.15">
      <c r="A477" s="25">
        <v>45399</v>
      </c>
      <c r="B477" s="24" t="s">
        <v>1028</v>
      </c>
      <c r="C477" s="24" t="s">
        <v>1029</v>
      </c>
    </row>
    <row r="478" spans="1:3" x14ac:dyDescent="0.15">
      <c r="A478" s="25">
        <v>45399</v>
      </c>
      <c r="B478" s="24" t="s">
        <v>1030</v>
      </c>
      <c r="C478" s="24" t="s">
        <v>1031</v>
      </c>
    </row>
    <row r="479" spans="1:3" x14ac:dyDescent="0.15">
      <c r="A479" s="25">
        <v>45399</v>
      </c>
      <c r="B479" s="24" t="s">
        <v>1032</v>
      </c>
      <c r="C479" s="24" t="s">
        <v>1033</v>
      </c>
    </row>
    <row r="480" spans="1:3" x14ac:dyDescent="0.15">
      <c r="A480" s="25">
        <v>45399</v>
      </c>
      <c r="B480" s="24" t="s">
        <v>1034</v>
      </c>
      <c r="C480" s="24" t="s">
        <v>1035</v>
      </c>
    </row>
    <row r="481" spans="1:3" x14ac:dyDescent="0.15">
      <c r="A481" s="25">
        <v>45399</v>
      </c>
      <c r="B481" s="24" t="s">
        <v>1036</v>
      </c>
      <c r="C481" s="24" t="s">
        <v>1037</v>
      </c>
    </row>
    <row r="482" spans="1:3" x14ac:dyDescent="0.15">
      <c r="A482" s="25">
        <v>45399</v>
      </c>
      <c r="B482" s="24" t="s">
        <v>1038</v>
      </c>
      <c r="C482" s="24" t="s">
        <v>1039</v>
      </c>
    </row>
    <row r="483" spans="1:3" x14ac:dyDescent="0.15">
      <c r="A483" s="25">
        <v>45399</v>
      </c>
      <c r="B483" s="24" t="s">
        <v>1040</v>
      </c>
      <c r="C483" s="24" t="s">
        <v>1041</v>
      </c>
    </row>
    <row r="484" spans="1:3" x14ac:dyDescent="0.15">
      <c r="A484" s="25">
        <v>45399</v>
      </c>
      <c r="B484" s="24" t="s">
        <v>1042</v>
      </c>
      <c r="C484" s="24" t="s">
        <v>1043</v>
      </c>
    </row>
    <row r="485" spans="1:3" x14ac:dyDescent="0.15">
      <c r="A485" s="25">
        <v>45399</v>
      </c>
      <c r="B485" s="24" t="s">
        <v>1044</v>
      </c>
      <c r="C485" s="24" t="s">
        <v>1045</v>
      </c>
    </row>
    <row r="486" spans="1:3" x14ac:dyDescent="0.15">
      <c r="A486" s="25">
        <v>45399</v>
      </c>
      <c r="B486" s="24" t="s">
        <v>1046</v>
      </c>
      <c r="C486" s="24" t="s">
        <v>1047</v>
      </c>
    </row>
    <row r="487" spans="1:3" x14ac:dyDescent="0.15">
      <c r="A487" s="25">
        <v>45399</v>
      </c>
      <c r="B487" s="24" t="s">
        <v>1048</v>
      </c>
      <c r="C487" s="24" t="s">
        <v>1049</v>
      </c>
    </row>
    <row r="488" spans="1:3" x14ac:dyDescent="0.15">
      <c r="A488" s="25">
        <v>45399</v>
      </c>
      <c r="B488" s="24" t="s">
        <v>1050</v>
      </c>
      <c r="C488" s="24" t="s">
        <v>1051</v>
      </c>
    </row>
    <row r="489" spans="1:3" x14ac:dyDescent="0.15">
      <c r="A489" s="25">
        <v>45399</v>
      </c>
      <c r="B489" s="24" t="s">
        <v>1052</v>
      </c>
      <c r="C489" s="24" t="s">
        <v>1053</v>
      </c>
    </row>
    <row r="490" spans="1:3" x14ac:dyDescent="0.15">
      <c r="A490" s="25">
        <v>45399</v>
      </c>
      <c r="B490" s="24" t="s">
        <v>1054</v>
      </c>
      <c r="C490" s="24" t="s">
        <v>1055</v>
      </c>
    </row>
    <row r="491" spans="1:3" x14ac:dyDescent="0.15">
      <c r="A491" s="25">
        <v>45399</v>
      </c>
      <c r="B491" s="24" t="s">
        <v>1056</v>
      </c>
      <c r="C491" s="24" t="s">
        <v>1057</v>
      </c>
    </row>
    <row r="492" spans="1:3" x14ac:dyDescent="0.15">
      <c r="A492" s="25">
        <v>45399</v>
      </c>
      <c r="B492" s="24" t="s">
        <v>1160</v>
      </c>
      <c r="C492" s="24" t="s">
        <v>1161</v>
      </c>
    </row>
    <row r="493" spans="1:3" x14ac:dyDescent="0.15">
      <c r="A493" s="25">
        <v>45399</v>
      </c>
      <c r="B493" s="24" t="s">
        <v>1162</v>
      </c>
      <c r="C493" s="24" t="s">
        <v>1163</v>
      </c>
    </row>
    <row r="494" spans="1:3" x14ac:dyDescent="0.15">
      <c r="A494" s="25">
        <v>45399</v>
      </c>
      <c r="B494" s="24" t="s">
        <v>1164</v>
      </c>
      <c r="C494" s="24" t="s">
        <v>1165</v>
      </c>
    </row>
    <row r="495" spans="1:3" x14ac:dyDescent="0.15">
      <c r="A495" s="25">
        <v>45399</v>
      </c>
      <c r="B495" s="24" t="s">
        <v>1166</v>
      </c>
      <c r="C495" s="24" t="s">
        <v>1167</v>
      </c>
    </row>
    <row r="496" spans="1:3" x14ac:dyDescent="0.15">
      <c r="A496" s="25">
        <v>45399</v>
      </c>
      <c r="B496" s="24" t="s">
        <v>1168</v>
      </c>
      <c r="C496" s="24" t="s">
        <v>1169</v>
      </c>
    </row>
    <row r="497" spans="1:3" x14ac:dyDescent="0.15">
      <c r="A497" s="25">
        <v>45399</v>
      </c>
      <c r="B497" s="24" t="s">
        <v>1170</v>
      </c>
      <c r="C497" s="24" t="s">
        <v>1171</v>
      </c>
    </row>
    <row r="498" spans="1:3" x14ac:dyDescent="0.15">
      <c r="A498" s="25">
        <v>45399</v>
      </c>
      <c r="B498" s="24" t="s">
        <v>1172</v>
      </c>
      <c r="C498" s="24" t="s">
        <v>1173</v>
      </c>
    </row>
    <row r="499" spans="1:3" x14ac:dyDescent="0.15">
      <c r="A499" s="25">
        <v>45399</v>
      </c>
      <c r="B499" s="24" t="s">
        <v>1208</v>
      </c>
      <c r="C499" s="24" t="s">
        <v>1209</v>
      </c>
    </row>
    <row r="500" spans="1:3" x14ac:dyDescent="0.15">
      <c r="A500" s="25">
        <v>45399</v>
      </c>
      <c r="B500" s="24" t="s">
        <v>1210</v>
      </c>
      <c r="C500" s="24" t="s">
        <v>1211</v>
      </c>
    </row>
    <row r="501" spans="1:3" x14ac:dyDescent="0.15">
      <c r="A501" s="25">
        <v>45399</v>
      </c>
      <c r="B501" s="24" t="s">
        <v>1212</v>
      </c>
      <c r="C501" s="24" t="s">
        <v>1213</v>
      </c>
    </row>
    <row r="502" spans="1:3" x14ac:dyDescent="0.15">
      <c r="A502" s="25">
        <v>45399</v>
      </c>
      <c r="B502" s="24" t="s">
        <v>1214</v>
      </c>
      <c r="C502" s="24" t="s">
        <v>1215</v>
      </c>
    </row>
    <row r="503" spans="1:3" x14ac:dyDescent="0.15">
      <c r="A503" s="25">
        <v>45399</v>
      </c>
      <c r="B503" s="24" t="s">
        <v>1216</v>
      </c>
      <c r="C503" s="24" t="s">
        <v>1217</v>
      </c>
    </row>
    <row r="504" spans="1:3" x14ac:dyDescent="0.15">
      <c r="A504" s="25">
        <v>45399</v>
      </c>
      <c r="B504" s="24" t="s">
        <v>1218</v>
      </c>
      <c r="C504" s="24" t="s">
        <v>1219</v>
      </c>
    </row>
    <row r="505" spans="1:3" x14ac:dyDescent="0.15">
      <c r="A505" s="25">
        <v>45399</v>
      </c>
      <c r="B505" s="24" t="s">
        <v>574</v>
      </c>
      <c r="C505" s="24" t="s">
        <v>575</v>
      </c>
    </row>
    <row r="506" spans="1:3" x14ac:dyDescent="0.15">
      <c r="A506" s="25">
        <v>45399</v>
      </c>
      <c r="B506" s="24" t="s">
        <v>576</v>
      </c>
      <c r="C506" s="24" t="s">
        <v>577</v>
      </c>
    </row>
    <row r="507" spans="1:3" x14ac:dyDescent="0.15">
      <c r="A507" s="25">
        <v>45399</v>
      </c>
      <c r="B507" s="24" t="s">
        <v>578</v>
      </c>
      <c r="C507" s="24" t="s">
        <v>579</v>
      </c>
    </row>
    <row r="508" spans="1:3" x14ac:dyDescent="0.15">
      <c r="A508" s="25">
        <v>45399</v>
      </c>
      <c r="B508" s="24" t="s">
        <v>580</v>
      </c>
      <c r="C508" s="24" t="s">
        <v>581</v>
      </c>
    </row>
    <row r="509" spans="1:3" x14ac:dyDescent="0.15">
      <c r="A509" s="25">
        <v>45399</v>
      </c>
      <c r="B509" s="24" t="s">
        <v>582</v>
      </c>
      <c r="C509" s="24" t="s">
        <v>583</v>
      </c>
    </row>
    <row r="510" spans="1:3" x14ac:dyDescent="0.15">
      <c r="A510" s="25">
        <v>45399</v>
      </c>
      <c r="B510" s="24" t="s">
        <v>584</v>
      </c>
      <c r="C510" s="24" t="s">
        <v>585</v>
      </c>
    </row>
    <row r="511" spans="1:3" x14ac:dyDescent="0.15">
      <c r="A511" s="25">
        <v>45399</v>
      </c>
      <c r="B511" s="24" t="s">
        <v>586</v>
      </c>
      <c r="C511" s="24" t="s">
        <v>587</v>
      </c>
    </row>
    <row r="512" spans="1:3" x14ac:dyDescent="0.15">
      <c r="A512" s="25">
        <v>45399</v>
      </c>
      <c r="B512" s="24" t="s">
        <v>588</v>
      </c>
      <c r="C512" s="24" t="s">
        <v>589</v>
      </c>
    </row>
    <row r="513" spans="1:3" x14ac:dyDescent="0.15">
      <c r="A513" s="25">
        <v>45399</v>
      </c>
      <c r="B513" s="24" t="s">
        <v>590</v>
      </c>
      <c r="C513" s="24" t="s">
        <v>591</v>
      </c>
    </row>
    <row r="514" spans="1:3" x14ac:dyDescent="0.15">
      <c r="A514" s="25">
        <v>45399</v>
      </c>
      <c r="B514" s="24" t="s">
        <v>592</v>
      </c>
      <c r="C514" s="24" t="s">
        <v>593</v>
      </c>
    </row>
    <row r="515" spans="1:3" x14ac:dyDescent="0.15">
      <c r="A515" s="25">
        <v>45399</v>
      </c>
      <c r="B515" s="24" t="s">
        <v>594</v>
      </c>
      <c r="C515" s="24" t="s">
        <v>595</v>
      </c>
    </row>
    <row r="516" spans="1:3" x14ac:dyDescent="0.15">
      <c r="A516" s="25">
        <v>45399</v>
      </c>
      <c r="B516" s="24" t="s">
        <v>596</v>
      </c>
      <c r="C516" s="24" t="s">
        <v>597</v>
      </c>
    </row>
    <row r="517" spans="1:3" x14ac:dyDescent="0.15">
      <c r="A517" s="25">
        <v>45399</v>
      </c>
      <c r="B517" s="24" t="s">
        <v>598</v>
      </c>
      <c r="C517" s="24" t="s">
        <v>599</v>
      </c>
    </row>
    <row r="518" spans="1:3" x14ac:dyDescent="0.15">
      <c r="A518" s="25">
        <v>45399</v>
      </c>
      <c r="B518" s="24" t="s">
        <v>600</v>
      </c>
      <c r="C518" s="24" t="s">
        <v>601</v>
      </c>
    </row>
    <row r="519" spans="1:3" x14ac:dyDescent="0.15">
      <c r="A519" s="25">
        <v>45399</v>
      </c>
      <c r="B519" s="24" t="s">
        <v>602</v>
      </c>
      <c r="C519" s="24" t="s">
        <v>603</v>
      </c>
    </row>
    <row r="520" spans="1:3" x14ac:dyDescent="0.15">
      <c r="A520" s="25">
        <v>45399</v>
      </c>
      <c r="B520" s="24" t="s">
        <v>604</v>
      </c>
      <c r="C520" s="24" t="s">
        <v>605</v>
      </c>
    </row>
    <row r="521" spans="1:3" x14ac:dyDescent="0.15">
      <c r="A521" s="25">
        <v>45399</v>
      </c>
      <c r="B521" s="24" t="s">
        <v>606</v>
      </c>
      <c r="C521" s="24" t="s">
        <v>607</v>
      </c>
    </row>
    <row r="522" spans="1:3" x14ac:dyDescent="0.15">
      <c r="A522" s="25">
        <v>45399</v>
      </c>
      <c r="B522" s="24" t="s">
        <v>608</v>
      </c>
      <c r="C522" s="24" t="s">
        <v>609</v>
      </c>
    </row>
    <row r="523" spans="1:3" x14ac:dyDescent="0.15">
      <c r="A523" s="25">
        <v>45399</v>
      </c>
      <c r="B523" s="24" t="s">
        <v>610</v>
      </c>
      <c r="C523" s="24" t="s">
        <v>611</v>
      </c>
    </row>
    <row r="524" spans="1:3" x14ac:dyDescent="0.15">
      <c r="A524" s="25">
        <v>45399</v>
      </c>
      <c r="B524" s="24" t="s">
        <v>612</v>
      </c>
      <c r="C524" s="24" t="s">
        <v>613</v>
      </c>
    </row>
    <row r="525" spans="1:3" x14ac:dyDescent="0.15">
      <c r="A525" s="25">
        <v>45399</v>
      </c>
      <c r="B525" s="24" t="s">
        <v>614</v>
      </c>
      <c r="C525" s="24" t="s">
        <v>615</v>
      </c>
    </row>
    <row r="526" spans="1:3" x14ac:dyDescent="0.15">
      <c r="A526" s="25">
        <v>45399</v>
      </c>
      <c r="B526" s="24" t="s">
        <v>616</v>
      </c>
      <c r="C526" s="24" t="s">
        <v>617</v>
      </c>
    </row>
    <row r="527" spans="1:3" x14ac:dyDescent="0.15">
      <c r="A527" s="25">
        <v>45399</v>
      </c>
      <c r="B527" s="24" t="s">
        <v>618</v>
      </c>
      <c r="C527" s="24" t="s">
        <v>619</v>
      </c>
    </row>
    <row r="528" spans="1:3" x14ac:dyDescent="0.15">
      <c r="A528" s="25">
        <v>45399</v>
      </c>
      <c r="B528" s="24" t="s">
        <v>620</v>
      </c>
      <c r="C528" s="24" t="s">
        <v>621</v>
      </c>
    </row>
    <row r="529" spans="1:3" x14ac:dyDescent="0.15">
      <c r="A529" s="25">
        <v>45399</v>
      </c>
      <c r="B529" s="24" t="s">
        <v>622</v>
      </c>
      <c r="C529" s="24" t="s">
        <v>623</v>
      </c>
    </row>
    <row r="530" spans="1:3" x14ac:dyDescent="0.15">
      <c r="A530" s="25">
        <v>45399</v>
      </c>
      <c r="B530" s="24" t="s">
        <v>624</v>
      </c>
      <c r="C530" s="24" t="s">
        <v>625</v>
      </c>
    </row>
    <row r="531" spans="1:3" x14ac:dyDescent="0.15">
      <c r="A531" s="25">
        <v>45399</v>
      </c>
      <c r="B531" s="24" t="s">
        <v>626</v>
      </c>
      <c r="C531" s="24" t="s">
        <v>627</v>
      </c>
    </row>
    <row r="532" spans="1:3" x14ac:dyDescent="0.15">
      <c r="A532" s="25">
        <v>45399</v>
      </c>
      <c r="B532" s="24" t="s">
        <v>628</v>
      </c>
      <c r="C532" s="24" t="s">
        <v>629</v>
      </c>
    </row>
    <row r="533" spans="1:3" x14ac:dyDescent="0.15">
      <c r="A533" s="25">
        <v>45399</v>
      </c>
      <c r="B533" s="24" t="s">
        <v>630</v>
      </c>
      <c r="C533" s="24" t="s">
        <v>631</v>
      </c>
    </row>
    <row r="534" spans="1:3" x14ac:dyDescent="0.15">
      <c r="A534" s="25">
        <v>45399</v>
      </c>
      <c r="B534" s="24" t="s">
        <v>632</v>
      </c>
      <c r="C534" s="24" t="s">
        <v>633</v>
      </c>
    </row>
    <row r="535" spans="1:3" x14ac:dyDescent="0.15">
      <c r="A535" s="25">
        <v>45399</v>
      </c>
      <c r="B535" s="24" t="s">
        <v>634</v>
      </c>
      <c r="C535" s="24" t="s">
        <v>635</v>
      </c>
    </row>
    <row r="536" spans="1:3" x14ac:dyDescent="0.15">
      <c r="A536" s="25">
        <v>45399</v>
      </c>
      <c r="B536" s="24" t="s">
        <v>636</v>
      </c>
      <c r="C536" s="24" t="s">
        <v>637</v>
      </c>
    </row>
    <row r="537" spans="1:3" x14ac:dyDescent="0.15">
      <c r="A537" s="25">
        <v>45399</v>
      </c>
      <c r="B537" s="24" t="s">
        <v>638</v>
      </c>
      <c r="C537" s="24" t="s">
        <v>639</v>
      </c>
    </row>
    <row r="538" spans="1:3" x14ac:dyDescent="0.15">
      <c r="A538" s="25">
        <v>45399</v>
      </c>
      <c r="B538" s="24" t="s">
        <v>640</v>
      </c>
      <c r="C538" s="24" t="s">
        <v>641</v>
      </c>
    </row>
    <row r="539" spans="1:3" x14ac:dyDescent="0.15">
      <c r="A539" s="25">
        <v>45399</v>
      </c>
      <c r="B539" s="24" t="s">
        <v>642</v>
      </c>
      <c r="C539" s="24" t="s">
        <v>643</v>
      </c>
    </row>
    <row r="540" spans="1:3" x14ac:dyDescent="0.15">
      <c r="A540" s="25">
        <v>45399</v>
      </c>
      <c r="B540" s="24" t="s">
        <v>644</v>
      </c>
      <c r="C540" s="24" t="s">
        <v>645</v>
      </c>
    </row>
    <row r="541" spans="1:3" x14ac:dyDescent="0.15">
      <c r="A541" s="25">
        <v>45399</v>
      </c>
      <c r="B541" s="24" t="s">
        <v>646</v>
      </c>
      <c r="C541" s="24" t="s">
        <v>647</v>
      </c>
    </row>
    <row r="542" spans="1:3" x14ac:dyDescent="0.15">
      <c r="A542" s="25">
        <v>45399</v>
      </c>
      <c r="B542" s="24" t="s">
        <v>648</v>
      </c>
      <c r="C542" s="24" t="s">
        <v>649</v>
      </c>
    </row>
    <row r="543" spans="1:3" x14ac:dyDescent="0.15">
      <c r="A543" s="25">
        <v>45399</v>
      </c>
      <c r="B543" s="24" t="s">
        <v>650</v>
      </c>
      <c r="C543" s="24" t="s">
        <v>651</v>
      </c>
    </row>
    <row r="544" spans="1:3" x14ac:dyDescent="0.15">
      <c r="A544" s="25">
        <v>45399</v>
      </c>
      <c r="B544" s="24" t="s">
        <v>652</v>
      </c>
      <c r="C544" s="24" t="s">
        <v>653</v>
      </c>
    </row>
    <row r="545" spans="1:3" x14ac:dyDescent="0.15">
      <c r="A545" s="25">
        <v>45399</v>
      </c>
      <c r="B545" s="24" t="s">
        <v>654</v>
      </c>
      <c r="C545" s="24" t="s">
        <v>655</v>
      </c>
    </row>
    <row r="546" spans="1:3" x14ac:dyDescent="0.15">
      <c r="A546" s="25">
        <v>45399</v>
      </c>
      <c r="B546" s="24" t="s">
        <v>656</v>
      </c>
      <c r="C546" s="24" t="s">
        <v>657</v>
      </c>
    </row>
    <row r="547" spans="1:3" x14ac:dyDescent="0.15">
      <c r="A547" s="25">
        <v>45399</v>
      </c>
      <c r="B547" s="24" t="s">
        <v>658</v>
      </c>
      <c r="C547" s="24" t="s">
        <v>659</v>
      </c>
    </row>
    <row r="548" spans="1:3" x14ac:dyDescent="0.15">
      <c r="A548" s="25">
        <v>45399</v>
      </c>
      <c r="B548" s="24" t="s">
        <v>660</v>
      </c>
      <c r="C548" s="24" t="s">
        <v>661</v>
      </c>
    </row>
    <row r="549" spans="1:3" x14ac:dyDescent="0.15">
      <c r="A549" s="25">
        <v>45399</v>
      </c>
      <c r="B549" s="24" t="s">
        <v>662</v>
      </c>
      <c r="C549" s="24" t="s">
        <v>663</v>
      </c>
    </row>
    <row r="550" spans="1:3" x14ac:dyDescent="0.15">
      <c r="A550" s="25">
        <v>45399</v>
      </c>
      <c r="B550" s="24" t="s">
        <v>664</v>
      </c>
      <c r="C550" s="24" t="s">
        <v>665</v>
      </c>
    </row>
    <row r="551" spans="1:3" x14ac:dyDescent="0.15">
      <c r="A551" s="25">
        <v>45399</v>
      </c>
      <c r="B551" s="24" t="s">
        <v>666</v>
      </c>
      <c r="C551" s="24" t="s">
        <v>667</v>
      </c>
    </row>
    <row r="552" spans="1:3" x14ac:dyDescent="0.15">
      <c r="A552" s="25">
        <v>45399</v>
      </c>
      <c r="B552" s="24" t="s">
        <v>668</v>
      </c>
      <c r="C552" s="24" t="s">
        <v>669</v>
      </c>
    </row>
    <row r="553" spans="1:3" x14ac:dyDescent="0.15">
      <c r="A553" s="25">
        <v>45399</v>
      </c>
      <c r="B553" s="24" t="s">
        <v>670</v>
      </c>
      <c r="C553" s="24" t="s">
        <v>671</v>
      </c>
    </row>
    <row r="554" spans="1:3" x14ac:dyDescent="0.15">
      <c r="A554" s="25">
        <v>45399</v>
      </c>
      <c r="B554" s="24" t="s">
        <v>672</v>
      </c>
      <c r="C554" s="24" t="s">
        <v>673</v>
      </c>
    </row>
    <row r="555" spans="1:3" x14ac:dyDescent="0.15">
      <c r="A555" s="25">
        <v>45399</v>
      </c>
      <c r="B555" s="24" t="s">
        <v>674</v>
      </c>
      <c r="C555" s="24" t="s">
        <v>675</v>
      </c>
    </row>
    <row r="556" spans="1:3" x14ac:dyDescent="0.15">
      <c r="A556" s="25">
        <v>45399</v>
      </c>
      <c r="B556" s="24" t="s">
        <v>676</v>
      </c>
      <c r="C556" s="24" t="s">
        <v>677</v>
      </c>
    </row>
    <row r="557" spans="1:3" x14ac:dyDescent="0.15">
      <c r="A557" s="25">
        <v>45399</v>
      </c>
      <c r="B557" s="24" t="s">
        <v>678</v>
      </c>
      <c r="C557" s="24" t="s">
        <v>679</v>
      </c>
    </row>
    <row r="558" spans="1:3" x14ac:dyDescent="0.15">
      <c r="A558" s="25">
        <v>45399</v>
      </c>
      <c r="B558" s="24" t="s">
        <v>680</v>
      </c>
      <c r="C558" s="24" t="s">
        <v>681</v>
      </c>
    </row>
    <row r="559" spans="1:3" x14ac:dyDescent="0.15">
      <c r="A559" s="25">
        <v>45399</v>
      </c>
      <c r="B559" s="24" t="s">
        <v>682</v>
      </c>
      <c r="C559" s="24" t="s">
        <v>683</v>
      </c>
    </row>
    <row r="560" spans="1:3" x14ac:dyDescent="0.15">
      <c r="A560" s="25">
        <v>45399</v>
      </c>
      <c r="B560" s="24" t="s">
        <v>1058</v>
      </c>
      <c r="C560" s="24" t="s">
        <v>1059</v>
      </c>
    </row>
    <row r="561" spans="1:3" x14ac:dyDescent="0.15">
      <c r="A561" s="25">
        <v>45399</v>
      </c>
      <c r="B561" s="24" t="s">
        <v>1060</v>
      </c>
      <c r="C561" s="24" t="s">
        <v>1059</v>
      </c>
    </row>
    <row r="562" spans="1:3" x14ac:dyDescent="0.15">
      <c r="A562" s="25">
        <v>45399</v>
      </c>
      <c r="B562" s="24" t="s">
        <v>1061</v>
      </c>
      <c r="C562" s="24" t="s">
        <v>1062</v>
      </c>
    </row>
    <row r="563" spans="1:3" x14ac:dyDescent="0.15">
      <c r="A563" s="25">
        <v>45399</v>
      </c>
      <c r="B563" s="24" t="s">
        <v>1063</v>
      </c>
      <c r="C563" s="24" t="s">
        <v>1064</v>
      </c>
    </row>
    <row r="564" spans="1:3" x14ac:dyDescent="0.15">
      <c r="A564" s="25">
        <v>45399</v>
      </c>
      <c r="B564" s="24" t="s">
        <v>1065</v>
      </c>
      <c r="C564" s="24" t="s">
        <v>1066</v>
      </c>
    </row>
    <row r="565" spans="1:3" x14ac:dyDescent="0.15">
      <c r="A565" s="25">
        <v>45399</v>
      </c>
      <c r="B565" s="24" t="s">
        <v>1067</v>
      </c>
      <c r="C565" s="24" t="s">
        <v>1068</v>
      </c>
    </row>
    <row r="566" spans="1:3" x14ac:dyDescent="0.15">
      <c r="A566" s="25">
        <v>45399</v>
      </c>
      <c r="B566" s="24" t="s">
        <v>1069</v>
      </c>
      <c r="C566" s="24" t="s">
        <v>1070</v>
      </c>
    </row>
    <row r="567" spans="1:3" x14ac:dyDescent="0.15">
      <c r="A567" s="25">
        <v>45399</v>
      </c>
      <c r="B567" s="24" t="s">
        <v>1071</v>
      </c>
      <c r="C567" s="24" t="s">
        <v>1072</v>
      </c>
    </row>
    <row r="568" spans="1:3" x14ac:dyDescent="0.15">
      <c r="A568" s="25">
        <v>45399</v>
      </c>
      <c r="B568" s="24" t="s">
        <v>1073</v>
      </c>
      <c r="C568" s="24" t="s">
        <v>1074</v>
      </c>
    </row>
    <row r="569" spans="1:3" x14ac:dyDescent="0.15">
      <c r="A569" s="25">
        <v>45399</v>
      </c>
      <c r="B569" s="24" t="s">
        <v>1075</v>
      </c>
      <c r="C569" s="24" t="s">
        <v>1076</v>
      </c>
    </row>
    <row r="570" spans="1:3" x14ac:dyDescent="0.15">
      <c r="A570" s="25">
        <v>45399</v>
      </c>
      <c r="B570" s="24" t="s">
        <v>1077</v>
      </c>
      <c r="C570" s="24" t="s">
        <v>1078</v>
      </c>
    </row>
    <row r="571" spans="1:3" x14ac:dyDescent="0.15">
      <c r="A571" s="25">
        <v>45399</v>
      </c>
      <c r="B571" s="24" t="s">
        <v>1079</v>
      </c>
      <c r="C571" s="24" t="s">
        <v>1080</v>
      </c>
    </row>
    <row r="572" spans="1:3" x14ac:dyDescent="0.15">
      <c r="A572" s="25">
        <v>45399</v>
      </c>
      <c r="B572" s="24" t="s">
        <v>1220</v>
      </c>
      <c r="C572" s="24" t="s">
        <v>1221</v>
      </c>
    </row>
    <row r="573" spans="1:3" x14ac:dyDescent="0.15">
      <c r="A573" s="25">
        <v>45399</v>
      </c>
      <c r="B573" s="24" t="s">
        <v>1081</v>
      </c>
      <c r="C573" s="24" t="s">
        <v>1082</v>
      </c>
    </row>
    <row r="574" spans="1:3" x14ac:dyDescent="0.15">
      <c r="A574" s="25">
        <v>45399</v>
      </c>
      <c r="B574" s="24" t="s">
        <v>1083</v>
      </c>
      <c r="C574" s="24" t="s">
        <v>1084</v>
      </c>
    </row>
    <row r="575" spans="1:3" x14ac:dyDescent="0.15">
      <c r="A575" s="25">
        <v>45399</v>
      </c>
      <c r="B575" s="24" t="s">
        <v>700</v>
      </c>
      <c r="C575" s="24" t="s">
        <v>701</v>
      </c>
    </row>
    <row r="576" spans="1:3" x14ac:dyDescent="0.15">
      <c r="A576" s="25">
        <v>45399</v>
      </c>
      <c r="B576" s="24" t="s">
        <v>1085</v>
      </c>
      <c r="C576" s="24" t="s">
        <v>1086</v>
      </c>
    </row>
    <row r="577" spans="1:3" x14ac:dyDescent="0.15">
      <c r="A577" s="25">
        <v>45399</v>
      </c>
      <c r="B577" s="24" t="s">
        <v>1087</v>
      </c>
      <c r="C577" s="24" t="s">
        <v>1088</v>
      </c>
    </row>
    <row r="578" spans="1:3" x14ac:dyDescent="0.15">
      <c r="A578" s="25">
        <v>45399</v>
      </c>
      <c r="B578" s="24" t="s">
        <v>1089</v>
      </c>
      <c r="C578" s="24" t="s">
        <v>1090</v>
      </c>
    </row>
    <row r="579" spans="1:3" x14ac:dyDescent="0.15">
      <c r="A579" s="25">
        <v>45399</v>
      </c>
      <c r="B579" s="24" t="s">
        <v>1091</v>
      </c>
      <c r="C579" s="24" t="s">
        <v>1092</v>
      </c>
    </row>
    <row r="580" spans="1:3" x14ac:dyDescent="0.15">
      <c r="A580" s="25">
        <v>45399</v>
      </c>
      <c r="B580" s="24" t="s">
        <v>1093</v>
      </c>
      <c r="C580" s="24" t="s">
        <v>1094</v>
      </c>
    </row>
    <row r="581" spans="1:3" x14ac:dyDescent="0.15">
      <c r="A581" s="25">
        <v>45399</v>
      </c>
      <c r="B581" s="24" t="s">
        <v>1095</v>
      </c>
      <c r="C581" s="24" t="s">
        <v>1096</v>
      </c>
    </row>
    <row r="582" spans="1:3" x14ac:dyDescent="0.15">
      <c r="A582" s="25">
        <v>45399</v>
      </c>
      <c r="B582" s="24" t="s">
        <v>1097</v>
      </c>
      <c r="C582" s="24" t="s">
        <v>1098</v>
      </c>
    </row>
    <row r="583" spans="1:3" x14ac:dyDescent="0.15">
      <c r="A583" s="25">
        <v>45399</v>
      </c>
      <c r="B583" s="24" t="s">
        <v>1099</v>
      </c>
      <c r="C583" s="24" t="s">
        <v>1100</v>
      </c>
    </row>
    <row r="584" spans="1:3" x14ac:dyDescent="0.15">
      <c r="A584" s="25">
        <v>45399</v>
      </c>
      <c r="B584" s="24" t="s">
        <v>1101</v>
      </c>
      <c r="C584" s="24" t="s">
        <v>1102</v>
      </c>
    </row>
    <row r="585" spans="1:3" x14ac:dyDescent="0.15">
      <c r="A585" s="25">
        <v>45399</v>
      </c>
      <c r="B585" s="24" t="s">
        <v>1103</v>
      </c>
      <c r="C585" s="24" t="s">
        <v>1104</v>
      </c>
    </row>
    <row r="586" spans="1:3" x14ac:dyDescent="0.15">
      <c r="A586" s="25">
        <v>45399</v>
      </c>
      <c r="B586" s="24" t="s">
        <v>1105</v>
      </c>
      <c r="C586" s="24" t="s">
        <v>1106</v>
      </c>
    </row>
    <row r="587" spans="1:3" x14ac:dyDescent="0.15">
      <c r="A587" s="25">
        <v>45399</v>
      </c>
      <c r="B587" s="24" t="s">
        <v>1107</v>
      </c>
      <c r="C587" s="24" t="s">
        <v>1108</v>
      </c>
    </row>
    <row r="588" spans="1:3" x14ac:dyDescent="0.15">
      <c r="A588" s="25">
        <v>45399</v>
      </c>
      <c r="B588" s="24" t="s">
        <v>1109</v>
      </c>
      <c r="C588" s="24" t="s">
        <v>1110</v>
      </c>
    </row>
    <row r="589" spans="1:3" x14ac:dyDescent="0.15">
      <c r="A589" s="25">
        <v>45399</v>
      </c>
      <c r="B589" s="24" t="s">
        <v>1111</v>
      </c>
      <c r="C589" s="24" t="s">
        <v>1112</v>
      </c>
    </row>
    <row r="590" spans="1:3" x14ac:dyDescent="0.15">
      <c r="A590" s="25">
        <v>45399</v>
      </c>
      <c r="B590" s="24" t="s">
        <v>1113</v>
      </c>
      <c r="C590" s="24" t="s">
        <v>1114</v>
      </c>
    </row>
    <row r="591" spans="1:3" x14ac:dyDescent="0.15">
      <c r="A591" s="25">
        <v>45399</v>
      </c>
      <c r="B591" s="24" t="s">
        <v>1115</v>
      </c>
      <c r="C591" s="24" t="s">
        <v>1116</v>
      </c>
    </row>
    <row r="592" spans="1:3" x14ac:dyDescent="0.15">
      <c r="A592" s="25">
        <v>45399</v>
      </c>
      <c r="B592" s="24" t="s">
        <v>1117</v>
      </c>
      <c r="C592" s="24" t="s">
        <v>1118</v>
      </c>
    </row>
    <row r="593" spans="1:3" x14ac:dyDescent="0.15">
      <c r="A593" s="25">
        <v>45399</v>
      </c>
      <c r="B593" s="24" t="s">
        <v>1119</v>
      </c>
      <c r="C593" s="24" t="s">
        <v>1120</v>
      </c>
    </row>
    <row r="594" spans="1:3" x14ac:dyDescent="0.15">
      <c r="A594" s="25">
        <v>45399</v>
      </c>
      <c r="B594" s="24" t="s">
        <v>1121</v>
      </c>
      <c r="C594" s="24" t="s">
        <v>1122</v>
      </c>
    </row>
    <row r="595" spans="1:3" x14ac:dyDescent="0.15">
      <c r="A595" s="25">
        <v>45399</v>
      </c>
      <c r="B595" s="24" t="s">
        <v>1123</v>
      </c>
      <c r="C595" s="24" t="s">
        <v>1124</v>
      </c>
    </row>
    <row r="596" spans="1:3" x14ac:dyDescent="0.15">
      <c r="A596" s="25">
        <v>45399</v>
      </c>
      <c r="B596" s="24" t="s">
        <v>1125</v>
      </c>
      <c r="C596" s="24" t="s">
        <v>1126</v>
      </c>
    </row>
    <row r="597" spans="1:3" x14ac:dyDescent="0.15">
      <c r="A597" s="25">
        <v>45399</v>
      </c>
      <c r="B597" s="24" t="s">
        <v>1127</v>
      </c>
      <c r="C597" s="24" t="s">
        <v>1128</v>
      </c>
    </row>
    <row r="598" spans="1:3" x14ac:dyDescent="0.15">
      <c r="A598" s="25">
        <v>45399</v>
      </c>
      <c r="B598" s="24" t="s">
        <v>1129</v>
      </c>
      <c r="C598" s="24" t="s">
        <v>1130</v>
      </c>
    </row>
    <row r="599" spans="1:3" x14ac:dyDescent="0.15">
      <c r="A599" s="25">
        <v>45399</v>
      </c>
      <c r="B599" s="24" t="s">
        <v>1131</v>
      </c>
      <c r="C599" s="24" t="s">
        <v>1132</v>
      </c>
    </row>
    <row r="600" spans="1:3" x14ac:dyDescent="0.15">
      <c r="A600" s="25">
        <v>45399</v>
      </c>
      <c r="B600" s="24" t="s">
        <v>1133</v>
      </c>
      <c r="C600" s="24" t="s">
        <v>1134</v>
      </c>
    </row>
    <row r="601" spans="1:3" x14ac:dyDescent="0.15">
      <c r="A601" s="25">
        <v>45399</v>
      </c>
      <c r="B601" s="24" t="s">
        <v>1135</v>
      </c>
      <c r="C601" s="24" t="s">
        <v>1136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43" sqref="O43"/>
    </sheetView>
  </sheetViews>
  <sheetFormatPr defaultRowHeight="14.25" x14ac:dyDescent="0.15"/>
  <sheetData/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3086" r:id="rId4">
          <objectPr defaultSize="0" autoPict="0" r:id="rId5">
            <anchor moveWithCells="1" sizeWithCells="1">
              <from>
                <xdr:col>3</xdr:col>
                <xdr:colOff>38100</xdr:colOff>
                <xdr:row>7</xdr:row>
                <xdr:rowOff>104775</xdr:rowOff>
              </from>
              <to>
                <xdr:col>5</xdr:col>
                <xdr:colOff>152400</xdr:colOff>
                <xdr:row>8</xdr:row>
                <xdr:rowOff>142875</xdr:rowOff>
              </to>
            </anchor>
          </objectPr>
        </oleObject>
      </mc:Choice>
      <mc:Fallback>
        <oleObject progId="Equation.DSMT4" shapeId="3086" r:id="rId4"/>
      </mc:Fallback>
    </mc:AlternateContent>
    <mc:AlternateContent xmlns:mc="http://schemas.openxmlformats.org/markup-compatibility/2006">
      <mc:Choice Requires="x14">
        <oleObject progId="Equation.DSMT4" shapeId="3087" r:id="rId6">
          <objectPr defaultSize="0" autoPict="0" r:id="rId7">
            <anchor moveWithCells="1" sizeWithCells="1">
              <from>
                <xdr:col>2</xdr:col>
                <xdr:colOff>542925</xdr:colOff>
                <xdr:row>9</xdr:row>
                <xdr:rowOff>142875</xdr:rowOff>
              </from>
              <to>
                <xdr:col>7</xdr:col>
                <xdr:colOff>285750</xdr:colOff>
                <xdr:row>12</xdr:row>
                <xdr:rowOff>76200</xdr:rowOff>
              </to>
            </anchor>
          </objectPr>
        </oleObject>
      </mc:Choice>
      <mc:Fallback>
        <oleObject progId="Equation.DSMT4" shapeId="3087" r:id="rId6"/>
      </mc:Fallback>
    </mc:AlternateContent>
    <mc:AlternateContent xmlns:mc="http://schemas.openxmlformats.org/markup-compatibility/2006">
      <mc:Choice Requires="x14">
        <oleObject progId="Equation.DSMT4" shapeId="3088" r:id="rId8">
          <objectPr defaultSize="0" autoPict="0" r:id="rId9">
            <anchor moveWithCells="1" sizeWithCells="1">
              <from>
                <xdr:col>2</xdr:col>
                <xdr:colOff>342900</xdr:colOff>
                <xdr:row>15</xdr:row>
                <xdr:rowOff>142875</xdr:rowOff>
              </from>
              <to>
                <xdr:col>3</xdr:col>
                <xdr:colOff>361950</xdr:colOff>
                <xdr:row>16</xdr:row>
                <xdr:rowOff>171450</xdr:rowOff>
              </to>
            </anchor>
          </objectPr>
        </oleObject>
      </mc:Choice>
      <mc:Fallback>
        <oleObject progId="Equation.DSMT4" shapeId="3088" r:id="rId8"/>
      </mc:Fallback>
    </mc:AlternateContent>
    <mc:AlternateContent xmlns:mc="http://schemas.openxmlformats.org/markup-compatibility/2006">
      <mc:Choice Requires="x14">
        <oleObject progId="Equation.DSMT4" shapeId="3089" r:id="rId10">
          <objectPr defaultSize="0" autoPict="0" r:id="rId11">
            <anchor moveWithCells="1" sizeWithCells="1">
              <from>
                <xdr:col>3</xdr:col>
                <xdr:colOff>666750</xdr:colOff>
                <xdr:row>15</xdr:row>
                <xdr:rowOff>123825</xdr:rowOff>
              </from>
              <to>
                <xdr:col>4</xdr:col>
                <xdr:colOff>542925</xdr:colOff>
                <xdr:row>16</xdr:row>
                <xdr:rowOff>171450</xdr:rowOff>
              </to>
            </anchor>
          </objectPr>
        </oleObject>
      </mc:Choice>
      <mc:Fallback>
        <oleObject progId="Equation.DSMT4" shapeId="3089" r:id="rId10"/>
      </mc:Fallback>
    </mc:AlternateContent>
    <mc:AlternateContent xmlns:mc="http://schemas.openxmlformats.org/markup-compatibility/2006">
      <mc:Choice Requires="x14">
        <oleObject progId="Equation.DSMT4" shapeId="3090" r:id="rId12">
          <objectPr defaultSize="0" autoPict="0" r:id="rId13">
            <anchor moveWithCells="1" sizeWithCells="1">
              <from>
                <xdr:col>5</xdr:col>
                <xdr:colOff>238125</xdr:colOff>
                <xdr:row>15</xdr:row>
                <xdr:rowOff>114300</xdr:rowOff>
              </from>
              <to>
                <xdr:col>6</xdr:col>
                <xdr:colOff>200025</xdr:colOff>
                <xdr:row>17</xdr:row>
                <xdr:rowOff>9525</xdr:rowOff>
              </to>
            </anchor>
          </objectPr>
        </oleObject>
      </mc:Choice>
      <mc:Fallback>
        <oleObject progId="Equation.DSMT4" shapeId="3090" r:id="rId12"/>
      </mc:Fallback>
    </mc:AlternateContent>
    <mc:AlternateContent xmlns:mc="http://schemas.openxmlformats.org/markup-compatibility/2006">
      <mc:Choice Requires="x14">
        <oleObject progId="Equation.DSMT4" shapeId="3091" r:id="rId14">
          <objectPr defaultSize="0" autoPict="0" r:id="rId15">
            <anchor moveWithCells="1" sizeWithCells="1">
              <from>
                <xdr:col>6</xdr:col>
                <xdr:colOff>657225</xdr:colOff>
                <xdr:row>15</xdr:row>
                <xdr:rowOff>133350</xdr:rowOff>
              </from>
              <to>
                <xdr:col>7</xdr:col>
                <xdr:colOff>657225</xdr:colOff>
                <xdr:row>17</xdr:row>
                <xdr:rowOff>19050</xdr:rowOff>
              </to>
            </anchor>
          </objectPr>
        </oleObject>
      </mc:Choice>
      <mc:Fallback>
        <oleObject progId="Equation.DSMT4" shapeId="3091" r:id="rId14"/>
      </mc:Fallback>
    </mc:AlternateContent>
    <mc:AlternateContent xmlns:mc="http://schemas.openxmlformats.org/markup-compatibility/2006">
      <mc:Choice Requires="x14">
        <oleObject progId="Equation.DSMT4" shapeId="3093" r:id="rId16">
          <objectPr defaultSize="0" autoPict="0" r:id="rId17">
            <anchor moveWithCells="1">
              <from>
                <xdr:col>3</xdr:col>
                <xdr:colOff>200025</xdr:colOff>
                <xdr:row>27</xdr:row>
                <xdr:rowOff>152400</xdr:rowOff>
              </from>
              <to>
                <xdr:col>4</xdr:col>
                <xdr:colOff>85725</xdr:colOff>
                <xdr:row>29</xdr:row>
                <xdr:rowOff>152400</xdr:rowOff>
              </to>
            </anchor>
          </objectPr>
        </oleObject>
      </mc:Choice>
      <mc:Fallback>
        <oleObject progId="Equation.DSMT4" shapeId="3093" r:id="rId1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定价</vt:lpstr>
      <vt:lpstr>Wind模板</vt:lpstr>
      <vt:lpstr>使用说明</vt:lpstr>
      <vt:lpstr>数据</vt:lpstr>
      <vt:lpstr>算法说明</vt:lpstr>
      <vt:lpstr>cba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Cui YongQiang</dc:creator>
  <cp:lastModifiedBy>Cui YongQiang</cp:lastModifiedBy>
  <dcterms:created xsi:type="dcterms:W3CDTF">1996-12-17T01:32:42Z</dcterms:created>
  <dcterms:modified xsi:type="dcterms:W3CDTF">2024-04-17T08:34:16Z</dcterms:modified>
</cp:coreProperties>
</file>