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E8319B23-B556-4543-B15D-1C4BD2C563C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相关性分析计算器" sheetId="1" r:id="rId1"/>
    <sheet name="data" sheetId="3" r:id="rId2"/>
    <sheet name="Wind模板" sheetId="2" state="veryHidden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D10" i="1"/>
  <c r="F5" i="1" l="1"/>
  <c r="B2" i="3"/>
  <c r="D11" i="1" l="1"/>
</calcChain>
</file>

<file path=xl/sharedStrings.xml><?xml version="1.0" encoding="utf-8"?>
<sst xmlns="http://schemas.openxmlformats.org/spreadsheetml/2006/main" count="13" uniqueCount="12">
  <si>
    <t>日线</t>
    <phoneticPr fontId="1" type="noConversion"/>
  </si>
  <si>
    <t>周线</t>
    <phoneticPr fontId="1" type="noConversion"/>
  </si>
  <si>
    <t>月线</t>
    <phoneticPr fontId="1" type="noConversion"/>
  </si>
  <si>
    <t>Wind代码(列）：</t>
    <phoneticPr fontId="2" type="noConversion"/>
  </si>
  <si>
    <t>周期类型：</t>
    <phoneticPr fontId="2" type="noConversion"/>
  </si>
  <si>
    <t>开始日期：</t>
    <phoneticPr fontId="2" type="noConversion"/>
  </si>
  <si>
    <t>截止日期：</t>
    <phoneticPr fontId="2" type="noConversion"/>
  </si>
  <si>
    <t>Wind代码(行）：</t>
    <phoneticPr fontId="2" type="noConversion"/>
  </si>
  <si>
    <t>日线</t>
  </si>
  <si>
    <t>相关性分析计算器</t>
  </si>
  <si>
    <t>计算函数-相关性分析 V1.1</t>
    <phoneticPr fontId="1" type="noConversion"/>
  </si>
  <si>
    <t>AU.SHF,AG.SHF,CU.SHF,ZN.SHF,RB.SHF,J.DCE,JM.DCE,TA.CZC,FG.CZC,A.DCE,Y.DCE,M.DCE,C.DCE,SR.CZC,NH0100.NHF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</si>
</sst>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####"/>
    <numFmt numFmtId="178" formatCode="yyyy/mm/dd"/>
    <numFmt numFmtId="180" formatCode="#,##0.##"/>
    <numFmt numFmtId="186" formatCode="0.0000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20"/>
      <color theme="0"/>
      <name val="微软雅黑"/>
      <family val="2"/>
      <charset val="134"/>
    </font>
    <font>
      <sz val="12"/>
      <color theme="1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sz val="16"/>
      <color theme="1"/>
      <name val="Arial"/>
      <family val="2"/>
    </font>
    <font>
      <sz val="16"/>
      <color rgb="FF212121"/>
      <name val="Arial"/>
      <family val="2"/>
    </font>
    <font>
      <sz val="10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4C65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176" fontId="0" fillId="3" borderId="0" xfId="0" applyNumberFormat="1" applyFill="1" applyAlignment="1">
      <alignment horizontal="right"/>
    </xf>
    <xf numFmtId="0" fontId="4" fillId="3" borderId="0" xfId="0" applyFont="1" applyFill="1"/>
    <xf numFmtId="0" fontId="5" fillId="3" borderId="0" xfId="0" applyFont="1" applyFill="1"/>
    <xf numFmtId="0" fontId="4" fillId="0" borderId="0" xfId="0" applyFont="1"/>
    <xf numFmtId="0" fontId="0" fillId="0" borderId="0" xfId="0" applyAlignment="1">
      <alignment vertical="center"/>
    </xf>
    <xf numFmtId="0" fontId="5" fillId="6" borderId="0" xfId="0" applyFont="1" applyFill="1"/>
    <xf numFmtId="0" fontId="0" fillId="6" borderId="0" xfId="0" applyFill="1"/>
    <xf numFmtId="0" fontId="6" fillId="3" borderId="0" xfId="0" applyFont="1" applyFill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8" fontId="7" fillId="6" borderId="0" xfId="0" applyNumberFormat="1" applyFont="1" applyFill="1" applyAlignment="1" applyProtection="1">
      <alignment horizontal="left"/>
      <protection locked="0"/>
    </xf>
    <xf numFmtId="49" fontId="6" fillId="6" borderId="0" xfId="0" applyNumberFormat="1" applyFont="1" applyFill="1" applyAlignment="1" applyProtection="1">
      <alignment horizontal="left"/>
      <protection locked="0"/>
    </xf>
    <xf numFmtId="49" fontId="7" fillId="6" borderId="0" xfId="0" applyNumberFormat="1" applyFont="1" applyFill="1" applyAlignment="1" applyProtection="1">
      <alignment horizontal="left"/>
      <protection locked="0"/>
    </xf>
    <xf numFmtId="0" fontId="4" fillId="4" borderId="0" xfId="0" applyFont="1" applyFill="1"/>
    <xf numFmtId="0" fontId="0" fillId="4" borderId="0" xfId="0" applyFill="1" applyAlignment="1">
      <alignment vertical="center"/>
    </xf>
    <xf numFmtId="0" fontId="9" fillId="5" borderId="0" xfId="0" applyFont="1" applyFill="1" applyAlignment="1"/>
    <xf numFmtId="0" fontId="6" fillId="3" borderId="0" xfId="0" applyFont="1" applyFill="1" applyAlignment="1"/>
    <xf numFmtId="0" fontId="6" fillId="5" borderId="0" xfId="0" applyFont="1" applyFill="1" applyAlignment="1"/>
    <xf numFmtId="0" fontId="10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80" fontId="0" fillId="0" borderId="0" xfId="0" applyNumberFormat="1" applyAlignment="1">
      <alignment horizontal="right"/>
    </xf>
    <xf numFmtId="176" fontId="8" fillId="5" borderId="0" xfId="0" applyNumberFormat="1" applyFont="1" applyFill="1" applyBorder="1" applyAlignment="1">
      <alignment horizontal="right"/>
    </xf>
    <xf numFmtId="186" fontId="8" fillId="5" borderId="0" xfId="0" applyNumberFormat="1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3636D"/>
      <color rgb="FFE4C6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AB50"/>
  <sheetViews>
    <sheetView showGridLines="0" tabSelected="1" zoomScaleNormal="100" workbookViewId="0">
      <pane ySplit="1" topLeftCell="A2" activePane="bottomLeft" state="frozen"/>
      <selection activeCell="B1" sqref="B1"/>
      <selection pane="bottomLeft" activeCell="A35" sqref="A35"/>
    </sheetView>
  </sheetViews>
  <sheetFormatPr defaultRowHeight="14.25" x14ac:dyDescent="0.2"/>
  <cols>
    <col min="1" max="1" width="2.625" customWidth="1"/>
    <col min="2" max="2" width="1.625" customWidth="1"/>
    <col min="3" max="3" width="14.75" customWidth="1"/>
    <col min="4" max="17" width="14.625" customWidth="1"/>
    <col min="18" max="22" width="13.5" customWidth="1"/>
    <col min="23" max="23" width="1.625" customWidth="1"/>
    <col min="24" max="24" width="2.625" customWidth="1"/>
    <col min="26" max="26" width="9" hidden="1" customWidth="1"/>
    <col min="27" max="28" width="9.625" customWidth="1"/>
    <col min="29" max="29" width="8.625" customWidth="1"/>
    <col min="30" max="40" width="9.625" customWidth="1"/>
    <col min="41" max="41" width="8.625" customWidth="1"/>
    <col min="42" max="55" width="9" customWidth="1"/>
  </cols>
  <sheetData>
    <row r="1" spans="1:26" ht="27.75" customHeight="1" x14ac:dyDescent="0.2">
      <c r="A1" s="1"/>
      <c r="B1" s="1"/>
      <c r="C1" s="1"/>
      <c r="D1" s="1"/>
      <c r="E1" s="22" t="s">
        <v>10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1"/>
      <c r="Q1" s="1"/>
      <c r="R1" s="1"/>
      <c r="S1" s="1"/>
      <c r="T1" s="1"/>
      <c r="U1" s="1"/>
      <c r="V1" s="1"/>
      <c r="W1" s="1"/>
      <c r="X1" s="1"/>
      <c r="Y1" s="7"/>
    </row>
    <row r="2" spans="1:26" s="6" customFormat="1" ht="12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7"/>
    </row>
    <row r="3" spans="1:26" s="16" customFormat="1" ht="10.5" customHeight="1" x14ac:dyDescent="0.25">
      <c r="A3" s="2"/>
      <c r="X3" s="2"/>
      <c r="Y3" s="17"/>
    </row>
    <row r="4" spans="1:26" ht="22.5" x14ac:dyDescent="0.4">
      <c r="A4" s="2"/>
      <c r="B4" s="16"/>
      <c r="C4" s="10"/>
      <c r="D4" s="19" t="s">
        <v>5</v>
      </c>
      <c r="E4" s="19"/>
      <c r="F4" s="13">
        <v>44594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6"/>
      <c r="X4" s="2"/>
      <c r="Y4" s="7"/>
    </row>
    <row r="5" spans="1:26" ht="22.5" x14ac:dyDescent="0.4">
      <c r="A5" s="2"/>
      <c r="B5" s="16"/>
      <c r="C5" s="18"/>
      <c r="D5" s="20" t="s">
        <v>6</v>
      </c>
      <c r="E5" s="18"/>
      <c r="F5" s="13">
        <f ca="1">TODAY()</f>
        <v>45674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6"/>
      <c r="X5" s="2"/>
      <c r="Y5" s="7"/>
    </row>
    <row r="6" spans="1:26" ht="22.5" x14ac:dyDescent="0.4">
      <c r="A6" s="4"/>
      <c r="B6" s="16"/>
      <c r="C6" s="10"/>
      <c r="D6" s="19" t="s">
        <v>4</v>
      </c>
      <c r="E6" s="19"/>
      <c r="F6" s="14" t="s">
        <v>8</v>
      </c>
      <c r="G6" s="5"/>
      <c r="H6" s="5"/>
      <c r="I6" s="5"/>
      <c r="J6" s="5"/>
      <c r="K6" s="5"/>
      <c r="L6" s="5"/>
      <c r="M6" s="5"/>
      <c r="N6" s="5"/>
      <c r="O6" s="2"/>
      <c r="P6" s="2"/>
      <c r="Q6" s="2"/>
      <c r="R6" s="2"/>
      <c r="S6" s="2"/>
      <c r="T6" s="2"/>
      <c r="U6" s="2"/>
      <c r="V6" s="2"/>
      <c r="W6" s="16"/>
      <c r="X6" s="2"/>
      <c r="Y6" s="7"/>
    </row>
    <row r="7" spans="1:26" ht="22.5" x14ac:dyDescent="0.4">
      <c r="A7" s="4"/>
      <c r="B7" s="16"/>
      <c r="C7" s="18"/>
      <c r="D7" s="20" t="s">
        <v>7</v>
      </c>
      <c r="E7" s="18"/>
      <c r="F7" s="15" t="s">
        <v>11</v>
      </c>
      <c r="G7" s="8"/>
      <c r="H7" s="8"/>
      <c r="I7" s="8"/>
      <c r="J7" s="8"/>
      <c r="K7" s="8"/>
      <c r="L7" s="8"/>
      <c r="M7" s="8"/>
      <c r="N7" s="8"/>
      <c r="O7" s="9"/>
      <c r="P7" s="9"/>
      <c r="Q7" s="9"/>
      <c r="R7" s="18"/>
      <c r="S7" s="18"/>
      <c r="T7" s="18"/>
      <c r="U7" s="18"/>
      <c r="V7" s="18"/>
      <c r="W7" s="16"/>
      <c r="X7" s="2"/>
      <c r="Y7" s="7"/>
    </row>
    <row r="8" spans="1:26" ht="22.5" x14ac:dyDescent="0.4">
      <c r="A8" s="4"/>
      <c r="B8" s="16"/>
      <c r="C8" s="10"/>
      <c r="D8" s="19" t="s">
        <v>3</v>
      </c>
      <c r="E8" s="19"/>
      <c r="F8" s="15" t="s">
        <v>11</v>
      </c>
      <c r="G8" s="8"/>
      <c r="H8" s="8"/>
      <c r="I8" s="8"/>
      <c r="J8" s="8"/>
      <c r="K8" s="8"/>
      <c r="L8" s="8"/>
      <c r="M8" s="8"/>
      <c r="N8" s="8"/>
      <c r="O8" s="9"/>
      <c r="P8" s="9"/>
      <c r="Q8" s="9"/>
      <c r="R8" s="2"/>
      <c r="S8" s="2"/>
      <c r="T8" s="2"/>
      <c r="U8" s="2"/>
      <c r="V8" s="2"/>
      <c r="W8" s="16"/>
      <c r="X8" s="2"/>
      <c r="Y8" s="7"/>
    </row>
    <row r="9" spans="1:26" s="6" customFormat="1" ht="15.75" x14ac:dyDescent="0.25">
      <c r="A9" s="4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2"/>
      <c r="Y9" s="7"/>
    </row>
    <row r="10" spans="1:26" ht="20.25" x14ac:dyDescent="0.3">
      <c r="A10" s="2"/>
      <c r="B10" s="16"/>
      <c r="C10" s="24"/>
      <c r="D10" s="24" t="str">
        <f>TRIM(MID(SUBSTITUTE($F$8,",",REPT(" ",LEN($F$8))),(COLUMN(D:D)-4)*LEN($F$8)+1,LEN($F$8)))</f>
        <v>AU.SHF</v>
      </c>
      <c r="E10" s="24" t="str">
        <f t="shared" ref="E10:V10" si="0">TRIM(MID(SUBSTITUTE($F$8,",",REPT(" ",LEN($F$8))),(COLUMN(E:E)-4)*LEN($F$8)+1,LEN($F$8)))</f>
        <v>AG.SHF</v>
      </c>
      <c r="F10" s="24" t="str">
        <f t="shared" si="0"/>
        <v>CU.SHF</v>
      </c>
      <c r="G10" s="24" t="str">
        <f t="shared" si="0"/>
        <v>ZN.SHF</v>
      </c>
      <c r="H10" s="24" t="str">
        <f t="shared" si="0"/>
        <v>RB.SHF</v>
      </c>
      <c r="I10" s="24" t="str">
        <f t="shared" si="0"/>
        <v>J.DCE</v>
      </c>
      <c r="J10" s="24" t="str">
        <f t="shared" si="0"/>
        <v>JM.DCE</v>
      </c>
      <c r="K10" s="24" t="str">
        <f t="shared" si="0"/>
        <v>TA.CZC</v>
      </c>
      <c r="L10" s="24" t="str">
        <f t="shared" si="0"/>
        <v>FG.CZC</v>
      </c>
      <c r="M10" s="24" t="str">
        <f t="shared" si="0"/>
        <v>A.DCE</v>
      </c>
      <c r="N10" s="24" t="str">
        <f t="shared" si="0"/>
        <v>Y.DCE</v>
      </c>
      <c r="O10" s="24" t="str">
        <f t="shared" si="0"/>
        <v>M.DCE</v>
      </c>
      <c r="P10" s="24" t="str">
        <f t="shared" si="0"/>
        <v>C.DCE</v>
      </c>
      <c r="Q10" s="24" t="str">
        <f t="shared" si="0"/>
        <v>SR.CZC</v>
      </c>
      <c r="R10" s="24" t="str">
        <f t="shared" si="0"/>
        <v>NH0100.NHF</v>
      </c>
      <c r="S10" s="24" t="str">
        <f t="shared" si="0"/>
        <v/>
      </c>
      <c r="T10" s="24" t="str">
        <f t="shared" si="0"/>
        <v/>
      </c>
      <c r="U10" s="24" t="str">
        <f t="shared" si="0"/>
        <v/>
      </c>
      <c r="V10" s="24" t="str">
        <f t="shared" si="0"/>
        <v/>
      </c>
      <c r="W10" s="16"/>
      <c r="X10" s="2"/>
      <c r="Y10" s="7"/>
      <c r="Z10" t="s">
        <v>0</v>
      </c>
    </row>
    <row r="11" spans="1:26" ht="20.25" x14ac:dyDescent="0.3">
      <c r="A11" s="2"/>
      <c r="B11" s="16"/>
      <c r="C11" s="24" t="str">
        <f>TRIM(MID(SUBSTITUTE($F$7,",",REPT(" ",LEN($F$7))),(ROW(11:11)-11)*LEN($F$7)+1,LEN($F$7)))</f>
        <v>AU.SHF</v>
      </c>
      <c r="D11" s="25">
        <f ca="1">IF(data!B2="","",data!B2)</f>
        <v>1</v>
      </c>
      <c r="E11" s="25">
        <f>IF(data!C2="","",data!C2)</f>
        <v>0.96897998432581367</v>
      </c>
      <c r="F11" s="25">
        <f>IF(data!D2="","",data!D2)</f>
        <v>0.71316434161891151</v>
      </c>
      <c r="G11" s="25">
        <f>IF(data!E2="","",data!E2)</f>
        <v>-2.5495128456876764E-2</v>
      </c>
      <c r="H11" s="25">
        <f>IF(data!F2="","",data!F2)</f>
        <v>-0.69810019947988555</v>
      </c>
      <c r="I11" s="25">
        <f>IF(data!G2="","",data!G2)</f>
        <v>-0.73981267759051172</v>
      </c>
      <c r="J11" s="25">
        <f>IF(data!H2="","",data!H2)</f>
        <v>-0.68618886194304463</v>
      </c>
      <c r="K11" s="25">
        <f>IF(data!I2="","",data!I2)</f>
        <v>-0.40864655736617245</v>
      </c>
      <c r="L11" s="25">
        <f>IF(data!J2="","",data!J2)</f>
        <v>-0.52686047382554912</v>
      </c>
      <c r="M11" s="25">
        <f>IF(data!K2="","",data!K2)</f>
        <v>-0.92663602277110135</v>
      </c>
      <c r="N11" s="25">
        <f>IF(data!L2="","",data!L2)</f>
        <v>-0.61160015929058764</v>
      </c>
      <c r="O11" s="25">
        <f>IF(data!M2="","",data!M2)</f>
        <v>-0.81790258030899088</v>
      </c>
      <c r="P11" s="25">
        <f>IF(data!N2="","",data!N2)</f>
        <v>-0.90896159762868023</v>
      </c>
      <c r="Q11" s="25">
        <f>IF(data!O2="","",data!O2)</f>
        <v>0.12760063604242528</v>
      </c>
      <c r="R11" s="25">
        <f>IF(data!P2="","",data!P2)</f>
        <v>0.66212267424355631</v>
      </c>
      <c r="S11" s="25" t="str">
        <f>IF(data!Q2="","",data!Q2)</f>
        <v/>
      </c>
      <c r="T11" s="25" t="str">
        <f>IF(data!R2="","",data!R2)</f>
        <v/>
      </c>
      <c r="U11" s="25" t="str">
        <f>IF(data!S2="","",data!S2)</f>
        <v/>
      </c>
      <c r="V11" s="25" t="str">
        <f>IF(data!T2="","",data!T2)</f>
        <v/>
      </c>
      <c r="W11" s="16"/>
      <c r="X11" s="2"/>
      <c r="Y11" s="7"/>
      <c r="Z11" t="s">
        <v>1</v>
      </c>
    </row>
    <row r="12" spans="1:26" ht="20.25" x14ac:dyDescent="0.3">
      <c r="A12" s="2"/>
      <c r="B12" s="16"/>
      <c r="C12" s="24" t="str">
        <f t="shared" ref="C12:C48" si="1">TRIM(MID(SUBSTITUTE($F$7,",",REPT(" ",LEN($F$7))),(ROW(12:12)-11)*LEN($F$7)+1,LEN($F$7)))</f>
        <v>AG.SHF</v>
      </c>
      <c r="D12" s="25">
        <f>IF(data!B3="","",data!B3)</f>
        <v>0.96897998432581367</v>
      </c>
      <c r="E12" s="25">
        <f>IF(data!C3="","",data!C3)</f>
        <v>1</v>
      </c>
      <c r="F12" s="25">
        <f>IF(data!D3="","",data!D3)</f>
        <v>0.80840072692557297</v>
      </c>
      <c r="G12" s="25">
        <f>IF(data!E3="","",data!E3)</f>
        <v>8.6354569943700825E-3</v>
      </c>
      <c r="H12" s="25">
        <f>IF(data!F3="","",data!F3)</f>
        <v>-0.61922527196555921</v>
      </c>
      <c r="I12" s="25">
        <f>IF(data!G3="","",data!G3)</f>
        <v>-0.66391322248312612</v>
      </c>
      <c r="J12" s="25">
        <f>IF(data!H3="","",data!H3)</f>
        <v>-0.61453192502351284</v>
      </c>
      <c r="K12" s="25">
        <f>IF(data!I3="","",data!I3)</f>
        <v>-0.33060682352437576</v>
      </c>
      <c r="L12" s="25">
        <f>IF(data!J3="","",data!J3)</f>
        <v>-0.41861986243826121</v>
      </c>
      <c r="M12" s="25">
        <f>IF(data!K3="","",data!K3)</f>
        <v>-0.87817387201430119</v>
      </c>
      <c r="N12" s="25">
        <f>IF(data!L3="","",data!L3)</f>
        <v>-0.58367573540679218</v>
      </c>
      <c r="O12" s="25">
        <f>IF(data!M3="","",data!M3)</f>
        <v>-0.74198024810969687</v>
      </c>
      <c r="P12" s="25">
        <f>IF(data!N3="","",data!N3)</f>
        <v>-0.84338141016327928</v>
      </c>
      <c r="Q12" s="25">
        <f>IF(data!O3="","",data!O3)</f>
        <v>0.1435978666958537</v>
      </c>
      <c r="R12" s="25">
        <f>IF(data!P3="","",data!P3)</f>
        <v>0.72811861214412466</v>
      </c>
      <c r="S12" s="25" t="str">
        <f>IF(data!Q3="","",data!Q3)</f>
        <v/>
      </c>
      <c r="T12" s="25" t="str">
        <f>IF(data!R3="","",data!R3)</f>
        <v/>
      </c>
      <c r="U12" s="25" t="str">
        <f>IF(data!S3="","",data!S3)</f>
        <v/>
      </c>
      <c r="V12" s="25" t="str">
        <f>IF(data!T3="","",data!T3)</f>
        <v/>
      </c>
      <c r="W12" s="16"/>
      <c r="X12" s="2"/>
      <c r="Y12" s="7"/>
      <c r="Z12" t="s">
        <v>2</v>
      </c>
    </row>
    <row r="13" spans="1:26" ht="20.25" x14ac:dyDescent="0.3">
      <c r="A13" s="2"/>
      <c r="B13" s="16"/>
      <c r="C13" s="24" t="str">
        <f t="shared" si="1"/>
        <v>CU.SHF</v>
      </c>
      <c r="D13" s="25">
        <f>IF(data!B4="","",data!B4)</f>
        <v>0.71316434161891151</v>
      </c>
      <c r="E13" s="25">
        <f>IF(data!C4="","",data!C4)</f>
        <v>0.80840072692557297</v>
      </c>
      <c r="F13" s="25">
        <f>IF(data!D4="","",data!D4)</f>
        <v>1</v>
      </c>
      <c r="G13" s="25">
        <f>IF(data!E4="","",data!E4)</f>
        <v>0.29846584731763565</v>
      </c>
      <c r="H13" s="25">
        <f>IF(data!F4="","",data!F4)</f>
        <v>-0.1361203057254948</v>
      </c>
      <c r="I13" s="25">
        <f>IF(data!G4="","",data!G4)</f>
        <v>-0.20627264837808043</v>
      </c>
      <c r="J13" s="25">
        <f>IF(data!H4="","",data!H4)</f>
        <v>-0.16822186595097532</v>
      </c>
      <c r="K13" s="25">
        <f>IF(data!I4="","",data!I4)</f>
        <v>2.2447764796243282E-2</v>
      </c>
      <c r="L13" s="25">
        <f>IF(data!J4="","",data!J4)</f>
        <v>-5.7910914395116093E-2</v>
      </c>
      <c r="M13" s="25">
        <f>IF(data!K4="","",data!K4)</f>
        <v>-0.50408673697883821</v>
      </c>
      <c r="N13" s="25">
        <f>IF(data!L4="","",data!L4)</f>
        <v>-0.18408563897241559</v>
      </c>
      <c r="O13" s="25">
        <f>IF(data!M4="","",data!M4)</f>
        <v>-0.46231818034305705</v>
      </c>
      <c r="P13" s="25">
        <f>IF(data!N4="","",data!N4)</f>
        <v>-0.47039590762438793</v>
      </c>
      <c r="Q13" s="25">
        <f>IF(data!O4="","",data!O4)</f>
        <v>4.8304967525054886E-2</v>
      </c>
      <c r="R13" s="25">
        <f>IF(data!P4="","",data!P4)</f>
        <v>0.78434607971050541</v>
      </c>
      <c r="S13" s="25" t="str">
        <f>IF(data!Q4="","",data!Q4)</f>
        <v/>
      </c>
      <c r="T13" s="25" t="str">
        <f>IF(data!R4="","",data!R4)</f>
        <v/>
      </c>
      <c r="U13" s="25" t="str">
        <f>IF(data!S4="","",data!S4)</f>
        <v/>
      </c>
      <c r="V13" s="25" t="str">
        <f>IF(data!T4="","",data!T4)</f>
        <v/>
      </c>
      <c r="W13" s="16"/>
      <c r="X13" s="2"/>
      <c r="Y13" s="7"/>
    </row>
    <row r="14" spans="1:26" ht="20.25" x14ac:dyDescent="0.3">
      <c r="A14" s="2"/>
      <c r="B14" s="16"/>
      <c r="C14" s="24" t="str">
        <f t="shared" si="1"/>
        <v>ZN.SHF</v>
      </c>
      <c r="D14" s="25">
        <f>IF(data!B5="","",data!B5)</f>
        <v>-2.5495128456876764E-2</v>
      </c>
      <c r="E14" s="25">
        <f>IF(data!C5="","",data!C5)</f>
        <v>8.6354569943700825E-3</v>
      </c>
      <c r="F14" s="25">
        <f>IF(data!D5="","",data!D5)</f>
        <v>0.29846584731763565</v>
      </c>
      <c r="G14" s="25">
        <f>IF(data!E5="","",data!E5)</f>
        <v>0.99999999999999989</v>
      </c>
      <c r="H14" s="25">
        <f>IF(data!F5="","",data!F5)</f>
        <v>0.38596446240597232</v>
      </c>
      <c r="I14" s="25">
        <f>IF(data!G5="","",data!G5)</f>
        <v>0.49783717509246567</v>
      </c>
      <c r="J14" s="25">
        <f>IF(data!H5="","",data!H5)</f>
        <v>0.50524812192694601</v>
      </c>
      <c r="K14" s="25">
        <f>IF(data!I5="","",data!I5)</f>
        <v>-1.628910714375081E-2</v>
      </c>
      <c r="L14" s="25">
        <f>IF(data!J5="","",data!J5)</f>
        <v>-9.7584290125146151E-3</v>
      </c>
      <c r="M14" s="25">
        <f>IF(data!K5="","",data!K5)</f>
        <v>0.27965446413046102</v>
      </c>
      <c r="N14" s="25">
        <f>IF(data!L5="","",data!L5)</f>
        <v>0.68632045808377751</v>
      </c>
      <c r="O14" s="25">
        <f>IF(data!M5="","",data!M5)</f>
        <v>4.4209269879400416E-2</v>
      </c>
      <c r="P14" s="25">
        <f>IF(data!N5="","",data!N5)</f>
        <v>0.18793054671382589</v>
      </c>
      <c r="Q14" s="25">
        <f>IF(data!O5="","",data!O5)</f>
        <v>-0.73267820990319354</v>
      </c>
      <c r="R14" s="25">
        <f>IF(data!P5="","",data!P5)</f>
        <v>-1.6888551102810796E-3</v>
      </c>
      <c r="S14" s="25" t="str">
        <f>IF(data!Q5="","",data!Q5)</f>
        <v/>
      </c>
      <c r="T14" s="25" t="str">
        <f>IF(data!R5="","",data!R5)</f>
        <v/>
      </c>
      <c r="U14" s="25" t="str">
        <f>IF(data!S5="","",data!S5)</f>
        <v/>
      </c>
      <c r="V14" s="25" t="str">
        <f>IF(data!T5="","",data!T5)</f>
        <v/>
      </c>
      <c r="W14" s="16"/>
      <c r="X14" s="2"/>
      <c r="Y14" s="7"/>
    </row>
    <row r="15" spans="1:26" ht="20.25" x14ac:dyDescent="0.3">
      <c r="A15" s="2"/>
      <c r="B15" s="16"/>
      <c r="C15" s="24" t="str">
        <f t="shared" si="1"/>
        <v>RB.SHF</v>
      </c>
      <c r="D15" s="25">
        <f>IF(data!B6="","",data!B6)</f>
        <v>-0.69810019947988555</v>
      </c>
      <c r="E15" s="25">
        <f>IF(data!C6="","",data!C6)</f>
        <v>-0.61922527196555921</v>
      </c>
      <c r="F15" s="25">
        <f>IF(data!D6="","",data!D6)</f>
        <v>-0.1361203057254948</v>
      </c>
      <c r="G15" s="25">
        <f>IF(data!E6="","",data!E6)</f>
        <v>0.38596446240597232</v>
      </c>
      <c r="H15" s="25">
        <f>IF(data!F6="","",data!F6)</f>
        <v>0.99999999999999989</v>
      </c>
      <c r="I15" s="25">
        <f>IF(data!G6="","",data!G6)</f>
        <v>0.94245767073928222</v>
      </c>
      <c r="J15" s="25">
        <f>IF(data!H6="","",data!H6)</f>
        <v>0.90079666578541828</v>
      </c>
      <c r="K15" s="25">
        <f>IF(data!I6="","",data!I6)</f>
        <v>0.59053982627797796</v>
      </c>
      <c r="L15" s="25">
        <f>IF(data!J6="","",data!J6)</f>
        <v>0.79394966069159745</v>
      </c>
      <c r="M15" s="25">
        <f>IF(data!K6="","",data!K6)</f>
        <v>0.81077540699000117</v>
      </c>
      <c r="N15" s="25">
        <f>IF(data!L6="","",data!L6)</f>
        <v>0.75044643373228681</v>
      </c>
      <c r="O15" s="25">
        <f>IF(data!M6="","",data!M6)</f>
        <v>0.58235330226369264</v>
      </c>
      <c r="P15" s="25">
        <f>IF(data!N6="","",data!N6)</f>
        <v>0.72718909750474736</v>
      </c>
      <c r="Q15" s="25">
        <f>IF(data!O6="","",data!O6)</f>
        <v>-0.15419856501882623</v>
      </c>
      <c r="R15" s="25">
        <f>IF(data!P6="","",data!P6)</f>
        <v>-0.19080574716382112</v>
      </c>
      <c r="S15" s="25" t="str">
        <f>IF(data!Q6="","",data!Q6)</f>
        <v/>
      </c>
      <c r="T15" s="25" t="str">
        <f>IF(data!R6="","",data!R6)</f>
        <v/>
      </c>
      <c r="U15" s="25" t="str">
        <f>IF(data!S6="","",data!S6)</f>
        <v/>
      </c>
      <c r="V15" s="25" t="str">
        <f>IF(data!T6="","",data!T6)</f>
        <v/>
      </c>
      <c r="W15" s="16"/>
      <c r="X15" s="2"/>
      <c r="Y15" s="7"/>
    </row>
    <row r="16" spans="1:26" ht="20.25" x14ac:dyDescent="0.3">
      <c r="A16" s="2"/>
      <c r="B16" s="16"/>
      <c r="C16" s="24" t="str">
        <f t="shared" si="1"/>
        <v>J.DCE</v>
      </c>
      <c r="D16" s="25">
        <f>IF(data!B7="","",data!B7)</f>
        <v>-0.73981267759051172</v>
      </c>
      <c r="E16" s="25">
        <f>IF(data!C7="","",data!C7)</f>
        <v>-0.66391322248312612</v>
      </c>
      <c r="F16" s="25">
        <f>IF(data!D7="","",data!D7)</f>
        <v>-0.20627264837808043</v>
      </c>
      <c r="G16" s="25">
        <f>IF(data!E7="","",data!E7)</f>
        <v>0.49783717509246567</v>
      </c>
      <c r="H16" s="25">
        <f>IF(data!F7="","",data!F7)</f>
        <v>0.94245767073928222</v>
      </c>
      <c r="I16" s="25">
        <f>IF(data!G7="","",data!G7)</f>
        <v>1</v>
      </c>
      <c r="J16" s="25">
        <f>IF(data!H7="","",data!H7)</f>
        <v>0.97474191009398137</v>
      </c>
      <c r="K16" s="25">
        <f>IF(data!I7="","",data!I7)</f>
        <v>0.54823228875959218</v>
      </c>
      <c r="L16" s="25">
        <f>IF(data!J7="","",data!J7)</f>
        <v>0.65872446129959406</v>
      </c>
      <c r="M16" s="25">
        <f>IF(data!K7="","",data!K7)</f>
        <v>0.8650929013154508</v>
      </c>
      <c r="N16" s="25">
        <f>IF(data!L7="","",data!L7)</f>
        <v>0.84222248033742919</v>
      </c>
      <c r="O16" s="25">
        <f>IF(data!M7="","",data!M7)</f>
        <v>0.66129029260529759</v>
      </c>
      <c r="P16" s="25">
        <f>IF(data!N7="","",data!N7)</f>
        <v>0.77391125313262843</v>
      </c>
      <c r="Q16" s="25">
        <f>IF(data!O7="","",data!O7)</f>
        <v>-0.31192482817340089</v>
      </c>
      <c r="R16" s="25">
        <f>IF(data!P7="","",data!P7)</f>
        <v>-0.23491295278257593</v>
      </c>
      <c r="S16" s="25" t="str">
        <f>IF(data!Q7="","",data!Q7)</f>
        <v/>
      </c>
      <c r="T16" s="25" t="str">
        <f>IF(data!R7="","",data!R7)</f>
        <v/>
      </c>
      <c r="U16" s="25" t="str">
        <f>IF(data!S7="","",data!S7)</f>
        <v/>
      </c>
      <c r="V16" s="25" t="str">
        <f>IF(data!T7="","",data!T7)</f>
        <v/>
      </c>
      <c r="W16" s="16"/>
      <c r="X16" s="2"/>
      <c r="Y16" s="7"/>
    </row>
    <row r="17" spans="1:28" ht="20.25" x14ac:dyDescent="0.3">
      <c r="A17" s="2"/>
      <c r="B17" s="16"/>
      <c r="C17" s="24" t="str">
        <f t="shared" si="1"/>
        <v>JM.DCE</v>
      </c>
      <c r="D17" s="25">
        <f>IF(data!B8="","",data!B8)</f>
        <v>-0.68618886194304463</v>
      </c>
      <c r="E17" s="25">
        <f>IF(data!C8="","",data!C8)</f>
        <v>-0.61453192502351284</v>
      </c>
      <c r="F17" s="25">
        <f>IF(data!D8="","",data!D8)</f>
        <v>-0.16822186595097532</v>
      </c>
      <c r="G17" s="25">
        <f>IF(data!E8="","",data!E8)</f>
        <v>0.50524812192694601</v>
      </c>
      <c r="H17" s="25">
        <f>IF(data!F8="","",data!F8)</f>
        <v>0.90079666578541828</v>
      </c>
      <c r="I17" s="25">
        <f>IF(data!G8="","",data!G8)</f>
        <v>0.97474191009398137</v>
      </c>
      <c r="J17" s="25">
        <f>IF(data!H8="","",data!H8)</f>
        <v>1.0000000000000002</v>
      </c>
      <c r="K17" s="25">
        <f>IF(data!I8="","",data!I8)</f>
        <v>0.56399800315990001</v>
      </c>
      <c r="L17" s="25">
        <f>IF(data!J8="","",data!J8)</f>
        <v>0.64468916580330449</v>
      </c>
      <c r="M17" s="25">
        <f>IF(data!K8="","",data!K8)</f>
        <v>0.83484772116637718</v>
      </c>
      <c r="N17" s="25">
        <f>IF(data!L8="","",data!L8)</f>
        <v>0.83672049969061457</v>
      </c>
      <c r="O17" s="25">
        <f>IF(data!M8="","",data!M8)</f>
        <v>0.62514753135816969</v>
      </c>
      <c r="P17" s="25">
        <f>IF(data!N8="","",data!N8)</f>
        <v>0.70278466585990373</v>
      </c>
      <c r="Q17" s="25">
        <f>IF(data!O8="","",data!O8)</f>
        <v>-0.335190445886074</v>
      </c>
      <c r="R17" s="25">
        <f>IF(data!P8="","",data!P8)</f>
        <v>-0.1737790523840905</v>
      </c>
      <c r="S17" s="25" t="str">
        <f>IF(data!Q8="","",data!Q8)</f>
        <v/>
      </c>
      <c r="T17" s="25" t="str">
        <f>IF(data!R8="","",data!R8)</f>
        <v/>
      </c>
      <c r="U17" s="25" t="str">
        <f>IF(data!S8="","",data!S8)</f>
        <v/>
      </c>
      <c r="V17" s="25" t="str">
        <f>IF(data!T8="","",data!T8)</f>
        <v/>
      </c>
      <c r="W17" s="16"/>
      <c r="X17" s="2"/>
      <c r="Y17" s="7"/>
    </row>
    <row r="18" spans="1:28" ht="20.25" x14ac:dyDescent="0.3">
      <c r="A18" s="2"/>
      <c r="B18" s="16"/>
      <c r="C18" s="24" t="str">
        <f t="shared" si="1"/>
        <v>TA.CZC</v>
      </c>
      <c r="D18" s="25">
        <f>IF(data!B9="","",data!B9)</f>
        <v>-0.40864655736617245</v>
      </c>
      <c r="E18" s="25">
        <f>IF(data!C9="","",data!C9)</f>
        <v>-0.33060682352437576</v>
      </c>
      <c r="F18" s="25">
        <f>IF(data!D9="","",data!D9)</f>
        <v>2.2447764796243282E-2</v>
      </c>
      <c r="G18" s="25">
        <f>IF(data!E9="","",data!E9)</f>
        <v>-1.628910714375081E-2</v>
      </c>
      <c r="H18" s="25">
        <f>IF(data!F9="","",data!F9)</f>
        <v>0.59053982627797796</v>
      </c>
      <c r="I18" s="25">
        <f>IF(data!G9="","",data!G9)</f>
        <v>0.54823228875959218</v>
      </c>
      <c r="J18" s="25">
        <f>IF(data!H9="","",data!H9)</f>
        <v>0.56399800315990001</v>
      </c>
      <c r="K18" s="25">
        <f>IF(data!I9="","",data!I9)</f>
        <v>1</v>
      </c>
      <c r="L18" s="25">
        <f>IF(data!J9="","",data!J9)</f>
        <v>0.62229802556325819</v>
      </c>
      <c r="M18" s="25">
        <f>IF(data!K9="","",data!K9)</f>
        <v>0.51891024112287853</v>
      </c>
      <c r="N18" s="25">
        <f>IF(data!L9="","",data!L9)</f>
        <v>0.40909918929161126</v>
      </c>
      <c r="O18" s="25">
        <f>IF(data!M9="","",data!M9)</f>
        <v>0.43641443519351131</v>
      </c>
      <c r="P18" s="25">
        <f>IF(data!N9="","",data!N9)</f>
        <v>0.45932466666380539</v>
      </c>
      <c r="Q18" s="25">
        <f>IF(data!O9="","",data!O9)</f>
        <v>0.26887809957616554</v>
      </c>
      <c r="R18" s="25">
        <f>IF(data!P9="","",data!P9)</f>
        <v>0.22226879529633795</v>
      </c>
      <c r="S18" s="25" t="str">
        <f>IF(data!Q9="","",data!Q9)</f>
        <v/>
      </c>
      <c r="T18" s="25" t="str">
        <f>IF(data!R9="","",data!R9)</f>
        <v/>
      </c>
      <c r="U18" s="25" t="str">
        <f>IF(data!S9="","",data!S9)</f>
        <v/>
      </c>
      <c r="V18" s="25" t="str">
        <f>IF(data!T9="","",data!T9)</f>
        <v/>
      </c>
      <c r="W18" s="16"/>
      <c r="X18" s="2"/>
      <c r="Y18" s="7"/>
    </row>
    <row r="19" spans="1:28" ht="20.25" x14ac:dyDescent="0.3">
      <c r="A19" s="2"/>
      <c r="B19" s="16"/>
      <c r="C19" s="24" t="str">
        <f t="shared" si="1"/>
        <v>FG.CZC</v>
      </c>
      <c r="D19" s="25">
        <f>IF(data!B10="","",data!B10)</f>
        <v>-0.52686047382554912</v>
      </c>
      <c r="E19" s="25">
        <f>IF(data!C10="","",data!C10)</f>
        <v>-0.41861986243826121</v>
      </c>
      <c r="F19" s="25">
        <f>IF(data!D10="","",data!D10)</f>
        <v>-5.7910914395116093E-2</v>
      </c>
      <c r="G19" s="25">
        <f>IF(data!E10="","",data!E10)</f>
        <v>-9.7584290125146151E-3</v>
      </c>
      <c r="H19" s="25">
        <f>IF(data!F10="","",data!F10)</f>
        <v>0.79394966069159745</v>
      </c>
      <c r="I19" s="25">
        <f>IF(data!G10="","",data!G10)</f>
        <v>0.65872446129959406</v>
      </c>
      <c r="J19" s="25">
        <f>IF(data!H10="","",data!H10)</f>
        <v>0.64468916580330449</v>
      </c>
      <c r="K19" s="25">
        <f>IF(data!I10="","",data!I10)</f>
        <v>0.62229802556325819</v>
      </c>
      <c r="L19" s="25">
        <f>IF(data!J10="","",data!J10)</f>
        <v>0.99999999999999989</v>
      </c>
      <c r="M19" s="25">
        <f>IF(data!K10="","",data!K10)</f>
        <v>0.55204177722594916</v>
      </c>
      <c r="N19" s="25">
        <f>IF(data!L10="","",data!L10)</f>
        <v>0.35730969268057883</v>
      </c>
      <c r="O19" s="25">
        <f>IF(data!M10="","",data!M10)</f>
        <v>0.46036825528680536</v>
      </c>
      <c r="P19" s="25">
        <f>IF(data!N10="","",data!N10)</f>
        <v>0.50934906125898316</v>
      </c>
      <c r="Q19" s="25">
        <f>IF(data!O10="","",data!O10)</f>
        <v>0.25851790979142958</v>
      </c>
      <c r="R19" s="25">
        <f>IF(data!P10="","",data!P10)</f>
        <v>3.7641891938461007E-2</v>
      </c>
      <c r="S19" s="25" t="str">
        <f>IF(data!Q10="","",data!Q10)</f>
        <v/>
      </c>
      <c r="T19" s="25" t="str">
        <f>IF(data!R10="","",data!R10)</f>
        <v/>
      </c>
      <c r="U19" s="25" t="str">
        <f>IF(data!S10="","",data!S10)</f>
        <v/>
      </c>
      <c r="V19" s="25" t="str">
        <f>IF(data!T10="","",data!T10)</f>
        <v/>
      </c>
      <c r="W19" s="16"/>
      <c r="X19" s="2"/>
      <c r="Y19" s="7"/>
    </row>
    <row r="20" spans="1:28" ht="20.25" x14ac:dyDescent="0.3">
      <c r="A20" s="2"/>
      <c r="B20" s="16"/>
      <c r="C20" s="24" t="str">
        <f t="shared" si="1"/>
        <v>A.DCE</v>
      </c>
      <c r="D20" s="25">
        <f>IF(data!B11="","",data!B11)</f>
        <v>-0.92663602277110135</v>
      </c>
      <c r="E20" s="25">
        <f>IF(data!C11="","",data!C11)</f>
        <v>-0.87817387201430119</v>
      </c>
      <c r="F20" s="25">
        <f>IF(data!D11="","",data!D11)</f>
        <v>-0.50408673697883821</v>
      </c>
      <c r="G20" s="25">
        <f>IF(data!E11="","",data!E11)</f>
        <v>0.27965446413046102</v>
      </c>
      <c r="H20" s="25">
        <f>IF(data!F11="","",data!F11)</f>
        <v>0.81077540699000117</v>
      </c>
      <c r="I20" s="25">
        <f>IF(data!G11="","",data!G11)</f>
        <v>0.8650929013154508</v>
      </c>
      <c r="J20" s="25">
        <f>IF(data!H11="","",data!H11)</f>
        <v>0.83484772116637718</v>
      </c>
      <c r="K20" s="25">
        <f>IF(data!I11="","",data!I11)</f>
        <v>0.51891024112287853</v>
      </c>
      <c r="L20" s="25">
        <f>IF(data!J11="","",data!J11)</f>
        <v>0.55204177722594916</v>
      </c>
      <c r="M20" s="25">
        <f>IF(data!K11="","",data!K11)</f>
        <v>1</v>
      </c>
      <c r="N20" s="25">
        <f>IF(data!L11="","",data!L11)</f>
        <v>0.79808590612561969</v>
      </c>
      <c r="O20" s="25">
        <f>IF(data!M11="","",data!M11)</f>
        <v>0.80633734966028037</v>
      </c>
      <c r="P20" s="25">
        <f>IF(data!N11="","",data!N11)</f>
        <v>0.90683936499650275</v>
      </c>
      <c r="Q20" s="25">
        <f>IF(data!O11="","",data!O11)</f>
        <v>-0.25473919441961251</v>
      </c>
      <c r="R20" s="25">
        <f>IF(data!P11="","",data!P11)</f>
        <v>-0.54348710132040878</v>
      </c>
      <c r="S20" s="25" t="str">
        <f>IF(data!Q11="","",data!Q11)</f>
        <v/>
      </c>
      <c r="T20" s="25" t="str">
        <f>IF(data!R11="","",data!R11)</f>
        <v/>
      </c>
      <c r="U20" s="25" t="str">
        <f>IF(data!S11="","",data!S11)</f>
        <v/>
      </c>
      <c r="V20" s="25" t="str">
        <f>IF(data!T11="","",data!T11)</f>
        <v/>
      </c>
      <c r="W20" s="16"/>
      <c r="X20" s="2"/>
      <c r="Y20" s="7"/>
    </row>
    <row r="21" spans="1:28" ht="20.25" x14ac:dyDescent="0.3">
      <c r="A21" s="2"/>
      <c r="B21" s="16"/>
      <c r="C21" s="24" t="str">
        <f t="shared" si="1"/>
        <v>Y.DCE</v>
      </c>
      <c r="D21" s="25">
        <f>IF(data!B12="","",data!B12)</f>
        <v>-0.61160015929058764</v>
      </c>
      <c r="E21" s="25">
        <f>IF(data!C12="","",data!C12)</f>
        <v>-0.58367573540679218</v>
      </c>
      <c r="F21" s="25">
        <f>IF(data!D12="","",data!D12)</f>
        <v>-0.18408563897241559</v>
      </c>
      <c r="G21" s="25">
        <f>IF(data!E12="","",data!E12)</f>
        <v>0.68632045808377751</v>
      </c>
      <c r="H21" s="25">
        <f>IF(data!F12="","",data!F12)</f>
        <v>0.75044643373228681</v>
      </c>
      <c r="I21" s="25">
        <f>IF(data!G12="","",data!G12)</f>
        <v>0.84222248033742919</v>
      </c>
      <c r="J21" s="25">
        <f>IF(data!H12="","",data!H12)</f>
        <v>0.83672049969061457</v>
      </c>
      <c r="K21" s="25">
        <f>IF(data!I12="","",data!I12)</f>
        <v>0.40909918929161126</v>
      </c>
      <c r="L21" s="25">
        <f>IF(data!J12="","",data!J12)</f>
        <v>0.35730969268057883</v>
      </c>
      <c r="M21" s="25">
        <f>IF(data!K12="","",data!K12)</f>
        <v>0.79808590612561969</v>
      </c>
      <c r="N21" s="25">
        <f>IF(data!L12="","",data!L12)</f>
        <v>1</v>
      </c>
      <c r="O21" s="25">
        <f>IF(data!M12="","",data!M12)</f>
        <v>0.60488678468331902</v>
      </c>
      <c r="P21" s="25">
        <f>IF(data!N12="","",data!N12)</f>
        <v>0.69325414345485437</v>
      </c>
      <c r="Q21" s="25">
        <f>IF(data!O12="","",data!O12)</f>
        <v>-0.49259983964959536</v>
      </c>
      <c r="R21" s="25">
        <f>IF(data!P12="","",data!P12)</f>
        <v>-0.31011232851479148</v>
      </c>
      <c r="S21" s="25" t="str">
        <f>IF(data!Q12="","",data!Q12)</f>
        <v/>
      </c>
      <c r="T21" s="25" t="str">
        <f>IF(data!R12="","",data!R12)</f>
        <v/>
      </c>
      <c r="U21" s="25" t="str">
        <f>IF(data!S12="","",data!S12)</f>
        <v/>
      </c>
      <c r="V21" s="25" t="str">
        <f>IF(data!T12="","",data!T12)</f>
        <v/>
      </c>
      <c r="W21" s="16"/>
      <c r="X21" s="2"/>
      <c r="Y21" s="7"/>
    </row>
    <row r="22" spans="1:28" ht="20.25" x14ac:dyDescent="0.3">
      <c r="A22" s="2"/>
      <c r="B22" s="16"/>
      <c r="C22" s="24" t="str">
        <f t="shared" si="1"/>
        <v>M.DCE</v>
      </c>
      <c r="D22" s="25">
        <f>IF(data!B13="","",data!B13)</f>
        <v>-0.81790258030899088</v>
      </c>
      <c r="E22" s="25">
        <f>IF(data!C13="","",data!C13)</f>
        <v>-0.74198024810969687</v>
      </c>
      <c r="F22" s="25">
        <f>IF(data!D13="","",data!D13)</f>
        <v>-0.46231818034305705</v>
      </c>
      <c r="G22" s="25">
        <f>IF(data!E13="","",data!E13)</f>
        <v>4.4209269879400416E-2</v>
      </c>
      <c r="H22" s="25">
        <f>IF(data!F13="","",data!F13)</f>
        <v>0.58235330226369264</v>
      </c>
      <c r="I22" s="25">
        <f>IF(data!G13="","",data!G13)</f>
        <v>0.66129029260529759</v>
      </c>
      <c r="J22" s="25">
        <f>IF(data!H13="","",data!H13)</f>
        <v>0.62514753135816969</v>
      </c>
      <c r="K22" s="25">
        <f>IF(data!I13="","",data!I13)</f>
        <v>0.43641443519351131</v>
      </c>
      <c r="L22" s="25">
        <f>IF(data!J13="","",data!J13)</f>
        <v>0.46036825528680536</v>
      </c>
      <c r="M22" s="25">
        <f>IF(data!K13="","",data!K13)</f>
        <v>0.80633734966028037</v>
      </c>
      <c r="N22" s="25">
        <f>IF(data!L13="","",data!L13)</f>
        <v>0.60488678468331902</v>
      </c>
      <c r="O22" s="25">
        <f>IF(data!M13="","",data!M13)</f>
        <v>0.99999999999999989</v>
      </c>
      <c r="P22" s="25">
        <f>IF(data!N13="","",data!N13)</f>
        <v>0.86985564911372304</v>
      </c>
      <c r="Q22" s="25">
        <f>IF(data!O13="","",data!O13)</f>
        <v>1.439949376384312E-2</v>
      </c>
      <c r="R22" s="25">
        <f>IF(data!P13="","",data!P13)</f>
        <v>-0.35973017271518276</v>
      </c>
      <c r="S22" s="25" t="str">
        <f>IF(data!Q13="","",data!Q13)</f>
        <v/>
      </c>
      <c r="T22" s="25" t="str">
        <f>IF(data!R13="","",data!R13)</f>
        <v/>
      </c>
      <c r="U22" s="25" t="str">
        <f>IF(data!S13="","",data!S13)</f>
        <v/>
      </c>
      <c r="V22" s="25" t="str">
        <f>IF(data!T13="","",data!T13)</f>
        <v/>
      </c>
      <c r="W22" s="16"/>
      <c r="X22" s="2"/>
      <c r="Y22" s="7"/>
    </row>
    <row r="23" spans="1:28" ht="20.25" x14ac:dyDescent="0.3">
      <c r="A23" s="3"/>
      <c r="B23" s="16"/>
      <c r="C23" s="24" t="str">
        <f t="shared" si="1"/>
        <v>C.DCE</v>
      </c>
      <c r="D23" s="25">
        <f>IF(data!B14="","",data!B14)</f>
        <v>-0.90896159762868023</v>
      </c>
      <c r="E23" s="25">
        <f>IF(data!C14="","",data!C14)</f>
        <v>-0.84338141016327928</v>
      </c>
      <c r="F23" s="25">
        <f>IF(data!D14="","",data!D14)</f>
        <v>-0.47039590762438793</v>
      </c>
      <c r="G23" s="25">
        <f>IF(data!E14="","",data!E14)</f>
        <v>0.18793054671382589</v>
      </c>
      <c r="H23" s="25">
        <f>IF(data!F14="","",data!F14)</f>
        <v>0.72718909750474736</v>
      </c>
      <c r="I23" s="25">
        <f>IF(data!G14="","",data!G14)</f>
        <v>0.77391125313262843</v>
      </c>
      <c r="J23" s="25">
        <f>IF(data!H14="","",data!H14)</f>
        <v>0.70278466585990373</v>
      </c>
      <c r="K23" s="25">
        <f>IF(data!I14="","",data!I14)</f>
        <v>0.45932466666380539</v>
      </c>
      <c r="L23" s="25">
        <f>IF(data!J14="","",data!J14)</f>
        <v>0.50934906125898316</v>
      </c>
      <c r="M23" s="25">
        <f>IF(data!K14="","",data!K14)</f>
        <v>0.90683936499650275</v>
      </c>
      <c r="N23" s="25">
        <f>IF(data!L14="","",data!L14)</f>
        <v>0.69325414345485437</v>
      </c>
      <c r="O23" s="25">
        <f>IF(data!M14="","",data!M14)</f>
        <v>0.86985564911372304</v>
      </c>
      <c r="P23" s="25">
        <f>IF(data!N14="","",data!N14)</f>
        <v>1.0000000000000002</v>
      </c>
      <c r="Q23" s="25">
        <f>IF(data!O14="","",data!O14)</f>
        <v>-0.14552758867031224</v>
      </c>
      <c r="R23" s="25">
        <f>IF(data!P14="","",data!P14)</f>
        <v>-0.5059928126857588</v>
      </c>
      <c r="S23" s="25" t="str">
        <f>IF(data!Q14="","",data!Q14)</f>
        <v/>
      </c>
      <c r="T23" s="25" t="str">
        <f>IF(data!R14="","",data!R14)</f>
        <v/>
      </c>
      <c r="U23" s="25" t="str">
        <f>IF(data!S14="","",data!S14)</f>
        <v/>
      </c>
      <c r="V23" s="25" t="str">
        <f>IF(data!T14="","",data!T14)</f>
        <v/>
      </c>
      <c r="W23" s="16"/>
      <c r="X23" s="2"/>
      <c r="Y23" s="7"/>
    </row>
    <row r="24" spans="1:28" ht="20.25" x14ac:dyDescent="0.3">
      <c r="A24" s="3"/>
      <c r="B24" s="16"/>
      <c r="C24" s="24" t="str">
        <f t="shared" si="1"/>
        <v>SR.CZC</v>
      </c>
      <c r="D24" s="25">
        <f>IF(data!B15="","",data!B15)</f>
        <v>0.12760063604242528</v>
      </c>
      <c r="E24" s="25">
        <f>IF(data!C15="","",data!C15)</f>
        <v>0.1435978666958537</v>
      </c>
      <c r="F24" s="25">
        <f>IF(data!D15="","",data!D15)</f>
        <v>4.8304967525054886E-2</v>
      </c>
      <c r="G24" s="25">
        <f>IF(data!E15="","",data!E15)</f>
        <v>-0.73267820990319354</v>
      </c>
      <c r="H24" s="25">
        <f>IF(data!F15="","",data!F15)</f>
        <v>-0.15419856501882623</v>
      </c>
      <c r="I24" s="25">
        <f>IF(data!G15="","",data!G15)</f>
        <v>-0.31192482817340089</v>
      </c>
      <c r="J24" s="25">
        <f>IF(data!H15="","",data!H15)</f>
        <v>-0.335190445886074</v>
      </c>
      <c r="K24" s="25">
        <f>IF(data!I15="","",data!I15)</f>
        <v>0.26887809957616554</v>
      </c>
      <c r="L24" s="25">
        <f>IF(data!J15="","",data!J15)</f>
        <v>0.25851790979142958</v>
      </c>
      <c r="M24" s="25">
        <f>IF(data!K15="","",data!K15)</f>
        <v>-0.25473919441961251</v>
      </c>
      <c r="N24" s="25">
        <f>IF(data!L15="","",data!L15)</f>
        <v>-0.49259983964959536</v>
      </c>
      <c r="O24" s="25">
        <f>IF(data!M15="","",data!M15)</f>
        <v>1.439949376384312E-2</v>
      </c>
      <c r="P24" s="25">
        <f>IF(data!N15="","",data!N15)</f>
        <v>-0.14552758867031224</v>
      </c>
      <c r="Q24" s="25">
        <f>IF(data!O15="","",data!O15)</f>
        <v>1</v>
      </c>
      <c r="R24" s="25">
        <f>IF(data!P15="","",data!P15)</f>
        <v>0.31834679510481578</v>
      </c>
      <c r="S24" s="25" t="str">
        <f>IF(data!Q15="","",data!Q15)</f>
        <v/>
      </c>
      <c r="T24" s="25" t="str">
        <f>IF(data!R15="","",data!R15)</f>
        <v/>
      </c>
      <c r="U24" s="25" t="str">
        <f>IF(data!S15="","",data!S15)</f>
        <v/>
      </c>
      <c r="V24" s="25" t="str">
        <f>IF(data!T15="","",data!T15)</f>
        <v/>
      </c>
      <c r="W24" s="16"/>
      <c r="X24" s="2"/>
      <c r="Y24" s="7"/>
    </row>
    <row r="25" spans="1:28" ht="20.25" x14ac:dyDescent="0.3">
      <c r="A25" s="3"/>
      <c r="B25" s="16"/>
      <c r="C25" s="24" t="str">
        <f t="shared" si="1"/>
        <v>NH0100.NHF</v>
      </c>
      <c r="D25" s="25">
        <f>IF(data!B16="","",data!B16)</f>
        <v>0.66212267424355631</v>
      </c>
      <c r="E25" s="25">
        <f>IF(data!C16="","",data!C16)</f>
        <v>0.72811861214412466</v>
      </c>
      <c r="F25" s="25">
        <f>IF(data!D16="","",data!D16)</f>
        <v>0.78434607971050541</v>
      </c>
      <c r="G25" s="25">
        <f>IF(data!E16="","",data!E16)</f>
        <v>-1.6888551102810796E-3</v>
      </c>
      <c r="H25" s="25">
        <f>IF(data!F16="","",data!F16)</f>
        <v>-0.19080574716382112</v>
      </c>
      <c r="I25" s="25">
        <f>IF(data!G16="","",data!G16)</f>
        <v>-0.23491295278257593</v>
      </c>
      <c r="J25" s="25">
        <f>IF(data!H16="","",data!H16)</f>
        <v>-0.1737790523840905</v>
      </c>
      <c r="K25" s="25">
        <f>IF(data!I16="","",data!I16)</f>
        <v>0.22226879529633795</v>
      </c>
      <c r="L25" s="25">
        <f>IF(data!J16="","",data!J16)</f>
        <v>3.7641891938461007E-2</v>
      </c>
      <c r="M25" s="25">
        <f>IF(data!K16="","",data!K16)</f>
        <v>-0.54348710132040878</v>
      </c>
      <c r="N25" s="25">
        <f>IF(data!L16="","",data!L16)</f>
        <v>-0.31011232851479148</v>
      </c>
      <c r="O25" s="25">
        <f>IF(data!M16="","",data!M16)</f>
        <v>-0.35973017271518276</v>
      </c>
      <c r="P25" s="25">
        <f>IF(data!N16="","",data!N16)</f>
        <v>-0.5059928126857588</v>
      </c>
      <c r="Q25" s="25">
        <f>IF(data!O16="","",data!O16)</f>
        <v>0.31834679510481578</v>
      </c>
      <c r="R25" s="25">
        <f>IF(data!P16="","",data!P16)</f>
        <v>0.99999999999999989</v>
      </c>
      <c r="S25" s="25" t="str">
        <f>IF(data!Q16="","",data!Q16)</f>
        <v/>
      </c>
      <c r="T25" s="25" t="str">
        <f>IF(data!R16="","",data!R16)</f>
        <v/>
      </c>
      <c r="U25" s="25" t="str">
        <f>IF(data!S16="","",data!S16)</f>
        <v/>
      </c>
      <c r="V25" s="25" t="str">
        <f>IF(data!T16="","",data!T16)</f>
        <v/>
      </c>
      <c r="W25" s="16"/>
      <c r="X25" s="2"/>
      <c r="Y25" s="7"/>
    </row>
    <row r="26" spans="1:28" ht="20.25" x14ac:dyDescent="0.3">
      <c r="A26" s="3"/>
      <c r="B26" s="16"/>
      <c r="C26" s="24" t="str">
        <f t="shared" si="1"/>
        <v/>
      </c>
      <c r="D26" s="25" t="str">
        <f>IF(data!B17="","",data!B17)</f>
        <v/>
      </c>
      <c r="E26" s="25" t="str">
        <f>IF(data!C17="","",data!C17)</f>
        <v/>
      </c>
      <c r="F26" s="25" t="str">
        <f>IF(data!D17="","",data!D17)</f>
        <v/>
      </c>
      <c r="G26" s="25" t="str">
        <f>IF(data!E17="","",data!E17)</f>
        <v/>
      </c>
      <c r="H26" s="25" t="str">
        <f>IF(data!F17="","",data!F17)</f>
        <v/>
      </c>
      <c r="I26" s="25" t="str">
        <f>IF(data!G17="","",data!G17)</f>
        <v/>
      </c>
      <c r="J26" s="25" t="str">
        <f>IF(data!H17="","",data!H17)</f>
        <v/>
      </c>
      <c r="K26" s="25" t="str">
        <f>IF(data!I17="","",data!I17)</f>
        <v/>
      </c>
      <c r="L26" s="25" t="str">
        <f>IF(data!J17="","",data!J17)</f>
        <v/>
      </c>
      <c r="M26" s="25" t="str">
        <f>IF(data!K17="","",data!K17)</f>
        <v/>
      </c>
      <c r="N26" s="25" t="str">
        <f>IF(data!L17="","",data!L17)</f>
        <v/>
      </c>
      <c r="O26" s="25" t="str">
        <f>IF(data!M17="","",data!M17)</f>
        <v/>
      </c>
      <c r="P26" s="25" t="str">
        <f>IF(data!N17="","",data!N17)</f>
        <v/>
      </c>
      <c r="Q26" s="25" t="str">
        <f>IF(data!O17="","",data!O17)</f>
        <v/>
      </c>
      <c r="R26" s="25" t="str">
        <f>IF(data!P17="","",data!P17)</f>
        <v/>
      </c>
      <c r="S26" s="25" t="str">
        <f>IF(data!Q17="","",data!Q17)</f>
        <v/>
      </c>
      <c r="T26" s="25" t="str">
        <f>IF(data!R17="","",data!R17)</f>
        <v/>
      </c>
      <c r="U26" s="25" t="str">
        <f>IF(data!S17="","",data!S17)</f>
        <v/>
      </c>
      <c r="V26" s="25" t="str">
        <f>IF(data!T17="","",data!T17)</f>
        <v/>
      </c>
      <c r="W26" s="16"/>
      <c r="X26" s="2"/>
      <c r="Y26" s="7"/>
    </row>
    <row r="27" spans="1:28" ht="20.25" x14ac:dyDescent="0.3">
      <c r="A27" s="3"/>
      <c r="B27" s="16"/>
      <c r="C27" s="24" t="str">
        <f t="shared" si="1"/>
        <v/>
      </c>
      <c r="D27" s="25" t="str">
        <f>IF(data!B18="","",data!B18)</f>
        <v/>
      </c>
      <c r="E27" s="25" t="str">
        <f>IF(data!C18="","",data!C18)</f>
        <v/>
      </c>
      <c r="F27" s="25" t="str">
        <f>IF(data!D18="","",data!D18)</f>
        <v/>
      </c>
      <c r="G27" s="25" t="str">
        <f>IF(data!E18="","",data!E18)</f>
        <v/>
      </c>
      <c r="H27" s="25" t="str">
        <f>IF(data!F18="","",data!F18)</f>
        <v/>
      </c>
      <c r="I27" s="25" t="str">
        <f>IF(data!G18="","",data!G18)</f>
        <v/>
      </c>
      <c r="J27" s="25" t="str">
        <f>IF(data!H18="","",data!H18)</f>
        <v/>
      </c>
      <c r="K27" s="25" t="str">
        <f>IF(data!I18="","",data!I18)</f>
        <v/>
      </c>
      <c r="L27" s="25" t="str">
        <f>IF(data!J18="","",data!J18)</f>
        <v/>
      </c>
      <c r="M27" s="25" t="str">
        <f>IF(data!K18="","",data!K18)</f>
        <v/>
      </c>
      <c r="N27" s="25" t="str">
        <f>IF(data!L18="","",data!L18)</f>
        <v/>
      </c>
      <c r="O27" s="25" t="str">
        <f>IF(data!M18="","",data!M18)</f>
        <v/>
      </c>
      <c r="P27" s="25" t="str">
        <f>IF(data!N18="","",data!N18)</f>
        <v/>
      </c>
      <c r="Q27" s="25" t="str">
        <f>IF(data!O18="","",data!O18)</f>
        <v/>
      </c>
      <c r="R27" s="25" t="str">
        <f>IF(data!P18="","",data!P18)</f>
        <v/>
      </c>
      <c r="S27" s="25" t="str">
        <f>IF(data!Q18="","",data!Q18)</f>
        <v/>
      </c>
      <c r="T27" s="25" t="str">
        <f>IF(data!R18="","",data!R18)</f>
        <v/>
      </c>
      <c r="U27" s="25" t="str">
        <f>IF(data!S18="","",data!S18)</f>
        <v/>
      </c>
      <c r="V27" s="25" t="str">
        <f>IF(data!T18="","",data!T18)</f>
        <v/>
      </c>
      <c r="W27" s="16"/>
      <c r="X27" s="2"/>
      <c r="Y27" s="7"/>
    </row>
    <row r="28" spans="1:28" ht="20.25" x14ac:dyDescent="0.3">
      <c r="A28" s="3"/>
      <c r="B28" s="16"/>
      <c r="C28" s="24" t="str">
        <f t="shared" si="1"/>
        <v/>
      </c>
      <c r="D28" s="25" t="str">
        <f>IF(data!B19="","",data!B19)</f>
        <v/>
      </c>
      <c r="E28" s="25" t="str">
        <f>IF(data!C19="","",data!C19)</f>
        <v/>
      </c>
      <c r="F28" s="25" t="str">
        <f>IF(data!D19="","",data!D19)</f>
        <v/>
      </c>
      <c r="G28" s="25" t="str">
        <f>IF(data!E19="","",data!E19)</f>
        <v/>
      </c>
      <c r="H28" s="25" t="str">
        <f>IF(data!F19="","",data!F19)</f>
        <v/>
      </c>
      <c r="I28" s="25" t="str">
        <f>IF(data!G19="","",data!G19)</f>
        <v/>
      </c>
      <c r="J28" s="25" t="str">
        <f>IF(data!H19="","",data!H19)</f>
        <v/>
      </c>
      <c r="K28" s="25" t="str">
        <f>IF(data!I19="","",data!I19)</f>
        <v/>
      </c>
      <c r="L28" s="25" t="str">
        <f>IF(data!J19="","",data!J19)</f>
        <v/>
      </c>
      <c r="M28" s="25" t="str">
        <f>IF(data!K19="","",data!K19)</f>
        <v/>
      </c>
      <c r="N28" s="25" t="str">
        <f>IF(data!L19="","",data!L19)</f>
        <v/>
      </c>
      <c r="O28" s="25" t="str">
        <f>IF(data!M19="","",data!M19)</f>
        <v/>
      </c>
      <c r="P28" s="25" t="str">
        <f>IF(data!N19="","",data!N19)</f>
        <v/>
      </c>
      <c r="Q28" s="25" t="str">
        <f>IF(data!O19="","",data!O19)</f>
        <v/>
      </c>
      <c r="R28" s="25" t="str">
        <f>IF(data!P19="","",data!P19)</f>
        <v/>
      </c>
      <c r="S28" s="25" t="str">
        <f>IF(data!Q19="","",data!Q19)</f>
        <v/>
      </c>
      <c r="T28" s="25" t="str">
        <f>IF(data!R19="","",data!R19)</f>
        <v/>
      </c>
      <c r="U28" s="25" t="str">
        <f>IF(data!S19="","",data!S19)</f>
        <v/>
      </c>
      <c r="V28" s="25" t="str">
        <f>IF(data!T19="","",data!T19)</f>
        <v/>
      </c>
      <c r="W28" s="16"/>
      <c r="X28" s="2"/>
      <c r="Y28" s="7"/>
    </row>
    <row r="29" spans="1:28" ht="20.25" x14ac:dyDescent="0.3">
      <c r="A29" s="3"/>
      <c r="B29" s="16"/>
      <c r="C29" s="24" t="str">
        <f t="shared" si="1"/>
        <v/>
      </c>
      <c r="D29" s="25" t="str">
        <f>IF(data!B20="","",data!B20)</f>
        <v/>
      </c>
      <c r="E29" s="25" t="str">
        <f>IF(data!C20="","",data!C20)</f>
        <v/>
      </c>
      <c r="F29" s="25" t="str">
        <f>IF(data!D20="","",data!D20)</f>
        <v/>
      </c>
      <c r="G29" s="25" t="str">
        <f>IF(data!E20="","",data!E20)</f>
        <v/>
      </c>
      <c r="H29" s="25" t="str">
        <f>IF(data!F20="","",data!F20)</f>
        <v/>
      </c>
      <c r="I29" s="25" t="str">
        <f>IF(data!G20="","",data!G20)</f>
        <v/>
      </c>
      <c r="J29" s="25" t="str">
        <f>IF(data!H20="","",data!H20)</f>
        <v/>
      </c>
      <c r="K29" s="25" t="str">
        <f>IF(data!I20="","",data!I20)</f>
        <v/>
      </c>
      <c r="L29" s="25" t="str">
        <f>IF(data!J20="","",data!J20)</f>
        <v/>
      </c>
      <c r="M29" s="25" t="str">
        <f>IF(data!K20="","",data!K20)</f>
        <v/>
      </c>
      <c r="N29" s="25" t="str">
        <f>IF(data!L20="","",data!L20)</f>
        <v/>
      </c>
      <c r="O29" s="25" t="str">
        <f>IF(data!M20="","",data!M20)</f>
        <v/>
      </c>
      <c r="P29" s="25" t="str">
        <f>IF(data!N20="","",data!N20)</f>
        <v/>
      </c>
      <c r="Q29" s="25" t="str">
        <f>IF(data!O20="","",data!O20)</f>
        <v/>
      </c>
      <c r="R29" s="25" t="str">
        <f>IF(data!P20="","",data!P20)</f>
        <v/>
      </c>
      <c r="S29" s="25" t="str">
        <f>IF(data!Q20="","",data!Q20)</f>
        <v/>
      </c>
      <c r="T29" s="25" t="str">
        <f>IF(data!R20="","",data!R20)</f>
        <v/>
      </c>
      <c r="U29" s="25" t="str">
        <f>IF(data!S20="","",data!S20)</f>
        <v/>
      </c>
      <c r="V29" s="25" t="str">
        <f>IF(data!T20="","",data!T20)</f>
        <v/>
      </c>
      <c r="W29" s="16"/>
      <c r="X29" s="2"/>
      <c r="Y29" s="7"/>
    </row>
    <row r="30" spans="1:28" ht="20.25" x14ac:dyDescent="0.3">
      <c r="A30" s="3"/>
      <c r="B30" s="16"/>
      <c r="C30" s="24" t="str">
        <f t="shared" si="1"/>
        <v/>
      </c>
      <c r="D30" s="25" t="str">
        <f>IF(data!B21="","",data!B21)</f>
        <v/>
      </c>
      <c r="E30" s="25" t="str">
        <f>IF(data!C21="","",data!C21)</f>
        <v/>
      </c>
      <c r="F30" s="25" t="str">
        <f>IF(data!D21="","",data!D21)</f>
        <v/>
      </c>
      <c r="G30" s="25" t="str">
        <f>IF(data!E21="","",data!E21)</f>
        <v/>
      </c>
      <c r="H30" s="25" t="str">
        <f>IF(data!F21="","",data!F21)</f>
        <v/>
      </c>
      <c r="I30" s="25" t="str">
        <f>IF(data!G21="","",data!G21)</f>
        <v/>
      </c>
      <c r="J30" s="25" t="str">
        <f>IF(data!H21="","",data!H21)</f>
        <v/>
      </c>
      <c r="K30" s="25" t="str">
        <f>IF(data!I21="","",data!I21)</f>
        <v/>
      </c>
      <c r="L30" s="25" t="str">
        <f>IF(data!J21="","",data!J21)</f>
        <v/>
      </c>
      <c r="M30" s="25" t="str">
        <f>IF(data!K21="","",data!K21)</f>
        <v/>
      </c>
      <c r="N30" s="25" t="str">
        <f>IF(data!L21="","",data!L21)</f>
        <v/>
      </c>
      <c r="O30" s="25" t="str">
        <f>IF(data!M21="","",data!M21)</f>
        <v/>
      </c>
      <c r="P30" s="25" t="str">
        <f>IF(data!N21="","",data!N21)</f>
        <v/>
      </c>
      <c r="Q30" s="25" t="str">
        <f>IF(data!O21="","",data!O21)</f>
        <v/>
      </c>
      <c r="R30" s="25" t="str">
        <f>IF(data!P21="","",data!P21)</f>
        <v/>
      </c>
      <c r="S30" s="25" t="str">
        <f>IF(data!Q21="","",data!Q21)</f>
        <v/>
      </c>
      <c r="T30" s="25" t="str">
        <f>IF(data!R21="","",data!R21)</f>
        <v/>
      </c>
      <c r="U30" s="25" t="str">
        <f>IF(data!S21="","",data!S21)</f>
        <v/>
      </c>
      <c r="V30" s="25" t="str">
        <f>IF(data!T21="","",data!T21)</f>
        <v/>
      </c>
      <c r="W30" s="16"/>
      <c r="X30" s="2"/>
      <c r="Y30" s="7"/>
    </row>
    <row r="31" spans="1:28" ht="20.25" x14ac:dyDescent="0.3">
      <c r="A31" s="3"/>
      <c r="B31" s="16"/>
      <c r="C31" s="24" t="str">
        <f t="shared" si="1"/>
        <v/>
      </c>
      <c r="D31" s="25" t="str">
        <f>IF(data!B22="","",data!B22)</f>
        <v/>
      </c>
      <c r="E31" s="25" t="str">
        <f>IF(data!C22="","",data!C22)</f>
        <v/>
      </c>
      <c r="F31" s="25" t="str">
        <f>IF(data!D22="","",data!D22)</f>
        <v/>
      </c>
      <c r="G31" s="25" t="str">
        <f>IF(data!E22="","",data!E22)</f>
        <v/>
      </c>
      <c r="H31" s="25" t="str">
        <f>IF(data!F22="","",data!F22)</f>
        <v/>
      </c>
      <c r="I31" s="25" t="str">
        <f>IF(data!G22="","",data!G22)</f>
        <v/>
      </c>
      <c r="J31" s="25" t="str">
        <f>IF(data!H22="","",data!H22)</f>
        <v/>
      </c>
      <c r="K31" s="25" t="str">
        <f>IF(data!I22="","",data!I22)</f>
        <v/>
      </c>
      <c r="L31" s="25" t="str">
        <f>IF(data!J22="","",data!J22)</f>
        <v/>
      </c>
      <c r="M31" s="25" t="str">
        <f>IF(data!K22="","",data!K22)</f>
        <v/>
      </c>
      <c r="N31" s="25" t="str">
        <f>IF(data!L22="","",data!L22)</f>
        <v/>
      </c>
      <c r="O31" s="25" t="str">
        <f>IF(data!M22="","",data!M22)</f>
        <v/>
      </c>
      <c r="P31" s="25" t="str">
        <f>IF(data!N22="","",data!N22)</f>
        <v/>
      </c>
      <c r="Q31" s="25" t="str">
        <f>IF(data!O22="","",data!O22)</f>
        <v/>
      </c>
      <c r="R31" s="25" t="str">
        <f>IF(data!P22="","",data!P22)</f>
        <v/>
      </c>
      <c r="S31" s="25" t="str">
        <f>IF(data!Q22="","",data!Q22)</f>
        <v/>
      </c>
      <c r="T31" s="25" t="str">
        <f>IF(data!R22="","",data!R22)</f>
        <v/>
      </c>
      <c r="U31" s="25" t="str">
        <f>IF(data!S22="","",data!S22)</f>
        <v/>
      </c>
      <c r="V31" s="25" t="str">
        <f>IF(data!T22="","",data!T22)</f>
        <v/>
      </c>
      <c r="W31" s="16"/>
      <c r="X31" s="2"/>
      <c r="Y31" s="7"/>
    </row>
    <row r="32" spans="1:28" ht="20.25" x14ac:dyDescent="0.3">
      <c r="A32" s="3"/>
      <c r="B32" s="16"/>
      <c r="C32" s="24" t="str">
        <f t="shared" si="1"/>
        <v/>
      </c>
      <c r="D32" s="25" t="str">
        <f>IF(data!B23="","",data!B23)</f>
        <v/>
      </c>
      <c r="E32" s="25" t="str">
        <f>IF(data!C23="","",data!C23)</f>
        <v/>
      </c>
      <c r="F32" s="25" t="str">
        <f>IF(data!D23="","",data!D23)</f>
        <v/>
      </c>
      <c r="G32" s="25" t="str">
        <f>IF(data!E23="","",data!E23)</f>
        <v/>
      </c>
      <c r="H32" s="25" t="str">
        <f>IF(data!F23="","",data!F23)</f>
        <v/>
      </c>
      <c r="I32" s="25" t="str">
        <f>IF(data!G23="","",data!G23)</f>
        <v/>
      </c>
      <c r="J32" s="25" t="str">
        <f>IF(data!H23="","",data!H23)</f>
        <v/>
      </c>
      <c r="K32" s="25" t="str">
        <f>IF(data!I23="","",data!I23)</f>
        <v/>
      </c>
      <c r="L32" s="25" t="str">
        <f>IF(data!J23="","",data!J23)</f>
        <v/>
      </c>
      <c r="M32" s="25" t="str">
        <f>IF(data!K23="","",data!K23)</f>
        <v/>
      </c>
      <c r="N32" s="25" t="str">
        <f>IF(data!L23="","",data!L23)</f>
        <v/>
      </c>
      <c r="O32" s="25" t="str">
        <f>IF(data!M23="","",data!M23)</f>
        <v/>
      </c>
      <c r="P32" s="25" t="str">
        <f>IF(data!N23="","",data!N23)</f>
        <v/>
      </c>
      <c r="Q32" s="25" t="str">
        <f>IF(data!O23="","",data!O23)</f>
        <v/>
      </c>
      <c r="R32" s="25" t="str">
        <f>IF(data!P23="","",data!P23)</f>
        <v/>
      </c>
      <c r="S32" s="25" t="str">
        <f>IF(data!Q23="","",data!Q23)</f>
        <v/>
      </c>
      <c r="T32" s="25" t="str">
        <f>IF(data!R23="","",data!R23)</f>
        <v/>
      </c>
      <c r="U32" s="25" t="str">
        <f>IF(data!S23="","",data!S23)</f>
        <v/>
      </c>
      <c r="V32" s="25" t="str">
        <f>IF(data!T23="","",data!T23)</f>
        <v/>
      </c>
      <c r="W32" s="16"/>
      <c r="X32" s="2"/>
      <c r="Y32" s="7"/>
      <c r="AB32" s="12"/>
    </row>
    <row r="33" spans="1:28" ht="20.25" x14ac:dyDescent="0.3">
      <c r="A33" s="3"/>
      <c r="B33" s="16"/>
      <c r="C33" s="24" t="str">
        <f t="shared" si="1"/>
        <v/>
      </c>
      <c r="D33" s="25" t="str">
        <f>IF(data!B24="","",data!B24)</f>
        <v/>
      </c>
      <c r="E33" s="25" t="str">
        <f>IF(data!C24="","",data!C24)</f>
        <v/>
      </c>
      <c r="F33" s="25" t="str">
        <f>IF(data!D24="","",data!D24)</f>
        <v/>
      </c>
      <c r="G33" s="25" t="str">
        <f>IF(data!E24="","",data!E24)</f>
        <v/>
      </c>
      <c r="H33" s="25" t="str">
        <f>IF(data!F24="","",data!F24)</f>
        <v/>
      </c>
      <c r="I33" s="25" t="str">
        <f>IF(data!G24="","",data!G24)</f>
        <v/>
      </c>
      <c r="J33" s="25" t="str">
        <f>IF(data!H24="","",data!H24)</f>
        <v/>
      </c>
      <c r="K33" s="25" t="str">
        <f>IF(data!I24="","",data!I24)</f>
        <v/>
      </c>
      <c r="L33" s="25" t="str">
        <f>IF(data!J24="","",data!J24)</f>
        <v/>
      </c>
      <c r="M33" s="25" t="str">
        <f>IF(data!K24="","",data!K24)</f>
        <v/>
      </c>
      <c r="N33" s="25" t="str">
        <f>IF(data!L24="","",data!L24)</f>
        <v/>
      </c>
      <c r="O33" s="25" t="str">
        <f>IF(data!M24="","",data!M24)</f>
        <v/>
      </c>
      <c r="P33" s="25" t="str">
        <f>IF(data!N24="","",data!N24)</f>
        <v/>
      </c>
      <c r="Q33" s="25" t="str">
        <f>IF(data!O24="","",data!O24)</f>
        <v/>
      </c>
      <c r="R33" s="25" t="str">
        <f>IF(data!P24="","",data!P24)</f>
        <v/>
      </c>
      <c r="S33" s="25" t="str">
        <f>IF(data!Q24="","",data!Q24)</f>
        <v/>
      </c>
      <c r="T33" s="25" t="str">
        <f>IF(data!R24="","",data!R24)</f>
        <v/>
      </c>
      <c r="U33" s="25" t="str">
        <f>IF(data!S24="","",data!S24)</f>
        <v/>
      </c>
      <c r="V33" s="25" t="str">
        <f>IF(data!T24="","",data!T24)</f>
        <v/>
      </c>
      <c r="W33" s="16"/>
      <c r="X33" s="2"/>
      <c r="Y33" s="7"/>
      <c r="AB33" s="11"/>
    </row>
    <row r="34" spans="1:28" ht="20.25" x14ac:dyDescent="0.3">
      <c r="A34" s="3"/>
      <c r="B34" s="16"/>
      <c r="C34" s="24" t="str">
        <f t="shared" si="1"/>
        <v/>
      </c>
      <c r="D34" s="25" t="str">
        <f>IF(data!B25="","",data!B25)</f>
        <v/>
      </c>
      <c r="E34" s="25" t="str">
        <f>IF(data!C25="","",data!C25)</f>
        <v/>
      </c>
      <c r="F34" s="25" t="str">
        <f>IF(data!D25="","",data!D25)</f>
        <v/>
      </c>
      <c r="G34" s="25" t="str">
        <f>IF(data!E25="","",data!E25)</f>
        <v/>
      </c>
      <c r="H34" s="25" t="str">
        <f>IF(data!F25="","",data!F25)</f>
        <v/>
      </c>
      <c r="I34" s="25" t="str">
        <f>IF(data!G25="","",data!G25)</f>
        <v/>
      </c>
      <c r="J34" s="25" t="str">
        <f>IF(data!H25="","",data!H25)</f>
        <v/>
      </c>
      <c r="K34" s="25" t="str">
        <f>IF(data!I25="","",data!I25)</f>
        <v/>
      </c>
      <c r="L34" s="25" t="str">
        <f>IF(data!J25="","",data!J25)</f>
        <v/>
      </c>
      <c r="M34" s="25" t="str">
        <f>IF(data!K25="","",data!K25)</f>
        <v/>
      </c>
      <c r="N34" s="25" t="str">
        <f>IF(data!L25="","",data!L25)</f>
        <v/>
      </c>
      <c r="O34" s="25" t="str">
        <f>IF(data!M25="","",data!M25)</f>
        <v/>
      </c>
      <c r="P34" s="25" t="str">
        <f>IF(data!N25="","",data!N25)</f>
        <v/>
      </c>
      <c r="Q34" s="25" t="str">
        <f>IF(data!O25="","",data!O25)</f>
        <v/>
      </c>
      <c r="R34" s="25" t="str">
        <f>IF(data!P25="","",data!P25)</f>
        <v/>
      </c>
      <c r="S34" s="25" t="str">
        <f>IF(data!Q25="","",data!Q25)</f>
        <v/>
      </c>
      <c r="T34" s="25" t="str">
        <f>IF(data!R25="","",data!R25)</f>
        <v/>
      </c>
      <c r="U34" s="25" t="str">
        <f>IF(data!S25="","",data!S25)</f>
        <v/>
      </c>
      <c r="V34" s="25" t="str">
        <f>IF(data!T25="","",data!T25)</f>
        <v/>
      </c>
      <c r="W34" s="16"/>
      <c r="X34" s="2"/>
      <c r="Y34" s="7"/>
      <c r="AB34" s="11"/>
    </row>
    <row r="35" spans="1:28" ht="20.25" x14ac:dyDescent="0.3">
      <c r="A35" s="3"/>
      <c r="B35" s="16"/>
      <c r="C35" s="24" t="str">
        <f t="shared" si="1"/>
        <v/>
      </c>
      <c r="D35" s="25" t="str">
        <f>IF(data!B26="","",data!B26)</f>
        <v/>
      </c>
      <c r="E35" s="25" t="str">
        <f>IF(data!C26="","",data!C26)</f>
        <v/>
      </c>
      <c r="F35" s="25" t="str">
        <f>IF(data!D26="","",data!D26)</f>
        <v/>
      </c>
      <c r="G35" s="25" t="str">
        <f>IF(data!E26="","",data!E26)</f>
        <v/>
      </c>
      <c r="H35" s="25" t="str">
        <f>IF(data!F26="","",data!F26)</f>
        <v/>
      </c>
      <c r="I35" s="25" t="str">
        <f>IF(data!G26="","",data!G26)</f>
        <v/>
      </c>
      <c r="J35" s="25" t="str">
        <f>IF(data!H26="","",data!H26)</f>
        <v/>
      </c>
      <c r="K35" s="25" t="str">
        <f>IF(data!I26="","",data!I26)</f>
        <v/>
      </c>
      <c r="L35" s="25" t="str">
        <f>IF(data!J26="","",data!J26)</f>
        <v/>
      </c>
      <c r="M35" s="25" t="str">
        <f>IF(data!K26="","",data!K26)</f>
        <v/>
      </c>
      <c r="N35" s="25" t="str">
        <f>IF(data!L26="","",data!L26)</f>
        <v/>
      </c>
      <c r="O35" s="25" t="str">
        <f>IF(data!M26="","",data!M26)</f>
        <v/>
      </c>
      <c r="P35" s="25" t="str">
        <f>IF(data!N26="","",data!N26)</f>
        <v/>
      </c>
      <c r="Q35" s="25" t="str">
        <f>IF(data!O26="","",data!O26)</f>
        <v/>
      </c>
      <c r="R35" s="25" t="str">
        <f>IF(data!P26="","",data!P26)</f>
        <v/>
      </c>
      <c r="S35" s="25" t="str">
        <f>IF(data!Q26="","",data!Q26)</f>
        <v/>
      </c>
      <c r="T35" s="25" t="str">
        <f>IF(data!R26="","",data!R26)</f>
        <v/>
      </c>
      <c r="U35" s="25" t="str">
        <f>IF(data!S26="","",data!S26)</f>
        <v/>
      </c>
      <c r="V35" s="25" t="str">
        <f>IF(data!T26="","",data!T26)</f>
        <v/>
      </c>
      <c r="W35" s="16"/>
      <c r="X35" s="2"/>
      <c r="Y35" s="7"/>
      <c r="AB35" s="11"/>
    </row>
    <row r="36" spans="1:28" ht="20.25" x14ac:dyDescent="0.3">
      <c r="A36" s="3"/>
      <c r="B36" s="16"/>
      <c r="C36" s="24" t="str">
        <f t="shared" si="1"/>
        <v/>
      </c>
      <c r="D36" s="25" t="str">
        <f>IF(data!B27="","",data!B27)</f>
        <v/>
      </c>
      <c r="E36" s="25" t="str">
        <f>IF(data!C27="","",data!C27)</f>
        <v/>
      </c>
      <c r="F36" s="25" t="str">
        <f>IF(data!D27="","",data!D27)</f>
        <v/>
      </c>
      <c r="G36" s="25" t="str">
        <f>IF(data!E27="","",data!E27)</f>
        <v/>
      </c>
      <c r="H36" s="25" t="str">
        <f>IF(data!F27="","",data!F27)</f>
        <v/>
      </c>
      <c r="I36" s="25" t="str">
        <f>IF(data!G27="","",data!G27)</f>
        <v/>
      </c>
      <c r="J36" s="25" t="str">
        <f>IF(data!H27="","",data!H27)</f>
        <v/>
      </c>
      <c r="K36" s="25" t="str">
        <f>IF(data!I27="","",data!I27)</f>
        <v/>
      </c>
      <c r="L36" s="25" t="str">
        <f>IF(data!J27="","",data!J27)</f>
        <v/>
      </c>
      <c r="M36" s="25" t="str">
        <f>IF(data!K27="","",data!K27)</f>
        <v/>
      </c>
      <c r="N36" s="25" t="str">
        <f>IF(data!L27="","",data!L27)</f>
        <v/>
      </c>
      <c r="O36" s="25" t="str">
        <f>IF(data!M27="","",data!M27)</f>
        <v/>
      </c>
      <c r="P36" s="25" t="str">
        <f>IF(data!N27="","",data!N27)</f>
        <v/>
      </c>
      <c r="Q36" s="25" t="str">
        <f>IF(data!O27="","",data!O27)</f>
        <v/>
      </c>
      <c r="R36" s="25" t="str">
        <f>IF(data!P27="","",data!P27)</f>
        <v/>
      </c>
      <c r="S36" s="25" t="str">
        <f>IF(data!Q27="","",data!Q27)</f>
        <v/>
      </c>
      <c r="T36" s="25" t="str">
        <f>IF(data!R27="","",data!R27)</f>
        <v/>
      </c>
      <c r="U36" s="25" t="str">
        <f>IF(data!S27="","",data!S27)</f>
        <v/>
      </c>
      <c r="V36" s="25" t="str">
        <f>IF(data!T27="","",data!T27)</f>
        <v/>
      </c>
      <c r="W36" s="16"/>
      <c r="X36" s="2"/>
      <c r="Y36" s="7"/>
      <c r="AB36" s="11"/>
    </row>
    <row r="37" spans="1:28" ht="20.25" x14ac:dyDescent="0.3">
      <c r="A37" s="3"/>
      <c r="B37" s="16"/>
      <c r="C37" s="24" t="str">
        <f t="shared" si="1"/>
        <v/>
      </c>
      <c r="D37" s="25" t="str">
        <f>IF(data!B28="","",data!B28)</f>
        <v/>
      </c>
      <c r="E37" s="25" t="str">
        <f>IF(data!C28="","",data!C28)</f>
        <v/>
      </c>
      <c r="F37" s="25" t="str">
        <f>IF(data!D28="","",data!D28)</f>
        <v/>
      </c>
      <c r="G37" s="25" t="str">
        <f>IF(data!E28="","",data!E28)</f>
        <v/>
      </c>
      <c r="H37" s="25" t="str">
        <f>IF(data!F28="","",data!F28)</f>
        <v/>
      </c>
      <c r="I37" s="25" t="str">
        <f>IF(data!G28="","",data!G28)</f>
        <v/>
      </c>
      <c r="J37" s="25" t="str">
        <f>IF(data!H28="","",data!H28)</f>
        <v/>
      </c>
      <c r="K37" s="25" t="str">
        <f>IF(data!I28="","",data!I28)</f>
        <v/>
      </c>
      <c r="L37" s="25" t="str">
        <f>IF(data!J28="","",data!J28)</f>
        <v/>
      </c>
      <c r="M37" s="25" t="str">
        <f>IF(data!K28="","",data!K28)</f>
        <v/>
      </c>
      <c r="N37" s="25" t="str">
        <f>IF(data!L28="","",data!L28)</f>
        <v/>
      </c>
      <c r="O37" s="25" t="str">
        <f>IF(data!M28="","",data!M28)</f>
        <v/>
      </c>
      <c r="P37" s="25" t="str">
        <f>IF(data!N28="","",data!N28)</f>
        <v/>
      </c>
      <c r="Q37" s="25" t="str">
        <f>IF(data!O28="","",data!O28)</f>
        <v/>
      </c>
      <c r="R37" s="25" t="str">
        <f>IF(data!P28="","",data!P28)</f>
        <v/>
      </c>
      <c r="S37" s="25" t="str">
        <f>IF(data!Q28="","",data!Q28)</f>
        <v/>
      </c>
      <c r="T37" s="25" t="str">
        <f>IF(data!R28="","",data!R28)</f>
        <v/>
      </c>
      <c r="U37" s="25" t="str">
        <f>IF(data!S28="","",data!S28)</f>
        <v/>
      </c>
      <c r="V37" s="25" t="str">
        <f>IF(data!T28="","",data!T28)</f>
        <v/>
      </c>
      <c r="W37" s="16"/>
      <c r="X37" s="2"/>
      <c r="Y37" s="7"/>
      <c r="AB37" s="11"/>
    </row>
    <row r="38" spans="1:28" ht="20.25" x14ac:dyDescent="0.3">
      <c r="A38" s="3"/>
      <c r="B38" s="16"/>
      <c r="C38" s="24" t="str">
        <f t="shared" si="1"/>
        <v/>
      </c>
      <c r="D38" s="25" t="str">
        <f>IF(data!B29="","",data!B29)</f>
        <v/>
      </c>
      <c r="E38" s="25" t="str">
        <f>IF(data!C29="","",data!C29)</f>
        <v/>
      </c>
      <c r="F38" s="25" t="str">
        <f>IF(data!D29="","",data!D29)</f>
        <v/>
      </c>
      <c r="G38" s="25" t="str">
        <f>IF(data!E29="","",data!E29)</f>
        <v/>
      </c>
      <c r="H38" s="25" t="str">
        <f>IF(data!F29="","",data!F29)</f>
        <v/>
      </c>
      <c r="I38" s="25" t="str">
        <f>IF(data!G29="","",data!G29)</f>
        <v/>
      </c>
      <c r="J38" s="25" t="str">
        <f>IF(data!H29="","",data!H29)</f>
        <v/>
      </c>
      <c r="K38" s="25" t="str">
        <f>IF(data!I29="","",data!I29)</f>
        <v/>
      </c>
      <c r="L38" s="25" t="str">
        <f>IF(data!J29="","",data!J29)</f>
        <v/>
      </c>
      <c r="M38" s="25" t="str">
        <f>IF(data!K29="","",data!K29)</f>
        <v/>
      </c>
      <c r="N38" s="25" t="str">
        <f>IF(data!L29="","",data!L29)</f>
        <v/>
      </c>
      <c r="O38" s="25" t="str">
        <f>IF(data!M29="","",data!M29)</f>
        <v/>
      </c>
      <c r="P38" s="25" t="str">
        <f>IF(data!N29="","",data!N29)</f>
        <v/>
      </c>
      <c r="Q38" s="25" t="str">
        <f>IF(data!O29="","",data!O29)</f>
        <v/>
      </c>
      <c r="R38" s="25" t="str">
        <f>IF(data!P29="","",data!P29)</f>
        <v/>
      </c>
      <c r="S38" s="25" t="str">
        <f>IF(data!Q29="","",data!Q29)</f>
        <v/>
      </c>
      <c r="T38" s="25" t="str">
        <f>IF(data!R29="","",data!R29)</f>
        <v/>
      </c>
      <c r="U38" s="25" t="str">
        <f>IF(data!S29="","",data!S29)</f>
        <v/>
      </c>
      <c r="V38" s="25" t="str">
        <f>IF(data!T29="","",data!T29)</f>
        <v/>
      </c>
      <c r="W38" s="16"/>
      <c r="X38" s="2"/>
      <c r="Y38" s="7"/>
      <c r="AB38" s="11"/>
    </row>
    <row r="39" spans="1:28" ht="20.25" x14ac:dyDescent="0.3">
      <c r="A39" s="3"/>
      <c r="B39" s="16"/>
      <c r="C39" s="24" t="str">
        <f t="shared" si="1"/>
        <v/>
      </c>
      <c r="D39" s="25" t="str">
        <f>IF(data!B30="","",data!B30)</f>
        <v/>
      </c>
      <c r="E39" s="25" t="str">
        <f>IF(data!C30="","",data!C30)</f>
        <v/>
      </c>
      <c r="F39" s="25" t="str">
        <f>IF(data!D30="","",data!D30)</f>
        <v/>
      </c>
      <c r="G39" s="25" t="str">
        <f>IF(data!E30="","",data!E30)</f>
        <v/>
      </c>
      <c r="H39" s="25" t="str">
        <f>IF(data!F30="","",data!F30)</f>
        <v/>
      </c>
      <c r="I39" s="25" t="str">
        <f>IF(data!G30="","",data!G30)</f>
        <v/>
      </c>
      <c r="J39" s="25" t="str">
        <f>IF(data!H30="","",data!H30)</f>
        <v/>
      </c>
      <c r="K39" s="25" t="str">
        <f>IF(data!I30="","",data!I30)</f>
        <v/>
      </c>
      <c r="L39" s="25" t="str">
        <f>IF(data!J30="","",data!J30)</f>
        <v/>
      </c>
      <c r="M39" s="25" t="str">
        <f>IF(data!K30="","",data!K30)</f>
        <v/>
      </c>
      <c r="N39" s="25" t="str">
        <f>IF(data!L30="","",data!L30)</f>
        <v/>
      </c>
      <c r="O39" s="25" t="str">
        <f>IF(data!M30="","",data!M30)</f>
        <v/>
      </c>
      <c r="P39" s="25" t="str">
        <f>IF(data!N30="","",data!N30)</f>
        <v/>
      </c>
      <c r="Q39" s="25" t="str">
        <f>IF(data!O30="","",data!O30)</f>
        <v/>
      </c>
      <c r="R39" s="25" t="str">
        <f>IF(data!P30="","",data!P30)</f>
        <v/>
      </c>
      <c r="S39" s="25" t="str">
        <f>IF(data!Q30="","",data!Q30)</f>
        <v/>
      </c>
      <c r="T39" s="25" t="str">
        <f>IF(data!R30="","",data!R30)</f>
        <v/>
      </c>
      <c r="U39" s="25" t="str">
        <f>IF(data!S30="","",data!S30)</f>
        <v/>
      </c>
      <c r="V39" s="25" t="str">
        <f>IF(data!T30="","",data!T30)</f>
        <v/>
      </c>
      <c r="W39" s="16"/>
      <c r="X39" s="2"/>
      <c r="Y39" s="7"/>
    </row>
    <row r="40" spans="1:28" ht="20.25" x14ac:dyDescent="0.3">
      <c r="A40" s="3"/>
      <c r="B40" s="16"/>
      <c r="C40" s="24" t="str">
        <f t="shared" si="1"/>
        <v/>
      </c>
      <c r="D40" s="25" t="str">
        <f>IF(data!B31="","",data!B31)</f>
        <v/>
      </c>
      <c r="E40" s="25" t="str">
        <f>IF(data!C31="","",data!C31)</f>
        <v/>
      </c>
      <c r="F40" s="25" t="str">
        <f>IF(data!D31="","",data!D31)</f>
        <v/>
      </c>
      <c r="G40" s="25" t="str">
        <f>IF(data!E31="","",data!E31)</f>
        <v/>
      </c>
      <c r="H40" s="25" t="str">
        <f>IF(data!F31="","",data!F31)</f>
        <v/>
      </c>
      <c r="I40" s="25" t="str">
        <f>IF(data!G31="","",data!G31)</f>
        <v/>
      </c>
      <c r="J40" s="25" t="str">
        <f>IF(data!H31="","",data!H31)</f>
        <v/>
      </c>
      <c r="K40" s="25" t="str">
        <f>IF(data!I31="","",data!I31)</f>
        <v/>
      </c>
      <c r="L40" s="25" t="str">
        <f>IF(data!J31="","",data!J31)</f>
        <v/>
      </c>
      <c r="M40" s="25" t="str">
        <f>IF(data!K31="","",data!K31)</f>
        <v/>
      </c>
      <c r="N40" s="25" t="str">
        <f>IF(data!L31="","",data!L31)</f>
        <v/>
      </c>
      <c r="O40" s="25" t="str">
        <f>IF(data!M31="","",data!M31)</f>
        <v/>
      </c>
      <c r="P40" s="25" t="str">
        <f>IF(data!N31="","",data!N31)</f>
        <v/>
      </c>
      <c r="Q40" s="25" t="str">
        <f>IF(data!O31="","",data!O31)</f>
        <v/>
      </c>
      <c r="R40" s="25" t="str">
        <f>IF(data!P31="","",data!P31)</f>
        <v/>
      </c>
      <c r="S40" s="25" t="str">
        <f>IF(data!Q31="","",data!Q31)</f>
        <v/>
      </c>
      <c r="T40" s="25" t="str">
        <f>IF(data!R31="","",data!R31)</f>
        <v/>
      </c>
      <c r="U40" s="25" t="str">
        <f>IF(data!S31="","",data!S31)</f>
        <v/>
      </c>
      <c r="V40" s="25" t="str">
        <f>IF(data!T31="","",data!T31)</f>
        <v/>
      </c>
      <c r="W40" s="16"/>
      <c r="X40" s="2"/>
    </row>
    <row r="41" spans="1:28" ht="20.25" x14ac:dyDescent="0.3">
      <c r="A41" s="3"/>
      <c r="B41" s="16"/>
      <c r="C41" s="24" t="str">
        <f t="shared" si="1"/>
        <v/>
      </c>
      <c r="D41" s="25" t="str">
        <f>IF(data!B32="","",data!B32)</f>
        <v/>
      </c>
      <c r="E41" s="25" t="str">
        <f>IF(data!C32="","",data!C32)</f>
        <v/>
      </c>
      <c r="F41" s="25" t="str">
        <f>IF(data!D32="","",data!D32)</f>
        <v/>
      </c>
      <c r="G41" s="25" t="str">
        <f>IF(data!E32="","",data!E32)</f>
        <v/>
      </c>
      <c r="H41" s="25" t="str">
        <f>IF(data!F32="","",data!F32)</f>
        <v/>
      </c>
      <c r="I41" s="25" t="str">
        <f>IF(data!G32="","",data!G32)</f>
        <v/>
      </c>
      <c r="J41" s="25" t="str">
        <f>IF(data!H32="","",data!H32)</f>
        <v/>
      </c>
      <c r="K41" s="25" t="str">
        <f>IF(data!I32="","",data!I32)</f>
        <v/>
      </c>
      <c r="L41" s="25" t="str">
        <f>IF(data!J32="","",data!J32)</f>
        <v/>
      </c>
      <c r="M41" s="25" t="str">
        <f>IF(data!K32="","",data!K32)</f>
        <v/>
      </c>
      <c r="N41" s="25" t="str">
        <f>IF(data!L32="","",data!L32)</f>
        <v/>
      </c>
      <c r="O41" s="25" t="str">
        <f>IF(data!M32="","",data!M32)</f>
        <v/>
      </c>
      <c r="P41" s="25" t="str">
        <f>IF(data!N32="","",data!N32)</f>
        <v/>
      </c>
      <c r="Q41" s="25" t="str">
        <f>IF(data!O32="","",data!O32)</f>
        <v/>
      </c>
      <c r="R41" s="25" t="str">
        <f>IF(data!P32="","",data!P32)</f>
        <v/>
      </c>
      <c r="S41" s="25" t="str">
        <f>IF(data!Q32="","",data!Q32)</f>
        <v/>
      </c>
      <c r="T41" s="25" t="str">
        <f>IF(data!R32="","",data!R32)</f>
        <v/>
      </c>
      <c r="U41" s="25" t="str">
        <f>IF(data!S32="","",data!S32)</f>
        <v/>
      </c>
      <c r="V41" s="25" t="str">
        <f>IF(data!T32="","",data!T32)</f>
        <v/>
      </c>
      <c r="W41" s="16"/>
      <c r="X41" s="2"/>
    </row>
    <row r="42" spans="1:28" ht="20.25" x14ac:dyDescent="0.3">
      <c r="A42" s="3"/>
      <c r="B42" s="16"/>
      <c r="C42" s="24" t="str">
        <f t="shared" si="1"/>
        <v/>
      </c>
      <c r="D42" s="25" t="str">
        <f>IF(data!B33="","",data!B33)</f>
        <v/>
      </c>
      <c r="E42" s="25" t="str">
        <f>IF(data!C33="","",data!C33)</f>
        <v/>
      </c>
      <c r="F42" s="25" t="str">
        <f>IF(data!D33="","",data!D33)</f>
        <v/>
      </c>
      <c r="G42" s="25" t="str">
        <f>IF(data!E33="","",data!E33)</f>
        <v/>
      </c>
      <c r="H42" s="25" t="str">
        <f>IF(data!F33="","",data!F33)</f>
        <v/>
      </c>
      <c r="I42" s="25" t="str">
        <f>IF(data!G33="","",data!G33)</f>
        <v/>
      </c>
      <c r="J42" s="25" t="str">
        <f>IF(data!H33="","",data!H33)</f>
        <v/>
      </c>
      <c r="K42" s="25" t="str">
        <f>IF(data!I33="","",data!I33)</f>
        <v/>
      </c>
      <c r="L42" s="25" t="str">
        <f>IF(data!J33="","",data!J33)</f>
        <v/>
      </c>
      <c r="M42" s="25" t="str">
        <f>IF(data!K33="","",data!K33)</f>
        <v/>
      </c>
      <c r="N42" s="25" t="str">
        <f>IF(data!L33="","",data!L33)</f>
        <v/>
      </c>
      <c r="O42" s="25" t="str">
        <f>IF(data!M33="","",data!M33)</f>
        <v/>
      </c>
      <c r="P42" s="25" t="str">
        <f>IF(data!N33="","",data!N33)</f>
        <v/>
      </c>
      <c r="Q42" s="25" t="str">
        <f>IF(data!O33="","",data!O33)</f>
        <v/>
      </c>
      <c r="R42" s="25" t="str">
        <f>IF(data!P33="","",data!P33)</f>
        <v/>
      </c>
      <c r="S42" s="25" t="str">
        <f>IF(data!Q33="","",data!Q33)</f>
        <v/>
      </c>
      <c r="T42" s="25" t="str">
        <f>IF(data!R33="","",data!R33)</f>
        <v/>
      </c>
      <c r="U42" s="25" t="str">
        <f>IF(data!S33="","",data!S33)</f>
        <v/>
      </c>
      <c r="V42" s="25" t="str">
        <f>IF(data!T33="","",data!T33)</f>
        <v/>
      </c>
      <c r="W42" s="16"/>
      <c r="X42" s="2"/>
    </row>
    <row r="43" spans="1:28" ht="20.25" x14ac:dyDescent="0.3">
      <c r="A43" s="3"/>
      <c r="B43" s="16"/>
      <c r="C43" s="24" t="str">
        <f t="shared" si="1"/>
        <v/>
      </c>
      <c r="D43" s="25" t="str">
        <f>IF(data!B34="","",data!B34)</f>
        <v/>
      </c>
      <c r="E43" s="25" t="str">
        <f>IF(data!C34="","",data!C34)</f>
        <v/>
      </c>
      <c r="F43" s="25" t="str">
        <f>IF(data!D34="","",data!D34)</f>
        <v/>
      </c>
      <c r="G43" s="25" t="str">
        <f>IF(data!E34="","",data!E34)</f>
        <v/>
      </c>
      <c r="H43" s="25" t="str">
        <f>IF(data!F34="","",data!F34)</f>
        <v/>
      </c>
      <c r="I43" s="25" t="str">
        <f>IF(data!G34="","",data!G34)</f>
        <v/>
      </c>
      <c r="J43" s="25" t="str">
        <f>IF(data!H34="","",data!H34)</f>
        <v/>
      </c>
      <c r="K43" s="25" t="str">
        <f>IF(data!I34="","",data!I34)</f>
        <v/>
      </c>
      <c r="L43" s="25" t="str">
        <f>IF(data!J34="","",data!J34)</f>
        <v/>
      </c>
      <c r="M43" s="25" t="str">
        <f>IF(data!K34="","",data!K34)</f>
        <v/>
      </c>
      <c r="N43" s="25" t="str">
        <f>IF(data!L34="","",data!L34)</f>
        <v/>
      </c>
      <c r="O43" s="25" t="str">
        <f>IF(data!M34="","",data!M34)</f>
        <v/>
      </c>
      <c r="P43" s="25" t="str">
        <f>IF(data!N34="","",data!N34)</f>
        <v/>
      </c>
      <c r="Q43" s="25" t="str">
        <f>IF(data!O34="","",data!O34)</f>
        <v/>
      </c>
      <c r="R43" s="25" t="str">
        <f>IF(data!P34="","",data!P34)</f>
        <v/>
      </c>
      <c r="S43" s="25" t="str">
        <f>IF(data!Q34="","",data!Q34)</f>
        <v/>
      </c>
      <c r="T43" s="25" t="str">
        <f>IF(data!R34="","",data!R34)</f>
        <v/>
      </c>
      <c r="U43" s="25" t="str">
        <f>IF(data!S34="","",data!S34)</f>
        <v/>
      </c>
      <c r="V43" s="25" t="str">
        <f>IF(data!T34="","",data!T34)</f>
        <v/>
      </c>
      <c r="W43" s="16"/>
      <c r="X43" s="2"/>
    </row>
    <row r="44" spans="1:28" ht="20.25" x14ac:dyDescent="0.3">
      <c r="A44" s="3"/>
      <c r="B44" s="16"/>
      <c r="C44" s="24" t="str">
        <f t="shared" si="1"/>
        <v/>
      </c>
      <c r="D44" s="25" t="str">
        <f>IF(data!B35="","",data!B35)</f>
        <v/>
      </c>
      <c r="E44" s="25" t="str">
        <f>IF(data!C35="","",data!C35)</f>
        <v/>
      </c>
      <c r="F44" s="25" t="str">
        <f>IF(data!D35="","",data!D35)</f>
        <v/>
      </c>
      <c r="G44" s="25" t="str">
        <f>IF(data!E35="","",data!E35)</f>
        <v/>
      </c>
      <c r="H44" s="25" t="str">
        <f>IF(data!F35="","",data!F35)</f>
        <v/>
      </c>
      <c r="I44" s="25" t="str">
        <f>IF(data!G35="","",data!G35)</f>
        <v/>
      </c>
      <c r="J44" s="25" t="str">
        <f>IF(data!H35="","",data!H35)</f>
        <v/>
      </c>
      <c r="K44" s="25" t="str">
        <f>IF(data!I35="","",data!I35)</f>
        <v/>
      </c>
      <c r="L44" s="25" t="str">
        <f>IF(data!J35="","",data!J35)</f>
        <v/>
      </c>
      <c r="M44" s="25" t="str">
        <f>IF(data!K35="","",data!K35)</f>
        <v/>
      </c>
      <c r="N44" s="25" t="str">
        <f>IF(data!L35="","",data!L35)</f>
        <v/>
      </c>
      <c r="O44" s="25" t="str">
        <f>IF(data!M35="","",data!M35)</f>
        <v/>
      </c>
      <c r="P44" s="25" t="str">
        <f>IF(data!N35="","",data!N35)</f>
        <v/>
      </c>
      <c r="Q44" s="25" t="str">
        <f>IF(data!O35="","",data!O35)</f>
        <v/>
      </c>
      <c r="R44" s="25" t="str">
        <f>IF(data!P35="","",data!P35)</f>
        <v/>
      </c>
      <c r="S44" s="25" t="str">
        <f>IF(data!Q35="","",data!Q35)</f>
        <v/>
      </c>
      <c r="T44" s="25" t="str">
        <f>IF(data!R35="","",data!R35)</f>
        <v/>
      </c>
      <c r="U44" s="25" t="str">
        <f>IF(data!S35="","",data!S35)</f>
        <v/>
      </c>
      <c r="V44" s="25" t="str">
        <f>IF(data!T35="","",data!T35)</f>
        <v/>
      </c>
      <c r="W44" s="16"/>
      <c r="X44" s="2"/>
    </row>
    <row r="45" spans="1:28" ht="20.25" x14ac:dyDescent="0.3">
      <c r="A45" s="3"/>
      <c r="B45" s="16"/>
      <c r="C45" s="24" t="str">
        <f t="shared" si="1"/>
        <v/>
      </c>
      <c r="D45" s="25" t="str">
        <f>IF(data!B36="","",data!B36)</f>
        <v/>
      </c>
      <c r="E45" s="25" t="str">
        <f>IF(data!C36="","",data!C36)</f>
        <v/>
      </c>
      <c r="F45" s="25" t="str">
        <f>IF(data!D36="","",data!D36)</f>
        <v/>
      </c>
      <c r="G45" s="25" t="str">
        <f>IF(data!E36="","",data!E36)</f>
        <v/>
      </c>
      <c r="H45" s="25" t="str">
        <f>IF(data!F36="","",data!F36)</f>
        <v/>
      </c>
      <c r="I45" s="25" t="str">
        <f>IF(data!G36="","",data!G36)</f>
        <v/>
      </c>
      <c r="J45" s="25" t="str">
        <f>IF(data!H36="","",data!H36)</f>
        <v/>
      </c>
      <c r="K45" s="25" t="str">
        <f>IF(data!I36="","",data!I36)</f>
        <v/>
      </c>
      <c r="L45" s="25" t="str">
        <f>IF(data!J36="","",data!J36)</f>
        <v/>
      </c>
      <c r="M45" s="25" t="str">
        <f>IF(data!K36="","",data!K36)</f>
        <v/>
      </c>
      <c r="N45" s="25" t="str">
        <f>IF(data!L36="","",data!L36)</f>
        <v/>
      </c>
      <c r="O45" s="25" t="str">
        <f>IF(data!M36="","",data!M36)</f>
        <v/>
      </c>
      <c r="P45" s="25" t="str">
        <f>IF(data!N36="","",data!N36)</f>
        <v/>
      </c>
      <c r="Q45" s="25" t="str">
        <f>IF(data!O36="","",data!O36)</f>
        <v/>
      </c>
      <c r="R45" s="25" t="str">
        <f>IF(data!P36="","",data!P36)</f>
        <v/>
      </c>
      <c r="S45" s="25" t="str">
        <f>IF(data!Q36="","",data!Q36)</f>
        <v/>
      </c>
      <c r="T45" s="25" t="str">
        <f>IF(data!R36="","",data!R36)</f>
        <v/>
      </c>
      <c r="U45" s="25" t="str">
        <f>IF(data!S36="","",data!S36)</f>
        <v/>
      </c>
      <c r="V45" s="25" t="str">
        <f>IF(data!T36="","",data!T36)</f>
        <v/>
      </c>
      <c r="W45" s="16"/>
      <c r="X45" s="2"/>
    </row>
    <row r="46" spans="1:28" ht="20.25" x14ac:dyDescent="0.3">
      <c r="A46" s="3"/>
      <c r="B46" s="16"/>
      <c r="C46" s="24" t="str">
        <f t="shared" si="1"/>
        <v/>
      </c>
      <c r="D46" s="25" t="str">
        <f>IF(data!B37="","",data!B37)</f>
        <v/>
      </c>
      <c r="E46" s="25" t="str">
        <f>IF(data!C37="","",data!C37)</f>
        <v/>
      </c>
      <c r="F46" s="25" t="str">
        <f>IF(data!D37="","",data!D37)</f>
        <v/>
      </c>
      <c r="G46" s="25" t="str">
        <f>IF(data!E37="","",data!E37)</f>
        <v/>
      </c>
      <c r="H46" s="25" t="str">
        <f>IF(data!F37="","",data!F37)</f>
        <v/>
      </c>
      <c r="I46" s="25" t="str">
        <f>IF(data!G37="","",data!G37)</f>
        <v/>
      </c>
      <c r="J46" s="25" t="str">
        <f>IF(data!H37="","",data!H37)</f>
        <v/>
      </c>
      <c r="K46" s="25" t="str">
        <f>IF(data!I37="","",data!I37)</f>
        <v/>
      </c>
      <c r="L46" s="25" t="str">
        <f>IF(data!J37="","",data!J37)</f>
        <v/>
      </c>
      <c r="M46" s="25" t="str">
        <f>IF(data!K37="","",data!K37)</f>
        <v/>
      </c>
      <c r="N46" s="25" t="str">
        <f>IF(data!L37="","",data!L37)</f>
        <v/>
      </c>
      <c r="O46" s="25" t="str">
        <f>IF(data!M37="","",data!M37)</f>
        <v/>
      </c>
      <c r="P46" s="25" t="str">
        <f>IF(data!N37="","",data!N37)</f>
        <v/>
      </c>
      <c r="Q46" s="25" t="str">
        <f>IF(data!O37="","",data!O37)</f>
        <v/>
      </c>
      <c r="R46" s="25" t="str">
        <f>IF(data!P37="","",data!P37)</f>
        <v/>
      </c>
      <c r="S46" s="25" t="str">
        <f>IF(data!Q37="","",data!Q37)</f>
        <v/>
      </c>
      <c r="T46" s="25" t="str">
        <f>IF(data!R37="","",data!R37)</f>
        <v/>
      </c>
      <c r="U46" s="25" t="str">
        <f>IF(data!S37="","",data!S37)</f>
        <v/>
      </c>
      <c r="V46" s="25" t="str">
        <f>IF(data!T37="","",data!T37)</f>
        <v/>
      </c>
      <c r="W46" s="16"/>
      <c r="X46" s="2"/>
    </row>
    <row r="47" spans="1:28" ht="20.25" x14ac:dyDescent="0.3">
      <c r="A47" s="3"/>
      <c r="B47" s="16"/>
      <c r="C47" s="24" t="str">
        <f t="shared" si="1"/>
        <v/>
      </c>
      <c r="D47" s="25" t="str">
        <f>IF(data!B38="","",data!B38)</f>
        <v/>
      </c>
      <c r="E47" s="25" t="str">
        <f>IF(data!C38="","",data!C38)</f>
        <v/>
      </c>
      <c r="F47" s="25" t="str">
        <f>IF(data!D38="","",data!D38)</f>
        <v/>
      </c>
      <c r="G47" s="25" t="str">
        <f>IF(data!E38="","",data!E38)</f>
        <v/>
      </c>
      <c r="H47" s="25" t="str">
        <f>IF(data!F38="","",data!F38)</f>
        <v/>
      </c>
      <c r="I47" s="25" t="str">
        <f>IF(data!G38="","",data!G38)</f>
        <v/>
      </c>
      <c r="J47" s="25" t="str">
        <f>IF(data!H38="","",data!H38)</f>
        <v/>
      </c>
      <c r="K47" s="25" t="str">
        <f>IF(data!I38="","",data!I38)</f>
        <v/>
      </c>
      <c r="L47" s="25" t="str">
        <f>IF(data!J38="","",data!J38)</f>
        <v/>
      </c>
      <c r="M47" s="25" t="str">
        <f>IF(data!K38="","",data!K38)</f>
        <v/>
      </c>
      <c r="N47" s="25" t="str">
        <f>IF(data!L38="","",data!L38)</f>
        <v/>
      </c>
      <c r="O47" s="25" t="str">
        <f>IF(data!M38="","",data!M38)</f>
        <v/>
      </c>
      <c r="P47" s="25" t="str">
        <f>IF(data!N38="","",data!N38)</f>
        <v/>
      </c>
      <c r="Q47" s="25" t="str">
        <f>IF(data!O38="","",data!O38)</f>
        <v/>
      </c>
      <c r="R47" s="25" t="str">
        <f>IF(data!P38="","",data!P38)</f>
        <v/>
      </c>
      <c r="S47" s="25" t="str">
        <f>IF(data!Q38="","",data!Q38)</f>
        <v/>
      </c>
      <c r="T47" s="25" t="str">
        <f>IF(data!R38="","",data!R38)</f>
        <v/>
      </c>
      <c r="U47" s="25" t="str">
        <f>IF(data!S38="","",data!S38)</f>
        <v/>
      </c>
      <c r="V47" s="25" t="str">
        <f>IF(data!T38="","",data!T38)</f>
        <v/>
      </c>
      <c r="W47" s="16"/>
      <c r="X47" s="2"/>
    </row>
    <row r="48" spans="1:28" ht="20.25" x14ac:dyDescent="0.3">
      <c r="A48" s="2"/>
      <c r="B48" s="16"/>
      <c r="C48" s="24" t="str">
        <f t="shared" si="1"/>
        <v/>
      </c>
      <c r="D48" s="25" t="str">
        <f>IF(data!B39="","",data!B39)</f>
        <v/>
      </c>
      <c r="E48" s="25" t="str">
        <f>IF(data!C39="","",data!C39)</f>
        <v/>
      </c>
      <c r="F48" s="25" t="str">
        <f>IF(data!D39="","",data!D39)</f>
        <v/>
      </c>
      <c r="G48" s="25" t="str">
        <f>IF(data!E39="","",data!E39)</f>
        <v/>
      </c>
      <c r="H48" s="25" t="str">
        <f>IF(data!F39="","",data!F39)</f>
        <v/>
      </c>
      <c r="I48" s="25" t="str">
        <f>IF(data!G39="","",data!G39)</f>
        <v/>
      </c>
      <c r="J48" s="25" t="str">
        <f>IF(data!H39="","",data!H39)</f>
        <v/>
      </c>
      <c r="K48" s="25" t="str">
        <f>IF(data!I39="","",data!I39)</f>
        <v/>
      </c>
      <c r="L48" s="25" t="str">
        <f>IF(data!J39="","",data!J39)</f>
        <v/>
      </c>
      <c r="M48" s="25" t="str">
        <f>IF(data!K39="","",data!K39)</f>
        <v/>
      </c>
      <c r="N48" s="25" t="str">
        <f>IF(data!L39="","",data!L39)</f>
        <v/>
      </c>
      <c r="O48" s="25" t="str">
        <f>IF(data!M39="","",data!M39)</f>
        <v/>
      </c>
      <c r="P48" s="25" t="str">
        <f>IF(data!N39="","",data!N39)</f>
        <v/>
      </c>
      <c r="Q48" s="25" t="str">
        <f>IF(data!O39="","",data!O39)</f>
        <v/>
      </c>
      <c r="R48" s="25" t="str">
        <f>IF(data!P39="","",data!P39)</f>
        <v/>
      </c>
      <c r="S48" s="25" t="str">
        <f>IF(data!Q39="","",data!Q39)</f>
        <v/>
      </c>
      <c r="T48" s="25" t="str">
        <f>IF(data!R39="","",data!R39)</f>
        <v/>
      </c>
      <c r="U48" s="25" t="str">
        <f>IF(data!S39="","",data!S39)</f>
        <v/>
      </c>
      <c r="V48" s="25" t="str">
        <f>IF(data!T39="","",data!T39)</f>
        <v/>
      </c>
      <c r="W48" s="16"/>
      <c r="X48" s="2"/>
    </row>
    <row r="49" spans="1:24" ht="15.75" x14ac:dyDescent="0.25">
      <c r="A49" s="2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2"/>
    </row>
    <row r="50" spans="1:24" ht="22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</sheetData>
  <mergeCells count="1">
    <mergeCell ref="E1:O1"/>
  </mergeCells>
  <phoneticPr fontId="2" type="noConversion"/>
  <conditionalFormatting sqref="D11:V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F6" xr:uid="{00000000-0002-0000-0000-000000000000}">
      <formula1>$Z$10:$Z$12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7100-DEE6-4996-945D-51B22CEF23B6}">
  <dimension ref="B2:P37"/>
  <sheetViews>
    <sheetView workbookViewId="0">
      <selection activeCell="B1" sqref="B1"/>
    </sheetView>
  </sheetViews>
  <sheetFormatPr defaultRowHeight="14.25" x14ac:dyDescent="0.2"/>
  <cols>
    <col min="2" max="2" width="16.625" customWidth="1"/>
    <col min="3" max="3" width="5.875" bestFit="1" customWidth="1"/>
    <col min="4" max="17" width="8.625" customWidth="1"/>
  </cols>
  <sheetData>
    <row r="2" spans="2:16" x14ac:dyDescent="0.2">
      <c r="B2" s="23">
        <f ca="1">[1]!wset("correlationanalysis","startDate="&amp;TEXT(相关性分析计算器!$F$4,"YYYYMMDD"),"endDate="&amp;TEXT(相关性分析计算器!$F$5,"YYYYMMDD"),"frequency="&amp;相关性分析计算器!$F$6,"windCodes="&amp;相关性分析计算器!$F$7,"relateWindCodes="&amp;相关性分析计算器!$F$8,"cols=15;rows=15")</f>
        <v>1</v>
      </c>
      <c r="C2" s="23">
        <v>0.96897998432581367</v>
      </c>
      <c r="D2" s="23">
        <v>0.71316434161891151</v>
      </c>
      <c r="E2" s="23">
        <v>-2.5495128456876764E-2</v>
      </c>
      <c r="F2" s="23">
        <v>-0.69810019947988555</v>
      </c>
      <c r="G2" s="23">
        <v>-0.73981267759051172</v>
      </c>
      <c r="H2" s="23">
        <v>-0.68618886194304463</v>
      </c>
      <c r="I2" s="23">
        <v>-0.40864655736617245</v>
      </c>
      <c r="J2" s="23">
        <v>-0.52686047382554912</v>
      </c>
      <c r="K2" s="23">
        <v>-0.92663602277110135</v>
      </c>
      <c r="L2" s="23">
        <v>-0.61160015929058764</v>
      </c>
      <c r="M2" s="23">
        <v>-0.81790258030899088</v>
      </c>
      <c r="N2" s="23">
        <v>-0.90896159762868023</v>
      </c>
      <c r="O2" s="23">
        <v>0.12760063604242528</v>
      </c>
      <c r="P2" s="23">
        <v>0.66212267424355631</v>
      </c>
    </row>
    <row r="3" spans="2:16" x14ac:dyDescent="0.2">
      <c r="B3" s="23">
        <v>0.96897998432581367</v>
      </c>
      <c r="C3" s="23">
        <v>1</v>
      </c>
      <c r="D3" s="23">
        <v>0.80840072692557297</v>
      </c>
      <c r="E3" s="23">
        <v>8.6354569943700825E-3</v>
      </c>
      <c r="F3" s="23">
        <v>-0.61922527196555921</v>
      </c>
      <c r="G3" s="23">
        <v>-0.66391322248312612</v>
      </c>
      <c r="H3" s="23">
        <v>-0.61453192502351284</v>
      </c>
      <c r="I3" s="23">
        <v>-0.33060682352437576</v>
      </c>
      <c r="J3" s="23">
        <v>-0.41861986243826121</v>
      </c>
      <c r="K3" s="23">
        <v>-0.87817387201430119</v>
      </c>
      <c r="L3" s="23">
        <v>-0.58367573540679218</v>
      </c>
      <c r="M3" s="23">
        <v>-0.74198024810969687</v>
      </c>
      <c r="N3" s="23">
        <v>-0.84338141016327928</v>
      </c>
      <c r="O3" s="23">
        <v>0.1435978666958537</v>
      </c>
      <c r="P3" s="23">
        <v>0.72811861214412466</v>
      </c>
    </row>
    <row r="4" spans="2:16" x14ac:dyDescent="0.2">
      <c r="B4" s="23">
        <v>0.71316434161891151</v>
      </c>
      <c r="C4" s="23">
        <v>0.80840072692557297</v>
      </c>
      <c r="D4" s="23">
        <v>1</v>
      </c>
      <c r="E4" s="23">
        <v>0.29846584731763565</v>
      </c>
      <c r="F4" s="23">
        <v>-0.1361203057254948</v>
      </c>
      <c r="G4" s="23">
        <v>-0.20627264837808043</v>
      </c>
      <c r="H4" s="23">
        <v>-0.16822186595097532</v>
      </c>
      <c r="I4" s="23">
        <v>2.2447764796243282E-2</v>
      </c>
      <c r="J4" s="23">
        <v>-5.7910914395116093E-2</v>
      </c>
      <c r="K4" s="23">
        <v>-0.50408673697883821</v>
      </c>
      <c r="L4" s="23">
        <v>-0.18408563897241559</v>
      </c>
      <c r="M4" s="23">
        <v>-0.46231818034305705</v>
      </c>
      <c r="N4" s="23">
        <v>-0.47039590762438793</v>
      </c>
      <c r="O4" s="23">
        <v>4.8304967525054886E-2</v>
      </c>
      <c r="P4" s="23">
        <v>0.78434607971050541</v>
      </c>
    </row>
    <row r="5" spans="2:16" x14ac:dyDescent="0.2">
      <c r="B5" s="23">
        <v>-2.5495128456876764E-2</v>
      </c>
      <c r="C5" s="23">
        <v>8.6354569943700825E-3</v>
      </c>
      <c r="D5" s="23">
        <v>0.29846584731763565</v>
      </c>
      <c r="E5" s="23">
        <v>0.99999999999999989</v>
      </c>
      <c r="F5" s="23">
        <v>0.38596446240597232</v>
      </c>
      <c r="G5" s="23">
        <v>0.49783717509246567</v>
      </c>
      <c r="H5" s="23">
        <v>0.50524812192694601</v>
      </c>
      <c r="I5" s="23">
        <v>-1.628910714375081E-2</v>
      </c>
      <c r="J5" s="23">
        <v>-9.7584290125146151E-3</v>
      </c>
      <c r="K5" s="23">
        <v>0.27965446413046102</v>
      </c>
      <c r="L5" s="23">
        <v>0.68632045808377751</v>
      </c>
      <c r="M5" s="23">
        <v>4.4209269879400416E-2</v>
      </c>
      <c r="N5" s="23">
        <v>0.18793054671382589</v>
      </c>
      <c r="O5" s="23">
        <v>-0.73267820990319354</v>
      </c>
      <c r="P5" s="23">
        <v>-1.6888551102810796E-3</v>
      </c>
    </row>
    <row r="6" spans="2:16" x14ac:dyDescent="0.2">
      <c r="B6" s="23">
        <v>-0.69810019947988555</v>
      </c>
      <c r="C6" s="23">
        <v>-0.61922527196555921</v>
      </c>
      <c r="D6" s="23">
        <v>-0.1361203057254948</v>
      </c>
      <c r="E6" s="23">
        <v>0.38596446240597232</v>
      </c>
      <c r="F6" s="23">
        <v>0.99999999999999989</v>
      </c>
      <c r="G6" s="23">
        <v>0.94245767073928222</v>
      </c>
      <c r="H6" s="23">
        <v>0.90079666578541828</v>
      </c>
      <c r="I6" s="23">
        <v>0.59053982627797796</v>
      </c>
      <c r="J6" s="23">
        <v>0.79394966069159745</v>
      </c>
      <c r="K6" s="23">
        <v>0.81077540699000117</v>
      </c>
      <c r="L6" s="23">
        <v>0.75044643373228681</v>
      </c>
      <c r="M6" s="23">
        <v>0.58235330226369264</v>
      </c>
      <c r="N6" s="23">
        <v>0.72718909750474736</v>
      </c>
      <c r="O6" s="23">
        <v>-0.15419856501882623</v>
      </c>
      <c r="P6" s="23">
        <v>-0.19080574716382112</v>
      </c>
    </row>
    <row r="7" spans="2:16" x14ac:dyDescent="0.2">
      <c r="B7" s="23">
        <v>-0.73981267759051172</v>
      </c>
      <c r="C7" s="23">
        <v>-0.66391322248312612</v>
      </c>
      <c r="D7" s="23">
        <v>-0.20627264837808043</v>
      </c>
      <c r="E7" s="23">
        <v>0.49783717509246567</v>
      </c>
      <c r="F7" s="23">
        <v>0.94245767073928222</v>
      </c>
      <c r="G7" s="23">
        <v>1</v>
      </c>
      <c r="H7" s="23">
        <v>0.97474191009398137</v>
      </c>
      <c r="I7" s="23">
        <v>0.54823228875959218</v>
      </c>
      <c r="J7" s="23">
        <v>0.65872446129959406</v>
      </c>
      <c r="K7" s="23">
        <v>0.8650929013154508</v>
      </c>
      <c r="L7" s="23">
        <v>0.84222248033742919</v>
      </c>
      <c r="M7" s="23">
        <v>0.66129029260529759</v>
      </c>
      <c r="N7" s="23">
        <v>0.77391125313262843</v>
      </c>
      <c r="O7" s="23">
        <v>-0.31192482817340089</v>
      </c>
      <c r="P7" s="23">
        <v>-0.23491295278257593</v>
      </c>
    </row>
    <row r="8" spans="2:16" x14ac:dyDescent="0.2">
      <c r="B8" s="23">
        <v>-0.68618886194304463</v>
      </c>
      <c r="C8" s="23">
        <v>-0.61453192502351284</v>
      </c>
      <c r="D8" s="23">
        <v>-0.16822186595097532</v>
      </c>
      <c r="E8" s="23">
        <v>0.50524812192694601</v>
      </c>
      <c r="F8" s="23">
        <v>0.90079666578541828</v>
      </c>
      <c r="G8" s="23">
        <v>0.97474191009398137</v>
      </c>
      <c r="H8" s="23">
        <v>1.0000000000000002</v>
      </c>
      <c r="I8" s="23">
        <v>0.56399800315990001</v>
      </c>
      <c r="J8" s="23">
        <v>0.64468916580330449</v>
      </c>
      <c r="K8" s="23">
        <v>0.83484772116637718</v>
      </c>
      <c r="L8" s="23">
        <v>0.83672049969061457</v>
      </c>
      <c r="M8" s="23">
        <v>0.62514753135816969</v>
      </c>
      <c r="N8" s="23">
        <v>0.70278466585990373</v>
      </c>
      <c r="O8" s="23">
        <v>-0.335190445886074</v>
      </c>
      <c r="P8" s="23">
        <v>-0.1737790523840905</v>
      </c>
    </row>
    <row r="9" spans="2:16" x14ac:dyDescent="0.2">
      <c r="B9" s="23">
        <v>-0.40864655736617245</v>
      </c>
      <c r="C9" s="23">
        <v>-0.33060682352437576</v>
      </c>
      <c r="D9" s="23">
        <v>2.2447764796243282E-2</v>
      </c>
      <c r="E9" s="23">
        <v>-1.628910714375081E-2</v>
      </c>
      <c r="F9" s="23">
        <v>0.59053982627797796</v>
      </c>
      <c r="G9" s="23">
        <v>0.54823228875959218</v>
      </c>
      <c r="H9" s="23">
        <v>0.56399800315990001</v>
      </c>
      <c r="I9" s="23">
        <v>1</v>
      </c>
      <c r="J9" s="23">
        <v>0.62229802556325819</v>
      </c>
      <c r="K9" s="23">
        <v>0.51891024112287853</v>
      </c>
      <c r="L9" s="23">
        <v>0.40909918929161126</v>
      </c>
      <c r="M9" s="23">
        <v>0.43641443519351131</v>
      </c>
      <c r="N9" s="23">
        <v>0.45932466666380539</v>
      </c>
      <c r="O9" s="23">
        <v>0.26887809957616554</v>
      </c>
      <c r="P9" s="23">
        <v>0.22226879529633795</v>
      </c>
    </row>
    <row r="10" spans="2:16" x14ac:dyDescent="0.2">
      <c r="B10" s="23">
        <v>-0.52686047382554912</v>
      </c>
      <c r="C10" s="23">
        <v>-0.41861986243826121</v>
      </c>
      <c r="D10" s="23">
        <v>-5.7910914395116093E-2</v>
      </c>
      <c r="E10" s="23">
        <v>-9.7584290125146151E-3</v>
      </c>
      <c r="F10" s="23">
        <v>0.79394966069159745</v>
      </c>
      <c r="G10" s="23">
        <v>0.65872446129959406</v>
      </c>
      <c r="H10" s="23">
        <v>0.64468916580330449</v>
      </c>
      <c r="I10" s="23">
        <v>0.62229802556325819</v>
      </c>
      <c r="J10" s="23">
        <v>0.99999999999999989</v>
      </c>
      <c r="K10" s="23">
        <v>0.55204177722594916</v>
      </c>
      <c r="L10" s="23">
        <v>0.35730969268057883</v>
      </c>
      <c r="M10" s="23">
        <v>0.46036825528680536</v>
      </c>
      <c r="N10" s="23">
        <v>0.50934906125898316</v>
      </c>
      <c r="O10" s="23">
        <v>0.25851790979142958</v>
      </c>
      <c r="P10" s="23">
        <v>3.7641891938461007E-2</v>
      </c>
    </row>
    <row r="11" spans="2:16" x14ac:dyDescent="0.2">
      <c r="B11" s="23">
        <v>-0.92663602277110135</v>
      </c>
      <c r="C11" s="23">
        <v>-0.87817387201430119</v>
      </c>
      <c r="D11" s="23">
        <v>-0.50408673697883821</v>
      </c>
      <c r="E11" s="23">
        <v>0.27965446413046102</v>
      </c>
      <c r="F11" s="23">
        <v>0.81077540699000117</v>
      </c>
      <c r="G11" s="23">
        <v>0.8650929013154508</v>
      </c>
      <c r="H11" s="23">
        <v>0.83484772116637718</v>
      </c>
      <c r="I11" s="23">
        <v>0.51891024112287853</v>
      </c>
      <c r="J11" s="23">
        <v>0.55204177722594916</v>
      </c>
      <c r="K11" s="23">
        <v>1</v>
      </c>
      <c r="L11" s="23">
        <v>0.79808590612561969</v>
      </c>
      <c r="M11" s="23">
        <v>0.80633734966028037</v>
      </c>
      <c r="N11" s="23">
        <v>0.90683936499650275</v>
      </c>
      <c r="O11" s="23">
        <v>-0.25473919441961251</v>
      </c>
      <c r="P11" s="23">
        <v>-0.54348710132040878</v>
      </c>
    </row>
    <row r="12" spans="2:16" x14ac:dyDescent="0.2">
      <c r="B12" s="23">
        <v>-0.61160015929058764</v>
      </c>
      <c r="C12" s="23">
        <v>-0.58367573540679218</v>
      </c>
      <c r="D12" s="23">
        <v>-0.18408563897241559</v>
      </c>
      <c r="E12" s="23">
        <v>0.68632045808377751</v>
      </c>
      <c r="F12" s="23">
        <v>0.75044643373228681</v>
      </c>
      <c r="G12" s="23">
        <v>0.84222248033742919</v>
      </c>
      <c r="H12" s="23">
        <v>0.83672049969061457</v>
      </c>
      <c r="I12" s="23">
        <v>0.40909918929161126</v>
      </c>
      <c r="J12" s="23">
        <v>0.35730969268057883</v>
      </c>
      <c r="K12" s="23">
        <v>0.79808590612561969</v>
      </c>
      <c r="L12" s="23">
        <v>1</v>
      </c>
      <c r="M12" s="23">
        <v>0.60488678468331902</v>
      </c>
      <c r="N12" s="23">
        <v>0.69325414345485437</v>
      </c>
      <c r="O12" s="23">
        <v>-0.49259983964959536</v>
      </c>
      <c r="P12" s="23">
        <v>-0.31011232851479148</v>
      </c>
    </row>
    <row r="13" spans="2:16" x14ac:dyDescent="0.2">
      <c r="B13" s="23">
        <v>-0.81790258030899088</v>
      </c>
      <c r="C13" s="23">
        <v>-0.74198024810969687</v>
      </c>
      <c r="D13" s="23">
        <v>-0.46231818034305705</v>
      </c>
      <c r="E13" s="23">
        <v>4.4209269879400416E-2</v>
      </c>
      <c r="F13" s="23">
        <v>0.58235330226369264</v>
      </c>
      <c r="G13" s="23">
        <v>0.66129029260529759</v>
      </c>
      <c r="H13" s="23">
        <v>0.62514753135816969</v>
      </c>
      <c r="I13" s="23">
        <v>0.43641443519351131</v>
      </c>
      <c r="J13" s="23">
        <v>0.46036825528680536</v>
      </c>
      <c r="K13" s="23">
        <v>0.80633734966028037</v>
      </c>
      <c r="L13" s="23">
        <v>0.60488678468331902</v>
      </c>
      <c r="M13" s="23">
        <v>0.99999999999999989</v>
      </c>
      <c r="N13" s="23">
        <v>0.86985564911372304</v>
      </c>
      <c r="O13" s="23">
        <v>1.439949376384312E-2</v>
      </c>
      <c r="P13" s="23">
        <v>-0.35973017271518276</v>
      </c>
    </row>
    <row r="14" spans="2:16" x14ac:dyDescent="0.2">
      <c r="B14" s="23">
        <v>-0.90896159762868023</v>
      </c>
      <c r="C14" s="23">
        <v>-0.84338141016327928</v>
      </c>
      <c r="D14" s="23">
        <v>-0.47039590762438793</v>
      </c>
      <c r="E14" s="23">
        <v>0.18793054671382589</v>
      </c>
      <c r="F14" s="23">
        <v>0.72718909750474736</v>
      </c>
      <c r="G14" s="23">
        <v>0.77391125313262843</v>
      </c>
      <c r="H14" s="23">
        <v>0.70278466585990373</v>
      </c>
      <c r="I14" s="23">
        <v>0.45932466666380539</v>
      </c>
      <c r="J14" s="23">
        <v>0.50934906125898316</v>
      </c>
      <c r="K14" s="23">
        <v>0.90683936499650275</v>
      </c>
      <c r="L14" s="23">
        <v>0.69325414345485437</v>
      </c>
      <c r="M14" s="23">
        <v>0.86985564911372304</v>
      </c>
      <c r="N14" s="23">
        <v>1.0000000000000002</v>
      </c>
      <c r="O14" s="23">
        <v>-0.14552758867031224</v>
      </c>
      <c r="P14" s="23">
        <v>-0.5059928126857588</v>
      </c>
    </row>
    <row r="15" spans="2:16" x14ac:dyDescent="0.2">
      <c r="B15" s="23">
        <v>0.12760063604242528</v>
      </c>
      <c r="C15" s="23">
        <v>0.1435978666958537</v>
      </c>
      <c r="D15" s="23">
        <v>4.8304967525054886E-2</v>
      </c>
      <c r="E15" s="23">
        <v>-0.73267820990319354</v>
      </c>
      <c r="F15" s="23">
        <v>-0.15419856501882623</v>
      </c>
      <c r="G15" s="23">
        <v>-0.31192482817340089</v>
      </c>
      <c r="H15" s="23">
        <v>-0.335190445886074</v>
      </c>
      <c r="I15" s="23">
        <v>0.26887809957616554</v>
      </c>
      <c r="J15" s="23">
        <v>0.25851790979142958</v>
      </c>
      <c r="K15" s="23">
        <v>-0.25473919441961251</v>
      </c>
      <c r="L15" s="23">
        <v>-0.49259983964959536</v>
      </c>
      <c r="M15" s="23">
        <v>1.439949376384312E-2</v>
      </c>
      <c r="N15" s="23">
        <v>-0.14552758867031224</v>
      </c>
      <c r="O15" s="23">
        <v>1</v>
      </c>
      <c r="P15" s="23">
        <v>0.31834679510481578</v>
      </c>
    </row>
    <row r="16" spans="2:16" x14ac:dyDescent="0.2">
      <c r="B16" s="23">
        <v>0.66212267424355631</v>
      </c>
      <c r="C16" s="23">
        <v>0.72811861214412466</v>
      </c>
      <c r="D16" s="23">
        <v>0.78434607971050541</v>
      </c>
      <c r="E16" s="23">
        <v>-1.6888551102810796E-3</v>
      </c>
      <c r="F16" s="23">
        <v>-0.19080574716382112</v>
      </c>
      <c r="G16" s="23">
        <v>-0.23491295278257593</v>
      </c>
      <c r="H16" s="23">
        <v>-0.1737790523840905</v>
      </c>
      <c r="I16" s="23">
        <v>0.22226879529633795</v>
      </c>
      <c r="J16" s="23">
        <v>3.7641891938461007E-2</v>
      </c>
      <c r="K16" s="23">
        <v>-0.54348710132040878</v>
      </c>
      <c r="L16" s="23">
        <v>-0.31011232851479148</v>
      </c>
      <c r="M16" s="23">
        <v>-0.35973017271518276</v>
      </c>
      <c r="N16" s="23">
        <v>-0.5059928126857588</v>
      </c>
      <c r="O16" s="23">
        <v>0.31834679510481578</v>
      </c>
      <c r="P16" s="23">
        <v>0.99999999999999989</v>
      </c>
    </row>
    <row r="24" spans="2:15" x14ac:dyDescent="0.2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2:15" x14ac:dyDescent="0.2"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2:15" x14ac:dyDescent="0.2"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2:15" x14ac:dyDescent="0.2"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2:15" x14ac:dyDescent="0.2"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2:15" x14ac:dyDescent="0.2"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2:15" x14ac:dyDescent="0.2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spans="2:15" x14ac:dyDescent="0.2"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2:15" x14ac:dyDescent="0.2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2:15" x14ac:dyDescent="0.2"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2:15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2:15" x14ac:dyDescent="0.2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2:15" x14ac:dyDescent="0.2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2:15" x14ac:dyDescent="0.2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2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相关性分析计算器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2025-01-17T01:55:38Z</dcterms:modified>
</cp:coreProperties>
</file>