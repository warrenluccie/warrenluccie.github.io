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PT\yqcui\Excel插件模板库项目\20230727 模板库-更新计划1期\债券\"/>
    </mc:Choice>
  </mc:AlternateContent>
  <xr:revisionPtr revIDLastSave="0" documentId="13_ncr:1_{203AB044-069F-4F69-B735-7DB57F79708E}" xr6:coauthVersionLast="36" xr6:coauthVersionMax="36" xr10:uidLastSave="{00000000-0000-0000-0000-000000000000}"/>
  <bookViews>
    <workbookView xWindow="0" yWindow="0" windowWidth="28800" windowHeight="11250" xr2:uid="{00000000-000D-0000-FFFF-FFFF00000000}"/>
  </bookViews>
  <sheets>
    <sheet name="计算持有收益率" sheetId="1" r:id="rId1"/>
    <sheet name="计算卖出价格" sheetId="3" r:id="rId2"/>
    <sheet name="Wind模板" sheetId="4" state="veryHidden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3" l="1"/>
  <c r="D6" i="3"/>
  <c r="E9" i="1"/>
  <c r="D9" i="1"/>
  <c r="O28" i="3"/>
  <c r="O26" i="3"/>
  <c r="O25" i="3"/>
  <c r="E4" i="3"/>
  <c r="O24" i="3"/>
  <c r="M10" i="1"/>
  <c r="P24" i="3"/>
  <c r="P27" i="3"/>
  <c r="O27" i="3"/>
  <c r="O29" i="3"/>
  <c r="D14" i="3" l="1"/>
  <c r="O30" i="3"/>
  <c r="D15" i="3"/>
  <c r="N14" i="1"/>
  <c r="M14" i="1"/>
  <c r="M11" i="1"/>
  <c r="M12" i="1"/>
  <c r="P25" i="3"/>
  <c r="M15" i="1"/>
  <c r="M13" i="1"/>
  <c r="N10" i="1"/>
  <c r="E4" i="1"/>
  <c r="P29" i="3"/>
  <c r="P28" i="3"/>
  <c r="P26" i="3" s="1"/>
  <c r="M16" i="1" l="1"/>
  <c r="E19" i="3"/>
  <c r="D16" i="3"/>
  <c r="D20" i="3"/>
  <c r="E15" i="3"/>
  <c r="D17" i="3"/>
  <c r="E17" i="3"/>
  <c r="D18" i="3"/>
  <c r="E18" i="3"/>
  <c r="D19" i="3"/>
  <c r="E14" i="3"/>
  <c r="D15" i="1"/>
  <c r="E15" i="1"/>
  <c r="D18" i="1"/>
  <c r="D20" i="1"/>
  <c r="N15" i="1"/>
  <c r="N12" i="1"/>
  <c r="N13" i="1"/>
  <c r="N11" i="1"/>
  <c r="M18" i="1" s="1"/>
  <c r="N16" i="1" l="1"/>
  <c r="P30" i="3"/>
  <c r="E20" i="3" s="1"/>
  <c r="E16" i="3"/>
  <c r="E19" i="1"/>
  <c r="D19" i="1"/>
  <c r="E17" i="1"/>
  <c r="E16" i="1"/>
  <c r="E20" i="1"/>
  <c r="D17" i="1"/>
  <c r="E18" i="1"/>
  <c r="D16" i="1"/>
  <c r="E21" i="1"/>
  <c r="D21" i="1"/>
  <c r="D23" i="1" l="1"/>
</calcChain>
</file>

<file path=xl/sharedStrings.xml><?xml version="1.0" encoding="utf-8"?>
<sst xmlns="http://schemas.openxmlformats.org/spreadsheetml/2006/main" count="50" uniqueCount="44">
  <si>
    <t>剩余年限</t>
    <phoneticPr fontId="1" type="noConversion"/>
  </si>
  <si>
    <t>全价</t>
    <phoneticPr fontId="1" type="noConversion"/>
  </si>
  <si>
    <t>应计利息</t>
    <phoneticPr fontId="1" type="noConversion"/>
  </si>
  <si>
    <t>行权收益率</t>
    <phoneticPr fontId="1" type="noConversion"/>
  </si>
  <si>
    <t>净价</t>
    <phoneticPr fontId="1" type="noConversion"/>
  </si>
  <si>
    <t>到期收益率</t>
    <phoneticPr fontId="1" type="noConversion"/>
  </si>
  <si>
    <t>结算金额</t>
    <phoneticPr fontId="1" type="noConversion"/>
  </si>
  <si>
    <t>到期收益率</t>
  </si>
  <si>
    <t xml:space="preserve">220220.IB </t>
    <phoneticPr fontId="1" type="noConversion"/>
  </si>
  <si>
    <t>结果</t>
    <phoneticPr fontId="10" type="noConversion"/>
  </si>
  <si>
    <t>剩余年限:</t>
    <phoneticPr fontId="10" type="noConversion"/>
  </si>
  <si>
    <t>净价:</t>
    <phoneticPr fontId="10" type="noConversion"/>
  </si>
  <si>
    <t>全价:</t>
    <phoneticPr fontId="10" type="noConversion"/>
  </si>
  <si>
    <t>应计利息:</t>
    <phoneticPr fontId="10" type="noConversion"/>
  </si>
  <si>
    <t>到期收益率:</t>
    <phoneticPr fontId="10" type="noConversion"/>
  </si>
  <si>
    <t>行权收益率:</t>
    <phoneticPr fontId="10" type="noConversion"/>
  </si>
  <si>
    <t>结算金额:</t>
    <phoneticPr fontId="10" type="noConversion"/>
  </si>
  <si>
    <t>持有收益(不计资金成本):</t>
    <phoneticPr fontId="10" type="noConversion"/>
  </si>
  <si>
    <t>债券代码:</t>
    <phoneticPr fontId="10" type="noConversion"/>
  </si>
  <si>
    <t>交易面额(万元):</t>
    <phoneticPr fontId="10" type="noConversion"/>
  </si>
  <si>
    <t>结算日期:</t>
    <phoneticPr fontId="10" type="noConversion"/>
  </si>
  <si>
    <t>输入类型:</t>
    <phoneticPr fontId="10" type="noConversion"/>
  </si>
  <si>
    <t>价格或收益率:</t>
    <phoneticPr fontId="10" type="noConversion"/>
  </si>
  <si>
    <t>债券计算器BC2</t>
    <phoneticPr fontId="10" type="noConversion"/>
  </si>
  <si>
    <t>买入方向：</t>
    <phoneticPr fontId="1" type="noConversion"/>
  </si>
  <si>
    <t>卖出方向：</t>
    <phoneticPr fontId="1" type="noConversion"/>
  </si>
  <si>
    <t>BC2债券计算器</t>
    <phoneticPr fontId="1" type="noConversion"/>
  </si>
  <si>
    <t>结果</t>
    <phoneticPr fontId="10" type="noConversion"/>
  </si>
  <si>
    <t>买入日期：</t>
    <phoneticPr fontId="10" type="noConversion"/>
  </si>
  <si>
    <t>持有收益(不计资金成本)：</t>
    <phoneticPr fontId="10" type="noConversion"/>
  </si>
  <si>
    <t>卖出日期:</t>
    <phoneticPr fontId="6" type="noConversion"/>
  </si>
  <si>
    <t>交易面额(万元):</t>
    <phoneticPr fontId="6" type="noConversion"/>
  </si>
  <si>
    <t>输入类型:</t>
    <phoneticPr fontId="6" type="noConversion"/>
  </si>
  <si>
    <t>债券代码:</t>
    <phoneticPr fontId="10" type="noConversion"/>
  </si>
  <si>
    <t>价格或收益率:</t>
    <phoneticPr fontId="10" type="noConversion"/>
  </si>
  <si>
    <t>剩余年限:</t>
    <phoneticPr fontId="10" type="noConversion"/>
  </si>
  <si>
    <t>净价:</t>
    <phoneticPr fontId="10" type="noConversion"/>
  </si>
  <si>
    <t>全价:</t>
    <phoneticPr fontId="10" type="noConversion"/>
  </si>
  <si>
    <t>应计利息:</t>
    <phoneticPr fontId="10" type="noConversion"/>
  </si>
  <si>
    <t>到期收益率:</t>
    <phoneticPr fontId="10" type="noConversion"/>
  </si>
  <si>
    <t>行权收益率:</t>
    <phoneticPr fontId="10" type="noConversion"/>
  </si>
  <si>
    <t>结算金额:</t>
    <phoneticPr fontId="10" type="noConversion"/>
  </si>
  <si>
    <t>债券计算器BC2</t>
    <phoneticPr fontId="1" type="noConversion"/>
  </si>
  <si>
    <t>2400001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</si>
</sst>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.0000"/>
    <numFmt numFmtId="177" formatCode="###,###,##0.000000"/>
    <numFmt numFmtId="178" formatCode="###,###,##0.0000"/>
    <numFmt numFmtId="179" formatCode="0.00_);[Red]\(0.00\)"/>
    <numFmt numFmtId="180" formatCode="yyyy/mm/dd"/>
    <numFmt numFmtId="181" formatCode="0.0000_ "/>
    <numFmt numFmtId="182" formatCode="#,##0.00_ "/>
    <numFmt numFmtId="183" formatCode="#,##0.0000_ "/>
  </numFmts>
  <fonts count="1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6"/>
      <color theme="1"/>
      <name val="Arial"/>
      <family val="2"/>
    </font>
    <font>
      <sz val="20"/>
      <color theme="0"/>
      <name val="Arial"/>
      <family val="2"/>
    </font>
    <font>
      <sz val="20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9"/>
      <name val="宋体"/>
      <family val="3"/>
      <charset val="134"/>
    </font>
    <font>
      <b/>
      <sz val="14"/>
      <name val="Arial "/>
      <family val="2"/>
    </font>
    <font>
      <sz val="10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4"/>
      <color rgb="FF212121"/>
      <name val="Arial"/>
      <family val="2"/>
    </font>
    <font>
      <sz val="14"/>
      <color theme="1"/>
      <name val="Arial"/>
      <family val="2"/>
    </font>
    <font>
      <sz val="1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176" fontId="0" fillId="2" borderId="1" xfId="0" applyNumberFormat="1" applyFill="1" applyBorder="1">
      <alignment vertical="center"/>
    </xf>
    <xf numFmtId="177" fontId="0" fillId="2" borderId="1" xfId="0" applyNumberFormat="1" applyFont="1" applyFill="1" applyBorder="1">
      <alignment vertical="center"/>
    </xf>
    <xf numFmtId="178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2" fontId="0" fillId="2" borderId="1" xfId="0" applyNumberFormat="1" applyFill="1" applyBorder="1">
      <alignment vertical="center"/>
    </xf>
    <xf numFmtId="0" fontId="3" fillId="3" borderId="0" xfId="0" applyFont="1" applyFill="1" applyAlignment="1"/>
    <xf numFmtId="0" fontId="4" fillId="3" borderId="0" xfId="0" applyFont="1" applyFill="1" applyAlignment="1">
      <alignment vertical="center"/>
    </xf>
    <xf numFmtId="0" fontId="3" fillId="4" borderId="0" xfId="0" applyFont="1" applyFill="1" applyAlignment="1"/>
    <xf numFmtId="0" fontId="3" fillId="6" borderId="0" xfId="0" applyFont="1" applyFill="1" applyBorder="1" applyAlignment="1">
      <alignment horizontal="right"/>
    </xf>
    <xf numFmtId="0" fontId="7" fillId="0" borderId="0" xfId="0" applyFont="1">
      <alignment vertical="center"/>
    </xf>
    <xf numFmtId="179" fontId="0" fillId="2" borderId="1" xfId="0" applyNumberFormat="1" applyFill="1" applyBorder="1" applyAlignment="1">
      <alignment horizontal="right" vertical="center"/>
    </xf>
    <xf numFmtId="178" fontId="0" fillId="0" borderId="0" xfId="0" applyNumberFormat="1">
      <alignment vertical="center"/>
    </xf>
    <xf numFmtId="0" fontId="9" fillId="6" borderId="2" xfId="0" applyFont="1" applyFill="1" applyBorder="1" applyAlignment="1">
      <alignment vertical="center"/>
    </xf>
    <xf numFmtId="43" fontId="11" fillId="6" borderId="2" xfId="1" applyFont="1" applyFill="1" applyBorder="1" applyAlignment="1">
      <alignment horizontal="right" vertical="center"/>
    </xf>
    <xf numFmtId="0" fontId="12" fillId="8" borderId="0" xfId="0" applyFont="1" applyFill="1" applyBorder="1" applyAlignment="1"/>
    <xf numFmtId="0" fontId="12" fillId="7" borderId="0" xfId="0" applyFont="1" applyFill="1" applyAlignment="1"/>
    <xf numFmtId="0" fontId="13" fillId="6" borderId="0" xfId="0" applyFont="1" applyFill="1" applyBorder="1" applyAlignment="1">
      <alignment horizontal="right"/>
    </xf>
    <xf numFmtId="181" fontId="14" fillId="6" borderId="0" xfId="0" applyNumberFormat="1" applyFont="1" applyFill="1" applyBorder="1" applyAlignment="1">
      <alignment horizontal="right"/>
    </xf>
    <xf numFmtId="181" fontId="14" fillId="7" borderId="0" xfId="0" applyNumberFormat="1" applyFont="1" applyFill="1" applyBorder="1" applyAlignment="1">
      <alignment horizontal="right"/>
    </xf>
    <xf numFmtId="183" fontId="14" fillId="7" borderId="0" xfId="0" applyNumberFormat="1" applyFont="1" applyFill="1" applyBorder="1" applyAlignment="1">
      <alignment horizontal="right"/>
    </xf>
    <xf numFmtId="182" fontId="14" fillId="6" borderId="0" xfId="0" applyNumberFormat="1" applyFont="1" applyFill="1" applyBorder="1" applyAlignment="1">
      <alignment horizontal="right"/>
    </xf>
    <xf numFmtId="49" fontId="15" fillId="5" borderId="0" xfId="0" applyNumberFormat="1" applyFont="1" applyFill="1" applyAlignment="1" applyProtection="1">
      <alignment horizontal="right" vertical="center"/>
      <protection locked="0"/>
    </xf>
    <xf numFmtId="179" fontId="15" fillId="5" borderId="0" xfId="0" applyNumberFormat="1" applyFont="1" applyFill="1" applyAlignment="1" applyProtection="1">
      <alignment horizontal="right" vertical="center"/>
      <protection locked="0"/>
    </xf>
    <xf numFmtId="180" fontId="15" fillId="5" borderId="0" xfId="0" applyNumberFormat="1" applyFont="1" applyFill="1" applyAlignment="1" applyProtection="1">
      <alignment horizontal="right" vertical="center"/>
      <protection locked="0"/>
    </xf>
    <xf numFmtId="43" fontId="16" fillId="6" borderId="0" xfId="1" applyFont="1" applyFill="1" applyBorder="1" applyAlignment="1">
      <alignment horizontal="left" vertical="center"/>
    </xf>
    <xf numFmtId="43" fontId="16" fillId="6" borderId="2" xfId="1" applyFont="1" applyFill="1" applyBorder="1" applyAlignment="1">
      <alignment horizontal="left"/>
    </xf>
    <xf numFmtId="0" fontId="12" fillId="6" borderId="0" xfId="0" applyFont="1" applyFill="1" applyAlignment="1"/>
    <xf numFmtId="0" fontId="12" fillId="6" borderId="0" xfId="0" applyFont="1" applyFill="1" applyBorder="1" applyAlignment="1">
      <alignment horizontal="right"/>
    </xf>
    <xf numFmtId="43" fontId="14" fillId="7" borderId="0" xfId="1" applyFont="1" applyFill="1" applyBorder="1" applyAlignment="1">
      <alignment horizontal="right"/>
    </xf>
    <xf numFmtId="43" fontId="14" fillId="6" borderId="0" xfId="1" applyFont="1" applyFill="1" applyBorder="1" applyAlignment="1">
      <alignment horizontal="right"/>
    </xf>
    <xf numFmtId="179" fontId="15" fillId="5" borderId="0" xfId="1" applyNumberFormat="1" applyFont="1" applyFill="1" applyAlignment="1" applyProtection="1">
      <alignment horizontal="right" vertical="center"/>
      <protection locked="0"/>
    </xf>
    <xf numFmtId="0" fontId="5" fillId="3" borderId="0" xfId="0" applyFont="1" applyFill="1" applyAlignment="1">
      <alignment horizontal="center" vertical="center"/>
    </xf>
    <xf numFmtId="182" fontId="14" fillId="6" borderId="0" xfId="0" applyNumberFormat="1" applyFont="1" applyFill="1" applyBorder="1" applyAlignment="1">
      <alignment horizontal="right"/>
    </xf>
    <xf numFmtId="176" fontId="15" fillId="5" borderId="0" xfId="0" applyNumberFormat="1" applyFont="1" applyFill="1" applyAlignment="1" applyProtection="1">
      <alignment horizontal="right" vertical="center"/>
      <protection locked="0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1761711</xdr:colOff>
      <xdr:row>0</xdr:row>
      <xdr:rowOff>67917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711" y="67917"/>
          <a:ext cx="607152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58392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8392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calc_accrued"/>
      <definedName name="b_calc_askprice"/>
      <definedName name="b_calc_hpy"/>
      <definedName name="b_calc_pv"/>
      <definedName name="b_calc_ytm"/>
      <definedName name="b_info_name"/>
      <definedName name="b_info_termnote1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N36"/>
  <sheetViews>
    <sheetView showGridLines="0" tabSelected="1" workbookViewId="0">
      <selection activeCell="A39" sqref="A39"/>
    </sheetView>
  </sheetViews>
  <sheetFormatPr defaultRowHeight="14.25"/>
  <cols>
    <col min="1" max="1" width="2.625" customWidth="1"/>
    <col min="2" max="2" width="1.5" customWidth="1"/>
    <col min="3" max="3" width="45.125" customWidth="1"/>
    <col min="4" max="5" width="49.625" customWidth="1"/>
    <col min="6" max="6" width="1.5" customWidth="1"/>
    <col min="7" max="7" width="2.625" customWidth="1"/>
    <col min="12" max="12" width="9" customWidth="1"/>
    <col min="13" max="14" width="11" hidden="1" customWidth="1"/>
  </cols>
  <sheetData>
    <row r="1" spans="1:14" ht="27.75">
      <c r="A1" s="10"/>
      <c r="B1" s="36" t="s">
        <v>23</v>
      </c>
      <c r="C1" s="36"/>
      <c r="D1" s="36"/>
      <c r="E1" s="36"/>
      <c r="F1" s="11"/>
      <c r="G1" s="11"/>
    </row>
    <row r="2" spans="1:14" ht="12" customHeight="1">
      <c r="A2" s="12"/>
      <c r="B2" s="12"/>
      <c r="C2" s="12"/>
      <c r="D2" s="12"/>
      <c r="E2" s="12"/>
      <c r="F2" s="12"/>
      <c r="G2" s="12"/>
    </row>
    <row r="3" spans="1:14" ht="10.5" customHeight="1">
      <c r="A3" s="12"/>
      <c r="B3" s="13"/>
      <c r="C3" s="13"/>
      <c r="D3" s="13"/>
      <c r="E3" s="13"/>
      <c r="F3" s="13"/>
      <c r="G3" s="12"/>
    </row>
    <row r="4" spans="1:14" ht="21">
      <c r="A4" s="12"/>
      <c r="B4" s="13"/>
      <c r="C4" s="19" t="s">
        <v>18</v>
      </c>
      <c r="D4" s="26" t="s">
        <v>43</v>
      </c>
      <c r="E4" s="23" t="str">
        <f>[1]!b_info_name(D4)</f>
        <v>24特别国债01</v>
      </c>
      <c r="G4" s="12"/>
    </row>
    <row r="5" spans="1:14" ht="21">
      <c r="A5" s="12"/>
      <c r="B5" s="13"/>
      <c r="C5" s="20" t="s">
        <v>19</v>
      </c>
      <c r="D5" s="27">
        <v>1000</v>
      </c>
      <c r="E5" s="23"/>
      <c r="G5" s="12"/>
    </row>
    <row r="6" spans="1:14" ht="10.5" customHeight="1">
      <c r="A6" s="12"/>
      <c r="B6" s="13"/>
      <c r="C6" s="13"/>
      <c r="D6" s="13"/>
      <c r="E6" s="13"/>
      <c r="F6" s="13"/>
      <c r="G6" s="12"/>
    </row>
    <row r="7" spans="1:14" ht="21">
      <c r="A7" s="12"/>
      <c r="B7" s="13"/>
      <c r="C7" s="31"/>
      <c r="D7" s="30" t="s">
        <v>24</v>
      </c>
      <c r="E7" s="30" t="s">
        <v>25</v>
      </c>
      <c r="G7" s="12"/>
    </row>
    <row r="8" spans="1:14" ht="10.5" customHeight="1">
      <c r="A8" s="12"/>
      <c r="B8" s="13"/>
      <c r="C8" s="29"/>
      <c r="D8" s="29"/>
      <c r="E8" s="29"/>
      <c r="G8" s="12"/>
    </row>
    <row r="9" spans="1:14" ht="21">
      <c r="A9" s="12"/>
      <c r="B9" s="13"/>
      <c r="C9" s="20" t="s">
        <v>20</v>
      </c>
      <c r="D9" s="28">
        <f ca="1">TODAY()</f>
        <v>45849</v>
      </c>
      <c r="E9" s="28">
        <f ca="1">TODAY()+30</f>
        <v>45879</v>
      </c>
      <c r="G9" s="12"/>
    </row>
    <row r="10" spans="1:14" ht="21">
      <c r="A10" s="12"/>
      <c r="B10" s="13"/>
      <c r="C10" s="19" t="s">
        <v>21</v>
      </c>
      <c r="D10" s="26" t="s">
        <v>7</v>
      </c>
      <c r="E10" s="26" t="s">
        <v>7</v>
      </c>
      <c r="G10" s="12"/>
      <c r="M10" s="15" t="str">
        <f ca="1">[1]!b_info_termnote1(D4,D9)</f>
        <v>28.8575</v>
      </c>
      <c r="N10" s="15" t="str">
        <f ca="1">[1]!b_info_termnote1(D4,E9)</f>
        <v>28.7753</v>
      </c>
    </row>
    <row r="11" spans="1:14" ht="21">
      <c r="A11" s="12"/>
      <c r="B11" s="13"/>
      <c r="C11" s="20" t="s">
        <v>22</v>
      </c>
      <c r="D11" s="38">
        <v>1.98</v>
      </c>
      <c r="E11" s="38">
        <v>1.9025000000000001</v>
      </c>
      <c r="G11" s="12"/>
      <c r="M11" s="9">
        <f ca="1">ROUND(IF(D10="净价",D11,[1]!b_calc_pv(D4,D9,M14,1,"1")),4)</f>
        <v>112.92140000000001</v>
      </c>
      <c r="N11" s="3">
        <f ca="1">IF(E10="净价",E11,[1]!b_calc_pv(D4,E9,N14,1,"1"))</f>
        <v>114.73785033690584</v>
      </c>
    </row>
    <row r="12" spans="1:14" ht="10.5" customHeight="1">
      <c r="A12" s="12"/>
      <c r="B12" s="13"/>
      <c r="C12" s="21"/>
      <c r="D12" s="13"/>
      <c r="E12" s="13"/>
      <c r="G12" s="12"/>
      <c r="M12" s="3">
        <f ca="1">IF(D10="全价",D11,[1]!b_calc_pv(D4,D9,M14,"1",2))</f>
        <v>113.28459484752238</v>
      </c>
      <c r="N12" s="3">
        <f ca="1">IF(D10="全价",E11,[1]!b_calc_pv(D4,E9,N14,"1",2))</f>
        <v>115.31051338038409</v>
      </c>
    </row>
    <row r="13" spans="1:14" ht="20.25">
      <c r="A13" s="12"/>
      <c r="B13" s="13"/>
      <c r="C13" s="17" t="s">
        <v>9</v>
      </c>
      <c r="D13" s="18"/>
      <c r="E13" s="18"/>
      <c r="F13" s="18"/>
      <c r="G13" s="12"/>
      <c r="M13" s="4">
        <f ca="1">[1]!b_calc_accrued(D4,D9,"",,,,"",)</f>
        <v>0.36315217391304344</v>
      </c>
      <c r="N13" s="4">
        <f ca="1">[1]!b_calc_accrued(D4,E9,"",,,,"",)</f>
        <v>0.5726630434782608</v>
      </c>
    </row>
    <row r="14" spans="1:14" ht="10.5" customHeight="1">
      <c r="A14" s="12"/>
      <c r="B14" s="13"/>
      <c r="C14" s="21"/>
      <c r="D14" s="13"/>
      <c r="E14" s="13"/>
      <c r="F14" s="18"/>
      <c r="G14" s="12"/>
      <c r="M14" s="5">
        <f>IF(D10="净价",[1]!b_calc_ytm(D4,D9,D11,1,"1"),IF(D10="全价",[1]!b_calc_ytm(D4,D9,D11,2,"1"),IF(D10="到期收益率",D11,[1]!b_calc_ytm(D4,D9,[1]!b_calc_pv(D4,D9,D11,"2",2),2,"1"))))</f>
        <v>1.98</v>
      </c>
      <c r="N14" s="5">
        <f>IF(E10="净价",[1]!b_calc_ytm(D4,E9,E11,1,"1"),IF(E10="全价",[1]!b_calc_ytm(D4,E9,E11,2,"1"),IF(E10="到期收益率",E11,[1]!b_calc_ytm(D4,E9,[1]!b_calc_pv(D4,E9,E11,"2",2),2,"1"))))</f>
        <v>1.9025000000000001</v>
      </c>
    </row>
    <row r="15" spans="1:14" ht="21">
      <c r="A15" s="12"/>
      <c r="B15" s="13"/>
      <c r="C15" s="19" t="s">
        <v>10</v>
      </c>
      <c r="D15" s="22">
        <f ca="1">_xlfn.NUMBERVALUE(M10)</f>
        <v>28.857500000000002</v>
      </c>
      <c r="E15" s="22">
        <f ca="1">_xlfn.NUMBERVALUE(N10)</f>
        <v>28.775300000000001</v>
      </c>
      <c r="F15" s="13"/>
      <c r="G15" s="12"/>
      <c r="M15" s="6" t="str">
        <f ca="1">IF(D10="净价",[1]!b_calc_ytm(D4,D9,D11,1,"2"),IF(D10="全价",[1]!b_calc_ytm(D4,D9,D11,2,"2"),IF(D10="行权收益率",D11,[1]!b_calc_ytm(D4,D9,[1]!b_calc_pv(D4,D9,D11,"1",2),2,"2"))))</f>
        <v/>
      </c>
      <c r="N15" s="6" t="str">
        <f ca="1">IF(E10="净价",[1]!b_calc_ytm(D4,E9,E11,1,"2"),IF(E10="全价",[1]!b_calc_ytm(D4,E9,E11,2,"2"),IF(E10="行权收益率",E11,[1]!b_calc_ytm(D4,E9,[1]!b_calc_pv(D4,E9,E11,"1",2),2,"2"))))</f>
        <v/>
      </c>
    </row>
    <row r="16" spans="1:14" ht="21">
      <c r="A16" s="12"/>
      <c r="B16" s="13"/>
      <c r="C16" s="20" t="s">
        <v>11</v>
      </c>
      <c r="D16" s="23">
        <f ca="1">M11</f>
        <v>112.92140000000001</v>
      </c>
      <c r="E16" s="23">
        <f ca="1">N11</f>
        <v>114.73785033690584</v>
      </c>
      <c r="F16" s="13"/>
      <c r="G16" s="12"/>
      <c r="M16" s="9">
        <f ca="1">(M11+M13)*D5*100</f>
        <v>11328455.217391305</v>
      </c>
      <c r="N16" s="9">
        <f ca="1">N12*D5*100</f>
        <v>11531051.338038409</v>
      </c>
    </row>
    <row r="17" spans="1:13" ht="21">
      <c r="A17" s="12"/>
      <c r="B17" s="13"/>
      <c r="C17" s="19" t="s">
        <v>12</v>
      </c>
      <c r="D17" s="22">
        <f ca="1">M12</f>
        <v>113.28459484752238</v>
      </c>
      <c r="E17" s="22">
        <f ca="1">N12</f>
        <v>115.31051338038409</v>
      </c>
      <c r="F17" s="13"/>
      <c r="G17" s="12"/>
    </row>
    <row r="18" spans="1:13" ht="21">
      <c r="A18" s="12"/>
      <c r="B18" s="13"/>
      <c r="C18" s="20" t="s">
        <v>13</v>
      </c>
      <c r="D18" s="24">
        <f ca="1">M13</f>
        <v>0.36315217391304344</v>
      </c>
      <c r="E18" s="24">
        <f ca="1">N13</f>
        <v>0.5726630434782608</v>
      </c>
      <c r="F18" s="13"/>
      <c r="G18" s="12"/>
      <c r="M18" s="8">
        <f ca="1">[1]!b_calc_hpy(D4,D9,M11,E9,N11,"",,,,"",)</f>
        <v>1.7883825884406357</v>
      </c>
    </row>
    <row r="19" spans="1:13" ht="21">
      <c r="A19" s="12"/>
      <c r="B19" s="13"/>
      <c r="C19" s="19" t="s">
        <v>14</v>
      </c>
      <c r="D19" s="22">
        <f>M14</f>
        <v>1.98</v>
      </c>
      <c r="E19" s="22">
        <f>N14</f>
        <v>1.9025000000000001</v>
      </c>
      <c r="F19" s="13"/>
      <c r="G19" s="12"/>
    </row>
    <row r="20" spans="1:13" ht="21">
      <c r="A20" s="12"/>
      <c r="B20" s="13"/>
      <c r="C20" s="20" t="s">
        <v>15</v>
      </c>
      <c r="D20" s="23" t="str">
        <f ca="1">M15</f>
        <v/>
      </c>
      <c r="E20" s="23" t="str">
        <f ca="1">N15</f>
        <v/>
      </c>
      <c r="F20" s="13"/>
      <c r="G20" s="12"/>
    </row>
    <row r="21" spans="1:13" ht="21">
      <c r="A21" s="12"/>
      <c r="B21" s="13"/>
      <c r="C21" s="19" t="s">
        <v>16</v>
      </c>
      <c r="D21" s="25">
        <f ca="1">M16</f>
        <v>11328455.217391305</v>
      </c>
      <c r="E21" s="25">
        <f ca="1">N16</f>
        <v>11531051.338038409</v>
      </c>
      <c r="F21" s="13"/>
      <c r="G21" s="12"/>
    </row>
    <row r="22" spans="1:13" ht="21">
      <c r="A22" s="12"/>
      <c r="B22" s="13"/>
      <c r="C22" s="20"/>
      <c r="D22" s="23"/>
      <c r="E22" s="23"/>
      <c r="F22" s="13"/>
      <c r="G22" s="12"/>
    </row>
    <row r="23" spans="1:13" ht="21">
      <c r="A23" s="12"/>
      <c r="B23" s="13"/>
      <c r="C23" s="19" t="s">
        <v>17</v>
      </c>
      <c r="D23" s="37">
        <f ca="1">M18</f>
        <v>1.7883825884406357</v>
      </c>
      <c r="E23" s="37"/>
      <c r="F23" s="13"/>
      <c r="G23" s="12"/>
    </row>
    <row r="24" spans="1:13" ht="10.5" customHeight="1">
      <c r="A24" s="12"/>
      <c r="B24" s="13"/>
      <c r="C24" s="13"/>
      <c r="D24" s="13"/>
      <c r="E24" s="14"/>
      <c r="F24" s="13"/>
      <c r="G24" s="12"/>
    </row>
    <row r="25" spans="1:13" ht="20.25">
      <c r="A25" s="12"/>
      <c r="B25" s="12"/>
      <c r="C25" s="12"/>
      <c r="D25" s="12"/>
      <c r="E25" s="12"/>
      <c r="F25" s="12"/>
      <c r="G25" s="12"/>
    </row>
    <row r="26" spans="1:13" ht="20.25">
      <c r="A26" s="12"/>
      <c r="B26" s="12"/>
      <c r="C26" s="12"/>
      <c r="D26" s="12"/>
      <c r="E26" s="12"/>
      <c r="F26" s="12"/>
      <c r="G26" s="12"/>
    </row>
    <row r="27" spans="1:13" ht="20.25">
      <c r="A27" s="12"/>
      <c r="B27" s="12"/>
      <c r="C27" s="12"/>
      <c r="D27" s="12"/>
      <c r="E27" s="12"/>
      <c r="F27" s="12"/>
      <c r="G27" s="12"/>
    </row>
    <row r="28" spans="1:13" ht="20.25">
      <c r="A28" s="12"/>
      <c r="B28" s="12"/>
      <c r="C28" s="12"/>
      <c r="D28" s="12"/>
      <c r="E28" s="12"/>
      <c r="F28" s="12"/>
      <c r="G28" s="12"/>
    </row>
    <row r="29" spans="1:13" ht="20.25">
      <c r="A29" s="12"/>
      <c r="B29" s="12"/>
      <c r="C29" s="12"/>
      <c r="D29" s="12"/>
      <c r="E29" s="12"/>
      <c r="F29" s="12"/>
      <c r="G29" s="12"/>
    </row>
    <row r="30" spans="1:13" ht="20.25">
      <c r="A30" s="12"/>
      <c r="B30" s="12"/>
      <c r="C30" s="12"/>
      <c r="D30" s="12"/>
      <c r="E30" s="12"/>
      <c r="F30" s="12"/>
      <c r="G30" s="12"/>
    </row>
    <row r="31" spans="1:13" ht="20.25">
      <c r="A31" s="12"/>
      <c r="B31" s="12"/>
      <c r="C31" s="12"/>
      <c r="D31" s="12"/>
      <c r="E31" s="12"/>
      <c r="F31" s="12"/>
      <c r="G31" s="12"/>
    </row>
    <row r="32" spans="1:13" ht="20.25">
      <c r="A32" s="12"/>
      <c r="B32" s="12"/>
      <c r="C32" s="12"/>
      <c r="D32" s="12"/>
      <c r="E32" s="12"/>
      <c r="F32" s="12"/>
      <c r="G32" s="12"/>
    </row>
    <row r="36" spans="1:1">
      <c r="A36" s="16"/>
    </row>
  </sheetData>
  <mergeCells count="2">
    <mergeCell ref="B1:E1"/>
    <mergeCell ref="D23:E23"/>
  </mergeCells>
  <phoneticPr fontId="10" type="noConversion"/>
  <dataValidations count="1">
    <dataValidation type="list" allowBlank="1" showInputMessage="1" showErrorMessage="1" sqref="D10:E10" xr:uid="{88F415BD-F4BA-47FD-9DBB-258071565B19}">
      <formula1>"净价,全价,到期收益率,行权收益率"</formula1>
    </dataValidation>
  </dataValidations>
  <pageMargins left="0.7" right="0.7" top="0.75" bottom="0.75" header="0.3" footer="0.3"/>
  <pageSetup paperSize="9" orientation="portrait" verticalDpi="0" r:id="rId1"/>
  <ignoredErrors>
    <ignoredError sqref="D9:E9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63636D"/>
  </sheetPr>
  <dimension ref="A1:P36"/>
  <sheetViews>
    <sheetView showGridLines="0" workbookViewId="0">
      <selection activeCell="A43" sqref="A43"/>
    </sheetView>
  </sheetViews>
  <sheetFormatPr defaultRowHeight="14.25"/>
  <cols>
    <col min="1" max="1" width="2.625" customWidth="1"/>
    <col min="2" max="2" width="1.5" customWidth="1"/>
    <col min="3" max="3" width="45.125" customWidth="1"/>
    <col min="4" max="5" width="49.625" customWidth="1"/>
    <col min="6" max="6" width="1.5" customWidth="1"/>
    <col min="7" max="7" width="2.625" customWidth="1"/>
    <col min="12" max="13" width="9" customWidth="1"/>
    <col min="14" max="14" width="9" hidden="1" customWidth="1"/>
    <col min="15" max="16" width="11" hidden="1" customWidth="1"/>
  </cols>
  <sheetData>
    <row r="1" spans="1:7" ht="27.75">
      <c r="A1" s="10"/>
      <c r="B1" s="36" t="s">
        <v>42</v>
      </c>
      <c r="C1" s="36"/>
      <c r="D1" s="36"/>
      <c r="E1" s="36"/>
      <c r="F1" s="11"/>
      <c r="G1" s="11"/>
    </row>
    <row r="2" spans="1:7" ht="12" customHeight="1">
      <c r="A2" s="12"/>
      <c r="B2" s="12"/>
      <c r="C2" s="12"/>
      <c r="D2" s="12"/>
      <c r="E2" s="12"/>
      <c r="F2" s="12"/>
      <c r="G2" s="12"/>
    </row>
    <row r="3" spans="1:7" ht="10.5" customHeight="1">
      <c r="A3" s="12"/>
      <c r="B3" s="13"/>
      <c r="C3" s="13"/>
      <c r="D3" s="13"/>
      <c r="E3" s="13"/>
      <c r="F3" s="13"/>
      <c r="G3" s="12"/>
    </row>
    <row r="4" spans="1:7" ht="21">
      <c r="A4" s="12"/>
      <c r="B4" s="13"/>
      <c r="C4" s="19" t="s">
        <v>33</v>
      </c>
      <c r="D4" s="26" t="s">
        <v>8</v>
      </c>
      <c r="E4" s="23" t="str">
        <f>[1]!b_info_name(D4)</f>
        <v>22国开20</v>
      </c>
      <c r="F4" s="13"/>
      <c r="G4" s="12"/>
    </row>
    <row r="5" spans="1:7" ht="21">
      <c r="A5" s="12"/>
      <c r="B5" s="13"/>
      <c r="C5" s="20" t="s">
        <v>31</v>
      </c>
      <c r="D5" s="27">
        <v>600</v>
      </c>
      <c r="E5" s="23"/>
      <c r="F5" s="13"/>
      <c r="G5" s="12"/>
    </row>
    <row r="6" spans="1:7" ht="21">
      <c r="A6" s="12"/>
      <c r="B6" s="13"/>
      <c r="C6" s="19" t="s">
        <v>28</v>
      </c>
      <c r="D6" s="28">
        <f ca="1">TODAY()</f>
        <v>45849</v>
      </c>
      <c r="E6" s="23"/>
      <c r="F6" s="13"/>
      <c r="G6" s="12"/>
    </row>
    <row r="7" spans="1:7" ht="21">
      <c r="A7" s="12"/>
      <c r="B7" s="13"/>
      <c r="C7" s="20" t="s">
        <v>32</v>
      </c>
      <c r="D7" s="26" t="s">
        <v>7</v>
      </c>
      <c r="E7" s="23"/>
      <c r="F7" s="13"/>
      <c r="G7" s="12"/>
    </row>
    <row r="8" spans="1:7" ht="21">
      <c r="A8" s="12"/>
      <c r="B8" s="13"/>
      <c r="C8" s="19" t="s">
        <v>34</v>
      </c>
      <c r="D8" s="35">
        <v>2.5</v>
      </c>
      <c r="E8" s="23"/>
      <c r="F8" s="13"/>
      <c r="G8" s="12"/>
    </row>
    <row r="9" spans="1:7" ht="21">
      <c r="A9" s="12"/>
      <c r="B9" s="13"/>
      <c r="C9" s="20" t="s">
        <v>30</v>
      </c>
      <c r="D9" s="28">
        <f ca="1">TODAY()+30</f>
        <v>45879</v>
      </c>
      <c r="E9" s="23"/>
      <c r="F9" s="13"/>
      <c r="G9" s="12"/>
    </row>
    <row r="10" spans="1:7" ht="21">
      <c r="A10" s="12"/>
      <c r="B10" s="13"/>
      <c r="C10" s="19" t="s">
        <v>29</v>
      </c>
      <c r="D10" s="35">
        <v>0.20313854807191525</v>
      </c>
      <c r="E10" s="23"/>
      <c r="F10" s="13"/>
      <c r="G10" s="12"/>
    </row>
    <row r="11" spans="1:7" ht="10.5" customHeight="1">
      <c r="A11" s="12"/>
      <c r="B11" s="13"/>
      <c r="C11" s="32"/>
      <c r="D11" s="13"/>
      <c r="E11" s="13"/>
      <c r="F11" s="13"/>
      <c r="G11" s="12"/>
    </row>
    <row r="12" spans="1:7" ht="20.25">
      <c r="A12" s="12"/>
      <c r="B12" s="13"/>
      <c r="C12" s="17" t="s">
        <v>27</v>
      </c>
      <c r="D12" s="18"/>
      <c r="E12" s="18"/>
      <c r="F12" s="13"/>
      <c r="G12" s="12"/>
    </row>
    <row r="13" spans="1:7" ht="10.5" customHeight="1">
      <c r="A13" s="12"/>
      <c r="B13" s="13"/>
      <c r="C13" s="32"/>
      <c r="D13" s="13"/>
      <c r="E13" s="13"/>
      <c r="F13" s="13"/>
      <c r="G13" s="12"/>
    </row>
    <row r="14" spans="1:7" ht="21">
      <c r="A14" s="12"/>
      <c r="B14" s="13"/>
      <c r="C14" s="19" t="s">
        <v>35</v>
      </c>
      <c r="D14" s="22">
        <f ca="1">_xlfn.NUMBERVALUE(O24)</f>
        <v>7.2877000000000001</v>
      </c>
      <c r="E14" s="22">
        <f ca="1">_xlfn.NUMBERVALUE(P24)</f>
        <v>7.2054999999999998</v>
      </c>
      <c r="F14" s="13"/>
      <c r="G14" s="12"/>
    </row>
    <row r="15" spans="1:7" ht="21">
      <c r="A15" s="12"/>
      <c r="B15" s="13"/>
      <c r="C15" s="20" t="s">
        <v>36</v>
      </c>
      <c r="D15" s="23">
        <f t="shared" ref="D15:E20" ca="1" si="0">O25</f>
        <v>101.77162530804105</v>
      </c>
      <c r="E15" s="23">
        <f t="shared" ca="1" si="0"/>
        <v>101.75465971520602</v>
      </c>
      <c r="F15" s="13"/>
      <c r="G15" s="12"/>
    </row>
    <row r="16" spans="1:7" ht="21">
      <c r="A16" s="12"/>
      <c r="B16" s="13"/>
      <c r="C16" s="19" t="s">
        <v>37</v>
      </c>
      <c r="D16" s="22">
        <f t="shared" ca="1" si="0"/>
        <v>103.74477599297256</v>
      </c>
      <c r="E16" s="22">
        <f t="shared" ca="1" si="0"/>
        <v>103.95548165304928</v>
      </c>
      <c r="F16" s="13"/>
      <c r="G16" s="12"/>
    </row>
    <row r="17" spans="1:16" ht="21">
      <c r="A17" s="12"/>
      <c r="B17" s="13"/>
      <c r="C17" s="20" t="s">
        <v>38</v>
      </c>
      <c r="D17" s="33">
        <f t="shared" ca="1" si="0"/>
        <v>1.973150684931507</v>
      </c>
      <c r="E17" s="33">
        <f t="shared" ca="1" si="0"/>
        <v>2.2008219178082191</v>
      </c>
      <c r="F17" s="13"/>
      <c r="G17" s="12"/>
    </row>
    <row r="18" spans="1:16" ht="21">
      <c r="A18" s="12"/>
      <c r="B18" s="13"/>
      <c r="C18" s="19" t="s">
        <v>39</v>
      </c>
      <c r="D18" s="22">
        <f t="shared" si="0"/>
        <v>2.5</v>
      </c>
      <c r="E18" s="22">
        <f t="shared" ca="1" si="0"/>
        <v>2.500009295268296</v>
      </c>
      <c r="F18" s="13"/>
      <c r="G18" s="12"/>
    </row>
    <row r="19" spans="1:16" ht="21">
      <c r="A19" s="12"/>
      <c r="B19" s="13"/>
      <c r="C19" s="20" t="s">
        <v>40</v>
      </c>
      <c r="D19" s="23" t="str">
        <f t="shared" ca="1" si="0"/>
        <v/>
      </c>
      <c r="E19" s="23" t="str">
        <f t="shared" ca="1" si="0"/>
        <v/>
      </c>
      <c r="F19" s="13"/>
      <c r="G19" s="12"/>
    </row>
    <row r="20" spans="1:16" ht="21">
      <c r="A20" s="12"/>
      <c r="B20" s="13"/>
      <c r="C20" s="19" t="s">
        <v>41</v>
      </c>
      <c r="D20" s="34">
        <f t="shared" ca="1" si="0"/>
        <v>6224686.5595783535</v>
      </c>
      <c r="E20" s="34">
        <f t="shared" ca="1" si="0"/>
        <v>6237328.8991829567</v>
      </c>
      <c r="F20" s="13"/>
      <c r="G20" s="12"/>
    </row>
    <row r="21" spans="1:16" ht="10.5" customHeight="1">
      <c r="A21" s="12"/>
      <c r="B21" s="13"/>
      <c r="C21" s="13"/>
      <c r="D21" s="13"/>
      <c r="E21" s="14"/>
      <c r="F21" s="13"/>
      <c r="G21" s="12"/>
    </row>
    <row r="22" spans="1:16" ht="20.25">
      <c r="A22" s="12"/>
      <c r="B22" s="12"/>
      <c r="C22" s="12"/>
      <c r="D22" s="12"/>
      <c r="E22" s="12"/>
      <c r="F22" s="12"/>
      <c r="G22" s="12"/>
    </row>
    <row r="24" spans="1:16">
      <c r="N24" t="s">
        <v>0</v>
      </c>
      <c r="O24" s="7" t="str">
        <f ca="1">[1]!b_info_termnote1(D4,D6)</f>
        <v>7.2877</v>
      </c>
      <c r="P24" s="7" t="str">
        <f ca="1">[1]!b_info_termnote1(D4,D9)</f>
        <v>7.2055</v>
      </c>
    </row>
    <row r="25" spans="1:16">
      <c r="N25" t="s">
        <v>4</v>
      </c>
      <c r="O25" s="3">
        <f ca="1">IF(D7="净价",D8,[1]!b_calc_pv(D4,D6,O28,1,"1"))</f>
        <v>101.77162530804105</v>
      </c>
      <c r="P25" s="8">
        <f ca="1">[1]!b_calc_askprice(D4,D6,O25,D9,D10,"",,,,"",)</f>
        <v>101.75465971520602</v>
      </c>
    </row>
    <row r="26" spans="1:16">
      <c r="N26" t="s">
        <v>1</v>
      </c>
      <c r="O26" s="3">
        <f ca="1">IF(D7="全价",D8,[1]!b_calc_pv(D4,D6,O28,"1",2))</f>
        <v>103.74477599297256</v>
      </c>
      <c r="P26" s="3">
        <f ca="1">[1]!b_calc_pv(D4,D9,P28,"1",2)</f>
        <v>103.95548165304928</v>
      </c>
    </row>
    <row r="27" spans="1:16">
      <c r="N27" t="s">
        <v>2</v>
      </c>
      <c r="O27" s="4">
        <f ca="1">[1]!b_calc_accrued(D4,D6,"",,,,"",)</f>
        <v>1.973150684931507</v>
      </c>
      <c r="P27" s="4">
        <f ca="1">[1]!b_calc_accrued(D4,D9,,,,"",)</f>
        <v>2.2008219178082191</v>
      </c>
    </row>
    <row r="28" spans="1:16">
      <c r="N28" t="s">
        <v>5</v>
      </c>
      <c r="O28" s="5">
        <f>IF(D7="净价",[1]!b_calc_ytm(D4,D6,D8,1,"1"),IF(D7="全价",[1]!b_calc_ytm(D4,D6,D8,2,"1"),IF(D7="到期收益率",D8,[1]!b_calc_ytm(D4,D6,[1]!b_calc_pv(D4,D6,D8,"2",2),2,"1"))))</f>
        <v>2.5</v>
      </c>
      <c r="P28" s="5">
        <f ca="1">[1]!b_calc_ytm(D4,D9,P25,1,"1")</f>
        <v>2.500009295268296</v>
      </c>
    </row>
    <row r="29" spans="1:16">
      <c r="N29" t="s">
        <v>3</v>
      </c>
      <c r="O29" s="6" t="str">
        <f ca="1">IF(D7="净价",[1]!b_calc_ytm(D4,D6,D8,1,"2"),IF(D7="全价",[1]!b_calc_ytm(D4,D6,D8,2,"2"),IF(D7="行权收益率",D8,[1]!b_calc_ytm(D4,D6,[1]!b_calc_pv(D4,D6,D8,"1",2),2,"2"))))</f>
        <v/>
      </c>
      <c r="P29" s="6" t="str">
        <f ca="1">[1]!b_calc_ytm(D4,D9,P25,1,"2")</f>
        <v/>
      </c>
    </row>
    <row r="30" spans="1:16">
      <c r="N30" t="s">
        <v>6</v>
      </c>
      <c r="O30" s="9">
        <f ca="1">O26*D5*100</f>
        <v>6224686.5595783535</v>
      </c>
      <c r="P30" s="9">
        <f ca="1">P26*D5*100</f>
        <v>6237328.8991829567</v>
      </c>
    </row>
    <row r="33" spans="1:15">
      <c r="O33" s="1" t="s">
        <v>4</v>
      </c>
    </row>
    <row r="34" spans="1:15">
      <c r="A34" s="16"/>
      <c r="O34" s="2" t="s">
        <v>1</v>
      </c>
    </row>
    <row r="35" spans="1:15">
      <c r="O35" s="2" t="s">
        <v>5</v>
      </c>
    </row>
    <row r="36" spans="1:15">
      <c r="O36" s="2" t="s">
        <v>3</v>
      </c>
    </row>
  </sheetData>
  <mergeCells count="1">
    <mergeCell ref="B1:E1"/>
  </mergeCells>
  <phoneticPr fontId="1" type="noConversion"/>
  <dataValidations count="1">
    <dataValidation type="list" allowBlank="1" showInputMessage="1" showErrorMessage="1" sqref="D7" xr:uid="{00000000-0002-0000-0100-000000000000}">
      <formula1>$O$33:$O$36</formula1>
    </dataValidation>
  </dataValidations>
  <pageMargins left="0.7" right="0.7" top="0.75" bottom="0.75" header="0.3" footer="0.3"/>
  <pageSetup paperSize="9" orientation="portrait" r:id="rId1"/>
  <ignoredErrors>
    <ignoredError sqref="D6:D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L9" sqref="L9"/>
    </sheetView>
  </sheetViews>
  <sheetFormatPr defaultRowHeight="14.25"/>
  <sheetData>
    <row r="1" spans="1:1">
      <c r="A1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计算持有收益率</vt:lpstr>
      <vt:lpstr>计算卖出价格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Yang(Lucine)</dc:creator>
  <cp:lastModifiedBy>Cui YongQiang</cp:lastModifiedBy>
  <dcterms:created xsi:type="dcterms:W3CDTF">2023-06-27T06:24:34Z</dcterms:created>
  <dcterms:modified xsi:type="dcterms:W3CDTF">2025-07-11T03:25:07Z</dcterms:modified>
</cp:coreProperties>
</file>