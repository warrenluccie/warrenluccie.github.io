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锌" sheetId="1" r:id="rId1"/>
    <sheet name="锌模板" sheetId="2" r:id="rId2"/>
    <sheet name="锌原始数据" sheetId="3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A1" i="3"/>
  <c r="G3" i="2" l="1"/>
  <c r="G5" i="2"/>
  <c r="G7" i="2"/>
  <c r="G9" i="2"/>
  <c r="M10" i="2"/>
  <c r="K12" i="2"/>
  <c r="K14" i="2"/>
  <c r="K16" i="2"/>
  <c r="K18" i="2"/>
  <c r="K20" i="2"/>
  <c r="J22" i="2"/>
  <c r="I24" i="2"/>
  <c r="H26" i="2"/>
  <c r="H28" i="2"/>
  <c r="H30" i="2"/>
  <c r="H32" i="2"/>
  <c r="G34" i="2"/>
  <c r="M35" i="2"/>
  <c r="K39" i="2"/>
  <c r="K41" i="2"/>
  <c r="K43" i="2"/>
  <c r="K45" i="2"/>
  <c r="I2" i="2"/>
  <c r="I18" i="2"/>
  <c r="J37" i="2"/>
  <c r="J16" i="2"/>
  <c r="G30" i="2"/>
  <c r="H3" i="2"/>
  <c r="H5" i="2"/>
  <c r="H7" i="2"/>
  <c r="H9" i="2"/>
  <c r="G11" i="2"/>
  <c r="M12" i="2"/>
  <c r="M14" i="2"/>
  <c r="M16" i="2"/>
  <c r="M18" i="2"/>
  <c r="M20" i="2"/>
  <c r="K22" i="2"/>
  <c r="J24" i="2"/>
  <c r="I26" i="2"/>
  <c r="I28" i="2"/>
  <c r="I30" i="2"/>
  <c r="I32" i="2"/>
  <c r="H34" i="2"/>
  <c r="G36" i="2"/>
  <c r="M37" i="2"/>
  <c r="M39" i="2"/>
  <c r="M41" i="2"/>
  <c r="M43" i="2"/>
  <c r="H2" i="2"/>
  <c r="H22" i="2"/>
  <c r="K35" i="2"/>
  <c r="M6" i="2"/>
  <c r="M33" i="2"/>
  <c r="I3" i="2"/>
  <c r="I5" i="2"/>
  <c r="I7" i="2"/>
  <c r="I9" i="2"/>
  <c r="H11" i="2"/>
  <c r="G13" i="2"/>
  <c r="G15" i="2"/>
  <c r="G17" i="2"/>
  <c r="G19" i="2"/>
  <c r="G21" i="2"/>
  <c r="M22" i="2"/>
  <c r="K24" i="2"/>
  <c r="J26" i="2"/>
  <c r="J28" i="2"/>
  <c r="J30" i="2"/>
  <c r="J32" i="2"/>
  <c r="I34" i="2"/>
  <c r="H36" i="2"/>
  <c r="G38" i="2"/>
  <c r="G40" i="2"/>
  <c r="G42" i="2"/>
  <c r="G44" i="2"/>
  <c r="M45" i="2"/>
  <c r="G2" i="2"/>
  <c r="I20" i="2"/>
  <c r="G24" i="2"/>
  <c r="I39" i="2"/>
  <c r="M4" i="2"/>
  <c r="G26" i="2"/>
  <c r="J3" i="2"/>
  <c r="J5" i="2"/>
  <c r="J7" i="2"/>
  <c r="J9" i="2"/>
  <c r="I11" i="2"/>
  <c r="H13" i="2"/>
  <c r="H15" i="2"/>
  <c r="H17" i="2"/>
  <c r="H19" i="2"/>
  <c r="H21" i="2"/>
  <c r="G23" i="2"/>
  <c r="M24" i="2"/>
  <c r="K26" i="2"/>
  <c r="K28" i="2"/>
  <c r="K30" i="2"/>
  <c r="K32" i="2"/>
  <c r="J34" i="2"/>
  <c r="I36" i="2"/>
  <c r="H38" i="2"/>
  <c r="H40" i="2"/>
  <c r="H42" i="2"/>
  <c r="H44" i="2"/>
  <c r="G46" i="2"/>
  <c r="I12" i="2"/>
  <c r="I45" i="2"/>
  <c r="M8" i="2"/>
  <c r="H24" i="2"/>
  <c r="J45" i="2"/>
  <c r="K3" i="2"/>
  <c r="K5" i="2"/>
  <c r="K7" i="2"/>
  <c r="K9" i="2"/>
  <c r="J11" i="2"/>
  <c r="I13" i="2"/>
  <c r="I15" i="2"/>
  <c r="I17" i="2"/>
  <c r="I19" i="2"/>
  <c r="I21" i="2"/>
  <c r="H23" i="2"/>
  <c r="G25" i="2"/>
  <c r="M26" i="2"/>
  <c r="M28" i="2"/>
  <c r="M30" i="2"/>
  <c r="M32" i="2"/>
  <c r="K34" i="2"/>
  <c r="J36" i="2"/>
  <c r="I38" i="2"/>
  <c r="I40" i="2"/>
  <c r="I42" i="2"/>
  <c r="I44" i="2"/>
  <c r="H46" i="2"/>
  <c r="K8" i="2"/>
  <c r="I41" i="2"/>
  <c r="J18" i="2"/>
  <c r="K37" i="2"/>
  <c r="M3" i="2"/>
  <c r="M5" i="2"/>
  <c r="M7" i="2"/>
  <c r="K11" i="2"/>
  <c r="J13" i="2"/>
  <c r="J15" i="2"/>
  <c r="J17" i="2"/>
  <c r="J19" i="2"/>
  <c r="J21" i="2"/>
  <c r="I23" i="2"/>
  <c r="H25" i="2"/>
  <c r="G27" i="2"/>
  <c r="G29" i="2"/>
  <c r="G31" i="2"/>
  <c r="G33" i="2"/>
  <c r="L33" i="2" s="1"/>
  <c r="M34" i="2"/>
  <c r="K36" i="2"/>
  <c r="J38" i="2"/>
  <c r="J40" i="2"/>
  <c r="J42" i="2"/>
  <c r="J44" i="2"/>
  <c r="I46" i="2"/>
  <c r="I16" i="2"/>
  <c r="I43" i="2"/>
  <c r="I22" i="2"/>
  <c r="J41" i="2"/>
  <c r="G4" i="2"/>
  <c r="G6" i="2"/>
  <c r="L6" i="2" s="1"/>
  <c r="G8" i="2"/>
  <c r="M9" i="2"/>
  <c r="K13" i="2"/>
  <c r="K15" i="2"/>
  <c r="K17" i="2"/>
  <c r="K19" i="2"/>
  <c r="K21" i="2"/>
  <c r="J23" i="2"/>
  <c r="I25" i="2"/>
  <c r="H27" i="2"/>
  <c r="H29" i="2"/>
  <c r="H31" i="2"/>
  <c r="H33" i="2"/>
  <c r="G35" i="2"/>
  <c r="L35" i="2" s="1"/>
  <c r="M36" i="2"/>
  <c r="K38" i="2"/>
  <c r="K40" i="2"/>
  <c r="K42" i="2"/>
  <c r="K44" i="2"/>
  <c r="J46" i="2"/>
  <c r="J10" i="2"/>
  <c r="M27" i="2"/>
  <c r="K2" i="2"/>
  <c r="J20" i="2"/>
  <c r="G28" i="2"/>
  <c r="J43" i="2"/>
  <c r="H4" i="2"/>
  <c r="H6" i="2"/>
  <c r="H8" i="2"/>
  <c r="G10" i="2"/>
  <c r="L10" i="2" s="1"/>
  <c r="M11" i="2"/>
  <c r="M13" i="2"/>
  <c r="M15" i="2"/>
  <c r="M17" i="2"/>
  <c r="M19" i="2"/>
  <c r="K23" i="2"/>
  <c r="J25" i="2"/>
  <c r="I27" i="2"/>
  <c r="I29" i="2"/>
  <c r="I31" i="2"/>
  <c r="I33" i="2"/>
  <c r="H35" i="2"/>
  <c r="G37" i="2"/>
  <c r="M38" i="2"/>
  <c r="M40" i="2"/>
  <c r="M42" i="2"/>
  <c r="M44" i="2"/>
  <c r="K46" i="2"/>
  <c r="K4" i="2"/>
  <c r="M25" i="2"/>
  <c r="J14" i="2"/>
  <c r="J2" i="2"/>
  <c r="I4" i="2"/>
  <c r="I6" i="2"/>
  <c r="I8" i="2"/>
  <c r="H10" i="2"/>
  <c r="G12" i="2"/>
  <c r="G14" i="2"/>
  <c r="G16" i="2"/>
  <c r="G18" i="2"/>
  <c r="G20" i="2"/>
  <c r="M21" i="2"/>
  <c r="K25" i="2"/>
  <c r="J27" i="2"/>
  <c r="J29" i="2"/>
  <c r="J31" i="2"/>
  <c r="J33" i="2"/>
  <c r="I35" i="2"/>
  <c r="H37" i="2"/>
  <c r="G39" i="2"/>
  <c r="G41" i="2"/>
  <c r="G43" i="2"/>
  <c r="L43" i="2" s="1"/>
  <c r="G45" i="2"/>
  <c r="L45" i="2" s="1"/>
  <c r="M46" i="2"/>
  <c r="I14" i="2"/>
  <c r="M31" i="2"/>
  <c r="J12" i="2"/>
  <c r="G32" i="2"/>
  <c r="J4" i="2"/>
  <c r="J6" i="2"/>
  <c r="J8" i="2"/>
  <c r="I10" i="2"/>
  <c r="H12" i="2"/>
  <c r="H14" i="2"/>
  <c r="H16" i="2"/>
  <c r="H18" i="2"/>
  <c r="H20" i="2"/>
  <c r="G22" i="2"/>
  <c r="L22" i="2" s="1"/>
  <c r="M23" i="2"/>
  <c r="K27" i="2"/>
  <c r="K29" i="2"/>
  <c r="K31" i="2"/>
  <c r="K33" i="2"/>
  <c r="J35" i="2"/>
  <c r="I37" i="2"/>
  <c r="H39" i="2"/>
  <c r="H41" i="2"/>
  <c r="H43" i="2"/>
  <c r="H45" i="2"/>
  <c r="M2" i="2"/>
  <c r="L2" i="2" s="1"/>
  <c r="K6" i="2"/>
  <c r="M29" i="2"/>
  <c r="K10" i="2"/>
  <c r="J39" i="2"/>
  <c r="A1" i="2"/>
  <c r="L20" i="2" l="1"/>
  <c r="L38" i="2"/>
  <c r="L40" i="2"/>
  <c r="L12" i="2"/>
  <c r="L8" i="2"/>
  <c r="L37" i="2"/>
  <c r="L32" i="2"/>
  <c r="L18" i="2"/>
  <c r="L41" i="2"/>
  <c r="L39" i="2"/>
  <c r="L24" i="2"/>
  <c r="L26" i="2"/>
  <c r="L13" i="2"/>
  <c r="L31" i="2"/>
  <c r="L11" i="2"/>
  <c r="L16" i="2"/>
  <c r="L46" i="2"/>
  <c r="L23" i="2"/>
  <c r="L4" i="2"/>
  <c r="L14" i="2"/>
  <c r="L36" i="2"/>
  <c r="L29" i="2"/>
  <c r="L27" i="2"/>
  <c r="L28" i="2"/>
  <c r="L34" i="2"/>
  <c r="L44" i="2"/>
  <c r="L21" i="2"/>
  <c r="L9" i="2"/>
  <c r="L25" i="2"/>
  <c r="L42" i="2"/>
  <c r="L19" i="2"/>
  <c r="L30" i="2"/>
  <c r="L7" i="2"/>
  <c r="L17" i="2"/>
  <c r="L5" i="2"/>
  <c r="L15" i="2"/>
  <c r="L3" i="2"/>
  <c r="H47" i="1"/>
  <c r="H46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G47" i="1"/>
  <c r="G46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F47" i="1"/>
  <c r="F43" i="1"/>
  <c r="F41" i="1"/>
  <c r="F39" i="1"/>
  <c r="F37" i="1"/>
  <c r="F35" i="1"/>
  <c r="F33" i="1"/>
  <c r="F31" i="1"/>
  <c r="F29" i="1"/>
  <c r="F27" i="1"/>
  <c r="H25" i="1"/>
  <c r="I24" i="1"/>
  <c r="F22" i="1"/>
  <c r="H21" i="1"/>
  <c r="I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I46" i="1"/>
  <c r="I44" i="1"/>
  <c r="I42" i="1"/>
  <c r="I40" i="1"/>
  <c r="I38" i="1"/>
  <c r="I36" i="1"/>
  <c r="I34" i="1"/>
  <c r="I32" i="1"/>
  <c r="I30" i="1"/>
  <c r="I28" i="1"/>
  <c r="I26" i="1"/>
  <c r="F25" i="1"/>
  <c r="H24" i="1"/>
  <c r="I23" i="1"/>
  <c r="F21" i="1"/>
  <c r="H20" i="1"/>
  <c r="F46" i="1"/>
  <c r="F42" i="1"/>
  <c r="F38" i="1"/>
  <c r="F34" i="1"/>
  <c r="F30" i="1"/>
  <c r="F26" i="1"/>
  <c r="F24" i="1"/>
  <c r="H23" i="1"/>
  <c r="I22" i="1"/>
  <c r="H19" i="1"/>
  <c r="I18" i="1"/>
  <c r="I47" i="1"/>
  <c r="I43" i="1"/>
  <c r="F44" i="1"/>
  <c r="F40" i="1"/>
  <c r="F36" i="1"/>
  <c r="F32" i="1"/>
  <c r="F28" i="1"/>
  <c r="F20" i="1"/>
  <c r="F18" i="1"/>
  <c r="H17" i="1"/>
  <c r="I16" i="1"/>
  <c r="F14" i="1"/>
  <c r="H13" i="1"/>
  <c r="I12" i="1"/>
  <c r="F10" i="1"/>
  <c r="H9" i="1"/>
  <c r="I8" i="1"/>
  <c r="I6" i="1"/>
  <c r="I5" i="1"/>
  <c r="I4" i="1"/>
  <c r="I3" i="1"/>
  <c r="I41" i="1"/>
  <c r="I37" i="1"/>
  <c r="I33" i="1"/>
  <c r="I29" i="1"/>
  <c r="I25" i="1"/>
  <c r="I39" i="1"/>
  <c r="I19" i="1"/>
  <c r="I11" i="1"/>
  <c r="G3" i="1"/>
  <c r="I27" i="1"/>
  <c r="F23" i="1"/>
  <c r="F19" i="1"/>
  <c r="H18" i="1"/>
  <c r="I17" i="1"/>
  <c r="I15" i="1"/>
  <c r="H14" i="1"/>
  <c r="H11" i="1"/>
  <c r="H8" i="1"/>
  <c r="F7" i="1"/>
  <c r="G6" i="1"/>
  <c r="H5" i="1"/>
  <c r="F3" i="1"/>
  <c r="I21" i="1"/>
  <c r="H16" i="1"/>
  <c r="I13" i="1"/>
  <c r="I10" i="1"/>
  <c r="G4" i="1"/>
  <c r="H3" i="1"/>
  <c r="F16" i="1"/>
  <c r="I14" i="1"/>
  <c r="F13" i="1"/>
  <c r="H10" i="1"/>
  <c r="H7" i="1"/>
  <c r="H6" i="1"/>
  <c r="I31" i="1"/>
  <c r="H22" i="1"/>
  <c r="F17" i="1"/>
  <c r="H15" i="1"/>
  <c r="H12" i="1"/>
  <c r="F11" i="1"/>
  <c r="I9" i="1"/>
  <c r="F8" i="1"/>
  <c r="F6" i="1"/>
  <c r="G5" i="1"/>
  <c r="H4" i="1"/>
  <c r="I35" i="1"/>
  <c r="F15" i="1"/>
  <c r="F12" i="1"/>
  <c r="F9" i="1"/>
  <c r="I7" i="1"/>
  <c r="F5" i="1"/>
  <c r="F4" i="1"/>
  <c r="K18" i="1" l="1"/>
  <c r="E12" i="1"/>
  <c r="K12" i="1"/>
  <c r="K24" i="1"/>
  <c r="K30" i="1"/>
  <c r="K13" i="1"/>
  <c r="E13" i="1"/>
  <c r="K23" i="1"/>
  <c r="K14" i="1"/>
  <c r="K20" i="1"/>
  <c r="K38" i="1"/>
  <c r="K28" i="1"/>
  <c r="K36" i="1"/>
  <c r="K44" i="1"/>
  <c r="K4" i="1"/>
  <c r="E6" i="1"/>
  <c r="K6" i="1"/>
  <c r="K21" i="1"/>
  <c r="K46" i="1"/>
  <c r="K25" i="1"/>
  <c r="K29" i="1"/>
  <c r="K33" i="1"/>
  <c r="K37" i="1"/>
  <c r="K41" i="1"/>
  <c r="K10" i="1"/>
  <c r="K34" i="1"/>
  <c r="K22" i="1"/>
  <c r="K26" i="1"/>
  <c r="K8" i="1"/>
  <c r="E16" i="1"/>
  <c r="K16" i="1"/>
  <c r="E9" i="1"/>
  <c r="K9" i="1"/>
  <c r="K32" i="1"/>
  <c r="K40" i="1"/>
  <c r="K3" i="1"/>
  <c r="K5" i="1"/>
  <c r="K7" i="1"/>
  <c r="K11" i="1"/>
  <c r="E11" i="1"/>
  <c r="K15" i="1"/>
  <c r="K19" i="1"/>
  <c r="E19" i="1"/>
  <c r="K42" i="1"/>
  <c r="K17" i="1"/>
  <c r="E17" i="1"/>
  <c r="K27" i="1"/>
  <c r="K31" i="1"/>
  <c r="E31" i="1"/>
  <c r="K35" i="1"/>
  <c r="K39" i="1"/>
  <c r="E39" i="1"/>
  <c r="K43" i="1"/>
  <c r="K47" i="1"/>
  <c r="E47" i="1"/>
  <c r="G45" i="1"/>
  <c r="I45" i="1"/>
  <c r="F45" i="1"/>
  <c r="H45" i="1"/>
  <c r="J43" i="1" l="1"/>
  <c r="E43" i="1"/>
  <c r="J15" i="1"/>
  <c r="E15" i="1"/>
  <c r="J26" i="1"/>
  <c r="E26" i="1"/>
  <c r="J28" i="1"/>
  <c r="E28" i="1"/>
  <c r="J23" i="1"/>
  <c r="E23" i="1"/>
  <c r="J42" i="1"/>
  <c r="E42" i="1"/>
  <c r="J32" i="1"/>
  <c r="E32" i="1"/>
  <c r="J29" i="1"/>
  <c r="E29" i="1"/>
  <c r="J46" i="1"/>
  <c r="E46" i="1"/>
  <c r="E45" i="1" s="1"/>
  <c r="J20" i="1"/>
  <c r="E20" i="1"/>
  <c r="J40" i="1"/>
  <c r="E40" i="1"/>
  <c r="J8" i="1"/>
  <c r="E8" i="1"/>
  <c r="J22" i="1"/>
  <c r="E22" i="1"/>
  <c r="J41" i="1"/>
  <c r="E41" i="1"/>
  <c r="J33" i="1"/>
  <c r="E33" i="1"/>
  <c r="J25" i="1"/>
  <c r="E25" i="1"/>
  <c r="J36" i="1"/>
  <c r="E36" i="1"/>
  <c r="J38" i="1"/>
  <c r="E38" i="1"/>
  <c r="J14" i="1"/>
  <c r="E14" i="1"/>
  <c r="J35" i="1"/>
  <c r="E35" i="1"/>
  <c r="J27" i="1"/>
  <c r="E27" i="1"/>
  <c r="J7" i="1"/>
  <c r="E7" i="1"/>
  <c r="J3" i="1"/>
  <c r="E3" i="1"/>
  <c r="J34" i="1"/>
  <c r="E34" i="1"/>
  <c r="J37" i="1"/>
  <c r="E37" i="1"/>
  <c r="J44" i="1"/>
  <c r="E44" i="1"/>
  <c r="J30" i="1"/>
  <c r="E30" i="1"/>
  <c r="J5" i="1"/>
  <c r="E5" i="1"/>
  <c r="J10" i="1"/>
  <c r="E10" i="1"/>
  <c r="J21" i="1"/>
  <c r="E21" i="1"/>
  <c r="J4" i="1"/>
  <c r="E4" i="1"/>
  <c r="J24" i="1"/>
  <c r="E24" i="1"/>
  <c r="J18" i="1"/>
  <c r="E18" i="1"/>
  <c r="J16" i="1"/>
  <c r="J6" i="1"/>
  <c r="J12" i="1"/>
  <c r="J47" i="1"/>
  <c r="J39" i="1"/>
  <c r="J31" i="1"/>
  <c r="J17" i="1"/>
  <c r="J19" i="1"/>
  <c r="J11" i="1"/>
  <c r="J13" i="1"/>
  <c r="J9" i="1"/>
  <c r="K45" i="1"/>
  <c r="J45" i="1" l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10"/>
            <rFont val="等线"/>
            <family val="3"/>
            <charset val="134"/>
          </rPr>
          <t>UEsDBBQACAgIAEh4ClcAAAAAAAAAAAAAAAABAAAAMMWda3OlSXHneb2fokOvJyMq6156NzB47WWAXWZsInA4NrKqsnoUqKVetRo8QRCx2MzaY64OhosZY8zas4bFmMHGy2UX+DJI3f0tNutI09M9Oo/OOS2eet50S0dHR0d/VVXmv6p+mR984f3v+w/ve9/7PrPHf3r3+OT0A8dH7eD23v5n9io3un94+iId3b5Pt3lvf68c7T23Vw/u3T2kVz98XPtD9c4LdMr35PGDe8/fK3v7jQ7vcf/s9w8qv/+Qjj65t396cl8eun+PX7x/RCeXz/nsc5c/8eWD00P+6N3Tg+Oj/mPp8HD1yAcP+Q4fnd57/JLl+P7R6cmrjz+vfK+cHFx+38WPaCf83+7zUXn1nQfkPRydHrQDPnnnkXt05+4hP36Re3zI5ZTr6kd+iF998eDe6d7+H++d8L3T4xP+CN3hvYvXlf/uHx2c7vU3Ir/6n8j3Ht8/Ke++1Cnlw4tveOeR/vx7j3/9u1WU6mq9K8AdPj05ENH++DN7/1W+Si8c3F59h35uL/Ptg6OLZ+9phUoZbfvPfkX+HPwxLscnVb7vTy7fzf7eSwq9TcHIc/jo4l3svfjhD976xMFR2b/10ulx+eT+rZePT+lw/9bHj08O6+qJf9h/o/290+P+l5U/Bx1Vro/fP//p6QmV05fp9pMC7+3jc3u3T47v31194fK5n2QRfS+HnBp6gqy0AptjBsIawETtVE0Vg+/v8Ojx+3v0xhf3z375tbMffWv/7Kt/+fBfvrd/9tr3H3z1z+VJl3+Cp9SUbzr76vf3Pvvc9YJhSlE0c1sIZrcR7IP3T47v8iyKRVQpJeXAx5rBBsuQrfaQOXoTnGej6wbFzv/5n85/+q/DFHPbKPb8vQOaRS/H2XrjNKhcUfRKDIl9kE9lbKWqNTW/Qa/f/vLbI/Xy2+j1EVkIX7n1/B2W9WAe4QImm0xG8B4JrA8NYkAFpRqfUTUMMWyaml/85oNff/nG2u2wnIVttPuPfHKHjl6dRTWriDBFA7ZZUa00B8m3ChR1yZ5Y1ZI2qfbrn529+athksWthhufvsInEp3rvXlk06FwtAlsUvIPI0KUaSsCVh8M+lrCplXt4Zd+dvba28NkS9vI9ocvPT+LXM3V6NH0sBm0hE2WRa2yB4yODAZugdUGuWRiDhxlUW0j10ufZsm/5lEs2eyzxEnUxoIETAU5pQKVWsiITmYnblLsr//u7LWfD1MMtxpgH5pFLQyuuKoCRI1e1v4aZe1PFkzVzqENkcMmtR5+4Scjx5feRq338+Htg/t35snLQs1YGoMztoJ11srk9Bq8xlyiriFtXMHOf/zG2V/+4Pyb/2eYaltl/y/dpYN5JmVglJUqE8iQkuxfs4PYTAOV+vALvpJum4bZW7958JUfPXj9b4ZptpUBeOng6Dbd7W9mDt10LrpYVSS1wHSR0+acjXgAmaQ2MZHLm8baN94++6u/P/vO94bptpUN+AP5d57ELJFvaFmmZiLdNbOQihLNag0SM32ksClknn/+K2f/+E8yRYdptpUV+DAd0qtz2afqtPHKSRabTRDZxApQVa3HTcfJSH62MZ999IN/Pv/OWzJRxUcNU24rI9DF4nrr+RPKtz545+DkcmdqhuCgmtMqKkjYiliD3A2Bj1BzkvXOa23QblLxW795+Lk3Hr32hRtLaBC1vk7CD6iktPITC90fHH2Kj+THv/pYxpfp4NN09NytD7xycDTPKBTBkmsSXL3q2ZuKBNHpLMHV24KkSbuyycT//EeSj5x95e3zX/x62Ci83ltdpiP7t54/Ov00n9ydRboiUTQYhYA5y7pHMpWzVxoiJh11jLbiZF7yOCHZP/uX1x+8/ouzL/3w/G/+ZZh611ss8VYiIR2eHtyZK87mmikbFBuqtAw75wKQ4QaGKBnx8roQT2l34a/2z37207O333jw7c+f//WwsJGuN1urfK5Ld1L48HimGUukbS6yzrHXBBazhNuIEVgbJYZLZ9UmV7zHOd1Kve/93YNfffPRn/3DMPWuN17vqHdwmOl4nqy4adN6ppJUZLA9NU4mIbQoX6AsyV3Tm6U7//HXZeCJgI8+/2fDpLvehV3uu4l4J/2oZp4pm8hhUBFkjIlzTY6ByCJEn3ypRmfnJ8W72HiTSPGlh1/+yfn/fG2YbNfbsNVCJ7G10O15BpwSGya5ZgDjnISIqDxkJ3bC+OAKNV3jKnm/bpl7+Fff6Xbia28N0+x6G7bS7AU+PTlencDNsEPSCokXRPCSl4CVVBhijhGocY6BfGlpMi9+JzT88us9pv765hndtppdb8HWZcMi4v1MB7NIaFp2tTWCHEiS4ogZYgwBIunks/Ekc3VKwsfZ8P7D3/zv8y/87TAJr3dkK/vaF7qj43nCqvImhGYzVFtkeSspQqoSIJyKWKJLmXFyqj62r/sP/vxHElAH2rF0vR17HBh+n+7k+ye3Z5HOlRxbRQ1GKyfJXC0Qa5FPqyKPLTJes2d+ERnOf/L62d8P2zFJ17uHi81y0YwP7x0c3c7HM+lmDDbvtQPFjJKOdBcbTYOiPSmtI+swmcldbJnvP/z3H0ou8vDXb45Ub4N7+JAod//wcJ69psSlNIpQnKk9+TVA1lsgZGeNTux4cpZe7JtfSjZGLKfU9Y7hnR2m/Vv/6fiV45N5VrakWmJJeJE195sgDagoBbYyszLBJJq8CfLkDtP++Xff+O2v3hym3PVu4TIgvMi3Rbd5Mt6KpYQktp7F54PVTYxDcgkaWZepppY8bQ4Jot9vf/n9YapdbxT65Hzx4FN8cvf4eJ4ZaqPXOksI9cVJ+lbE1FPOBTiIa5UYqiU0bJihotqD139w/u//a5hoW9iEF4+Pbt96P1N5ZZ6DB1KmsUYwOfWxFhqknLpsicjIEodxMoZeZr2Pvv6bs38dNz23sAkvHt+79by8yOFMm7/sYjWu74LUvpUUa4LcTx4wISW2kv3S5Fi7FO38p2+ef+f1B98ddDIoum2wCl23Dx/ng8N5Nt5SMOyzJzDJx77x1kCWMg1JucJcmqt5Oue4dKRf/mHfvhwYQ6+3BivJPsKfvvXRk0Omo3mGmqreZG0tNJQBZn30QF4sVXZWGycx1avJ3Y93hto33j57662err3+42HSXW8P3k0//vPxyemtDx3Ki82zvDElqyTV7efPYA3KR4YCeHEL1aqk1fTm0VM5yNnPfvrgje+e/3ycgtd7hSeub+3f+tjx6SmfVJrnHoTmGEzMFVyLFqykujJ1Zf66VljZojnpOBlZV1e49h/94jcPXv/Fb3/+i2HqXe8VHh/mz32uX2XdNT4mCKhyP+bK/T4EQ/WaMQaPIUye6z8+0B99tO/keZtXvpdOJc7eP5hn2dNaVVvE1eceMySbizJvYxR/r9h7H1yb3kl6ZzPub//h4c9+fP6tr51/Y9ikxa1OGl4+PuQ600mD2ORicgMjtlSsvfeQ0Xgw3tmUs0rJTPvUd08aXv/Wwy//5OwfB+0miW7Xu4dLz/XyyYG8mXkmqgy3lELptl4nsE3sFlVxX+h8abmJgZi+H/fENty3P//oL7746M3XZMzJgjdMvg0+QszXy68e8S0R6dbHmeax+6WKSWkhQ8UmU1ZnC9G4CtWIhSjFZaybtkjO/+3t88/9AM6+/7mBWR5ebyieCrR/dHhwr2/NzXTUhTaZ2kiDIqqS7HGCKFkeeE9c0OhkeTJaXEbas//3TRmID3/9pgh5YwU33iv5SJAFJU4dEj55r+TJCyX7tz5Ex6/cO7g/U9KnOIptNVb8mOn7wpT7SMySOKMvWrI+hZP27MlLJfuPfvitR29+fthAnHBoHzg87mPuYkDeOj669XE6OaGj0wEwl8vGaG4RMOTQ02eE1GwT31tcDMTO2avXJc7/7ftn/+OLv/2/Xzv70td/l0jXDkpOGLeNSs5IeamKiSgUcKYWmdsiKlknTqR4x6lkymk7KX8XrNcOUk4YuY1SzoZ/KW+tDYnARRclUmMByjLZm6GKseYsUXwrIX8XENgOQk74uY1Czs+FlVKMDWKNufY9LcVikjUpCBSo5ug826vJ9tpZPpYOE1EnbN5GUecExlSwGJqVYRm5Xw1tDqKXUap05JRk+ut0datrrZwDsTGn9ITn2zxAZybJWDsbfQmgffeCIWVIvhpQKviKkmiyv5pYrtNzJE8mek54wY16zoWYYURWFjXkFljGZb/bUnyB0qzDqrGf/m6l40jQTHScyC436jgje+a0ylnElOQyS4ZZVkebUfUNnijDlTzlqxnmWikHEmgi5YRP3Dwk54HSgnHNhxagOPYys2sHkiWou4pcvGpk+epN5rUzeyCaJjJOOMaNMs5Jq2ntY1QUIAVx3jK7PWQfKjgMWkdbst8yVR/MrImcz+p75sPYfDDWo3bgso4Xu0GJnAbN4oYyEdu6nZiDYTYR81mtz7z74ITIzkjkztx8XzXlo9qjUCHbvBh2k66ew6wdnaO3wvWzGqD5wDeZ3E5HkRAxuUtWPCsRM8WYY5IBytvl64PxNxHzWU3QrEQckyJuYnj6O+wsV4AYdQVdybdgdJHFcys9x3Nx8oaf1QINQ+Wc8yGTtRB0P5MI/YarqrmDN8qZ1jKvAfXXyjsOmHtR/Doa+6z50vz8nJOcM0dUMlI7f2gTQ7TkoFG1uvW0iq7Wclm7CzKconPK7Gw1h4B1URtF1vQrApzBVioQdbDQkmkdS/RqDZP4lKZL4nUi686OcwBx51UkF1FGZosIlqIsrmyVZFaYrWlk/CartBh3J4ru7D2HoHixGvaxJAihI1HKVMmriKAYUoFDNpJrXa/pkkCeyLrzujo/o0dokuKsQBXXjy8DQfIkq2qT1y2hJUobotSSpJ5ourMpHQHvEZnYgusHcCvM20TIwQVgctTP5IrWV080nw5TiyB8oufOrnR2qq+fAVv2FlRwImav5pOCLqBytJybSsZscKXLsH0i5s6udHbcL0pKmjRboH7yYZMMz9RkSS1aVTLKssENI3MZ6E/E3NmRDucAidEoDtCK78WmxFqlRh5Y3JQzSMG0DcnpMjSgaLuzQZ0dEDQpsYl9BwolbbKxBiAnSWqx/WzOYvObNkkXwwRFz53d6RBy0OfUcqn9xn4/QzYpQEaJUiwWlU1W3qRNRyHj+UGn7M6+aRRS2NAVSiWC0SuMREvEFxsKoRDXFrPY1U1Z/lJgoci6u2+akzVETzphMP2crsrg7LdgvTegrC8xW3Zqk7VfhDi0O3ulERBi1dZZrxG45NgL0vUbTCZJlk+ttYxY8GpBuqdD0XIo4u77TwPoRIVVRqhPYJRvHYWN/XadAvHxKvT6YS1fpRMn4tFYRtHubJHmxxa1kfdvZZ5r7NXYTBUrHyQc+Zp0UTJKS9ig5lLwon02gzQzz1gDZpMxQQudbc9RPBKlCBhVI2wxZNourR9LNdpnM0hzg45VoWREMsMTxl7EOYpdSgohJEXyq+nGayqGr1NzOO5odzdJMxOQzfGqjjNQ6YU+SKkOPxowyE354NjXDTnnUhyk3dkUjUEjTa8hHiWgr1xmzg1iNR5qoUAZbbNxwy7ogoCk3dkYDWMmXUeIqvLglbhOS65I/qkLUG1UvY7JrmEmp1Om4eSk29kljYQpnS26JA2FvQbrtMSnVBVwRHGh3kmCummbeSGk0u3skoZRlr28Q3XFgqfEkkRpLUFfloMsb7xWctTWFAJ6OiVdjrV0O/um+fFLKymUlcUVSk19f8SKBW1e9C2ciJpteU25m7WbowtAmO5ZT5dm5DIl3Gu/KsiX+/2n5hqQd/08NKRWo4ktb7ChC9KZbmffNADYpFBy7hfCC3Yq3fQiOV6JsUeSBcB4dJu28BbHNt3uDmoIyelVMC6jA22bzH6m3C/sSALAVbHD4EzZsOO8JM/pdrZSIxHPpHOypYd+8kr+oSahyhZonrzxTnKrNZTsuvg/FvT8hPda41QN9mvuQ43kPg27iFq0jUU3WRKcOCxbEqAsE7W6moK7WqjiKW1/5/QnphTwoqTYpmG7rbYfoKPChxKpBnKgOtWG2co6GziI1cIEyaCF6FWLjh2ZNbWfRdlHb/z3JTlQt61xndZ0RiLUcjeqLkDxVjIBtCQ5ASF4lFHLhqmYtTnBFVHHEqFuW+c6LepsbCj5FFqU0WlaEUm1+KxVlSmrSu/Tpr3ya3f/rkg6lg312zrWaUnnp0RRK5PEsIJvMfdCtT1yZUkSXPA1Jx8zX62PvHYNGE2J+m2d67S8c/KiaDhQRIKQFfVyBREIZa01NvnmSnYc1oatq8IO5UX9tr71mkE7Nzkai2SvJoML1C9M+QKZJe1SrXiUkOUjrd1suaLsWHLUb2tgp5WdiyHNjhK7YkDljoonq4B6F5xccimUa0Wz1nVdUXQsQzrV+WYHRWekSVX0srYWB4F7y2QxWTJMTQXESkG1xqGsvTxxVdShNKnf1r5eM0xnanZYCifMCSKxCGo60NM7uHprEVmiFZm1BvbqvB/Klfptneu0oHMSprkEcamBofa75jZkDcn3OlkyMdCQ/J7rocir+epowtTf3FvNx5q2ii1lg1Cjc/2M1Yt/TR5QSdxXsfZ6gdsN1tGsqb+5vZr3XKA3EivFG2CV+zqgIiQOATAyu9RyI7VdtBp+KOBvbrLm409NdDol3fsudCdgbS9qmRw0zg6DrVHZtXdWrso6mj8NNzdas5KomowssjJC2fQb/iUQxNhbWnpDjUI0ibazAkuQqOHmNmsYk1qrKsVIolVCaGA7mJpVi6CNqj7UFlRauw17VehxTOpHg3XW/Q5s1/x0KhXC1NhDdU3Gsc0FyCbql6x1KKZ4vaZk8Np9mAXo1HADhYdwql41bzub5grGzv42oFoQGjUdO74eNiViy3Kq4Qb+dgCxajLl7GMAopJ6qXoHKQQFyrO4iBrJmLXlAN6Vd0FiNdzA6Y5pI+mbtVUn4NQk3Q3yUUSjIOScakuyNODaW1vvqrssuxpu4HoHdJosHln1WmmrhTe4CuQlNXMNs9aSVeS64aBmWYo13MACj+BZC+WUfS1gEmoxa9wgW6dWzcd8UTXqsvZC7BOBbSGeNdzAA89OtvZRW2xSsuQ2WXK95d5Xm0Vlx82HHC4qhG9ecoeTreEGHnh2xlWb5plNhOrFo0nKkCXL9R4wlaZ0qRzWNA9ZG8lGM67hBv53NO1ata0uBEnHGFlWgn5JXvwaYC7GxZp1xQ3J7lK0a7yBHZ6de00pJJ88Qe0VPy1qCWWhIaC87VyKimF9GdUnstzluNd4Ay88hoDVrbI4BRGW+/U50hBdYvCVbOGanF9fkO1KIBtLwMYbeLNRLCyJhIkRIQQsFx1ds5WwZqw8EJtivR5BemLVXY6FjTfxZnNSsa55RFlSoSQJYzb3KsC9kkhvw5kD+6TahrPcRajYeAM/NoKPbTlq1VqB5rzYsdY3aWLrHLeynItGnzbYsQX52HgDLzaAlM1N8hinZVHFvpvbe2blXhXDpRwTVknO2obEYClSNt7Ahs3PzBalVPbcS4r12OUKAWVq0LSO5H20vKY51LqlYDgzu/UF2im3MDM9GxL50LQCs6p7m1hyLswdqfGckVVKesNNhEXo2XhTEzY3RxtzrqWhg1xs52l6cQeb+ppQokfrdEwb7s4txdHGmxixmYnaklCmvc/93ozrd+ktZHFcUA25TnubtL7oyNVdg9FEbbqB8RrC1kZRL/cj3uD7EQP73nZURI6pxhjZ1Vo2hK4F2dp0A/M1jLItVZLWjisy6dVRrwxe5gzYdK2KktFhwx2lZSnbqaZf24g8kLfNQelqJAeT/xP0xiyQnQzpVEwrLXSvtsk2LMTbphs4sWHkrVEYjeqn56GJK4t9FPvSILGz1VdJ0taXL3kixV2OvE038GbzM7h9pfWuYu880HuMtAakxfC6goV9jrmsaTK+dvN2AQY33fyUbEYal0u/vu56P+2AYnqZOoRfO89gdGotoN2w+bUgjZtu4M1GNFJNKnIxGnw/JrPKStJQa0fFrKrcoozh7bdtl+Fy001c2hBC18q7bL3FiywIIjJK0ht19dAwGO4FD3LccLFxSUI33cCujWR1c2nGESPErGpvXND9GyvIlV1UxbjiN6Roi7C6H4shONy6wMy6e2IjqV1ruHdtdOA0s6hcMuReiDfb4hs7VheNUa9RecGerem6PvO3XuDDvhEm0l4EtJkpXQrOKxb9nF51LbIFYsssplgERZVqSmv63r72lsi4CJ+L6ro28+vVm5PHbeLEEKtM91h7UzeZ7knGJUla25LVVq/rnf6UfENJXFTXdZtfL99s5C2HrDLrCmhaZ+99glSVxKbsuHijEq8hb58Wbyhzi+q6lvPrxRvA2PYaca46aLqfxlBvHYqtV94IwfjgLNLVm53vmcGD6VpU1zWfXy/krN1XTbFi7glCUJLbi/+UCawVYDOhluYI7dWg/R4JR3K0qK7rPz8xEGfmZmMpwWiWfNL2GwI1iz+q4u+dr5L4RCqor95ye1rDocQsqgm7eY2GsxGyDYlMjoBJbKUtSeIvNfmoKflC680FNgXhoWwsqgk/eY12M7KwNVDA1hJUpfVlG0utrEzf4kzibA1uWgGHUrCoJszidUNvHupVi+9zzeVVofC+8knqgpJSl9KbBmQ2ak1poffM2pG8K6oJH3iNdHPyrckw+rSqymh1L8UskaM4K6aaW+3VGVPYmP8NJlslqd998s5GssaSk07ZQs5iQmzzDMlGA9hbk2lVxJNe3VZ7zwAczLAi7m5BZmZWDTGHqPuhZi+5rHvJ5RSgeu17XaBkcVP8GL2Rjri7EZmPTq1MRvdLjUqXVfnaCkn18h8xam2qsZavHl2+R8DBXCri7mZkVg61WcfESYE3tZ896AhR5JQEUKdSWevImwbhAgQq4u5WZBhxii01oyuD1zn3W+IVKHIAb0srSYda6yaDPJA1/S/ROu+eYXdrfraU0TRMPkDw2UPfPYScZL0Uc6KYsrNpTXOp9+w0jKdKEXeweUMoUvnrqpp0g0JUwXr0kHorNEnLevnU6mO7eovuUsdF+VHEHdzeAF5UW12VLwZa0P00UfdLyU1mdpP/IlmV1xwTXAq5HCmKuIPvG9PVNLPIpj2s2nDaik1WSFkrkzM62KxzoMn0cVEmFHEHDzg/A2pac61hAe+plz7MoqPKCUryzpDFnMwWOi5AfyLuYAhH0J5GdPNacsdie0NolIQookzvVm2vN29iiVfPst8JNctwnog7xOzZuU5XW9I6eNDoe6UCSSYjaQUsc9piRxDD1dtXTy+No4lOMao7CjgnwWlKctrW1gvsGHGDsiauKpklFbR2jrjaq3jGe2LLYHYT9Q5ucDSriVEsdNS9t0m/nbI63mNRVsaifJxKxja5vbgQpXmRqW+p5+xUpgRhaj3Z0RVNrwRtIaExfaeMnDMmBjvprpfjMVHv4AyH8JeyMmZTTMfZUhA7mJq4GFslh/ToZBTqZqf3uRcgL1Hv4F9GkZY2GeOi98C58+259mtQHVchlYp2GtOaOo/vrI6LMZaod/EvczKVpGMwrAm8Vr0lWbGin9YgDss6EzCkNrnjvQRNiXoHzzKCnkwulmZ0glzzasdbFkJDYqRZgrOnVPwa9P+dcLIYN3lxertbRJmTk7QyU3PsnS+N6fu0SfQMVUFBrtFqFUyY3BpbiJBEvYNVGdBFVIyKLiVAicZ3bo87txfABSRHCrOqk2niQiwk6l2Nyszso02heK+COBTspEinnUpLQFHEdZoK5knbvAT1eFFpezcB56UcKTlrDCtIiSW5Dj0cJ1FQZPQaVdLKXYVBnlZwNN+IZhezMjPPaHuPsCxmT9ZBJ26ZHKRWPWDRYpabDWYNJfoetzyYZESzgzkZQi5ylQnbr95ELxHF6l42BmVWewzVKExsefJ4YDlmUSzUs2Q2MzOKZExNjjJInkhgqyTZufRGYOSQxL5E7yYD86J0Ipod3MpIGlGTMzIAoale/BCdgxyj7q5FPEssErQnz1UX4hDR7OBWhnGHkYiwSI5obZF/OCBE048OPCpnuRrO04dXixGHaHbwL/MThsFWNMwJJP/Wlw2oeu0Xb40vjuVLddK9LMcWotn9tGVGlpCa87n2PYjAfUOsSNJTVYMoAzNzyCVMb+QsRxGi2cG/DKAGLaakfK9hrNKq5WQEUv1sOhGyNpKarykpf3VbcRFeEM0uTmYIH5h1sr5YhOpZZnYRPxhlYQSqwTfRWkbo5MxekAxEu4OlGUkCNm+pqdA7ntVeSDNLemlCFXlTUzmzkax9Q9weywC+YK1VbqoV6tr7OyOZP1LFNvKdreplirm3kQosK2fpBYorehMnF83laD+0W5rF4/sjmnL6JlmjQgeuz3TJHwOk2usFKFkv+x3IvO6+91/8cjHcz27pFZ+Ub0beT0RKrkeakiqDbTISY00IXn6hZEtoZt3u91P6jeX97JYe8Un9ZgP+bKit37aDVlrphRQCkLHiuLkzCD72trAb1BsL/NktLeGT6s1P/NmVWYn9kq2XyGIKi4y1QS3VtsCZ6pqOL++ZxKOJP7ulI3xSyTmRP2d9v7Moyq0O/1AVSLrXsGxFaUqKJenZpOFQ5M9uGZefGoozM3+FTQw5JZDogRe9MmPRFnxADN7UVPOau05PiTiW+bNb2sAnRZwL+kucRTUKYMj385ceivvZQWC2/UJoNXqNfXlKvLHQn93S/j0p3ozUH6ZSvO1lpFpMMvgkyaaoEZStxnFDjuuA06f1G0r9TVXXuHbwzYP9UWTDyihQNdd+SdFLBqgItFVsuRXr05pc+umJOxT7c1uavCe1m5P7U8oaMcwKxFbJ4NOu37brPVhjdpWD1bleLabznjxwNPfnnsGJzAf+paBSzLlD9rF15rlCJrHHiWNtOZug3aYkZjj4557BjMy7p927UofECmoOrneUET9CEotDyTFItp38mt497xmHoze03TNYkvnQP126GUkZVG/oZ0tEyWHEG5tgQmyu1OTXnAo8reBo9M89gy2Zlf1TwdbElCB5vdrrikBVOWhKc2jyJYVrTqGfEnEJ9s89gykZBv8VToT9eqKR3waseONeZCiClhFZglW5mDX34J/WdBz89wlRPJipnunXCTo//aesp+RjBlNsL3JgJNvRrmfaMserj5jXMeZPbzssQP9tuxO7EnMI/ldqZM8hg/crTDrIkFwdqDYrMVsy7rju8O9CyGXxP7eL8RvA/2FlpXUqUJOSBZO8AipUwClJh/o1rbqmBu6lkgvyf24XCzgEAOTeAbK3lfex41apih804gd9Imd0JSx50gUuCwC6Xezg/AQg2ViMZwIVSTLJvjWWgiySDrNCbag1M7khtiwB6HfxhiMQwKQo6BAiyCRHcdd4aQ4VszHO2WjX3U2+jDcLIYB+F3M4OwOI2TVylmQuN5ZZ3UuEZ+s6wpaxqaRLmTwoWIoBnGqyPa3grBCg73RVsaCs7Q2JEYGSc+CL18rEIL/UZEa+FATodzGGoynAWDRJ6h2hxdy3G5uBlAlBZWWsrrbmNrk+LkUB7pSOz9+ckbgFbg1Y3AvYHAnIybJITkffCrkY1wAHl9njchig38UkDuEAa7Ku+epBzHUHUr2W5FGCDGNrPnpSLk677SU4QL+LkxkFAuYQCyZX+i2nfgRdVK8JEyD3rlU+avEMk5njgiCg38nJzEkCYg7as6yDxZvY0xzuoH6GltiFQkYRTe49LkIC+l3cywgUECPaYDEABpHROpnSueUGSUJ0Mqgwx8k0Z0EU0O/iXAawgOxMzT4o0FF3hihIaPYiY5DIXMRJSw45uYW7FAsYdjEt88OAgR0WrgGq9RKbS7+MnJoHMsHbJgGa8uRIXAoGDDtblplpwGzJF5EKeFWGMVgPUYUq47Cz+jFSTJPbY4vQgGFnyzI3DhgUaW1zhlh17amNAVIYxf2Jhpw6uTF5rroUDhh2si0z84AcVNZeRp4k1F5syqo3b/AQjCyLpkSubvLUYCkeMOxiU4YAgZYtqtz6uKPe7lyGYUoldCqQO+CrL0Daa4fhAkBg2MWqDCMCGcWT5NDrvSB10NxCtlZDb6aGHjEaPen7liUCwy6+ZSASqEU3dk2DjMZeIsspIFsZipHMkVJfJNcggZfReiEkMOziW8YxgQZLi0ZSx4T1Eq7UWvXWhEV0TDLhJ3d1FmQCwy5OZn4o0KCtNeomLrpD6Kwk6CQJOlXid9YxB7sxai8BBYZnOIGZkwoMuVLuDZ9Ft45WViAfK3QnGGtTWdU1lYmunMCMpgLjLk5mABZIprJtyOBXZwfcj1YxyKcuS3qudBRLuMU24zJYYNzJ0wzhAh0rbsp2/rz0ru7RQaoZITUVTYuoip8M30tygXEXczMSDKTkatbZggvUe7z0ahNGORDrWFxrtpg6eR1lETDwo+is2m33bCgZWPulZRcl/wm98nxyWgRNGrRPMXom0mZyI3J3MlB0OT24w793Ii/3Ep+eykDZ2/+MqMflk39Ehwfv/iaHdO/0o/lC8/7xy6/e7W/gsD/IJ5+i04PjlX85zvd+7+T4zuqvoZUKq8r+8uBLp3Ry+vzpxV8pqovebfL4y8cXT9WXT73LJwfH9fLV756+ePljP/vZ/w9QSwcIgejpFvokAACmHQEA</t>
        </r>
      </text>
    </comment>
  </commentList>
</comments>
</file>

<file path=xl/sharedStrings.xml><?xml version="1.0" encoding="utf-8"?>
<sst xmlns="http://schemas.openxmlformats.org/spreadsheetml/2006/main" count="1219" uniqueCount="755">
  <si>
    <t>LME锌分仓库库存</t>
    <phoneticPr fontId="1" type="noConversion"/>
  </si>
  <si>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</si>
  <si>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</si>
  <si>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</si>
  <si>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</si>
  <si>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</si>
  <si>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</si>
  <si>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</si>
  <si>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全球</t>
  </si>
  <si>
    <t>欧洲</t>
  </si>
  <si>
    <t>德国</t>
  </si>
  <si>
    <t>德国:不莱梅</t>
  </si>
  <si>
    <t>德国:汉堡</t>
  </si>
  <si>
    <t>比利时</t>
  </si>
  <si>
    <t>比利时:安特卫普</t>
  </si>
  <si>
    <t>瑞典</t>
  </si>
  <si>
    <t>瑞典:赫尔辛堡</t>
  </si>
  <si>
    <t>西班牙</t>
  </si>
  <si>
    <t>西班牙:巴塞罗那</t>
  </si>
  <si>
    <t>西班牙:毕尔巴鄂</t>
  </si>
  <si>
    <t>西班牙:托莱多</t>
  </si>
  <si>
    <t>荷兰</t>
  </si>
  <si>
    <t>荷兰:弗利辛恩</t>
  </si>
  <si>
    <t>荷兰:鹿特丹</t>
  </si>
  <si>
    <t>意大利</t>
  </si>
  <si>
    <t>意大利:的里雅斯特</t>
  </si>
  <si>
    <t>意大利:来亨</t>
  </si>
  <si>
    <t>意大利:热那亚</t>
  </si>
  <si>
    <t>英国</t>
  </si>
  <si>
    <t>英国:赫尔</t>
  </si>
  <si>
    <t>英国:利物浦</t>
  </si>
  <si>
    <t>英国:泰恩-威尔</t>
  </si>
  <si>
    <t>北美洲</t>
  </si>
  <si>
    <t>美国</t>
  </si>
  <si>
    <t>美国:巴尔的摩</t>
  </si>
  <si>
    <t>美国:底特律</t>
  </si>
  <si>
    <t>美国:洛杉矶</t>
  </si>
  <si>
    <t>美国:莫比尔</t>
  </si>
  <si>
    <t>美国:圣路易斯</t>
  </si>
  <si>
    <t>美国:新奥尔良</t>
  </si>
  <si>
    <t>美国:长岛</t>
  </si>
  <si>
    <t>美国:芝加哥</t>
  </si>
  <si>
    <t>亚洲</t>
  </si>
  <si>
    <t>马来西亚</t>
  </si>
  <si>
    <t>马来西亚:巴生港</t>
  </si>
  <si>
    <t>马来西亚:柔佛</t>
  </si>
  <si>
    <t>新加坡</t>
  </si>
  <si>
    <t>新加坡:新加坡</t>
  </si>
  <si>
    <t>中国台湾</t>
  </si>
  <si>
    <t>中国台湾:高雄</t>
  </si>
  <si>
    <t>中东</t>
  </si>
  <si>
    <t>阿联酋</t>
  </si>
  <si>
    <t>阿联酋:迪拜</t>
    <phoneticPr fontId="1" type="noConversion"/>
  </si>
  <si>
    <t>LME锌:库存:合计:欧洲</t>
  </si>
  <si>
    <t>LME锌:库存:合计:亚洲</t>
  </si>
  <si>
    <t>LME锌:库存:合计:德国</t>
  </si>
  <si>
    <t>LME锌:库存:合计:荷兰</t>
  </si>
  <si>
    <t>LME锌:库存:合计:美国</t>
  </si>
  <si>
    <t>LME锌:库存:合计:瑞典</t>
  </si>
  <si>
    <t>LME锌:库存:合计:英国</t>
  </si>
  <si>
    <t>LME锌:库存:合计:比利时</t>
  </si>
  <si>
    <t>LME锌:库存:合计:西班牙</t>
  </si>
  <si>
    <t>LME锌:库存:合计:新加坡</t>
  </si>
  <si>
    <t>LME锌:库存:合计:意大利</t>
  </si>
  <si>
    <t>LME锌:库存:合计:马来西亚</t>
  </si>
  <si>
    <t>LME锌:库存:合计:阿联酋</t>
  </si>
  <si>
    <t>LME锌:库存:合计:中国台湾</t>
  </si>
  <si>
    <t>LME锌:库存:比利时:安特卫普</t>
  </si>
  <si>
    <t>LME锌:库存:美国:巴尔的摩</t>
  </si>
  <si>
    <t>LME锌:库存:西班牙:巴塞罗那</t>
  </si>
  <si>
    <t>LME锌:库存:西班牙:毕尔巴鄂</t>
  </si>
  <si>
    <t>LME锌:库存:德国:不莱梅</t>
  </si>
  <si>
    <t>LME锌:库存:美国:芝加哥</t>
  </si>
  <si>
    <t>LME锌:库存:美国:底特律</t>
  </si>
  <si>
    <t>LME锌:库存:阿联酋:迪拜</t>
  </si>
  <si>
    <t>LME锌:库存:意大利:热那亚</t>
  </si>
  <si>
    <t>LME锌:库存:德国:汉堡</t>
  </si>
  <si>
    <t>LME锌:库存:瑞典:赫尔辛堡</t>
  </si>
  <si>
    <t>LME锌:库存:英国:赫尔</t>
  </si>
  <si>
    <t>LME锌:库存:马来西亚:柔佛</t>
  </si>
  <si>
    <t>LME锌:库存:意大利:来亨</t>
  </si>
  <si>
    <t>LME锌:库存:英国:利物浦</t>
  </si>
  <si>
    <t>LME锌:库存:美国:长岛</t>
  </si>
  <si>
    <t>LME锌:库存:美国:洛杉矶</t>
  </si>
  <si>
    <t>LME锌:库存:美国:莫比尔</t>
  </si>
  <si>
    <t>LME锌:库存:美国:新奥尔良</t>
  </si>
  <si>
    <t>LME锌:库存:马来西亚:巴生港</t>
  </si>
  <si>
    <t>LME锌:库存:荷兰:鹿特丹</t>
  </si>
  <si>
    <t>LME锌:库存:新加坡:新加坡</t>
  </si>
  <si>
    <t>LME锌:库存:美国:圣路易斯</t>
  </si>
  <si>
    <t>LME锌:库存:西班牙:托莱多</t>
  </si>
  <si>
    <t>LME锌:库存:意大利:的里雅斯特</t>
  </si>
  <si>
    <t>LME锌:库存:荷兰:弗利辛恩</t>
  </si>
  <si>
    <t>LME锌:库存:中国台湾:高雄</t>
  </si>
  <si>
    <t>LME锌:注册仓单:合计:欧洲</t>
  </si>
  <si>
    <t>LME锌:注册仓单:合计:亚洲</t>
  </si>
  <si>
    <t>LME锌:注册仓单:合计:德国</t>
  </si>
  <si>
    <t>LME锌:注册仓单:合计:荷兰</t>
  </si>
  <si>
    <t>LME锌:注册仓单:合计:美国</t>
  </si>
  <si>
    <t>LME锌:注册仓单:合计:瑞典</t>
  </si>
  <si>
    <t>LME锌:注册仓单:合计:英国</t>
  </si>
  <si>
    <t>LME锌:注册仓单:合计:比利时</t>
  </si>
  <si>
    <t>LME锌:注册仓单:合计:西班牙</t>
  </si>
  <si>
    <t>LME锌:注册仓单:合计:新加坡</t>
  </si>
  <si>
    <t>LME锌:注册仓单:合计:意大利</t>
  </si>
  <si>
    <t>LME锌:注册仓单:合计:马来西亚</t>
  </si>
  <si>
    <t>LME锌:注册仓单:合计:阿联酋</t>
  </si>
  <si>
    <t>LME锌:注册仓单:合计:中国台湾</t>
  </si>
  <si>
    <t>LME锌:注册仓单:比利时:安特卫普</t>
  </si>
  <si>
    <t>LME锌:注册仓单:美国:巴尔的摩</t>
  </si>
  <si>
    <t>LME锌:注册仓单:西班牙:巴塞罗那</t>
  </si>
  <si>
    <t>LME锌:注册仓单:西班牙:毕尔巴鄂</t>
  </si>
  <si>
    <t>LME锌:注册仓单:德国:不莱梅</t>
  </si>
  <si>
    <t>LME锌:注册仓单:美国:芝加哥</t>
  </si>
  <si>
    <t>LME锌:注册仓单:美国:底特律</t>
  </si>
  <si>
    <t>LME锌:注册仓单:阿联酋:迪拜</t>
  </si>
  <si>
    <t>LME锌:注册仓单:意大利:热那亚</t>
  </si>
  <si>
    <t>LME锌:注册仓单:德国:汉堡</t>
  </si>
  <si>
    <t>LME锌:注册仓单:瑞典:赫尔辛堡</t>
  </si>
  <si>
    <t>LME锌:注册仓单:英国:赫尔</t>
  </si>
  <si>
    <t>LME锌:注册仓单:马来西亚:柔佛</t>
  </si>
  <si>
    <t>LME锌:注册仓单:意大利:来亨</t>
  </si>
  <si>
    <t>LME锌:注册仓单:英国:利物浦</t>
  </si>
  <si>
    <t>LME锌:注册仓单:美国:长岛</t>
  </si>
  <si>
    <t>LME锌:注册仓单:美国:洛杉矶</t>
  </si>
  <si>
    <t>LME锌:注册仓单:美国:莫比尔</t>
  </si>
  <si>
    <t>LME锌:注册仓单:美国:新奥尔良</t>
  </si>
  <si>
    <t>LME锌:注册仓单:马来西亚:巴生港</t>
  </si>
  <si>
    <t>LME锌:注册仓单:荷兰:鹿特丹</t>
  </si>
  <si>
    <t>LME锌:注册仓单:新加坡:新加坡</t>
  </si>
  <si>
    <t>LME锌:注册仓单:美国:圣路易斯</t>
  </si>
  <si>
    <t>LME锌:注册仓单:西班牙:托莱多</t>
  </si>
  <si>
    <t>LME锌:注册仓单:意大利:的里雅斯特</t>
  </si>
  <si>
    <t>LME锌:注册仓单:荷兰:弗利辛恩</t>
  </si>
  <si>
    <t>LME锌:注册仓单:中国台湾:高雄</t>
  </si>
  <si>
    <t>LME锌:注销仓单:合计:欧洲</t>
  </si>
  <si>
    <t>LME锌:注销仓单:合计:亚洲</t>
  </si>
  <si>
    <t>LME锌:注销仓单:合计:德国</t>
  </si>
  <si>
    <t>LME锌:注销仓单:合计:荷兰</t>
  </si>
  <si>
    <t>LME锌:注销仓单:合计:美国</t>
  </si>
  <si>
    <t>LME锌:注销仓单:合计:瑞典</t>
  </si>
  <si>
    <t>LME锌:注销仓单:合计:英国</t>
  </si>
  <si>
    <t>LME锌:注销仓单:合计:比利时</t>
  </si>
  <si>
    <t>LME锌:注销仓单:合计:西班牙</t>
  </si>
  <si>
    <t>LME锌:注销仓单:合计:新加坡</t>
  </si>
  <si>
    <t>LME锌:注销仓单:合计:意大利</t>
  </si>
  <si>
    <t>LME锌:注销仓单:合计:马来西亚</t>
  </si>
  <si>
    <t>LME锌:注销仓单:合计:阿联酋</t>
  </si>
  <si>
    <t>LME锌:注销仓单:合计:中国台湾</t>
  </si>
  <si>
    <t>LME锌:注销仓单:比利时:安特卫普</t>
  </si>
  <si>
    <t>LME锌:注销仓单:美国:巴尔的摩</t>
  </si>
  <si>
    <t>LME锌:注销仓单:西班牙:巴塞罗那</t>
  </si>
  <si>
    <t>LME锌:注销仓单:西班牙:毕尔巴鄂</t>
  </si>
  <si>
    <t>LME锌:注销仓单:德国:不莱梅</t>
  </si>
  <si>
    <t>LME锌:注销仓单:美国:芝加哥</t>
  </si>
  <si>
    <t>LME锌:注销仓单:美国:底特律</t>
  </si>
  <si>
    <t>LME锌:注销仓单:阿联酋:迪拜</t>
  </si>
  <si>
    <t>LME锌:注销仓单:意大利:热那亚</t>
  </si>
  <si>
    <t>LME锌:注销仓单:德国:汉堡</t>
  </si>
  <si>
    <t>LME锌:注销仓单:瑞典:赫尔辛堡</t>
  </si>
  <si>
    <t>LME锌:注销仓单:英国:赫尔</t>
  </si>
  <si>
    <t>LME锌:注销仓单:马来西亚:柔佛</t>
  </si>
  <si>
    <t>LME锌:注销仓单:意大利:来亨</t>
  </si>
  <si>
    <t>LME锌:注销仓单:英国:利物浦</t>
  </si>
  <si>
    <t>LME锌:注销仓单:美国:长岛</t>
  </si>
  <si>
    <t>LME锌:注销仓单:美国:洛杉矶</t>
  </si>
  <si>
    <t>LME锌:注销仓单:美国:莫比尔</t>
  </si>
  <si>
    <t>LME锌:注销仓单:美国:新奥尔良</t>
  </si>
  <si>
    <t>LME锌:注销仓单:马来西亚:巴生港</t>
  </si>
  <si>
    <t>LME锌:注销仓单:荷兰:鹿特丹</t>
  </si>
  <si>
    <t>LME锌:注销仓单:新加坡:新加坡</t>
  </si>
  <si>
    <t>LME锌:注销仓单:美国:圣路易斯</t>
  </si>
  <si>
    <t>LME锌:注销仓单:西班牙:托莱多</t>
  </si>
  <si>
    <t>LME锌:注销仓单:意大利:的里雅斯特</t>
  </si>
  <si>
    <t>LME锌:注销仓单:荷兰:弗利辛恩</t>
  </si>
  <si>
    <t>LME锌:注销仓单:中国台湾:高雄</t>
  </si>
  <si>
    <t>LME锌:入仓:合计:欧洲</t>
  </si>
  <si>
    <t>LME锌:入仓:合计:亚洲</t>
  </si>
  <si>
    <t>LME锌:入仓:合计:德国</t>
  </si>
  <si>
    <t>LME锌:入仓:合计:荷兰</t>
  </si>
  <si>
    <t>LME锌:入仓:合计:美国</t>
  </si>
  <si>
    <t>LME锌:入仓:合计:瑞典</t>
  </si>
  <si>
    <t>LME锌:入仓:合计:英国</t>
  </si>
  <si>
    <t>LME锌:入仓:合计:比利时</t>
  </si>
  <si>
    <t>LME锌:入仓:合计:西班牙</t>
  </si>
  <si>
    <t>LME锌:入仓:合计:新加坡</t>
  </si>
  <si>
    <t>LME锌:入仓:合计:意大利</t>
  </si>
  <si>
    <t>LME锌:入仓:合计:马来西亚</t>
  </si>
  <si>
    <t>LME锌:入仓:合计:阿联酋</t>
  </si>
  <si>
    <t>LME锌:入仓:合计:中国台湾</t>
  </si>
  <si>
    <t>LME锌:入仓:比利时:安特卫普</t>
  </si>
  <si>
    <t>LME锌:入仓:美国:巴尔的摩</t>
  </si>
  <si>
    <t>LME锌:入仓:西班牙:巴塞罗那</t>
  </si>
  <si>
    <t>LME锌:入仓:西班牙:毕尔巴鄂</t>
  </si>
  <si>
    <t>LME锌:入仓:德国:不莱梅</t>
  </si>
  <si>
    <t>LME锌:入仓:美国:芝加哥</t>
  </si>
  <si>
    <t>LME锌:入仓:美国:底特律</t>
  </si>
  <si>
    <t>LME锌:入仓:阿联酋:迪拜</t>
  </si>
  <si>
    <t>LME锌:入仓:意大利:热那亚</t>
  </si>
  <si>
    <t>LME锌:入仓:德国:汉堡</t>
  </si>
  <si>
    <t>LME锌:入仓:瑞典:赫尔辛堡</t>
  </si>
  <si>
    <t>LME锌:入仓:英国:赫尔</t>
  </si>
  <si>
    <t>LME锌:入仓:马来西亚:柔佛</t>
  </si>
  <si>
    <t>LME锌:入仓:意大利:来亨</t>
  </si>
  <si>
    <t>LME锌:入仓:英国:利物浦</t>
  </si>
  <si>
    <t>LME锌:入仓:美国:长岛</t>
  </si>
  <si>
    <t>LME锌:入仓:美国:洛杉矶</t>
  </si>
  <si>
    <t>LME锌:入仓:美国:莫比尔</t>
  </si>
  <si>
    <t>LME锌:入仓:美国:新奥尔良</t>
  </si>
  <si>
    <t>LME锌:入仓:马来西亚:巴生港</t>
  </si>
  <si>
    <t>LME锌:入仓:荷兰:鹿特丹</t>
  </si>
  <si>
    <t>LME锌:入仓:新加坡:新加坡</t>
  </si>
  <si>
    <t>LME锌:入仓:美国:圣路易斯</t>
  </si>
  <si>
    <t>LME锌:入仓:西班牙:托莱多</t>
  </si>
  <si>
    <t>LME锌:入仓:意大利:的里雅斯特</t>
  </si>
  <si>
    <t>LME锌:入仓:荷兰:弗利辛恩</t>
  </si>
  <si>
    <t>LME锌:入仓:中国台湾:高雄</t>
  </si>
  <si>
    <t>LME锌:出仓:合计:亚洲</t>
  </si>
  <si>
    <t>LME锌:出仓:合计:德国</t>
  </si>
  <si>
    <t>LME锌:出仓:合计:荷兰</t>
  </si>
  <si>
    <t>LME锌:出仓:合计:美国</t>
  </si>
  <si>
    <t>LME锌:出仓:合计:瑞典</t>
  </si>
  <si>
    <t>LME锌:出仓:合计:英国</t>
  </si>
  <si>
    <t>LME锌:出仓:合计:比利时</t>
  </si>
  <si>
    <t>LME锌:出仓:合计:西班牙</t>
  </si>
  <si>
    <t>LME锌:出仓:合计:新加坡</t>
  </si>
  <si>
    <t>LME锌:出仓:合计:意大利</t>
  </si>
  <si>
    <t>LME锌:出仓:合计:马来西亚</t>
  </si>
  <si>
    <t>LME锌:出仓:合计:中国台湾</t>
  </si>
  <si>
    <t>LME锌:出仓:比利时:安特卫普</t>
  </si>
  <si>
    <t>LME锌:出仓:美国:巴尔的摩</t>
  </si>
  <si>
    <t>LME锌:出仓:西班牙:巴塞罗那</t>
  </si>
  <si>
    <t>LME锌:出仓:西班牙:毕尔巴鄂</t>
  </si>
  <si>
    <t>LME锌:出仓:德国:不莱梅</t>
  </si>
  <si>
    <t>LME锌:出仓:美国:芝加哥</t>
  </si>
  <si>
    <t>LME锌:出仓:美国:底特律</t>
  </si>
  <si>
    <t>LME锌:出仓:意大利:热那亚</t>
  </si>
  <si>
    <t>LME锌:出仓:德国:汉堡</t>
  </si>
  <si>
    <t>LME锌:出仓:瑞典:赫尔辛堡</t>
  </si>
  <si>
    <t>LME锌:出仓:英国:赫尔</t>
  </si>
  <si>
    <t>LME锌:出仓:马来西亚:柔佛</t>
  </si>
  <si>
    <t>LME锌:出仓:意大利:来亨</t>
  </si>
  <si>
    <t>LME锌:出仓:英国:利物浦</t>
  </si>
  <si>
    <t>LME锌:出仓:美国:长岛</t>
  </si>
  <si>
    <t>LME锌:出仓:美国:洛杉矶</t>
  </si>
  <si>
    <t>LME锌:出仓:美国:莫比尔</t>
  </si>
  <si>
    <t>LME锌:出仓:美国:新奥尔良</t>
  </si>
  <si>
    <t>LME锌:出仓:马来西亚:巴生港</t>
  </si>
  <si>
    <t>LME锌:出仓:荷兰:鹿特丹</t>
  </si>
  <si>
    <t>LME锌:出仓:新加坡:新加坡</t>
  </si>
  <si>
    <t>LME锌:出仓:美国:圣路易斯</t>
  </si>
  <si>
    <t>LME锌:出仓:西班牙:托莱多</t>
  </si>
  <si>
    <t>LME锌:出仓:意大利:的里雅斯特</t>
  </si>
  <si>
    <t>LME锌:出仓:荷兰:弗利辛恩</t>
  </si>
  <si>
    <t>LME锌:出仓:中国台湾:高雄</t>
  </si>
  <si>
    <t>合计:全球</t>
  </si>
  <si>
    <t>合计:欧洲</t>
  </si>
  <si>
    <t>合计:德国</t>
  </si>
  <si>
    <t>合计:比利时</t>
  </si>
  <si>
    <t>合计:瑞典</t>
  </si>
  <si>
    <t>合计:西班牙</t>
  </si>
  <si>
    <t>合计:荷兰</t>
  </si>
  <si>
    <t>合计:意大利</t>
  </si>
  <si>
    <t>合计:英国</t>
  </si>
  <si>
    <t>合计:美国</t>
  </si>
  <si>
    <t>合计:亚洲</t>
  </si>
  <si>
    <t>合计:马来西亚</t>
  </si>
  <si>
    <t>合计:新加坡</t>
  </si>
  <si>
    <t>合计:中国台湾</t>
  </si>
  <si>
    <t>合计:阿联酋</t>
  </si>
  <si>
    <t>阿联酋:迪拜</t>
  </si>
  <si>
    <t>期末库存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</si>
  <si>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</si>
  <si>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</si>
  <si>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</si>
  <si>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LME锌:库存:英国:泰恩-威尔</t>
    <phoneticPr fontId="1" type="noConversion"/>
  </si>
  <si>
    <t>LME锌:注册仓单:英国:泰恩-威尔</t>
    <phoneticPr fontId="1" type="noConversion"/>
  </si>
  <si>
    <t>LME锌:注销仓单:英国:泰恩-威尔</t>
    <phoneticPr fontId="1" type="noConversion"/>
  </si>
  <si>
    <t>LME锌:入仓:英国:泰恩-威尔</t>
    <phoneticPr fontId="1" type="noConversion"/>
  </si>
  <si>
    <t>LME锌:出仓:英国:泰恩-威尔</t>
    <phoneticPr fontId="1" type="noConversion"/>
  </si>
  <si>
    <t>合计：中东</t>
    <phoneticPr fontId="1" type="noConversion"/>
  </si>
  <si>
    <t>LME锌:库存:合计:中东</t>
  </si>
  <si>
    <t>LME锌:注册仓单:合计:中东</t>
  </si>
  <si>
    <t>LME锌:注销仓单:合计:中东</t>
  </si>
  <si>
    <t>LME锌:入仓:合计:中东</t>
  </si>
  <si>
    <t>LME锌:出仓:合计:中东</t>
  </si>
  <si>
    <t>LME锌:出仓:合计:阿联酋</t>
    <phoneticPr fontId="1" type="noConversion"/>
  </si>
  <si>
    <t>LME锌:出仓:阿联酋:迪拜</t>
    <phoneticPr fontId="1" type="noConversion"/>
  </si>
  <si>
    <t>LME锌:注册仓单:合计:北美洲</t>
    <phoneticPr fontId="1" type="noConversion"/>
  </si>
  <si>
    <t>最近更新：</t>
    <phoneticPr fontId="5" type="noConversion"/>
  </si>
  <si>
    <t>LME锌:注册仓单:合计:全球</t>
    <phoneticPr fontId="1" type="noConversion"/>
  </si>
  <si>
    <t>LME锌:出仓:合计:欧洲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</si>
  <si>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</si>
  <si>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</si>
  <si>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</si>
  <si>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注册仓单</t>
    <phoneticPr fontId="1" type="noConversion"/>
  </si>
  <si>
    <t>入仓</t>
    <phoneticPr fontId="1" type="noConversion"/>
  </si>
  <si>
    <t>LME锌:库存:合计:全球</t>
    <phoneticPr fontId="1" type="noConversion"/>
  </si>
  <si>
    <t>LME锌:注销仓单:合计:全球</t>
    <phoneticPr fontId="1" type="noConversion"/>
  </si>
  <si>
    <t>LME锌:入仓:合计:全球</t>
    <phoneticPr fontId="1" type="noConversion"/>
  </si>
  <si>
    <t>LME锌:出仓:合计:全球</t>
    <phoneticPr fontId="1" type="noConversion"/>
  </si>
  <si>
    <t>合计:北美洲</t>
    <phoneticPr fontId="1" type="noConversion"/>
  </si>
  <si>
    <t>LME锌:库存:合计:北美洲</t>
    <phoneticPr fontId="1" type="noConversion"/>
  </si>
  <si>
    <t>LME锌:注销仓单:合计:北美洲</t>
    <phoneticPr fontId="1" type="noConversion"/>
  </si>
  <si>
    <t>LME锌:入仓:合计:北美洲</t>
    <phoneticPr fontId="1" type="noConversion"/>
  </si>
  <si>
    <t>LME锌:出仓:合计:北美洲</t>
    <phoneticPr fontId="1" type="noConversion"/>
  </si>
  <si>
    <t>吨</t>
    <phoneticPr fontId="1" type="noConversion"/>
  </si>
  <si>
    <t>日</t>
    <phoneticPr fontId="1" type="noConversion"/>
  </si>
  <si>
    <t>S0164984</t>
    <phoneticPr fontId="1" type="noConversion"/>
  </si>
  <si>
    <t>指标ID</t>
    <phoneticPr fontId="1" type="noConversion"/>
  </si>
  <si>
    <t>LME锌:库存:合计:亚洲</t>
    <phoneticPr fontId="1" type="noConversion"/>
  </si>
  <si>
    <t>LME锌:库存:合计:德国</t>
    <phoneticPr fontId="1" type="noConversion"/>
  </si>
  <si>
    <t>S0164977</t>
    <phoneticPr fontId="1" type="noConversion"/>
  </si>
  <si>
    <t>LME锌:库存:合计:荷兰</t>
    <phoneticPr fontId="1" type="noConversion"/>
  </si>
  <si>
    <t>LME锌:库存:合计:意大利</t>
    <phoneticPr fontId="1" type="noConversion"/>
  </si>
  <si>
    <t>S0164985</t>
    <phoneticPr fontId="1" type="noConversion"/>
  </si>
  <si>
    <t>LME锌:库存:西班牙:巴塞罗那</t>
    <phoneticPr fontId="1" type="noConversion"/>
  </si>
  <si>
    <t>LME锌:库存:意大利:热那亚</t>
    <phoneticPr fontId="1" type="noConversion"/>
  </si>
  <si>
    <t>LME锌:库存:德国:汉堡</t>
    <phoneticPr fontId="1" type="noConversion"/>
  </si>
  <si>
    <t>LME锌:库存:瑞典:赫尔辛堡</t>
    <phoneticPr fontId="1" type="noConversion"/>
  </si>
  <si>
    <t>S0165000</t>
    <phoneticPr fontId="1" type="noConversion"/>
  </si>
  <si>
    <t>LME锌:库存:西班牙:托莱多</t>
    <phoneticPr fontId="1" type="noConversion"/>
  </si>
  <si>
    <t>S0165011</t>
    <phoneticPr fontId="1" type="noConversion"/>
  </si>
  <si>
    <t>S0165017</t>
    <phoneticPr fontId="1" type="noConversion"/>
  </si>
  <si>
    <t>LME锌:注册仓单:合计:西班牙</t>
    <phoneticPr fontId="1" type="noConversion"/>
  </si>
  <si>
    <t>LME锌:注册仓单:德国:不莱梅</t>
    <phoneticPr fontId="1" type="noConversion"/>
  </si>
  <si>
    <t>LME锌:注册仓单:美国:圣路易斯</t>
    <phoneticPr fontId="1" type="noConversion"/>
  </si>
  <si>
    <t>指标名称</t>
    <phoneticPr fontId="1" type="noConversion"/>
  </si>
  <si>
    <t>频率</t>
    <phoneticPr fontId="1" type="noConversion"/>
  </si>
  <si>
    <t>单位</t>
    <phoneticPr fontId="1" type="noConversion"/>
  </si>
  <si>
    <t>吨</t>
    <phoneticPr fontId="1" type="noConversion"/>
  </si>
  <si>
    <t>S0164973</t>
    <phoneticPr fontId="1" type="noConversion"/>
  </si>
  <si>
    <t>LME锌:库存:合计:欧洲</t>
    <phoneticPr fontId="1" type="noConversion"/>
  </si>
  <si>
    <t>日</t>
    <phoneticPr fontId="1" type="noConversion"/>
  </si>
  <si>
    <t>S0164974</t>
    <phoneticPr fontId="1" type="noConversion"/>
  </si>
  <si>
    <t>S0164975</t>
    <phoneticPr fontId="1" type="noConversion"/>
  </si>
  <si>
    <t>吨</t>
    <phoneticPr fontId="1" type="noConversion"/>
  </si>
  <si>
    <t>S0164976</t>
    <phoneticPr fontId="1" type="noConversion"/>
  </si>
  <si>
    <t>S0164978</t>
    <phoneticPr fontId="1" type="noConversion"/>
  </si>
  <si>
    <t>LME锌:库存:合计:美国</t>
    <phoneticPr fontId="1" type="noConversion"/>
  </si>
  <si>
    <t>S0164979</t>
    <phoneticPr fontId="1" type="noConversion"/>
  </si>
  <si>
    <t>LME锌:库存:合计:瑞典</t>
    <phoneticPr fontId="1" type="noConversion"/>
  </si>
  <si>
    <t>S0164980</t>
    <phoneticPr fontId="1" type="noConversion"/>
  </si>
  <si>
    <t>LME锌:库存:合计:英国</t>
    <phoneticPr fontId="1" type="noConversion"/>
  </si>
  <si>
    <t>S0164981</t>
    <phoneticPr fontId="1" type="noConversion"/>
  </si>
  <si>
    <t>LME锌:库存:合计:比利时</t>
    <phoneticPr fontId="1" type="noConversion"/>
  </si>
  <si>
    <t>日</t>
    <phoneticPr fontId="1" type="noConversion"/>
  </si>
  <si>
    <t>S0164982</t>
    <phoneticPr fontId="1" type="noConversion"/>
  </si>
  <si>
    <t>LME锌:库存:合计:西班牙</t>
    <phoneticPr fontId="1" type="noConversion"/>
  </si>
  <si>
    <t>S0164983</t>
    <phoneticPr fontId="1" type="noConversion"/>
  </si>
  <si>
    <t>LME锌:库存:合计:新加坡</t>
    <phoneticPr fontId="1" type="noConversion"/>
  </si>
  <si>
    <t>LME锌:库存:合计:马来西亚</t>
    <phoneticPr fontId="1" type="noConversion"/>
  </si>
  <si>
    <t>S0164986</t>
    <phoneticPr fontId="1" type="noConversion"/>
  </si>
  <si>
    <t>LME锌:库存:合计:阿联酋</t>
    <phoneticPr fontId="1" type="noConversion"/>
  </si>
  <si>
    <t>S0164987</t>
    <phoneticPr fontId="1" type="noConversion"/>
  </si>
  <si>
    <t>LME锌:库存:合计:中国台湾</t>
    <phoneticPr fontId="1" type="noConversion"/>
  </si>
  <si>
    <t>C0902064</t>
    <phoneticPr fontId="1" type="noConversion"/>
  </si>
  <si>
    <t>LME锌:库存:比利时:安特卫普</t>
    <phoneticPr fontId="1" type="noConversion"/>
  </si>
  <si>
    <t>S0164988</t>
    <phoneticPr fontId="1" type="noConversion"/>
  </si>
  <si>
    <t>LME锌:库存:美国:巴尔的摩</t>
    <phoneticPr fontId="1" type="noConversion"/>
  </si>
  <si>
    <t>S0164989</t>
    <phoneticPr fontId="1" type="noConversion"/>
  </si>
  <si>
    <t>S0164990</t>
    <phoneticPr fontId="1" type="noConversion"/>
  </si>
  <si>
    <t>LME锌:库存:西班牙:毕尔巴鄂</t>
    <phoneticPr fontId="1" type="noConversion"/>
  </si>
  <si>
    <t>S0164991</t>
    <phoneticPr fontId="1" type="noConversion"/>
  </si>
  <si>
    <t>LME锌:库存:德国:不莱梅</t>
    <phoneticPr fontId="1" type="noConversion"/>
  </si>
  <si>
    <t>S0164992</t>
    <phoneticPr fontId="1" type="noConversion"/>
  </si>
  <si>
    <t>LME锌:库存:美国:芝加哥</t>
    <phoneticPr fontId="1" type="noConversion"/>
  </si>
  <si>
    <t>S0164993</t>
    <phoneticPr fontId="1" type="noConversion"/>
  </si>
  <si>
    <t>LME锌:库存:美国:底特律</t>
    <phoneticPr fontId="1" type="noConversion"/>
  </si>
  <si>
    <t>S0164994</t>
    <phoneticPr fontId="1" type="noConversion"/>
  </si>
  <si>
    <t>LME锌:库存:阿联酋:迪拜</t>
    <phoneticPr fontId="1" type="noConversion"/>
  </si>
  <si>
    <t>S0164995</t>
    <phoneticPr fontId="1" type="noConversion"/>
  </si>
  <si>
    <t>S0164996</t>
    <phoneticPr fontId="1" type="noConversion"/>
  </si>
  <si>
    <t>S0164997</t>
    <phoneticPr fontId="1" type="noConversion"/>
  </si>
  <si>
    <t>S0164998</t>
    <phoneticPr fontId="1" type="noConversion"/>
  </si>
  <si>
    <t>LME锌:库存:英国:赫尔</t>
    <phoneticPr fontId="1" type="noConversion"/>
  </si>
  <si>
    <t>S0164999</t>
    <phoneticPr fontId="1" type="noConversion"/>
  </si>
  <si>
    <t>LME锌:库存:马来西亚:柔佛</t>
    <phoneticPr fontId="1" type="noConversion"/>
  </si>
  <si>
    <t>LME锌:库存:意大利:来亨</t>
    <phoneticPr fontId="1" type="noConversion"/>
  </si>
  <si>
    <t>S0165001</t>
    <phoneticPr fontId="1" type="noConversion"/>
  </si>
  <si>
    <t>LME锌:库存:英国:利物浦</t>
    <phoneticPr fontId="1" type="noConversion"/>
  </si>
  <si>
    <t>S0165002</t>
    <phoneticPr fontId="1" type="noConversion"/>
  </si>
  <si>
    <t>LME锌:库存:美国:长岛</t>
    <phoneticPr fontId="1" type="noConversion"/>
  </si>
  <si>
    <t>S0165003</t>
    <phoneticPr fontId="1" type="noConversion"/>
  </si>
  <si>
    <t>LME锌:库存:美国:洛杉矶</t>
    <phoneticPr fontId="1" type="noConversion"/>
  </si>
  <si>
    <t>日</t>
    <phoneticPr fontId="1" type="noConversion"/>
  </si>
  <si>
    <t>S0165004</t>
    <phoneticPr fontId="1" type="noConversion"/>
  </si>
  <si>
    <t>LME锌:库存:美国:莫比尔</t>
    <phoneticPr fontId="1" type="noConversion"/>
  </si>
  <si>
    <t>S0165005</t>
    <phoneticPr fontId="1" type="noConversion"/>
  </si>
  <si>
    <t>LME锌:库存:美国:新奥尔良</t>
    <phoneticPr fontId="1" type="noConversion"/>
  </si>
  <si>
    <t>S0165006</t>
    <phoneticPr fontId="1" type="noConversion"/>
  </si>
  <si>
    <t>LME锌:库存:马来西亚:巴生港</t>
    <phoneticPr fontId="1" type="noConversion"/>
  </si>
  <si>
    <t>S0165007</t>
    <phoneticPr fontId="1" type="noConversion"/>
  </si>
  <si>
    <t>LME锌:库存:荷兰:鹿特丹</t>
    <phoneticPr fontId="1" type="noConversion"/>
  </si>
  <si>
    <t>S0165008</t>
    <phoneticPr fontId="1" type="noConversion"/>
  </si>
  <si>
    <t>LME锌:库存:新加坡:新加坡</t>
    <phoneticPr fontId="1" type="noConversion"/>
  </si>
  <si>
    <t>S0165009</t>
    <phoneticPr fontId="1" type="noConversion"/>
  </si>
  <si>
    <t>LME锌:库存:美国:圣路易斯</t>
    <phoneticPr fontId="1" type="noConversion"/>
  </si>
  <si>
    <t>S0165010</t>
    <phoneticPr fontId="1" type="noConversion"/>
  </si>
  <si>
    <t>LME锌:库存:意大利:的里雅斯特</t>
    <phoneticPr fontId="1" type="noConversion"/>
  </si>
  <si>
    <t>S0165012</t>
    <phoneticPr fontId="1" type="noConversion"/>
  </si>
  <si>
    <t>LME锌:库存:英国:泰恩-威尔</t>
    <phoneticPr fontId="1" type="noConversion"/>
  </si>
  <si>
    <t>S0165013</t>
    <phoneticPr fontId="1" type="noConversion"/>
  </si>
  <si>
    <t>LME锌:库存:荷兰:弗利辛恩</t>
    <phoneticPr fontId="1" type="noConversion"/>
  </si>
  <si>
    <t>S0165014</t>
    <phoneticPr fontId="1" type="noConversion"/>
  </si>
  <si>
    <t>LME锌:库存:中国台湾:高雄</t>
    <phoneticPr fontId="1" type="noConversion"/>
  </si>
  <si>
    <t>N7993892</t>
    <phoneticPr fontId="1" type="noConversion"/>
  </si>
  <si>
    <t>LME锌:注册仓单:合计:全球</t>
    <phoneticPr fontId="1" type="noConversion"/>
  </si>
  <si>
    <t>S0165015</t>
    <phoneticPr fontId="1" type="noConversion"/>
  </si>
  <si>
    <t>LME锌:注册仓单:合计:欧洲</t>
    <phoneticPr fontId="1" type="noConversion"/>
  </si>
  <si>
    <t>S0165016</t>
    <phoneticPr fontId="1" type="noConversion"/>
  </si>
  <si>
    <t>LME锌:注册仓单:合计:亚洲</t>
    <phoneticPr fontId="1" type="noConversion"/>
  </si>
  <si>
    <t>LME锌:注册仓单:合计:北美洲</t>
    <phoneticPr fontId="1" type="noConversion"/>
  </si>
  <si>
    <t>S0165018</t>
    <phoneticPr fontId="1" type="noConversion"/>
  </si>
  <si>
    <t>LME锌:注册仓单:合计:德国</t>
    <phoneticPr fontId="1" type="noConversion"/>
  </si>
  <si>
    <t>S0165019</t>
    <phoneticPr fontId="1" type="noConversion"/>
  </si>
  <si>
    <t>LME锌:注册仓单:合计:荷兰</t>
    <phoneticPr fontId="1" type="noConversion"/>
  </si>
  <si>
    <t>S0165020</t>
    <phoneticPr fontId="1" type="noConversion"/>
  </si>
  <si>
    <t>LME锌:注册仓单:合计:美国</t>
    <phoneticPr fontId="1" type="noConversion"/>
  </si>
  <si>
    <t>S0165021</t>
    <phoneticPr fontId="1" type="noConversion"/>
  </si>
  <si>
    <t>LME锌:注册仓单:合计:瑞典</t>
    <phoneticPr fontId="1" type="noConversion"/>
  </si>
  <si>
    <t>S0165022</t>
    <phoneticPr fontId="1" type="noConversion"/>
  </si>
  <si>
    <t>LME锌:注册仓单:合计:英国</t>
    <phoneticPr fontId="1" type="noConversion"/>
  </si>
  <si>
    <t>S0165023</t>
    <phoneticPr fontId="1" type="noConversion"/>
  </si>
  <si>
    <t>LME锌:注册仓单:合计:比利时</t>
    <phoneticPr fontId="1" type="noConversion"/>
  </si>
  <si>
    <t>S0165024</t>
    <phoneticPr fontId="1" type="noConversion"/>
  </si>
  <si>
    <t>S0165025</t>
    <phoneticPr fontId="1" type="noConversion"/>
  </si>
  <si>
    <t>LME锌:注册仓单:合计:新加坡</t>
    <phoneticPr fontId="1" type="noConversion"/>
  </si>
  <si>
    <t>S0165026</t>
    <phoneticPr fontId="1" type="noConversion"/>
  </si>
  <si>
    <t>LME锌:注册仓单:合计:意大利</t>
    <phoneticPr fontId="1" type="noConversion"/>
  </si>
  <si>
    <t>S0165027</t>
    <phoneticPr fontId="1" type="noConversion"/>
  </si>
  <si>
    <t>LME锌:注册仓单:合计:马来西亚</t>
    <phoneticPr fontId="1" type="noConversion"/>
  </si>
  <si>
    <t>S0165028</t>
    <phoneticPr fontId="1" type="noConversion"/>
  </si>
  <si>
    <t>LME锌:注册仓单:合计:阿联酋</t>
    <phoneticPr fontId="1" type="noConversion"/>
  </si>
  <si>
    <t>S0165029</t>
    <phoneticPr fontId="1" type="noConversion"/>
  </si>
  <si>
    <t>LME锌:注册仓单:合计:中国台湾</t>
    <phoneticPr fontId="1" type="noConversion"/>
  </si>
  <si>
    <t>L0181343</t>
    <phoneticPr fontId="1" type="noConversion"/>
  </si>
  <si>
    <t>LME锌:注册仓单:比利时:安特卫普</t>
    <phoneticPr fontId="1" type="noConversion"/>
  </si>
  <si>
    <t>S0165030</t>
    <phoneticPr fontId="1" type="noConversion"/>
  </si>
  <si>
    <t>LME锌:注册仓单:美国:巴尔的摩</t>
    <phoneticPr fontId="1" type="noConversion"/>
  </si>
  <si>
    <t>S0165031</t>
    <phoneticPr fontId="1" type="noConversion"/>
  </si>
  <si>
    <t>LME锌:注册仓单:西班牙:巴塞罗那</t>
    <phoneticPr fontId="1" type="noConversion"/>
  </si>
  <si>
    <t>S0165032</t>
    <phoneticPr fontId="1" type="noConversion"/>
  </si>
  <si>
    <t>LME锌:注册仓单:西班牙:毕尔巴鄂</t>
    <phoneticPr fontId="1" type="noConversion"/>
  </si>
  <si>
    <t>S0165033</t>
    <phoneticPr fontId="1" type="noConversion"/>
  </si>
  <si>
    <t>S0165034</t>
    <phoneticPr fontId="1" type="noConversion"/>
  </si>
  <si>
    <t>LME锌:注册仓单:美国:芝加哥</t>
    <phoneticPr fontId="1" type="noConversion"/>
  </si>
  <si>
    <t>S0165035</t>
    <phoneticPr fontId="1" type="noConversion"/>
  </si>
  <si>
    <t>LME锌:注册仓单:美国:底特律</t>
    <phoneticPr fontId="1" type="noConversion"/>
  </si>
  <si>
    <t>S0165036</t>
    <phoneticPr fontId="1" type="noConversion"/>
  </si>
  <si>
    <t>LME锌:注册仓单:阿联酋:迪拜</t>
    <phoneticPr fontId="1" type="noConversion"/>
  </si>
  <si>
    <t>S0165037</t>
    <phoneticPr fontId="1" type="noConversion"/>
  </si>
  <si>
    <t>LME锌:注册仓单:意大利:热那亚</t>
    <phoneticPr fontId="1" type="noConversion"/>
  </si>
  <si>
    <t>S0165038</t>
    <phoneticPr fontId="1" type="noConversion"/>
  </si>
  <si>
    <t>LME锌:注册仓单:德国:汉堡</t>
    <phoneticPr fontId="1" type="noConversion"/>
  </si>
  <si>
    <t>S0165039</t>
    <phoneticPr fontId="1" type="noConversion"/>
  </si>
  <si>
    <t>LME锌:注册仓单:瑞典:赫尔辛堡</t>
    <phoneticPr fontId="1" type="noConversion"/>
  </si>
  <si>
    <t>S0165040</t>
    <phoneticPr fontId="1" type="noConversion"/>
  </si>
  <si>
    <t>LME锌:注册仓单:英国:赫尔</t>
    <phoneticPr fontId="1" type="noConversion"/>
  </si>
  <si>
    <t>S0165041</t>
    <phoneticPr fontId="1" type="noConversion"/>
  </si>
  <si>
    <t>LME锌:注册仓单:马来西亚:柔佛</t>
    <phoneticPr fontId="1" type="noConversion"/>
  </si>
  <si>
    <t>S0165042</t>
    <phoneticPr fontId="1" type="noConversion"/>
  </si>
  <si>
    <t>LME锌:注册仓单:意大利:来亨</t>
    <phoneticPr fontId="1" type="noConversion"/>
  </si>
  <si>
    <t>S0165043</t>
    <phoneticPr fontId="1" type="noConversion"/>
  </si>
  <si>
    <t>LME锌:注册仓单:英国:利物浦</t>
    <phoneticPr fontId="1" type="noConversion"/>
  </si>
  <si>
    <t>S0165044</t>
    <phoneticPr fontId="1" type="noConversion"/>
  </si>
  <si>
    <t>LME锌:注册仓单:美国:长岛</t>
    <phoneticPr fontId="1" type="noConversion"/>
  </si>
  <si>
    <t>S0165045</t>
    <phoneticPr fontId="1" type="noConversion"/>
  </si>
  <si>
    <t>LME锌:注册仓单:美国:洛杉矶</t>
    <phoneticPr fontId="1" type="noConversion"/>
  </si>
  <si>
    <t>S0165046</t>
    <phoneticPr fontId="1" type="noConversion"/>
  </si>
  <si>
    <t>LME锌:注册仓单:美国:莫比尔</t>
    <phoneticPr fontId="1" type="noConversion"/>
  </si>
  <si>
    <t>S0165047</t>
    <phoneticPr fontId="1" type="noConversion"/>
  </si>
  <si>
    <t>LME锌:注册仓单:美国:新奥尔良</t>
    <phoneticPr fontId="1" type="noConversion"/>
  </si>
  <si>
    <t>S0165048</t>
    <phoneticPr fontId="1" type="noConversion"/>
  </si>
  <si>
    <t>LME锌:注册仓单:马来西亚:巴生港</t>
    <phoneticPr fontId="1" type="noConversion"/>
  </si>
  <si>
    <t>S0165049</t>
    <phoneticPr fontId="1" type="noConversion"/>
  </si>
  <si>
    <t>LME锌:注册仓单:荷兰:鹿特丹</t>
    <phoneticPr fontId="1" type="noConversion"/>
  </si>
  <si>
    <t>S0165050</t>
    <phoneticPr fontId="1" type="noConversion"/>
  </si>
  <si>
    <t>LME锌:注册仓单:新加坡:新加坡</t>
    <phoneticPr fontId="1" type="noConversion"/>
  </si>
  <si>
    <t>S0165051</t>
    <phoneticPr fontId="1" type="noConversion"/>
  </si>
  <si>
    <t>S0165052</t>
    <phoneticPr fontId="1" type="noConversion"/>
  </si>
  <si>
    <t>LME锌:注册仓单:西班牙:托莱多</t>
    <phoneticPr fontId="1" type="noConversion"/>
  </si>
  <si>
    <t>S0165053</t>
    <phoneticPr fontId="1" type="noConversion"/>
  </si>
  <si>
    <t>LME锌:注册仓单:意大利:的里雅斯特</t>
    <phoneticPr fontId="1" type="noConversion"/>
  </si>
  <si>
    <t>S0165054</t>
    <phoneticPr fontId="1" type="noConversion"/>
  </si>
  <si>
    <t>S0165055</t>
    <phoneticPr fontId="1" type="noConversion"/>
  </si>
  <si>
    <t>LME锌:注册仓单:荷兰:弗利辛恩</t>
    <phoneticPr fontId="1" type="noConversion"/>
  </si>
  <si>
    <t>S0165056</t>
    <phoneticPr fontId="1" type="noConversion"/>
  </si>
  <si>
    <t>LME锌:注册仓单:中国台湾:高雄</t>
    <phoneticPr fontId="1" type="noConversion"/>
  </si>
  <si>
    <t>Z6622187</t>
    <phoneticPr fontId="1" type="noConversion"/>
  </si>
  <si>
    <t>LME锌:注销仓单:合计:全球</t>
    <phoneticPr fontId="1" type="noConversion"/>
  </si>
  <si>
    <t>S0165057</t>
    <phoneticPr fontId="1" type="noConversion"/>
  </si>
  <si>
    <t>LME锌:注销仓单:合计:欧洲</t>
    <phoneticPr fontId="1" type="noConversion"/>
  </si>
  <si>
    <t>S0165058</t>
    <phoneticPr fontId="1" type="noConversion"/>
  </si>
  <si>
    <t>LME锌:注销仓单:合计:亚洲</t>
    <phoneticPr fontId="1" type="noConversion"/>
  </si>
  <si>
    <t>S0165059</t>
    <phoneticPr fontId="1" type="noConversion"/>
  </si>
  <si>
    <t>LME锌:注销仓单:合计:北美洲</t>
    <phoneticPr fontId="1" type="noConversion"/>
  </si>
  <si>
    <t>S0165060</t>
    <phoneticPr fontId="1" type="noConversion"/>
  </si>
  <si>
    <t>LME锌:注销仓单:合计:德国</t>
    <phoneticPr fontId="1" type="noConversion"/>
  </si>
  <si>
    <t>S0165061</t>
    <phoneticPr fontId="1" type="noConversion"/>
  </si>
  <si>
    <t>LME锌:注销仓单:合计:荷兰</t>
    <phoneticPr fontId="1" type="noConversion"/>
  </si>
  <si>
    <t>S0165062</t>
    <phoneticPr fontId="1" type="noConversion"/>
  </si>
  <si>
    <t>LME锌:注销仓单:合计:美国</t>
    <phoneticPr fontId="1" type="noConversion"/>
  </si>
  <si>
    <t>S0165063</t>
    <phoneticPr fontId="1" type="noConversion"/>
  </si>
  <si>
    <t>LME锌:注销仓单:合计:瑞典</t>
    <phoneticPr fontId="1" type="noConversion"/>
  </si>
  <si>
    <t>S0165064</t>
    <phoneticPr fontId="1" type="noConversion"/>
  </si>
  <si>
    <t>LME锌:注销仓单:合计:英国</t>
    <phoneticPr fontId="1" type="noConversion"/>
  </si>
  <si>
    <t>S0165065</t>
    <phoneticPr fontId="1" type="noConversion"/>
  </si>
  <si>
    <t>LME锌:注销仓单:合计:比利时</t>
    <phoneticPr fontId="1" type="noConversion"/>
  </si>
  <si>
    <t>S0165066</t>
    <phoneticPr fontId="1" type="noConversion"/>
  </si>
  <si>
    <t>LME锌:注销仓单:合计:西班牙</t>
    <phoneticPr fontId="1" type="noConversion"/>
  </si>
  <si>
    <t>S0165067</t>
    <phoneticPr fontId="1" type="noConversion"/>
  </si>
  <si>
    <t>LME锌:注销仓单:合计:新加坡</t>
    <phoneticPr fontId="1" type="noConversion"/>
  </si>
  <si>
    <t>S0165068</t>
    <phoneticPr fontId="1" type="noConversion"/>
  </si>
  <si>
    <t>LME锌:注销仓单:合计:意大利</t>
    <phoneticPr fontId="1" type="noConversion"/>
  </si>
  <si>
    <t>S0165069</t>
    <phoneticPr fontId="1" type="noConversion"/>
  </si>
  <si>
    <t>LME锌:注销仓单:合计:马来西亚</t>
    <phoneticPr fontId="1" type="noConversion"/>
  </si>
  <si>
    <t>S0165070</t>
    <phoneticPr fontId="1" type="noConversion"/>
  </si>
  <si>
    <t>LME锌:注销仓单:合计:阿联酋</t>
    <phoneticPr fontId="1" type="noConversion"/>
  </si>
  <si>
    <t>S0165071</t>
    <phoneticPr fontId="1" type="noConversion"/>
  </si>
  <si>
    <t>LME锌:注销仓单:合计:中国台湾</t>
    <phoneticPr fontId="1" type="noConversion"/>
  </si>
  <si>
    <t>O7454562</t>
    <phoneticPr fontId="1" type="noConversion"/>
  </si>
  <si>
    <t>LME锌:注销仓单:比利时:安特卫普</t>
    <phoneticPr fontId="1" type="noConversion"/>
  </si>
  <si>
    <t>S0165072</t>
    <phoneticPr fontId="1" type="noConversion"/>
  </si>
  <si>
    <t>LME锌:注销仓单:美国:巴尔的摩</t>
    <phoneticPr fontId="1" type="noConversion"/>
  </si>
  <si>
    <t>S0165073</t>
    <phoneticPr fontId="1" type="noConversion"/>
  </si>
  <si>
    <t>LME锌:注销仓单:西班牙:巴塞罗那</t>
    <phoneticPr fontId="1" type="noConversion"/>
  </si>
  <si>
    <t>S0165074</t>
    <phoneticPr fontId="1" type="noConversion"/>
  </si>
  <si>
    <t>LME锌:注销仓单:西班牙:毕尔巴鄂</t>
    <phoneticPr fontId="1" type="noConversion"/>
  </si>
  <si>
    <t>S0165075</t>
    <phoneticPr fontId="1" type="noConversion"/>
  </si>
  <si>
    <t>LME锌:注销仓单:德国:不莱梅</t>
    <phoneticPr fontId="1" type="noConversion"/>
  </si>
  <si>
    <t>S0165076</t>
    <phoneticPr fontId="1" type="noConversion"/>
  </si>
  <si>
    <t>LME锌:注销仓单:美国:芝加哥</t>
    <phoneticPr fontId="1" type="noConversion"/>
  </si>
  <si>
    <t>S0165077</t>
    <phoneticPr fontId="1" type="noConversion"/>
  </si>
  <si>
    <t>LME锌:注销仓单:美国:底特律</t>
    <phoneticPr fontId="1" type="noConversion"/>
  </si>
  <si>
    <t>S0165078</t>
    <phoneticPr fontId="1" type="noConversion"/>
  </si>
  <si>
    <t>LME锌:注销仓单:阿联酋:迪拜</t>
    <phoneticPr fontId="1" type="noConversion"/>
  </si>
  <si>
    <t>S0165079</t>
    <phoneticPr fontId="1" type="noConversion"/>
  </si>
  <si>
    <t>LME锌:注销仓单:意大利:热那亚</t>
    <phoneticPr fontId="1" type="noConversion"/>
  </si>
  <si>
    <t>S0165080</t>
    <phoneticPr fontId="1" type="noConversion"/>
  </si>
  <si>
    <t>LME锌:注销仓单:德国:汉堡</t>
    <phoneticPr fontId="1" type="noConversion"/>
  </si>
  <si>
    <t>S0165081</t>
    <phoneticPr fontId="1" type="noConversion"/>
  </si>
  <si>
    <t>LME锌:注销仓单:瑞典:赫尔辛堡</t>
    <phoneticPr fontId="1" type="noConversion"/>
  </si>
  <si>
    <t>S0165082</t>
    <phoneticPr fontId="1" type="noConversion"/>
  </si>
  <si>
    <t>LME锌:注销仓单:英国:赫尔</t>
    <phoneticPr fontId="1" type="noConversion"/>
  </si>
  <si>
    <t>S0165083</t>
    <phoneticPr fontId="1" type="noConversion"/>
  </si>
  <si>
    <t>LME锌:注销仓单:马来西亚:柔佛</t>
    <phoneticPr fontId="1" type="noConversion"/>
  </si>
  <si>
    <t>S0165084</t>
    <phoneticPr fontId="1" type="noConversion"/>
  </si>
  <si>
    <t>LME锌:注销仓单:意大利:来亨</t>
    <phoneticPr fontId="1" type="noConversion"/>
  </si>
  <si>
    <t>S0165085</t>
    <phoneticPr fontId="1" type="noConversion"/>
  </si>
  <si>
    <t>LME锌:注销仓单:英国:利物浦</t>
    <phoneticPr fontId="1" type="noConversion"/>
  </si>
  <si>
    <t>S0165086</t>
    <phoneticPr fontId="1" type="noConversion"/>
  </si>
  <si>
    <t>LME锌:注销仓单:美国:长岛</t>
    <phoneticPr fontId="1" type="noConversion"/>
  </si>
  <si>
    <t>S0165087</t>
    <phoneticPr fontId="1" type="noConversion"/>
  </si>
  <si>
    <t>LME锌:注销仓单:美国:洛杉矶</t>
    <phoneticPr fontId="1" type="noConversion"/>
  </si>
  <si>
    <t>S0165088</t>
    <phoneticPr fontId="1" type="noConversion"/>
  </si>
  <si>
    <t>LME锌:注销仓单:美国:莫比尔</t>
    <phoneticPr fontId="1" type="noConversion"/>
  </si>
  <si>
    <t>S0165089</t>
    <phoneticPr fontId="1" type="noConversion"/>
  </si>
  <si>
    <t>LME锌:注销仓单:美国:新奥尔良</t>
    <phoneticPr fontId="1" type="noConversion"/>
  </si>
  <si>
    <t>S0165090</t>
    <phoneticPr fontId="1" type="noConversion"/>
  </si>
  <si>
    <t>LME锌:注销仓单:马来西亚:巴生港</t>
    <phoneticPr fontId="1" type="noConversion"/>
  </si>
  <si>
    <t>S0165091</t>
    <phoneticPr fontId="1" type="noConversion"/>
  </si>
  <si>
    <t>LME锌:注销仓单:荷兰:鹿特丹</t>
    <phoneticPr fontId="1" type="noConversion"/>
  </si>
  <si>
    <t>S0165092</t>
    <phoneticPr fontId="1" type="noConversion"/>
  </si>
  <si>
    <t>LME锌:注销仓单:新加坡:新加坡</t>
    <phoneticPr fontId="1" type="noConversion"/>
  </si>
  <si>
    <t>S0165093</t>
    <phoneticPr fontId="1" type="noConversion"/>
  </si>
  <si>
    <t>LME锌:注销仓单:美国:圣路易斯</t>
    <phoneticPr fontId="1" type="noConversion"/>
  </si>
  <si>
    <t>S0165094</t>
    <phoneticPr fontId="1" type="noConversion"/>
  </si>
  <si>
    <t>LME锌:注销仓单:西班牙:托莱多</t>
    <phoneticPr fontId="1" type="noConversion"/>
  </si>
  <si>
    <t>S0165095</t>
    <phoneticPr fontId="1" type="noConversion"/>
  </si>
  <si>
    <t>LME锌:注销仓单:意大利:的里雅斯特</t>
    <phoneticPr fontId="1" type="noConversion"/>
  </si>
  <si>
    <t>S0165096</t>
    <phoneticPr fontId="1" type="noConversion"/>
  </si>
  <si>
    <t>LME锌:注销仓单:英国:泰恩-威尔</t>
    <phoneticPr fontId="1" type="noConversion"/>
  </si>
  <si>
    <t>S0165097</t>
    <phoneticPr fontId="1" type="noConversion"/>
  </si>
  <si>
    <t>LME锌:注销仓单:荷兰:弗利辛恩</t>
    <phoneticPr fontId="1" type="noConversion"/>
  </si>
  <si>
    <t>S0165098</t>
    <phoneticPr fontId="1" type="noConversion"/>
  </si>
  <si>
    <t>LME锌:注销仓单:中国台湾:高雄</t>
    <phoneticPr fontId="1" type="noConversion"/>
  </si>
  <si>
    <t>R8775149</t>
    <phoneticPr fontId="1" type="noConversion"/>
  </si>
  <si>
    <t>LME锌:入仓:合计:全球</t>
    <phoneticPr fontId="1" type="noConversion"/>
  </si>
  <si>
    <t>S0165099</t>
    <phoneticPr fontId="1" type="noConversion"/>
  </si>
  <si>
    <t>LME锌:入仓:合计:欧洲</t>
    <phoneticPr fontId="1" type="noConversion"/>
  </si>
  <si>
    <t>S0165100</t>
    <phoneticPr fontId="1" type="noConversion"/>
  </si>
  <si>
    <t>LME锌:入仓:合计:亚洲</t>
    <phoneticPr fontId="1" type="noConversion"/>
  </si>
  <si>
    <t>S0165101</t>
    <phoneticPr fontId="1" type="noConversion"/>
  </si>
  <si>
    <t>LME锌:入仓:合计:北美洲</t>
    <phoneticPr fontId="1" type="noConversion"/>
  </si>
  <si>
    <t>S0165102</t>
    <phoneticPr fontId="1" type="noConversion"/>
  </si>
  <si>
    <t>LME锌:入仓:合计:德国</t>
    <phoneticPr fontId="1" type="noConversion"/>
  </si>
  <si>
    <t>S0165103</t>
    <phoneticPr fontId="1" type="noConversion"/>
  </si>
  <si>
    <t>LME锌:入仓:合计:荷兰</t>
    <phoneticPr fontId="1" type="noConversion"/>
  </si>
  <si>
    <t>S0165104</t>
    <phoneticPr fontId="1" type="noConversion"/>
  </si>
  <si>
    <t>LME锌:入仓:合计:美国</t>
    <phoneticPr fontId="1" type="noConversion"/>
  </si>
  <si>
    <t>S0165105</t>
    <phoneticPr fontId="1" type="noConversion"/>
  </si>
  <si>
    <t>LME锌:入仓:合计:瑞典</t>
    <phoneticPr fontId="1" type="noConversion"/>
  </si>
  <si>
    <t>S0165106</t>
    <phoneticPr fontId="1" type="noConversion"/>
  </si>
  <si>
    <t>LME锌:入仓:合计:英国</t>
    <phoneticPr fontId="1" type="noConversion"/>
  </si>
  <si>
    <t>S0165107</t>
    <phoneticPr fontId="1" type="noConversion"/>
  </si>
  <si>
    <t>LME锌:入仓:合计:比利时</t>
    <phoneticPr fontId="1" type="noConversion"/>
  </si>
  <si>
    <t>S0165108</t>
    <phoneticPr fontId="1" type="noConversion"/>
  </si>
  <si>
    <t>LME锌:入仓:合计:西班牙</t>
    <phoneticPr fontId="1" type="noConversion"/>
  </si>
  <si>
    <t>S0165109</t>
    <phoneticPr fontId="1" type="noConversion"/>
  </si>
  <si>
    <t>LME锌:入仓:合计:新加坡</t>
    <phoneticPr fontId="1" type="noConversion"/>
  </si>
  <si>
    <t>S0165110</t>
    <phoneticPr fontId="1" type="noConversion"/>
  </si>
  <si>
    <t>LME锌:入仓:合计:意大利</t>
    <phoneticPr fontId="1" type="noConversion"/>
  </si>
  <si>
    <t>S0165111</t>
    <phoneticPr fontId="1" type="noConversion"/>
  </si>
  <si>
    <t>LME锌:入仓:合计:马来西亚</t>
    <phoneticPr fontId="1" type="noConversion"/>
  </si>
  <si>
    <t>S0165112</t>
    <phoneticPr fontId="1" type="noConversion"/>
  </si>
  <si>
    <t>LME锌:入仓:合计:阿联酋</t>
    <phoneticPr fontId="1" type="noConversion"/>
  </si>
  <si>
    <t>S0165113</t>
    <phoneticPr fontId="1" type="noConversion"/>
  </si>
  <si>
    <t>LME锌:入仓:合计:中国台湾</t>
    <phoneticPr fontId="1" type="noConversion"/>
  </si>
  <si>
    <t>Q8456599</t>
    <phoneticPr fontId="1" type="noConversion"/>
  </si>
  <si>
    <t>LME锌:入仓:比利时:安特卫普</t>
    <phoneticPr fontId="1" type="noConversion"/>
  </si>
  <si>
    <t>S0165114</t>
    <phoneticPr fontId="1" type="noConversion"/>
  </si>
  <si>
    <t>LME锌:入仓:美国:巴尔的摩</t>
    <phoneticPr fontId="1" type="noConversion"/>
  </si>
  <si>
    <t>S0165115</t>
    <phoneticPr fontId="1" type="noConversion"/>
  </si>
  <si>
    <t>LME锌:入仓:西班牙:巴塞罗那</t>
    <phoneticPr fontId="1" type="noConversion"/>
  </si>
  <si>
    <t>S0165116</t>
    <phoneticPr fontId="1" type="noConversion"/>
  </si>
  <si>
    <t>LME锌:入仓:西班牙:毕尔巴鄂</t>
    <phoneticPr fontId="1" type="noConversion"/>
  </si>
  <si>
    <t>S0165117</t>
    <phoneticPr fontId="1" type="noConversion"/>
  </si>
  <si>
    <t>LME锌:入仓:德国:不莱梅</t>
    <phoneticPr fontId="1" type="noConversion"/>
  </si>
  <si>
    <t>S0165118</t>
    <phoneticPr fontId="1" type="noConversion"/>
  </si>
  <si>
    <t>LME锌:入仓:美国:芝加哥</t>
    <phoneticPr fontId="1" type="noConversion"/>
  </si>
  <si>
    <t>S0165119</t>
    <phoneticPr fontId="1" type="noConversion"/>
  </si>
  <si>
    <t>LME锌:入仓:美国:底特律</t>
    <phoneticPr fontId="1" type="noConversion"/>
  </si>
  <si>
    <t>S0165120</t>
    <phoneticPr fontId="1" type="noConversion"/>
  </si>
  <si>
    <t>LME锌:入仓:阿联酋:迪拜</t>
    <phoneticPr fontId="1" type="noConversion"/>
  </si>
  <si>
    <t>S0165121</t>
    <phoneticPr fontId="1" type="noConversion"/>
  </si>
  <si>
    <t>LME锌:入仓:意大利:热那亚</t>
    <phoneticPr fontId="1" type="noConversion"/>
  </si>
  <si>
    <t>S0165122</t>
    <phoneticPr fontId="1" type="noConversion"/>
  </si>
  <si>
    <t>LME锌:入仓:德国:汉堡</t>
    <phoneticPr fontId="1" type="noConversion"/>
  </si>
  <si>
    <t>S0165123</t>
    <phoneticPr fontId="1" type="noConversion"/>
  </si>
  <si>
    <t>LME锌:入仓:瑞典:赫尔辛堡</t>
    <phoneticPr fontId="1" type="noConversion"/>
  </si>
  <si>
    <t>S0165124</t>
    <phoneticPr fontId="1" type="noConversion"/>
  </si>
  <si>
    <t>LME锌:入仓:英国:赫尔</t>
    <phoneticPr fontId="1" type="noConversion"/>
  </si>
  <si>
    <t>S0165125</t>
    <phoneticPr fontId="1" type="noConversion"/>
  </si>
  <si>
    <t>LME锌:入仓:马来西亚:柔佛</t>
    <phoneticPr fontId="1" type="noConversion"/>
  </si>
  <si>
    <t>S0165126</t>
    <phoneticPr fontId="1" type="noConversion"/>
  </si>
  <si>
    <t>LME锌:入仓:意大利:来亨</t>
    <phoneticPr fontId="1" type="noConversion"/>
  </si>
  <si>
    <t>S0165127</t>
    <phoneticPr fontId="1" type="noConversion"/>
  </si>
  <si>
    <t>LME锌:入仓:英国:利物浦</t>
    <phoneticPr fontId="1" type="noConversion"/>
  </si>
  <si>
    <t>S0165128</t>
    <phoneticPr fontId="1" type="noConversion"/>
  </si>
  <si>
    <t>LME锌:入仓:美国:长岛</t>
    <phoneticPr fontId="1" type="noConversion"/>
  </si>
  <si>
    <t>S0165129</t>
    <phoneticPr fontId="1" type="noConversion"/>
  </si>
  <si>
    <t>LME锌:入仓:美国:洛杉矶</t>
    <phoneticPr fontId="1" type="noConversion"/>
  </si>
  <si>
    <t>S0165130</t>
    <phoneticPr fontId="1" type="noConversion"/>
  </si>
  <si>
    <t>LME锌:入仓:美国:莫比尔</t>
    <phoneticPr fontId="1" type="noConversion"/>
  </si>
  <si>
    <t>S0165131</t>
    <phoneticPr fontId="1" type="noConversion"/>
  </si>
  <si>
    <t>LME锌:入仓:美国:新奥尔良</t>
    <phoneticPr fontId="1" type="noConversion"/>
  </si>
  <si>
    <t>S0165132</t>
    <phoneticPr fontId="1" type="noConversion"/>
  </si>
  <si>
    <t>LME锌:入仓:马来西亚:巴生港</t>
    <phoneticPr fontId="1" type="noConversion"/>
  </si>
  <si>
    <t>S0165133</t>
    <phoneticPr fontId="1" type="noConversion"/>
  </si>
  <si>
    <t>LME锌:入仓:荷兰:鹿特丹</t>
    <phoneticPr fontId="1" type="noConversion"/>
  </si>
  <si>
    <t>S0165134</t>
    <phoneticPr fontId="1" type="noConversion"/>
  </si>
  <si>
    <t>LME锌:入仓:新加坡:新加坡</t>
    <phoneticPr fontId="1" type="noConversion"/>
  </si>
  <si>
    <t>S0165135</t>
    <phoneticPr fontId="1" type="noConversion"/>
  </si>
  <si>
    <t>LME锌:入仓:美国:圣路易斯</t>
    <phoneticPr fontId="1" type="noConversion"/>
  </si>
  <si>
    <t>S0165136</t>
    <phoneticPr fontId="1" type="noConversion"/>
  </si>
  <si>
    <t>LME锌:入仓:西班牙:托莱多</t>
    <phoneticPr fontId="1" type="noConversion"/>
  </si>
  <si>
    <t>S0165137</t>
    <phoneticPr fontId="1" type="noConversion"/>
  </si>
  <si>
    <t>LME锌:入仓:意大利:的里雅斯特</t>
    <phoneticPr fontId="1" type="noConversion"/>
  </si>
  <si>
    <t>S0165138</t>
    <phoneticPr fontId="1" type="noConversion"/>
  </si>
  <si>
    <t>LME锌:入仓:英国:泰恩-威尔</t>
    <phoneticPr fontId="1" type="noConversion"/>
  </si>
  <si>
    <t>S0165139</t>
    <phoneticPr fontId="1" type="noConversion"/>
  </si>
  <si>
    <t>LME锌:入仓:荷兰:弗利辛恩</t>
    <phoneticPr fontId="1" type="noConversion"/>
  </si>
  <si>
    <t>S0165140</t>
    <phoneticPr fontId="1" type="noConversion"/>
  </si>
  <si>
    <t>LME锌:入仓:中国台湾:高雄</t>
    <phoneticPr fontId="1" type="noConversion"/>
  </si>
  <si>
    <t>D4440556</t>
    <phoneticPr fontId="1" type="noConversion"/>
  </si>
  <si>
    <t>LME锌:出仓:合计:全球</t>
    <phoneticPr fontId="1" type="noConversion"/>
  </si>
  <si>
    <t>S0165141</t>
    <phoneticPr fontId="1" type="noConversion"/>
  </si>
  <si>
    <t>LME锌:出仓:合计:欧洲</t>
    <phoneticPr fontId="1" type="noConversion"/>
  </si>
  <si>
    <t>S0165142</t>
    <phoneticPr fontId="1" type="noConversion"/>
  </si>
  <si>
    <t>LME锌:出仓:合计:亚洲</t>
    <phoneticPr fontId="1" type="noConversion"/>
  </si>
  <si>
    <t>S0165143</t>
    <phoneticPr fontId="1" type="noConversion"/>
  </si>
  <si>
    <t>LME锌:出仓:合计:北美洲</t>
    <phoneticPr fontId="1" type="noConversion"/>
  </si>
  <si>
    <t>S0165144</t>
    <phoneticPr fontId="1" type="noConversion"/>
  </si>
  <si>
    <t>LME锌:出仓:合计:德国</t>
    <phoneticPr fontId="1" type="noConversion"/>
  </si>
  <si>
    <t>S0165145</t>
    <phoneticPr fontId="1" type="noConversion"/>
  </si>
  <si>
    <t>LME锌:出仓:合计:荷兰</t>
    <phoneticPr fontId="1" type="noConversion"/>
  </si>
  <si>
    <t>S0165146</t>
    <phoneticPr fontId="1" type="noConversion"/>
  </si>
  <si>
    <t>LME锌:出仓:合计:美国</t>
    <phoneticPr fontId="1" type="noConversion"/>
  </si>
  <si>
    <t>S0165147</t>
    <phoneticPr fontId="1" type="noConversion"/>
  </si>
  <si>
    <t>LME锌:出仓:合计:瑞典</t>
    <phoneticPr fontId="1" type="noConversion"/>
  </si>
  <si>
    <t>S0165148</t>
    <phoneticPr fontId="1" type="noConversion"/>
  </si>
  <si>
    <t>LME锌:出仓:合计:英国</t>
    <phoneticPr fontId="1" type="noConversion"/>
  </si>
  <si>
    <t>S0165149</t>
    <phoneticPr fontId="1" type="noConversion"/>
  </si>
  <si>
    <t>LME锌:出仓:合计:比利时</t>
    <phoneticPr fontId="1" type="noConversion"/>
  </si>
  <si>
    <t>S0165150</t>
    <phoneticPr fontId="1" type="noConversion"/>
  </si>
  <si>
    <t>LME锌:出仓:合计:西班牙</t>
    <phoneticPr fontId="1" type="noConversion"/>
  </si>
  <si>
    <t>S0165151</t>
    <phoneticPr fontId="1" type="noConversion"/>
  </si>
  <si>
    <t>LME锌:出仓:合计:新加坡</t>
    <phoneticPr fontId="1" type="noConversion"/>
  </si>
  <si>
    <t>S0165152</t>
    <phoneticPr fontId="1" type="noConversion"/>
  </si>
  <si>
    <t>LME锌:出仓:合计:意大利</t>
    <phoneticPr fontId="1" type="noConversion"/>
  </si>
  <si>
    <t>S0165153</t>
    <phoneticPr fontId="1" type="noConversion"/>
  </si>
  <si>
    <t>LME锌:出仓:合计:马来西亚</t>
    <phoneticPr fontId="1" type="noConversion"/>
  </si>
  <si>
    <t>S0165154</t>
    <phoneticPr fontId="1" type="noConversion"/>
  </si>
  <si>
    <t>LME锌:出仓:合计:阿联酋</t>
    <phoneticPr fontId="1" type="noConversion"/>
  </si>
  <si>
    <t>S0165155</t>
    <phoneticPr fontId="1" type="noConversion"/>
  </si>
  <si>
    <t>LME锌:出仓:合计:中国台湾</t>
    <phoneticPr fontId="1" type="noConversion"/>
  </si>
  <si>
    <t>Z0327364</t>
    <phoneticPr fontId="1" type="noConversion"/>
  </si>
  <si>
    <t>LME锌:出仓:比利时:安特卫普</t>
    <phoneticPr fontId="1" type="noConversion"/>
  </si>
  <si>
    <t>S0165156</t>
    <phoneticPr fontId="1" type="noConversion"/>
  </si>
  <si>
    <t>LME锌:出仓:美国:巴尔的摩</t>
    <phoneticPr fontId="1" type="noConversion"/>
  </si>
  <si>
    <t>S0165157</t>
    <phoneticPr fontId="1" type="noConversion"/>
  </si>
  <si>
    <t>LME锌:出仓:西班牙:巴塞罗那</t>
    <phoneticPr fontId="1" type="noConversion"/>
  </si>
  <si>
    <t>S0165158</t>
    <phoneticPr fontId="1" type="noConversion"/>
  </si>
  <si>
    <t>LME锌:出仓:西班牙:毕尔巴鄂</t>
    <phoneticPr fontId="1" type="noConversion"/>
  </si>
  <si>
    <t>S0165159</t>
    <phoneticPr fontId="1" type="noConversion"/>
  </si>
  <si>
    <t>LME锌:出仓:德国:不莱梅</t>
    <phoneticPr fontId="1" type="noConversion"/>
  </si>
  <si>
    <t>S0165160</t>
    <phoneticPr fontId="1" type="noConversion"/>
  </si>
  <si>
    <t>LME锌:出仓:美国:芝加哥</t>
    <phoneticPr fontId="1" type="noConversion"/>
  </si>
  <si>
    <t>S0165161</t>
    <phoneticPr fontId="1" type="noConversion"/>
  </si>
  <si>
    <t>LME锌:出仓:美国:底特律</t>
    <phoneticPr fontId="1" type="noConversion"/>
  </si>
  <si>
    <t>S0165162</t>
    <phoneticPr fontId="1" type="noConversion"/>
  </si>
  <si>
    <t>LME锌:出仓:阿联酋:迪拜</t>
    <phoneticPr fontId="1" type="noConversion"/>
  </si>
  <si>
    <t>S0165163</t>
    <phoneticPr fontId="1" type="noConversion"/>
  </si>
  <si>
    <t>LME锌:出仓:意大利:热那亚</t>
    <phoneticPr fontId="1" type="noConversion"/>
  </si>
  <si>
    <t>S0165164</t>
    <phoneticPr fontId="1" type="noConversion"/>
  </si>
  <si>
    <t>LME锌:出仓:德国:汉堡</t>
    <phoneticPr fontId="1" type="noConversion"/>
  </si>
  <si>
    <t>S0165165</t>
    <phoneticPr fontId="1" type="noConversion"/>
  </si>
  <si>
    <t>LME锌:出仓:瑞典:赫尔辛堡</t>
    <phoneticPr fontId="1" type="noConversion"/>
  </si>
  <si>
    <t>S0165166</t>
    <phoneticPr fontId="1" type="noConversion"/>
  </si>
  <si>
    <t>LME锌:出仓:英国:赫尔</t>
    <phoneticPr fontId="1" type="noConversion"/>
  </si>
  <si>
    <t>S0165167</t>
    <phoneticPr fontId="1" type="noConversion"/>
  </si>
  <si>
    <t>LME锌:出仓:马来西亚:柔佛</t>
    <phoneticPr fontId="1" type="noConversion"/>
  </si>
  <si>
    <t>S0165168</t>
    <phoneticPr fontId="1" type="noConversion"/>
  </si>
  <si>
    <t>LME锌:出仓:意大利:来亨</t>
    <phoneticPr fontId="1" type="noConversion"/>
  </si>
  <si>
    <t>S0165169</t>
    <phoneticPr fontId="1" type="noConversion"/>
  </si>
  <si>
    <t>LME锌:出仓:英国:利物浦</t>
    <phoneticPr fontId="1" type="noConversion"/>
  </si>
  <si>
    <t>S0165170</t>
    <phoneticPr fontId="1" type="noConversion"/>
  </si>
  <si>
    <t>LME锌:出仓:美国:长岛</t>
    <phoneticPr fontId="1" type="noConversion"/>
  </si>
  <si>
    <t>S0165171</t>
    <phoneticPr fontId="1" type="noConversion"/>
  </si>
  <si>
    <t>LME锌:出仓:美国:洛杉矶</t>
    <phoneticPr fontId="1" type="noConversion"/>
  </si>
  <si>
    <t>S0165172</t>
    <phoneticPr fontId="1" type="noConversion"/>
  </si>
  <si>
    <t>LME锌:出仓:美国:莫比尔</t>
    <phoneticPr fontId="1" type="noConversion"/>
  </si>
  <si>
    <t>S0165173</t>
    <phoneticPr fontId="1" type="noConversion"/>
  </si>
  <si>
    <t>LME锌:出仓:美国:新奥尔良</t>
    <phoneticPr fontId="1" type="noConversion"/>
  </si>
  <si>
    <t>S0165174</t>
    <phoneticPr fontId="1" type="noConversion"/>
  </si>
  <si>
    <t>LME锌:出仓:马来西亚:巴生港</t>
    <phoneticPr fontId="1" type="noConversion"/>
  </si>
  <si>
    <t>S0165175</t>
    <phoneticPr fontId="1" type="noConversion"/>
  </si>
  <si>
    <t>LME锌:出仓:荷兰:鹿特丹</t>
    <phoneticPr fontId="1" type="noConversion"/>
  </si>
  <si>
    <t>S0165176</t>
    <phoneticPr fontId="1" type="noConversion"/>
  </si>
  <si>
    <t>LME锌:出仓:新加坡:新加坡</t>
    <phoneticPr fontId="1" type="noConversion"/>
  </si>
  <si>
    <t>S0165177</t>
    <phoneticPr fontId="1" type="noConversion"/>
  </si>
  <si>
    <t>LME锌:出仓:美国:圣路易斯</t>
    <phoneticPr fontId="1" type="noConversion"/>
  </si>
  <si>
    <t>S0165178</t>
    <phoneticPr fontId="1" type="noConversion"/>
  </si>
  <si>
    <t>LME锌:出仓:西班牙:托莱多</t>
    <phoneticPr fontId="1" type="noConversion"/>
  </si>
  <si>
    <t>S0165179</t>
    <phoneticPr fontId="1" type="noConversion"/>
  </si>
  <si>
    <t>LME锌:出仓:意大利:的里雅斯特</t>
    <phoneticPr fontId="1" type="noConversion"/>
  </si>
  <si>
    <t>S0165180</t>
    <phoneticPr fontId="1" type="noConversion"/>
  </si>
  <si>
    <t>LME锌:出仓:英国:泰恩-威尔</t>
    <phoneticPr fontId="1" type="noConversion"/>
  </si>
  <si>
    <t>S0165181</t>
    <phoneticPr fontId="1" type="noConversion"/>
  </si>
  <si>
    <t>LME锌:出仓:荷兰:弗利辛恩</t>
    <phoneticPr fontId="1" type="noConversion"/>
  </si>
  <si>
    <t>S0165182</t>
    <phoneticPr fontId="1" type="noConversion"/>
  </si>
  <si>
    <t>LME锌:出仓:中国台湾:高雄</t>
    <phoneticPr fontId="1" type="noConversion"/>
  </si>
  <si>
    <t>O1540168</t>
    <phoneticPr fontId="1" type="noConversion"/>
  </si>
  <si>
    <t>LME分仓库库存-锌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</si>
</sst>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#,##0.00_ "/>
    <numFmt numFmtId="177" formatCode="yyyy\-mm\-dd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</font>
    <font>
      <sz val="11"/>
      <color theme="1"/>
      <name val="等线"/>
      <family val="2"/>
      <scheme val="minor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20"/>
      <color theme="0"/>
      <name val="微软雅黑"/>
      <family val="2"/>
      <charset val="134"/>
    </font>
    <font>
      <sz val="16"/>
      <color theme="1"/>
      <name val="等线"/>
      <family val="2"/>
      <scheme val="minor"/>
    </font>
    <font>
      <b/>
      <sz val="16"/>
      <color rgb="FF21212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sz val="11"/>
      <color indexed="10"/>
      <name val="等线"/>
      <family val="3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4" fontId="6" fillId="2" borderId="2" xfId="0" applyNumberFormat="1" applyFont="1" applyFill="1" applyBorder="1" applyAlignment="1">
      <alignment horizontal="center" vertical="center"/>
    </xf>
    <xf numFmtId="43" fontId="0" fillId="2" borderId="0" xfId="1" applyFont="1" applyFill="1" applyAlignment="1"/>
    <xf numFmtId="43" fontId="0" fillId="0" borderId="0" xfId="1" applyFont="1" applyAlignment="1"/>
    <xf numFmtId="43" fontId="0" fillId="3" borderId="0" xfId="1" applyFont="1" applyFill="1" applyAlignment="1"/>
    <xf numFmtId="43" fontId="0" fillId="4" borderId="0" xfId="1" applyFont="1" applyFill="1" applyAlignment="1"/>
    <xf numFmtId="43" fontId="9" fillId="4" borderId="0" xfId="1" applyFont="1" applyFill="1" applyAlignment="1"/>
    <xf numFmtId="43" fontId="8" fillId="5" borderId="0" xfId="1" applyFont="1" applyFill="1" applyAlignment="1"/>
    <xf numFmtId="43" fontId="12" fillId="5" borderId="0" xfId="1" applyFont="1" applyFill="1" applyAlignment="1"/>
    <xf numFmtId="43" fontId="8" fillId="3" borderId="0" xfId="1" applyFont="1" applyFill="1" applyAlignment="1"/>
    <xf numFmtId="43" fontId="12" fillId="3" borderId="0" xfId="1" applyFont="1" applyFill="1" applyAlignment="1"/>
    <xf numFmtId="43" fontId="8" fillId="4" borderId="0" xfId="1" applyFont="1" applyFill="1" applyAlignment="1"/>
    <xf numFmtId="43" fontId="12" fillId="4" borderId="0" xfId="1" applyFont="1" applyFill="1" applyAlignment="1"/>
    <xf numFmtId="43" fontId="13" fillId="3" borderId="0" xfId="1" applyFont="1" applyFill="1" applyAlignment="1"/>
    <xf numFmtId="43" fontId="13" fillId="4" borderId="0" xfId="1" applyFont="1" applyFill="1" applyAlignment="1"/>
    <xf numFmtId="43" fontId="13" fillId="0" borderId="0" xfId="1" applyFont="1" applyAlignment="1"/>
    <xf numFmtId="0" fontId="8" fillId="0" borderId="0" xfId="1" applyNumberFormat="1" applyFont="1" applyAlignment="1"/>
    <xf numFmtId="0" fontId="10" fillId="5" borderId="0" xfId="1" applyNumberFormat="1" applyFont="1" applyFill="1" applyAlignment="1"/>
    <xf numFmtId="0" fontId="10" fillId="3" borderId="0" xfId="1" applyNumberFormat="1" applyFont="1" applyFill="1" applyAlignment="1"/>
    <xf numFmtId="0" fontId="10" fillId="4" borderId="0" xfId="1" applyNumberFormat="1" applyFont="1" applyFill="1" applyAlignment="1"/>
    <xf numFmtId="0" fontId="11" fillId="4" borderId="0" xfId="1" applyNumberFormat="1" applyFont="1" applyFill="1" applyAlignment="1"/>
    <xf numFmtId="0" fontId="11" fillId="3" borderId="0" xfId="1" applyNumberFormat="1" applyFont="1" applyFill="1" applyAlignment="1"/>
    <xf numFmtId="0" fontId="11" fillId="0" borderId="0" xfId="1" applyNumberFormat="1" applyFont="1" applyAlignment="1"/>
    <xf numFmtId="0" fontId="0" fillId="0" borderId="0" xfId="1" applyNumberFormat="1" applyFont="1" applyAlignment="1"/>
    <xf numFmtId="0" fontId="9" fillId="4" borderId="0" xfId="1" applyNumberFormat="1" applyFont="1" applyFill="1" applyAlignment="1"/>
    <xf numFmtId="0" fontId="4" fillId="2" borderId="1" xfId="1" applyNumberFormat="1" applyFont="1" applyFill="1" applyBorder="1" applyAlignment="1">
      <alignment horizontal="right" vertical="center"/>
    </xf>
    <xf numFmtId="0" fontId="14" fillId="0" borderId="0" xfId="0" applyFont="1"/>
    <xf numFmtId="14" fontId="13" fillId="0" borderId="0" xfId="0" applyNumberFormat="1" applyFont="1" applyFill="1" applyAlignment="1">
      <alignment horizontal="left"/>
    </xf>
    <xf numFmtId="0" fontId="11" fillId="0" borderId="0" xfId="0" applyFont="1" applyFill="1" applyAlignment="1">
      <alignment horizontal="left"/>
    </xf>
    <xf numFmtId="0" fontId="0" fillId="0" borderId="0" xfId="0" applyFill="1"/>
    <xf numFmtId="0" fontId="11" fillId="0" borderId="0" xfId="0" applyFont="1" applyFill="1"/>
    <xf numFmtId="43" fontId="13" fillId="0" borderId="0" xfId="1" applyFont="1" applyFill="1" applyAlignment="1"/>
    <xf numFmtId="43" fontId="13" fillId="0" borderId="0" xfId="1" applyFont="1" applyFill="1" applyAlignment="1">
      <alignment horizontal="left"/>
    </xf>
    <xf numFmtId="43" fontId="7" fillId="2" borderId="0" xfId="1" applyFont="1" applyFill="1" applyAlignment="1">
      <alignment horizontal="center" vertical="center"/>
    </xf>
    <xf numFmtId="0" fontId="15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6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85725</xdr:rowOff>
    </xdr:from>
    <xdr:to>
      <xdr:col>2</xdr:col>
      <xdr:colOff>597627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5725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2626C"/>
  </sheetPr>
  <dimension ref="A1:M73"/>
  <sheetViews>
    <sheetView showGridLines="0" tabSelected="1" workbookViewId="0">
      <pane ySplit="1" topLeftCell="A2" activePane="bottomLeft" state="frozen"/>
      <selection pane="bottomLeft" activeCell="C66" sqref="C66"/>
    </sheetView>
  </sheetViews>
  <sheetFormatPr defaultRowHeight="14.25" outlineLevelRow="2" x14ac:dyDescent="0.2"/>
  <cols>
    <col min="1" max="2" width="2.5" style="6" customWidth="1"/>
    <col min="3" max="3" width="24.75" style="6" customWidth="1"/>
    <col min="4" max="4" width="6.375" style="6" customWidth="1"/>
    <col min="5" max="11" width="17.5" style="6" customWidth="1"/>
    <col min="12" max="13" width="2.5" style="6" customWidth="1"/>
    <col min="14" max="16384" width="9" style="6"/>
  </cols>
  <sheetData>
    <row r="1" spans="1:13" ht="27.75" x14ac:dyDescent="0.2">
      <c r="A1" s="5"/>
      <c r="B1" s="5"/>
      <c r="C1" s="5"/>
      <c r="D1" s="36" t="s">
        <v>0</v>
      </c>
      <c r="E1" s="36"/>
      <c r="F1" s="36"/>
      <c r="G1" s="36"/>
      <c r="H1" s="36"/>
      <c r="I1" s="36"/>
      <c r="J1" s="28" t="s">
        <v>289</v>
      </c>
      <c r="K1" s="4">
        <f ca="1">WORKDAY(TODAY(),-1)</f>
        <v>45208</v>
      </c>
      <c r="L1" s="5"/>
      <c r="M1" s="5"/>
    </row>
    <row r="2" spans="1:13" ht="22.5" x14ac:dyDescent="0.4">
      <c r="A2" s="7"/>
      <c r="B2" s="8"/>
      <c r="C2" s="19"/>
      <c r="D2" s="9"/>
      <c r="E2" s="27" t="s">
        <v>1</v>
      </c>
      <c r="F2" s="27" t="s">
        <v>2</v>
      </c>
      <c r="G2" s="27" t="s">
        <v>3</v>
      </c>
      <c r="H2" s="27" t="s">
        <v>4</v>
      </c>
      <c r="I2" s="27" t="s">
        <v>5</v>
      </c>
      <c r="J2" s="27" t="s">
        <v>6</v>
      </c>
      <c r="K2" s="27" t="s">
        <v>7</v>
      </c>
      <c r="L2" s="8"/>
      <c r="M2" s="7"/>
    </row>
    <row r="3" spans="1:13" ht="22.5" x14ac:dyDescent="0.4">
      <c r="A3" s="7"/>
      <c r="B3" s="8"/>
      <c r="C3" s="20" t="s">
        <v>8</v>
      </c>
      <c r="D3" s="10"/>
      <c r="E3" s="11">
        <f>锌模板!G2</f>
        <v>90900</v>
      </c>
      <c r="F3" s="11">
        <f>锌模板!H2</f>
        <v>53800</v>
      </c>
      <c r="G3" s="11">
        <f>锌模板!I2</f>
        <v>37100</v>
      </c>
      <c r="H3" s="11">
        <f>锌模板!J2</f>
        <v>0</v>
      </c>
      <c r="I3" s="11">
        <f>锌模板!K2</f>
        <v>1525</v>
      </c>
      <c r="J3" s="11">
        <f>锌模板!L2</f>
        <v>-1525</v>
      </c>
      <c r="K3" s="11">
        <f>锌模板!M2</f>
        <v>92425</v>
      </c>
      <c r="L3" s="8"/>
      <c r="M3" s="7"/>
    </row>
    <row r="4" spans="1:13" ht="22.5" x14ac:dyDescent="0.4">
      <c r="A4" s="7"/>
      <c r="B4" s="8"/>
      <c r="C4" s="20" t="s">
        <v>9</v>
      </c>
      <c r="D4" s="10"/>
      <c r="E4" s="11">
        <f>锌模板!G3</f>
        <v>0</v>
      </c>
      <c r="F4" s="11">
        <f>锌模板!H3</f>
        <v>0</v>
      </c>
      <c r="G4" s="11">
        <f>锌模板!I3</f>
        <v>0</v>
      </c>
      <c r="H4" s="11">
        <f>锌模板!J3</f>
        <v>0</v>
      </c>
      <c r="I4" s="11">
        <f>锌模板!K3</f>
        <v>0</v>
      </c>
      <c r="J4" s="11">
        <f>锌模板!L3</f>
        <v>0</v>
      </c>
      <c r="K4" s="11">
        <f>锌模板!M3</f>
        <v>0</v>
      </c>
      <c r="L4" s="8"/>
      <c r="M4" s="7"/>
    </row>
    <row r="5" spans="1:13" ht="22.5" outlineLevel="1" x14ac:dyDescent="0.4">
      <c r="A5" s="7"/>
      <c r="B5" s="8"/>
      <c r="C5" s="21" t="s">
        <v>10</v>
      </c>
      <c r="D5" s="12"/>
      <c r="E5" s="13">
        <f>锌模板!G4</f>
        <v>0</v>
      </c>
      <c r="F5" s="13">
        <f>锌模板!H4</f>
        <v>0</v>
      </c>
      <c r="G5" s="13">
        <f>锌模板!I4</f>
        <v>0</v>
      </c>
      <c r="H5" s="13">
        <f>锌模板!J4</f>
        <v>0</v>
      </c>
      <c r="I5" s="13">
        <f>锌模板!K4</f>
        <v>0</v>
      </c>
      <c r="J5" s="13">
        <f>锌模板!L4</f>
        <v>0</v>
      </c>
      <c r="K5" s="13">
        <f>锌模板!M4</f>
        <v>0</v>
      </c>
      <c r="L5" s="8"/>
      <c r="M5" s="7"/>
    </row>
    <row r="6" spans="1:13" ht="22.5" hidden="1" outlineLevel="2" x14ac:dyDescent="0.4">
      <c r="A6" s="7"/>
      <c r="B6" s="8"/>
      <c r="C6" s="22" t="s">
        <v>11</v>
      </c>
      <c r="D6" s="14"/>
      <c r="E6" s="15">
        <f>锌模板!G5</f>
        <v>0</v>
      </c>
      <c r="F6" s="15">
        <f>锌模板!H5</f>
        <v>0</v>
      </c>
      <c r="G6" s="15">
        <f>锌模板!I5</f>
        <v>0</v>
      </c>
      <c r="H6" s="15">
        <f>锌模板!J5</f>
        <v>0</v>
      </c>
      <c r="I6" s="15">
        <f>锌模板!K5</f>
        <v>0</v>
      </c>
      <c r="J6" s="15">
        <f>锌模板!L5</f>
        <v>0</v>
      </c>
      <c r="K6" s="15">
        <f>锌模板!M5</f>
        <v>0</v>
      </c>
      <c r="L6" s="8"/>
      <c r="M6" s="7"/>
    </row>
    <row r="7" spans="1:13" ht="22.5" hidden="1" outlineLevel="2" x14ac:dyDescent="0.4">
      <c r="A7" s="7"/>
      <c r="B7" s="8"/>
      <c r="C7" s="21" t="s">
        <v>12</v>
      </c>
      <c r="D7" s="12"/>
      <c r="E7" s="13">
        <f>锌模板!G6</f>
        <v>0</v>
      </c>
      <c r="F7" s="13">
        <f>锌模板!H6</f>
        <v>0</v>
      </c>
      <c r="G7" s="13">
        <f>锌模板!I6</f>
        <v>0</v>
      </c>
      <c r="H7" s="13">
        <f>锌模板!J6</f>
        <v>0</v>
      </c>
      <c r="I7" s="13">
        <f>锌模板!K6</f>
        <v>0</v>
      </c>
      <c r="J7" s="13">
        <f>锌模板!L6</f>
        <v>0</v>
      </c>
      <c r="K7" s="13">
        <f>锌模板!M6</f>
        <v>0</v>
      </c>
      <c r="L7" s="8"/>
      <c r="M7" s="7"/>
    </row>
    <row r="8" spans="1:13" ht="22.5" outlineLevel="1" collapsed="1" x14ac:dyDescent="0.4">
      <c r="A8" s="7"/>
      <c r="B8" s="8"/>
      <c r="C8" s="22" t="s">
        <v>13</v>
      </c>
      <c r="D8" s="14"/>
      <c r="E8" s="15">
        <f>锌模板!G7</f>
        <v>0</v>
      </c>
      <c r="F8" s="15">
        <f>锌模板!H7</f>
        <v>0</v>
      </c>
      <c r="G8" s="15">
        <f>锌模板!I7</f>
        <v>0</v>
      </c>
      <c r="H8" s="15">
        <f>锌模板!J7</f>
        <v>0</v>
      </c>
      <c r="I8" s="15">
        <f>锌模板!K7</f>
        <v>0</v>
      </c>
      <c r="J8" s="15">
        <f>锌模板!L7</f>
        <v>0</v>
      </c>
      <c r="K8" s="15">
        <f>锌模板!M7</f>
        <v>0</v>
      </c>
      <c r="L8" s="8"/>
      <c r="M8" s="7"/>
    </row>
    <row r="9" spans="1:13" ht="22.5" hidden="1" outlineLevel="2" x14ac:dyDescent="0.4">
      <c r="A9" s="7"/>
      <c r="B9" s="8"/>
      <c r="C9" s="21" t="s">
        <v>14</v>
      </c>
      <c r="D9" s="12"/>
      <c r="E9" s="13">
        <f>锌模板!G8</f>
        <v>0</v>
      </c>
      <c r="F9" s="13">
        <f>锌模板!H8</f>
        <v>0</v>
      </c>
      <c r="G9" s="13">
        <f>锌模板!I8</f>
        <v>0</v>
      </c>
      <c r="H9" s="13">
        <f>锌模板!J8</f>
        <v>0</v>
      </c>
      <c r="I9" s="13">
        <f>锌模板!K8</f>
        <v>0</v>
      </c>
      <c r="J9" s="13">
        <f>锌模板!L8</f>
        <v>0</v>
      </c>
      <c r="K9" s="13">
        <f>锌模板!M8</f>
        <v>0</v>
      </c>
      <c r="L9" s="8"/>
      <c r="M9" s="7"/>
    </row>
    <row r="10" spans="1:13" ht="22.5" outlineLevel="1" collapsed="1" x14ac:dyDescent="0.4">
      <c r="A10" s="7"/>
      <c r="B10" s="8"/>
      <c r="C10" s="22" t="s">
        <v>15</v>
      </c>
      <c r="D10" s="14"/>
      <c r="E10" s="15">
        <f>锌模板!G9</f>
        <v>0</v>
      </c>
      <c r="F10" s="15">
        <f>锌模板!H9</f>
        <v>0</v>
      </c>
      <c r="G10" s="15">
        <f>锌模板!I9</f>
        <v>0</v>
      </c>
      <c r="H10" s="15">
        <f>锌模板!J9</f>
        <v>0</v>
      </c>
      <c r="I10" s="15">
        <f>锌模板!K9</f>
        <v>0</v>
      </c>
      <c r="J10" s="15">
        <f>锌模板!L9</f>
        <v>0</v>
      </c>
      <c r="K10" s="15">
        <f>锌模板!M9</f>
        <v>0</v>
      </c>
      <c r="L10" s="8"/>
      <c r="M10" s="7"/>
    </row>
    <row r="11" spans="1:13" ht="22.5" hidden="1" outlineLevel="2" x14ac:dyDescent="0.4">
      <c r="A11" s="7"/>
      <c r="B11" s="8"/>
      <c r="C11" s="21" t="s">
        <v>16</v>
      </c>
      <c r="D11" s="12"/>
      <c r="E11" s="13">
        <f>锌模板!G10</f>
        <v>0</v>
      </c>
      <c r="F11" s="13">
        <f>锌模板!H10</f>
        <v>0</v>
      </c>
      <c r="G11" s="13">
        <f>锌模板!I10</f>
        <v>0</v>
      </c>
      <c r="H11" s="13">
        <f>锌模板!J10</f>
        <v>0</v>
      </c>
      <c r="I11" s="13">
        <f>锌模板!K10</f>
        <v>0</v>
      </c>
      <c r="J11" s="13">
        <f>锌模板!L10</f>
        <v>0</v>
      </c>
      <c r="K11" s="13">
        <f>锌模板!M10</f>
        <v>0</v>
      </c>
      <c r="L11" s="8"/>
      <c r="M11" s="7"/>
    </row>
    <row r="12" spans="1:13" ht="22.5" outlineLevel="1" collapsed="1" x14ac:dyDescent="0.4">
      <c r="A12" s="7"/>
      <c r="B12" s="8"/>
      <c r="C12" s="22" t="s">
        <v>17</v>
      </c>
      <c r="D12" s="14"/>
      <c r="E12" s="15">
        <f>锌模板!G11</f>
        <v>0</v>
      </c>
      <c r="F12" s="15">
        <f>锌模板!H11</f>
        <v>0</v>
      </c>
      <c r="G12" s="15">
        <f>锌模板!I11</f>
        <v>0</v>
      </c>
      <c r="H12" s="15">
        <f>锌模板!J11</f>
        <v>0</v>
      </c>
      <c r="I12" s="15">
        <f>锌模板!K11</f>
        <v>0</v>
      </c>
      <c r="J12" s="15">
        <f>锌模板!L11</f>
        <v>0</v>
      </c>
      <c r="K12" s="15">
        <f>锌模板!M11</f>
        <v>0</v>
      </c>
      <c r="L12" s="8"/>
      <c r="M12" s="7"/>
    </row>
    <row r="13" spans="1:13" ht="22.5" hidden="1" outlineLevel="2" x14ac:dyDescent="0.4">
      <c r="A13" s="7"/>
      <c r="B13" s="8"/>
      <c r="C13" s="21" t="s">
        <v>18</v>
      </c>
      <c r="D13" s="12"/>
      <c r="E13" s="13">
        <f>锌模板!G12</f>
        <v>0</v>
      </c>
      <c r="F13" s="13">
        <f>锌模板!H12</f>
        <v>0</v>
      </c>
      <c r="G13" s="13">
        <f>锌模板!I12</f>
        <v>0</v>
      </c>
      <c r="H13" s="13">
        <f>锌模板!J12</f>
        <v>0</v>
      </c>
      <c r="I13" s="13">
        <f>锌模板!K12</f>
        <v>0</v>
      </c>
      <c r="J13" s="13">
        <f>锌模板!L12</f>
        <v>0</v>
      </c>
      <c r="K13" s="13">
        <f>锌模板!M12</f>
        <v>0</v>
      </c>
      <c r="L13" s="8"/>
      <c r="M13" s="7"/>
    </row>
    <row r="14" spans="1:13" ht="22.5" hidden="1" outlineLevel="2" x14ac:dyDescent="0.4">
      <c r="A14" s="7"/>
      <c r="B14" s="8"/>
      <c r="C14" s="22" t="s">
        <v>19</v>
      </c>
      <c r="D14" s="14"/>
      <c r="E14" s="15">
        <f>锌模板!G13</f>
        <v>0</v>
      </c>
      <c r="F14" s="15">
        <f>锌模板!H13</f>
        <v>0</v>
      </c>
      <c r="G14" s="15">
        <f>锌模板!I13</f>
        <v>0</v>
      </c>
      <c r="H14" s="15">
        <f>锌模板!J13</f>
        <v>0</v>
      </c>
      <c r="I14" s="15">
        <f>锌模板!K13</f>
        <v>0</v>
      </c>
      <c r="J14" s="15">
        <f>锌模板!L13</f>
        <v>0</v>
      </c>
      <c r="K14" s="15">
        <f>锌模板!M13</f>
        <v>0</v>
      </c>
      <c r="L14" s="8"/>
      <c r="M14" s="7"/>
    </row>
    <row r="15" spans="1:13" ht="22.5" hidden="1" outlineLevel="2" x14ac:dyDescent="0.4">
      <c r="A15" s="7"/>
      <c r="B15" s="8"/>
      <c r="C15" s="21" t="s">
        <v>20</v>
      </c>
      <c r="D15" s="12"/>
      <c r="E15" s="13">
        <f>锌模板!G14</f>
        <v>0</v>
      </c>
      <c r="F15" s="13">
        <f>锌模板!H14</f>
        <v>0</v>
      </c>
      <c r="G15" s="13">
        <f>锌模板!I14</f>
        <v>0</v>
      </c>
      <c r="H15" s="13">
        <f>锌模板!J14</f>
        <v>0</v>
      </c>
      <c r="I15" s="13">
        <f>锌模板!K14</f>
        <v>0</v>
      </c>
      <c r="J15" s="13">
        <f>锌模板!L14</f>
        <v>0</v>
      </c>
      <c r="K15" s="13">
        <f>锌模板!M14</f>
        <v>0</v>
      </c>
      <c r="L15" s="8"/>
      <c r="M15" s="7"/>
    </row>
    <row r="16" spans="1:13" ht="22.5" outlineLevel="1" collapsed="1" x14ac:dyDescent="0.4">
      <c r="A16" s="7"/>
      <c r="B16" s="8"/>
      <c r="C16" s="22" t="s">
        <v>21</v>
      </c>
      <c r="D16" s="14"/>
      <c r="E16" s="15">
        <f>锌模板!G15</f>
        <v>0</v>
      </c>
      <c r="F16" s="15">
        <f>锌模板!H15</f>
        <v>0</v>
      </c>
      <c r="G16" s="15">
        <f>锌模板!I15</f>
        <v>0</v>
      </c>
      <c r="H16" s="15">
        <f>锌模板!J15</f>
        <v>0</v>
      </c>
      <c r="I16" s="15">
        <f>锌模板!K15</f>
        <v>0</v>
      </c>
      <c r="J16" s="15">
        <f>锌模板!L15</f>
        <v>0</v>
      </c>
      <c r="K16" s="15">
        <f>锌模板!M15</f>
        <v>0</v>
      </c>
      <c r="L16" s="8"/>
      <c r="M16" s="7"/>
    </row>
    <row r="17" spans="1:13" ht="22.5" hidden="1" outlineLevel="2" x14ac:dyDescent="0.4">
      <c r="A17" s="7"/>
      <c r="B17" s="8"/>
      <c r="C17" s="21" t="s">
        <v>22</v>
      </c>
      <c r="D17" s="12"/>
      <c r="E17" s="13">
        <f>锌模板!G16</f>
        <v>0</v>
      </c>
      <c r="F17" s="13">
        <f>锌模板!H16</f>
        <v>0</v>
      </c>
      <c r="G17" s="13">
        <f>锌模板!I16</f>
        <v>0</v>
      </c>
      <c r="H17" s="13">
        <f>锌模板!J16</f>
        <v>0</v>
      </c>
      <c r="I17" s="13">
        <f>锌模板!K16</f>
        <v>0</v>
      </c>
      <c r="J17" s="13">
        <f>锌模板!L16</f>
        <v>0</v>
      </c>
      <c r="K17" s="13">
        <f>锌模板!M16</f>
        <v>0</v>
      </c>
      <c r="L17" s="8"/>
      <c r="M17" s="7"/>
    </row>
    <row r="18" spans="1:13" ht="22.5" hidden="1" outlineLevel="2" x14ac:dyDescent="0.4">
      <c r="A18" s="7"/>
      <c r="B18" s="8"/>
      <c r="C18" s="22" t="s">
        <v>23</v>
      </c>
      <c r="D18" s="14"/>
      <c r="E18" s="15">
        <f>锌模板!G17</f>
        <v>0</v>
      </c>
      <c r="F18" s="15">
        <f>锌模板!H17</f>
        <v>0</v>
      </c>
      <c r="G18" s="15">
        <f>锌模板!I17</f>
        <v>0</v>
      </c>
      <c r="H18" s="15">
        <f>锌模板!J17</f>
        <v>0</v>
      </c>
      <c r="I18" s="15">
        <f>锌模板!K17</f>
        <v>0</v>
      </c>
      <c r="J18" s="15">
        <f>锌模板!L17</f>
        <v>0</v>
      </c>
      <c r="K18" s="15">
        <f>锌模板!M17</f>
        <v>0</v>
      </c>
      <c r="L18" s="8"/>
      <c r="M18" s="7"/>
    </row>
    <row r="19" spans="1:13" ht="22.5" outlineLevel="1" collapsed="1" x14ac:dyDescent="0.4">
      <c r="A19" s="7"/>
      <c r="B19" s="8"/>
      <c r="C19" s="21" t="s">
        <v>24</v>
      </c>
      <c r="D19" s="12"/>
      <c r="E19" s="13">
        <f>锌模板!G18</f>
        <v>0</v>
      </c>
      <c r="F19" s="13">
        <f>锌模板!H18</f>
        <v>0</v>
      </c>
      <c r="G19" s="13">
        <f>锌模板!I18</f>
        <v>0</v>
      </c>
      <c r="H19" s="13">
        <f>锌模板!J18</f>
        <v>0</v>
      </c>
      <c r="I19" s="13">
        <f>锌模板!K18</f>
        <v>0</v>
      </c>
      <c r="J19" s="13">
        <f>锌模板!L18</f>
        <v>0</v>
      </c>
      <c r="K19" s="13">
        <f>锌模板!M18</f>
        <v>0</v>
      </c>
      <c r="L19" s="8"/>
      <c r="M19" s="7"/>
    </row>
    <row r="20" spans="1:13" ht="22.5" hidden="1" outlineLevel="2" x14ac:dyDescent="0.4">
      <c r="A20" s="7"/>
      <c r="B20" s="8"/>
      <c r="C20" s="22" t="s">
        <v>25</v>
      </c>
      <c r="D20" s="14"/>
      <c r="E20" s="15">
        <f>锌模板!G19</f>
        <v>0</v>
      </c>
      <c r="F20" s="15">
        <f>锌模板!H19</f>
        <v>0</v>
      </c>
      <c r="G20" s="15">
        <f>锌模板!I19</f>
        <v>0</v>
      </c>
      <c r="H20" s="15">
        <f>锌模板!J19</f>
        <v>0</v>
      </c>
      <c r="I20" s="15">
        <f>锌模板!K19</f>
        <v>0</v>
      </c>
      <c r="J20" s="15">
        <f>锌模板!L19</f>
        <v>0</v>
      </c>
      <c r="K20" s="15">
        <f>锌模板!M19</f>
        <v>0</v>
      </c>
      <c r="L20" s="8"/>
      <c r="M20" s="7"/>
    </row>
    <row r="21" spans="1:13" ht="22.5" hidden="1" outlineLevel="2" x14ac:dyDescent="0.4">
      <c r="A21" s="7"/>
      <c r="B21" s="8"/>
      <c r="C21" s="21" t="s">
        <v>26</v>
      </c>
      <c r="D21" s="12"/>
      <c r="E21" s="13">
        <f>锌模板!G20</f>
        <v>0</v>
      </c>
      <c r="F21" s="13">
        <f>锌模板!H20</f>
        <v>0</v>
      </c>
      <c r="G21" s="13">
        <f>锌模板!I20</f>
        <v>0</v>
      </c>
      <c r="H21" s="13">
        <f>锌模板!J20</f>
        <v>0</v>
      </c>
      <c r="I21" s="13">
        <f>锌模板!K20</f>
        <v>0</v>
      </c>
      <c r="J21" s="13">
        <f>锌模板!L20</f>
        <v>0</v>
      </c>
      <c r="K21" s="13">
        <f>锌模板!M20</f>
        <v>0</v>
      </c>
      <c r="L21" s="8"/>
      <c r="M21" s="7"/>
    </row>
    <row r="22" spans="1:13" ht="22.5" hidden="1" outlineLevel="2" x14ac:dyDescent="0.4">
      <c r="A22" s="7"/>
      <c r="B22" s="8"/>
      <c r="C22" s="22" t="s">
        <v>27</v>
      </c>
      <c r="D22" s="14"/>
      <c r="E22" s="15">
        <f>锌模板!G21</f>
        <v>0</v>
      </c>
      <c r="F22" s="15">
        <f>锌模板!H21</f>
        <v>0</v>
      </c>
      <c r="G22" s="15">
        <f>锌模板!I21</f>
        <v>0</v>
      </c>
      <c r="H22" s="15">
        <f>锌模板!J21</f>
        <v>0</v>
      </c>
      <c r="I22" s="15">
        <f>锌模板!K21</f>
        <v>0</v>
      </c>
      <c r="J22" s="15">
        <f>锌模板!L21</f>
        <v>0</v>
      </c>
      <c r="K22" s="15">
        <f>锌模板!M21</f>
        <v>0</v>
      </c>
      <c r="L22" s="8"/>
      <c r="M22" s="7"/>
    </row>
    <row r="23" spans="1:13" ht="22.5" outlineLevel="1" collapsed="1" x14ac:dyDescent="0.4">
      <c r="A23" s="7"/>
      <c r="B23" s="8"/>
      <c r="C23" s="21" t="s">
        <v>28</v>
      </c>
      <c r="D23" s="12"/>
      <c r="E23" s="13">
        <f>锌模板!G22</f>
        <v>0</v>
      </c>
      <c r="F23" s="13">
        <f>锌模板!H22</f>
        <v>0</v>
      </c>
      <c r="G23" s="13">
        <f>锌模板!I22</f>
        <v>0</v>
      </c>
      <c r="H23" s="13">
        <f>锌模板!J22</f>
        <v>0</v>
      </c>
      <c r="I23" s="13">
        <f>锌模板!K22</f>
        <v>0</v>
      </c>
      <c r="J23" s="13">
        <f>锌模板!L22</f>
        <v>0</v>
      </c>
      <c r="K23" s="13">
        <f>锌模板!M22</f>
        <v>0</v>
      </c>
      <c r="L23" s="8"/>
      <c r="M23" s="7"/>
    </row>
    <row r="24" spans="1:13" ht="22.5" hidden="1" outlineLevel="2" x14ac:dyDescent="0.4">
      <c r="A24" s="7"/>
      <c r="B24" s="8"/>
      <c r="C24" s="22" t="s">
        <v>29</v>
      </c>
      <c r="D24" s="14"/>
      <c r="E24" s="15">
        <f>锌模板!G23</f>
        <v>0</v>
      </c>
      <c r="F24" s="15">
        <f>锌模板!H23</f>
        <v>0</v>
      </c>
      <c r="G24" s="15">
        <f>锌模板!I23</f>
        <v>0</v>
      </c>
      <c r="H24" s="15">
        <f>锌模板!J23</f>
        <v>0</v>
      </c>
      <c r="I24" s="15">
        <f>锌模板!K23</f>
        <v>0</v>
      </c>
      <c r="J24" s="15">
        <f>锌模板!L23</f>
        <v>0</v>
      </c>
      <c r="K24" s="15">
        <f>锌模板!M23</f>
        <v>0</v>
      </c>
      <c r="L24" s="8"/>
      <c r="M24" s="7"/>
    </row>
    <row r="25" spans="1:13" ht="22.5" hidden="1" outlineLevel="2" x14ac:dyDescent="0.4">
      <c r="A25" s="7"/>
      <c r="B25" s="8"/>
      <c r="C25" s="21" t="s">
        <v>30</v>
      </c>
      <c r="D25" s="12"/>
      <c r="E25" s="13">
        <f>锌模板!G24</f>
        <v>0</v>
      </c>
      <c r="F25" s="13">
        <f>锌模板!H24</f>
        <v>0</v>
      </c>
      <c r="G25" s="13">
        <f>锌模板!I24</f>
        <v>0</v>
      </c>
      <c r="H25" s="13">
        <f>锌模板!J24</f>
        <v>0</v>
      </c>
      <c r="I25" s="13">
        <f>锌模板!K24</f>
        <v>0</v>
      </c>
      <c r="J25" s="13">
        <f>锌模板!L24</f>
        <v>0</v>
      </c>
      <c r="K25" s="13">
        <f>锌模板!M24</f>
        <v>0</v>
      </c>
      <c r="L25" s="8"/>
      <c r="M25" s="7"/>
    </row>
    <row r="26" spans="1:13" ht="22.5" hidden="1" outlineLevel="2" x14ac:dyDescent="0.4">
      <c r="A26" s="7"/>
      <c r="B26" s="8"/>
      <c r="C26" s="22" t="s">
        <v>31</v>
      </c>
      <c r="D26" s="14"/>
      <c r="E26" s="15">
        <f>锌模板!G25</f>
        <v>0</v>
      </c>
      <c r="F26" s="15">
        <f>锌模板!H25</f>
        <v>0</v>
      </c>
      <c r="G26" s="15">
        <f>锌模板!I25</f>
        <v>0</v>
      </c>
      <c r="H26" s="15">
        <f>锌模板!J25</f>
        <v>0</v>
      </c>
      <c r="I26" s="15">
        <f>锌模板!K25</f>
        <v>0</v>
      </c>
      <c r="J26" s="15">
        <f>锌模板!L25</f>
        <v>0</v>
      </c>
      <c r="K26" s="15">
        <f>锌模板!M25</f>
        <v>0</v>
      </c>
      <c r="L26" s="8"/>
      <c r="M26" s="7"/>
    </row>
    <row r="27" spans="1:13" ht="22.5" collapsed="1" x14ac:dyDescent="0.4">
      <c r="A27" s="7"/>
      <c r="B27" s="8"/>
      <c r="C27" s="20" t="s">
        <v>32</v>
      </c>
      <c r="D27" s="10"/>
      <c r="E27" s="11">
        <f>锌模板!G26</f>
        <v>0</v>
      </c>
      <c r="F27" s="11">
        <f>锌模板!H26</f>
        <v>0</v>
      </c>
      <c r="G27" s="11">
        <f>锌模板!I26</f>
        <v>0</v>
      </c>
      <c r="H27" s="11">
        <f>锌模板!J26</f>
        <v>0</v>
      </c>
      <c r="I27" s="11">
        <f>锌模板!K26</f>
        <v>0</v>
      </c>
      <c r="J27" s="11">
        <f>锌模板!L26</f>
        <v>0</v>
      </c>
      <c r="K27" s="11">
        <f>锌模板!M26</f>
        <v>0</v>
      </c>
      <c r="L27" s="8"/>
      <c r="M27" s="7"/>
    </row>
    <row r="28" spans="1:13" ht="22.5" outlineLevel="1" x14ac:dyDescent="0.4">
      <c r="A28" s="7"/>
      <c r="B28" s="8"/>
      <c r="C28" s="22" t="s">
        <v>33</v>
      </c>
      <c r="D28" s="14"/>
      <c r="E28" s="15">
        <f>锌模板!G27</f>
        <v>0</v>
      </c>
      <c r="F28" s="15">
        <f>锌模板!H27</f>
        <v>0</v>
      </c>
      <c r="G28" s="15">
        <f>锌模板!I27</f>
        <v>0</v>
      </c>
      <c r="H28" s="15">
        <f>锌模板!J27</f>
        <v>0</v>
      </c>
      <c r="I28" s="15">
        <f>锌模板!K27</f>
        <v>0</v>
      </c>
      <c r="J28" s="15">
        <f>锌模板!L27</f>
        <v>0</v>
      </c>
      <c r="K28" s="15">
        <f>锌模板!M27</f>
        <v>0</v>
      </c>
      <c r="L28" s="8"/>
      <c r="M28" s="7"/>
    </row>
    <row r="29" spans="1:13" ht="22.5" hidden="1" outlineLevel="2" x14ac:dyDescent="0.4">
      <c r="A29" s="7"/>
      <c r="B29" s="8"/>
      <c r="C29" s="21" t="s">
        <v>34</v>
      </c>
      <c r="D29" s="12"/>
      <c r="E29" s="13">
        <f>锌模板!G28</f>
        <v>0</v>
      </c>
      <c r="F29" s="13">
        <f>锌模板!H28</f>
        <v>0</v>
      </c>
      <c r="G29" s="13">
        <f>锌模板!I28</f>
        <v>0</v>
      </c>
      <c r="H29" s="13">
        <f>锌模板!J28</f>
        <v>0</v>
      </c>
      <c r="I29" s="13">
        <f>锌模板!K28</f>
        <v>0</v>
      </c>
      <c r="J29" s="13">
        <f>锌模板!L28</f>
        <v>0</v>
      </c>
      <c r="K29" s="13">
        <f>锌模板!M28</f>
        <v>0</v>
      </c>
      <c r="L29" s="8"/>
      <c r="M29" s="7"/>
    </row>
    <row r="30" spans="1:13" ht="22.5" hidden="1" outlineLevel="2" x14ac:dyDescent="0.4">
      <c r="A30" s="7"/>
      <c r="B30" s="8"/>
      <c r="C30" s="22" t="s">
        <v>35</v>
      </c>
      <c r="D30" s="14"/>
      <c r="E30" s="15">
        <f>锌模板!G29</f>
        <v>0</v>
      </c>
      <c r="F30" s="15">
        <f>锌模板!H29</f>
        <v>0</v>
      </c>
      <c r="G30" s="15">
        <f>锌模板!I29</f>
        <v>0</v>
      </c>
      <c r="H30" s="15">
        <f>锌模板!J29</f>
        <v>0</v>
      </c>
      <c r="I30" s="15">
        <f>锌模板!K29</f>
        <v>0</v>
      </c>
      <c r="J30" s="15">
        <f>锌模板!L29</f>
        <v>0</v>
      </c>
      <c r="K30" s="15">
        <f>锌模板!M29</f>
        <v>0</v>
      </c>
      <c r="L30" s="8"/>
      <c r="M30" s="7"/>
    </row>
    <row r="31" spans="1:13" ht="22.5" hidden="1" outlineLevel="2" x14ac:dyDescent="0.4">
      <c r="A31" s="7"/>
      <c r="B31" s="8"/>
      <c r="C31" s="21" t="s">
        <v>36</v>
      </c>
      <c r="D31" s="12"/>
      <c r="E31" s="13">
        <f>锌模板!G30</f>
        <v>0</v>
      </c>
      <c r="F31" s="13">
        <f>锌模板!H30</f>
        <v>0</v>
      </c>
      <c r="G31" s="13">
        <f>锌模板!I30</f>
        <v>0</v>
      </c>
      <c r="H31" s="13">
        <f>锌模板!J30</f>
        <v>0</v>
      </c>
      <c r="I31" s="13">
        <f>锌模板!K30</f>
        <v>0</v>
      </c>
      <c r="J31" s="13">
        <f>锌模板!L30</f>
        <v>0</v>
      </c>
      <c r="K31" s="13">
        <f>锌模板!M30</f>
        <v>0</v>
      </c>
      <c r="L31" s="8"/>
      <c r="M31" s="7"/>
    </row>
    <row r="32" spans="1:13" ht="22.5" hidden="1" outlineLevel="2" x14ac:dyDescent="0.4">
      <c r="A32" s="7"/>
      <c r="B32" s="8"/>
      <c r="C32" s="22" t="s">
        <v>37</v>
      </c>
      <c r="D32" s="14"/>
      <c r="E32" s="15">
        <f>锌模板!G31</f>
        <v>0</v>
      </c>
      <c r="F32" s="15">
        <f>锌模板!H31</f>
        <v>0</v>
      </c>
      <c r="G32" s="15">
        <f>锌模板!I31</f>
        <v>0</v>
      </c>
      <c r="H32" s="15">
        <f>锌模板!J31</f>
        <v>0</v>
      </c>
      <c r="I32" s="15">
        <f>锌模板!K31</f>
        <v>0</v>
      </c>
      <c r="J32" s="15">
        <f>锌模板!L31</f>
        <v>0</v>
      </c>
      <c r="K32" s="15">
        <f>锌模板!M31</f>
        <v>0</v>
      </c>
      <c r="L32" s="8"/>
      <c r="M32" s="7"/>
    </row>
    <row r="33" spans="1:13" ht="22.5" hidden="1" outlineLevel="2" x14ac:dyDescent="0.4">
      <c r="A33" s="7"/>
      <c r="B33" s="8"/>
      <c r="C33" s="21" t="s">
        <v>38</v>
      </c>
      <c r="D33" s="12"/>
      <c r="E33" s="13">
        <f>锌模板!G32</f>
        <v>0</v>
      </c>
      <c r="F33" s="13">
        <f>锌模板!H32</f>
        <v>0</v>
      </c>
      <c r="G33" s="13">
        <f>锌模板!I32</f>
        <v>0</v>
      </c>
      <c r="H33" s="13">
        <f>锌模板!J32</f>
        <v>0</v>
      </c>
      <c r="I33" s="13">
        <f>锌模板!K32</f>
        <v>0</v>
      </c>
      <c r="J33" s="13">
        <f>锌模板!L32</f>
        <v>0</v>
      </c>
      <c r="K33" s="13">
        <f>锌模板!M32</f>
        <v>0</v>
      </c>
      <c r="L33" s="8"/>
      <c r="M33" s="7"/>
    </row>
    <row r="34" spans="1:13" ht="22.5" hidden="1" outlineLevel="2" x14ac:dyDescent="0.4">
      <c r="A34" s="7"/>
      <c r="B34" s="8"/>
      <c r="C34" s="22" t="s">
        <v>39</v>
      </c>
      <c r="D34" s="14"/>
      <c r="E34" s="15">
        <f>锌模板!G33</f>
        <v>0</v>
      </c>
      <c r="F34" s="15">
        <f>锌模板!H33</f>
        <v>0</v>
      </c>
      <c r="G34" s="15">
        <f>锌模板!I33</f>
        <v>0</v>
      </c>
      <c r="H34" s="15">
        <f>锌模板!J33</f>
        <v>0</v>
      </c>
      <c r="I34" s="15">
        <f>锌模板!K33</f>
        <v>0</v>
      </c>
      <c r="J34" s="15">
        <f>锌模板!L33</f>
        <v>0</v>
      </c>
      <c r="K34" s="15">
        <f>锌模板!M33</f>
        <v>0</v>
      </c>
      <c r="L34" s="8"/>
      <c r="M34" s="7"/>
    </row>
    <row r="35" spans="1:13" ht="22.5" hidden="1" outlineLevel="2" x14ac:dyDescent="0.4">
      <c r="A35" s="7"/>
      <c r="B35" s="8"/>
      <c r="C35" s="21" t="s">
        <v>40</v>
      </c>
      <c r="D35" s="12"/>
      <c r="E35" s="13">
        <f>锌模板!G34</f>
        <v>0</v>
      </c>
      <c r="F35" s="13">
        <f>锌模板!H34</f>
        <v>0</v>
      </c>
      <c r="G35" s="13">
        <f>锌模板!I34</f>
        <v>0</v>
      </c>
      <c r="H35" s="13">
        <f>锌模板!J34</f>
        <v>0</v>
      </c>
      <c r="I35" s="13">
        <f>锌模板!K34</f>
        <v>0</v>
      </c>
      <c r="J35" s="13">
        <f>锌模板!L34</f>
        <v>0</v>
      </c>
      <c r="K35" s="13">
        <f>锌模板!M34</f>
        <v>0</v>
      </c>
      <c r="L35" s="8"/>
      <c r="M35" s="7"/>
    </row>
    <row r="36" spans="1:13" ht="22.5" hidden="1" outlineLevel="2" x14ac:dyDescent="0.4">
      <c r="A36" s="7"/>
      <c r="B36" s="8"/>
      <c r="C36" s="22" t="s">
        <v>41</v>
      </c>
      <c r="D36" s="14"/>
      <c r="E36" s="15">
        <f>锌模板!G35</f>
        <v>0</v>
      </c>
      <c r="F36" s="15">
        <f>锌模板!H35</f>
        <v>0</v>
      </c>
      <c r="G36" s="15">
        <f>锌模板!I35</f>
        <v>0</v>
      </c>
      <c r="H36" s="15">
        <f>锌模板!J35</f>
        <v>0</v>
      </c>
      <c r="I36" s="15">
        <f>锌模板!K35</f>
        <v>0</v>
      </c>
      <c r="J36" s="15">
        <f>锌模板!L35</f>
        <v>0</v>
      </c>
      <c r="K36" s="15">
        <f>锌模板!M35</f>
        <v>0</v>
      </c>
      <c r="L36" s="8"/>
      <c r="M36" s="7"/>
    </row>
    <row r="37" spans="1:13" ht="22.5" collapsed="1" x14ac:dyDescent="0.4">
      <c r="A37" s="7"/>
      <c r="B37" s="8"/>
      <c r="C37" s="20" t="s">
        <v>42</v>
      </c>
      <c r="D37" s="10"/>
      <c r="E37" s="11">
        <f>锌模板!G36</f>
        <v>90900</v>
      </c>
      <c r="F37" s="11">
        <f>锌模板!H36</f>
        <v>53800</v>
      </c>
      <c r="G37" s="11">
        <f>锌模板!I36</f>
        <v>37100</v>
      </c>
      <c r="H37" s="11">
        <f>锌模板!J36</f>
        <v>0</v>
      </c>
      <c r="I37" s="11">
        <f>锌模板!K36</f>
        <v>1525</v>
      </c>
      <c r="J37" s="11">
        <f>锌模板!L36</f>
        <v>-1525</v>
      </c>
      <c r="K37" s="11">
        <f>锌模板!M36</f>
        <v>92425</v>
      </c>
      <c r="L37" s="8"/>
      <c r="M37" s="7"/>
    </row>
    <row r="38" spans="1:13" ht="22.5" outlineLevel="1" x14ac:dyDescent="0.4">
      <c r="A38" s="7"/>
      <c r="B38" s="8"/>
      <c r="C38" s="22" t="s">
        <v>43</v>
      </c>
      <c r="D38" s="14"/>
      <c r="E38" s="15">
        <f>锌模板!G37</f>
        <v>12750</v>
      </c>
      <c r="F38" s="15">
        <f>锌模板!H37</f>
        <v>10650</v>
      </c>
      <c r="G38" s="15">
        <f>锌模板!I37</f>
        <v>2100</v>
      </c>
      <c r="H38" s="15">
        <f>锌模板!J37</f>
        <v>0</v>
      </c>
      <c r="I38" s="15">
        <f>锌模板!K37</f>
        <v>25</v>
      </c>
      <c r="J38" s="15">
        <f>锌模板!L37</f>
        <v>-25</v>
      </c>
      <c r="K38" s="15">
        <f>锌模板!M37</f>
        <v>12775</v>
      </c>
      <c r="L38" s="8"/>
      <c r="M38" s="7"/>
    </row>
    <row r="39" spans="1:13" ht="22.5" hidden="1" outlineLevel="2" x14ac:dyDescent="0.4">
      <c r="A39" s="7"/>
      <c r="B39" s="8"/>
      <c r="C39" s="21" t="s">
        <v>44</v>
      </c>
      <c r="D39" s="12"/>
      <c r="E39" s="13">
        <f>锌模板!G38</f>
        <v>12750</v>
      </c>
      <c r="F39" s="13">
        <f>锌模板!H38</f>
        <v>10650</v>
      </c>
      <c r="G39" s="13">
        <f>锌模板!I38</f>
        <v>2100</v>
      </c>
      <c r="H39" s="13">
        <f>锌模板!J38</f>
        <v>0</v>
      </c>
      <c r="I39" s="13">
        <f>锌模板!K38</f>
        <v>25</v>
      </c>
      <c r="J39" s="13">
        <f>锌模板!L38</f>
        <v>-25</v>
      </c>
      <c r="K39" s="13">
        <f>锌模板!M38</f>
        <v>12775</v>
      </c>
      <c r="L39" s="8"/>
      <c r="M39" s="7"/>
    </row>
    <row r="40" spans="1:13" ht="22.5" hidden="1" outlineLevel="2" x14ac:dyDescent="0.4">
      <c r="A40" s="7"/>
      <c r="B40" s="8"/>
      <c r="C40" s="22" t="s">
        <v>45</v>
      </c>
      <c r="D40" s="14"/>
      <c r="E40" s="15">
        <f>锌模板!G39</f>
        <v>0</v>
      </c>
      <c r="F40" s="15">
        <f>锌模板!H39</f>
        <v>0</v>
      </c>
      <c r="G40" s="15">
        <f>锌模板!I39</f>
        <v>0</v>
      </c>
      <c r="H40" s="15">
        <f>锌模板!J39</f>
        <v>0</v>
      </c>
      <c r="I40" s="15">
        <f>锌模板!K39</f>
        <v>0</v>
      </c>
      <c r="J40" s="15">
        <f>锌模板!L39</f>
        <v>0</v>
      </c>
      <c r="K40" s="15">
        <f>锌模板!M39</f>
        <v>0</v>
      </c>
      <c r="L40" s="8"/>
      <c r="M40" s="7"/>
    </row>
    <row r="41" spans="1:13" ht="22.5" outlineLevel="1" collapsed="1" x14ac:dyDescent="0.4">
      <c r="A41" s="7"/>
      <c r="B41" s="8"/>
      <c r="C41" s="21" t="s">
        <v>46</v>
      </c>
      <c r="D41" s="12"/>
      <c r="E41" s="13">
        <f>锌模板!G40</f>
        <v>76800</v>
      </c>
      <c r="F41" s="13">
        <f>锌模板!H40</f>
        <v>42200</v>
      </c>
      <c r="G41" s="13">
        <f>锌模板!I40</f>
        <v>34600</v>
      </c>
      <c r="H41" s="13">
        <f>锌模板!J40</f>
        <v>0</v>
      </c>
      <c r="I41" s="13">
        <f>锌模板!K40</f>
        <v>1500</v>
      </c>
      <c r="J41" s="13">
        <f>锌模板!L40</f>
        <v>-1500</v>
      </c>
      <c r="K41" s="13">
        <f>锌模板!M40</f>
        <v>78300</v>
      </c>
      <c r="L41" s="8"/>
      <c r="M41" s="7"/>
    </row>
    <row r="42" spans="1:13" ht="22.5" hidden="1" outlineLevel="2" x14ac:dyDescent="0.4">
      <c r="A42" s="7"/>
      <c r="B42" s="8"/>
      <c r="C42" s="22" t="s">
        <v>47</v>
      </c>
      <c r="D42" s="14"/>
      <c r="E42" s="15">
        <f>锌模板!G41</f>
        <v>76800</v>
      </c>
      <c r="F42" s="15">
        <f>锌模板!H41</f>
        <v>42200</v>
      </c>
      <c r="G42" s="15">
        <f>锌模板!I41</f>
        <v>34600</v>
      </c>
      <c r="H42" s="15">
        <f>锌模板!J41</f>
        <v>0</v>
      </c>
      <c r="I42" s="15">
        <f>锌模板!K41</f>
        <v>1500</v>
      </c>
      <c r="J42" s="15">
        <f>锌模板!L41</f>
        <v>-1500</v>
      </c>
      <c r="K42" s="15">
        <f>锌模板!M41</f>
        <v>78300</v>
      </c>
      <c r="L42" s="8"/>
      <c r="M42" s="7"/>
    </row>
    <row r="43" spans="1:13" ht="22.5" outlineLevel="1" collapsed="1" x14ac:dyDescent="0.4">
      <c r="A43" s="7"/>
      <c r="B43" s="8"/>
      <c r="C43" s="21" t="s">
        <v>48</v>
      </c>
      <c r="D43" s="12"/>
      <c r="E43" s="13">
        <f>锌模板!G42</f>
        <v>1300</v>
      </c>
      <c r="F43" s="13">
        <f>锌模板!H42</f>
        <v>950</v>
      </c>
      <c r="G43" s="13">
        <f>锌模板!I42</f>
        <v>350</v>
      </c>
      <c r="H43" s="13">
        <f>锌模板!J42</f>
        <v>0</v>
      </c>
      <c r="I43" s="13">
        <f>锌模板!K42</f>
        <v>0</v>
      </c>
      <c r="J43" s="13">
        <f>锌模板!L42</f>
        <v>0</v>
      </c>
      <c r="K43" s="13">
        <f>锌模板!M42</f>
        <v>1300</v>
      </c>
      <c r="L43" s="8"/>
      <c r="M43" s="7"/>
    </row>
    <row r="44" spans="1:13" ht="22.5" hidden="1" outlineLevel="2" x14ac:dyDescent="0.4">
      <c r="A44" s="7"/>
      <c r="B44" s="8"/>
      <c r="C44" s="22" t="s">
        <v>49</v>
      </c>
      <c r="D44" s="14"/>
      <c r="E44" s="15">
        <f>锌模板!G43</f>
        <v>1300</v>
      </c>
      <c r="F44" s="15">
        <f>锌模板!H43</f>
        <v>950</v>
      </c>
      <c r="G44" s="15">
        <f>锌模板!I43</f>
        <v>350</v>
      </c>
      <c r="H44" s="15">
        <f>锌模板!J43</f>
        <v>0</v>
      </c>
      <c r="I44" s="15">
        <f>锌模板!K43</f>
        <v>0</v>
      </c>
      <c r="J44" s="15">
        <f>锌模板!L43</f>
        <v>0</v>
      </c>
      <c r="K44" s="15">
        <f>锌模板!M43</f>
        <v>1300</v>
      </c>
      <c r="L44" s="8"/>
      <c r="M44" s="7"/>
    </row>
    <row r="45" spans="1:13" ht="22.5" collapsed="1" x14ac:dyDescent="0.4">
      <c r="A45" s="7"/>
      <c r="B45" s="8"/>
      <c r="C45" s="20" t="s">
        <v>50</v>
      </c>
      <c r="D45" s="10"/>
      <c r="E45" s="11">
        <f>E46</f>
        <v>50</v>
      </c>
      <c r="F45" s="11">
        <f t="shared" ref="F45:K45" si="0">F46</f>
        <v>0</v>
      </c>
      <c r="G45" s="11">
        <f t="shared" si="0"/>
        <v>50</v>
      </c>
      <c r="H45" s="11">
        <f t="shared" si="0"/>
        <v>0</v>
      </c>
      <c r="I45" s="11">
        <f t="shared" si="0"/>
        <v>0</v>
      </c>
      <c r="J45" s="11">
        <f t="shared" si="0"/>
        <v>0</v>
      </c>
      <c r="K45" s="11">
        <f t="shared" si="0"/>
        <v>50</v>
      </c>
      <c r="L45" s="8"/>
      <c r="M45" s="7"/>
    </row>
    <row r="46" spans="1:13" ht="22.5" outlineLevel="1" x14ac:dyDescent="0.4">
      <c r="A46" s="7"/>
      <c r="B46" s="8"/>
      <c r="C46" s="22" t="s">
        <v>51</v>
      </c>
      <c r="D46" s="14"/>
      <c r="E46" s="15">
        <f>锌模板!G45</f>
        <v>50</v>
      </c>
      <c r="F46" s="15">
        <f>锌模板!H45</f>
        <v>0</v>
      </c>
      <c r="G46" s="15">
        <f>锌模板!I45</f>
        <v>50</v>
      </c>
      <c r="H46" s="15">
        <f>锌模板!J45</f>
        <v>0</v>
      </c>
      <c r="I46" s="15">
        <f>锌模板!K45</f>
        <v>0</v>
      </c>
      <c r="J46" s="15">
        <f>锌模板!L45</f>
        <v>0</v>
      </c>
      <c r="K46" s="15">
        <f>锌模板!M45</f>
        <v>50</v>
      </c>
      <c r="L46" s="8"/>
      <c r="M46" s="7"/>
    </row>
    <row r="47" spans="1:13" ht="22.5" hidden="1" outlineLevel="2" x14ac:dyDescent="0.4">
      <c r="A47" s="7"/>
      <c r="B47" s="8"/>
      <c r="C47" s="21" t="s">
        <v>52</v>
      </c>
      <c r="D47" s="12"/>
      <c r="E47" s="13">
        <f>锌模板!G46</f>
        <v>50</v>
      </c>
      <c r="F47" s="13">
        <f>锌模板!H46</f>
        <v>0</v>
      </c>
      <c r="G47" s="13">
        <f>锌模板!I46</f>
        <v>50</v>
      </c>
      <c r="H47" s="13">
        <f>锌模板!J46</f>
        <v>0</v>
      </c>
      <c r="I47" s="13">
        <f>锌模板!K46</f>
        <v>0</v>
      </c>
      <c r="J47" s="13">
        <f>锌模板!L46</f>
        <v>0</v>
      </c>
      <c r="K47" s="13">
        <f>锌模板!M46</f>
        <v>50</v>
      </c>
      <c r="L47" s="8"/>
      <c r="M47" s="7"/>
    </row>
    <row r="48" spans="1:13" ht="16.5" collapsed="1" x14ac:dyDescent="0.3">
      <c r="A48" s="7"/>
      <c r="B48" s="8"/>
      <c r="C48" s="23"/>
      <c r="D48" s="8"/>
      <c r="E48" s="17"/>
      <c r="F48" s="17"/>
      <c r="G48" s="17"/>
      <c r="H48" s="17"/>
      <c r="I48" s="17"/>
      <c r="J48" s="17"/>
      <c r="K48" s="17"/>
      <c r="L48" s="8"/>
      <c r="M48" s="7"/>
    </row>
    <row r="49" spans="1:13" ht="16.5" x14ac:dyDescent="0.3">
      <c r="A49" s="7"/>
      <c r="B49" s="7"/>
      <c r="C49" s="24"/>
      <c r="D49" s="7"/>
      <c r="E49" s="16"/>
      <c r="F49" s="16"/>
      <c r="G49" s="16"/>
      <c r="H49" s="16"/>
      <c r="I49" s="16"/>
      <c r="J49" s="16"/>
      <c r="K49" s="16"/>
      <c r="L49" s="7"/>
      <c r="M49" s="7"/>
    </row>
    <row r="50" spans="1:13" ht="16.5" x14ac:dyDescent="0.3">
      <c r="C50" s="25"/>
      <c r="E50" s="18"/>
      <c r="F50" s="18"/>
      <c r="G50" s="18"/>
      <c r="H50" s="18"/>
      <c r="I50" s="18"/>
      <c r="J50" s="18"/>
      <c r="K50" s="18"/>
    </row>
    <row r="51" spans="1:13" ht="16.5" x14ac:dyDescent="0.3">
      <c r="C51" s="25"/>
      <c r="E51" s="18"/>
      <c r="F51" s="18"/>
      <c r="G51" s="18"/>
      <c r="H51" s="18"/>
      <c r="I51" s="18"/>
      <c r="J51" s="18"/>
      <c r="K51" s="18"/>
    </row>
    <row r="52" spans="1:13" ht="16.5" x14ac:dyDescent="0.3">
      <c r="C52" s="25"/>
      <c r="E52" s="18"/>
      <c r="F52" s="18"/>
      <c r="G52" s="18"/>
      <c r="H52" s="18"/>
      <c r="I52" s="18"/>
      <c r="J52" s="18"/>
      <c r="K52" s="18"/>
    </row>
    <row r="53" spans="1:13" ht="16.5" x14ac:dyDescent="0.3">
      <c r="C53" s="25"/>
      <c r="E53" s="18"/>
      <c r="F53" s="18"/>
      <c r="G53" s="18"/>
      <c r="H53" s="18"/>
      <c r="I53" s="18"/>
      <c r="J53" s="18"/>
      <c r="K53" s="18"/>
    </row>
    <row r="54" spans="1:13" ht="16.5" x14ac:dyDescent="0.3">
      <c r="C54" s="25"/>
    </row>
    <row r="55" spans="1:13" x14ac:dyDescent="0.2">
      <c r="C55" s="26"/>
    </row>
    <row r="56" spans="1:13" x14ac:dyDescent="0.2">
      <c r="C56" s="26"/>
    </row>
    <row r="57" spans="1:13" x14ac:dyDescent="0.2">
      <c r="C57" s="26"/>
    </row>
    <row r="58" spans="1:13" x14ac:dyDescent="0.2">
      <c r="C58" s="26"/>
    </row>
    <row r="59" spans="1:13" x14ac:dyDescent="0.2">
      <c r="C59" s="26"/>
    </row>
    <row r="60" spans="1:13" x14ac:dyDescent="0.2">
      <c r="C60" s="26"/>
    </row>
    <row r="61" spans="1:13" x14ac:dyDescent="0.2">
      <c r="C61" s="26"/>
    </row>
    <row r="62" spans="1:13" x14ac:dyDescent="0.2">
      <c r="C62" s="26"/>
    </row>
    <row r="63" spans="1:13" x14ac:dyDescent="0.2">
      <c r="C63" s="26"/>
    </row>
    <row r="64" spans="1:13" x14ac:dyDescent="0.2">
      <c r="C64" s="26"/>
    </row>
    <row r="65" spans="3:3" x14ac:dyDescent="0.2">
      <c r="C65" s="26"/>
    </row>
    <row r="66" spans="3:3" x14ac:dyDescent="0.2">
      <c r="C66" s="26"/>
    </row>
    <row r="67" spans="3:3" x14ac:dyDescent="0.2">
      <c r="C67" s="26"/>
    </row>
    <row r="68" spans="3:3" x14ac:dyDescent="0.2">
      <c r="C68" s="26"/>
    </row>
    <row r="69" spans="3:3" x14ac:dyDescent="0.2">
      <c r="C69" s="26"/>
    </row>
    <row r="70" spans="3:3" x14ac:dyDescent="0.2">
      <c r="C70" s="26"/>
    </row>
    <row r="71" spans="3:3" x14ac:dyDescent="0.2">
      <c r="C71" s="26"/>
    </row>
    <row r="72" spans="3:3" x14ac:dyDescent="0.2">
      <c r="C72" s="26"/>
    </row>
    <row r="73" spans="3:3" x14ac:dyDescent="0.2">
      <c r="C73" s="26"/>
    </row>
  </sheetData>
  <mergeCells count="1">
    <mergeCell ref="D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2626C"/>
  </sheetPr>
  <dimension ref="A1:M51"/>
  <sheetViews>
    <sheetView topLeftCell="B1" workbookViewId="0">
      <selection activeCell="B13" sqref="B13"/>
    </sheetView>
  </sheetViews>
  <sheetFormatPr defaultRowHeight="16.5" x14ac:dyDescent="0.3"/>
  <cols>
    <col min="1" max="1" width="18" style="33" bestFit="1" customWidth="1"/>
    <col min="2" max="2" width="29.625" style="33" bestFit="1" customWidth="1"/>
    <col min="3" max="4" width="33.875" style="33" bestFit="1" customWidth="1"/>
    <col min="5" max="6" width="29.625" style="33" bestFit="1" customWidth="1"/>
    <col min="7" max="9" width="10.5" style="32" bestFit="1" customWidth="1"/>
    <col min="10" max="11" width="9.5" style="32" bestFit="1" customWidth="1"/>
    <col min="12" max="12" width="10.125" style="32" bestFit="1" customWidth="1"/>
    <col min="13" max="13" width="10.5" style="32" bestFit="1" customWidth="1"/>
    <col min="14" max="16384" width="9" style="32"/>
  </cols>
  <sheetData>
    <row r="1" spans="1:13" x14ac:dyDescent="0.3">
      <c r="A1" s="30">
        <f ca="1">锌!K1</f>
        <v>45208</v>
      </c>
      <c r="B1" s="31" t="s">
        <v>292</v>
      </c>
      <c r="C1" s="31" t="s">
        <v>293</v>
      </c>
      <c r="D1" s="31" t="s">
        <v>294</v>
      </c>
      <c r="E1" s="31"/>
      <c r="F1" s="31"/>
      <c r="G1" s="31" t="s">
        <v>271</v>
      </c>
      <c r="H1" s="31" t="s">
        <v>295</v>
      </c>
      <c r="I1" s="31" t="s">
        <v>292</v>
      </c>
      <c r="J1" s="31" t="s">
        <v>296</v>
      </c>
      <c r="K1" s="31" t="s">
        <v>272</v>
      </c>
      <c r="L1" s="31" t="s">
        <v>273</v>
      </c>
      <c r="M1" s="31" t="s">
        <v>274</v>
      </c>
    </row>
    <row r="2" spans="1:13" x14ac:dyDescent="0.3">
      <c r="A2" s="33" t="s">
        <v>255</v>
      </c>
      <c r="B2" s="33" t="s">
        <v>297</v>
      </c>
      <c r="C2" s="33" t="s">
        <v>290</v>
      </c>
      <c r="D2" s="33" t="s">
        <v>298</v>
      </c>
      <c r="E2" s="33" t="s">
        <v>299</v>
      </c>
      <c r="F2" s="33" t="s">
        <v>300</v>
      </c>
      <c r="G2" s="34">
        <f>_xlfn.IFNA(VLOOKUP(B2,锌原始数据!$A:$E,5,0),)</f>
        <v>90900</v>
      </c>
      <c r="H2" s="34">
        <f>_xlfn.IFNA(VLOOKUP(C2,锌原始数据!$A:$E,5,0),)</f>
        <v>53800</v>
      </c>
      <c r="I2" s="34">
        <f>_xlfn.IFNA(VLOOKUP(D2,锌原始数据!$A:$E,5,0),)</f>
        <v>37100</v>
      </c>
      <c r="J2" s="34">
        <f>_xlfn.IFNA(VLOOKUP(E2,锌原始数据!$A:$E,5,0),)</f>
        <v>0</v>
      </c>
      <c r="K2" s="34">
        <f>_xlfn.IFNA(VLOOKUP(F2,锌原始数据!$A:$E,5,0),)</f>
        <v>1525</v>
      </c>
      <c r="L2" s="34">
        <f>_xlfn.IFNA(G2-M2,)</f>
        <v>-1525</v>
      </c>
      <c r="M2" s="34">
        <f>_xlfn.IFNA(VLOOKUP(B2,锌原始数据!$A:$F,6,0),)</f>
        <v>92425</v>
      </c>
    </row>
    <row r="3" spans="1:13" x14ac:dyDescent="0.3">
      <c r="A3" s="33" t="s">
        <v>256</v>
      </c>
      <c r="B3" s="33" t="s">
        <v>53</v>
      </c>
      <c r="C3" s="33" t="s">
        <v>94</v>
      </c>
      <c r="D3" s="33" t="s">
        <v>135</v>
      </c>
      <c r="E3" s="33" t="s">
        <v>176</v>
      </c>
      <c r="F3" s="33" t="s">
        <v>291</v>
      </c>
      <c r="G3" s="34">
        <f>_xlfn.IFNA(VLOOKUP(B3,锌原始数据!$A:$E,5,0),)</f>
        <v>0</v>
      </c>
      <c r="H3" s="34">
        <f>_xlfn.IFNA(VLOOKUP(C3,锌原始数据!$A:$E,5,0),)</f>
        <v>0</v>
      </c>
      <c r="I3" s="34">
        <f>_xlfn.IFNA(VLOOKUP(D3,锌原始数据!$A:$E,5,0),)</f>
        <v>0</v>
      </c>
      <c r="J3" s="34">
        <f>_xlfn.IFNA(VLOOKUP(E3,锌原始数据!$A:$E,5,0),)</f>
        <v>0</v>
      </c>
      <c r="K3" s="34">
        <f>_xlfn.IFNA(VLOOKUP(F3,锌原始数据!$A:$E,5,0),)</f>
        <v>0</v>
      </c>
      <c r="L3" s="34">
        <f t="shared" ref="L3:L46" si="0">_xlfn.IFNA(G3-M3,)</f>
        <v>0</v>
      </c>
      <c r="M3" s="34">
        <f>_xlfn.IFNA(VLOOKUP(B3,锌原始数据!$A:$F,6,0),)</f>
        <v>0</v>
      </c>
    </row>
    <row r="4" spans="1:13" x14ac:dyDescent="0.3">
      <c r="A4" s="33" t="s">
        <v>257</v>
      </c>
      <c r="B4" s="33" t="s">
        <v>55</v>
      </c>
      <c r="C4" s="33" t="s">
        <v>96</v>
      </c>
      <c r="D4" s="33" t="s">
        <v>137</v>
      </c>
      <c r="E4" s="33" t="s">
        <v>178</v>
      </c>
      <c r="F4" s="33" t="s">
        <v>218</v>
      </c>
      <c r="G4" s="34">
        <f>_xlfn.IFNA(VLOOKUP(B4,锌原始数据!$A:$E,5,0),)</f>
        <v>0</v>
      </c>
      <c r="H4" s="34">
        <f>_xlfn.IFNA(VLOOKUP(C4,锌原始数据!$A:$E,5,0),)</f>
        <v>0</v>
      </c>
      <c r="I4" s="34">
        <f>_xlfn.IFNA(VLOOKUP(D4,锌原始数据!$A:$E,5,0),)</f>
        <v>0</v>
      </c>
      <c r="J4" s="34">
        <f>_xlfn.IFNA(VLOOKUP(E4,锌原始数据!$A:$E,5,0),)</f>
        <v>0</v>
      </c>
      <c r="K4" s="34">
        <f>_xlfn.IFNA(VLOOKUP(F4,锌原始数据!$A:$E,5,0),)</f>
        <v>0</v>
      </c>
      <c r="L4" s="34">
        <f t="shared" si="0"/>
        <v>0</v>
      </c>
      <c r="M4" s="34">
        <f>_xlfn.IFNA(VLOOKUP(B4,锌原始数据!$A:$F,6,0),)</f>
        <v>0</v>
      </c>
    </row>
    <row r="5" spans="1:13" x14ac:dyDescent="0.3">
      <c r="A5" s="33" t="s">
        <v>11</v>
      </c>
      <c r="B5" s="33" t="s">
        <v>71</v>
      </c>
      <c r="C5" s="33" t="s">
        <v>112</v>
      </c>
      <c r="D5" s="33" t="s">
        <v>153</v>
      </c>
      <c r="E5" s="33" t="s">
        <v>194</v>
      </c>
      <c r="F5" s="33" t="s">
        <v>233</v>
      </c>
      <c r="G5" s="34">
        <f>_xlfn.IFNA(VLOOKUP(B5,锌原始数据!$A:$E,5,0),)</f>
        <v>0</v>
      </c>
      <c r="H5" s="34">
        <f>_xlfn.IFNA(VLOOKUP(C5,锌原始数据!$A:$E,5,0),)</f>
        <v>0</v>
      </c>
      <c r="I5" s="34">
        <f>_xlfn.IFNA(VLOOKUP(D5,锌原始数据!$A:$E,5,0),)</f>
        <v>0</v>
      </c>
      <c r="J5" s="34">
        <f>_xlfn.IFNA(VLOOKUP(E5,锌原始数据!$A:$E,5,0),)</f>
        <v>0</v>
      </c>
      <c r="K5" s="34">
        <f>_xlfn.IFNA(VLOOKUP(F5,锌原始数据!$A:$E,5,0),)</f>
        <v>0</v>
      </c>
      <c r="L5" s="34">
        <f t="shared" si="0"/>
        <v>0</v>
      </c>
      <c r="M5" s="34">
        <f>_xlfn.IFNA(VLOOKUP(B5,锌原始数据!$A:$F,6,0),)</f>
        <v>0</v>
      </c>
    </row>
    <row r="6" spans="1:13" x14ac:dyDescent="0.3">
      <c r="A6" s="33" t="s">
        <v>12</v>
      </c>
      <c r="B6" s="33" t="s">
        <v>76</v>
      </c>
      <c r="C6" s="33" t="s">
        <v>117</v>
      </c>
      <c r="D6" s="33" t="s">
        <v>158</v>
      </c>
      <c r="E6" s="33" t="s">
        <v>199</v>
      </c>
      <c r="F6" s="33" t="s">
        <v>237</v>
      </c>
      <c r="G6" s="34">
        <f>_xlfn.IFNA(VLOOKUP(B6,锌原始数据!$A:$E,5,0),)</f>
        <v>0</v>
      </c>
      <c r="H6" s="34">
        <f>_xlfn.IFNA(VLOOKUP(C6,锌原始数据!$A:$E,5,0),)</f>
        <v>0</v>
      </c>
      <c r="I6" s="34">
        <f>_xlfn.IFNA(VLOOKUP(D6,锌原始数据!$A:$E,5,0),)</f>
        <v>0</v>
      </c>
      <c r="J6" s="34">
        <f>_xlfn.IFNA(VLOOKUP(E6,锌原始数据!$A:$E,5,0),)</f>
        <v>0</v>
      </c>
      <c r="K6" s="34">
        <f>_xlfn.IFNA(VLOOKUP(F6,锌原始数据!$A:$E,5,0),)</f>
        <v>0</v>
      </c>
      <c r="L6" s="34">
        <f t="shared" si="0"/>
        <v>0</v>
      </c>
      <c r="M6" s="34">
        <f>_xlfn.IFNA(VLOOKUP(B6,锌原始数据!$A:$F,6,0),)</f>
        <v>0</v>
      </c>
    </row>
    <row r="7" spans="1:13" x14ac:dyDescent="0.3">
      <c r="A7" s="33" t="s">
        <v>258</v>
      </c>
      <c r="B7" s="33" t="s">
        <v>60</v>
      </c>
      <c r="C7" s="33" t="s">
        <v>101</v>
      </c>
      <c r="D7" s="33" t="s">
        <v>142</v>
      </c>
      <c r="E7" s="33" t="s">
        <v>183</v>
      </c>
      <c r="F7" s="33" t="s">
        <v>223</v>
      </c>
      <c r="G7" s="34">
        <f>_xlfn.IFNA(VLOOKUP(B7,锌原始数据!$A:$E,5,0),)</f>
        <v>0</v>
      </c>
      <c r="H7" s="34">
        <f>_xlfn.IFNA(VLOOKUP(C7,锌原始数据!$A:$E,5,0),)</f>
        <v>0</v>
      </c>
      <c r="I7" s="34">
        <f>_xlfn.IFNA(VLOOKUP(D7,锌原始数据!$A:$E,5,0),)</f>
        <v>0</v>
      </c>
      <c r="J7" s="34">
        <f>_xlfn.IFNA(VLOOKUP(E7,锌原始数据!$A:$E,5,0),)</f>
        <v>0</v>
      </c>
      <c r="K7" s="34">
        <f>_xlfn.IFNA(VLOOKUP(F7,锌原始数据!$A:$E,5,0),)</f>
        <v>0</v>
      </c>
      <c r="L7" s="34">
        <f t="shared" si="0"/>
        <v>0</v>
      </c>
      <c r="M7" s="34">
        <f>_xlfn.IFNA(VLOOKUP(B7,锌原始数据!$A:$F,6,0),)</f>
        <v>0</v>
      </c>
    </row>
    <row r="8" spans="1:13" x14ac:dyDescent="0.3">
      <c r="A8" s="33" t="s">
        <v>14</v>
      </c>
      <c r="B8" s="33" t="s">
        <v>67</v>
      </c>
      <c r="C8" s="33" t="s">
        <v>108</v>
      </c>
      <c r="D8" s="33" t="s">
        <v>149</v>
      </c>
      <c r="E8" s="33" t="s">
        <v>190</v>
      </c>
      <c r="F8" s="33" t="s">
        <v>229</v>
      </c>
      <c r="G8" s="34">
        <f>_xlfn.IFNA(VLOOKUP(B8,锌原始数据!$A:$E,5,0),)</f>
        <v>0</v>
      </c>
      <c r="H8" s="34">
        <f>_xlfn.IFNA(VLOOKUP(C8,锌原始数据!$A:$E,5,0),)</f>
        <v>0</v>
      </c>
      <c r="I8" s="34">
        <f>_xlfn.IFNA(VLOOKUP(D8,锌原始数据!$A:$E,5,0),)</f>
        <v>0</v>
      </c>
      <c r="J8" s="34">
        <f>_xlfn.IFNA(VLOOKUP(E8,锌原始数据!$A:$E,5,0),)</f>
        <v>0</v>
      </c>
      <c r="K8" s="34">
        <f>_xlfn.IFNA(VLOOKUP(F8,锌原始数据!$A:$E,5,0),)</f>
        <v>0</v>
      </c>
      <c r="L8" s="34">
        <f t="shared" si="0"/>
        <v>0</v>
      </c>
      <c r="M8" s="34">
        <f>_xlfn.IFNA(VLOOKUP(B8,锌原始数据!$A:$F,6,0),)</f>
        <v>0</v>
      </c>
    </row>
    <row r="9" spans="1:13" x14ac:dyDescent="0.3">
      <c r="A9" s="33" t="s">
        <v>259</v>
      </c>
      <c r="B9" s="33" t="s">
        <v>58</v>
      </c>
      <c r="C9" s="33" t="s">
        <v>99</v>
      </c>
      <c r="D9" s="33" t="s">
        <v>140</v>
      </c>
      <c r="E9" s="33" t="s">
        <v>181</v>
      </c>
      <c r="F9" s="33" t="s">
        <v>221</v>
      </c>
      <c r="G9" s="34">
        <f>_xlfn.IFNA(VLOOKUP(B9,锌原始数据!$A:$E,5,0),)</f>
        <v>0</v>
      </c>
      <c r="H9" s="34">
        <f>_xlfn.IFNA(VLOOKUP(C9,锌原始数据!$A:$E,5,0),)</f>
        <v>0</v>
      </c>
      <c r="I9" s="34">
        <f>_xlfn.IFNA(VLOOKUP(D9,锌原始数据!$A:$E,5,0),)</f>
        <v>0</v>
      </c>
      <c r="J9" s="34">
        <f>_xlfn.IFNA(VLOOKUP(E9,锌原始数据!$A:$E,5,0),)</f>
        <v>0</v>
      </c>
      <c r="K9" s="34">
        <f>_xlfn.IFNA(VLOOKUP(F9,锌原始数据!$A:$E,5,0),)</f>
        <v>0</v>
      </c>
      <c r="L9" s="34">
        <f t="shared" si="0"/>
        <v>0</v>
      </c>
      <c r="M9" s="34">
        <f>_xlfn.IFNA(VLOOKUP(B9,锌原始数据!$A:$F,6,0),)</f>
        <v>0</v>
      </c>
    </row>
    <row r="10" spans="1:13" x14ac:dyDescent="0.3">
      <c r="A10" s="33" t="s">
        <v>16</v>
      </c>
      <c r="B10" s="33" t="s">
        <v>77</v>
      </c>
      <c r="C10" s="33" t="s">
        <v>118</v>
      </c>
      <c r="D10" s="33" t="s">
        <v>159</v>
      </c>
      <c r="E10" s="33" t="s">
        <v>200</v>
      </c>
      <c r="F10" s="33" t="s">
        <v>238</v>
      </c>
      <c r="G10" s="34">
        <f>_xlfn.IFNA(VLOOKUP(B10,锌原始数据!$A:$E,5,0),)</f>
        <v>0</v>
      </c>
      <c r="H10" s="34">
        <f>_xlfn.IFNA(VLOOKUP(C10,锌原始数据!$A:$E,5,0),)</f>
        <v>0</v>
      </c>
      <c r="I10" s="34">
        <f>_xlfn.IFNA(VLOOKUP(D10,锌原始数据!$A:$E,5,0),)</f>
        <v>0</v>
      </c>
      <c r="J10" s="34">
        <f>_xlfn.IFNA(VLOOKUP(E10,锌原始数据!$A:$E,5,0),)</f>
        <v>0</v>
      </c>
      <c r="K10" s="34">
        <f>_xlfn.IFNA(VLOOKUP(F10,锌原始数据!$A:$E,5,0),)</f>
        <v>0</v>
      </c>
      <c r="L10" s="34">
        <f t="shared" si="0"/>
        <v>0</v>
      </c>
      <c r="M10" s="34">
        <f>_xlfn.IFNA(VLOOKUP(B10,锌原始数据!$A:$F,6,0),)</f>
        <v>0</v>
      </c>
    </row>
    <row r="11" spans="1:13" x14ac:dyDescent="0.3">
      <c r="A11" s="33" t="s">
        <v>260</v>
      </c>
      <c r="B11" s="33" t="s">
        <v>61</v>
      </c>
      <c r="C11" s="33" t="s">
        <v>102</v>
      </c>
      <c r="D11" s="33" t="s">
        <v>143</v>
      </c>
      <c r="E11" s="33" t="s">
        <v>184</v>
      </c>
      <c r="F11" s="33" t="s">
        <v>224</v>
      </c>
      <c r="G11" s="34">
        <f>_xlfn.IFNA(VLOOKUP(B11,锌原始数据!$A:$E,5,0),)</f>
        <v>0</v>
      </c>
      <c r="H11" s="34">
        <f>_xlfn.IFNA(VLOOKUP(C11,锌原始数据!$A:$E,5,0),)</f>
        <v>0</v>
      </c>
      <c r="I11" s="34">
        <f>_xlfn.IFNA(VLOOKUP(D11,锌原始数据!$A:$E,5,0),)</f>
        <v>0</v>
      </c>
      <c r="J11" s="34">
        <f>_xlfn.IFNA(VLOOKUP(E11,锌原始数据!$A:$E,5,0),)</f>
        <v>0</v>
      </c>
      <c r="K11" s="34">
        <f>_xlfn.IFNA(VLOOKUP(F11,锌原始数据!$A:$E,5,0),)</f>
        <v>0</v>
      </c>
      <c r="L11" s="34">
        <f t="shared" si="0"/>
        <v>0</v>
      </c>
      <c r="M11" s="34">
        <f>_xlfn.IFNA(VLOOKUP(B11,锌原始数据!$A:$F,6,0),)</f>
        <v>0</v>
      </c>
    </row>
    <row r="12" spans="1:13" x14ac:dyDescent="0.3">
      <c r="A12" s="33" t="s">
        <v>18</v>
      </c>
      <c r="B12" s="33" t="s">
        <v>69</v>
      </c>
      <c r="C12" s="33" t="s">
        <v>110</v>
      </c>
      <c r="D12" s="33" t="s">
        <v>151</v>
      </c>
      <c r="E12" s="33" t="s">
        <v>192</v>
      </c>
      <c r="F12" s="33" t="s">
        <v>231</v>
      </c>
      <c r="G12" s="34">
        <f>_xlfn.IFNA(VLOOKUP(B12,锌原始数据!$A:$E,5,0),)</f>
        <v>0</v>
      </c>
      <c r="H12" s="34">
        <f>_xlfn.IFNA(VLOOKUP(C12,锌原始数据!$A:$E,5,0),)</f>
        <v>0</v>
      </c>
      <c r="I12" s="34">
        <f>_xlfn.IFNA(VLOOKUP(D12,锌原始数据!$A:$E,5,0),)</f>
        <v>0</v>
      </c>
      <c r="J12" s="34">
        <f>_xlfn.IFNA(VLOOKUP(E12,锌原始数据!$A:$E,5,0),)</f>
        <v>0</v>
      </c>
      <c r="K12" s="34">
        <f>_xlfn.IFNA(VLOOKUP(F12,锌原始数据!$A:$E,5,0),)</f>
        <v>0</v>
      </c>
      <c r="L12" s="34">
        <f t="shared" si="0"/>
        <v>0</v>
      </c>
      <c r="M12" s="34">
        <f>_xlfn.IFNA(VLOOKUP(B12,锌原始数据!$A:$F,6,0),)</f>
        <v>0</v>
      </c>
    </row>
    <row r="13" spans="1:13" x14ac:dyDescent="0.3">
      <c r="A13" s="33" t="s">
        <v>19</v>
      </c>
      <c r="B13" s="33" t="s">
        <v>70</v>
      </c>
      <c r="C13" s="33" t="s">
        <v>111</v>
      </c>
      <c r="D13" s="33" t="s">
        <v>152</v>
      </c>
      <c r="E13" s="33" t="s">
        <v>193</v>
      </c>
      <c r="F13" s="33" t="s">
        <v>232</v>
      </c>
      <c r="G13" s="34">
        <f>_xlfn.IFNA(VLOOKUP(B13,锌原始数据!$A:$E,5,0),)</f>
        <v>0</v>
      </c>
      <c r="H13" s="34">
        <f>_xlfn.IFNA(VLOOKUP(C13,锌原始数据!$A:$E,5,0),)</f>
        <v>0</v>
      </c>
      <c r="I13" s="34">
        <f>_xlfn.IFNA(VLOOKUP(D13,锌原始数据!$A:$E,5,0),)</f>
        <v>0</v>
      </c>
      <c r="J13" s="34">
        <f>_xlfn.IFNA(VLOOKUP(E13,锌原始数据!$A:$E,5,0),)</f>
        <v>0</v>
      </c>
      <c r="K13" s="34">
        <f>_xlfn.IFNA(VLOOKUP(F13,锌原始数据!$A:$E,5,0),)</f>
        <v>0</v>
      </c>
      <c r="L13" s="34">
        <f t="shared" si="0"/>
        <v>0</v>
      </c>
      <c r="M13" s="34">
        <f>_xlfn.IFNA(VLOOKUP(B13,锌原始数据!$A:$F,6,0),)</f>
        <v>0</v>
      </c>
    </row>
    <row r="14" spans="1:13" x14ac:dyDescent="0.3">
      <c r="A14" s="33" t="s">
        <v>20</v>
      </c>
      <c r="B14" s="33" t="s">
        <v>90</v>
      </c>
      <c r="C14" s="33" t="s">
        <v>131</v>
      </c>
      <c r="D14" s="33" t="s">
        <v>172</v>
      </c>
      <c r="E14" s="33" t="s">
        <v>213</v>
      </c>
      <c r="F14" s="33" t="s">
        <v>251</v>
      </c>
      <c r="G14" s="34">
        <f>_xlfn.IFNA(VLOOKUP(B14,锌原始数据!$A:$E,5,0),)</f>
        <v>0</v>
      </c>
      <c r="H14" s="34">
        <f>_xlfn.IFNA(VLOOKUP(C14,锌原始数据!$A:$E,5,0),)</f>
        <v>0</v>
      </c>
      <c r="I14" s="34">
        <f>_xlfn.IFNA(VLOOKUP(D14,锌原始数据!$A:$E,5,0),)</f>
        <v>0</v>
      </c>
      <c r="J14" s="34">
        <f>_xlfn.IFNA(VLOOKUP(E14,锌原始数据!$A:$E,5,0),)</f>
        <v>0</v>
      </c>
      <c r="K14" s="34">
        <f>_xlfn.IFNA(VLOOKUP(F14,锌原始数据!$A:$E,5,0),)</f>
        <v>0</v>
      </c>
      <c r="L14" s="34">
        <f t="shared" si="0"/>
        <v>0</v>
      </c>
      <c r="M14" s="34">
        <f>_xlfn.IFNA(VLOOKUP(B14,锌原始数据!$A:$F,6,0),)</f>
        <v>0</v>
      </c>
    </row>
    <row r="15" spans="1:13" x14ac:dyDescent="0.3">
      <c r="A15" s="33" t="s">
        <v>261</v>
      </c>
      <c r="B15" s="33" t="s">
        <v>56</v>
      </c>
      <c r="C15" s="33" t="s">
        <v>97</v>
      </c>
      <c r="D15" s="33" t="s">
        <v>138</v>
      </c>
      <c r="E15" s="33" t="s">
        <v>179</v>
      </c>
      <c r="F15" s="33" t="s">
        <v>219</v>
      </c>
      <c r="G15" s="34">
        <f>_xlfn.IFNA(VLOOKUP(B15,锌原始数据!$A:$E,5,0),)</f>
        <v>0</v>
      </c>
      <c r="H15" s="34">
        <f>_xlfn.IFNA(VLOOKUP(C15,锌原始数据!$A:$E,5,0),)</f>
        <v>0</v>
      </c>
      <c r="I15" s="34">
        <f>_xlfn.IFNA(VLOOKUP(D15,锌原始数据!$A:$E,5,0),)</f>
        <v>0</v>
      </c>
      <c r="J15" s="34">
        <f>_xlfn.IFNA(VLOOKUP(E15,锌原始数据!$A:$E,5,0),)</f>
        <v>0</v>
      </c>
      <c r="K15" s="34">
        <f>_xlfn.IFNA(VLOOKUP(F15,锌原始数据!$A:$E,5,0),)</f>
        <v>0</v>
      </c>
      <c r="L15" s="34">
        <f t="shared" si="0"/>
        <v>0</v>
      </c>
      <c r="M15" s="34">
        <f>_xlfn.IFNA(VLOOKUP(B15,锌原始数据!$A:$F,6,0),)</f>
        <v>0</v>
      </c>
    </row>
    <row r="16" spans="1:13" x14ac:dyDescent="0.3">
      <c r="A16" s="33" t="s">
        <v>22</v>
      </c>
      <c r="B16" s="33" t="s">
        <v>92</v>
      </c>
      <c r="C16" s="33" t="s">
        <v>133</v>
      </c>
      <c r="D16" s="33" t="s">
        <v>174</v>
      </c>
      <c r="E16" s="33" t="s">
        <v>215</v>
      </c>
      <c r="F16" s="33" t="s">
        <v>253</v>
      </c>
      <c r="G16" s="34">
        <f>_xlfn.IFNA(VLOOKUP(B16,锌原始数据!$A:$E,5,0),)</f>
        <v>0</v>
      </c>
      <c r="H16" s="34">
        <f>_xlfn.IFNA(VLOOKUP(C16,锌原始数据!$A:$E,5,0),)</f>
        <v>0</v>
      </c>
      <c r="I16" s="34">
        <f>_xlfn.IFNA(VLOOKUP(D16,锌原始数据!$A:$E,5,0),)</f>
        <v>0</v>
      </c>
      <c r="J16" s="34">
        <f>_xlfn.IFNA(VLOOKUP(E16,锌原始数据!$A:$E,5,0),)</f>
        <v>0</v>
      </c>
      <c r="K16" s="34">
        <f>_xlfn.IFNA(VLOOKUP(F16,锌原始数据!$A:$E,5,0),)</f>
        <v>0</v>
      </c>
      <c r="L16" s="34">
        <f t="shared" si="0"/>
        <v>0</v>
      </c>
      <c r="M16" s="34">
        <f>_xlfn.IFNA(VLOOKUP(B16,锌原始数据!$A:$F,6,0),)</f>
        <v>0</v>
      </c>
    </row>
    <row r="17" spans="1:13" x14ac:dyDescent="0.3">
      <c r="A17" s="33" t="s">
        <v>23</v>
      </c>
      <c r="B17" s="33" t="s">
        <v>87</v>
      </c>
      <c r="C17" s="33" t="s">
        <v>128</v>
      </c>
      <c r="D17" s="33" t="s">
        <v>169</v>
      </c>
      <c r="E17" s="33" t="s">
        <v>210</v>
      </c>
      <c r="F17" s="33" t="s">
        <v>248</v>
      </c>
      <c r="G17" s="34">
        <f>_xlfn.IFNA(VLOOKUP(B17,锌原始数据!$A:$E,5,0),)</f>
        <v>0</v>
      </c>
      <c r="H17" s="34">
        <f>_xlfn.IFNA(VLOOKUP(C17,锌原始数据!$A:$E,5,0),)</f>
        <v>0</v>
      </c>
      <c r="I17" s="34">
        <f>_xlfn.IFNA(VLOOKUP(D17,锌原始数据!$A:$E,5,0),)</f>
        <v>0</v>
      </c>
      <c r="J17" s="34">
        <f>_xlfn.IFNA(VLOOKUP(E17,锌原始数据!$A:$E,5,0),)</f>
        <v>0</v>
      </c>
      <c r="K17" s="34">
        <f>_xlfn.IFNA(VLOOKUP(F17,锌原始数据!$A:$E,5,0),)</f>
        <v>0</v>
      </c>
      <c r="L17" s="34">
        <f t="shared" si="0"/>
        <v>0</v>
      </c>
      <c r="M17" s="34">
        <f>_xlfn.IFNA(VLOOKUP(B17,锌原始数据!$A:$F,6,0),)</f>
        <v>0</v>
      </c>
    </row>
    <row r="18" spans="1:13" x14ac:dyDescent="0.3">
      <c r="A18" s="33" t="s">
        <v>262</v>
      </c>
      <c r="B18" s="33" t="s">
        <v>63</v>
      </c>
      <c r="C18" s="33" t="s">
        <v>104</v>
      </c>
      <c r="D18" s="33" t="s">
        <v>145</v>
      </c>
      <c r="E18" s="33" t="s">
        <v>186</v>
      </c>
      <c r="F18" s="33" t="s">
        <v>226</v>
      </c>
      <c r="G18" s="34">
        <f>_xlfn.IFNA(VLOOKUP(B18,锌原始数据!$A:$E,5,0),)</f>
        <v>0</v>
      </c>
      <c r="H18" s="34">
        <f>_xlfn.IFNA(VLOOKUP(C18,锌原始数据!$A:$E,5,0),)</f>
        <v>0</v>
      </c>
      <c r="I18" s="34">
        <f>_xlfn.IFNA(VLOOKUP(D18,锌原始数据!$A:$E,5,0),)</f>
        <v>0</v>
      </c>
      <c r="J18" s="34">
        <f>_xlfn.IFNA(VLOOKUP(E18,锌原始数据!$A:$E,5,0),)</f>
        <v>0</v>
      </c>
      <c r="K18" s="34">
        <f>_xlfn.IFNA(VLOOKUP(F18,锌原始数据!$A:$E,5,0),)</f>
        <v>0</v>
      </c>
      <c r="L18" s="34">
        <f t="shared" si="0"/>
        <v>0</v>
      </c>
      <c r="M18" s="34">
        <f>_xlfn.IFNA(VLOOKUP(B18,锌原始数据!$A:$F,6,0),)</f>
        <v>0</v>
      </c>
    </row>
    <row r="19" spans="1:13" x14ac:dyDescent="0.3">
      <c r="A19" s="33" t="s">
        <v>25</v>
      </c>
      <c r="B19" s="33" t="s">
        <v>91</v>
      </c>
      <c r="C19" s="33" t="s">
        <v>132</v>
      </c>
      <c r="D19" s="33" t="s">
        <v>173</v>
      </c>
      <c r="E19" s="33" t="s">
        <v>214</v>
      </c>
      <c r="F19" s="33" t="s">
        <v>252</v>
      </c>
      <c r="G19" s="34">
        <f>_xlfn.IFNA(VLOOKUP(B19,锌原始数据!$A:$E,5,0),)</f>
        <v>0</v>
      </c>
      <c r="H19" s="34">
        <f>_xlfn.IFNA(VLOOKUP(C19,锌原始数据!$A:$E,5,0),)</f>
        <v>0</v>
      </c>
      <c r="I19" s="34">
        <f>_xlfn.IFNA(VLOOKUP(D19,锌原始数据!$A:$E,5,0),)</f>
        <v>0</v>
      </c>
      <c r="J19" s="34">
        <f>_xlfn.IFNA(VLOOKUP(E19,锌原始数据!$A:$E,5,0),)</f>
        <v>0</v>
      </c>
      <c r="K19" s="34">
        <f>_xlfn.IFNA(VLOOKUP(F19,锌原始数据!$A:$E,5,0),)</f>
        <v>0</v>
      </c>
      <c r="L19" s="34">
        <f t="shared" si="0"/>
        <v>0</v>
      </c>
      <c r="M19" s="34">
        <f>_xlfn.IFNA(VLOOKUP(B19,锌原始数据!$A:$F,6,0),)</f>
        <v>0</v>
      </c>
    </row>
    <row r="20" spans="1:13" x14ac:dyDescent="0.3">
      <c r="A20" s="33" t="s">
        <v>26</v>
      </c>
      <c r="B20" s="33" t="s">
        <v>80</v>
      </c>
      <c r="C20" s="33" t="s">
        <v>121</v>
      </c>
      <c r="D20" s="33" t="s">
        <v>162</v>
      </c>
      <c r="E20" s="33" t="s">
        <v>203</v>
      </c>
      <c r="F20" s="33" t="s">
        <v>241</v>
      </c>
      <c r="G20" s="34">
        <f>_xlfn.IFNA(VLOOKUP(B20,锌原始数据!$A:$E,5,0),)</f>
        <v>0</v>
      </c>
      <c r="H20" s="34">
        <f>_xlfn.IFNA(VLOOKUP(C20,锌原始数据!$A:$E,5,0),)</f>
        <v>0</v>
      </c>
      <c r="I20" s="34">
        <f>_xlfn.IFNA(VLOOKUP(D20,锌原始数据!$A:$E,5,0),)</f>
        <v>0</v>
      </c>
      <c r="J20" s="34">
        <f>_xlfn.IFNA(VLOOKUP(E20,锌原始数据!$A:$E,5,0),)</f>
        <v>0</v>
      </c>
      <c r="K20" s="34">
        <f>_xlfn.IFNA(VLOOKUP(F20,锌原始数据!$A:$E,5,0),)</f>
        <v>0</v>
      </c>
      <c r="L20" s="34">
        <f t="shared" si="0"/>
        <v>0</v>
      </c>
      <c r="M20" s="34">
        <f>_xlfn.IFNA(VLOOKUP(B20,锌原始数据!$A:$F,6,0),)</f>
        <v>0</v>
      </c>
    </row>
    <row r="21" spans="1:13" x14ac:dyDescent="0.3">
      <c r="A21" s="33" t="s">
        <v>27</v>
      </c>
      <c r="B21" s="33" t="s">
        <v>75</v>
      </c>
      <c r="C21" s="33" t="s">
        <v>116</v>
      </c>
      <c r="D21" s="33" t="s">
        <v>157</v>
      </c>
      <c r="E21" s="33" t="s">
        <v>198</v>
      </c>
      <c r="F21" s="33" t="s">
        <v>236</v>
      </c>
      <c r="G21" s="34">
        <f>_xlfn.IFNA(VLOOKUP(B21,锌原始数据!$A:$E,5,0),)</f>
        <v>0</v>
      </c>
      <c r="H21" s="34">
        <f>_xlfn.IFNA(VLOOKUP(C21,锌原始数据!$A:$E,5,0),)</f>
        <v>0</v>
      </c>
      <c r="I21" s="34">
        <f>_xlfn.IFNA(VLOOKUP(D21,锌原始数据!$A:$E,5,0),)</f>
        <v>0</v>
      </c>
      <c r="J21" s="34">
        <f>_xlfn.IFNA(VLOOKUP(E21,锌原始数据!$A:$E,5,0),)</f>
        <v>0</v>
      </c>
      <c r="K21" s="34">
        <f>_xlfn.IFNA(VLOOKUP(F21,锌原始数据!$A:$E,5,0),)</f>
        <v>0</v>
      </c>
      <c r="L21" s="34">
        <f t="shared" si="0"/>
        <v>0</v>
      </c>
      <c r="M21" s="34">
        <f>_xlfn.IFNA(VLOOKUP(B21,锌原始数据!$A:$F,6,0),)</f>
        <v>0</v>
      </c>
    </row>
    <row r="22" spans="1:13" x14ac:dyDescent="0.3">
      <c r="A22" s="33" t="s">
        <v>263</v>
      </c>
      <c r="B22" s="33" t="s">
        <v>59</v>
      </c>
      <c r="C22" s="33" t="s">
        <v>100</v>
      </c>
      <c r="D22" s="33" t="s">
        <v>141</v>
      </c>
      <c r="E22" s="33" t="s">
        <v>182</v>
      </c>
      <c r="F22" s="33" t="s">
        <v>222</v>
      </c>
      <c r="G22" s="34">
        <f>_xlfn.IFNA(VLOOKUP(B22,锌原始数据!$A:$E,5,0),)</f>
        <v>0</v>
      </c>
      <c r="H22" s="34">
        <f>_xlfn.IFNA(VLOOKUP(C22,锌原始数据!$A:$E,5,0),)</f>
        <v>0</v>
      </c>
      <c r="I22" s="34">
        <f>_xlfn.IFNA(VLOOKUP(D22,锌原始数据!$A:$E,5,0),)</f>
        <v>0</v>
      </c>
      <c r="J22" s="34">
        <f>_xlfn.IFNA(VLOOKUP(E22,锌原始数据!$A:$E,5,0),)</f>
        <v>0</v>
      </c>
      <c r="K22" s="34">
        <f>_xlfn.IFNA(VLOOKUP(F22,锌原始数据!$A:$E,5,0),)</f>
        <v>0</v>
      </c>
      <c r="L22" s="34">
        <f t="shared" si="0"/>
        <v>0</v>
      </c>
      <c r="M22" s="34">
        <f>_xlfn.IFNA(VLOOKUP(B22,锌原始数据!$A:$F,6,0),)</f>
        <v>0</v>
      </c>
    </row>
    <row r="23" spans="1:13" x14ac:dyDescent="0.3">
      <c r="A23" s="33" t="s">
        <v>29</v>
      </c>
      <c r="B23" s="33" t="s">
        <v>78</v>
      </c>
      <c r="C23" s="33" t="s">
        <v>119</v>
      </c>
      <c r="D23" s="33" t="s">
        <v>160</v>
      </c>
      <c r="E23" s="33" t="s">
        <v>201</v>
      </c>
      <c r="F23" s="33" t="s">
        <v>239</v>
      </c>
      <c r="G23" s="34">
        <f>_xlfn.IFNA(VLOOKUP(B23,锌原始数据!$A:$E,5,0),)</f>
        <v>0</v>
      </c>
      <c r="H23" s="34">
        <f>_xlfn.IFNA(VLOOKUP(C23,锌原始数据!$A:$E,5,0),)</f>
        <v>0</v>
      </c>
      <c r="I23" s="34">
        <f>_xlfn.IFNA(VLOOKUP(D23,锌原始数据!$A:$E,5,0),)</f>
        <v>0</v>
      </c>
      <c r="J23" s="34">
        <f>_xlfn.IFNA(VLOOKUP(E23,锌原始数据!$A:$E,5,0),)</f>
        <v>0</v>
      </c>
      <c r="K23" s="34">
        <f>_xlfn.IFNA(VLOOKUP(F23,锌原始数据!$A:$E,5,0),)</f>
        <v>0</v>
      </c>
      <c r="L23" s="34">
        <f t="shared" si="0"/>
        <v>0</v>
      </c>
      <c r="M23" s="34">
        <f>_xlfn.IFNA(VLOOKUP(B23,锌原始数据!$A:$F,6,0),)</f>
        <v>0</v>
      </c>
    </row>
    <row r="24" spans="1:13" x14ac:dyDescent="0.3">
      <c r="A24" s="33" t="s">
        <v>30</v>
      </c>
      <c r="B24" s="33" t="s">
        <v>81</v>
      </c>
      <c r="C24" s="33" t="s">
        <v>122</v>
      </c>
      <c r="D24" s="33" t="s">
        <v>163</v>
      </c>
      <c r="E24" s="33" t="s">
        <v>204</v>
      </c>
      <c r="F24" s="33" t="s">
        <v>242</v>
      </c>
      <c r="G24" s="34">
        <f>_xlfn.IFNA(VLOOKUP(B24,锌原始数据!$A:$E,5,0),)</f>
        <v>0</v>
      </c>
      <c r="H24" s="34">
        <f>_xlfn.IFNA(VLOOKUP(C24,锌原始数据!$A:$E,5,0),)</f>
        <v>0</v>
      </c>
      <c r="I24" s="34">
        <f>_xlfn.IFNA(VLOOKUP(D24,锌原始数据!$A:$E,5,0),)</f>
        <v>0</v>
      </c>
      <c r="J24" s="34">
        <f>_xlfn.IFNA(VLOOKUP(E24,锌原始数据!$A:$E,5,0),)</f>
        <v>0</v>
      </c>
      <c r="K24" s="34">
        <f>_xlfn.IFNA(VLOOKUP(F24,锌原始数据!$A:$E,5,0),)</f>
        <v>0</v>
      </c>
      <c r="L24" s="34">
        <f t="shared" si="0"/>
        <v>0</v>
      </c>
      <c r="M24" s="34">
        <f>_xlfn.IFNA(VLOOKUP(B24,锌原始数据!$A:$F,6,0),)</f>
        <v>0</v>
      </c>
    </row>
    <row r="25" spans="1:13" x14ac:dyDescent="0.3">
      <c r="A25" s="33" t="s">
        <v>31</v>
      </c>
      <c r="B25" s="33" t="s">
        <v>275</v>
      </c>
      <c r="C25" s="33" t="s">
        <v>276</v>
      </c>
      <c r="D25" s="33" t="s">
        <v>277</v>
      </c>
      <c r="E25" s="33" t="s">
        <v>278</v>
      </c>
      <c r="F25" s="33" t="s">
        <v>279</v>
      </c>
      <c r="G25" s="34">
        <f>_xlfn.IFNA(VLOOKUP(B25,锌原始数据!$A:$E,5,0),)</f>
        <v>0</v>
      </c>
      <c r="H25" s="34">
        <f>_xlfn.IFNA(VLOOKUP(C25,锌原始数据!$A:$E,5,0),)</f>
        <v>0</v>
      </c>
      <c r="I25" s="34">
        <f>_xlfn.IFNA(VLOOKUP(D25,锌原始数据!$A:$E,5,0),)</f>
        <v>0</v>
      </c>
      <c r="J25" s="34">
        <f>_xlfn.IFNA(VLOOKUP(E25,锌原始数据!$A:$E,5,0),)</f>
        <v>0</v>
      </c>
      <c r="K25" s="34">
        <f>_xlfn.IFNA(VLOOKUP(F25,锌原始数据!$A:$E,5,0),)</f>
        <v>0</v>
      </c>
      <c r="L25" s="34">
        <f t="shared" si="0"/>
        <v>0</v>
      </c>
      <c r="M25" s="34">
        <f>_xlfn.IFNA(VLOOKUP(B25,锌原始数据!$A:$F,6,0),)</f>
        <v>0</v>
      </c>
    </row>
    <row r="26" spans="1:13" x14ac:dyDescent="0.3">
      <c r="A26" s="33" t="s">
        <v>301</v>
      </c>
      <c r="B26" s="33" t="s">
        <v>302</v>
      </c>
      <c r="C26" s="33" t="s">
        <v>288</v>
      </c>
      <c r="D26" s="33" t="s">
        <v>303</v>
      </c>
      <c r="E26" s="33" t="s">
        <v>304</v>
      </c>
      <c r="F26" s="33" t="s">
        <v>305</v>
      </c>
      <c r="G26" s="34">
        <f>_xlfn.IFNA(VLOOKUP(B26,锌原始数据!$A:$E,5,0),)</f>
        <v>0</v>
      </c>
      <c r="H26" s="34">
        <f>_xlfn.IFNA(VLOOKUP(C26,锌原始数据!$A:$E,5,0),)</f>
        <v>0</v>
      </c>
      <c r="I26" s="34">
        <f>_xlfn.IFNA(VLOOKUP(D26,锌原始数据!$A:$E,5,0),)</f>
        <v>0</v>
      </c>
      <c r="J26" s="34">
        <f>_xlfn.IFNA(VLOOKUP(E26,锌原始数据!$A:$E,5,0),)</f>
        <v>0</v>
      </c>
      <c r="K26" s="34">
        <f>_xlfn.IFNA(VLOOKUP(F26,锌原始数据!$A:$E,5,0),)</f>
        <v>0</v>
      </c>
      <c r="L26" s="34">
        <f t="shared" si="0"/>
        <v>0</v>
      </c>
      <c r="M26" s="34">
        <f>_xlfn.IFNA(VLOOKUP(B26,锌原始数据!$A:$F,6,0),)</f>
        <v>0</v>
      </c>
    </row>
    <row r="27" spans="1:13" x14ac:dyDescent="0.3">
      <c r="A27" s="33" t="s">
        <v>264</v>
      </c>
      <c r="B27" s="33" t="s">
        <v>57</v>
      </c>
      <c r="C27" s="33" t="s">
        <v>98</v>
      </c>
      <c r="D27" s="33" t="s">
        <v>139</v>
      </c>
      <c r="E27" s="33" t="s">
        <v>180</v>
      </c>
      <c r="F27" s="33" t="s">
        <v>220</v>
      </c>
      <c r="G27" s="34">
        <f>_xlfn.IFNA(VLOOKUP(B27,锌原始数据!$A:$E,5,0),)</f>
        <v>0</v>
      </c>
      <c r="H27" s="34">
        <f>_xlfn.IFNA(VLOOKUP(C27,锌原始数据!$A:$E,5,0),)</f>
        <v>0</v>
      </c>
      <c r="I27" s="34">
        <f>_xlfn.IFNA(VLOOKUP(D27,锌原始数据!$A:$E,5,0),)</f>
        <v>0</v>
      </c>
      <c r="J27" s="34">
        <f>_xlfn.IFNA(VLOOKUP(E27,锌原始数据!$A:$E,5,0),)</f>
        <v>0</v>
      </c>
      <c r="K27" s="34">
        <f>_xlfn.IFNA(VLOOKUP(F27,锌原始数据!$A:$E,5,0),)</f>
        <v>0</v>
      </c>
      <c r="L27" s="34">
        <f t="shared" si="0"/>
        <v>0</v>
      </c>
      <c r="M27" s="34">
        <f>_xlfn.IFNA(VLOOKUP(B27,锌原始数据!$A:$F,6,0),)</f>
        <v>0</v>
      </c>
    </row>
    <row r="28" spans="1:13" x14ac:dyDescent="0.3">
      <c r="A28" s="33" t="s">
        <v>34</v>
      </c>
      <c r="B28" s="33" t="s">
        <v>68</v>
      </c>
      <c r="C28" s="33" t="s">
        <v>109</v>
      </c>
      <c r="D28" s="33" t="s">
        <v>150</v>
      </c>
      <c r="E28" s="33" t="s">
        <v>191</v>
      </c>
      <c r="F28" s="33" t="s">
        <v>230</v>
      </c>
      <c r="G28" s="34">
        <f>_xlfn.IFNA(VLOOKUP(B28,锌原始数据!$A:$E,5,0),)</f>
        <v>0</v>
      </c>
      <c r="H28" s="34">
        <f>_xlfn.IFNA(VLOOKUP(C28,锌原始数据!$A:$E,5,0),)</f>
        <v>0</v>
      </c>
      <c r="I28" s="34">
        <f>_xlfn.IFNA(VLOOKUP(D28,锌原始数据!$A:$E,5,0),)</f>
        <v>0</v>
      </c>
      <c r="J28" s="34">
        <f>_xlfn.IFNA(VLOOKUP(E28,锌原始数据!$A:$E,5,0),)</f>
        <v>0</v>
      </c>
      <c r="K28" s="34">
        <f>_xlfn.IFNA(VLOOKUP(F28,锌原始数据!$A:$E,5,0),)</f>
        <v>0</v>
      </c>
      <c r="L28" s="34">
        <f t="shared" si="0"/>
        <v>0</v>
      </c>
      <c r="M28" s="34">
        <f>_xlfn.IFNA(VLOOKUP(B28,锌原始数据!$A:$F,6,0),)</f>
        <v>0</v>
      </c>
    </row>
    <row r="29" spans="1:13" x14ac:dyDescent="0.3">
      <c r="A29" s="33" t="s">
        <v>35</v>
      </c>
      <c r="B29" s="33" t="s">
        <v>73</v>
      </c>
      <c r="C29" s="33" t="s">
        <v>114</v>
      </c>
      <c r="D29" s="33" t="s">
        <v>155</v>
      </c>
      <c r="E29" s="33" t="s">
        <v>196</v>
      </c>
      <c r="F29" s="33" t="s">
        <v>235</v>
      </c>
      <c r="G29" s="34">
        <f>_xlfn.IFNA(VLOOKUP(B29,锌原始数据!$A:$E,5,0),)</f>
        <v>0</v>
      </c>
      <c r="H29" s="34">
        <f>_xlfn.IFNA(VLOOKUP(C29,锌原始数据!$A:$E,5,0),)</f>
        <v>0</v>
      </c>
      <c r="I29" s="34">
        <f>_xlfn.IFNA(VLOOKUP(D29,锌原始数据!$A:$E,5,0),)</f>
        <v>0</v>
      </c>
      <c r="J29" s="34">
        <f>_xlfn.IFNA(VLOOKUP(E29,锌原始数据!$A:$E,5,0),)</f>
        <v>0</v>
      </c>
      <c r="K29" s="34">
        <f>_xlfn.IFNA(VLOOKUP(F29,锌原始数据!$A:$E,5,0),)</f>
        <v>0</v>
      </c>
      <c r="L29" s="34">
        <f t="shared" si="0"/>
        <v>0</v>
      </c>
      <c r="M29" s="34">
        <f>_xlfn.IFNA(VLOOKUP(B29,锌原始数据!$A:$F,6,0),)</f>
        <v>0</v>
      </c>
    </row>
    <row r="30" spans="1:13" x14ac:dyDescent="0.3">
      <c r="A30" s="33" t="s">
        <v>36</v>
      </c>
      <c r="B30" s="33" t="s">
        <v>83</v>
      </c>
      <c r="C30" s="33" t="s">
        <v>124</v>
      </c>
      <c r="D30" s="33" t="s">
        <v>165</v>
      </c>
      <c r="E30" s="33" t="s">
        <v>206</v>
      </c>
      <c r="F30" s="33" t="s">
        <v>244</v>
      </c>
      <c r="G30" s="34">
        <f>_xlfn.IFNA(VLOOKUP(B30,锌原始数据!$A:$E,5,0),)</f>
        <v>0</v>
      </c>
      <c r="H30" s="34">
        <f>_xlfn.IFNA(VLOOKUP(C30,锌原始数据!$A:$E,5,0),)</f>
        <v>0</v>
      </c>
      <c r="I30" s="34">
        <f>_xlfn.IFNA(VLOOKUP(D30,锌原始数据!$A:$E,5,0),)</f>
        <v>0</v>
      </c>
      <c r="J30" s="34">
        <f>_xlfn.IFNA(VLOOKUP(E30,锌原始数据!$A:$E,5,0),)</f>
        <v>0</v>
      </c>
      <c r="K30" s="34">
        <f>_xlfn.IFNA(VLOOKUP(F30,锌原始数据!$A:$E,5,0),)</f>
        <v>0</v>
      </c>
      <c r="L30" s="34">
        <f t="shared" si="0"/>
        <v>0</v>
      </c>
      <c r="M30" s="34">
        <f>_xlfn.IFNA(VLOOKUP(B30,锌原始数据!$A:$F,6,0),)</f>
        <v>0</v>
      </c>
    </row>
    <row r="31" spans="1:13" x14ac:dyDescent="0.3">
      <c r="A31" s="33" t="s">
        <v>37</v>
      </c>
      <c r="B31" s="33" t="s">
        <v>84</v>
      </c>
      <c r="C31" s="33" t="s">
        <v>125</v>
      </c>
      <c r="D31" s="33" t="s">
        <v>166</v>
      </c>
      <c r="E31" s="33" t="s">
        <v>207</v>
      </c>
      <c r="F31" s="33" t="s">
        <v>245</v>
      </c>
      <c r="G31" s="34">
        <f>_xlfn.IFNA(VLOOKUP(B31,锌原始数据!$A:$E,5,0),)</f>
        <v>0</v>
      </c>
      <c r="H31" s="34">
        <f>_xlfn.IFNA(VLOOKUP(C31,锌原始数据!$A:$E,5,0),)</f>
        <v>0</v>
      </c>
      <c r="I31" s="34">
        <f>_xlfn.IFNA(VLOOKUP(D31,锌原始数据!$A:$E,5,0),)</f>
        <v>0</v>
      </c>
      <c r="J31" s="34">
        <f>_xlfn.IFNA(VLOOKUP(E31,锌原始数据!$A:$E,5,0),)</f>
        <v>0</v>
      </c>
      <c r="K31" s="34">
        <f>_xlfn.IFNA(VLOOKUP(F31,锌原始数据!$A:$E,5,0),)</f>
        <v>0</v>
      </c>
      <c r="L31" s="34">
        <f t="shared" si="0"/>
        <v>0</v>
      </c>
      <c r="M31" s="34">
        <f>_xlfn.IFNA(VLOOKUP(B31,锌原始数据!$A:$F,6,0),)</f>
        <v>0</v>
      </c>
    </row>
    <row r="32" spans="1:13" x14ac:dyDescent="0.3">
      <c r="A32" s="33" t="s">
        <v>38</v>
      </c>
      <c r="B32" s="33" t="s">
        <v>89</v>
      </c>
      <c r="C32" s="33" t="s">
        <v>130</v>
      </c>
      <c r="D32" s="33" t="s">
        <v>171</v>
      </c>
      <c r="E32" s="33" t="s">
        <v>212</v>
      </c>
      <c r="F32" s="33" t="s">
        <v>250</v>
      </c>
      <c r="G32" s="34">
        <f>_xlfn.IFNA(VLOOKUP(B32,锌原始数据!$A:$E,5,0),)</f>
        <v>0</v>
      </c>
      <c r="H32" s="34">
        <f>_xlfn.IFNA(VLOOKUP(C32,锌原始数据!$A:$E,5,0),)</f>
        <v>0</v>
      </c>
      <c r="I32" s="34">
        <f>_xlfn.IFNA(VLOOKUP(D32,锌原始数据!$A:$E,5,0),)</f>
        <v>0</v>
      </c>
      <c r="J32" s="34">
        <f>_xlfn.IFNA(VLOOKUP(E32,锌原始数据!$A:$E,5,0),)</f>
        <v>0</v>
      </c>
      <c r="K32" s="34">
        <f>_xlfn.IFNA(VLOOKUP(F32,锌原始数据!$A:$E,5,0),)</f>
        <v>0</v>
      </c>
      <c r="L32" s="34">
        <f t="shared" si="0"/>
        <v>0</v>
      </c>
      <c r="M32" s="34">
        <f>_xlfn.IFNA(VLOOKUP(B32,锌原始数据!$A:$F,6,0),)</f>
        <v>0</v>
      </c>
    </row>
    <row r="33" spans="1:13" x14ac:dyDescent="0.3">
      <c r="A33" s="33" t="s">
        <v>39</v>
      </c>
      <c r="B33" s="33" t="s">
        <v>85</v>
      </c>
      <c r="C33" s="33" t="s">
        <v>126</v>
      </c>
      <c r="D33" s="33" t="s">
        <v>167</v>
      </c>
      <c r="E33" s="33" t="s">
        <v>208</v>
      </c>
      <c r="F33" s="33" t="s">
        <v>246</v>
      </c>
      <c r="G33" s="34">
        <f>_xlfn.IFNA(VLOOKUP(B33,锌原始数据!$A:$E,5,0),)</f>
        <v>0</v>
      </c>
      <c r="H33" s="34">
        <f>_xlfn.IFNA(VLOOKUP(C33,锌原始数据!$A:$E,5,0),)</f>
        <v>0</v>
      </c>
      <c r="I33" s="34">
        <f>_xlfn.IFNA(VLOOKUP(D33,锌原始数据!$A:$E,5,0),)</f>
        <v>0</v>
      </c>
      <c r="J33" s="34">
        <f>_xlfn.IFNA(VLOOKUP(E33,锌原始数据!$A:$E,5,0),)</f>
        <v>0</v>
      </c>
      <c r="K33" s="34">
        <f>_xlfn.IFNA(VLOOKUP(F33,锌原始数据!$A:$E,5,0),)</f>
        <v>0</v>
      </c>
      <c r="L33" s="34">
        <f t="shared" si="0"/>
        <v>0</v>
      </c>
      <c r="M33" s="34">
        <f>_xlfn.IFNA(VLOOKUP(B33,锌原始数据!$A:$F,6,0),)</f>
        <v>0</v>
      </c>
    </row>
    <row r="34" spans="1:13" x14ac:dyDescent="0.3">
      <c r="A34" s="33" t="s">
        <v>40</v>
      </c>
      <c r="B34" s="33" t="s">
        <v>82</v>
      </c>
      <c r="C34" s="33" t="s">
        <v>123</v>
      </c>
      <c r="D34" s="33" t="s">
        <v>164</v>
      </c>
      <c r="E34" s="33" t="s">
        <v>205</v>
      </c>
      <c r="F34" s="33" t="s">
        <v>243</v>
      </c>
      <c r="G34" s="34">
        <f>_xlfn.IFNA(VLOOKUP(B34,锌原始数据!$A:$E,5,0),)</f>
        <v>0</v>
      </c>
      <c r="H34" s="34">
        <f>_xlfn.IFNA(VLOOKUP(C34,锌原始数据!$A:$E,5,0),)</f>
        <v>0</v>
      </c>
      <c r="I34" s="34">
        <f>_xlfn.IFNA(VLOOKUP(D34,锌原始数据!$A:$E,5,0),)</f>
        <v>0</v>
      </c>
      <c r="J34" s="34">
        <f>_xlfn.IFNA(VLOOKUP(E34,锌原始数据!$A:$E,5,0),)</f>
        <v>0</v>
      </c>
      <c r="K34" s="34">
        <f>_xlfn.IFNA(VLOOKUP(F34,锌原始数据!$A:$E,5,0),)</f>
        <v>0</v>
      </c>
      <c r="L34" s="34">
        <f t="shared" si="0"/>
        <v>0</v>
      </c>
      <c r="M34" s="34">
        <f>_xlfn.IFNA(VLOOKUP(B34,锌原始数据!$A:$F,6,0),)</f>
        <v>0</v>
      </c>
    </row>
    <row r="35" spans="1:13" x14ac:dyDescent="0.3">
      <c r="A35" s="33" t="s">
        <v>41</v>
      </c>
      <c r="B35" s="33" t="s">
        <v>72</v>
      </c>
      <c r="C35" s="33" t="s">
        <v>113</v>
      </c>
      <c r="D35" s="33" t="s">
        <v>154</v>
      </c>
      <c r="E35" s="33" t="s">
        <v>195</v>
      </c>
      <c r="F35" s="33" t="s">
        <v>234</v>
      </c>
      <c r="G35" s="34">
        <f>_xlfn.IFNA(VLOOKUP(B35,锌原始数据!$A:$E,5,0),)</f>
        <v>0</v>
      </c>
      <c r="H35" s="34">
        <f>_xlfn.IFNA(VLOOKUP(C35,锌原始数据!$A:$E,5,0),)</f>
        <v>0</v>
      </c>
      <c r="I35" s="34">
        <f>_xlfn.IFNA(VLOOKUP(D35,锌原始数据!$A:$E,5,0),)</f>
        <v>0</v>
      </c>
      <c r="J35" s="34">
        <f>_xlfn.IFNA(VLOOKUP(E35,锌原始数据!$A:$E,5,0),)</f>
        <v>0</v>
      </c>
      <c r="K35" s="34">
        <f>_xlfn.IFNA(VLOOKUP(F35,锌原始数据!$A:$E,5,0),)</f>
        <v>0</v>
      </c>
      <c r="L35" s="34">
        <f t="shared" si="0"/>
        <v>0</v>
      </c>
      <c r="M35" s="34">
        <f>_xlfn.IFNA(VLOOKUP(B35,锌原始数据!$A:$F,6,0),)</f>
        <v>0</v>
      </c>
    </row>
    <row r="36" spans="1:13" x14ac:dyDescent="0.3">
      <c r="A36" s="33" t="s">
        <v>265</v>
      </c>
      <c r="B36" s="33" t="s">
        <v>54</v>
      </c>
      <c r="C36" s="33" t="s">
        <v>95</v>
      </c>
      <c r="D36" s="33" t="s">
        <v>136</v>
      </c>
      <c r="E36" s="33" t="s">
        <v>177</v>
      </c>
      <c r="F36" s="33" t="s">
        <v>217</v>
      </c>
      <c r="G36" s="34">
        <f>_xlfn.IFNA(VLOOKUP(B36,锌原始数据!$A:$E,5,0),)</f>
        <v>90900</v>
      </c>
      <c r="H36" s="34">
        <f>_xlfn.IFNA(VLOOKUP(C36,锌原始数据!$A:$E,5,0),)</f>
        <v>53800</v>
      </c>
      <c r="I36" s="34">
        <f>_xlfn.IFNA(VLOOKUP(D36,锌原始数据!$A:$E,5,0),)</f>
        <v>37100</v>
      </c>
      <c r="J36" s="34">
        <f>_xlfn.IFNA(VLOOKUP(E36,锌原始数据!$A:$E,5,0),)</f>
        <v>0</v>
      </c>
      <c r="K36" s="34">
        <f>_xlfn.IFNA(VLOOKUP(F36,锌原始数据!$A:$E,5,0),)</f>
        <v>1525</v>
      </c>
      <c r="L36" s="34">
        <f t="shared" si="0"/>
        <v>-1525</v>
      </c>
      <c r="M36" s="34">
        <f>_xlfn.IFNA(VLOOKUP(B36,锌原始数据!$A:$F,6,0),)</f>
        <v>92425</v>
      </c>
    </row>
    <row r="37" spans="1:13" x14ac:dyDescent="0.3">
      <c r="A37" s="33" t="s">
        <v>266</v>
      </c>
      <c r="B37" s="33" t="s">
        <v>64</v>
      </c>
      <c r="C37" s="33" t="s">
        <v>105</v>
      </c>
      <c r="D37" s="33" t="s">
        <v>146</v>
      </c>
      <c r="E37" s="33" t="s">
        <v>187</v>
      </c>
      <c r="F37" s="33" t="s">
        <v>227</v>
      </c>
      <c r="G37" s="34">
        <f>_xlfn.IFNA(VLOOKUP(B37,锌原始数据!$A:$E,5,0),)</f>
        <v>12750</v>
      </c>
      <c r="H37" s="34">
        <f>_xlfn.IFNA(VLOOKUP(C37,锌原始数据!$A:$E,5,0),)</f>
        <v>10650</v>
      </c>
      <c r="I37" s="34">
        <f>_xlfn.IFNA(VLOOKUP(D37,锌原始数据!$A:$E,5,0),)</f>
        <v>2100</v>
      </c>
      <c r="J37" s="34">
        <f>_xlfn.IFNA(VLOOKUP(E37,锌原始数据!$A:$E,5,0),)</f>
        <v>0</v>
      </c>
      <c r="K37" s="34">
        <f>_xlfn.IFNA(VLOOKUP(F37,锌原始数据!$A:$E,5,0),)</f>
        <v>25</v>
      </c>
      <c r="L37" s="34">
        <f t="shared" si="0"/>
        <v>-25</v>
      </c>
      <c r="M37" s="34">
        <f>_xlfn.IFNA(VLOOKUP(B37,锌原始数据!$A:$F,6,0),)</f>
        <v>12775</v>
      </c>
    </row>
    <row r="38" spans="1:13" x14ac:dyDescent="0.3">
      <c r="A38" s="33" t="s">
        <v>44</v>
      </c>
      <c r="B38" s="33" t="s">
        <v>86</v>
      </c>
      <c r="C38" s="33" t="s">
        <v>127</v>
      </c>
      <c r="D38" s="33" t="s">
        <v>168</v>
      </c>
      <c r="E38" s="33" t="s">
        <v>209</v>
      </c>
      <c r="F38" s="33" t="s">
        <v>247</v>
      </c>
      <c r="G38" s="34">
        <f>_xlfn.IFNA(VLOOKUP(B38,锌原始数据!$A:$E,5,0),)</f>
        <v>12750</v>
      </c>
      <c r="H38" s="34">
        <f>_xlfn.IFNA(VLOOKUP(C38,锌原始数据!$A:$E,5,0),)</f>
        <v>10650</v>
      </c>
      <c r="I38" s="34">
        <f>_xlfn.IFNA(VLOOKUP(D38,锌原始数据!$A:$E,5,0),)</f>
        <v>2100</v>
      </c>
      <c r="J38" s="34">
        <f>_xlfn.IFNA(VLOOKUP(E38,锌原始数据!$A:$E,5,0),)</f>
        <v>0</v>
      </c>
      <c r="K38" s="34">
        <f>_xlfn.IFNA(VLOOKUP(F38,锌原始数据!$A:$E,5,0),)</f>
        <v>25</v>
      </c>
      <c r="L38" s="34">
        <f t="shared" si="0"/>
        <v>-25</v>
      </c>
      <c r="M38" s="34">
        <f>_xlfn.IFNA(VLOOKUP(B38,锌原始数据!$A:$F,6,0),)</f>
        <v>12775</v>
      </c>
    </row>
    <row r="39" spans="1:13" x14ac:dyDescent="0.3">
      <c r="A39" s="33" t="s">
        <v>45</v>
      </c>
      <c r="B39" s="33" t="s">
        <v>79</v>
      </c>
      <c r="C39" s="33" t="s">
        <v>120</v>
      </c>
      <c r="D39" s="33" t="s">
        <v>161</v>
      </c>
      <c r="E39" s="33" t="s">
        <v>202</v>
      </c>
      <c r="F39" s="33" t="s">
        <v>240</v>
      </c>
      <c r="G39" s="34">
        <f>_xlfn.IFNA(VLOOKUP(B39,锌原始数据!$A:$E,5,0),)</f>
        <v>0</v>
      </c>
      <c r="H39" s="34">
        <f>_xlfn.IFNA(VLOOKUP(C39,锌原始数据!$A:$E,5,0),)</f>
        <v>0</v>
      </c>
      <c r="I39" s="34">
        <f>_xlfn.IFNA(VLOOKUP(D39,锌原始数据!$A:$E,5,0),)</f>
        <v>0</v>
      </c>
      <c r="J39" s="34">
        <f>_xlfn.IFNA(VLOOKUP(E39,锌原始数据!$A:$E,5,0),)</f>
        <v>0</v>
      </c>
      <c r="K39" s="34">
        <f>_xlfn.IFNA(VLOOKUP(F39,锌原始数据!$A:$E,5,0),)</f>
        <v>0</v>
      </c>
      <c r="L39" s="34">
        <f t="shared" si="0"/>
        <v>0</v>
      </c>
      <c r="M39" s="34">
        <f>_xlfn.IFNA(VLOOKUP(B39,锌原始数据!$A:$F,6,0),)</f>
        <v>0</v>
      </c>
    </row>
    <row r="40" spans="1:13" x14ac:dyDescent="0.3">
      <c r="A40" s="33" t="s">
        <v>267</v>
      </c>
      <c r="B40" s="33" t="s">
        <v>62</v>
      </c>
      <c r="C40" s="33" t="s">
        <v>103</v>
      </c>
      <c r="D40" s="33" t="s">
        <v>144</v>
      </c>
      <c r="E40" s="33" t="s">
        <v>185</v>
      </c>
      <c r="F40" s="33" t="s">
        <v>225</v>
      </c>
      <c r="G40" s="34">
        <f>_xlfn.IFNA(VLOOKUP(B40,锌原始数据!$A:$E,5,0),)</f>
        <v>76800</v>
      </c>
      <c r="H40" s="34">
        <f>_xlfn.IFNA(VLOOKUP(C40,锌原始数据!$A:$E,5,0),)</f>
        <v>42200</v>
      </c>
      <c r="I40" s="34">
        <f>_xlfn.IFNA(VLOOKUP(D40,锌原始数据!$A:$E,5,0),)</f>
        <v>34600</v>
      </c>
      <c r="J40" s="34">
        <f>_xlfn.IFNA(VLOOKUP(E40,锌原始数据!$A:$E,5,0),)</f>
        <v>0</v>
      </c>
      <c r="K40" s="34">
        <f>_xlfn.IFNA(VLOOKUP(F40,锌原始数据!$A:$E,5,0),)</f>
        <v>1500</v>
      </c>
      <c r="L40" s="34">
        <f t="shared" si="0"/>
        <v>-1500</v>
      </c>
      <c r="M40" s="34">
        <f>_xlfn.IFNA(VLOOKUP(B40,锌原始数据!$A:$F,6,0),)</f>
        <v>78300</v>
      </c>
    </row>
    <row r="41" spans="1:13" x14ac:dyDescent="0.3">
      <c r="A41" s="33" t="s">
        <v>47</v>
      </c>
      <c r="B41" s="33" t="s">
        <v>88</v>
      </c>
      <c r="C41" s="33" t="s">
        <v>129</v>
      </c>
      <c r="D41" s="33" t="s">
        <v>170</v>
      </c>
      <c r="E41" s="33" t="s">
        <v>211</v>
      </c>
      <c r="F41" s="33" t="s">
        <v>249</v>
      </c>
      <c r="G41" s="34">
        <f>_xlfn.IFNA(VLOOKUP(B41,锌原始数据!$A:$E,5,0),)</f>
        <v>76800</v>
      </c>
      <c r="H41" s="34">
        <f>_xlfn.IFNA(VLOOKUP(C41,锌原始数据!$A:$E,5,0),)</f>
        <v>42200</v>
      </c>
      <c r="I41" s="34">
        <f>_xlfn.IFNA(VLOOKUP(D41,锌原始数据!$A:$E,5,0),)</f>
        <v>34600</v>
      </c>
      <c r="J41" s="34">
        <f>_xlfn.IFNA(VLOOKUP(E41,锌原始数据!$A:$E,5,0),)</f>
        <v>0</v>
      </c>
      <c r="K41" s="34">
        <f>_xlfn.IFNA(VLOOKUP(F41,锌原始数据!$A:$E,5,0),)</f>
        <v>1500</v>
      </c>
      <c r="L41" s="34">
        <f t="shared" si="0"/>
        <v>-1500</v>
      </c>
      <c r="M41" s="34">
        <f>_xlfn.IFNA(VLOOKUP(B41,锌原始数据!$A:$F,6,0),)</f>
        <v>78300</v>
      </c>
    </row>
    <row r="42" spans="1:13" x14ac:dyDescent="0.3">
      <c r="A42" s="33" t="s">
        <v>268</v>
      </c>
      <c r="B42" s="33" t="s">
        <v>66</v>
      </c>
      <c r="C42" s="33" t="s">
        <v>107</v>
      </c>
      <c r="D42" s="33" t="s">
        <v>148</v>
      </c>
      <c r="E42" s="33" t="s">
        <v>189</v>
      </c>
      <c r="F42" s="33" t="s">
        <v>228</v>
      </c>
      <c r="G42" s="34">
        <f>_xlfn.IFNA(VLOOKUP(B42,锌原始数据!$A:$E,5,0),)</f>
        <v>1300</v>
      </c>
      <c r="H42" s="34">
        <f>_xlfn.IFNA(VLOOKUP(C42,锌原始数据!$A:$E,5,0),)</f>
        <v>950</v>
      </c>
      <c r="I42" s="34">
        <f>_xlfn.IFNA(VLOOKUP(D42,锌原始数据!$A:$E,5,0),)</f>
        <v>350</v>
      </c>
      <c r="J42" s="34">
        <f>_xlfn.IFNA(VLOOKUP(E42,锌原始数据!$A:$E,5,0),)</f>
        <v>0</v>
      </c>
      <c r="K42" s="34">
        <f>_xlfn.IFNA(VLOOKUP(F42,锌原始数据!$A:$E,5,0),)</f>
        <v>0</v>
      </c>
      <c r="L42" s="34">
        <f t="shared" si="0"/>
        <v>0</v>
      </c>
      <c r="M42" s="34">
        <f>_xlfn.IFNA(VLOOKUP(B42,锌原始数据!$A:$F,6,0),)</f>
        <v>1300</v>
      </c>
    </row>
    <row r="43" spans="1:13" x14ac:dyDescent="0.3">
      <c r="A43" s="33" t="s">
        <v>49</v>
      </c>
      <c r="B43" s="33" t="s">
        <v>93</v>
      </c>
      <c r="C43" s="33" t="s">
        <v>134</v>
      </c>
      <c r="D43" s="33" t="s">
        <v>175</v>
      </c>
      <c r="E43" s="33" t="s">
        <v>216</v>
      </c>
      <c r="F43" s="33" t="s">
        <v>254</v>
      </c>
      <c r="G43" s="34">
        <f>_xlfn.IFNA(VLOOKUP(B43,锌原始数据!$A:$E,5,0),)</f>
        <v>1300</v>
      </c>
      <c r="H43" s="34">
        <f>_xlfn.IFNA(VLOOKUP(C43,锌原始数据!$A:$E,5,0),)</f>
        <v>950</v>
      </c>
      <c r="I43" s="34">
        <f>_xlfn.IFNA(VLOOKUP(D43,锌原始数据!$A:$E,5,0),)</f>
        <v>350</v>
      </c>
      <c r="J43" s="34">
        <f>_xlfn.IFNA(VLOOKUP(E43,锌原始数据!$A:$E,5,0),)</f>
        <v>0</v>
      </c>
      <c r="K43" s="34">
        <f>_xlfn.IFNA(VLOOKUP(F43,锌原始数据!$A:$E,5,0),)</f>
        <v>0</v>
      </c>
      <c r="L43" s="34">
        <f t="shared" si="0"/>
        <v>0</v>
      </c>
      <c r="M43" s="34">
        <f>_xlfn.IFNA(VLOOKUP(B43,锌原始数据!$A:$F,6,0),)</f>
        <v>1300</v>
      </c>
    </row>
    <row r="44" spans="1:13" x14ac:dyDescent="0.3">
      <c r="A44" s="33" t="s">
        <v>280</v>
      </c>
      <c r="B44" s="33" t="s">
        <v>281</v>
      </c>
      <c r="C44" s="33" t="s">
        <v>282</v>
      </c>
      <c r="D44" s="33" t="s">
        <v>283</v>
      </c>
      <c r="E44" s="33" t="s">
        <v>284</v>
      </c>
      <c r="F44" s="33" t="s">
        <v>285</v>
      </c>
      <c r="G44" s="34">
        <f>_xlfn.IFNA(VLOOKUP(B44,锌原始数据!$A:$E,5,0),)</f>
        <v>0</v>
      </c>
      <c r="H44" s="34">
        <f>_xlfn.IFNA(VLOOKUP(C44,锌原始数据!$A:$E,5,0),)</f>
        <v>0</v>
      </c>
      <c r="I44" s="34">
        <f>_xlfn.IFNA(VLOOKUP(D44,锌原始数据!$A:$E,5,0),)</f>
        <v>0</v>
      </c>
      <c r="J44" s="34">
        <f>_xlfn.IFNA(VLOOKUP(E44,锌原始数据!$A:$E,5,0),)</f>
        <v>0</v>
      </c>
      <c r="K44" s="34">
        <f>_xlfn.IFNA(VLOOKUP(F44,锌原始数据!$A:$E,5,0),)</f>
        <v>0</v>
      </c>
      <c r="L44" s="34">
        <f t="shared" si="0"/>
        <v>0</v>
      </c>
      <c r="M44" s="34">
        <f>_xlfn.IFNA(VLOOKUP(B44,锌原始数据!$A:$F,6,0),)</f>
        <v>0</v>
      </c>
    </row>
    <row r="45" spans="1:13" x14ac:dyDescent="0.3">
      <c r="A45" s="33" t="s">
        <v>269</v>
      </c>
      <c r="B45" s="33" t="s">
        <v>65</v>
      </c>
      <c r="C45" s="33" t="s">
        <v>106</v>
      </c>
      <c r="D45" s="33" t="s">
        <v>147</v>
      </c>
      <c r="E45" s="33" t="s">
        <v>188</v>
      </c>
      <c r="F45" s="33" t="s">
        <v>286</v>
      </c>
      <c r="G45" s="34">
        <f>_xlfn.IFNA(VLOOKUP(B45,锌原始数据!$A:$E,5,0),)</f>
        <v>50</v>
      </c>
      <c r="H45" s="34">
        <f>_xlfn.IFNA(VLOOKUP(C45,锌原始数据!$A:$E,5,0),)</f>
        <v>0</v>
      </c>
      <c r="I45" s="34">
        <f>_xlfn.IFNA(VLOOKUP(D45,锌原始数据!$A:$E,5,0),)</f>
        <v>50</v>
      </c>
      <c r="J45" s="34">
        <f>_xlfn.IFNA(VLOOKUP(E45,锌原始数据!$A:$E,5,0),)</f>
        <v>0</v>
      </c>
      <c r="K45" s="34">
        <f>_xlfn.IFNA(VLOOKUP(F45,锌原始数据!$A:$E,5,0),)</f>
        <v>0</v>
      </c>
      <c r="L45" s="34">
        <f t="shared" si="0"/>
        <v>0</v>
      </c>
      <c r="M45" s="34">
        <f>_xlfn.IFNA(VLOOKUP(B45,锌原始数据!$A:$F,6,0),)</f>
        <v>50</v>
      </c>
    </row>
    <row r="46" spans="1:13" x14ac:dyDescent="0.3">
      <c r="A46" s="33" t="s">
        <v>270</v>
      </c>
      <c r="B46" s="33" t="s">
        <v>74</v>
      </c>
      <c r="C46" s="33" t="s">
        <v>115</v>
      </c>
      <c r="D46" s="33" t="s">
        <v>156</v>
      </c>
      <c r="E46" s="33" t="s">
        <v>197</v>
      </c>
      <c r="F46" s="33" t="s">
        <v>287</v>
      </c>
      <c r="G46" s="34">
        <f>_xlfn.IFNA(VLOOKUP(B46,锌原始数据!$A:$E,5,0),)</f>
        <v>50</v>
      </c>
      <c r="H46" s="34">
        <f>_xlfn.IFNA(VLOOKUP(C46,锌原始数据!$A:$E,5,0),)</f>
        <v>0</v>
      </c>
      <c r="I46" s="34">
        <f>_xlfn.IFNA(VLOOKUP(D46,锌原始数据!$A:$E,5,0),)</f>
        <v>50</v>
      </c>
      <c r="J46" s="34">
        <f>_xlfn.IFNA(VLOOKUP(E46,锌原始数据!$A:$E,5,0),)</f>
        <v>0</v>
      </c>
      <c r="K46" s="34">
        <f>_xlfn.IFNA(VLOOKUP(F46,锌原始数据!$A:$E,5,0),)</f>
        <v>0</v>
      </c>
      <c r="L46" s="34">
        <f t="shared" si="0"/>
        <v>0</v>
      </c>
      <c r="M46" s="34">
        <f>_xlfn.IFNA(VLOOKUP(B46,锌原始数据!$A:$F,6,0),)</f>
        <v>50</v>
      </c>
    </row>
    <row r="47" spans="1:13" x14ac:dyDescent="0.3">
      <c r="G47" s="35"/>
      <c r="H47" s="35"/>
      <c r="I47" s="35"/>
      <c r="J47" s="35"/>
      <c r="K47" s="35"/>
      <c r="L47" s="35"/>
      <c r="M47" s="35"/>
    </row>
    <row r="48" spans="1:13" x14ac:dyDescent="0.3">
      <c r="G48" s="35"/>
      <c r="H48" s="35"/>
      <c r="I48" s="35"/>
      <c r="J48" s="35"/>
      <c r="K48" s="35"/>
      <c r="L48" s="35"/>
      <c r="M48" s="35"/>
    </row>
    <row r="49" spans="7:13" x14ac:dyDescent="0.3">
      <c r="G49" s="35"/>
      <c r="H49" s="35"/>
      <c r="I49" s="35"/>
      <c r="J49" s="35"/>
      <c r="K49" s="35"/>
      <c r="L49" s="35"/>
      <c r="M49" s="35"/>
    </row>
    <row r="50" spans="7:13" x14ac:dyDescent="0.3">
      <c r="G50" s="35"/>
      <c r="H50" s="35"/>
      <c r="I50" s="35"/>
      <c r="J50" s="35"/>
      <c r="K50" s="35"/>
      <c r="L50" s="35"/>
      <c r="M50" s="35"/>
    </row>
    <row r="51" spans="7:13" x14ac:dyDescent="0.3">
      <c r="G51" s="35"/>
      <c r="H51" s="35"/>
      <c r="I51" s="35"/>
      <c r="J51" s="35"/>
      <c r="K51" s="35"/>
      <c r="L51" s="35"/>
      <c r="M51" s="35"/>
    </row>
  </sheetData>
  <phoneticPr fontId="1" type="noConversion"/>
  <conditionalFormatting sqref="A50:A51">
    <cfRule type="duplicateValues" dxfId="3" priority="4"/>
  </conditionalFormatting>
  <conditionalFormatting sqref="B1:F1">
    <cfRule type="duplicateValues" dxfId="2" priority="3"/>
  </conditionalFormatting>
  <conditionalFormatting sqref="G1:J1">
    <cfRule type="duplicateValues" dxfId="1" priority="2"/>
  </conditionalFormatting>
  <conditionalFormatting sqref="K1:M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2626C"/>
  </sheetPr>
  <dimension ref="A1:L222"/>
  <sheetViews>
    <sheetView workbookViewId="0">
      <selection activeCell="F1" sqref="F1:L1048576"/>
    </sheetView>
  </sheetViews>
  <sheetFormatPr defaultRowHeight="14.25" x14ac:dyDescent="0.2"/>
  <cols>
    <col min="1" max="1" width="32.75" bestFit="1" customWidth="1"/>
    <col min="2" max="3" width="5.25" bestFit="1" customWidth="1"/>
    <col min="4" max="4" width="9.875" bestFit="1" customWidth="1"/>
    <col min="5" max="11" width="11.75" bestFit="1" customWidth="1"/>
    <col min="12" max="12" width="11.625" bestFit="1" customWidth="1"/>
  </cols>
  <sheetData>
    <row r="1" spans="1:12" x14ac:dyDescent="0.2">
      <c r="A1" s="29" t="str">
        <f>[1]!edb()</f>
        <v>Wind</v>
      </c>
    </row>
    <row r="2" spans="1:12" x14ac:dyDescent="0.2">
      <c r="A2" s="1" t="s">
        <v>327</v>
      </c>
      <c r="B2" s="1" t="s">
        <v>328</v>
      </c>
      <c r="C2" s="1" t="s">
        <v>329</v>
      </c>
      <c r="D2" s="1" t="s">
        <v>309</v>
      </c>
      <c r="E2" s="3">
        <v>45209</v>
      </c>
      <c r="F2" s="3">
        <v>45208</v>
      </c>
      <c r="G2" s="3"/>
      <c r="H2" s="3"/>
      <c r="I2" s="3"/>
      <c r="J2" s="3"/>
      <c r="K2" s="3"/>
      <c r="L2" s="3"/>
    </row>
    <row r="3" spans="1:12" x14ac:dyDescent="0.2">
      <c r="A3" s="1" t="s">
        <v>297</v>
      </c>
      <c r="B3" s="1" t="s">
        <v>307</v>
      </c>
      <c r="C3" s="1" t="s">
        <v>330</v>
      </c>
      <c r="D3" s="1" t="s">
        <v>331</v>
      </c>
      <c r="E3" s="2">
        <v>90900</v>
      </c>
      <c r="F3" s="2">
        <v>92425</v>
      </c>
      <c r="G3" s="2"/>
      <c r="H3" s="2"/>
      <c r="I3" s="2"/>
      <c r="J3" s="2"/>
      <c r="K3" s="2"/>
      <c r="L3" s="2"/>
    </row>
    <row r="4" spans="1:12" x14ac:dyDescent="0.2">
      <c r="A4" s="1" t="s">
        <v>332</v>
      </c>
      <c r="B4" s="1" t="s">
        <v>333</v>
      </c>
      <c r="C4" s="1" t="s">
        <v>306</v>
      </c>
      <c r="D4" s="1" t="s">
        <v>334</v>
      </c>
      <c r="E4" s="2">
        <v>0</v>
      </c>
      <c r="F4" s="2">
        <v>0</v>
      </c>
      <c r="G4" s="2"/>
      <c r="H4" s="2"/>
      <c r="I4" s="2"/>
      <c r="J4" s="2"/>
      <c r="K4" s="2"/>
      <c r="L4" s="2"/>
    </row>
    <row r="5" spans="1:12" x14ac:dyDescent="0.2">
      <c r="A5" s="1" t="s">
        <v>310</v>
      </c>
      <c r="B5" s="1" t="s">
        <v>307</v>
      </c>
      <c r="C5" s="1" t="s">
        <v>306</v>
      </c>
      <c r="D5" s="1" t="s">
        <v>335</v>
      </c>
      <c r="E5" s="2">
        <v>90900</v>
      </c>
      <c r="F5" s="2">
        <v>92425</v>
      </c>
      <c r="G5" s="2"/>
      <c r="H5" s="2"/>
      <c r="I5" s="2"/>
      <c r="J5" s="2"/>
      <c r="K5" s="2"/>
      <c r="L5" s="2"/>
    </row>
    <row r="6" spans="1:12" x14ac:dyDescent="0.2">
      <c r="A6" s="1" t="s">
        <v>302</v>
      </c>
      <c r="B6" s="1" t="s">
        <v>307</v>
      </c>
      <c r="C6" s="1" t="s">
        <v>336</v>
      </c>
      <c r="D6" s="1" t="s">
        <v>337</v>
      </c>
      <c r="E6" s="2">
        <v>0</v>
      </c>
      <c r="F6" s="2">
        <v>0</v>
      </c>
      <c r="G6" s="2"/>
      <c r="H6" s="2"/>
      <c r="I6" s="2"/>
      <c r="J6" s="2"/>
      <c r="K6" s="2"/>
      <c r="L6" s="2"/>
    </row>
    <row r="7" spans="1:12" x14ac:dyDescent="0.2">
      <c r="A7" s="1" t="s">
        <v>311</v>
      </c>
      <c r="B7" s="1" t="s">
        <v>307</v>
      </c>
      <c r="C7" s="1" t="s">
        <v>306</v>
      </c>
      <c r="D7" s="1" t="s">
        <v>312</v>
      </c>
      <c r="E7" s="2">
        <v>0</v>
      </c>
      <c r="F7" s="2">
        <v>0</v>
      </c>
      <c r="G7" s="2"/>
      <c r="H7" s="2"/>
      <c r="I7" s="2"/>
      <c r="J7" s="2"/>
      <c r="K7" s="2"/>
      <c r="L7" s="2"/>
    </row>
    <row r="8" spans="1:12" x14ac:dyDescent="0.2">
      <c r="A8" s="1" t="s">
        <v>313</v>
      </c>
      <c r="B8" s="1" t="s">
        <v>307</v>
      </c>
      <c r="C8" s="1" t="s">
        <v>336</v>
      </c>
      <c r="D8" s="1" t="s">
        <v>338</v>
      </c>
      <c r="E8" s="2">
        <v>0</v>
      </c>
      <c r="F8" s="2">
        <v>0</v>
      </c>
      <c r="G8" s="2"/>
      <c r="H8" s="2"/>
      <c r="I8" s="2"/>
      <c r="J8" s="2"/>
      <c r="K8" s="2"/>
      <c r="L8" s="2"/>
    </row>
    <row r="9" spans="1:12" x14ac:dyDescent="0.2">
      <c r="A9" s="1" t="s">
        <v>339</v>
      </c>
      <c r="B9" s="1" t="s">
        <v>307</v>
      </c>
      <c r="C9" s="1" t="s">
        <v>336</v>
      </c>
      <c r="D9" s="1" t="s">
        <v>340</v>
      </c>
      <c r="E9" s="2">
        <v>0</v>
      </c>
      <c r="F9" s="2">
        <v>0</v>
      </c>
      <c r="G9" s="2"/>
      <c r="H9" s="2"/>
      <c r="I9" s="2"/>
      <c r="J9" s="2"/>
      <c r="K9" s="2"/>
      <c r="L9" s="2"/>
    </row>
    <row r="10" spans="1:12" x14ac:dyDescent="0.2">
      <c r="A10" s="1" t="s">
        <v>341</v>
      </c>
      <c r="B10" s="1" t="s">
        <v>333</v>
      </c>
      <c r="C10" s="1" t="s">
        <v>336</v>
      </c>
      <c r="D10" s="1" t="s">
        <v>342</v>
      </c>
      <c r="E10" s="2">
        <v>0</v>
      </c>
      <c r="F10" s="2">
        <v>0</v>
      </c>
      <c r="G10" s="2"/>
      <c r="H10" s="2"/>
      <c r="I10" s="2"/>
      <c r="J10" s="2"/>
      <c r="K10" s="2"/>
      <c r="L10" s="2"/>
    </row>
    <row r="11" spans="1:12" x14ac:dyDescent="0.2">
      <c r="A11" s="1" t="s">
        <v>343</v>
      </c>
      <c r="B11" s="1" t="s">
        <v>307</v>
      </c>
      <c r="C11" s="1" t="s">
        <v>336</v>
      </c>
      <c r="D11" s="1" t="s">
        <v>344</v>
      </c>
      <c r="E11" s="2">
        <v>0</v>
      </c>
      <c r="F11" s="2">
        <v>0</v>
      </c>
      <c r="G11" s="2"/>
      <c r="H11" s="2"/>
      <c r="I11" s="2"/>
      <c r="J11" s="2"/>
      <c r="K11" s="2"/>
      <c r="L11" s="2"/>
    </row>
    <row r="12" spans="1:12" x14ac:dyDescent="0.2">
      <c r="A12" s="1" t="s">
        <v>345</v>
      </c>
      <c r="B12" s="1" t="s">
        <v>346</v>
      </c>
      <c r="C12" s="1" t="s">
        <v>306</v>
      </c>
      <c r="D12" s="1" t="s">
        <v>347</v>
      </c>
      <c r="E12" s="2">
        <v>0</v>
      </c>
      <c r="F12" s="2">
        <v>0</v>
      </c>
      <c r="G12" s="2"/>
      <c r="H12" s="2"/>
      <c r="I12" s="2"/>
      <c r="J12" s="2"/>
      <c r="K12" s="2"/>
      <c r="L12" s="2"/>
    </row>
    <row r="13" spans="1:12" x14ac:dyDescent="0.2">
      <c r="A13" s="1" t="s">
        <v>348</v>
      </c>
      <c r="B13" s="1" t="s">
        <v>307</v>
      </c>
      <c r="C13" s="1" t="s">
        <v>336</v>
      </c>
      <c r="D13" s="1" t="s">
        <v>349</v>
      </c>
      <c r="E13" s="2">
        <v>0</v>
      </c>
      <c r="F13" s="2">
        <v>0</v>
      </c>
      <c r="G13" s="2"/>
      <c r="H13" s="2"/>
      <c r="I13" s="2"/>
      <c r="J13" s="2"/>
      <c r="K13" s="2"/>
      <c r="L13" s="2"/>
    </row>
    <row r="14" spans="1:12" x14ac:dyDescent="0.2">
      <c r="A14" s="1" t="s">
        <v>350</v>
      </c>
      <c r="B14" s="1" t="s">
        <v>346</v>
      </c>
      <c r="C14" s="1" t="s">
        <v>306</v>
      </c>
      <c r="D14" s="1" t="s">
        <v>308</v>
      </c>
      <c r="E14" s="2">
        <v>76800</v>
      </c>
      <c r="F14" s="2">
        <v>78300</v>
      </c>
      <c r="G14" s="2"/>
      <c r="H14" s="2"/>
      <c r="I14" s="2"/>
      <c r="J14" s="2"/>
      <c r="K14" s="2"/>
      <c r="L14" s="2"/>
    </row>
    <row r="15" spans="1:12" x14ac:dyDescent="0.2">
      <c r="A15" s="1" t="s">
        <v>314</v>
      </c>
      <c r="B15" s="1" t="s">
        <v>307</v>
      </c>
      <c r="C15" s="1" t="s">
        <v>306</v>
      </c>
      <c r="D15" s="1" t="s">
        <v>315</v>
      </c>
      <c r="E15" s="2">
        <v>0</v>
      </c>
      <c r="F15" s="2">
        <v>0</v>
      </c>
      <c r="G15" s="2"/>
      <c r="H15" s="2"/>
      <c r="I15" s="2"/>
      <c r="J15" s="2"/>
      <c r="K15" s="2"/>
      <c r="L15" s="2"/>
    </row>
    <row r="16" spans="1:12" x14ac:dyDescent="0.2">
      <c r="A16" s="1" t="s">
        <v>351</v>
      </c>
      <c r="B16" s="1" t="s">
        <v>307</v>
      </c>
      <c r="C16" s="1" t="s">
        <v>336</v>
      </c>
      <c r="D16" s="1" t="s">
        <v>352</v>
      </c>
      <c r="E16" s="2">
        <v>12750</v>
      </c>
      <c r="F16" s="2">
        <v>12775</v>
      </c>
      <c r="G16" s="2"/>
      <c r="H16" s="2"/>
      <c r="I16" s="2"/>
      <c r="J16" s="2"/>
      <c r="K16" s="2"/>
      <c r="L16" s="2"/>
    </row>
    <row r="17" spans="1:12" x14ac:dyDescent="0.2">
      <c r="A17" s="1" t="s">
        <v>353</v>
      </c>
      <c r="B17" s="1" t="s">
        <v>346</v>
      </c>
      <c r="C17" s="1" t="s">
        <v>336</v>
      </c>
      <c r="D17" s="1" t="s">
        <v>354</v>
      </c>
      <c r="E17" s="2">
        <v>50</v>
      </c>
      <c r="F17" s="2">
        <v>50</v>
      </c>
      <c r="G17" s="2"/>
      <c r="H17" s="2"/>
      <c r="I17" s="2"/>
      <c r="J17" s="2"/>
      <c r="K17" s="2"/>
      <c r="L17" s="2"/>
    </row>
    <row r="18" spans="1:12" x14ac:dyDescent="0.2">
      <c r="A18" s="1" t="s">
        <v>355</v>
      </c>
      <c r="B18" s="1" t="s">
        <v>307</v>
      </c>
      <c r="C18" s="1" t="s">
        <v>306</v>
      </c>
      <c r="D18" s="1" t="s">
        <v>356</v>
      </c>
      <c r="E18" s="2">
        <v>1300</v>
      </c>
      <c r="F18" s="2">
        <v>1300</v>
      </c>
      <c r="G18" s="2"/>
      <c r="H18" s="2"/>
      <c r="I18" s="2"/>
      <c r="J18" s="2"/>
      <c r="K18" s="2"/>
      <c r="L18" s="2"/>
    </row>
    <row r="19" spans="1:12" x14ac:dyDescent="0.2">
      <c r="A19" s="1" t="s">
        <v>357</v>
      </c>
      <c r="B19" s="1" t="s">
        <v>346</v>
      </c>
      <c r="C19" s="1" t="s">
        <v>336</v>
      </c>
      <c r="D19" s="1" t="s">
        <v>358</v>
      </c>
      <c r="E19" s="2">
        <v>0</v>
      </c>
      <c r="F19" s="2">
        <v>0</v>
      </c>
      <c r="G19" s="2"/>
      <c r="H19" s="2"/>
      <c r="I19" s="2"/>
      <c r="J19" s="2"/>
      <c r="K19" s="2"/>
      <c r="L19" s="2"/>
    </row>
    <row r="20" spans="1:12" x14ac:dyDescent="0.2">
      <c r="A20" s="1" t="s">
        <v>359</v>
      </c>
      <c r="B20" s="1" t="s">
        <v>307</v>
      </c>
      <c r="C20" s="1" t="s">
        <v>336</v>
      </c>
      <c r="D20" s="1" t="s">
        <v>360</v>
      </c>
      <c r="E20" s="2">
        <v>0</v>
      </c>
      <c r="F20" s="2">
        <v>0</v>
      </c>
      <c r="G20" s="2"/>
      <c r="H20" s="2"/>
      <c r="I20" s="2"/>
      <c r="J20" s="2"/>
      <c r="K20" s="2"/>
      <c r="L20" s="2"/>
    </row>
    <row r="21" spans="1:12" x14ac:dyDescent="0.2">
      <c r="A21" s="1" t="s">
        <v>316</v>
      </c>
      <c r="B21" s="1" t="s">
        <v>346</v>
      </c>
      <c r="C21" s="1" t="s">
        <v>306</v>
      </c>
      <c r="D21" s="1" t="s">
        <v>361</v>
      </c>
      <c r="E21" s="2">
        <v>0</v>
      </c>
      <c r="F21" s="2">
        <v>0</v>
      </c>
      <c r="G21" s="2"/>
      <c r="H21" s="2"/>
      <c r="I21" s="2"/>
      <c r="J21" s="2"/>
      <c r="K21" s="2"/>
      <c r="L21" s="2"/>
    </row>
    <row r="22" spans="1:12" x14ac:dyDescent="0.2">
      <c r="A22" s="1" t="s">
        <v>362</v>
      </c>
      <c r="B22" s="1" t="s">
        <v>307</v>
      </c>
      <c r="C22" s="1" t="s">
        <v>336</v>
      </c>
      <c r="D22" s="1" t="s">
        <v>363</v>
      </c>
      <c r="E22" s="2">
        <v>0</v>
      </c>
      <c r="F22" s="2">
        <v>0</v>
      </c>
      <c r="G22" s="2"/>
      <c r="H22" s="2"/>
      <c r="I22" s="2"/>
      <c r="J22" s="2"/>
      <c r="K22" s="2"/>
      <c r="L22" s="2"/>
    </row>
    <row r="23" spans="1:12" x14ac:dyDescent="0.2">
      <c r="A23" s="1" t="s">
        <v>364</v>
      </c>
      <c r="B23" s="1" t="s">
        <v>346</v>
      </c>
      <c r="C23" s="1" t="s">
        <v>336</v>
      </c>
      <c r="D23" s="1" t="s">
        <v>365</v>
      </c>
      <c r="E23" s="2">
        <v>0</v>
      </c>
      <c r="F23" s="2">
        <v>0</v>
      </c>
      <c r="G23" s="2"/>
      <c r="H23" s="2"/>
      <c r="I23" s="2"/>
      <c r="J23" s="2"/>
      <c r="K23" s="2"/>
      <c r="L23" s="2"/>
    </row>
    <row r="24" spans="1:12" x14ac:dyDescent="0.2">
      <c r="A24" s="1" t="s">
        <v>366</v>
      </c>
      <c r="B24" s="1" t="s">
        <v>346</v>
      </c>
      <c r="C24" s="1" t="s">
        <v>336</v>
      </c>
      <c r="D24" s="1" t="s">
        <v>367</v>
      </c>
      <c r="E24" s="2">
        <v>0</v>
      </c>
      <c r="F24" s="2">
        <v>0</v>
      </c>
      <c r="G24" s="2"/>
      <c r="H24" s="2"/>
      <c r="I24" s="2"/>
      <c r="J24" s="2"/>
      <c r="K24" s="2"/>
      <c r="L24" s="2"/>
    </row>
    <row r="25" spans="1:12" x14ac:dyDescent="0.2">
      <c r="A25" s="1" t="s">
        <v>368</v>
      </c>
      <c r="B25" s="1" t="s">
        <v>307</v>
      </c>
      <c r="C25" s="1" t="s">
        <v>336</v>
      </c>
      <c r="D25" s="1" t="s">
        <v>369</v>
      </c>
      <c r="E25" s="2">
        <v>0</v>
      </c>
      <c r="F25" s="2">
        <v>0</v>
      </c>
      <c r="G25" s="2"/>
      <c r="H25" s="2"/>
      <c r="I25" s="2"/>
      <c r="J25" s="2"/>
      <c r="K25" s="2"/>
      <c r="L25" s="2"/>
    </row>
    <row r="26" spans="1:12" x14ac:dyDescent="0.2">
      <c r="A26" s="1" t="s">
        <v>370</v>
      </c>
      <c r="B26" s="1" t="s">
        <v>346</v>
      </c>
      <c r="C26" s="1" t="s">
        <v>336</v>
      </c>
      <c r="D26" s="1" t="s">
        <v>371</v>
      </c>
      <c r="E26" s="2">
        <v>50</v>
      </c>
      <c r="F26" s="2">
        <v>50</v>
      </c>
      <c r="G26" s="2"/>
      <c r="H26" s="2"/>
      <c r="I26" s="2"/>
      <c r="J26" s="2"/>
      <c r="K26" s="2"/>
      <c r="L26" s="2"/>
    </row>
    <row r="27" spans="1:12" x14ac:dyDescent="0.2">
      <c r="A27" s="1" t="s">
        <v>317</v>
      </c>
      <c r="B27" s="1" t="s">
        <v>307</v>
      </c>
      <c r="C27" s="1" t="s">
        <v>336</v>
      </c>
      <c r="D27" s="1" t="s">
        <v>372</v>
      </c>
      <c r="E27" s="2">
        <v>0</v>
      </c>
      <c r="F27" s="2">
        <v>0</v>
      </c>
      <c r="G27" s="2"/>
      <c r="H27" s="2"/>
      <c r="I27" s="2"/>
      <c r="J27" s="2"/>
      <c r="K27" s="2"/>
      <c r="L27" s="2"/>
    </row>
    <row r="28" spans="1:12" x14ac:dyDescent="0.2">
      <c r="A28" s="1" t="s">
        <v>318</v>
      </c>
      <c r="B28" s="1" t="s">
        <v>346</v>
      </c>
      <c r="C28" s="1" t="s">
        <v>330</v>
      </c>
      <c r="D28" s="1" t="s">
        <v>373</v>
      </c>
      <c r="E28" s="2">
        <v>0</v>
      </c>
      <c r="F28" s="2">
        <v>0</v>
      </c>
      <c r="G28" s="2"/>
      <c r="H28" s="2"/>
      <c r="I28" s="2"/>
      <c r="J28" s="2"/>
      <c r="K28" s="2"/>
      <c r="L28" s="2"/>
    </row>
    <row r="29" spans="1:12" x14ac:dyDescent="0.2">
      <c r="A29" s="1" t="s">
        <v>319</v>
      </c>
      <c r="B29" s="1" t="s">
        <v>346</v>
      </c>
      <c r="C29" s="1" t="s">
        <v>306</v>
      </c>
      <c r="D29" s="1" t="s">
        <v>374</v>
      </c>
      <c r="E29" s="2">
        <v>0</v>
      </c>
      <c r="F29" s="2">
        <v>0</v>
      </c>
      <c r="G29" s="2"/>
      <c r="H29" s="2"/>
      <c r="I29" s="2"/>
      <c r="J29" s="2"/>
      <c r="K29" s="2"/>
      <c r="L29" s="2"/>
    </row>
    <row r="30" spans="1:12" x14ac:dyDescent="0.2">
      <c r="A30" s="1" t="s">
        <v>375</v>
      </c>
      <c r="B30" s="1" t="s">
        <v>307</v>
      </c>
      <c r="C30" s="1" t="s">
        <v>336</v>
      </c>
      <c r="D30" s="1" t="s">
        <v>376</v>
      </c>
      <c r="E30" s="2">
        <v>0</v>
      </c>
      <c r="F30" s="2">
        <v>0</v>
      </c>
      <c r="G30" s="2"/>
      <c r="H30" s="2"/>
      <c r="I30" s="2"/>
      <c r="J30" s="2"/>
      <c r="K30" s="2"/>
      <c r="L30" s="2"/>
    </row>
    <row r="31" spans="1:12" x14ac:dyDescent="0.2">
      <c r="A31" s="1" t="s">
        <v>377</v>
      </c>
      <c r="B31" s="1" t="s">
        <v>346</v>
      </c>
      <c r="C31" s="1" t="s">
        <v>336</v>
      </c>
      <c r="D31" s="1" t="s">
        <v>320</v>
      </c>
      <c r="E31" s="2">
        <v>0</v>
      </c>
      <c r="F31" s="2">
        <v>0</v>
      </c>
      <c r="G31" s="2"/>
      <c r="H31" s="2"/>
      <c r="I31" s="2"/>
      <c r="J31" s="2"/>
      <c r="K31" s="2"/>
      <c r="L31" s="2"/>
    </row>
    <row r="32" spans="1:12" x14ac:dyDescent="0.2">
      <c r="A32" s="1" t="s">
        <v>378</v>
      </c>
      <c r="B32" s="1" t="s">
        <v>307</v>
      </c>
      <c r="C32" s="1" t="s">
        <v>306</v>
      </c>
      <c r="D32" s="1" t="s">
        <v>379</v>
      </c>
      <c r="E32" s="2">
        <v>0</v>
      </c>
      <c r="F32" s="2">
        <v>0</v>
      </c>
      <c r="G32" s="2"/>
      <c r="H32" s="2"/>
      <c r="I32" s="2"/>
      <c r="J32" s="2"/>
      <c r="K32" s="2"/>
      <c r="L32" s="2"/>
    </row>
    <row r="33" spans="1:12" x14ac:dyDescent="0.2">
      <c r="A33" s="1" t="s">
        <v>380</v>
      </c>
      <c r="B33" s="1" t="s">
        <v>307</v>
      </c>
      <c r="C33" s="1" t="s">
        <v>306</v>
      </c>
      <c r="D33" s="1" t="s">
        <v>381</v>
      </c>
      <c r="E33" s="2">
        <v>0</v>
      </c>
      <c r="F33" s="2">
        <v>0</v>
      </c>
      <c r="G33" s="2"/>
      <c r="H33" s="2"/>
      <c r="I33" s="2"/>
      <c r="J33" s="2"/>
      <c r="K33" s="2"/>
      <c r="L33" s="2"/>
    </row>
    <row r="34" spans="1:12" x14ac:dyDescent="0.2">
      <c r="A34" s="1" t="s">
        <v>382</v>
      </c>
      <c r="B34" s="1" t="s">
        <v>346</v>
      </c>
      <c r="C34" s="1" t="s">
        <v>306</v>
      </c>
      <c r="D34" s="1" t="s">
        <v>383</v>
      </c>
      <c r="E34" s="2">
        <v>0</v>
      </c>
      <c r="F34" s="2">
        <v>0</v>
      </c>
      <c r="G34" s="2"/>
      <c r="H34" s="2"/>
      <c r="I34" s="2"/>
      <c r="J34" s="2"/>
      <c r="K34" s="2"/>
      <c r="L34" s="2"/>
    </row>
    <row r="35" spans="1:12" x14ac:dyDescent="0.2">
      <c r="A35" s="1" t="s">
        <v>384</v>
      </c>
      <c r="B35" s="1" t="s">
        <v>385</v>
      </c>
      <c r="C35" s="1" t="s">
        <v>336</v>
      </c>
      <c r="D35" s="1" t="s">
        <v>386</v>
      </c>
      <c r="E35" s="2">
        <v>0</v>
      </c>
      <c r="F35" s="2">
        <v>0</v>
      </c>
      <c r="G35" s="2"/>
      <c r="H35" s="2"/>
      <c r="I35" s="2"/>
      <c r="J35" s="2"/>
      <c r="K35" s="2"/>
      <c r="L35" s="2"/>
    </row>
    <row r="36" spans="1:12" x14ac:dyDescent="0.2">
      <c r="A36" s="1" t="s">
        <v>387</v>
      </c>
      <c r="B36" s="1" t="s">
        <v>346</v>
      </c>
      <c r="C36" s="1" t="s">
        <v>336</v>
      </c>
      <c r="D36" s="1" t="s">
        <v>388</v>
      </c>
      <c r="E36" s="2">
        <v>0</v>
      </c>
      <c r="F36" s="2">
        <v>0</v>
      </c>
      <c r="G36" s="2"/>
      <c r="H36" s="2"/>
      <c r="I36" s="2"/>
      <c r="J36" s="2"/>
      <c r="K36" s="2"/>
      <c r="L36" s="2"/>
    </row>
    <row r="37" spans="1:12" x14ac:dyDescent="0.2">
      <c r="A37" s="1" t="s">
        <v>389</v>
      </c>
      <c r="B37" s="1" t="s">
        <v>346</v>
      </c>
      <c r="C37" s="1" t="s">
        <v>336</v>
      </c>
      <c r="D37" s="1" t="s">
        <v>390</v>
      </c>
      <c r="E37" s="2">
        <v>0</v>
      </c>
      <c r="F37" s="2">
        <v>0</v>
      </c>
      <c r="G37" s="2"/>
      <c r="H37" s="2"/>
      <c r="I37" s="2"/>
      <c r="J37" s="2"/>
      <c r="K37" s="2"/>
      <c r="L37" s="2"/>
    </row>
    <row r="38" spans="1:12" x14ac:dyDescent="0.2">
      <c r="A38" s="1" t="s">
        <v>391</v>
      </c>
      <c r="B38" s="1" t="s">
        <v>333</v>
      </c>
      <c r="C38" s="1" t="s">
        <v>306</v>
      </c>
      <c r="D38" s="1" t="s">
        <v>392</v>
      </c>
      <c r="E38" s="2">
        <v>12750</v>
      </c>
      <c r="F38" s="2">
        <v>12775</v>
      </c>
      <c r="G38" s="2"/>
      <c r="H38" s="2"/>
      <c r="I38" s="2"/>
      <c r="J38" s="2"/>
      <c r="K38" s="2"/>
      <c r="L38" s="2"/>
    </row>
    <row r="39" spans="1:12" x14ac:dyDescent="0.2">
      <c r="A39" s="1" t="s">
        <v>393</v>
      </c>
      <c r="B39" s="1" t="s">
        <v>346</v>
      </c>
      <c r="C39" s="1" t="s">
        <v>336</v>
      </c>
      <c r="D39" s="1" t="s">
        <v>394</v>
      </c>
      <c r="E39" s="2">
        <v>0</v>
      </c>
      <c r="F39" s="2">
        <v>0</v>
      </c>
      <c r="G39" s="2"/>
      <c r="H39" s="2"/>
      <c r="I39" s="2"/>
      <c r="J39" s="2"/>
      <c r="K39" s="2"/>
      <c r="L39" s="2"/>
    </row>
    <row r="40" spans="1:12" x14ac:dyDescent="0.2">
      <c r="A40" s="1" t="s">
        <v>395</v>
      </c>
      <c r="B40" s="1" t="s">
        <v>346</v>
      </c>
      <c r="C40" s="1" t="s">
        <v>336</v>
      </c>
      <c r="D40" s="1" t="s">
        <v>396</v>
      </c>
      <c r="E40" s="2">
        <v>76800</v>
      </c>
      <c r="F40" s="2">
        <v>78300</v>
      </c>
      <c r="G40" s="2"/>
      <c r="H40" s="2"/>
      <c r="I40" s="2"/>
      <c r="J40" s="2"/>
      <c r="K40" s="2"/>
      <c r="L40" s="2"/>
    </row>
    <row r="41" spans="1:12" x14ac:dyDescent="0.2">
      <c r="A41" s="1" t="s">
        <v>397</v>
      </c>
      <c r="B41" s="1" t="s">
        <v>385</v>
      </c>
      <c r="C41" s="1" t="s">
        <v>330</v>
      </c>
      <c r="D41" s="1" t="s">
        <v>398</v>
      </c>
      <c r="E41" s="2">
        <v>0</v>
      </c>
      <c r="F41" s="2">
        <v>0</v>
      </c>
      <c r="G41" s="2"/>
      <c r="H41" s="2"/>
      <c r="I41" s="2"/>
      <c r="J41" s="2"/>
      <c r="K41" s="2"/>
      <c r="L41" s="2"/>
    </row>
    <row r="42" spans="1:12" x14ac:dyDescent="0.2">
      <c r="A42" s="1" t="s">
        <v>321</v>
      </c>
      <c r="B42" s="1" t="s">
        <v>346</v>
      </c>
      <c r="C42" s="1" t="s">
        <v>336</v>
      </c>
      <c r="D42" s="1" t="s">
        <v>322</v>
      </c>
      <c r="E42" s="2">
        <v>0</v>
      </c>
      <c r="F42" s="2">
        <v>0</v>
      </c>
      <c r="G42" s="2"/>
      <c r="H42" s="2"/>
      <c r="I42" s="2"/>
      <c r="J42" s="2"/>
      <c r="K42" s="2"/>
      <c r="L42" s="2"/>
    </row>
    <row r="43" spans="1:12" x14ac:dyDescent="0.2">
      <c r="A43" s="1" t="s">
        <v>399</v>
      </c>
      <c r="B43" s="1" t="s">
        <v>307</v>
      </c>
      <c r="C43" s="1" t="s">
        <v>336</v>
      </c>
      <c r="D43" s="1" t="s">
        <v>400</v>
      </c>
      <c r="E43" s="2">
        <v>0</v>
      </c>
      <c r="F43" s="2">
        <v>0</v>
      </c>
      <c r="G43" s="2"/>
      <c r="H43" s="2"/>
      <c r="I43" s="2"/>
      <c r="J43" s="2"/>
      <c r="K43" s="2"/>
      <c r="L43" s="2"/>
    </row>
    <row r="44" spans="1:12" x14ac:dyDescent="0.2">
      <c r="A44" s="1" t="s">
        <v>401</v>
      </c>
      <c r="B44" s="1" t="s">
        <v>307</v>
      </c>
      <c r="C44" s="1" t="s">
        <v>336</v>
      </c>
      <c r="D44" s="1" t="s">
        <v>402</v>
      </c>
      <c r="E44" s="2">
        <v>0</v>
      </c>
      <c r="F44" s="2">
        <v>0</v>
      </c>
      <c r="G44" s="2"/>
      <c r="H44" s="2"/>
      <c r="I44" s="2"/>
      <c r="J44" s="2"/>
      <c r="K44" s="2"/>
      <c r="L44" s="2"/>
    </row>
    <row r="45" spans="1:12" x14ac:dyDescent="0.2">
      <c r="A45" s="1" t="s">
        <v>403</v>
      </c>
      <c r="B45" s="1" t="s">
        <v>346</v>
      </c>
      <c r="C45" s="1" t="s">
        <v>336</v>
      </c>
      <c r="D45" s="1" t="s">
        <v>404</v>
      </c>
      <c r="E45" s="2">
        <v>0</v>
      </c>
      <c r="F45" s="2">
        <v>0</v>
      </c>
      <c r="G45" s="2"/>
      <c r="H45" s="2"/>
      <c r="I45" s="2"/>
      <c r="J45" s="2"/>
      <c r="K45" s="2"/>
      <c r="L45" s="2"/>
    </row>
    <row r="46" spans="1:12" x14ac:dyDescent="0.2">
      <c r="A46" s="1" t="s">
        <v>405</v>
      </c>
      <c r="B46" s="1" t="s">
        <v>346</v>
      </c>
      <c r="C46" s="1" t="s">
        <v>336</v>
      </c>
      <c r="D46" s="1" t="s">
        <v>406</v>
      </c>
      <c r="E46" s="2">
        <v>1300</v>
      </c>
      <c r="F46" s="2">
        <v>1300</v>
      </c>
      <c r="G46" s="2"/>
      <c r="H46" s="2"/>
      <c r="I46" s="2"/>
      <c r="J46" s="2"/>
      <c r="K46" s="2"/>
      <c r="L46" s="2"/>
    </row>
    <row r="47" spans="1:12" x14ac:dyDescent="0.2">
      <c r="A47" s="1" t="s">
        <v>407</v>
      </c>
      <c r="B47" s="1" t="s">
        <v>346</v>
      </c>
      <c r="C47" s="1" t="s">
        <v>336</v>
      </c>
      <c r="D47" s="1" t="s">
        <v>408</v>
      </c>
      <c r="E47" s="2">
        <v>53800</v>
      </c>
      <c r="F47" s="2">
        <v>53800</v>
      </c>
      <c r="G47" s="2"/>
      <c r="H47" s="2"/>
      <c r="I47" s="2"/>
      <c r="J47" s="2"/>
      <c r="K47" s="2"/>
      <c r="L47" s="2"/>
    </row>
    <row r="48" spans="1:12" x14ac:dyDescent="0.2">
      <c r="A48" s="1" t="s">
        <v>409</v>
      </c>
      <c r="B48" s="1" t="s">
        <v>307</v>
      </c>
      <c r="C48" s="1" t="s">
        <v>336</v>
      </c>
      <c r="D48" s="1" t="s">
        <v>410</v>
      </c>
      <c r="E48" s="2">
        <v>0</v>
      </c>
      <c r="F48" s="2">
        <v>0</v>
      </c>
      <c r="G48" s="2"/>
      <c r="H48" s="2"/>
      <c r="I48" s="2"/>
      <c r="J48" s="2"/>
      <c r="K48" s="2"/>
      <c r="L48" s="2"/>
    </row>
    <row r="49" spans="1:12" x14ac:dyDescent="0.2">
      <c r="A49" s="1" t="s">
        <v>411</v>
      </c>
      <c r="B49" s="1" t="s">
        <v>333</v>
      </c>
      <c r="C49" s="1" t="s">
        <v>336</v>
      </c>
      <c r="D49" s="1" t="s">
        <v>323</v>
      </c>
      <c r="E49" s="2">
        <v>53800</v>
      </c>
      <c r="F49" s="2">
        <v>53800</v>
      </c>
      <c r="G49" s="2"/>
      <c r="H49" s="2"/>
      <c r="I49" s="2"/>
      <c r="J49" s="2"/>
      <c r="K49" s="2"/>
      <c r="L49" s="2"/>
    </row>
    <row r="50" spans="1:12" x14ac:dyDescent="0.2">
      <c r="A50" s="1" t="s">
        <v>412</v>
      </c>
      <c r="B50" s="1" t="s">
        <v>346</v>
      </c>
      <c r="C50" s="1" t="s">
        <v>336</v>
      </c>
      <c r="D50" s="1" t="s">
        <v>413</v>
      </c>
      <c r="E50" s="2">
        <v>0</v>
      </c>
      <c r="F50" s="2">
        <v>0</v>
      </c>
      <c r="G50" s="2"/>
      <c r="H50" s="2"/>
      <c r="I50" s="2"/>
      <c r="J50" s="2"/>
      <c r="K50" s="2"/>
      <c r="L50" s="2"/>
    </row>
    <row r="51" spans="1:12" x14ac:dyDescent="0.2">
      <c r="A51" s="1" t="s">
        <v>414</v>
      </c>
      <c r="B51" s="1" t="s">
        <v>307</v>
      </c>
      <c r="C51" s="1" t="s">
        <v>336</v>
      </c>
      <c r="D51" s="1" t="s">
        <v>415</v>
      </c>
      <c r="E51" s="2">
        <v>0</v>
      </c>
      <c r="F51" s="2">
        <v>0</v>
      </c>
      <c r="G51" s="2"/>
      <c r="H51" s="2"/>
      <c r="I51" s="2"/>
      <c r="J51" s="2"/>
      <c r="K51" s="2"/>
      <c r="L51" s="2"/>
    </row>
    <row r="52" spans="1:12" x14ac:dyDescent="0.2">
      <c r="A52" s="1" t="s">
        <v>416</v>
      </c>
      <c r="B52" s="1" t="s">
        <v>307</v>
      </c>
      <c r="C52" s="1" t="s">
        <v>336</v>
      </c>
      <c r="D52" s="1" t="s">
        <v>417</v>
      </c>
      <c r="E52" s="2">
        <v>0</v>
      </c>
      <c r="F52" s="2">
        <v>0</v>
      </c>
      <c r="G52" s="2"/>
      <c r="H52" s="2"/>
      <c r="I52" s="2"/>
      <c r="J52" s="2"/>
      <c r="K52" s="2"/>
      <c r="L52" s="2"/>
    </row>
    <row r="53" spans="1:12" x14ac:dyDescent="0.2">
      <c r="A53" s="1" t="s">
        <v>418</v>
      </c>
      <c r="B53" s="1" t="s">
        <v>346</v>
      </c>
      <c r="C53" s="1" t="s">
        <v>336</v>
      </c>
      <c r="D53" s="1" t="s">
        <v>419</v>
      </c>
      <c r="E53" s="2">
        <v>0</v>
      </c>
      <c r="F53" s="2">
        <v>0</v>
      </c>
      <c r="G53" s="2"/>
      <c r="H53" s="2"/>
      <c r="I53" s="2"/>
      <c r="J53" s="2"/>
      <c r="K53" s="2"/>
      <c r="L53" s="2"/>
    </row>
    <row r="54" spans="1:12" x14ac:dyDescent="0.2">
      <c r="A54" s="1" t="s">
        <v>420</v>
      </c>
      <c r="B54" s="1" t="s">
        <v>346</v>
      </c>
      <c r="C54" s="1" t="s">
        <v>336</v>
      </c>
      <c r="D54" s="1" t="s">
        <v>421</v>
      </c>
      <c r="E54" s="2">
        <v>0</v>
      </c>
      <c r="F54" s="2">
        <v>0</v>
      </c>
      <c r="G54" s="2"/>
      <c r="H54" s="2"/>
      <c r="I54" s="2"/>
      <c r="J54" s="2"/>
      <c r="K54" s="2"/>
      <c r="L54" s="2"/>
    </row>
    <row r="55" spans="1:12" x14ac:dyDescent="0.2">
      <c r="A55" s="1" t="s">
        <v>422</v>
      </c>
      <c r="B55" s="1" t="s">
        <v>346</v>
      </c>
      <c r="C55" s="1" t="s">
        <v>336</v>
      </c>
      <c r="D55" s="1" t="s">
        <v>423</v>
      </c>
      <c r="E55" s="2">
        <v>0</v>
      </c>
      <c r="F55" s="2">
        <v>0</v>
      </c>
      <c r="G55" s="2"/>
      <c r="H55" s="2"/>
      <c r="I55" s="2"/>
      <c r="J55" s="2"/>
      <c r="K55" s="2"/>
      <c r="L55" s="2"/>
    </row>
    <row r="56" spans="1:12" x14ac:dyDescent="0.2">
      <c r="A56" s="1" t="s">
        <v>424</v>
      </c>
      <c r="B56" s="1" t="s">
        <v>346</v>
      </c>
      <c r="C56" s="1" t="s">
        <v>336</v>
      </c>
      <c r="D56" s="1" t="s">
        <v>425</v>
      </c>
      <c r="E56" s="2">
        <v>0</v>
      </c>
      <c r="F56" s="2">
        <v>0</v>
      </c>
      <c r="G56" s="2"/>
      <c r="H56" s="2"/>
      <c r="I56" s="2"/>
      <c r="J56" s="2"/>
      <c r="K56" s="2"/>
      <c r="L56" s="2"/>
    </row>
    <row r="57" spans="1:12" x14ac:dyDescent="0.2">
      <c r="A57" s="1" t="s">
        <v>324</v>
      </c>
      <c r="B57" s="1" t="s">
        <v>307</v>
      </c>
      <c r="C57" s="1" t="s">
        <v>336</v>
      </c>
      <c r="D57" s="1" t="s">
        <v>426</v>
      </c>
      <c r="E57" s="2">
        <v>0</v>
      </c>
      <c r="F57" s="2">
        <v>0</v>
      </c>
      <c r="G57" s="2"/>
      <c r="H57" s="2"/>
      <c r="I57" s="2"/>
      <c r="J57" s="2"/>
      <c r="K57" s="2"/>
      <c r="L57" s="2"/>
    </row>
    <row r="58" spans="1:12" x14ac:dyDescent="0.2">
      <c r="A58" s="1" t="s">
        <v>427</v>
      </c>
      <c r="B58" s="1" t="s">
        <v>346</v>
      </c>
      <c r="C58" s="1" t="s">
        <v>336</v>
      </c>
      <c r="D58" s="1" t="s">
        <v>428</v>
      </c>
      <c r="E58" s="2">
        <v>42200</v>
      </c>
      <c r="F58" s="2">
        <v>42200</v>
      </c>
      <c r="G58" s="2"/>
      <c r="H58" s="2"/>
      <c r="I58" s="2"/>
      <c r="J58" s="2"/>
      <c r="K58" s="2"/>
      <c r="L58" s="2"/>
    </row>
    <row r="59" spans="1:12" x14ac:dyDescent="0.2">
      <c r="A59" s="1" t="s">
        <v>429</v>
      </c>
      <c r="B59" s="1" t="s">
        <v>346</v>
      </c>
      <c r="C59" s="1" t="s">
        <v>306</v>
      </c>
      <c r="D59" s="1" t="s">
        <v>430</v>
      </c>
      <c r="E59" s="2">
        <v>0</v>
      </c>
      <c r="F59" s="2">
        <v>0</v>
      </c>
      <c r="G59" s="2"/>
      <c r="H59" s="2"/>
      <c r="I59" s="2"/>
      <c r="J59" s="2"/>
      <c r="K59" s="2"/>
      <c r="L59" s="2"/>
    </row>
    <row r="60" spans="1:12" x14ac:dyDescent="0.2">
      <c r="A60" s="1" t="s">
        <v>431</v>
      </c>
      <c r="B60" s="1" t="s">
        <v>346</v>
      </c>
      <c r="C60" s="1" t="s">
        <v>336</v>
      </c>
      <c r="D60" s="1" t="s">
        <v>432</v>
      </c>
      <c r="E60" s="2">
        <v>10650</v>
      </c>
      <c r="F60" s="2">
        <v>10650</v>
      </c>
      <c r="G60" s="2"/>
      <c r="H60" s="2"/>
      <c r="I60" s="2"/>
      <c r="J60" s="2"/>
      <c r="K60" s="2"/>
      <c r="L60" s="2"/>
    </row>
    <row r="61" spans="1:12" x14ac:dyDescent="0.2">
      <c r="A61" s="1" t="s">
        <v>433</v>
      </c>
      <c r="B61" s="1" t="s">
        <v>346</v>
      </c>
      <c r="C61" s="1" t="s">
        <v>306</v>
      </c>
      <c r="D61" s="1" t="s">
        <v>434</v>
      </c>
      <c r="E61" s="2">
        <v>0</v>
      </c>
      <c r="F61" s="2">
        <v>0</v>
      </c>
      <c r="G61" s="2"/>
      <c r="H61" s="2"/>
      <c r="I61" s="2"/>
      <c r="J61" s="2"/>
      <c r="K61" s="2"/>
      <c r="L61" s="2"/>
    </row>
    <row r="62" spans="1:12" x14ac:dyDescent="0.2">
      <c r="A62" s="1" t="s">
        <v>435</v>
      </c>
      <c r="B62" s="1" t="s">
        <v>346</v>
      </c>
      <c r="C62" s="1" t="s">
        <v>336</v>
      </c>
      <c r="D62" s="1" t="s">
        <v>436</v>
      </c>
      <c r="E62" s="2">
        <v>950</v>
      </c>
      <c r="F62" s="2">
        <v>950</v>
      </c>
      <c r="G62" s="2"/>
      <c r="H62" s="2"/>
      <c r="I62" s="2"/>
      <c r="J62" s="2"/>
      <c r="K62" s="2"/>
      <c r="L62" s="2"/>
    </row>
    <row r="63" spans="1:12" x14ac:dyDescent="0.2">
      <c r="A63" s="1" t="s">
        <v>437</v>
      </c>
      <c r="B63" s="1" t="s">
        <v>346</v>
      </c>
      <c r="C63" s="1" t="s">
        <v>336</v>
      </c>
      <c r="D63" s="1" t="s">
        <v>438</v>
      </c>
      <c r="E63" s="2">
        <v>0</v>
      </c>
      <c r="F63" s="2">
        <v>0</v>
      </c>
      <c r="G63" s="2"/>
      <c r="H63" s="2"/>
      <c r="I63" s="2"/>
      <c r="J63" s="2"/>
      <c r="K63" s="2"/>
      <c r="L63" s="2"/>
    </row>
    <row r="64" spans="1:12" x14ac:dyDescent="0.2">
      <c r="A64" s="1" t="s">
        <v>439</v>
      </c>
      <c r="B64" s="1" t="s">
        <v>346</v>
      </c>
      <c r="C64" s="1" t="s">
        <v>336</v>
      </c>
      <c r="D64" s="1" t="s">
        <v>440</v>
      </c>
      <c r="E64" s="2">
        <v>0</v>
      </c>
      <c r="F64" s="2">
        <v>0</v>
      </c>
      <c r="G64" s="2"/>
      <c r="H64" s="2"/>
      <c r="I64" s="2"/>
      <c r="J64" s="2"/>
      <c r="K64" s="2"/>
      <c r="L64" s="2"/>
    </row>
    <row r="65" spans="1:12" x14ac:dyDescent="0.2">
      <c r="A65" s="1" t="s">
        <v>441</v>
      </c>
      <c r="B65" s="1" t="s">
        <v>346</v>
      </c>
      <c r="C65" s="1" t="s">
        <v>336</v>
      </c>
      <c r="D65" s="1" t="s">
        <v>442</v>
      </c>
      <c r="E65" s="2">
        <v>0</v>
      </c>
      <c r="F65" s="2">
        <v>0</v>
      </c>
      <c r="G65" s="2"/>
      <c r="H65" s="2"/>
      <c r="I65" s="2"/>
      <c r="J65" s="2"/>
      <c r="K65" s="2"/>
      <c r="L65" s="2"/>
    </row>
    <row r="66" spans="1:12" x14ac:dyDescent="0.2">
      <c r="A66" s="1" t="s">
        <v>443</v>
      </c>
      <c r="B66" s="1" t="s">
        <v>346</v>
      </c>
      <c r="C66" s="1" t="s">
        <v>336</v>
      </c>
      <c r="D66" s="1" t="s">
        <v>444</v>
      </c>
      <c r="E66" s="2">
        <v>0</v>
      </c>
      <c r="F66" s="2">
        <v>0</v>
      </c>
      <c r="G66" s="2"/>
      <c r="H66" s="2"/>
      <c r="I66" s="2"/>
      <c r="J66" s="2"/>
      <c r="K66" s="2"/>
      <c r="L66" s="2"/>
    </row>
    <row r="67" spans="1:12" x14ac:dyDescent="0.2">
      <c r="A67" s="1" t="s">
        <v>325</v>
      </c>
      <c r="B67" s="1" t="s">
        <v>333</v>
      </c>
      <c r="C67" s="1" t="s">
        <v>306</v>
      </c>
      <c r="D67" s="1" t="s">
        <v>445</v>
      </c>
      <c r="E67" s="2">
        <v>0</v>
      </c>
      <c r="F67" s="2">
        <v>0</v>
      </c>
      <c r="G67" s="2"/>
      <c r="H67" s="2"/>
      <c r="I67" s="2"/>
      <c r="J67" s="2"/>
      <c r="K67" s="2"/>
      <c r="L67" s="2"/>
    </row>
    <row r="68" spans="1:12" x14ac:dyDescent="0.2">
      <c r="A68" s="1" t="s">
        <v>446</v>
      </c>
      <c r="B68" s="1" t="s">
        <v>346</v>
      </c>
      <c r="C68" s="1" t="s">
        <v>336</v>
      </c>
      <c r="D68" s="1" t="s">
        <v>447</v>
      </c>
      <c r="E68" s="2">
        <v>0</v>
      </c>
      <c r="F68" s="2">
        <v>0</v>
      </c>
      <c r="G68" s="2"/>
      <c r="H68" s="2"/>
      <c r="I68" s="2"/>
      <c r="J68" s="2"/>
      <c r="K68" s="2"/>
      <c r="L68" s="2"/>
    </row>
    <row r="69" spans="1:12" x14ac:dyDescent="0.2">
      <c r="A69" s="1" t="s">
        <v>448</v>
      </c>
      <c r="B69" s="1" t="s">
        <v>346</v>
      </c>
      <c r="C69" s="1" t="s">
        <v>336</v>
      </c>
      <c r="D69" s="1" t="s">
        <v>449</v>
      </c>
      <c r="E69" s="2">
        <v>0</v>
      </c>
      <c r="F69" s="2">
        <v>0</v>
      </c>
      <c r="G69" s="2"/>
      <c r="H69" s="2"/>
      <c r="I69" s="2"/>
      <c r="J69" s="2"/>
      <c r="K69" s="2"/>
      <c r="L69" s="2"/>
    </row>
    <row r="70" spans="1:12" x14ac:dyDescent="0.2">
      <c r="A70" s="1" t="s">
        <v>450</v>
      </c>
      <c r="B70" s="1" t="s">
        <v>346</v>
      </c>
      <c r="C70" s="1" t="s">
        <v>336</v>
      </c>
      <c r="D70" s="1" t="s">
        <v>451</v>
      </c>
      <c r="E70" s="2">
        <v>0</v>
      </c>
      <c r="F70" s="2">
        <v>0</v>
      </c>
      <c r="G70" s="2"/>
      <c r="H70" s="2"/>
      <c r="I70" s="2"/>
      <c r="J70" s="2"/>
      <c r="K70" s="2"/>
      <c r="L70" s="2"/>
    </row>
    <row r="71" spans="1:12" x14ac:dyDescent="0.2">
      <c r="A71" s="1" t="s">
        <v>452</v>
      </c>
      <c r="B71" s="1" t="s">
        <v>346</v>
      </c>
      <c r="C71" s="1" t="s">
        <v>336</v>
      </c>
      <c r="D71" s="1" t="s">
        <v>453</v>
      </c>
      <c r="E71" s="2">
        <v>0</v>
      </c>
      <c r="F71" s="2">
        <v>0</v>
      </c>
      <c r="G71" s="2"/>
      <c r="H71" s="2"/>
      <c r="I71" s="2"/>
      <c r="J71" s="2"/>
      <c r="K71" s="2"/>
      <c r="L71" s="2"/>
    </row>
    <row r="72" spans="1:12" x14ac:dyDescent="0.2">
      <c r="A72" s="1" t="s">
        <v>454</v>
      </c>
      <c r="B72" s="1" t="s">
        <v>346</v>
      </c>
      <c r="C72" s="1" t="s">
        <v>336</v>
      </c>
      <c r="D72" s="1" t="s">
        <v>455</v>
      </c>
      <c r="E72" s="2">
        <v>0</v>
      </c>
      <c r="F72" s="2">
        <v>0</v>
      </c>
      <c r="G72" s="2"/>
      <c r="H72" s="2"/>
      <c r="I72" s="2"/>
      <c r="J72" s="2"/>
      <c r="K72" s="2"/>
      <c r="L72" s="2"/>
    </row>
    <row r="73" spans="1:12" x14ac:dyDescent="0.2">
      <c r="A73" s="1" t="s">
        <v>456</v>
      </c>
      <c r="B73" s="1" t="s">
        <v>346</v>
      </c>
      <c r="C73" s="1" t="s">
        <v>336</v>
      </c>
      <c r="D73" s="1" t="s">
        <v>457</v>
      </c>
      <c r="E73" s="2">
        <v>0</v>
      </c>
      <c r="F73" s="2">
        <v>0</v>
      </c>
      <c r="G73" s="2"/>
      <c r="H73" s="2"/>
      <c r="I73" s="2"/>
      <c r="J73" s="2"/>
      <c r="K73" s="2"/>
      <c r="L73" s="2"/>
    </row>
    <row r="74" spans="1:12" x14ac:dyDescent="0.2">
      <c r="A74" s="1" t="s">
        <v>458</v>
      </c>
      <c r="B74" s="1" t="s">
        <v>346</v>
      </c>
      <c r="C74" s="1" t="s">
        <v>336</v>
      </c>
      <c r="D74" s="1" t="s">
        <v>459</v>
      </c>
      <c r="E74" s="2">
        <v>0</v>
      </c>
      <c r="F74" s="2">
        <v>0</v>
      </c>
      <c r="G74" s="2"/>
      <c r="H74" s="2"/>
      <c r="I74" s="2"/>
      <c r="J74" s="2"/>
      <c r="K74" s="2"/>
      <c r="L74" s="2"/>
    </row>
    <row r="75" spans="1:12" x14ac:dyDescent="0.2">
      <c r="A75" s="1" t="s">
        <v>460</v>
      </c>
      <c r="B75" s="1" t="s">
        <v>346</v>
      </c>
      <c r="C75" s="1" t="s">
        <v>336</v>
      </c>
      <c r="D75" s="1" t="s">
        <v>461</v>
      </c>
      <c r="E75" s="2">
        <v>0</v>
      </c>
      <c r="F75" s="2">
        <v>0</v>
      </c>
      <c r="G75" s="2"/>
      <c r="H75" s="2"/>
      <c r="I75" s="2"/>
      <c r="J75" s="2"/>
      <c r="K75" s="2"/>
      <c r="L75" s="2"/>
    </row>
    <row r="76" spans="1:12" x14ac:dyDescent="0.2">
      <c r="A76" s="1" t="s">
        <v>462</v>
      </c>
      <c r="B76" s="1" t="s">
        <v>346</v>
      </c>
      <c r="C76" s="1" t="s">
        <v>336</v>
      </c>
      <c r="D76" s="1" t="s">
        <v>463</v>
      </c>
      <c r="E76" s="2">
        <v>0</v>
      </c>
      <c r="F76" s="2">
        <v>0</v>
      </c>
      <c r="G76" s="2"/>
      <c r="H76" s="2"/>
      <c r="I76" s="2"/>
      <c r="J76" s="2"/>
      <c r="K76" s="2"/>
      <c r="L76" s="2"/>
    </row>
    <row r="77" spans="1:12" x14ac:dyDescent="0.2">
      <c r="A77" s="1" t="s">
        <v>464</v>
      </c>
      <c r="B77" s="1" t="s">
        <v>346</v>
      </c>
      <c r="C77" s="1" t="s">
        <v>336</v>
      </c>
      <c r="D77" s="1" t="s">
        <v>465</v>
      </c>
      <c r="E77" s="2">
        <v>0</v>
      </c>
      <c r="F77" s="2">
        <v>0</v>
      </c>
      <c r="G77" s="2"/>
      <c r="H77" s="2"/>
      <c r="I77" s="2"/>
      <c r="J77" s="2"/>
      <c r="K77" s="2"/>
      <c r="L77" s="2"/>
    </row>
    <row r="78" spans="1:12" x14ac:dyDescent="0.2">
      <c r="A78" s="1" t="s">
        <v>466</v>
      </c>
      <c r="B78" s="1" t="s">
        <v>346</v>
      </c>
      <c r="C78" s="1" t="s">
        <v>336</v>
      </c>
      <c r="D78" s="1" t="s">
        <v>467</v>
      </c>
      <c r="E78" s="2">
        <v>0</v>
      </c>
      <c r="F78" s="2">
        <v>0</v>
      </c>
      <c r="G78" s="2"/>
      <c r="H78" s="2"/>
      <c r="I78" s="2"/>
      <c r="J78" s="2"/>
      <c r="K78" s="2"/>
      <c r="L78" s="2"/>
    </row>
    <row r="79" spans="1:12" x14ac:dyDescent="0.2">
      <c r="A79" s="1" t="s">
        <v>468</v>
      </c>
      <c r="B79" s="1" t="s">
        <v>346</v>
      </c>
      <c r="C79" s="1" t="s">
        <v>336</v>
      </c>
      <c r="D79" s="1" t="s">
        <v>469</v>
      </c>
      <c r="E79" s="2">
        <v>0</v>
      </c>
      <c r="F79" s="2">
        <v>0</v>
      </c>
      <c r="G79" s="2"/>
      <c r="H79" s="2"/>
      <c r="I79" s="2"/>
      <c r="J79" s="2"/>
      <c r="K79" s="2"/>
      <c r="L79" s="2"/>
    </row>
    <row r="80" spans="1:12" x14ac:dyDescent="0.2">
      <c r="A80" s="1" t="s">
        <v>470</v>
      </c>
      <c r="B80" s="1" t="s">
        <v>346</v>
      </c>
      <c r="C80" s="1" t="s">
        <v>336</v>
      </c>
      <c r="D80" s="1" t="s">
        <v>471</v>
      </c>
      <c r="E80" s="2">
        <v>0</v>
      </c>
      <c r="F80" s="2">
        <v>0</v>
      </c>
      <c r="G80" s="2"/>
      <c r="H80" s="2"/>
      <c r="I80" s="2"/>
      <c r="J80" s="2"/>
      <c r="K80" s="2"/>
      <c r="L80" s="2"/>
    </row>
    <row r="81" spans="1:12" x14ac:dyDescent="0.2">
      <c r="A81" s="1" t="s">
        <v>472</v>
      </c>
      <c r="B81" s="1" t="s">
        <v>346</v>
      </c>
      <c r="C81" s="1" t="s">
        <v>306</v>
      </c>
      <c r="D81" s="1" t="s">
        <v>473</v>
      </c>
      <c r="E81" s="2">
        <v>0</v>
      </c>
      <c r="F81" s="2">
        <v>0</v>
      </c>
      <c r="G81" s="2"/>
      <c r="H81" s="2"/>
      <c r="I81" s="2"/>
      <c r="J81" s="2"/>
      <c r="K81" s="2"/>
      <c r="L81" s="2"/>
    </row>
    <row r="82" spans="1:12" x14ac:dyDescent="0.2">
      <c r="A82" s="1" t="s">
        <v>474</v>
      </c>
      <c r="B82" s="1" t="s">
        <v>346</v>
      </c>
      <c r="C82" s="1" t="s">
        <v>336</v>
      </c>
      <c r="D82" s="1" t="s">
        <v>475</v>
      </c>
      <c r="E82" s="2">
        <v>10650</v>
      </c>
      <c r="F82" s="2">
        <v>10650</v>
      </c>
      <c r="G82" s="2"/>
      <c r="H82" s="2"/>
      <c r="I82" s="2"/>
      <c r="J82" s="2"/>
      <c r="K82" s="2"/>
      <c r="L82" s="2"/>
    </row>
    <row r="83" spans="1:12" x14ac:dyDescent="0.2">
      <c r="A83" s="1" t="s">
        <v>476</v>
      </c>
      <c r="B83" s="1" t="s">
        <v>346</v>
      </c>
      <c r="C83" s="1" t="s">
        <v>330</v>
      </c>
      <c r="D83" s="1" t="s">
        <v>477</v>
      </c>
      <c r="E83" s="2">
        <v>0</v>
      </c>
      <c r="F83" s="2">
        <v>0</v>
      </c>
      <c r="G83" s="2"/>
      <c r="H83" s="2"/>
      <c r="I83" s="2"/>
      <c r="J83" s="2"/>
      <c r="K83" s="2"/>
      <c r="L83" s="2"/>
    </row>
    <row r="84" spans="1:12" x14ac:dyDescent="0.2">
      <c r="A84" s="1" t="s">
        <v>478</v>
      </c>
      <c r="B84" s="1" t="s">
        <v>346</v>
      </c>
      <c r="C84" s="1" t="s">
        <v>336</v>
      </c>
      <c r="D84" s="1" t="s">
        <v>479</v>
      </c>
      <c r="E84" s="2">
        <v>42200</v>
      </c>
      <c r="F84" s="2">
        <v>42200</v>
      </c>
      <c r="G84" s="2"/>
      <c r="H84" s="2"/>
      <c r="I84" s="2"/>
      <c r="J84" s="2"/>
      <c r="K84" s="2"/>
      <c r="L84" s="2"/>
    </row>
    <row r="85" spans="1:12" x14ac:dyDescent="0.2">
      <c r="A85" s="1" t="s">
        <v>326</v>
      </c>
      <c r="B85" s="1" t="s">
        <v>346</v>
      </c>
      <c r="C85" s="1" t="s">
        <v>336</v>
      </c>
      <c r="D85" s="1" t="s">
        <v>480</v>
      </c>
      <c r="E85" s="2">
        <v>0</v>
      </c>
      <c r="F85" s="2">
        <v>0</v>
      </c>
      <c r="G85" s="2"/>
      <c r="H85" s="2"/>
      <c r="I85" s="2"/>
      <c r="J85" s="2"/>
      <c r="K85" s="2"/>
      <c r="L85" s="2"/>
    </row>
    <row r="86" spans="1:12" x14ac:dyDescent="0.2">
      <c r="A86" s="1" t="s">
        <v>481</v>
      </c>
      <c r="B86" s="1" t="s">
        <v>346</v>
      </c>
      <c r="C86" s="1" t="s">
        <v>336</v>
      </c>
      <c r="D86" s="1" t="s">
        <v>482</v>
      </c>
      <c r="E86" s="2">
        <v>0</v>
      </c>
      <c r="F86" s="2">
        <v>0</v>
      </c>
      <c r="G86" s="2"/>
      <c r="H86" s="2"/>
      <c r="I86" s="2"/>
      <c r="J86" s="2"/>
      <c r="K86" s="2"/>
      <c r="L86" s="2"/>
    </row>
    <row r="87" spans="1:12" x14ac:dyDescent="0.2">
      <c r="A87" s="1" t="s">
        <v>483</v>
      </c>
      <c r="B87" s="1" t="s">
        <v>346</v>
      </c>
      <c r="C87" s="1" t="s">
        <v>336</v>
      </c>
      <c r="D87" s="1" t="s">
        <v>484</v>
      </c>
      <c r="E87" s="2">
        <v>0</v>
      </c>
      <c r="F87" s="2">
        <v>0</v>
      </c>
      <c r="G87" s="2"/>
      <c r="H87" s="2"/>
      <c r="I87" s="2"/>
      <c r="J87" s="2"/>
      <c r="K87" s="2"/>
      <c r="L87" s="2"/>
    </row>
    <row r="88" spans="1:12" x14ac:dyDescent="0.2">
      <c r="A88" s="1" t="s">
        <v>276</v>
      </c>
      <c r="B88" s="1" t="s">
        <v>346</v>
      </c>
      <c r="C88" s="1" t="s">
        <v>336</v>
      </c>
      <c r="D88" s="1" t="s">
        <v>485</v>
      </c>
      <c r="E88" s="2">
        <v>0</v>
      </c>
      <c r="F88" s="2">
        <v>0</v>
      </c>
      <c r="G88" s="2"/>
      <c r="H88" s="2"/>
      <c r="I88" s="2"/>
      <c r="J88" s="2"/>
      <c r="K88" s="2"/>
      <c r="L88" s="2"/>
    </row>
    <row r="89" spans="1:12" x14ac:dyDescent="0.2">
      <c r="A89" s="1" t="s">
        <v>486</v>
      </c>
      <c r="B89" s="1" t="s">
        <v>346</v>
      </c>
      <c r="C89" s="1" t="s">
        <v>336</v>
      </c>
      <c r="D89" s="1" t="s">
        <v>487</v>
      </c>
      <c r="E89" s="2">
        <v>0</v>
      </c>
      <c r="F89" s="2">
        <v>0</v>
      </c>
      <c r="G89" s="2"/>
      <c r="H89" s="2"/>
      <c r="I89" s="2"/>
      <c r="J89" s="2"/>
      <c r="K89" s="2"/>
      <c r="L89" s="2"/>
    </row>
    <row r="90" spans="1:12" x14ac:dyDescent="0.2">
      <c r="A90" s="1" t="s">
        <v>488</v>
      </c>
      <c r="B90" s="1" t="s">
        <v>307</v>
      </c>
      <c r="C90" s="1" t="s">
        <v>336</v>
      </c>
      <c r="D90" s="1" t="s">
        <v>489</v>
      </c>
      <c r="E90" s="2">
        <v>950</v>
      </c>
      <c r="F90" s="2">
        <v>950</v>
      </c>
      <c r="G90" s="2"/>
      <c r="H90" s="2"/>
      <c r="I90" s="2"/>
      <c r="J90" s="2"/>
      <c r="K90" s="2"/>
      <c r="L90" s="2"/>
    </row>
    <row r="91" spans="1:12" x14ac:dyDescent="0.2">
      <c r="A91" s="1" t="s">
        <v>490</v>
      </c>
      <c r="B91" s="1" t="s">
        <v>346</v>
      </c>
      <c r="C91" s="1" t="s">
        <v>336</v>
      </c>
      <c r="D91" s="1" t="s">
        <v>491</v>
      </c>
      <c r="E91" s="2">
        <v>37100</v>
      </c>
      <c r="F91" s="2">
        <v>38625</v>
      </c>
      <c r="G91" s="2"/>
      <c r="H91" s="2"/>
      <c r="I91" s="2"/>
      <c r="J91" s="2"/>
      <c r="K91" s="2"/>
      <c r="L91" s="2"/>
    </row>
    <row r="92" spans="1:12" x14ac:dyDescent="0.2">
      <c r="A92" s="1" t="s">
        <v>492</v>
      </c>
      <c r="B92" s="1" t="s">
        <v>346</v>
      </c>
      <c r="C92" s="1" t="s">
        <v>336</v>
      </c>
      <c r="D92" s="1" t="s">
        <v>493</v>
      </c>
      <c r="E92" s="2">
        <v>0</v>
      </c>
      <c r="F92" s="2">
        <v>0</v>
      </c>
      <c r="G92" s="2"/>
      <c r="H92" s="2"/>
      <c r="I92" s="2"/>
      <c r="J92" s="2"/>
      <c r="K92" s="2"/>
      <c r="L92" s="2"/>
    </row>
    <row r="93" spans="1:12" x14ac:dyDescent="0.2">
      <c r="A93" s="1" t="s">
        <v>494</v>
      </c>
      <c r="B93" s="1" t="s">
        <v>346</v>
      </c>
      <c r="C93" s="1" t="s">
        <v>336</v>
      </c>
      <c r="D93" s="1" t="s">
        <v>495</v>
      </c>
      <c r="E93" s="2">
        <v>37100</v>
      </c>
      <c r="F93" s="2">
        <v>38625</v>
      </c>
      <c r="G93" s="2"/>
      <c r="H93" s="2"/>
      <c r="I93" s="2"/>
      <c r="J93" s="2"/>
      <c r="K93" s="2"/>
      <c r="L93" s="2"/>
    </row>
    <row r="94" spans="1:12" x14ac:dyDescent="0.2">
      <c r="A94" s="1" t="s">
        <v>496</v>
      </c>
      <c r="B94" s="1" t="s">
        <v>346</v>
      </c>
      <c r="C94" s="1" t="s">
        <v>336</v>
      </c>
      <c r="D94" s="1" t="s">
        <v>497</v>
      </c>
      <c r="E94" s="2">
        <v>0</v>
      </c>
      <c r="F94" s="2">
        <v>0</v>
      </c>
      <c r="G94" s="2"/>
      <c r="H94" s="2"/>
      <c r="I94" s="2"/>
      <c r="J94" s="2"/>
      <c r="K94" s="2"/>
      <c r="L94" s="2"/>
    </row>
    <row r="95" spans="1:12" x14ac:dyDescent="0.2">
      <c r="A95" s="1" t="s">
        <v>498</v>
      </c>
      <c r="B95" s="1" t="s">
        <v>346</v>
      </c>
      <c r="C95" s="1" t="s">
        <v>336</v>
      </c>
      <c r="D95" s="1" t="s">
        <v>499</v>
      </c>
      <c r="E95" s="2">
        <v>0</v>
      </c>
      <c r="F95" s="2">
        <v>0</v>
      </c>
      <c r="G95" s="2"/>
      <c r="H95" s="2"/>
      <c r="I95" s="2"/>
      <c r="J95" s="2"/>
      <c r="K95" s="2"/>
      <c r="L95" s="2"/>
    </row>
    <row r="96" spans="1:12" x14ac:dyDescent="0.2">
      <c r="A96" s="1" t="s">
        <v>500</v>
      </c>
      <c r="B96" s="1" t="s">
        <v>346</v>
      </c>
      <c r="C96" s="1" t="s">
        <v>336</v>
      </c>
      <c r="D96" s="1" t="s">
        <v>501</v>
      </c>
      <c r="E96" s="2">
        <v>0</v>
      </c>
      <c r="F96" s="2">
        <v>0</v>
      </c>
      <c r="G96" s="2"/>
      <c r="H96" s="2"/>
      <c r="I96" s="2"/>
      <c r="J96" s="2"/>
      <c r="K96" s="2"/>
      <c r="L96" s="2"/>
    </row>
    <row r="97" spans="1:12" x14ac:dyDescent="0.2">
      <c r="A97" s="1" t="s">
        <v>502</v>
      </c>
      <c r="B97" s="1" t="s">
        <v>346</v>
      </c>
      <c r="C97" s="1" t="s">
        <v>336</v>
      </c>
      <c r="D97" s="1" t="s">
        <v>503</v>
      </c>
      <c r="E97" s="2">
        <v>0</v>
      </c>
      <c r="F97" s="2">
        <v>0</v>
      </c>
      <c r="G97" s="2"/>
      <c r="H97" s="2"/>
      <c r="I97" s="2"/>
      <c r="J97" s="2"/>
      <c r="K97" s="2"/>
      <c r="L97" s="2"/>
    </row>
    <row r="98" spans="1:12" x14ac:dyDescent="0.2">
      <c r="A98" s="1" t="s">
        <v>504</v>
      </c>
      <c r="B98" s="1" t="s">
        <v>346</v>
      </c>
      <c r="C98" s="1" t="s">
        <v>336</v>
      </c>
      <c r="D98" s="1" t="s">
        <v>505</v>
      </c>
      <c r="E98" s="2">
        <v>0</v>
      </c>
      <c r="F98" s="2">
        <v>0</v>
      </c>
      <c r="G98" s="2"/>
      <c r="H98" s="2"/>
      <c r="I98" s="2"/>
      <c r="J98" s="2"/>
      <c r="K98" s="2"/>
      <c r="L98" s="2"/>
    </row>
    <row r="99" spans="1:12" x14ac:dyDescent="0.2">
      <c r="A99" s="1" t="s">
        <v>506</v>
      </c>
      <c r="B99" s="1" t="s">
        <v>346</v>
      </c>
      <c r="C99" s="1" t="s">
        <v>336</v>
      </c>
      <c r="D99" s="1" t="s">
        <v>507</v>
      </c>
      <c r="E99" s="2">
        <v>0</v>
      </c>
      <c r="F99" s="2">
        <v>0</v>
      </c>
      <c r="G99" s="2"/>
      <c r="H99" s="2"/>
      <c r="I99" s="2"/>
      <c r="J99" s="2"/>
      <c r="K99" s="2"/>
      <c r="L99" s="2"/>
    </row>
    <row r="100" spans="1:12" x14ac:dyDescent="0.2">
      <c r="A100" s="1" t="s">
        <v>508</v>
      </c>
      <c r="B100" s="1" t="s">
        <v>346</v>
      </c>
      <c r="C100" s="1" t="s">
        <v>336</v>
      </c>
      <c r="D100" s="1" t="s">
        <v>509</v>
      </c>
      <c r="E100" s="2">
        <v>0</v>
      </c>
      <c r="F100" s="2">
        <v>0</v>
      </c>
      <c r="G100" s="2"/>
      <c r="H100" s="2"/>
      <c r="I100" s="2"/>
      <c r="J100" s="2"/>
      <c r="K100" s="2"/>
      <c r="L100" s="2"/>
    </row>
    <row r="101" spans="1:12" x14ac:dyDescent="0.2">
      <c r="A101" s="1" t="s">
        <v>510</v>
      </c>
      <c r="B101" s="1" t="s">
        <v>346</v>
      </c>
      <c r="C101" s="1" t="s">
        <v>336</v>
      </c>
      <c r="D101" s="1" t="s">
        <v>511</v>
      </c>
      <c r="E101" s="2">
        <v>0</v>
      </c>
      <c r="F101" s="2">
        <v>0</v>
      </c>
      <c r="G101" s="2"/>
      <c r="H101" s="2"/>
      <c r="I101" s="2"/>
      <c r="J101" s="2"/>
      <c r="K101" s="2"/>
      <c r="L101" s="2"/>
    </row>
    <row r="102" spans="1:12" x14ac:dyDescent="0.2">
      <c r="A102" s="1" t="s">
        <v>512</v>
      </c>
      <c r="B102" s="1" t="s">
        <v>346</v>
      </c>
      <c r="C102" s="1" t="s">
        <v>336</v>
      </c>
      <c r="D102" s="1" t="s">
        <v>513</v>
      </c>
      <c r="E102" s="2">
        <v>34600</v>
      </c>
      <c r="F102" s="2">
        <v>36100</v>
      </c>
      <c r="G102" s="2"/>
      <c r="H102" s="2"/>
      <c r="I102" s="2"/>
      <c r="J102" s="2"/>
      <c r="K102" s="2"/>
      <c r="L102" s="2"/>
    </row>
    <row r="103" spans="1:12" x14ac:dyDescent="0.2">
      <c r="A103" s="1" t="s">
        <v>514</v>
      </c>
      <c r="B103" s="1" t="s">
        <v>346</v>
      </c>
      <c r="C103" s="1" t="s">
        <v>336</v>
      </c>
      <c r="D103" s="1" t="s">
        <v>515</v>
      </c>
      <c r="E103" s="2">
        <v>0</v>
      </c>
      <c r="F103" s="2">
        <v>0</v>
      </c>
      <c r="G103" s="2"/>
      <c r="H103" s="2"/>
      <c r="I103" s="2"/>
      <c r="J103" s="2"/>
      <c r="K103" s="2"/>
      <c r="L103" s="2"/>
    </row>
    <row r="104" spans="1:12" x14ac:dyDescent="0.2">
      <c r="A104" s="1" t="s">
        <v>516</v>
      </c>
      <c r="B104" s="1" t="s">
        <v>346</v>
      </c>
      <c r="C104" s="1" t="s">
        <v>336</v>
      </c>
      <c r="D104" s="1" t="s">
        <v>517</v>
      </c>
      <c r="E104" s="2">
        <v>2100</v>
      </c>
      <c r="F104" s="2">
        <v>2125</v>
      </c>
      <c r="G104" s="2"/>
      <c r="H104" s="2"/>
      <c r="I104" s="2"/>
      <c r="J104" s="2"/>
      <c r="K104" s="2"/>
      <c r="L104" s="2"/>
    </row>
    <row r="105" spans="1:12" x14ac:dyDescent="0.2">
      <c r="A105" s="1" t="s">
        <v>518</v>
      </c>
      <c r="B105" s="1" t="s">
        <v>346</v>
      </c>
      <c r="C105" s="1" t="s">
        <v>336</v>
      </c>
      <c r="D105" s="1" t="s">
        <v>519</v>
      </c>
      <c r="E105" s="2">
        <v>50</v>
      </c>
      <c r="F105" s="2">
        <v>50</v>
      </c>
      <c r="G105" s="2"/>
      <c r="H105" s="2"/>
      <c r="I105" s="2"/>
      <c r="J105" s="2"/>
      <c r="K105" s="2"/>
      <c r="L105" s="2"/>
    </row>
    <row r="106" spans="1:12" x14ac:dyDescent="0.2">
      <c r="A106" s="1" t="s">
        <v>520</v>
      </c>
      <c r="B106" s="1" t="s">
        <v>346</v>
      </c>
      <c r="C106" s="1" t="s">
        <v>336</v>
      </c>
      <c r="D106" s="1" t="s">
        <v>521</v>
      </c>
      <c r="E106" s="2">
        <v>350</v>
      </c>
      <c r="F106" s="2">
        <v>350</v>
      </c>
      <c r="G106" s="2"/>
      <c r="H106" s="2"/>
      <c r="I106" s="2"/>
      <c r="J106" s="2"/>
      <c r="K106" s="2"/>
      <c r="L106" s="2"/>
    </row>
    <row r="107" spans="1:12" x14ac:dyDescent="0.2">
      <c r="A107" s="1" t="s">
        <v>522</v>
      </c>
      <c r="B107" s="1" t="s">
        <v>346</v>
      </c>
      <c r="C107" s="1" t="s">
        <v>336</v>
      </c>
      <c r="D107" s="1" t="s">
        <v>523</v>
      </c>
      <c r="E107" s="2">
        <v>0</v>
      </c>
      <c r="F107" s="2">
        <v>0</v>
      </c>
      <c r="G107" s="2"/>
      <c r="H107" s="2"/>
      <c r="I107" s="2"/>
      <c r="J107" s="2"/>
      <c r="K107" s="2"/>
      <c r="L107" s="2"/>
    </row>
    <row r="108" spans="1:12" x14ac:dyDescent="0.2">
      <c r="A108" s="1" t="s">
        <v>524</v>
      </c>
      <c r="B108" s="1" t="s">
        <v>346</v>
      </c>
      <c r="C108" s="1" t="s">
        <v>336</v>
      </c>
      <c r="D108" s="1" t="s">
        <v>525</v>
      </c>
      <c r="E108" s="2">
        <v>0</v>
      </c>
      <c r="F108" s="2">
        <v>0</v>
      </c>
      <c r="G108" s="2"/>
      <c r="H108" s="2"/>
      <c r="I108" s="2"/>
      <c r="J108" s="2"/>
      <c r="K108" s="2"/>
      <c r="L108" s="2"/>
    </row>
    <row r="109" spans="1:12" x14ac:dyDescent="0.2">
      <c r="A109" s="1" t="s">
        <v>526</v>
      </c>
      <c r="B109" s="1" t="s">
        <v>346</v>
      </c>
      <c r="C109" s="1" t="s">
        <v>336</v>
      </c>
      <c r="D109" s="1" t="s">
        <v>527</v>
      </c>
      <c r="E109" s="2">
        <v>0</v>
      </c>
      <c r="F109" s="2">
        <v>0</v>
      </c>
      <c r="G109" s="2"/>
      <c r="H109" s="2"/>
      <c r="I109" s="2"/>
      <c r="J109" s="2"/>
      <c r="K109" s="2"/>
      <c r="L109" s="2"/>
    </row>
    <row r="110" spans="1:12" x14ac:dyDescent="0.2">
      <c r="A110" s="1" t="s">
        <v>528</v>
      </c>
      <c r="B110" s="1" t="s">
        <v>346</v>
      </c>
      <c r="C110" s="1" t="s">
        <v>336</v>
      </c>
      <c r="D110" s="1" t="s">
        <v>529</v>
      </c>
      <c r="E110" s="2">
        <v>0</v>
      </c>
      <c r="F110" s="2">
        <v>0</v>
      </c>
      <c r="G110" s="2"/>
      <c r="H110" s="2"/>
      <c r="I110" s="2"/>
      <c r="J110" s="2"/>
      <c r="K110" s="2"/>
      <c r="L110" s="2"/>
    </row>
    <row r="111" spans="1:12" x14ac:dyDescent="0.2">
      <c r="A111" s="1" t="s">
        <v>530</v>
      </c>
      <c r="B111" s="1" t="s">
        <v>346</v>
      </c>
      <c r="C111" s="1" t="s">
        <v>336</v>
      </c>
      <c r="D111" s="1" t="s">
        <v>531</v>
      </c>
      <c r="E111" s="2">
        <v>0</v>
      </c>
      <c r="F111" s="2">
        <v>0</v>
      </c>
      <c r="G111" s="2"/>
      <c r="H111" s="2"/>
      <c r="I111" s="2"/>
      <c r="J111" s="2"/>
      <c r="K111" s="2"/>
      <c r="L111" s="2"/>
    </row>
    <row r="112" spans="1:12" x14ac:dyDescent="0.2">
      <c r="A112" s="1" t="s">
        <v>532</v>
      </c>
      <c r="B112" s="1" t="s">
        <v>346</v>
      </c>
      <c r="C112" s="1" t="s">
        <v>336</v>
      </c>
      <c r="D112" s="1" t="s">
        <v>533</v>
      </c>
      <c r="E112" s="2">
        <v>0</v>
      </c>
      <c r="F112" s="2">
        <v>0</v>
      </c>
      <c r="G112" s="2"/>
      <c r="H112" s="2"/>
      <c r="I112" s="2"/>
      <c r="J112" s="2"/>
      <c r="K112" s="2"/>
      <c r="L112" s="2"/>
    </row>
    <row r="113" spans="1:12" x14ac:dyDescent="0.2">
      <c r="A113" s="1" t="s">
        <v>534</v>
      </c>
      <c r="B113" s="1" t="s">
        <v>346</v>
      </c>
      <c r="C113" s="1" t="s">
        <v>336</v>
      </c>
      <c r="D113" s="1" t="s">
        <v>535</v>
      </c>
      <c r="E113" s="2">
        <v>0</v>
      </c>
      <c r="F113" s="2">
        <v>0</v>
      </c>
      <c r="G113" s="2"/>
      <c r="H113" s="2"/>
      <c r="I113" s="2"/>
      <c r="J113" s="2"/>
      <c r="K113" s="2"/>
      <c r="L113" s="2"/>
    </row>
    <row r="114" spans="1:12" x14ac:dyDescent="0.2">
      <c r="A114" s="1" t="s">
        <v>536</v>
      </c>
      <c r="B114" s="1" t="s">
        <v>346</v>
      </c>
      <c r="C114" s="1" t="s">
        <v>336</v>
      </c>
      <c r="D114" s="1" t="s">
        <v>537</v>
      </c>
      <c r="E114" s="2">
        <v>50</v>
      </c>
      <c r="F114" s="2">
        <v>50</v>
      </c>
      <c r="G114" s="2"/>
      <c r="H114" s="2"/>
      <c r="I114" s="2"/>
      <c r="J114" s="2"/>
      <c r="K114" s="2"/>
      <c r="L114" s="2"/>
    </row>
    <row r="115" spans="1:12" x14ac:dyDescent="0.2">
      <c r="A115" s="1" t="s">
        <v>538</v>
      </c>
      <c r="B115" s="1" t="s">
        <v>346</v>
      </c>
      <c r="C115" s="1" t="s">
        <v>336</v>
      </c>
      <c r="D115" s="1" t="s">
        <v>539</v>
      </c>
      <c r="E115" s="2">
        <v>0</v>
      </c>
      <c r="F115" s="2">
        <v>0</v>
      </c>
      <c r="G115" s="2"/>
      <c r="H115" s="2"/>
      <c r="I115" s="2"/>
      <c r="J115" s="2"/>
      <c r="K115" s="2"/>
      <c r="L115" s="2"/>
    </row>
    <row r="116" spans="1:12" x14ac:dyDescent="0.2">
      <c r="A116" s="1" t="s">
        <v>540</v>
      </c>
      <c r="B116" s="1" t="s">
        <v>346</v>
      </c>
      <c r="C116" s="1" t="s">
        <v>336</v>
      </c>
      <c r="D116" s="1" t="s">
        <v>541</v>
      </c>
      <c r="E116" s="2">
        <v>0</v>
      </c>
      <c r="F116" s="2">
        <v>0</v>
      </c>
      <c r="G116" s="2"/>
      <c r="H116" s="2"/>
      <c r="I116" s="2"/>
      <c r="J116" s="2"/>
      <c r="K116" s="2"/>
      <c r="L116" s="2"/>
    </row>
    <row r="117" spans="1:12" x14ac:dyDescent="0.2">
      <c r="A117" s="1" t="s">
        <v>542</v>
      </c>
      <c r="B117" s="1" t="s">
        <v>346</v>
      </c>
      <c r="C117" s="1" t="s">
        <v>336</v>
      </c>
      <c r="D117" s="1" t="s">
        <v>543</v>
      </c>
      <c r="E117" s="2">
        <v>0</v>
      </c>
      <c r="F117" s="2">
        <v>0</v>
      </c>
      <c r="G117" s="2"/>
      <c r="H117" s="2"/>
      <c r="I117" s="2"/>
      <c r="J117" s="2"/>
      <c r="K117" s="2"/>
      <c r="L117" s="2"/>
    </row>
    <row r="118" spans="1:12" x14ac:dyDescent="0.2">
      <c r="A118" s="1" t="s">
        <v>544</v>
      </c>
      <c r="B118" s="1" t="s">
        <v>346</v>
      </c>
      <c r="C118" s="1" t="s">
        <v>336</v>
      </c>
      <c r="D118" s="1" t="s">
        <v>545</v>
      </c>
      <c r="E118" s="2">
        <v>0</v>
      </c>
      <c r="F118" s="2">
        <v>0</v>
      </c>
      <c r="G118" s="2"/>
      <c r="H118" s="2"/>
      <c r="I118" s="2"/>
      <c r="J118" s="2"/>
      <c r="K118" s="2"/>
      <c r="L118" s="2"/>
    </row>
    <row r="119" spans="1:12" x14ac:dyDescent="0.2">
      <c r="A119" s="1" t="s">
        <v>546</v>
      </c>
      <c r="B119" s="1" t="s">
        <v>346</v>
      </c>
      <c r="C119" s="1" t="s">
        <v>336</v>
      </c>
      <c r="D119" s="1" t="s">
        <v>547</v>
      </c>
      <c r="E119" s="2">
        <v>0</v>
      </c>
      <c r="F119" s="2">
        <v>0</v>
      </c>
      <c r="G119" s="2"/>
      <c r="H119" s="2"/>
      <c r="I119" s="2"/>
      <c r="J119" s="2"/>
      <c r="K119" s="2"/>
      <c r="L119" s="2"/>
    </row>
    <row r="120" spans="1:12" x14ac:dyDescent="0.2">
      <c r="A120" s="1" t="s">
        <v>548</v>
      </c>
      <c r="B120" s="1" t="s">
        <v>346</v>
      </c>
      <c r="C120" s="1" t="s">
        <v>336</v>
      </c>
      <c r="D120" s="1" t="s">
        <v>549</v>
      </c>
      <c r="E120" s="2">
        <v>0</v>
      </c>
      <c r="F120" s="2">
        <v>0</v>
      </c>
      <c r="G120" s="2"/>
      <c r="H120" s="2"/>
      <c r="I120" s="2"/>
      <c r="J120" s="2"/>
      <c r="K120" s="2"/>
      <c r="L120" s="2"/>
    </row>
    <row r="121" spans="1:12" x14ac:dyDescent="0.2">
      <c r="A121" s="1" t="s">
        <v>550</v>
      </c>
      <c r="B121" s="1" t="s">
        <v>346</v>
      </c>
      <c r="C121" s="1" t="s">
        <v>336</v>
      </c>
      <c r="D121" s="1" t="s">
        <v>551</v>
      </c>
      <c r="E121" s="2">
        <v>0</v>
      </c>
      <c r="F121" s="2">
        <v>0</v>
      </c>
      <c r="G121" s="2"/>
      <c r="H121" s="2"/>
      <c r="I121" s="2"/>
      <c r="J121" s="2"/>
      <c r="K121" s="2"/>
      <c r="L121" s="2"/>
    </row>
    <row r="122" spans="1:12" x14ac:dyDescent="0.2">
      <c r="A122" s="1" t="s">
        <v>552</v>
      </c>
      <c r="B122" s="1" t="s">
        <v>346</v>
      </c>
      <c r="C122" s="1" t="s">
        <v>336</v>
      </c>
      <c r="D122" s="1" t="s">
        <v>553</v>
      </c>
      <c r="E122" s="2">
        <v>0</v>
      </c>
      <c r="F122" s="2">
        <v>0</v>
      </c>
      <c r="G122" s="2"/>
      <c r="H122" s="2"/>
      <c r="I122" s="2"/>
      <c r="J122" s="2"/>
      <c r="K122" s="2"/>
      <c r="L122" s="2"/>
    </row>
    <row r="123" spans="1:12" x14ac:dyDescent="0.2">
      <c r="A123" s="1" t="s">
        <v>554</v>
      </c>
      <c r="B123" s="1" t="s">
        <v>346</v>
      </c>
      <c r="C123" s="1" t="s">
        <v>336</v>
      </c>
      <c r="D123" s="1" t="s">
        <v>555</v>
      </c>
      <c r="E123" s="2">
        <v>0</v>
      </c>
      <c r="F123" s="2">
        <v>0</v>
      </c>
      <c r="G123" s="2"/>
      <c r="H123" s="2"/>
      <c r="I123" s="2"/>
      <c r="J123" s="2"/>
      <c r="K123" s="2"/>
      <c r="L123" s="2"/>
    </row>
    <row r="124" spans="1:12" x14ac:dyDescent="0.2">
      <c r="A124" s="1" t="s">
        <v>556</v>
      </c>
      <c r="B124" s="1" t="s">
        <v>346</v>
      </c>
      <c r="C124" s="1" t="s">
        <v>336</v>
      </c>
      <c r="D124" s="1" t="s">
        <v>557</v>
      </c>
      <c r="E124" s="2">
        <v>0</v>
      </c>
      <c r="F124" s="2">
        <v>0</v>
      </c>
      <c r="G124" s="2"/>
      <c r="H124" s="2"/>
      <c r="I124" s="2"/>
      <c r="J124" s="2"/>
      <c r="K124" s="2"/>
      <c r="L124" s="2"/>
    </row>
    <row r="125" spans="1:12" x14ac:dyDescent="0.2">
      <c r="A125" s="1" t="s">
        <v>558</v>
      </c>
      <c r="B125" s="1" t="s">
        <v>346</v>
      </c>
      <c r="C125" s="1" t="s">
        <v>336</v>
      </c>
      <c r="D125" s="1" t="s">
        <v>559</v>
      </c>
      <c r="E125" s="2">
        <v>0</v>
      </c>
      <c r="F125" s="2">
        <v>0</v>
      </c>
      <c r="G125" s="2"/>
      <c r="H125" s="2"/>
      <c r="I125" s="2"/>
      <c r="J125" s="2"/>
      <c r="K125" s="2"/>
      <c r="L125" s="2"/>
    </row>
    <row r="126" spans="1:12" x14ac:dyDescent="0.2">
      <c r="A126" s="1" t="s">
        <v>560</v>
      </c>
      <c r="B126" s="1" t="s">
        <v>346</v>
      </c>
      <c r="C126" s="1" t="s">
        <v>336</v>
      </c>
      <c r="D126" s="1" t="s">
        <v>561</v>
      </c>
      <c r="E126" s="2">
        <v>2100</v>
      </c>
      <c r="F126" s="2">
        <v>2125</v>
      </c>
      <c r="G126" s="2"/>
      <c r="H126" s="2"/>
      <c r="I126" s="2"/>
      <c r="J126" s="2"/>
      <c r="K126" s="2"/>
      <c r="L126" s="2"/>
    </row>
    <row r="127" spans="1:12" x14ac:dyDescent="0.2">
      <c r="A127" s="1" t="s">
        <v>562</v>
      </c>
      <c r="B127" s="1" t="s">
        <v>346</v>
      </c>
      <c r="C127" s="1" t="s">
        <v>336</v>
      </c>
      <c r="D127" s="1" t="s">
        <v>563</v>
      </c>
      <c r="E127" s="2">
        <v>0</v>
      </c>
      <c r="F127" s="2">
        <v>0</v>
      </c>
      <c r="G127" s="2"/>
      <c r="H127" s="2"/>
      <c r="I127" s="2"/>
      <c r="J127" s="2"/>
      <c r="K127" s="2"/>
      <c r="L127" s="2"/>
    </row>
    <row r="128" spans="1:12" x14ac:dyDescent="0.2">
      <c r="A128" s="1" t="s">
        <v>564</v>
      </c>
      <c r="B128" s="1" t="s">
        <v>346</v>
      </c>
      <c r="C128" s="1" t="s">
        <v>336</v>
      </c>
      <c r="D128" s="1" t="s">
        <v>565</v>
      </c>
      <c r="E128" s="2">
        <v>34600</v>
      </c>
      <c r="F128" s="2">
        <v>36100</v>
      </c>
      <c r="G128" s="2"/>
      <c r="H128" s="2"/>
      <c r="I128" s="2"/>
      <c r="J128" s="2"/>
      <c r="K128" s="2"/>
      <c r="L128" s="2"/>
    </row>
    <row r="129" spans="1:12" x14ac:dyDescent="0.2">
      <c r="A129" s="1" t="s">
        <v>566</v>
      </c>
      <c r="B129" s="1" t="s">
        <v>346</v>
      </c>
      <c r="C129" s="1" t="s">
        <v>336</v>
      </c>
      <c r="D129" s="1" t="s">
        <v>567</v>
      </c>
      <c r="E129" s="2">
        <v>0</v>
      </c>
      <c r="F129" s="2">
        <v>0</v>
      </c>
      <c r="G129" s="2"/>
      <c r="H129" s="2"/>
      <c r="I129" s="2"/>
      <c r="J129" s="2"/>
      <c r="K129" s="2"/>
      <c r="L129" s="2"/>
    </row>
    <row r="130" spans="1:12" x14ac:dyDescent="0.2">
      <c r="A130" s="1" t="s">
        <v>568</v>
      </c>
      <c r="B130" s="1" t="s">
        <v>346</v>
      </c>
      <c r="C130" s="1" t="s">
        <v>336</v>
      </c>
      <c r="D130" s="1" t="s">
        <v>569</v>
      </c>
      <c r="E130" s="2">
        <v>0</v>
      </c>
      <c r="F130" s="2">
        <v>0</v>
      </c>
      <c r="G130" s="2"/>
      <c r="H130" s="2"/>
      <c r="I130" s="2"/>
      <c r="J130" s="2"/>
      <c r="K130" s="2"/>
      <c r="L130" s="2"/>
    </row>
    <row r="131" spans="1:12" x14ac:dyDescent="0.2">
      <c r="A131" s="1" t="s">
        <v>570</v>
      </c>
      <c r="B131" s="1" t="s">
        <v>346</v>
      </c>
      <c r="C131" s="1" t="s">
        <v>336</v>
      </c>
      <c r="D131" s="1" t="s">
        <v>571</v>
      </c>
      <c r="E131" s="2">
        <v>0</v>
      </c>
      <c r="F131" s="2">
        <v>0</v>
      </c>
      <c r="G131" s="2"/>
      <c r="H131" s="2"/>
      <c r="I131" s="2"/>
      <c r="J131" s="2"/>
      <c r="K131" s="2"/>
      <c r="L131" s="2"/>
    </row>
    <row r="132" spans="1:12" x14ac:dyDescent="0.2">
      <c r="A132" s="1" t="s">
        <v>572</v>
      </c>
      <c r="B132" s="1" t="s">
        <v>346</v>
      </c>
      <c r="C132" s="1" t="s">
        <v>336</v>
      </c>
      <c r="D132" s="1" t="s">
        <v>573</v>
      </c>
      <c r="E132" s="2">
        <v>0</v>
      </c>
      <c r="F132" s="2">
        <v>0</v>
      </c>
      <c r="G132" s="2"/>
      <c r="H132" s="2"/>
      <c r="I132" s="2"/>
      <c r="J132" s="2"/>
      <c r="K132" s="2"/>
      <c r="L132" s="2"/>
    </row>
    <row r="133" spans="1:12" x14ac:dyDescent="0.2">
      <c r="A133" s="1" t="s">
        <v>574</v>
      </c>
      <c r="B133" s="1" t="s">
        <v>346</v>
      </c>
      <c r="C133" s="1" t="s">
        <v>330</v>
      </c>
      <c r="D133" s="1" t="s">
        <v>575</v>
      </c>
      <c r="E133" s="2">
        <v>0</v>
      </c>
      <c r="F133" s="2">
        <v>0</v>
      </c>
      <c r="G133" s="2"/>
      <c r="H133" s="2"/>
      <c r="I133" s="2"/>
      <c r="J133" s="2"/>
      <c r="K133" s="2"/>
      <c r="L133" s="2"/>
    </row>
    <row r="134" spans="1:12" x14ac:dyDescent="0.2">
      <c r="A134" s="1" t="s">
        <v>576</v>
      </c>
      <c r="B134" s="1" t="s">
        <v>346</v>
      </c>
      <c r="C134" s="1" t="s">
        <v>336</v>
      </c>
      <c r="D134" s="1" t="s">
        <v>577</v>
      </c>
      <c r="E134" s="2">
        <v>350</v>
      </c>
      <c r="F134" s="2">
        <v>350</v>
      </c>
      <c r="G134" s="2"/>
      <c r="H134" s="2"/>
      <c r="I134" s="2"/>
      <c r="J134" s="2"/>
      <c r="K134" s="2"/>
      <c r="L134" s="2"/>
    </row>
    <row r="135" spans="1:12" x14ac:dyDescent="0.2">
      <c r="A135" s="1" t="s">
        <v>578</v>
      </c>
      <c r="B135" s="1" t="s">
        <v>346</v>
      </c>
      <c r="C135" s="1" t="s">
        <v>336</v>
      </c>
      <c r="D135" s="1" t="s">
        <v>579</v>
      </c>
      <c r="E135" s="2">
        <v>0</v>
      </c>
      <c r="F135" s="2">
        <v>0</v>
      </c>
      <c r="G135" s="2"/>
      <c r="H135" s="2"/>
      <c r="I135" s="2"/>
      <c r="J135" s="2"/>
      <c r="K135" s="2"/>
      <c r="L135" s="2"/>
    </row>
    <row r="136" spans="1:12" x14ac:dyDescent="0.2">
      <c r="A136" s="1" t="s">
        <v>580</v>
      </c>
      <c r="B136" s="1" t="s">
        <v>346</v>
      </c>
      <c r="C136" s="1" t="s">
        <v>330</v>
      </c>
      <c r="D136" s="1" t="s">
        <v>581</v>
      </c>
      <c r="E136" s="2">
        <v>0</v>
      </c>
      <c r="F136" s="2">
        <v>0</v>
      </c>
      <c r="G136" s="2"/>
      <c r="H136" s="2"/>
      <c r="I136" s="2"/>
      <c r="J136" s="2"/>
      <c r="K136" s="2"/>
      <c r="L136" s="2"/>
    </row>
    <row r="137" spans="1:12" x14ac:dyDescent="0.2">
      <c r="A137" s="1" t="s">
        <v>582</v>
      </c>
      <c r="B137" s="1" t="s">
        <v>346</v>
      </c>
      <c r="C137" s="1" t="s">
        <v>336</v>
      </c>
      <c r="D137" s="1" t="s">
        <v>583</v>
      </c>
      <c r="E137" s="2">
        <v>0</v>
      </c>
      <c r="F137" s="2">
        <v>0</v>
      </c>
      <c r="G137" s="2"/>
      <c r="H137" s="2"/>
      <c r="I137" s="2"/>
      <c r="J137" s="2"/>
      <c r="K137" s="2"/>
      <c r="L137" s="2"/>
    </row>
    <row r="138" spans="1:12" x14ac:dyDescent="0.2">
      <c r="A138" s="1" t="s">
        <v>584</v>
      </c>
      <c r="B138" s="1" t="s">
        <v>346</v>
      </c>
      <c r="C138" s="1" t="s">
        <v>336</v>
      </c>
      <c r="D138" s="1" t="s">
        <v>585</v>
      </c>
      <c r="E138" s="2">
        <v>0</v>
      </c>
      <c r="F138" s="2">
        <v>0</v>
      </c>
      <c r="G138" s="2"/>
      <c r="H138" s="2"/>
      <c r="I138" s="2"/>
      <c r="J138" s="2"/>
      <c r="K138" s="2"/>
      <c r="L138" s="2"/>
    </row>
    <row r="139" spans="1:12" x14ac:dyDescent="0.2">
      <c r="A139" s="1" t="s">
        <v>586</v>
      </c>
      <c r="B139" s="1" t="s">
        <v>346</v>
      </c>
      <c r="C139" s="1" t="s">
        <v>336</v>
      </c>
      <c r="D139" s="1" t="s">
        <v>587</v>
      </c>
      <c r="E139" s="2">
        <v>0</v>
      </c>
      <c r="F139" s="2">
        <v>0</v>
      </c>
      <c r="G139" s="2"/>
      <c r="H139" s="2"/>
      <c r="I139" s="2"/>
      <c r="J139" s="2"/>
      <c r="K139" s="2"/>
      <c r="L139" s="2"/>
    </row>
    <row r="140" spans="1:12" x14ac:dyDescent="0.2">
      <c r="A140" s="1" t="s">
        <v>588</v>
      </c>
      <c r="B140" s="1" t="s">
        <v>346</v>
      </c>
      <c r="C140" s="1" t="s">
        <v>336</v>
      </c>
      <c r="D140" s="1" t="s">
        <v>589</v>
      </c>
      <c r="E140" s="2">
        <v>0</v>
      </c>
      <c r="F140" s="2">
        <v>0</v>
      </c>
      <c r="G140" s="2"/>
      <c r="H140" s="2"/>
      <c r="I140" s="2"/>
      <c r="J140" s="2"/>
      <c r="K140" s="2"/>
      <c r="L140" s="2"/>
    </row>
    <row r="141" spans="1:12" x14ac:dyDescent="0.2">
      <c r="A141" s="1" t="s">
        <v>590</v>
      </c>
      <c r="B141" s="1" t="s">
        <v>346</v>
      </c>
      <c r="C141" s="1" t="s">
        <v>336</v>
      </c>
      <c r="D141" s="1" t="s">
        <v>591</v>
      </c>
      <c r="E141" s="2">
        <v>0</v>
      </c>
      <c r="F141" s="2">
        <v>0</v>
      </c>
      <c r="G141" s="2"/>
      <c r="H141" s="2"/>
      <c r="I141" s="2"/>
      <c r="J141" s="2"/>
      <c r="K141" s="2"/>
      <c r="L141" s="2"/>
    </row>
    <row r="142" spans="1:12" x14ac:dyDescent="0.2">
      <c r="A142" s="1" t="s">
        <v>592</v>
      </c>
      <c r="B142" s="1" t="s">
        <v>346</v>
      </c>
      <c r="C142" s="1" t="s">
        <v>336</v>
      </c>
      <c r="D142" s="1" t="s">
        <v>593</v>
      </c>
      <c r="E142" s="2">
        <v>0</v>
      </c>
      <c r="F142" s="2">
        <v>0</v>
      </c>
      <c r="G142" s="2"/>
      <c r="H142" s="2"/>
      <c r="I142" s="2"/>
      <c r="J142" s="2"/>
      <c r="K142" s="2"/>
      <c r="L142" s="2"/>
    </row>
    <row r="143" spans="1:12" x14ac:dyDescent="0.2">
      <c r="A143" s="1" t="s">
        <v>594</v>
      </c>
      <c r="B143" s="1" t="s">
        <v>346</v>
      </c>
      <c r="C143" s="1" t="s">
        <v>336</v>
      </c>
      <c r="D143" s="1" t="s">
        <v>595</v>
      </c>
      <c r="E143" s="2">
        <v>0</v>
      </c>
      <c r="F143" s="2">
        <v>0</v>
      </c>
      <c r="G143" s="2"/>
      <c r="H143" s="2"/>
      <c r="I143" s="2"/>
      <c r="J143" s="2"/>
      <c r="K143" s="2"/>
      <c r="L143" s="2"/>
    </row>
    <row r="144" spans="1:12" x14ac:dyDescent="0.2">
      <c r="A144" s="1" t="s">
        <v>596</v>
      </c>
      <c r="B144" s="1" t="s">
        <v>346</v>
      </c>
      <c r="C144" s="1" t="s">
        <v>336</v>
      </c>
      <c r="D144" s="1" t="s">
        <v>597</v>
      </c>
      <c r="E144" s="2">
        <v>0</v>
      </c>
      <c r="F144" s="2">
        <v>0</v>
      </c>
      <c r="G144" s="2"/>
      <c r="H144" s="2"/>
      <c r="I144" s="2"/>
      <c r="J144" s="2"/>
      <c r="K144" s="2"/>
      <c r="L144" s="2"/>
    </row>
    <row r="145" spans="1:12" x14ac:dyDescent="0.2">
      <c r="A145" s="1" t="s">
        <v>598</v>
      </c>
      <c r="B145" s="1" t="s">
        <v>346</v>
      </c>
      <c r="C145" s="1" t="s">
        <v>336</v>
      </c>
      <c r="D145" s="1" t="s">
        <v>599</v>
      </c>
      <c r="E145" s="2">
        <v>0</v>
      </c>
      <c r="F145" s="2">
        <v>0</v>
      </c>
      <c r="G145" s="2"/>
      <c r="H145" s="2"/>
      <c r="I145" s="2"/>
      <c r="J145" s="2"/>
      <c r="K145" s="2"/>
      <c r="L145" s="2"/>
    </row>
    <row r="146" spans="1:12" x14ac:dyDescent="0.2">
      <c r="A146" s="1" t="s">
        <v>600</v>
      </c>
      <c r="B146" s="1" t="s">
        <v>346</v>
      </c>
      <c r="C146" s="1" t="s">
        <v>336</v>
      </c>
      <c r="D146" s="1" t="s">
        <v>601</v>
      </c>
      <c r="E146" s="2">
        <v>0</v>
      </c>
      <c r="F146" s="2">
        <v>0</v>
      </c>
      <c r="G146" s="2"/>
      <c r="H146" s="2"/>
      <c r="I146" s="2"/>
      <c r="J146" s="2"/>
      <c r="K146" s="2"/>
      <c r="L146" s="2"/>
    </row>
    <row r="147" spans="1:12" x14ac:dyDescent="0.2">
      <c r="A147" s="1" t="s">
        <v>602</v>
      </c>
      <c r="B147" s="1" t="s">
        <v>346</v>
      </c>
      <c r="C147" s="1" t="s">
        <v>336</v>
      </c>
      <c r="D147" s="1" t="s">
        <v>603</v>
      </c>
      <c r="E147" s="2">
        <v>0</v>
      </c>
      <c r="F147" s="2">
        <v>0</v>
      </c>
      <c r="G147" s="2"/>
      <c r="H147" s="2"/>
      <c r="I147" s="2"/>
      <c r="J147" s="2"/>
      <c r="K147" s="2"/>
      <c r="L147" s="2"/>
    </row>
    <row r="148" spans="1:12" x14ac:dyDescent="0.2">
      <c r="A148" s="1" t="s">
        <v>604</v>
      </c>
      <c r="B148" s="1" t="s">
        <v>346</v>
      </c>
      <c r="C148" s="1" t="s">
        <v>336</v>
      </c>
      <c r="D148" s="1" t="s">
        <v>605</v>
      </c>
      <c r="E148" s="2">
        <v>0</v>
      </c>
      <c r="F148" s="2">
        <v>0</v>
      </c>
      <c r="G148" s="2"/>
      <c r="H148" s="2"/>
      <c r="I148" s="2"/>
      <c r="J148" s="2"/>
      <c r="K148" s="2"/>
      <c r="L148" s="2"/>
    </row>
    <row r="149" spans="1:12" x14ac:dyDescent="0.2">
      <c r="A149" s="1" t="s">
        <v>606</v>
      </c>
      <c r="B149" s="1" t="s">
        <v>346</v>
      </c>
      <c r="C149" s="1" t="s">
        <v>336</v>
      </c>
      <c r="D149" s="1" t="s">
        <v>607</v>
      </c>
      <c r="E149" s="2">
        <v>0</v>
      </c>
      <c r="F149" s="2">
        <v>0</v>
      </c>
      <c r="G149" s="2"/>
      <c r="H149" s="2"/>
      <c r="I149" s="2"/>
      <c r="J149" s="2"/>
      <c r="K149" s="2"/>
      <c r="L149" s="2"/>
    </row>
    <row r="150" spans="1:12" x14ac:dyDescent="0.2">
      <c r="A150" s="1" t="s">
        <v>608</v>
      </c>
      <c r="B150" s="1" t="s">
        <v>346</v>
      </c>
      <c r="C150" s="1" t="s">
        <v>336</v>
      </c>
      <c r="D150" s="1" t="s">
        <v>609</v>
      </c>
      <c r="E150" s="2">
        <v>0</v>
      </c>
      <c r="F150" s="2">
        <v>0</v>
      </c>
      <c r="G150" s="2"/>
      <c r="H150" s="2"/>
      <c r="I150" s="2"/>
      <c r="J150" s="2"/>
      <c r="K150" s="2"/>
      <c r="L150" s="2"/>
    </row>
    <row r="151" spans="1:12" x14ac:dyDescent="0.2">
      <c r="A151" s="1" t="s">
        <v>610</v>
      </c>
      <c r="B151" s="1" t="s">
        <v>346</v>
      </c>
      <c r="C151" s="1" t="s">
        <v>336</v>
      </c>
      <c r="D151" s="1" t="s">
        <v>611</v>
      </c>
      <c r="E151" s="2">
        <v>0</v>
      </c>
      <c r="F151" s="2">
        <v>0</v>
      </c>
      <c r="G151" s="2"/>
      <c r="H151" s="2"/>
      <c r="I151" s="2"/>
      <c r="J151" s="2"/>
      <c r="K151" s="2"/>
      <c r="L151" s="2"/>
    </row>
    <row r="152" spans="1:12" x14ac:dyDescent="0.2">
      <c r="A152" s="1" t="s">
        <v>612</v>
      </c>
      <c r="B152" s="1" t="s">
        <v>346</v>
      </c>
      <c r="C152" s="1" t="s">
        <v>336</v>
      </c>
      <c r="D152" s="1" t="s">
        <v>613</v>
      </c>
      <c r="E152" s="2">
        <v>0</v>
      </c>
      <c r="F152" s="2">
        <v>0</v>
      </c>
      <c r="G152" s="2"/>
      <c r="H152" s="2"/>
      <c r="I152" s="2"/>
      <c r="J152" s="2"/>
      <c r="K152" s="2"/>
      <c r="L152" s="2"/>
    </row>
    <row r="153" spans="1:12" x14ac:dyDescent="0.2">
      <c r="A153" s="1" t="s">
        <v>614</v>
      </c>
      <c r="B153" s="1" t="s">
        <v>346</v>
      </c>
      <c r="C153" s="1" t="s">
        <v>336</v>
      </c>
      <c r="D153" s="1" t="s">
        <v>615</v>
      </c>
      <c r="E153" s="2">
        <v>0</v>
      </c>
      <c r="F153" s="2">
        <v>0</v>
      </c>
      <c r="G153" s="2"/>
      <c r="H153" s="2"/>
      <c r="I153" s="2"/>
      <c r="J153" s="2"/>
      <c r="K153" s="2"/>
      <c r="L153" s="2"/>
    </row>
    <row r="154" spans="1:12" x14ac:dyDescent="0.2">
      <c r="A154" s="1" t="s">
        <v>616</v>
      </c>
      <c r="B154" s="1" t="s">
        <v>346</v>
      </c>
      <c r="C154" s="1" t="s">
        <v>336</v>
      </c>
      <c r="D154" s="1" t="s">
        <v>617</v>
      </c>
      <c r="E154" s="2">
        <v>0</v>
      </c>
      <c r="F154" s="2">
        <v>0</v>
      </c>
      <c r="G154" s="2"/>
      <c r="H154" s="2"/>
      <c r="I154" s="2"/>
      <c r="J154" s="2"/>
      <c r="K154" s="2"/>
      <c r="L154" s="2"/>
    </row>
    <row r="155" spans="1:12" x14ac:dyDescent="0.2">
      <c r="A155" s="1" t="s">
        <v>618</v>
      </c>
      <c r="B155" s="1" t="s">
        <v>346</v>
      </c>
      <c r="C155" s="1" t="s">
        <v>336</v>
      </c>
      <c r="D155" s="1" t="s">
        <v>619</v>
      </c>
      <c r="E155" s="2">
        <v>0</v>
      </c>
      <c r="F155" s="2">
        <v>0</v>
      </c>
      <c r="G155" s="2"/>
      <c r="H155" s="2"/>
      <c r="I155" s="2"/>
      <c r="J155" s="2"/>
      <c r="K155" s="2"/>
      <c r="L155" s="2"/>
    </row>
    <row r="156" spans="1:12" x14ac:dyDescent="0.2">
      <c r="A156" s="1" t="s">
        <v>620</v>
      </c>
      <c r="B156" s="1" t="s">
        <v>346</v>
      </c>
      <c r="C156" s="1" t="s">
        <v>336</v>
      </c>
      <c r="D156" s="1" t="s">
        <v>621</v>
      </c>
      <c r="E156" s="2">
        <v>0</v>
      </c>
      <c r="F156" s="2">
        <v>0</v>
      </c>
      <c r="G156" s="2"/>
      <c r="H156" s="2"/>
      <c r="I156" s="2"/>
      <c r="J156" s="2"/>
      <c r="K156" s="2"/>
      <c r="L156" s="2"/>
    </row>
    <row r="157" spans="1:12" x14ac:dyDescent="0.2">
      <c r="A157" s="1" t="s">
        <v>622</v>
      </c>
      <c r="B157" s="1" t="s">
        <v>346</v>
      </c>
      <c r="C157" s="1" t="s">
        <v>336</v>
      </c>
      <c r="D157" s="1" t="s">
        <v>623</v>
      </c>
      <c r="E157" s="2">
        <v>0</v>
      </c>
      <c r="F157" s="2">
        <v>0</v>
      </c>
      <c r="G157" s="2"/>
      <c r="H157" s="2"/>
      <c r="I157" s="2"/>
      <c r="J157" s="2"/>
      <c r="K157" s="2"/>
      <c r="L157" s="2"/>
    </row>
    <row r="158" spans="1:12" x14ac:dyDescent="0.2">
      <c r="A158" s="1" t="s">
        <v>624</v>
      </c>
      <c r="B158" s="1" t="s">
        <v>346</v>
      </c>
      <c r="C158" s="1" t="s">
        <v>336</v>
      </c>
      <c r="D158" s="1" t="s">
        <v>625</v>
      </c>
      <c r="E158" s="2">
        <v>0</v>
      </c>
      <c r="F158" s="2">
        <v>0</v>
      </c>
      <c r="G158" s="2"/>
      <c r="H158" s="2"/>
      <c r="I158" s="2"/>
      <c r="J158" s="2"/>
      <c r="K158" s="2"/>
      <c r="L158" s="2"/>
    </row>
    <row r="159" spans="1:12" x14ac:dyDescent="0.2">
      <c r="A159" s="1" t="s">
        <v>626</v>
      </c>
      <c r="B159" s="1" t="s">
        <v>346</v>
      </c>
      <c r="C159" s="1" t="s">
        <v>336</v>
      </c>
      <c r="D159" s="1" t="s">
        <v>627</v>
      </c>
      <c r="E159" s="2">
        <v>0</v>
      </c>
      <c r="F159" s="2">
        <v>0</v>
      </c>
      <c r="G159" s="2"/>
      <c r="H159" s="2"/>
      <c r="I159" s="2"/>
      <c r="J159" s="2"/>
      <c r="K159" s="2"/>
      <c r="L159" s="2"/>
    </row>
    <row r="160" spans="1:12" x14ac:dyDescent="0.2">
      <c r="A160" s="1" t="s">
        <v>628</v>
      </c>
      <c r="B160" s="1" t="s">
        <v>346</v>
      </c>
      <c r="C160" s="1" t="s">
        <v>336</v>
      </c>
      <c r="D160" s="1" t="s">
        <v>629</v>
      </c>
      <c r="E160" s="2">
        <v>0</v>
      </c>
      <c r="F160" s="2">
        <v>0</v>
      </c>
      <c r="G160" s="2"/>
      <c r="H160" s="2"/>
      <c r="I160" s="2"/>
      <c r="J160" s="2"/>
      <c r="K160" s="2"/>
      <c r="L160" s="2"/>
    </row>
    <row r="161" spans="1:12" x14ac:dyDescent="0.2">
      <c r="A161" s="1" t="s">
        <v>630</v>
      </c>
      <c r="B161" s="1" t="s">
        <v>346</v>
      </c>
      <c r="C161" s="1" t="s">
        <v>336</v>
      </c>
      <c r="D161" s="1" t="s">
        <v>631</v>
      </c>
      <c r="E161" s="2">
        <v>0</v>
      </c>
      <c r="F161" s="2">
        <v>0</v>
      </c>
      <c r="G161" s="2"/>
      <c r="H161" s="2"/>
      <c r="I161" s="2"/>
      <c r="J161" s="2"/>
      <c r="K161" s="2"/>
      <c r="L161" s="2"/>
    </row>
    <row r="162" spans="1:12" x14ac:dyDescent="0.2">
      <c r="A162" s="1" t="s">
        <v>632</v>
      </c>
      <c r="B162" s="1" t="s">
        <v>346</v>
      </c>
      <c r="C162" s="1" t="s">
        <v>336</v>
      </c>
      <c r="D162" s="1" t="s">
        <v>633</v>
      </c>
      <c r="E162" s="2">
        <v>0</v>
      </c>
      <c r="F162" s="2">
        <v>0</v>
      </c>
      <c r="G162" s="2"/>
      <c r="H162" s="2"/>
      <c r="I162" s="2"/>
      <c r="J162" s="2"/>
      <c r="K162" s="2"/>
      <c r="L162" s="2"/>
    </row>
    <row r="163" spans="1:12" x14ac:dyDescent="0.2">
      <c r="A163" s="1" t="s">
        <v>634</v>
      </c>
      <c r="B163" s="1" t="s">
        <v>346</v>
      </c>
      <c r="C163" s="1" t="s">
        <v>336</v>
      </c>
      <c r="D163" s="1" t="s">
        <v>635</v>
      </c>
      <c r="E163" s="2">
        <v>0</v>
      </c>
      <c r="F163" s="2">
        <v>0</v>
      </c>
      <c r="G163" s="2"/>
      <c r="H163" s="2"/>
      <c r="I163" s="2"/>
      <c r="J163" s="2"/>
      <c r="K163" s="2"/>
      <c r="L163" s="2"/>
    </row>
    <row r="164" spans="1:12" x14ac:dyDescent="0.2">
      <c r="A164" s="1" t="s">
        <v>636</v>
      </c>
      <c r="B164" s="1" t="s">
        <v>346</v>
      </c>
      <c r="C164" s="1" t="s">
        <v>336</v>
      </c>
      <c r="D164" s="1" t="s">
        <v>637</v>
      </c>
      <c r="E164" s="2">
        <v>0</v>
      </c>
      <c r="F164" s="2">
        <v>0</v>
      </c>
      <c r="G164" s="2"/>
      <c r="H164" s="2"/>
      <c r="I164" s="2"/>
      <c r="J164" s="2"/>
      <c r="K164" s="2"/>
      <c r="L164" s="2"/>
    </row>
    <row r="165" spans="1:12" x14ac:dyDescent="0.2">
      <c r="A165" s="1" t="s">
        <v>638</v>
      </c>
      <c r="B165" s="1" t="s">
        <v>346</v>
      </c>
      <c r="C165" s="1" t="s">
        <v>336</v>
      </c>
      <c r="D165" s="1" t="s">
        <v>639</v>
      </c>
      <c r="E165" s="2">
        <v>0</v>
      </c>
      <c r="F165" s="2">
        <v>0</v>
      </c>
      <c r="G165" s="2"/>
      <c r="H165" s="2"/>
      <c r="I165" s="2"/>
      <c r="J165" s="2"/>
      <c r="K165" s="2"/>
      <c r="L165" s="2"/>
    </row>
    <row r="166" spans="1:12" x14ac:dyDescent="0.2">
      <c r="A166" s="1" t="s">
        <v>640</v>
      </c>
      <c r="B166" s="1" t="s">
        <v>346</v>
      </c>
      <c r="C166" s="1" t="s">
        <v>336</v>
      </c>
      <c r="D166" s="1" t="s">
        <v>641</v>
      </c>
      <c r="E166" s="2">
        <v>0</v>
      </c>
      <c r="F166" s="2">
        <v>0</v>
      </c>
      <c r="G166" s="2"/>
      <c r="H166" s="2"/>
      <c r="I166" s="2"/>
      <c r="J166" s="2"/>
      <c r="K166" s="2"/>
      <c r="L166" s="2"/>
    </row>
    <row r="167" spans="1:12" x14ac:dyDescent="0.2">
      <c r="A167" s="1" t="s">
        <v>642</v>
      </c>
      <c r="B167" s="1" t="s">
        <v>346</v>
      </c>
      <c r="C167" s="1" t="s">
        <v>336</v>
      </c>
      <c r="D167" s="1" t="s">
        <v>643</v>
      </c>
      <c r="E167" s="2">
        <v>0</v>
      </c>
      <c r="F167" s="2">
        <v>0</v>
      </c>
      <c r="G167" s="2"/>
      <c r="H167" s="2"/>
      <c r="I167" s="2"/>
      <c r="J167" s="2"/>
      <c r="K167" s="2"/>
      <c r="L167" s="2"/>
    </row>
    <row r="168" spans="1:12" x14ac:dyDescent="0.2">
      <c r="A168" s="1" t="s">
        <v>644</v>
      </c>
      <c r="B168" s="1" t="s">
        <v>346</v>
      </c>
      <c r="C168" s="1" t="s">
        <v>336</v>
      </c>
      <c r="D168" s="1" t="s">
        <v>645</v>
      </c>
      <c r="E168" s="2">
        <v>0</v>
      </c>
      <c r="F168" s="2">
        <v>0</v>
      </c>
      <c r="G168" s="2"/>
      <c r="H168" s="2"/>
      <c r="I168" s="2"/>
      <c r="J168" s="2"/>
      <c r="K168" s="2"/>
      <c r="L168" s="2"/>
    </row>
    <row r="169" spans="1:12" x14ac:dyDescent="0.2">
      <c r="A169" s="1" t="s">
        <v>646</v>
      </c>
      <c r="B169" s="1" t="s">
        <v>346</v>
      </c>
      <c r="C169" s="1" t="s">
        <v>336</v>
      </c>
      <c r="D169" s="1" t="s">
        <v>647</v>
      </c>
      <c r="E169" s="2">
        <v>0</v>
      </c>
      <c r="F169" s="2">
        <v>0</v>
      </c>
      <c r="G169" s="2"/>
      <c r="H169" s="2"/>
      <c r="I169" s="2"/>
      <c r="J169" s="2"/>
      <c r="K169" s="2"/>
      <c r="L169" s="2"/>
    </row>
    <row r="170" spans="1:12" x14ac:dyDescent="0.2">
      <c r="A170" s="1" t="s">
        <v>648</v>
      </c>
      <c r="B170" s="1" t="s">
        <v>346</v>
      </c>
      <c r="C170" s="1" t="s">
        <v>336</v>
      </c>
      <c r="D170" s="1" t="s">
        <v>649</v>
      </c>
      <c r="E170" s="2">
        <v>0</v>
      </c>
      <c r="F170" s="2">
        <v>0</v>
      </c>
      <c r="G170" s="2"/>
      <c r="H170" s="2"/>
      <c r="I170" s="2"/>
      <c r="J170" s="2"/>
      <c r="K170" s="2"/>
      <c r="L170" s="2"/>
    </row>
    <row r="171" spans="1:12" x14ac:dyDescent="0.2">
      <c r="A171" s="1" t="s">
        <v>650</v>
      </c>
      <c r="B171" s="1" t="s">
        <v>346</v>
      </c>
      <c r="C171" s="1" t="s">
        <v>336</v>
      </c>
      <c r="D171" s="1" t="s">
        <v>651</v>
      </c>
      <c r="E171" s="2">
        <v>0</v>
      </c>
      <c r="F171" s="2">
        <v>0</v>
      </c>
      <c r="G171" s="2"/>
      <c r="H171" s="2"/>
      <c r="I171" s="2"/>
      <c r="J171" s="2"/>
      <c r="K171" s="2"/>
      <c r="L171" s="2"/>
    </row>
    <row r="172" spans="1:12" x14ac:dyDescent="0.2">
      <c r="A172" s="1" t="s">
        <v>652</v>
      </c>
      <c r="B172" s="1" t="s">
        <v>346</v>
      </c>
      <c r="C172" s="1" t="s">
        <v>336</v>
      </c>
      <c r="D172" s="1" t="s">
        <v>653</v>
      </c>
      <c r="E172" s="2">
        <v>0</v>
      </c>
      <c r="F172" s="2">
        <v>0</v>
      </c>
      <c r="G172" s="2"/>
      <c r="H172" s="2"/>
      <c r="I172" s="2"/>
      <c r="J172" s="2"/>
      <c r="K172" s="2"/>
      <c r="L172" s="2"/>
    </row>
    <row r="173" spans="1:12" x14ac:dyDescent="0.2">
      <c r="A173" s="1" t="s">
        <v>654</v>
      </c>
      <c r="B173" s="1" t="s">
        <v>346</v>
      </c>
      <c r="C173" s="1" t="s">
        <v>336</v>
      </c>
      <c r="D173" s="1" t="s">
        <v>655</v>
      </c>
      <c r="E173" s="2">
        <v>0</v>
      </c>
      <c r="F173" s="2">
        <v>0</v>
      </c>
      <c r="G173" s="2"/>
      <c r="H173" s="2"/>
      <c r="I173" s="2"/>
      <c r="J173" s="2"/>
      <c r="K173" s="2"/>
      <c r="L173" s="2"/>
    </row>
    <row r="174" spans="1:12" x14ac:dyDescent="0.2">
      <c r="A174" s="1" t="s">
        <v>656</v>
      </c>
      <c r="B174" s="1" t="s">
        <v>346</v>
      </c>
      <c r="C174" s="1" t="s">
        <v>336</v>
      </c>
      <c r="D174" s="1" t="s">
        <v>657</v>
      </c>
      <c r="E174" s="2">
        <v>0</v>
      </c>
      <c r="F174" s="2">
        <v>0</v>
      </c>
      <c r="G174" s="2"/>
      <c r="H174" s="2"/>
      <c r="I174" s="2"/>
      <c r="J174" s="2"/>
      <c r="K174" s="2"/>
      <c r="L174" s="2"/>
    </row>
    <row r="175" spans="1:12" x14ac:dyDescent="0.2">
      <c r="A175" s="1" t="s">
        <v>658</v>
      </c>
      <c r="B175" s="1" t="s">
        <v>346</v>
      </c>
      <c r="C175" s="1" t="s">
        <v>336</v>
      </c>
      <c r="D175" s="1" t="s">
        <v>659</v>
      </c>
      <c r="E175" s="2">
        <v>0</v>
      </c>
      <c r="F175" s="2">
        <v>0</v>
      </c>
      <c r="G175" s="2"/>
      <c r="H175" s="2"/>
      <c r="I175" s="2"/>
      <c r="J175" s="2"/>
      <c r="K175" s="2"/>
      <c r="L175" s="2"/>
    </row>
    <row r="176" spans="1:12" x14ac:dyDescent="0.2">
      <c r="A176" s="1" t="s">
        <v>660</v>
      </c>
      <c r="B176" s="1" t="s">
        <v>346</v>
      </c>
      <c r="C176" s="1" t="s">
        <v>336</v>
      </c>
      <c r="D176" s="1" t="s">
        <v>661</v>
      </c>
      <c r="E176" s="2">
        <v>0</v>
      </c>
      <c r="F176" s="2">
        <v>0</v>
      </c>
      <c r="G176" s="2"/>
      <c r="H176" s="2"/>
      <c r="I176" s="2"/>
      <c r="J176" s="2"/>
      <c r="K176" s="2"/>
      <c r="L176" s="2"/>
    </row>
    <row r="177" spans="1:12" x14ac:dyDescent="0.2">
      <c r="A177" s="1" t="s">
        <v>662</v>
      </c>
      <c r="B177" s="1" t="s">
        <v>346</v>
      </c>
      <c r="C177" s="1" t="s">
        <v>336</v>
      </c>
      <c r="D177" s="1" t="s">
        <v>663</v>
      </c>
      <c r="E177" s="2">
        <v>0</v>
      </c>
      <c r="F177" s="2">
        <v>0</v>
      </c>
      <c r="G177" s="2"/>
      <c r="H177" s="2"/>
      <c r="I177" s="2"/>
      <c r="J177" s="2"/>
      <c r="K177" s="2"/>
      <c r="L177" s="2"/>
    </row>
    <row r="178" spans="1:12" x14ac:dyDescent="0.2">
      <c r="A178" s="1" t="s">
        <v>664</v>
      </c>
      <c r="B178" s="1" t="s">
        <v>346</v>
      </c>
      <c r="C178" s="1" t="s">
        <v>336</v>
      </c>
      <c r="D178" s="1" t="s">
        <v>665</v>
      </c>
      <c r="E178" s="2">
        <v>0</v>
      </c>
      <c r="F178" s="2">
        <v>0</v>
      </c>
      <c r="G178" s="2"/>
      <c r="H178" s="2"/>
      <c r="I178" s="2"/>
      <c r="J178" s="2"/>
      <c r="K178" s="2"/>
      <c r="L178" s="2"/>
    </row>
    <row r="179" spans="1:12" x14ac:dyDescent="0.2">
      <c r="A179" s="1" t="s">
        <v>666</v>
      </c>
      <c r="B179" s="1" t="s">
        <v>346</v>
      </c>
      <c r="C179" s="1" t="s">
        <v>336</v>
      </c>
      <c r="D179" s="1" t="s">
        <v>667</v>
      </c>
      <c r="E179" s="2">
        <v>1525</v>
      </c>
      <c r="F179" s="2">
        <v>1950</v>
      </c>
      <c r="G179" s="2"/>
      <c r="H179" s="2"/>
      <c r="I179" s="2"/>
      <c r="J179" s="2"/>
      <c r="K179" s="2"/>
      <c r="L179" s="2"/>
    </row>
    <row r="180" spans="1:12" x14ac:dyDescent="0.2">
      <c r="A180" s="1" t="s">
        <v>668</v>
      </c>
      <c r="B180" s="1" t="s">
        <v>346</v>
      </c>
      <c r="C180" s="1" t="s">
        <v>336</v>
      </c>
      <c r="D180" s="1" t="s">
        <v>669</v>
      </c>
      <c r="E180" s="2">
        <v>0</v>
      </c>
      <c r="F180" s="2">
        <v>0</v>
      </c>
      <c r="G180" s="2"/>
      <c r="H180" s="2"/>
      <c r="I180" s="2"/>
      <c r="J180" s="2"/>
      <c r="K180" s="2"/>
      <c r="L180" s="2"/>
    </row>
    <row r="181" spans="1:12" x14ac:dyDescent="0.2">
      <c r="A181" s="1" t="s">
        <v>670</v>
      </c>
      <c r="B181" s="1" t="s">
        <v>346</v>
      </c>
      <c r="C181" s="1" t="s">
        <v>336</v>
      </c>
      <c r="D181" s="1" t="s">
        <v>671</v>
      </c>
      <c r="E181" s="2">
        <v>1525</v>
      </c>
      <c r="F181" s="2">
        <v>1950</v>
      </c>
      <c r="G181" s="2"/>
      <c r="H181" s="2"/>
      <c r="I181" s="2"/>
      <c r="J181" s="2"/>
      <c r="K181" s="2"/>
      <c r="L181" s="2"/>
    </row>
    <row r="182" spans="1:12" x14ac:dyDescent="0.2">
      <c r="A182" s="1" t="s">
        <v>672</v>
      </c>
      <c r="B182" s="1" t="s">
        <v>346</v>
      </c>
      <c r="C182" s="1" t="s">
        <v>336</v>
      </c>
      <c r="D182" s="1" t="s">
        <v>673</v>
      </c>
      <c r="E182" s="2">
        <v>0</v>
      </c>
      <c r="F182" s="2">
        <v>0</v>
      </c>
      <c r="G182" s="2"/>
      <c r="H182" s="2"/>
      <c r="I182" s="2"/>
      <c r="J182" s="2"/>
      <c r="K182" s="2"/>
      <c r="L182" s="2"/>
    </row>
    <row r="183" spans="1:12" x14ac:dyDescent="0.2">
      <c r="A183" s="1" t="s">
        <v>674</v>
      </c>
      <c r="B183" s="1" t="s">
        <v>346</v>
      </c>
      <c r="C183" s="1" t="s">
        <v>336</v>
      </c>
      <c r="D183" s="1" t="s">
        <v>675</v>
      </c>
      <c r="E183" s="2">
        <v>0</v>
      </c>
      <c r="F183" s="2">
        <v>0</v>
      </c>
      <c r="G183" s="2"/>
      <c r="H183" s="2"/>
      <c r="I183" s="2"/>
      <c r="J183" s="2"/>
      <c r="K183" s="2"/>
      <c r="L183" s="2"/>
    </row>
    <row r="184" spans="1:12" x14ac:dyDescent="0.2">
      <c r="A184" s="1" t="s">
        <v>676</v>
      </c>
      <c r="B184" s="1" t="s">
        <v>346</v>
      </c>
      <c r="C184" s="1" t="s">
        <v>336</v>
      </c>
      <c r="D184" s="1" t="s">
        <v>677</v>
      </c>
      <c r="E184" s="2">
        <v>0</v>
      </c>
      <c r="F184" s="2">
        <v>0</v>
      </c>
      <c r="G184" s="2"/>
      <c r="H184" s="2"/>
      <c r="I184" s="2"/>
      <c r="J184" s="2"/>
      <c r="K184" s="2"/>
      <c r="L184" s="2"/>
    </row>
    <row r="185" spans="1:12" x14ac:dyDescent="0.2">
      <c r="A185" s="1" t="s">
        <v>678</v>
      </c>
      <c r="B185" s="1" t="s">
        <v>346</v>
      </c>
      <c r="C185" s="1" t="s">
        <v>336</v>
      </c>
      <c r="D185" s="1" t="s">
        <v>679</v>
      </c>
      <c r="E185" s="2">
        <v>0</v>
      </c>
      <c r="F185" s="2">
        <v>0</v>
      </c>
      <c r="G185" s="2"/>
      <c r="H185" s="2"/>
      <c r="I185" s="2"/>
      <c r="J185" s="2"/>
      <c r="K185" s="2"/>
      <c r="L185" s="2"/>
    </row>
    <row r="186" spans="1:12" x14ac:dyDescent="0.2">
      <c r="A186" s="1" t="s">
        <v>680</v>
      </c>
      <c r="B186" s="1" t="s">
        <v>346</v>
      </c>
      <c r="C186" s="1" t="s">
        <v>336</v>
      </c>
      <c r="D186" s="1" t="s">
        <v>681</v>
      </c>
      <c r="E186" s="2">
        <v>0</v>
      </c>
      <c r="F186" s="2">
        <v>0</v>
      </c>
      <c r="G186" s="2"/>
      <c r="H186" s="2"/>
      <c r="I186" s="2"/>
      <c r="J186" s="2"/>
      <c r="K186" s="2"/>
      <c r="L186" s="2"/>
    </row>
    <row r="187" spans="1:12" x14ac:dyDescent="0.2">
      <c r="A187" s="1" t="s">
        <v>682</v>
      </c>
      <c r="B187" s="1" t="s">
        <v>346</v>
      </c>
      <c r="C187" s="1" t="s">
        <v>336</v>
      </c>
      <c r="D187" s="1" t="s">
        <v>683</v>
      </c>
      <c r="E187" s="2">
        <v>0</v>
      </c>
      <c r="F187" s="2">
        <v>0</v>
      </c>
      <c r="G187" s="2"/>
      <c r="H187" s="2"/>
      <c r="I187" s="2"/>
      <c r="J187" s="2"/>
      <c r="K187" s="2"/>
      <c r="L187" s="2"/>
    </row>
    <row r="188" spans="1:12" x14ac:dyDescent="0.2">
      <c r="A188" s="1" t="s">
        <v>684</v>
      </c>
      <c r="B188" s="1" t="s">
        <v>346</v>
      </c>
      <c r="C188" s="1" t="s">
        <v>336</v>
      </c>
      <c r="D188" s="1" t="s">
        <v>685</v>
      </c>
      <c r="E188" s="2">
        <v>0</v>
      </c>
      <c r="F188" s="2">
        <v>0</v>
      </c>
      <c r="G188" s="2"/>
      <c r="H188" s="2"/>
      <c r="I188" s="2"/>
      <c r="J188" s="2"/>
      <c r="K188" s="2"/>
      <c r="L188" s="2"/>
    </row>
    <row r="189" spans="1:12" x14ac:dyDescent="0.2">
      <c r="A189" s="1" t="s">
        <v>686</v>
      </c>
      <c r="B189" s="1" t="s">
        <v>346</v>
      </c>
      <c r="C189" s="1" t="s">
        <v>336</v>
      </c>
      <c r="D189" s="1" t="s">
        <v>687</v>
      </c>
      <c r="E189" s="2">
        <v>0</v>
      </c>
      <c r="F189" s="2">
        <v>0</v>
      </c>
      <c r="G189" s="2"/>
      <c r="H189" s="2"/>
      <c r="I189" s="2"/>
      <c r="J189" s="2"/>
      <c r="K189" s="2"/>
      <c r="L189" s="2"/>
    </row>
    <row r="190" spans="1:12" x14ac:dyDescent="0.2">
      <c r="A190" s="1" t="s">
        <v>688</v>
      </c>
      <c r="B190" s="1" t="s">
        <v>346</v>
      </c>
      <c r="C190" s="1" t="s">
        <v>336</v>
      </c>
      <c r="D190" s="1" t="s">
        <v>689</v>
      </c>
      <c r="E190" s="2">
        <v>1500</v>
      </c>
      <c r="F190" s="2">
        <v>1625</v>
      </c>
      <c r="G190" s="2"/>
      <c r="H190" s="2"/>
      <c r="I190" s="2"/>
      <c r="J190" s="2"/>
      <c r="K190" s="2"/>
      <c r="L190" s="2"/>
    </row>
    <row r="191" spans="1:12" x14ac:dyDescent="0.2">
      <c r="A191" s="1" t="s">
        <v>690</v>
      </c>
      <c r="B191" s="1" t="s">
        <v>346</v>
      </c>
      <c r="C191" s="1" t="s">
        <v>336</v>
      </c>
      <c r="D191" s="1" t="s">
        <v>691</v>
      </c>
      <c r="E191" s="2">
        <v>0</v>
      </c>
      <c r="F191" s="2">
        <v>0</v>
      </c>
      <c r="G191" s="2"/>
      <c r="H191" s="2"/>
      <c r="I191" s="2"/>
      <c r="J191" s="2"/>
      <c r="K191" s="2"/>
      <c r="L191" s="2"/>
    </row>
    <row r="192" spans="1:12" x14ac:dyDescent="0.2">
      <c r="A192" s="1" t="s">
        <v>692</v>
      </c>
      <c r="B192" s="1" t="s">
        <v>346</v>
      </c>
      <c r="C192" s="1" t="s">
        <v>336</v>
      </c>
      <c r="D192" s="1" t="s">
        <v>693</v>
      </c>
      <c r="E192" s="2">
        <v>25</v>
      </c>
      <c r="F192" s="2">
        <v>325</v>
      </c>
      <c r="G192" s="2"/>
      <c r="H192" s="2"/>
      <c r="I192" s="2"/>
      <c r="J192" s="2"/>
      <c r="K192" s="2"/>
      <c r="L192" s="2"/>
    </row>
    <row r="193" spans="1:12" x14ac:dyDescent="0.2">
      <c r="A193" s="1" t="s">
        <v>694</v>
      </c>
      <c r="B193" s="1" t="s">
        <v>346</v>
      </c>
      <c r="C193" s="1" t="s">
        <v>336</v>
      </c>
      <c r="D193" s="1" t="s">
        <v>695</v>
      </c>
      <c r="E193" s="2">
        <v>0</v>
      </c>
      <c r="F193" s="2">
        <v>0</v>
      </c>
      <c r="G193" s="2"/>
      <c r="H193" s="2"/>
      <c r="I193" s="2"/>
      <c r="J193" s="2"/>
      <c r="K193" s="2"/>
      <c r="L193" s="2"/>
    </row>
    <row r="194" spans="1:12" x14ac:dyDescent="0.2">
      <c r="A194" s="1" t="s">
        <v>696</v>
      </c>
      <c r="B194" s="1" t="s">
        <v>346</v>
      </c>
      <c r="C194" s="1" t="s">
        <v>336</v>
      </c>
      <c r="D194" s="1" t="s">
        <v>697</v>
      </c>
      <c r="E194" s="2">
        <v>0</v>
      </c>
      <c r="F194" s="2">
        <v>0</v>
      </c>
      <c r="G194" s="2"/>
      <c r="H194" s="2"/>
      <c r="I194" s="2"/>
      <c r="J194" s="2"/>
      <c r="K194" s="2"/>
      <c r="L194" s="2"/>
    </row>
    <row r="195" spans="1:12" x14ac:dyDescent="0.2">
      <c r="A195" s="1" t="s">
        <v>698</v>
      </c>
      <c r="B195" s="1" t="s">
        <v>346</v>
      </c>
      <c r="C195" s="1" t="s">
        <v>336</v>
      </c>
      <c r="D195" s="1" t="s">
        <v>699</v>
      </c>
      <c r="E195" s="2">
        <v>0</v>
      </c>
      <c r="F195" s="2">
        <v>0</v>
      </c>
      <c r="G195" s="2"/>
      <c r="H195" s="2"/>
      <c r="I195" s="2"/>
      <c r="J195" s="2"/>
      <c r="K195" s="2"/>
      <c r="L195" s="2"/>
    </row>
    <row r="196" spans="1:12" x14ac:dyDescent="0.2">
      <c r="A196" s="1" t="s">
        <v>700</v>
      </c>
      <c r="B196" s="1" t="s">
        <v>346</v>
      </c>
      <c r="C196" s="1" t="s">
        <v>336</v>
      </c>
      <c r="D196" s="1" t="s">
        <v>701</v>
      </c>
      <c r="E196" s="2">
        <v>0</v>
      </c>
      <c r="F196" s="2">
        <v>0</v>
      </c>
      <c r="G196" s="2"/>
      <c r="H196" s="2"/>
      <c r="I196" s="2"/>
      <c r="J196" s="2"/>
      <c r="K196" s="2"/>
      <c r="L196" s="2"/>
    </row>
    <row r="197" spans="1:12" x14ac:dyDescent="0.2">
      <c r="A197" s="1" t="s">
        <v>702</v>
      </c>
      <c r="B197" s="1" t="s">
        <v>346</v>
      </c>
      <c r="C197" s="1" t="s">
        <v>336</v>
      </c>
      <c r="D197" s="1" t="s">
        <v>703</v>
      </c>
      <c r="E197" s="2">
        <v>0</v>
      </c>
      <c r="F197" s="2">
        <v>0</v>
      </c>
      <c r="G197" s="2"/>
      <c r="H197" s="2"/>
      <c r="I197" s="2"/>
      <c r="J197" s="2"/>
      <c r="K197" s="2"/>
      <c r="L197" s="2"/>
    </row>
    <row r="198" spans="1:12" x14ac:dyDescent="0.2">
      <c r="A198" s="1" t="s">
        <v>704</v>
      </c>
      <c r="B198" s="1" t="s">
        <v>346</v>
      </c>
      <c r="C198" s="1" t="s">
        <v>336</v>
      </c>
      <c r="D198" s="1" t="s">
        <v>705</v>
      </c>
      <c r="E198" s="2">
        <v>0</v>
      </c>
      <c r="F198" s="2">
        <v>0</v>
      </c>
      <c r="G198" s="2"/>
      <c r="H198" s="2"/>
      <c r="I198" s="2"/>
      <c r="J198" s="2"/>
      <c r="K198" s="2"/>
      <c r="L198" s="2"/>
    </row>
    <row r="199" spans="1:12" x14ac:dyDescent="0.2">
      <c r="A199" s="1" t="s">
        <v>706</v>
      </c>
      <c r="B199" s="1" t="s">
        <v>346</v>
      </c>
      <c r="C199" s="1" t="s">
        <v>336</v>
      </c>
      <c r="D199" s="1" t="s">
        <v>707</v>
      </c>
      <c r="E199" s="2">
        <v>0</v>
      </c>
      <c r="F199" s="2">
        <v>0</v>
      </c>
      <c r="G199" s="2"/>
      <c r="H199" s="2"/>
      <c r="I199" s="2"/>
      <c r="J199" s="2"/>
      <c r="K199" s="2"/>
      <c r="L199" s="2"/>
    </row>
    <row r="200" spans="1:12" x14ac:dyDescent="0.2">
      <c r="A200" s="1" t="s">
        <v>708</v>
      </c>
      <c r="B200" s="1" t="s">
        <v>346</v>
      </c>
      <c r="C200" s="1" t="s">
        <v>336</v>
      </c>
      <c r="D200" s="1" t="s">
        <v>709</v>
      </c>
      <c r="E200" s="2">
        <v>0</v>
      </c>
      <c r="F200" s="2">
        <v>0</v>
      </c>
      <c r="G200" s="2"/>
      <c r="H200" s="2"/>
      <c r="I200" s="2"/>
      <c r="J200" s="2"/>
      <c r="K200" s="2"/>
      <c r="L200" s="2"/>
    </row>
    <row r="201" spans="1:12" x14ac:dyDescent="0.2">
      <c r="A201" s="1" t="s">
        <v>710</v>
      </c>
      <c r="B201" s="1" t="s">
        <v>346</v>
      </c>
      <c r="C201" s="1" t="s">
        <v>336</v>
      </c>
      <c r="D201" s="1" t="s">
        <v>711</v>
      </c>
      <c r="E201" s="2">
        <v>0</v>
      </c>
      <c r="F201" s="2">
        <v>0</v>
      </c>
      <c r="G201" s="2"/>
      <c r="H201" s="2"/>
      <c r="I201" s="2"/>
      <c r="J201" s="2"/>
      <c r="K201" s="2"/>
      <c r="L201" s="2"/>
    </row>
    <row r="202" spans="1:12" x14ac:dyDescent="0.2">
      <c r="A202" s="1" t="s">
        <v>712</v>
      </c>
      <c r="B202" s="1" t="s">
        <v>346</v>
      </c>
      <c r="C202" s="1" t="s">
        <v>336</v>
      </c>
      <c r="D202" s="1" t="s">
        <v>713</v>
      </c>
      <c r="E202" s="2">
        <v>0</v>
      </c>
      <c r="F202" s="2">
        <v>0</v>
      </c>
      <c r="G202" s="2"/>
      <c r="H202" s="2"/>
      <c r="I202" s="2"/>
      <c r="J202" s="2"/>
      <c r="K202" s="2"/>
      <c r="L202" s="2"/>
    </row>
    <row r="203" spans="1:12" x14ac:dyDescent="0.2">
      <c r="A203" s="1" t="s">
        <v>714</v>
      </c>
      <c r="B203" s="1" t="s">
        <v>346</v>
      </c>
      <c r="C203" s="1" t="s">
        <v>336</v>
      </c>
      <c r="D203" s="1" t="s">
        <v>715</v>
      </c>
      <c r="E203" s="2">
        <v>0</v>
      </c>
      <c r="F203" s="2">
        <v>0</v>
      </c>
      <c r="G203" s="2"/>
      <c r="H203" s="2"/>
      <c r="I203" s="2"/>
      <c r="J203" s="2"/>
      <c r="K203" s="2"/>
      <c r="L203" s="2"/>
    </row>
    <row r="204" spans="1:12" x14ac:dyDescent="0.2">
      <c r="A204" s="1" t="s">
        <v>716</v>
      </c>
      <c r="B204" s="1" t="s">
        <v>346</v>
      </c>
      <c r="C204" s="1" t="s">
        <v>336</v>
      </c>
      <c r="D204" s="1" t="s">
        <v>717</v>
      </c>
      <c r="E204" s="2">
        <v>0</v>
      </c>
      <c r="F204" s="2">
        <v>0</v>
      </c>
      <c r="G204" s="2"/>
      <c r="H204" s="2"/>
      <c r="I204" s="2"/>
      <c r="J204" s="2"/>
      <c r="K204" s="2"/>
      <c r="L204" s="2"/>
    </row>
    <row r="205" spans="1:12" x14ac:dyDescent="0.2">
      <c r="A205" s="1" t="s">
        <v>718</v>
      </c>
      <c r="B205" s="1" t="s">
        <v>346</v>
      </c>
      <c r="C205" s="1" t="s">
        <v>336</v>
      </c>
      <c r="D205" s="1" t="s">
        <v>719</v>
      </c>
      <c r="E205" s="2">
        <v>0</v>
      </c>
      <c r="F205" s="2">
        <v>0</v>
      </c>
      <c r="G205" s="2"/>
      <c r="H205" s="2"/>
      <c r="I205" s="2"/>
      <c r="J205" s="2"/>
      <c r="K205" s="2"/>
      <c r="L205" s="2"/>
    </row>
    <row r="206" spans="1:12" x14ac:dyDescent="0.2">
      <c r="A206" s="1" t="s">
        <v>720</v>
      </c>
      <c r="B206" s="1" t="s">
        <v>346</v>
      </c>
      <c r="C206" s="1" t="s">
        <v>336</v>
      </c>
      <c r="D206" s="1" t="s">
        <v>721</v>
      </c>
      <c r="E206" s="2">
        <v>0</v>
      </c>
      <c r="F206" s="2">
        <v>0</v>
      </c>
      <c r="G206" s="2"/>
      <c r="H206" s="2"/>
      <c r="I206" s="2"/>
      <c r="J206" s="2"/>
      <c r="K206" s="2"/>
      <c r="L206" s="2"/>
    </row>
    <row r="207" spans="1:12" x14ac:dyDescent="0.2">
      <c r="A207" s="1" t="s">
        <v>722</v>
      </c>
      <c r="B207" s="1" t="s">
        <v>346</v>
      </c>
      <c r="C207" s="1" t="s">
        <v>336</v>
      </c>
      <c r="D207" s="1" t="s">
        <v>723</v>
      </c>
      <c r="E207" s="2">
        <v>0</v>
      </c>
      <c r="F207" s="2">
        <v>0</v>
      </c>
      <c r="G207" s="2"/>
      <c r="H207" s="2"/>
      <c r="I207" s="2"/>
      <c r="J207" s="2"/>
      <c r="K207" s="2"/>
      <c r="L207" s="2"/>
    </row>
    <row r="208" spans="1:12" x14ac:dyDescent="0.2">
      <c r="A208" s="1" t="s">
        <v>724</v>
      </c>
      <c r="B208" s="1" t="s">
        <v>346</v>
      </c>
      <c r="C208" s="1" t="s">
        <v>336</v>
      </c>
      <c r="D208" s="1" t="s">
        <v>725</v>
      </c>
      <c r="E208" s="2">
        <v>0</v>
      </c>
      <c r="F208" s="2">
        <v>0</v>
      </c>
      <c r="G208" s="2"/>
      <c r="H208" s="2"/>
      <c r="I208" s="2"/>
      <c r="J208" s="2"/>
      <c r="K208" s="2"/>
      <c r="L208" s="2"/>
    </row>
    <row r="209" spans="1:12" x14ac:dyDescent="0.2">
      <c r="A209" s="1" t="s">
        <v>726</v>
      </c>
      <c r="B209" s="1" t="s">
        <v>346</v>
      </c>
      <c r="C209" s="1" t="s">
        <v>336</v>
      </c>
      <c r="D209" s="1" t="s">
        <v>727</v>
      </c>
      <c r="E209" s="2">
        <v>0</v>
      </c>
      <c r="F209" s="2">
        <v>0</v>
      </c>
      <c r="G209" s="2"/>
      <c r="H209" s="2"/>
      <c r="I209" s="2"/>
      <c r="J209" s="2"/>
      <c r="K209" s="2"/>
      <c r="L209" s="2"/>
    </row>
    <row r="210" spans="1:12" x14ac:dyDescent="0.2">
      <c r="A210" s="1" t="s">
        <v>728</v>
      </c>
      <c r="B210" s="1" t="s">
        <v>346</v>
      </c>
      <c r="C210" s="1" t="s">
        <v>336</v>
      </c>
      <c r="D210" s="1" t="s">
        <v>729</v>
      </c>
      <c r="E210" s="2">
        <v>0</v>
      </c>
      <c r="F210" s="2">
        <v>0</v>
      </c>
      <c r="G210" s="2"/>
      <c r="H210" s="2"/>
      <c r="I210" s="2"/>
      <c r="J210" s="2"/>
      <c r="K210" s="2"/>
      <c r="L210" s="2"/>
    </row>
    <row r="211" spans="1:12" x14ac:dyDescent="0.2">
      <c r="A211" s="1" t="s">
        <v>730</v>
      </c>
      <c r="B211" s="1" t="s">
        <v>346</v>
      </c>
      <c r="C211" s="1" t="s">
        <v>336</v>
      </c>
      <c r="D211" s="1" t="s">
        <v>731</v>
      </c>
      <c r="E211" s="2">
        <v>0</v>
      </c>
      <c r="F211" s="2">
        <v>0</v>
      </c>
      <c r="G211" s="2"/>
      <c r="H211" s="2"/>
      <c r="I211" s="2"/>
      <c r="J211" s="2"/>
      <c r="K211" s="2"/>
      <c r="L211" s="2"/>
    </row>
    <row r="212" spans="1:12" x14ac:dyDescent="0.2">
      <c r="A212" s="1" t="s">
        <v>732</v>
      </c>
      <c r="B212" s="1" t="s">
        <v>346</v>
      </c>
      <c r="C212" s="1" t="s">
        <v>336</v>
      </c>
      <c r="D212" s="1" t="s">
        <v>733</v>
      </c>
      <c r="E212" s="2">
        <v>0</v>
      </c>
      <c r="F212" s="2">
        <v>0</v>
      </c>
      <c r="G212" s="2"/>
      <c r="H212" s="2"/>
      <c r="I212" s="2"/>
      <c r="J212" s="2"/>
      <c r="K212" s="2"/>
      <c r="L212" s="2"/>
    </row>
    <row r="213" spans="1:12" x14ac:dyDescent="0.2">
      <c r="A213" s="1" t="s">
        <v>734</v>
      </c>
      <c r="B213" s="1" t="s">
        <v>346</v>
      </c>
      <c r="C213" s="1" t="s">
        <v>336</v>
      </c>
      <c r="D213" s="1" t="s">
        <v>735</v>
      </c>
      <c r="E213" s="2">
        <v>0</v>
      </c>
      <c r="F213" s="2">
        <v>0</v>
      </c>
      <c r="G213" s="2"/>
      <c r="H213" s="2"/>
      <c r="I213" s="2"/>
      <c r="J213" s="2"/>
      <c r="K213" s="2"/>
      <c r="L213" s="2"/>
    </row>
    <row r="214" spans="1:12" x14ac:dyDescent="0.2">
      <c r="A214" s="1" t="s">
        <v>736</v>
      </c>
      <c r="B214" s="1" t="s">
        <v>346</v>
      </c>
      <c r="C214" s="1" t="s">
        <v>336</v>
      </c>
      <c r="D214" s="1" t="s">
        <v>737</v>
      </c>
      <c r="E214" s="2">
        <v>25</v>
      </c>
      <c r="F214" s="2">
        <v>325</v>
      </c>
      <c r="G214" s="2"/>
      <c r="H214" s="2"/>
      <c r="I214" s="2"/>
      <c r="J214" s="2"/>
      <c r="K214" s="2"/>
      <c r="L214" s="2"/>
    </row>
    <row r="215" spans="1:12" x14ac:dyDescent="0.2">
      <c r="A215" s="1" t="s">
        <v>738</v>
      </c>
      <c r="B215" s="1" t="s">
        <v>346</v>
      </c>
      <c r="C215" s="1" t="s">
        <v>336</v>
      </c>
      <c r="D215" s="1" t="s">
        <v>739</v>
      </c>
      <c r="E215" s="2">
        <v>0</v>
      </c>
      <c r="F215" s="2">
        <v>0</v>
      </c>
      <c r="G215" s="2"/>
      <c r="H215" s="2"/>
      <c r="I215" s="2"/>
      <c r="J215" s="2"/>
      <c r="K215" s="2"/>
      <c r="L215" s="2"/>
    </row>
    <row r="216" spans="1:12" x14ac:dyDescent="0.2">
      <c r="A216" s="1" t="s">
        <v>740</v>
      </c>
      <c r="B216" s="1" t="s">
        <v>346</v>
      </c>
      <c r="C216" s="1" t="s">
        <v>336</v>
      </c>
      <c r="D216" s="1" t="s">
        <v>741</v>
      </c>
      <c r="E216" s="2">
        <v>1500</v>
      </c>
      <c r="F216" s="2">
        <v>1625</v>
      </c>
      <c r="G216" s="2"/>
      <c r="H216" s="2"/>
      <c r="I216" s="2"/>
      <c r="J216" s="2"/>
      <c r="K216" s="2"/>
      <c r="L216" s="2"/>
    </row>
    <row r="217" spans="1:12" x14ac:dyDescent="0.2">
      <c r="A217" s="1" t="s">
        <v>742</v>
      </c>
      <c r="B217" s="1" t="s">
        <v>346</v>
      </c>
      <c r="C217" s="1" t="s">
        <v>336</v>
      </c>
      <c r="D217" s="1" t="s">
        <v>743</v>
      </c>
      <c r="E217" s="2">
        <v>0</v>
      </c>
      <c r="F217" s="2">
        <v>0</v>
      </c>
      <c r="G217" s="2"/>
      <c r="H217" s="2"/>
      <c r="I217" s="2"/>
      <c r="J217" s="2"/>
      <c r="K217" s="2"/>
      <c r="L217" s="2"/>
    </row>
    <row r="218" spans="1:12" x14ac:dyDescent="0.2">
      <c r="A218" s="1" t="s">
        <v>744</v>
      </c>
      <c r="B218" s="1" t="s">
        <v>346</v>
      </c>
      <c r="C218" s="1" t="s">
        <v>336</v>
      </c>
      <c r="D218" s="1" t="s">
        <v>745</v>
      </c>
      <c r="E218" s="2">
        <v>0</v>
      </c>
      <c r="F218" s="2">
        <v>0</v>
      </c>
      <c r="G218" s="2"/>
      <c r="H218" s="2"/>
      <c r="I218" s="2"/>
      <c r="J218" s="2"/>
      <c r="K218" s="2"/>
      <c r="L218" s="2"/>
    </row>
    <row r="219" spans="1:12" x14ac:dyDescent="0.2">
      <c r="A219" s="1" t="s">
        <v>746</v>
      </c>
      <c r="B219" s="1" t="s">
        <v>346</v>
      </c>
      <c r="C219" s="1" t="s">
        <v>336</v>
      </c>
      <c r="D219" s="1" t="s">
        <v>747</v>
      </c>
      <c r="E219" s="2">
        <v>0</v>
      </c>
      <c r="F219" s="2">
        <v>0</v>
      </c>
      <c r="G219" s="2"/>
      <c r="H219" s="2"/>
      <c r="I219" s="2"/>
      <c r="J219" s="2"/>
      <c r="K219" s="2"/>
      <c r="L219" s="2"/>
    </row>
    <row r="220" spans="1:12" x14ac:dyDescent="0.2">
      <c r="A220" s="1" t="s">
        <v>748</v>
      </c>
      <c r="B220" s="1" t="s">
        <v>346</v>
      </c>
      <c r="C220" s="1" t="s">
        <v>336</v>
      </c>
      <c r="D220" s="1" t="s">
        <v>749</v>
      </c>
      <c r="E220" s="2">
        <v>0</v>
      </c>
      <c r="F220" s="2">
        <v>0</v>
      </c>
      <c r="G220" s="2"/>
      <c r="H220" s="2"/>
      <c r="I220" s="2"/>
      <c r="J220" s="2"/>
      <c r="K220" s="2"/>
      <c r="L220" s="2"/>
    </row>
    <row r="221" spans="1:12" x14ac:dyDescent="0.2">
      <c r="A221" s="1" t="s">
        <v>750</v>
      </c>
      <c r="B221" s="1" t="s">
        <v>346</v>
      </c>
      <c r="C221" s="1" t="s">
        <v>336</v>
      </c>
      <c r="D221" s="1" t="s">
        <v>751</v>
      </c>
      <c r="E221" s="2">
        <v>0</v>
      </c>
      <c r="F221" s="2">
        <v>0</v>
      </c>
      <c r="G221" s="2"/>
      <c r="H221" s="2"/>
      <c r="I221" s="2"/>
      <c r="J221" s="2"/>
      <c r="K221" s="2"/>
      <c r="L221" s="2"/>
    </row>
    <row r="222" spans="1:12" x14ac:dyDescent="0.2">
      <c r="A222" s="1" t="s">
        <v>752</v>
      </c>
      <c r="B222" s="1" t="s">
        <v>346</v>
      </c>
      <c r="C222" s="1" t="s">
        <v>336</v>
      </c>
      <c r="D222" s="1" t="s">
        <v>753</v>
      </c>
      <c r="E222" s="2">
        <v>0</v>
      </c>
      <c r="F222" s="2">
        <v>0</v>
      </c>
      <c r="G222" s="2"/>
      <c r="H222" s="2"/>
      <c r="I222" s="2"/>
      <c r="J222" s="2"/>
      <c r="K222" s="2"/>
      <c r="L222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25" x14ac:dyDescent="0.2"/>
  <sheetData>
    <row r="1" spans="1:1" ht="17.25" x14ac:dyDescent="0.2">
      <c r="A1" s="37" t="s">
        <v>754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锌</vt:lpstr>
      <vt:lpstr>锌模板</vt:lpstr>
      <vt:lpstr>锌原始数据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2023-10-10T09:20:26Z</dcterms:modified>
</cp:coreProperties>
</file>