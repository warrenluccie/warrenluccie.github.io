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s资料\zs资料\衍生品模板\"/>
    </mc:Choice>
  </mc:AlternateContent>
  <bookViews>
    <workbookView xWindow="0" yWindow="0" windowWidth="28800" windowHeight="12240"/>
  </bookViews>
  <sheets>
    <sheet name="PCR情况统计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G3" i="1" s="1"/>
  <c r="E25" i="1"/>
  <c r="G86" i="1"/>
  <c r="G79" i="1"/>
  <c r="G72" i="1"/>
  <c r="H56" i="1"/>
  <c r="H50" i="1"/>
  <c r="H47" i="1"/>
  <c r="H41" i="1"/>
  <c r="H27" i="1"/>
  <c r="G21" i="1"/>
  <c r="G18" i="1"/>
  <c r="G12" i="1"/>
  <c r="F84" i="1"/>
  <c r="E26" i="1"/>
  <c r="F80" i="1"/>
  <c r="E10" i="1"/>
  <c r="H18" i="1"/>
  <c r="F86" i="1"/>
  <c r="F79" i="1"/>
  <c r="F72" i="1"/>
  <c r="G56" i="1"/>
  <c r="G50" i="1"/>
  <c r="G47" i="1"/>
  <c r="G41" i="1"/>
  <c r="G27" i="1"/>
  <c r="F21" i="1"/>
  <c r="F18" i="1"/>
  <c r="F12" i="1"/>
  <c r="E14" i="1"/>
  <c r="E43" i="1"/>
  <c r="F13" i="1"/>
  <c r="E19" i="1"/>
  <c r="E13" i="1"/>
  <c r="E80" i="1"/>
  <c r="E86" i="1"/>
  <c r="E79" i="1"/>
  <c r="E72" i="1"/>
  <c r="F56" i="1"/>
  <c r="F50" i="1"/>
  <c r="F47" i="1"/>
  <c r="F41" i="1"/>
  <c r="F27" i="1"/>
  <c r="E21" i="1"/>
  <c r="E18" i="1"/>
  <c r="E12" i="1"/>
  <c r="E11" i="1"/>
  <c r="E49" i="1"/>
  <c r="H10" i="1"/>
  <c r="F48" i="1"/>
  <c r="E54" i="1"/>
  <c r="G85" i="1"/>
  <c r="G78" i="1"/>
  <c r="G71" i="1"/>
  <c r="E56" i="1"/>
  <c r="E50" i="1"/>
  <c r="E47" i="1"/>
  <c r="E41" i="1"/>
  <c r="E27" i="1"/>
  <c r="H20" i="1"/>
  <c r="H14" i="1"/>
  <c r="H11" i="1"/>
  <c r="F70" i="1"/>
  <c r="H13" i="1"/>
  <c r="F39" i="1"/>
  <c r="E69" i="1"/>
  <c r="F85" i="1"/>
  <c r="F78" i="1"/>
  <c r="F71" i="1"/>
  <c r="H55" i="1"/>
  <c r="H49" i="1"/>
  <c r="H43" i="1"/>
  <c r="H40" i="1"/>
  <c r="H26" i="1"/>
  <c r="G20" i="1"/>
  <c r="G14" i="1"/>
  <c r="G11" i="1"/>
  <c r="F77" i="1"/>
  <c r="H19" i="1"/>
  <c r="F69" i="1"/>
  <c r="H21" i="1"/>
  <c r="E85" i="1"/>
  <c r="E78" i="1"/>
  <c r="E71" i="1"/>
  <c r="G55" i="1"/>
  <c r="G49" i="1"/>
  <c r="G43" i="1"/>
  <c r="G40" i="1"/>
  <c r="G26" i="1"/>
  <c r="F20" i="1"/>
  <c r="F14" i="1"/>
  <c r="F11" i="1"/>
  <c r="E20" i="1"/>
  <c r="E40" i="1"/>
  <c r="F10" i="1"/>
  <c r="F25" i="1"/>
  <c r="E73" i="1"/>
  <c r="G84" i="1"/>
  <c r="G77" i="1"/>
  <c r="G70" i="1"/>
  <c r="F55" i="1"/>
  <c r="F49" i="1"/>
  <c r="F43" i="1"/>
  <c r="F40" i="1"/>
  <c r="F26" i="1"/>
  <c r="E55" i="1"/>
  <c r="F73" i="1"/>
  <c r="E39" i="1"/>
  <c r="E84" i="1"/>
  <c r="E77" i="1"/>
  <c r="E70" i="1"/>
  <c r="H54" i="1"/>
  <c r="H48" i="1"/>
  <c r="H42" i="1"/>
  <c r="H39" i="1"/>
  <c r="H25" i="1"/>
  <c r="G19" i="1"/>
  <c r="G13" i="1"/>
  <c r="G10" i="1"/>
  <c r="G25" i="1"/>
  <c r="F54" i="1"/>
  <c r="E48" i="1"/>
  <c r="H12" i="1"/>
  <c r="G80" i="1"/>
  <c r="G73" i="1"/>
  <c r="G69" i="1"/>
  <c r="G54" i="1"/>
  <c r="G48" i="1"/>
  <c r="G42" i="1"/>
  <c r="G39" i="1"/>
  <c r="F19" i="1"/>
  <c r="F42" i="1"/>
  <c r="E42" i="1"/>
  <c r="G74" i="1" l="1"/>
  <c r="F74" i="1"/>
  <c r="E74" i="1"/>
  <c r="H72" i="1"/>
  <c r="H73" i="1"/>
  <c r="E15" i="1"/>
  <c r="G44" i="1"/>
  <c r="F44" i="1"/>
  <c r="E44" i="1"/>
  <c r="F15" i="1"/>
  <c r="G15" i="1"/>
  <c r="H1" i="1"/>
  <c r="H85" i="1" l="1"/>
  <c r="H80" i="1"/>
  <c r="H79" i="1"/>
  <c r="H78" i="1"/>
  <c r="H86" i="1"/>
  <c r="H77" i="1"/>
  <c r="H84" i="1"/>
  <c r="H69" i="1"/>
  <c r="H71" i="1"/>
  <c r="H70" i="1"/>
  <c r="G87" i="1"/>
  <c r="F87" i="1"/>
  <c r="E87" i="1"/>
  <c r="G81" i="1"/>
  <c r="F81" i="1"/>
  <c r="E81" i="1"/>
  <c r="G57" i="1"/>
  <c r="F57" i="1"/>
  <c r="E57" i="1"/>
  <c r="G51" i="1"/>
  <c r="F51" i="1"/>
  <c r="E51" i="1"/>
  <c r="E28" i="1"/>
  <c r="G28" i="1"/>
  <c r="F28" i="1"/>
  <c r="G22" i="1"/>
  <c r="F22" i="1"/>
  <c r="E22" i="1"/>
  <c r="H28" i="1" l="1"/>
  <c r="H81" i="1"/>
  <c r="H15" i="1"/>
  <c r="H87" i="1"/>
  <c r="H74" i="1"/>
  <c r="H57" i="1"/>
  <c r="H22" i="1"/>
  <c r="H51" i="1"/>
  <c r="H44" i="1"/>
  <c r="F89" i="1"/>
  <c r="G89" i="1"/>
  <c r="E89" i="1"/>
  <c r="E59" i="1"/>
  <c r="G59" i="1"/>
  <c r="E30" i="1"/>
  <c r="F30" i="1"/>
  <c r="F59" i="1"/>
  <c r="G30" i="1"/>
  <c r="H30" i="1" l="1"/>
  <c r="H89" i="1"/>
  <c r="H59" i="1"/>
</calcChain>
</file>

<file path=xl/comments1.xml><?xml version="1.0" encoding="utf-8"?>
<comments xmlns="http://schemas.openxmlformats.org/spreadsheetml/2006/main">
  <authors>
    <author>Zhai Shuai</author>
  </authors>
  <commentList>
    <comment ref="D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输入日期格式：
yyyy-mm-dd</t>
        </r>
      </text>
    </comment>
  </commentList>
</comments>
</file>

<file path=xl/sharedStrings.xml><?xml version="1.0" encoding="utf-8"?>
<sst xmlns="http://schemas.openxmlformats.org/spreadsheetml/2006/main" count="117" uniqueCount="64">
  <si>
    <t>标的名称</t>
    <phoneticPr fontId="3" type="noConversion"/>
  </si>
  <si>
    <t>上证50ETF</t>
  </si>
  <si>
    <t>中证500ETF</t>
  </si>
  <si>
    <t>创业板ETF</t>
  </si>
  <si>
    <t>深证100ETF</t>
  </si>
  <si>
    <t>沪深300</t>
  </si>
  <si>
    <t>中证1000</t>
  </si>
  <si>
    <t>上证50</t>
  </si>
  <si>
    <t>上交所</t>
    <phoneticPr fontId="1" type="noConversion"/>
  </si>
  <si>
    <t>沪300ETF</t>
    <phoneticPr fontId="1" type="noConversion"/>
  </si>
  <si>
    <t>沪500ETF</t>
    <phoneticPr fontId="1" type="noConversion"/>
  </si>
  <si>
    <t>深交所</t>
    <phoneticPr fontId="1" type="noConversion"/>
  </si>
  <si>
    <t>中金所</t>
    <phoneticPr fontId="1" type="noConversion"/>
  </si>
  <si>
    <t>510050.SH</t>
  </si>
  <si>
    <t>510300.SH</t>
  </si>
  <si>
    <t>510500.SH</t>
  </si>
  <si>
    <t>159919.SZ</t>
  </si>
  <si>
    <t>159922.SZ</t>
  </si>
  <si>
    <t>159915.SZ</t>
  </si>
  <si>
    <t>159901.SZ</t>
  </si>
  <si>
    <t>000300.SH</t>
  </si>
  <si>
    <t>000852.SH</t>
  </si>
  <si>
    <t>000016.SH</t>
  </si>
  <si>
    <t>日期</t>
    <phoneticPr fontId="3" type="noConversion"/>
  </si>
  <si>
    <t>标的代码</t>
    <phoneticPr fontId="1" type="noConversion"/>
  </si>
  <si>
    <t>期权成交量</t>
    <phoneticPr fontId="3" type="noConversion"/>
  </si>
  <si>
    <t>期权持仓量</t>
    <phoneticPr fontId="3" type="noConversion"/>
  </si>
  <si>
    <t>期权成交额</t>
    <phoneticPr fontId="3" type="noConversion"/>
  </si>
  <si>
    <t>认购成交额（亿元）</t>
    <phoneticPr fontId="1" type="noConversion"/>
  </si>
  <si>
    <t>总计</t>
    <phoneticPr fontId="1" type="noConversion"/>
  </si>
  <si>
    <t>全市场总计</t>
    <phoneticPr fontId="1" type="noConversion"/>
  </si>
  <si>
    <t>深交所</t>
    <phoneticPr fontId="1" type="noConversion"/>
  </si>
  <si>
    <t>沪深300ETF</t>
    <phoneticPr fontId="1" type="noConversion"/>
  </si>
  <si>
    <t>总计</t>
    <phoneticPr fontId="1" type="noConversion"/>
  </si>
  <si>
    <t>上交所</t>
    <phoneticPr fontId="1" type="noConversion"/>
  </si>
  <si>
    <t>沪深300ETF</t>
    <phoneticPr fontId="1" type="noConversion"/>
  </si>
  <si>
    <t>总计</t>
    <phoneticPr fontId="1" type="noConversion"/>
  </si>
  <si>
    <t>标的代码</t>
    <phoneticPr fontId="1" type="noConversion"/>
  </si>
  <si>
    <t>总持仓量（万张）</t>
    <phoneticPr fontId="1" type="noConversion"/>
  </si>
  <si>
    <t>全市场总计</t>
    <phoneticPr fontId="1" type="noConversion"/>
  </si>
  <si>
    <t>标的名称</t>
    <phoneticPr fontId="3" type="noConversion"/>
  </si>
  <si>
    <t>认沽成交额（亿元）</t>
    <phoneticPr fontId="1" type="noConversion"/>
  </si>
  <si>
    <t>总成交额（亿元）</t>
    <phoneticPr fontId="1" type="noConversion"/>
  </si>
  <si>
    <t>上交所</t>
    <phoneticPr fontId="1" type="noConversion"/>
  </si>
  <si>
    <t>沪300ETF</t>
    <phoneticPr fontId="1" type="noConversion"/>
  </si>
  <si>
    <t>沪500ETF</t>
    <phoneticPr fontId="1" type="noConversion"/>
  </si>
  <si>
    <t>总计</t>
    <phoneticPr fontId="1" type="noConversion"/>
  </si>
  <si>
    <t>沪深300ETF</t>
    <phoneticPr fontId="1" type="noConversion"/>
  </si>
  <si>
    <t>中金所</t>
    <phoneticPr fontId="1" type="noConversion"/>
  </si>
  <si>
    <t>全市场总计</t>
    <phoneticPr fontId="1" type="noConversion"/>
  </si>
  <si>
    <t>认购成交量（万张）</t>
    <phoneticPr fontId="1" type="noConversion"/>
  </si>
  <si>
    <t>认沽成交量（万张）</t>
    <phoneticPr fontId="1" type="noConversion"/>
  </si>
  <si>
    <t>总成交量（万张）</t>
    <phoneticPr fontId="1" type="noConversion"/>
  </si>
  <si>
    <t>认购持仓量（万张）</t>
    <phoneticPr fontId="1" type="noConversion"/>
  </si>
  <si>
    <t>认沽持仓量（万张）</t>
    <phoneticPr fontId="1" type="noConversion"/>
  </si>
  <si>
    <t>金融类期权 -PCR情况统计</t>
    <phoneticPr fontId="3" type="noConversion"/>
  </si>
  <si>
    <t>成交量PCR</t>
    <phoneticPr fontId="1" type="noConversion"/>
  </si>
  <si>
    <t>持仓量PCR</t>
    <phoneticPr fontId="1" type="noConversion"/>
  </si>
  <si>
    <t>成交额PCR</t>
    <phoneticPr fontId="1" type="noConversion"/>
  </si>
  <si>
    <t>最近更新：</t>
    <phoneticPr fontId="1" type="noConversion"/>
  </si>
  <si>
    <t>科创50ETF</t>
    <phoneticPr fontId="1" type="noConversion"/>
  </si>
  <si>
    <t>588000.SH</t>
    <phoneticPr fontId="1" type="noConversion"/>
  </si>
  <si>
    <t>588080.SH</t>
    <phoneticPr fontId="1" type="noConversion"/>
  </si>
  <si>
    <t>科创板50ETF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</si>
</sst>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\-mm\-dd"/>
    <numFmt numFmtId="177" formatCode="0.00_ "/>
    <numFmt numFmtId="178" formatCode="0.00_);[Red]\(0.00\)"/>
    <numFmt numFmtId="179" formatCode="0.0000_);[Red]\(0.0000\)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0"/>
      <color theme="1"/>
      <name val="Arial"/>
      <family val="2"/>
    </font>
    <font>
      <sz val="11"/>
      <color theme="6" tint="0.79998168889431442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0"/>
      <color rgb="FF0093AD"/>
      <name val="微软雅黑"/>
      <family val="2"/>
      <charset val="134"/>
    </font>
    <font>
      <sz val="10"/>
      <color rgb="FF0093AD"/>
      <name val="Arial"/>
      <family val="2"/>
    </font>
    <font>
      <b/>
      <sz val="10"/>
      <color rgb="FF0093AD"/>
      <name val="Arial"/>
      <family val="2"/>
    </font>
    <font>
      <sz val="11"/>
      <color rgb="FF0093AD"/>
      <name val="等线"/>
      <family val="2"/>
      <charset val="134"/>
      <scheme val="minor"/>
    </font>
    <font>
      <sz val="11"/>
      <color theme="2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3" borderId="0" xfId="0" applyFill="1" applyAlignment="1"/>
    <xf numFmtId="0" fontId="0" fillId="4" borderId="0" xfId="0" applyFill="1" applyAlignment="1"/>
    <xf numFmtId="0" fontId="5" fillId="4" borderId="1" xfId="0" applyFont="1" applyFill="1" applyBorder="1" applyAlignment="1">
      <alignment vertical="top"/>
    </xf>
    <xf numFmtId="0" fontId="0" fillId="4" borderId="1" xfId="0" applyFill="1" applyBorder="1" applyAlignment="1"/>
    <xf numFmtId="0" fontId="7" fillId="4" borderId="0" xfId="0" applyFont="1" applyFill="1" applyAlignment="1"/>
    <xf numFmtId="176" fontId="8" fillId="7" borderId="0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6" fillId="8" borderId="0" xfId="0" applyFont="1" applyFill="1" applyAlignment="1"/>
    <xf numFmtId="14" fontId="10" fillId="3" borderId="0" xfId="0" applyNumberFormat="1" applyFont="1" applyFill="1" applyAlignment="1"/>
    <xf numFmtId="0" fontId="6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12" fillId="4" borderId="0" xfId="0" applyFont="1" applyFill="1" applyAlignment="1"/>
    <xf numFmtId="0" fontId="7" fillId="6" borderId="0" xfId="0" applyFont="1" applyFill="1" applyAlignment="1">
      <alignment horizontal="left"/>
    </xf>
    <xf numFmtId="177" fontId="8" fillId="6" borderId="0" xfId="0" applyNumberFormat="1" applyFont="1" applyFill="1" applyAlignment="1">
      <alignment horizontal="right" vertical="center"/>
    </xf>
    <xf numFmtId="177" fontId="8" fillId="4" borderId="0" xfId="0" applyNumberFormat="1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13" fillId="6" borderId="0" xfId="0" applyFont="1" applyFill="1" applyAlignment="1"/>
    <xf numFmtId="0" fontId="14" fillId="6" borderId="0" xfId="0" applyFont="1" applyFill="1" applyAlignment="1"/>
    <xf numFmtId="177" fontId="15" fillId="6" borderId="0" xfId="0" applyNumberFormat="1" applyFont="1" applyFill="1" applyAlignment="1">
      <alignment horizontal="right" vertical="center"/>
    </xf>
    <xf numFmtId="0" fontId="15" fillId="6" borderId="0" xfId="0" applyFont="1" applyFill="1" applyAlignment="1"/>
    <xf numFmtId="0" fontId="13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177" fontId="15" fillId="4" borderId="0" xfId="0" applyNumberFormat="1" applyFont="1" applyFill="1" applyAlignment="1">
      <alignment horizontal="right" vertical="center"/>
    </xf>
    <xf numFmtId="0" fontId="13" fillId="6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178" fontId="15" fillId="6" borderId="0" xfId="0" applyNumberFormat="1" applyFont="1" applyFill="1" applyAlignment="1">
      <alignment horizontal="right" vertical="center"/>
    </xf>
    <xf numFmtId="14" fontId="4" fillId="2" borderId="0" xfId="0" applyNumberFormat="1" applyFont="1" applyFill="1" applyAlignment="1">
      <alignment horizontal="left" vertical="center"/>
    </xf>
    <xf numFmtId="14" fontId="10" fillId="3" borderId="0" xfId="0" applyNumberFormat="1" applyFont="1" applyFill="1" applyAlignment="1">
      <alignment horizontal="left"/>
    </xf>
    <xf numFmtId="14" fontId="16" fillId="3" borderId="0" xfId="0" applyNumberFormat="1" applyFont="1" applyFill="1" applyAlignment="1"/>
    <xf numFmtId="176" fontId="17" fillId="3" borderId="0" xfId="0" applyNumberFormat="1" applyFont="1" applyFill="1" applyAlignment="1">
      <alignment horizontal="right"/>
    </xf>
    <xf numFmtId="179" fontId="8" fillId="6" borderId="0" xfId="0" applyNumberFormat="1" applyFont="1" applyFill="1" applyAlignment="1">
      <alignment horizontal="right" vertical="center"/>
    </xf>
    <xf numFmtId="179" fontId="8" fillId="4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15" fillId="6" borderId="0" xfId="0" applyNumberFormat="1" applyFont="1" applyFill="1" applyAlignment="1">
      <alignment horizontal="right" vertical="center"/>
    </xf>
    <xf numFmtId="179" fontId="7" fillId="4" borderId="0" xfId="0" applyNumberFormat="1" applyFont="1" applyFill="1" applyAlignment="1"/>
    <xf numFmtId="179" fontId="0" fillId="3" borderId="0" xfId="0" applyNumberFormat="1" applyFill="1" applyAlignment="1"/>
    <xf numFmtId="179" fontId="0" fillId="4" borderId="0" xfId="0" applyNumberFormat="1" applyFill="1" applyAlignment="1"/>
    <xf numFmtId="179" fontId="0" fillId="4" borderId="1" xfId="0" applyNumberFormat="1" applyFill="1" applyBorder="1" applyAlignment="1"/>
    <xf numFmtId="14" fontId="4" fillId="2" borderId="0" xfId="0" applyNumberFormat="1" applyFont="1" applyFill="1" applyAlignment="1">
      <alignment horizontal="right" vertical="center"/>
    </xf>
  </cellXfs>
  <cellStyles count="1">
    <cellStyle name="常规" xfId="0" builtinId="0"/>
  </cellStyles>
  <dxfs count="10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0093AD"/>
      <color rgb="FFC52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407127</xdr:colOff>
      <xdr:row>0</xdr:row>
      <xdr:rowOff>304800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07152" cy="219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callamount"/>
      <definedName name="s_dq_calloi"/>
      <definedName name="s_dq_callvolume"/>
      <definedName name="s_dq_optionamount"/>
      <definedName name="s_dq_optionoi"/>
      <definedName name="s_dq_optionvolume"/>
      <definedName name="s_dq_putamount"/>
      <definedName name="s_dq_putoi"/>
      <definedName name="s_dq_putvolume"/>
      <definedName name="w_anal_oiratio"/>
      <definedName name="w_anal_volumerati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2"/>
  <sheetViews>
    <sheetView showGridLines="0" tabSelected="1" workbookViewId="0">
      <pane ySplit="1" topLeftCell="A2" activePane="bottomLeft" state="frozen"/>
      <selection pane="bottomLeft" activeCell="N23" sqref="N23"/>
    </sheetView>
  </sheetViews>
  <sheetFormatPr defaultRowHeight="14.25" x14ac:dyDescent="0.2"/>
  <cols>
    <col min="1" max="1" width="4.5" customWidth="1"/>
    <col min="2" max="2" width="5.75" customWidth="1"/>
    <col min="3" max="8" width="15.625" customWidth="1"/>
    <col min="9" max="9" width="6.875" customWidth="1"/>
    <col min="10" max="10" width="6.625" customWidth="1"/>
  </cols>
  <sheetData>
    <row r="1" spans="1:10" ht="30.75" customHeight="1" x14ac:dyDescent="0.2">
      <c r="A1" s="1"/>
      <c r="B1" s="1"/>
      <c r="C1" s="1"/>
      <c r="D1" s="2" t="s">
        <v>55</v>
      </c>
      <c r="E1" s="2"/>
      <c r="F1" s="2"/>
      <c r="G1" s="46" t="s">
        <v>59</v>
      </c>
      <c r="H1" s="33">
        <f ca="1">TODAY()</f>
        <v>45855</v>
      </c>
      <c r="I1" s="1"/>
      <c r="J1" s="1"/>
    </row>
    <row r="2" spans="1:10" x14ac:dyDescent="0.2">
      <c r="A2" s="3"/>
      <c r="B2" s="3"/>
      <c r="C2" s="3"/>
      <c r="D2" s="3"/>
      <c r="E2" s="3"/>
      <c r="F2" s="3"/>
      <c r="G2" s="3"/>
      <c r="H2" s="34"/>
      <c r="I2" s="3"/>
      <c r="J2" s="3"/>
    </row>
    <row r="3" spans="1:10" ht="16.5" x14ac:dyDescent="0.35">
      <c r="A3" s="3"/>
      <c r="B3" s="3"/>
      <c r="C3" s="13" t="s">
        <v>23</v>
      </c>
      <c r="D3" s="8">
        <f ca="1">TODAY()-1</f>
        <v>45854</v>
      </c>
      <c r="E3" s="14"/>
      <c r="F3" s="14"/>
      <c r="G3" s="14">
        <f ca="1">D3</f>
        <v>45854</v>
      </c>
      <c r="H3" s="36"/>
      <c r="I3" s="35"/>
      <c r="J3" s="3"/>
    </row>
    <row r="4" spans="1:10" x14ac:dyDescent="0.2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">
      <c r="A5" s="3"/>
      <c r="B5" s="4"/>
      <c r="C5" s="4"/>
      <c r="D5" s="4"/>
      <c r="E5" s="4"/>
      <c r="F5" s="4"/>
      <c r="G5" s="4"/>
      <c r="H5" s="4"/>
      <c r="I5" s="4"/>
      <c r="J5" s="3"/>
    </row>
    <row r="6" spans="1:10" ht="17.25" x14ac:dyDescent="0.2">
      <c r="A6" s="3"/>
      <c r="B6" s="4"/>
      <c r="C6" s="5" t="s">
        <v>25</v>
      </c>
      <c r="D6" s="6"/>
      <c r="E6" s="6"/>
      <c r="F6" s="6"/>
      <c r="G6" s="6"/>
      <c r="H6" s="6"/>
      <c r="I6" s="4"/>
      <c r="J6" s="3"/>
    </row>
    <row r="7" spans="1:10" x14ac:dyDescent="0.2">
      <c r="A7" s="3"/>
      <c r="B7" s="4"/>
      <c r="C7" s="4"/>
      <c r="D7" s="4"/>
      <c r="E7" s="4"/>
      <c r="F7" s="4"/>
      <c r="G7" s="4"/>
      <c r="H7" s="4"/>
      <c r="I7" s="4"/>
      <c r="J7" s="3"/>
    </row>
    <row r="8" spans="1:10" ht="16.5" x14ac:dyDescent="0.35">
      <c r="A8" s="3"/>
      <c r="B8" s="4"/>
      <c r="C8" s="9" t="s">
        <v>0</v>
      </c>
      <c r="D8" s="9" t="s">
        <v>24</v>
      </c>
      <c r="E8" s="9" t="s">
        <v>50</v>
      </c>
      <c r="F8" s="9" t="s">
        <v>51</v>
      </c>
      <c r="G8" s="9" t="s">
        <v>52</v>
      </c>
      <c r="H8" s="9" t="s">
        <v>56</v>
      </c>
      <c r="I8" s="4"/>
      <c r="J8" s="3"/>
    </row>
    <row r="9" spans="1:10" ht="17.25" x14ac:dyDescent="0.35">
      <c r="A9" s="3"/>
      <c r="B9" s="4"/>
      <c r="C9" s="15" t="s">
        <v>8</v>
      </c>
      <c r="D9" s="17"/>
      <c r="E9" s="17"/>
      <c r="F9" s="17"/>
      <c r="G9" s="7"/>
      <c r="H9" s="18"/>
      <c r="I9" s="4"/>
      <c r="J9" s="3"/>
    </row>
    <row r="10" spans="1:10" ht="16.5" x14ac:dyDescent="0.35">
      <c r="A10" s="3"/>
      <c r="B10" s="4"/>
      <c r="C10" s="19" t="s">
        <v>1</v>
      </c>
      <c r="D10" s="10" t="s">
        <v>13</v>
      </c>
      <c r="E10" s="20">
        <f ca="1">[1]!s_dq_callvolume(D10,$G$3,10000)</f>
        <v>62.637799999999999</v>
      </c>
      <c r="F10" s="20">
        <f ca="1">[1]!s_dq_putvolume(D10,$G$3,10000)</f>
        <v>67.252700000000004</v>
      </c>
      <c r="G10" s="20">
        <f ca="1">[1]!s_dq_optionvolume(D10,$G$3,10000)</f>
        <v>129.8905</v>
      </c>
      <c r="H10" s="37">
        <f ca="1">[1]!w_anal_volumeratio(D10,"0",$D$3)</f>
        <v>1.0736759592450564</v>
      </c>
      <c r="I10" s="4"/>
      <c r="J10" s="3"/>
    </row>
    <row r="11" spans="1:10" ht="16.5" x14ac:dyDescent="0.35">
      <c r="A11" s="3"/>
      <c r="B11" s="4"/>
      <c r="C11" s="17" t="s">
        <v>9</v>
      </c>
      <c r="D11" s="11" t="s">
        <v>14</v>
      </c>
      <c r="E11" s="21">
        <f ca="1">[1]!s_dq_callvolume(D11,$G$3,10000)</f>
        <v>76.680000000000007</v>
      </c>
      <c r="F11" s="21">
        <f ca="1">[1]!s_dq_putvolume(D11,$G$3,10000)</f>
        <v>84.587299999999999</v>
      </c>
      <c r="G11" s="21">
        <f ca="1">[1]!s_dq_optionvolume(D11,$G$3,10000)</f>
        <v>161.26730000000001</v>
      </c>
      <c r="H11" s="38">
        <f ca="1">[1]!w_anal_volumeratio(D11,"0",$D$3)</f>
        <v>1.1031207616066772</v>
      </c>
      <c r="I11" s="4"/>
      <c r="J11" s="3"/>
    </row>
    <row r="12" spans="1:10" ht="16.5" x14ac:dyDescent="0.35">
      <c r="A12" s="3"/>
      <c r="B12" s="4"/>
      <c r="C12" s="19" t="s">
        <v>10</v>
      </c>
      <c r="D12" s="10" t="s">
        <v>15</v>
      </c>
      <c r="E12" s="20">
        <f ca="1">[1]!s_dq_callvolume(D12,$G$3,10000)</f>
        <v>92.455699999999993</v>
      </c>
      <c r="F12" s="20">
        <f ca="1">[1]!s_dq_putvolume(D12,$G$3,10000)</f>
        <v>81.324799999999996</v>
      </c>
      <c r="G12" s="20">
        <f ca="1">[1]!s_dq_optionvolume(D12,$G$3,10000)</f>
        <v>173.78049999999999</v>
      </c>
      <c r="H12" s="37">
        <f ca="1">[1]!w_anal_volumeratio(D12,"0",$D$3)</f>
        <v>0.87960828807742519</v>
      </c>
      <c r="I12" s="4"/>
      <c r="J12" s="3"/>
    </row>
    <row r="13" spans="1:10" ht="16.5" x14ac:dyDescent="0.35">
      <c r="A13" s="3"/>
      <c r="B13" s="4"/>
      <c r="C13" s="17" t="s">
        <v>60</v>
      </c>
      <c r="D13" s="11" t="s">
        <v>61</v>
      </c>
      <c r="E13" s="21">
        <f ca="1">[1]!s_dq_callvolume(D13,$G$3,10000)</f>
        <v>79.781499999999994</v>
      </c>
      <c r="F13" s="21">
        <f ca="1">[1]!s_dq_putvolume(D13,$G$3,10000)</f>
        <v>39.297899999999998</v>
      </c>
      <c r="G13" s="21">
        <f ca="1">[1]!s_dq_optionvolume(D13,$G$3,10000)</f>
        <v>119.07940000000001</v>
      </c>
      <c r="H13" s="38">
        <f ca="1">[1]!w_anal_volumeratio(D13,"0",$D$3)</f>
        <v>0.49256907929783222</v>
      </c>
      <c r="I13" s="4"/>
      <c r="J13" s="3"/>
    </row>
    <row r="14" spans="1:10" ht="16.5" x14ac:dyDescent="0.35">
      <c r="A14" s="3"/>
      <c r="B14" s="4"/>
      <c r="C14" s="19" t="s">
        <v>63</v>
      </c>
      <c r="D14" s="10" t="s">
        <v>62</v>
      </c>
      <c r="E14" s="20">
        <f ca="1">[1]!s_dq_callvolume(D14,$G$3,10000)</f>
        <v>14.8735</v>
      </c>
      <c r="F14" s="20">
        <f ca="1">[1]!s_dq_putvolume(D14,$G$3,10000)</f>
        <v>6.5346000000000002</v>
      </c>
      <c r="G14" s="20">
        <f ca="1">[1]!s_dq_optionvolume(D14,$G$3,10000)</f>
        <v>21.408100000000001</v>
      </c>
      <c r="H14" s="37">
        <f ca="1">[1]!w_anal_volumeratio(D14,"0",$D$3)</f>
        <v>0.43934514404813929</v>
      </c>
      <c r="I14" s="4"/>
      <c r="J14" s="3"/>
    </row>
    <row r="15" spans="1:10" ht="16.5" x14ac:dyDescent="0.35">
      <c r="A15" s="3"/>
      <c r="B15" s="4"/>
      <c r="C15" s="27" t="s">
        <v>36</v>
      </c>
      <c r="D15" s="28"/>
      <c r="E15" s="29">
        <f ca="1">SUM(E10:E14)</f>
        <v>326.42849999999999</v>
      </c>
      <c r="F15" s="29">
        <f ca="1">SUM(F10:F14)</f>
        <v>278.99730000000005</v>
      </c>
      <c r="G15" s="29">
        <f ca="1">SUM(G10:G14)</f>
        <v>605.42579999999998</v>
      </c>
      <c r="H15" s="39">
        <f ca="1">F15/E15</f>
        <v>0.85469651087451026</v>
      </c>
      <c r="I15" s="4"/>
      <c r="J15" s="3"/>
    </row>
    <row r="16" spans="1:10" ht="16.5" x14ac:dyDescent="0.35">
      <c r="A16" s="3"/>
      <c r="B16" s="4"/>
      <c r="C16" s="19"/>
      <c r="D16" s="10"/>
      <c r="E16" s="20"/>
      <c r="F16" s="20"/>
      <c r="G16" s="20"/>
      <c r="H16" s="37"/>
      <c r="I16" s="4"/>
      <c r="J16" s="3"/>
    </row>
    <row r="17" spans="1:10" ht="16.5" x14ac:dyDescent="0.35">
      <c r="A17" s="3"/>
      <c r="B17" s="4"/>
      <c r="C17" s="15" t="s">
        <v>31</v>
      </c>
      <c r="D17" s="11"/>
      <c r="E17" s="21"/>
      <c r="F17" s="21"/>
      <c r="G17" s="21"/>
      <c r="H17" s="38"/>
      <c r="I17" s="4"/>
      <c r="J17" s="3"/>
    </row>
    <row r="18" spans="1:10" ht="16.5" x14ac:dyDescent="0.35">
      <c r="A18" s="3"/>
      <c r="B18" s="4"/>
      <c r="C18" s="19" t="s">
        <v>32</v>
      </c>
      <c r="D18" s="10" t="s">
        <v>16</v>
      </c>
      <c r="E18" s="20">
        <f ca="1">[1]!s_dq_callvolume(D18,$G$3,10000)</f>
        <v>6.5270000000000001</v>
      </c>
      <c r="F18" s="20">
        <f ca="1">[1]!s_dq_putvolume(D18,$G$3,10000)</f>
        <v>4.8879000000000001</v>
      </c>
      <c r="G18" s="20">
        <f ca="1">[1]!s_dq_optionvolume(D18,$G$3,10000)</f>
        <v>11.414899999999999</v>
      </c>
      <c r="H18" s="37">
        <f ca="1">[1]!w_anal_volumeratio(D18,"0",$D$3)</f>
        <v>0.74887390838057299</v>
      </c>
      <c r="I18" s="4"/>
      <c r="J18" s="3"/>
    </row>
    <row r="19" spans="1:10" ht="16.5" x14ac:dyDescent="0.35">
      <c r="A19" s="3"/>
      <c r="B19" s="4"/>
      <c r="C19" s="17" t="s">
        <v>2</v>
      </c>
      <c r="D19" s="12" t="s">
        <v>17</v>
      </c>
      <c r="E19" s="22">
        <f ca="1">[1]!s_dq_callvolume(D19,$G$3,10000)</f>
        <v>7.8388</v>
      </c>
      <c r="F19" s="22">
        <f ca="1">[1]!s_dq_putvolume(D19,$G$3,10000)</f>
        <v>5.6200999999999999</v>
      </c>
      <c r="G19" s="22">
        <f ca="1">[1]!s_dq_optionvolume(D19,$G$3,10000)</f>
        <v>13.4589</v>
      </c>
      <c r="H19" s="40">
        <f ca="1">[1]!w_anal_volumeratio(D19,"0",$D$3)</f>
        <v>0.71695922845333471</v>
      </c>
      <c r="I19" s="4"/>
      <c r="J19" s="3"/>
    </row>
    <row r="20" spans="1:10" ht="16.5" x14ac:dyDescent="0.35">
      <c r="A20" s="3"/>
      <c r="B20" s="4"/>
      <c r="C20" s="19" t="s">
        <v>3</v>
      </c>
      <c r="D20" s="10" t="s">
        <v>18</v>
      </c>
      <c r="E20" s="20">
        <f ca="1">[1]!s_dq_callvolume(D20,$G$3,10000)</f>
        <v>86.336299999999994</v>
      </c>
      <c r="F20" s="20">
        <f ca="1">[1]!s_dq_putvolume(D20,$G$3,10000)</f>
        <v>68.390799999999999</v>
      </c>
      <c r="G20" s="20">
        <f ca="1">[1]!s_dq_optionvolume(D20,$G$3,10000)</f>
        <v>154.72710000000001</v>
      </c>
      <c r="H20" s="37">
        <f ca="1">[1]!w_anal_volumeratio(D20,"0",$D$3)</f>
        <v>0.79214420817199716</v>
      </c>
      <c r="I20" s="4"/>
      <c r="J20" s="3"/>
    </row>
    <row r="21" spans="1:10" ht="16.5" x14ac:dyDescent="0.35">
      <c r="A21" s="3"/>
      <c r="B21" s="4"/>
      <c r="C21" s="17" t="s">
        <v>4</v>
      </c>
      <c r="D21" s="11" t="s">
        <v>19</v>
      </c>
      <c r="E21" s="21">
        <f ca="1">[1]!s_dq_callvolume(D21,$G$3,10000)</f>
        <v>4.2030000000000003</v>
      </c>
      <c r="F21" s="21">
        <f ca="1">[1]!s_dq_putvolume(D21,$G$3,10000)</f>
        <v>4.9823000000000004</v>
      </c>
      <c r="G21" s="21">
        <f ca="1">[1]!s_dq_optionvolume(D21,$G$3,10000)</f>
        <v>9.1852999999999998</v>
      </c>
      <c r="H21" s="38">
        <f ca="1">[1]!w_anal_volumeratio(D21,"0",$D$3)</f>
        <v>1.185415179633595</v>
      </c>
      <c r="I21" s="4"/>
      <c r="J21" s="3"/>
    </row>
    <row r="22" spans="1:10" ht="16.5" x14ac:dyDescent="0.35">
      <c r="A22" s="3"/>
      <c r="B22" s="4"/>
      <c r="C22" s="30" t="s">
        <v>29</v>
      </c>
      <c r="D22" s="31"/>
      <c r="E22" s="32">
        <f ca="1">SUM(E19:E21)</f>
        <v>98.378100000000003</v>
      </c>
      <c r="F22" s="32">
        <f t="shared" ref="F22" ca="1" si="0">SUM(F19:F21)</f>
        <v>78.993199999999987</v>
      </c>
      <c r="G22" s="32">
        <f t="shared" ref="G22" ca="1" si="1">SUM(G19:G21)</f>
        <v>177.37130000000002</v>
      </c>
      <c r="H22" s="41">
        <f ca="1">F22/E22</f>
        <v>0.8029551292411623</v>
      </c>
      <c r="I22" s="4"/>
      <c r="J22" s="3"/>
    </row>
    <row r="23" spans="1:10" ht="16.5" x14ac:dyDescent="0.35">
      <c r="A23" s="3"/>
      <c r="B23" s="4"/>
      <c r="C23" s="17"/>
      <c r="D23" s="11"/>
      <c r="E23" s="21"/>
      <c r="F23" s="21"/>
      <c r="G23" s="21"/>
      <c r="H23" s="38"/>
      <c r="I23" s="4"/>
      <c r="J23" s="3"/>
    </row>
    <row r="24" spans="1:10" ht="16.5" x14ac:dyDescent="0.35">
      <c r="A24" s="3"/>
      <c r="B24" s="4"/>
      <c r="C24" s="16" t="s">
        <v>12</v>
      </c>
      <c r="D24" s="10"/>
      <c r="E24" s="20"/>
      <c r="F24" s="20"/>
      <c r="G24" s="20"/>
      <c r="H24" s="37"/>
      <c r="I24" s="4"/>
      <c r="J24" s="3"/>
    </row>
    <row r="25" spans="1:10" ht="16.5" x14ac:dyDescent="0.35">
      <c r="A25" s="3"/>
      <c r="B25" s="4"/>
      <c r="C25" s="17" t="s">
        <v>5</v>
      </c>
      <c r="D25" s="11" t="s">
        <v>20</v>
      </c>
      <c r="E25" s="21">
        <f ca="1">[1]!s_dq_callvolume(D25,$G$3,10000)</f>
        <v>6.1287000000000003</v>
      </c>
      <c r="F25" s="21">
        <f ca="1">[1]!s_dq_putvolume(D25,$G$3,10000)</f>
        <v>3.5659000000000001</v>
      </c>
      <c r="G25" s="21">
        <f ca="1">[1]!s_dq_optionvolume(D25,$G$3,10000)</f>
        <v>9.6945999999999994</v>
      </c>
      <c r="H25" s="38">
        <f ca="1">[1]!w_anal_volumeratio(D25,"0",$D$3)</f>
        <v>0.58183627849299202</v>
      </c>
      <c r="I25" s="4"/>
      <c r="J25" s="3"/>
    </row>
    <row r="26" spans="1:10" ht="16.5" x14ac:dyDescent="0.35">
      <c r="A26" s="3"/>
      <c r="B26" s="4"/>
      <c r="C26" s="19" t="s">
        <v>6</v>
      </c>
      <c r="D26" s="10" t="s">
        <v>21</v>
      </c>
      <c r="E26" s="20">
        <f ca="1">[1]!s_dq_callvolume(D26,$G$3,10000)</f>
        <v>14.523899999999999</v>
      </c>
      <c r="F26" s="20">
        <f ca="1">[1]!s_dq_putvolume(D26,$G$3,10000)</f>
        <v>11.039</v>
      </c>
      <c r="G26" s="20">
        <f ca="1">[1]!s_dq_optionvolume(D26,$G$3,10000)</f>
        <v>25.562899999999999</v>
      </c>
      <c r="H26" s="37">
        <f ca="1">[1]!w_anal_volumeratio(D26,"0",$D$3)</f>
        <v>0.76005756029716531</v>
      </c>
      <c r="I26" s="4"/>
      <c r="J26" s="3"/>
    </row>
    <row r="27" spans="1:10" ht="16.5" x14ac:dyDescent="0.35">
      <c r="A27" s="3"/>
      <c r="B27" s="4"/>
      <c r="C27" s="17" t="s">
        <v>7</v>
      </c>
      <c r="D27" s="11" t="s">
        <v>22</v>
      </c>
      <c r="E27" s="21">
        <f ca="1">[1]!s_dq_callvolume(D27,$G$3,10000)</f>
        <v>2.5327999999999999</v>
      </c>
      <c r="F27" s="21">
        <f ca="1">[1]!s_dq_putvolume(D27,$G$3,10000)</f>
        <v>1.7027000000000001</v>
      </c>
      <c r="G27" s="21">
        <f ca="1">[1]!s_dq_optionvolume(D27,$G$3,10000)</f>
        <v>4.2355</v>
      </c>
      <c r="H27" s="38">
        <f ca="1">[1]!w_anal_volumeratio(D27,"0",$D$3)</f>
        <v>0.6722599494630449</v>
      </c>
      <c r="I27" s="4"/>
      <c r="J27" s="3"/>
    </row>
    <row r="28" spans="1:10" ht="16.5" x14ac:dyDescent="0.35">
      <c r="A28" s="3"/>
      <c r="B28" s="4"/>
      <c r="C28" s="23" t="s">
        <v>33</v>
      </c>
      <c r="D28" s="26"/>
      <c r="E28" s="32">
        <f ca="1">SUM(E25:E27)</f>
        <v>23.185400000000001</v>
      </c>
      <c r="F28" s="32">
        <f t="shared" ref="F28" ca="1" si="2">SUM(F25:F27)</f>
        <v>16.307600000000001</v>
      </c>
      <c r="G28" s="32">
        <f t="shared" ref="G28" ca="1" si="3">SUM(G25:G27)</f>
        <v>39.493000000000002</v>
      </c>
      <c r="H28" s="41">
        <f ca="1">F28/E28</f>
        <v>0.7033564225762764</v>
      </c>
      <c r="I28" s="4"/>
      <c r="J28" s="3"/>
    </row>
    <row r="29" spans="1:10" ht="16.5" x14ac:dyDescent="0.35">
      <c r="A29" s="3"/>
      <c r="B29" s="4"/>
      <c r="C29" s="17"/>
      <c r="D29" s="11"/>
      <c r="E29" s="21"/>
      <c r="F29" s="21"/>
      <c r="G29" s="21"/>
      <c r="H29" s="38"/>
      <c r="I29" s="4"/>
      <c r="J29" s="3"/>
    </row>
    <row r="30" spans="1:10" ht="16.5" x14ac:dyDescent="0.35">
      <c r="A30" s="3"/>
      <c r="B30" s="4"/>
      <c r="C30" s="23" t="s">
        <v>30</v>
      </c>
      <c r="D30" s="24"/>
      <c r="E30" s="25">
        <f ca="1">E15+E22+E28</f>
        <v>447.99200000000002</v>
      </c>
      <c r="F30" s="25">
        <f t="shared" ref="F30:G30" ca="1" si="4">F15+F22+F28</f>
        <v>374.29810000000003</v>
      </c>
      <c r="G30" s="25">
        <f t="shared" ca="1" si="4"/>
        <v>822.29010000000005</v>
      </c>
      <c r="H30" s="41">
        <f ca="1">F30/E30</f>
        <v>0.8355017500312506</v>
      </c>
      <c r="I30" s="4"/>
      <c r="J30" s="3"/>
    </row>
    <row r="31" spans="1:10" ht="16.5" x14ac:dyDescent="0.35">
      <c r="A31" s="3"/>
      <c r="B31" s="4"/>
      <c r="C31" s="7"/>
      <c r="D31" s="7"/>
      <c r="E31" s="7"/>
      <c r="F31" s="7"/>
      <c r="G31" s="7"/>
      <c r="H31" s="42"/>
      <c r="I31" s="4"/>
      <c r="J31" s="3"/>
    </row>
    <row r="32" spans="1:10" x14ac:dyDescent="0.2">
      <c r="A32" s="3"/>
      <c r="B32" s="3"/>
      <c r="C32" s="3"/>
      <c r="D32" s="3"/>
      <c r="E32" s="3"/>
      <c r="F32" s="3"/>
      <c r="G32" s="3"/>
      <c r="H32" s="4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43"/>
      <c r="I33" s="3"/>
      <c r="J33" s="3"/>
    </row>
    <row r="34" spans="1:10" x14ac:dyDescent="0.2">
      <c r="A34" s="3"/>
      <c r="B34" s="4"/>
      <c r="C34" s="4"/>
      <c r="D34" s="4"/>
      <c r="E34" s="4"/>
      <c r="F34" s="4"/>
      <c r="G34" s="4"/>
      <c r="H34" s="44"/>
      <c r="I34" s="4"/>
      <c r="J34" s="3"/>
    </row>
    <row r="35" spans="1:10" ht="17.25" x14ac:dyDescent="0.2">
      <c r="A35" s="3"/>
      <c r="B35" s="4"/>
      <c r="C35" s="5" t="s">
        <v>26</v>
      </c>
      <c r="D35" s="6"/>
      <c r="E35" s="6"/>
      <c r="F35" s="6"/>
      <c r="G35" s="6"/>
      <c r="H35" s="45"/>
      <c r="I35" s="4"/>
      <c r="J35" s="3"/>
    </row>
    <row r="36" spans="1:10" x14ac:dyDescent="0.2">
      <c r="A36" s="3"/>
      <c r="B36" s="4"/>
      <c r="C36" s="4"/>
      <c r="D36" s="4"/>
      <c r="E36" s="4"/>
      <c r="F36" s="4"/>
      <c r="G36" s="4"/>
      <c r="H36" s="44"/>
      <c r="I36" s="4"/>
      <c r="J36" s="3"/>
    </row>
    <row r="37" spans="1:10" ht="16.5" x14ac:dyDescent="0.35">
      <c r="A37" s="3"/>
      <c r="B37" s="4"/>
      <c r="C37" s="9" t="s">
        <v>0</v>
      </c>
      <c r="D37" s="9" t="s">
        <v>37</v>
      </c>
      <c r="E37" s="9" t="s">
        <v>53</v>
      </c>
      <c r="F37" s="9" t="s">
        <v>54</v>
      </c>
      <c r="G37" s="9" t="s">
        <v>38</v>
      </c>
      <c r="H37" s="9" t="s">
        <v>57</v>
      </c>
      <c r="I37" s="4"/>
      <c r="J37" s="3"/>
    </row>
    <row r="38" spans="1:10" ht="16.5" x14ac:dyDescent="0.35">
      <c r="A38" s="3"/>
      <c r="B38" s="4"/>
      <c r="C38" s="15" t="s">
        <v>43</v>
      </c>
      <c r="D38" s="17"/>
      <c r="E38" s="17"/>
      <c r="F38" s="17"/>
      <c r="G38" s="7"/>
      <c r="H38" s="42"/>
      <c r="I38" s="4"/>
      <c r="J38" s="3"/>
    </row>
    <row r="39" spans="1:10" ht="16.5" x14ac:dyDescent="0.35">
      <c r="A39" s="3"/>
      <c r="B39" s="4"/>
      <c r="C39" s="19" t="s">
        <v>1</v>
      </c>
      <c r="D39" s="10" t="s">
        <v>13</v>
      </c>
      <c r="E39" s="20">
        <f ca="1">[1]!s_dq_calloi(D39,$G$3,10000)</f>
        <v>77.4495</v>
      </c>
      <c r="F39" s="20">
        <f ca="1">[1]!s_dq_putoi(D39,$G$3,10000)</f>
        <v>79.088700000000003</v>
      </c>
      <c r="G39" s="20">
        <f ca="1">[1]!s_dq_optionoi(D39,$G$3,10000)</f>
        <v>156.53819999999999</v>
      </c>
      <c r="H39" s="37">
        <f ca="1">[1]!w_anal_oiratio(D39,"0",$D$3)</f>
        <v>1.0211647589719752</v>
      </c>
      <c r="I39" s="4"/>
      <c r="J39" s="3"/>
    </row>
    <row r="40" spans="1:10" ht="16.5" x14ac:dyDescent="0.35">
      <c r="A40" s="3"/>
      <c r="B40" s="4"/>
      <c r="C40" s="17" t="s">
        <v>44</v>
      </c>
      <c r="D40" s="11" t="s">
        <v>14</v>
      </c>
      <c r="E40" s="21">
        <f ca="1">[1]!s_dq_calloi(D40,$G$3,10000)</f>
        <v>70.349199999999996</v>
      </c>
      <c r="F40" s="21">
        <f ca="1">[1]!s_dq_putoi(D40,$G$3,10000)</f>
        <v>66.913799999999995</v>
      </c>
      <c r="G40" s="21">
        <f ca="1">[1]!s_dq_optionoi(D40,$G$3,10000)</f>
        <v>137.26300000000001</v>
      </c>
      <c r="H40" s="38">
        <f ca="1">[1]!w_anal_oiratio(D40,"0",$D$3)</f>
        <v>0.95116646671177496</v>
      </c>
      <c r="I40" s="4"/>
      <c r="J40" s="3"/>
    </row>
    <row r="41" spans="1:10" ht="16.5" x14ac:dyDescent="0.35">
      <c r="A41" s="3"/>
      <c r="B41" s="4"/>
      <c r="C41" s="19" t="s">
        <v>45</v>
      </c>
      <c r="D41" s="10" t="s">
        <v>15</v>
      </c>
      <c r="E41" s="20">
        <f ca="1">[1]!s_dq_calloi(D41,$G$3,10000)</f>
        <v>62.698799999999999</v>
      </c>
      <c r="F41" s="20">
        <f ca="1">[1]!s_dq_putoi(D41,$G$3,10000)</f>
        <v>70.7102</v>
      </c>
      <c r="G41" s="20">
        <f ca="1">[1]!s_dq_optionoi(D41,$G$3,10000)</f>
        <v>133.40899999999999</v>
      </c>
      <c r="H41" s="37">
        <f ca="1">[1]!w_anal_oiratio(D41,"0",$D$3)</f>
        <v>1.1277759701940069</v>
      </c>
      <c r="I41" s="4"/>
      <c r="J41" s="3"/>
    </row>
    <row r="42" spans="1:10" ht="16.5" x14ac:dyDescent="0.35">
      <c r="A42" s="3"/>
      <c r="B42" s="4"/>
      <c r="C42" s="17" t="s">
        <v>60</v>
      </c>
      <c r="D42" s="11" t="s">
        <v>61</v>
      </c>
      <c r="E42" s="21">
        <f ca="1">[1]!s_dq_calloi(D42,$G$3,10000)</f>
        <v>122.18049999999999</v>
      </c>
      <c r="F42" s="21">
        <f ca="1">[1]!s_dq_putoi(D42,$G$3,10000)</f>
        <v>72.746600000000001</v>
      </c>
      <c r="G42" s="21">
        <f ca="1">[1]!s_dq_optionoi(D42,$G$3,10000)</f>
        <v>194.9271</v>
      </c>
      <c r="H42" s="38">
        <f ca="1">[1]!w_anal_oiratio(D42,"0",$D$3)</f>
        <v>0.59540270337738022</v>
      </c>
      <c r="I42" s="4"/>
      <c r="J42" s="3"/>
    </row>
    <row r="43" spans="1:10" ht="16.5" x14ac:dyDescent="0.35">
      <c r="A43" s="3"/>
      <c r="B43" s="4"/>
      <c r="C43" s="19" t="s">
        <v>63</v>
      </c>
      <c r="D43" s="10" t="s">
        <v>62</v>
      </c>
      <c r="E43" s="20">
        <f ca="1">[1]!s_dq_calloi(D43,$G$3,10000)</f>
        <v>33.4011</v>
      </c>
      <c r="F43" s="20">
        <f ca="1">[1]!s_dq_putoi(D43,$G$3,10000)</f>
        <v>20.720400000000001</v>
      </c>
      <c r="G43" s="20">
        <f ca="1">[1]!s_dq_optionoi(D43,$G$3,10000)</f>
        <v>54.121499999999997</v>
      </c>
      <c r="H43" s="37">
        <f ca="1">[1]!w_anal_oiratio(D43,"0",$D$3)</f>
        <v>0.6203508267691783</v>
      </c>
      <c r="I43" s="4"/>
      <c r="J43" s="3"/>
    </row>
    <row r="44" spans="1:10" ht="16.5" x14ac:dyDescent="0.35">
      <c r="A44" s="3"/>
      <c r="B44" s="4"/>
      <c r="C44" s="27" t="s">
        <v>46</v>
      </c>
      <c r="D44" s="28"/>
      <c r="E44" s="29">
        <f ca="1">SUM(E39:E43)</f>
        <v>366.07909999999998</v>
      </c>
      <c r="F44" s="29">
        <f ca="1">SUM(F39:F43)</f>
        <v>310.17969999999997</v>
      </c>
      <c r="G44" s="29">
        <f ca="1">SUM(G39:G43)</f>
        <v>676.25879999999995</v>
      </c>
      <c r="H44" s="39">
        <f ca="1">F44/E44</f>
        <v>0.84730239994580403</v>
      </c>
      <c r="I44" s="4"/>
      <c r="J44" s="3"/>
    </row>
    <row r="45" spans="1:10" ht="16.5" x14ac:dyDescent="0.35">
      <c r="A45" s="3"/>
      <c r="B45" s="4"/>
      <c r="C45" s="19"/>
      <c r="D45" s="10"/>
      <c r="E45" s="20"/>
      <c r="F45" s="20"/>
      <c r="G45" s="20"/>
      <c r="H45" s="37"/>
      <c r="I45" s="4"/>
      <c r="J45" s="3"/>
    </row>
    <row r="46" spans="1:10" ht="16.5" x14ac:dyDescent="0.35">
      <c r="A46" s="3"/>
      <c r="B46" s="4"/>
      <c r="C46" s="15" t="s">
        <v>11</v>
      </c>
      <c r="D46" s="11"/>
      <c r="E46" s="21"/>
      <c r="F46" s="21"/>
      <c r="G46" s="21"/>
      <c r="H46" s="38"/>
      <c r="I46" s="4"/>
      <c r="J46" s="3"/>
    </row>
    <row r="47" spans="1:10" ht="16.5" x14ac:dyDescent="0.35">
      <c r="A47" s="3"/>
      <c r="B47" s="4"/>
      <c r="C47" s="19" t="s">
        <v>47</v>
      </c>
      <c r="D47" s="10" t="s">
        <v>16</v>
      </c>
      <c r="E47" s="20">
        <f ca="1">[1]!s_dq_calloi(D47,$G$3,10000)</f>
        <v>9.8602000000000007</v>
      </c>
      <c r="F47" s="20">
        <f ca="1">[1]!s_dq_putoi(D47,$G$3,10000)</f>
        <v>10.252599999999999</v>
      </c>
      <c r="G47" s="20">
        <f ca="1">[1]!s_dq_optionoi(D47,$G$3,10000)</f>
        <v>20.1128</v>
      </c>
      <c r="H47" s="37">
        <f ca="1">[1]!w_anal_oiratio(D47,"0",$D$3)</f>
        <v>1.0397963530151517</v>
      </c>
      <c r="I47" s="4"/>
      <c r="J47" s="3"/>
    </row>
    <row r="48" spans="1:10" ht="16.5" x14ac:dyDescent="0.35">
      <c r="A48" s="3"/>
      <c r="B48" s="4"/>
      <c r="C48" s="17" t="s">
        <v>2</v>
      </c>
      <c r="D48" s="12" t="s">
        <v>17</v>
      </c>
      <c r="E48" s="22">
        <f ca="1">[1]!s_dq_calloi(D48,$G$3,10000)</f>
        <v>12.2897</v>
      </c>
      <c r="F48" s="22">
        <f ca="1">[1]!s_dq_putoi(D48,$G$3,10000)</f>
        <v>13.053599999999999</v>
      </c>
      <c r="G48" s="22">
        <f ca="1">[1]!s_dq_optionoi(D48,$G$3,10000)</f>
        <v>25.343299999999999</v>
      </c>
      <c r="H48" s="40">
        <f ca="1">[1]!w_anal_oiratio(D48,"0",$D$3)</f>
        <v>1.0621577418488652</v>
      </c>
      <c r="I48" s="4"/>
      <c r="J48" s="3"/>
    </row>
    <row r="49" spans="1:10" ht="16.5" x14ac:dyDescent="0.35">
      <c r="A49" s="3"/>
      <c r="B49" s="4"/>
      <c r="C49" s="19" t="s">
        <v>3</v>
      </c>
      <c r="D49" s="10" t="s">
        <v>18</v>
      </c>
      <c r="E49" s="20">
        <f ca="1">[1]!s_dq_calloi(D49,$G$3,10000)</f>
        <v>70.481899999999996</v>
      </c>
      <c r="F49" s="20">
        <f ca="1">[1]!s_dq_putoi(D49,$G$3,10000)</f>
        <v>78.861999999999995</v>
      </c>
      <c r="G49" s="20">
        <f ca="1">[1]!s_dq_optionoi(D49,$G$3,10000)</f>
        <v>149.34389999999999</v>
      </c>
      <c r="H49" s="37">
        <f ca="1">[1]!w_anal_oiratio(D49,"0",$D$3)</f>
        <v>1.1188971920450499</v>
      </c>
      <c r="I49" s="4"/>
      <c r="J49" s="3"/>
    </row>
    <row r="50" spans="1:10" ht="16.5" x14ac:dyDescent="0.35">
      <c r="A50" s="3"/>
      <c r="B50" s="4"/>
      <c r="C50" s="17" t="s">
        <v>4</v>
      </c>
      <c r="D50" s="11" t="s">
        <v>19</v>
      </c>
      <c r="E50" s="21">
        <f ca="1">[1]!s_dq_calloi(D50,$G$3,10000)</f>
        <v>5.5533999999999999</v>
      </c>
      <c r="F50" s="21">
        <f ca="1">[1]!s_dq_putoi(D50,$G$3,10000)</f>
        <v>4.8003</v>
      </c>
      <c r="G50" s="21">
        <f ca="1">[1]!s_dq_optionoi(D50,$G$3,10000)</f>
        <v>10.3537</v>
      </c>
      <c r="H50" s="38">
        <f ca="1">[1]!w_anal_oiratio(D50,"0",$D$3)</f>
        <v>0.86438938308063529</v>
      </c>
      <c r="I50" s="4"/>
      <c r="J50" s="3"/>
    </row>
    <row r="51" spans="1:10" ht="16.5" x14ac:dyDescent="0.35">
      <c r="A51" s="3"/>
      <c r="B51" s="4"/>
      <c r="C51" s="30" t="s">
        <v>46</v>
      </c>
      <c r="D51" s="31"/>
      <c r="E51" s="32">
        <f ca="1">SUM(E48:E50)</f>
        <v>88.324999999999989</v>
      </c>
      <c r="F51" s="32">
        <f t="shared" ref="F51" ca="1" si="5">SUM(F48:F50)</f>
        <v>96.715900000000005</v>
      </c>
      <c r="G51" s="32">
        <f t="shared" ref="G51" ca="1" si="6">SUM(G48:G50)</f>
        <v>185.04089999999999</v>
      </c>
      <c r="H51" s="41">
        <f ca="1">F51/E51</f>
        <v>1.0950002830455705</v>
      </c>
      <c r="I51" s="4"/>
      <c r="J51" s="3"/>
    </row>
    <row r="52" spans="1:10" ht="16.5" x14ac:dyDescent="0.35">
      <c r="A52" s="3"/>
      <c r="B52" s="4"/>
      <c r="C52" s="17"/>
      <c r="D52" s="11"/>
      <c r="E52" s="21"/>
      <c r="F52" s="21"/>
      <c r="G52" s="21"/>
      <c r="H52" s="38"/>
      <c r="I52" s="4"/>
      <c r="J52" s="3"/>
    </row>
    <row r="53" spans="1:10" ht="16.5" x14ac:dyDescent="0.35">
      <c r="A53" s="3"/>
      <c r="B53" s="4"/>
      <c r="C53" s="16" t="s">
        <v>48</v>
      </c>
      <c r="D53" s="10"/>
      <c r="E53" s="20"/>
      <c r="F53" s="20"/>
      <c r="G53" s="20"/>
      <c r="H53" s="37"/>
      <c r="I53" s="4"/>
      <c r="J53" s="3"/>
    </row>
    <row r="54" spans="1:10" ht="16.5" x14ac:dyDescent="0.35">
      <c r="A54" s="3"/>
      <c r="B54" s="4"/>
      <c r="C54" s="17" t="s">
        <v>5</v>
      </c>
      <c r="D54" s="11" t="s">
        <v>20</v>
      </c>
      <c r="E54" s="21">
        <f ca="1">[1]!s_dq_calloi(D54,$G$3,10000)</f>
        <v>11.6578</v>
      </c>
      <c r="F54" s="21">
        <f ca="1">[1]!s_dq_putoi(D54,$G$3,10000)</f>
        <v>8.4191000000000003</v>
      </c>
      <c r="G54" s="21">
        <f ca="1">[1]!s_dq_optionoi(D54,$G$3,10000)</f>
        <v>20.076899999999998</v>
      </c>
      <c r="H54" s="38">
        <f ca="1">[1]!w_anal_oiratio(D54,"0",$D$3)</f>
        <v>0.72218600422035029</v>
      </c>
      <c r="I54" s="4"/>
      <c r="J54" s="3"/>
    </row>
    <row r="55" spans="1:10" ht="16.5" x14ac:dyDescent="0.35">
      <c r="A55" s="3"/>
      <c r="B55" s="4"/>
      <c r="C55" s="19" t="s">
        <v>6</v>
      </c>
      <c r="D55" s="10" t="s">
        <v>21</v>
      </c>
      <c r="E55" s="20">
        <f ca="1">[1]!s_dq_calloi(D55,$G$3,10000)</f>
        <v>14.291499999999999</v>
      </c>
      <c r="F55" s="20">
        <f ca="1">[1]!s_dq_putoi(D55,$G$3,10000)</f>
        <v>14.413</v>
      </c>
      <c r="G55" s="20">
        <f ca="1">[1]!s_dq_optionoi(D55,$G$3,10000)</f>
        <v>28.704499999999999</v>
      </c>
      <c r="H55" s="37">
        <f ca="1">[1]!w_anal_oiratio(D55,"0",$D$3)</f>
        <v>1.008501556869468</v>
      </c>
      <c r="I55" s="4"/>
      <c r="J55" s="3"/>
    </row>
    <row r="56" spans="1:10" ht="16.5" x14ac:dyDescent="0.35">
      <c r="A56" s="3"/>
      <c r="B56" s="4"/>
      <c r="C56" s="17" t="s">
        <v>7</v>
      </c>
      <c r="D56" s="11" t="s">
        <v>22</v>
      </c>
      <c r="E56" s="21">
        <f ca="1">[1]!s_dq_calloi(D56,$G$3,10000)</f>
        <v>4.8045</v>
      </c>
      <c r="F56" s="21">
        <f ca="1">[1]!s_dq_putoi(D56,$G$3,10000)</f>
        <v>2.7235999999999998</v>
      </c>
      <c r="G56" s="21">
        <f ca="1">[1]!s_dq_optionoi(D56,$G$3,10000)</f>
        <v>7.5281000000000002</v>
      </c>
      <c r="H56" s="38">
        <f ca="1">[1]!w_anal_oiratio(D56,"0",$D$3)</f>
        <v>0.56688521178062234</v>
      </c>
      <c r="I56" s="4"/>
      <c r="J56" s="3"/>
    </row>
    <row r="57" spans="1:10" ht="16.5" x14ac:dyDescent="0.35">
      <c r="A57" s="3"/>
      <c r="B57" s="4"/>
      <c r="C57" s="23" t="s">
        <v>46</v>
      </c>
      <c r="D57" s="26"/>
      <c r="E57" s="32">
        <f ca="1">SUM(E54:E56)</f>
        <v>30.753800000000002</v>
      </c>
      <c r="F57" s="32">
        <f t="shared" ref="F57" ca="1" si="7">SUM(F54:F56)</f>
        <v>25.555700000000002</v>
      </c>
      <c r="G57" s="32">
        <f t="shared" ref="G57" ca="1" si="8">SUM(G54:G56)</f>
        <v>56.3095</v>
      </c>
      <c r="H57" s="41">
        <f ca="1">F57/E57</f>
        <v>0.83097698495795647</v>
      </c>
      <c r="I57" s="4"/>
      <c r="J57" s="3"/>
    </row>
    <row r="58" spans="1:10" ht="16.5" x14ac:dyDescent="0.35">
      <c r="A58" s="3"/>
      <c r="B58" s="4"/>
      <c r="C58" s="17"/>
      <c r="D58" s="11"/>
      <c r="E58" s="21"/>
      <c r="F58" s="21"/>
      <c r="G58" s="21"/>
      <c r="H58" s="38"/>
      <c r="I58" s="4"/>
      <c r="J58" s="3"/>
    </row>
    <row r="59" spans="1:10" ht="16.5" x14ac:dyDescent="0.35">
      <c r="A59" s="3"/>
      <c r="B59" s="4"/>
      <c r="C59" s="23" t="s">
        <v>49</v>
      </c>
      <c r="D59" s="24"/>
      <c r="E59" s="25">
        <f ca="1">E44+E51+E57</f>
        <v>485.15789999999998</v>
      </c>
      <c r="F59" s="25">
        <f t="shared" ref="F59:G59" ca="1" si="9">F44+F51+F57</f>
        <v>432.45129999999995</v>
      </c>
      <c r="G59" s="25">
        <f t="shared" ca="1" si="9"/>
        <v>917.60919999999987</v>
      </c>
      <c r="H59" s="41">
        <f ca="1">F59/E59</f>
        <v>0.89136196689778724</v>
      </c>
      <c r="I59" s="4"/>
      <c r="J59" s="3"/>
    </row>
    <row r="60" spans="1:10" ht="16.5" x14ac:dyDescent="0.35">
      <c r="A60" s="3"/>
      <c r="B60" s="4"/>
      <c r="C60" s="7"/>
      <c r="D60" s="7"/>
      <c r="E60" s="7"/>
      <c r="F60" s="7"/>
      <c r="G60" s="7"/>
      <c r="H60" s="42"/>
      <c r="I60" s="4"/>
      <c r="J60" s="3"/>
    </row>
    <row r="61" spans="1:10" x14ac:dyDescent="0.2">
      <c r="A61" s="3"/>
      <c r="B61" s="3"/>
      <c r="C61" s="3"/>
      <c r="D61" s="3"/>
      <c r="E61" s="3"/>
      <c r="F61" s="3"/>
      <c r="G61" s="3"/>
      <c r="H61" s="43"/>
      <c r="I61" s="3"/>
      <c r="J61" s="3"/>
    </row>
    <row r="62" spans="1:10" x14ac:dyDescent="0.2">
      <c r="A62" s="3"/>
      <c r="B62" s="3"/>
      <c r="C62" s="3"/>
      <c r="D62" s="3"/>
      <c r="E62" s="3"/>
      <c r="F62" s="3"/>
      <c r="G62" s="3"/>
      <c r="H62" s="43"/>
      <c r="I62" s="3"/>
      <c r="J62" s="3"/>
    </row>
    <row r="63" spans="1:10" x14ac:dyDescent="0.2">
      <c r="A63" s="3"/>
      <c r="B63" s="3"/>
      <c r="C63" s="3"/>
      <c r="D63" s="3"/>
      <c r="E63" s="3"/>
      <c r="F63" s="3"/>
      <c r="G63" s="3"/>
      <c r="H63" s="43"/>
      <c r="I63" s="3"/>
      <c r="J63" s="3"/>
    </row>
    <row r="64" spans="1:10" x14ac:dyDescent="0.2">
      <c r="A64" s="3"/>
      <c r="B64" s="4"/>
      <c r="C64" s="4"/>
      <c r="D64" s="4"/>
      <c r="E64" s="4"/>
      <c r="F64" s="4"/>
      <c r="G64" s="4"/>
      <c r="H64" s="44"/>
      <c r="I64" s="4"/>
      <c r="J64" s="3"/>
    </row>
    <row r="65" spans="1:10" ht="17.25" x14ac:dyDescent="0.2">
      <c r="A65" s="3"/>
      <c r="B65" s="4"/>
      <c r="C65" s="5" t="s">
        <v>27</v>
      </c>
      <c r="D65" s="6"/>
      <c r="E65" s="6"/>
      <c r="F65" s="6"/>
      <c r="G65" s="6"/>
      <c r="H65" s="45"/>
      <c r="I65" s="4"/>
      <c r="J65" s="3"/>
    </row>
    <row r="66" spans="1:10" x14ac:dyDescent="0.2">
      <c r="A66" s="3"/>
      <c r="B66" s="4"/>
      <c r="C66" s="4"/>
      <c r="D66" s="4"/>
      <c r="E66" s="4"/>
      <c r="F66" s="4"/>
      <c r="G66" s="4"/>
      <c r="H66" s="44"/>
      <c r="I66" s="4"/>
      <c r="J66" s="3"/>
    </row>
    <row r="67" spans="1:10" ht="16.5" x14ac:dyDescent="0.35">
      <c r="A67" s="3"/>
      <c r="B67" s="4"/>
      <c r="C67" s="9" t="s">
        <v>40</v>
      </c>
      <c r="D67" s="9" t="s">
        <v>24</v>
      </c>
      <c r="E67" s="9" t="s">
        <v>28</v>
      </c>
      <c r="F67" s="9" t="s">
        <v>41</v>
      </c>
      <c r="G67" s="9" t="s">
        <v>42</v>
      </c>
      <c r="H67" s="9" t="s">
        <v>58</v>
      </c>
      <c r="I67" s="4"/>
      <c r="J67" s="3"/>
    </row>
    <row r="68" spans="1:10" ht="16.5" x14ac:dyDescent="0.35">
      <c r="A68" s="3"/>
      <c r="B68" s="4"/>
      <c r="C68" s="15" t="s">
        <v>34</v>
      </c>
      <c r="D68" s="17"/>
      <c r="E68" s="17"/>
      <c r="F68" s="17"/>
      <c r="G68" s="7"/>
      <c r="H68" s="42"/>
      <c r="I68" s="4"/>
      <c r="J68" s="3"/>
    </row>
    <row r="69" spans="1:10" ht="16.5" x14ac:dyDescent="0.35">
      <c r="A69" s="3"/>
      <c r="B69" s="4"/>
      <c r="C69" s="19" t="s">
        <v>1</v>
      </c>
      <c r="D69" s="10" t="s">
        <v>13</v>
      </c>
      <c r="E69" s="20">
        <f ca="1">[1]!s_dq_callamount(D69,$G$3,100000000)</f>
        <v>2.1197830500000001</v>
      </c>
      <c r="F69" s="20">
        <f ca="1">[1]!s_dq_putamount(D69,$G$3,100000000)</f>
        <v>1.76352102</v>
      </c>
      <c r="G69" s="20">
        <f ca="1">[1]!s_dq_optionamount(D69,$G$3,100000000)</f>
        <v>3.8833040699999999</v>
      </c>
      <c r="H69" s="37">
        <f t="shared" ref="H69:H74" ca="1" si="10">F69/E69</f>
        <v>0.83193467369219687</v>
      </c>
      <c r="I69" s="4"/>
      <c r="J69" s="3"/>
    </row>
    <row r="70" spans="1:10" ht="16.5" x14ac:dyDescent="0.35">
      <c r="A70" s="3"/>
      <c r="B70" s="4"/>
      <c r="C70" s="17" t="s">
        <v>9</v>
      </c>
      <c r="D70" s="11" t="s">
        <v>14</v>
      </c>
      <c r="E70" s="21">
        <f ca="1">[1]!s_dq_callamount(D70,$G$3,100000000)</f>
        <v>3.6216674100000001</v>
      </c>
      <c r="F70" s="21">
        <f ca="1">[1]!s_dq_putamount(D70,$G$3,100000000)</f>
        <v>2.49045973</v>
      </c>
      <c r="G70" s="21">
        <f ca="1">[1]!s_dq_optionamount(D70,$G$3,100000000)</f>
        <v>6.1121271400000001</v>
      </c>
      <c r="H70" s="38">
        <f t="shared" ca="1" si="10"/>
        <v>0.68765555973567427</v>
      </c>
      <c r="I70" s="4"/>
      <c r="J70" s="3"/>
    </row>
    <row r="71" spans="1:10" ht="16.5" x14ac:dyDescent="0.35">
      <c r="A71" s="3"/>
      <c r="B71" s="4"/>
      <c r="C71" s="19" t="s">
        <v>10</v>
      </c>
      <c r="D71" s="10" t="s">
        <v>15</v>
      </c>
      <c r="E71" s="20">
        <f ca="1">[1]!s_dq_callamount(D71,$G$3,100000000)</f>
        <v>7.3499732800000004</v>
      </c>
      <c r="F71" s="20">
        <f ca="1">[1]!s_dq_putamount(D71,$G$3,100000000)</f>
        <v>5.1462025699999998</v>
      </c>
      <c r="G71" s="20">
        <f ca="1">[1]!s_dq_optionamount(D71,$G$3,100000000)</f>
        <v>12.49617585</v>
      </c>
      <c r="H71" s="37">
        <f t="shared" ca="1" si="10"/>
        <v>0.70016616033194612</v>
      </c>
      <c r="I71" s="4"/>
      <c r="J71" s="3"/>
    </row>
    <row r="72" spans="1:10" ht="16.5" x14ac:dyDescent="0.35">
      <c r="A72" s="3"/>
      <c r="B72" s="4"/>
      <c r="C72" s="17" t="s">
        <v>60</v>
      </c>
      <c r="D72" s="11" t="s">
        <v>61</v>
      </c>
      <c r="E72" s="21">
        <f ca="1">[1]!s_dq_callamount(D72,$G$3,100000000)</f>
        <v>1.7481625199999999</v>
      </c>
      <c r="F72" s="21">
        <f ca="1">[1]!s_dq_putamount(D72,$G$3,100000000)</f>
        <v>0.88923958999999997</v>
      </c>
      <c r="G72" s="21">
        <f ca="1">[1]!s_dq_optionamount(D72,$G$3,100000000)</f>
        <v>2.6374021100000005</v>
      </c>
      <c r="H72" s="38">
        <f t="shared" ca="1" si="10"/>
        <v>0.50867100731572712</v>
      </c>
      <c r="I72" s="4"/>
      <c r="J72" s="3"/>
    </row>
    <row r="73" spans="1:10" ht="16.5" x14ac:dyDescent="0.35">
      <c r="A73" s="3"/>
      <c r="B73" s="4"/>
      <c r="C73" s="19" t="s">
        <v>63</v>
      </c>
      <c r="D73" s="10" t="s">
        <v>62</v>
      </c>
      <c r="E73" s="20">
        <f ca="1">[1]!s_dq_callamount(D73,$G$3,100000000)</f>
        <v>0.31957176999999998</v>
      </c>
      <c r="F73" s="20">
        <f ca="1">[1]!s_dq_putamount(D73,$G$3,100000000)</f>
        <v>0.14400826999999999</v>
      </c>
      <c r="G73" s="20">
        <f ca="1">[1]!s_dq_optionamount(D73,$G$3,100000000)</f>
        <v>0.46358004000000003</v>
      </c>
      <c r="H73" s="37">
        <f t="shared" ca="1" si="10"/>
        <v>0.45062888377155469</v>
      </c>
      <c r="I73" s="4"/>
      <c r="J73" s="3"/>
    </row>
    <row r="74" spans="1:10" ht="16.5" x14ac:dyDescent="0.35">
      <c r="A74" s="3"/>
      <c r="B74" s="4"/>
      <c r="C74" s="27" t="s">
        <v>33</v>
      </c>
      <c r="D74" s="28"/>
      <c r="E74" s="29">
        <f ca="1">SUM(E69:E73)</f>
        <v>15.159158029999999</v>
      </c>
      <c r="F74" s="29">
        <f ca="1">SUM(F69:F73)</f>
        <v>10.433431180000001</v>
      </c>
      <c r="G74" s="29">
        <f ca="1">SUM(G69:G73)</f>
        <v>25.59258921</v>
      </c>
      <c r="H74" s="39">
        <f t="shared" ca="1" si="10"/>
        <v>0.68825927926552544</v>
      </c>
      <c r="I74" s="4"/>
      <c r="J74" s="3"/>
    </row>
    <row r="75" spans="1:10" ht="16.5" x14ac:dyDescent="0.35">
      <c r="A75" s="3"/>
      <c r="B75" s="4"/>
      <c r="C75" s="19"/>
      <c r="D75" s="10"/>
      <c r="E75" s="20"/>
      <c r="F75" s="20"/>
      <c r="G75" s="20"/>
      <c r="H75" s="37"/>
      <c r="I75" s="4"/>
      <c r="J75" s="3"/>
    </row>
    <row r="76" spans="1:10" ht="16.5" x14ac:dyDescent="0.35">
      <c r="A76" s="3"/>
      <c r="B76" s="4"/>
      <c r="C76" s="15" t="s">
        <v>31</v>
      </c>
      <c r="D76" s="11"/>
      <c r="E76" s="21"/>
      <c r="F76" s="21"/>
      <c r="G76" s="21"/>
      <c r="H76" s="38"/>
      <c r="I76" s="4"/>
      <c r="J76" s="3"/>
    </row>
    <row r="77" spans="1:10" ht="16.5" x14ac:dyDescent="0.35">
      <c r="A77" s="3"/>
      <c r="B77" s="4"/>
      <c r="C77" s="19" t="s">
        <v>35</v>
      </c>
      <c r="D77" s="10" t="s">
        <v>16</v>
      </c>
      <c r="E77" s="20">
        <f ca="1">[1]!s_dq_callamount(D77,$G$3,100000000)</f>
        <v>0.28957992999999999</v>
      </c>
      <c r="F77" s="20">
        <f ca="1">[1]!s_dq_putamount(D77,$G$3,100000000)</f>
        <v>0.17026606999999999</v>
      </c>
      <c r="G77" s="20">
        <f ca="1">[1]!s_dq_optionamount(D77,$G$3,100000000)</f>
        <v>0.45984599999999998</v>
      </c>
      <c r="H77" s="37">
        <f ca="1">F77/E77</f>
        <v>0.58797607278929864</v>
      </c>
      <c r="I77" s="4"/>
      <c r="J77" s="3"/>
    </row>
    <row r="78" spans="1:10" ht="16.5" x14ac:dyDescent="0.35">
      <c r="A78" s="3"/>
      <c r="B78" s="4"/>
      <c r="C78" s="17" t="s">
        <v>2</v>
      </c>
      <c r="D78" s="12" t="s">
        <v>17</v>
      </c>
      <c r="E78" s="22">
        <f ca="1">[1]!s_dq_callamount(D78,$G$3,100000000)</f>
        <v>0.25257718000000001</v>
      </c>
      <c r="F78" s="22">
        <f ca="1">[1]!s_dq_putamount(D78,$G$3,100000000)</f>
        <v>0.13527981</v>
      </c>
      <c r="G78" s="22">
        <f ca="1">[1]!s_dq_optionamount(D78,$G$3,100000000)</f>
        <v>0.38785699000000001</v>
      </c>
      <c r="H78" s="40">
        <f ca="1">F78/E78</f>
        <v>0.53559791110186594</v>
      </c>
      <c r="I78" s="4"/>
      <c r="J78" s="3"/>
    </row>
    <row r="79" spans="1:10" ht="16.5" x14ac:dyDescent="0.35">
      <c r="A79" s="3"/>
      <c r="B79" s="4"/>
      <c r="C79" s="19" t="s">
        <v>3</v>
      </c>
      <c r="D79" s="10" t="s">
        <v>18</v>
      </c>
      <c r="E79" s="20">
        <f ca="1">[1]!s_dq_callamount(D79,$G$3,100000000)</f>
        <v>3.6887676900000002</v>
      </c>
      <c r="F79" s="20">
        <f ca="1">[1]!s_dq_putamount(D79,$G$3,100000000)</f>
        <v>1.8147366300000001</v>
      </c>
      <c r="G79" s="20">
        <f ca="1">[1]!s_dq_optionamount(D79,$G$3,100000000)</f>
        <v>5.5035043200000002</v>
      </c>
      <c r="H79" s="37">
        <f ca="1">F79/E79</f>
        <v>0.49196284030561976</v>
      </c>
      <c r="I79" s="4"/>
      <c r="J79" s="3"/>
    </row>
    <row r="80" spans="1:10" ht="16.5" x14ac:dyDescent="0.35">
      <c r="A80" s="3"/>
      <c r="B80" s="4"/>
      <c r="C80" s="17" t="s">
        <v>4</v>
      </c>
      <c r="D80" s="11" t="s">
        <v>19</v>
      </c>
      <c r="E80" s="21">
        <f ca="1">[1]!s_dq_callamount(D80,$G$3,100000000)</f>
        <v>0.15402045</v>
      </c>
      <c r="F80" s="21">
        <f ca="1">[1]!s_dq_putamount(D80,$G$3,100000000)</f>
        <v>8.9944449999999995E-2</v>
      </c>
      <c r="G80" s="21">
        <f ca="1">[1]!s_dq_optionamount(D80,$G$3,100000000)</f>
        <v>0.24396490000000001</v>
      </c>
      <c r="H80" s="38">
        <f ca="1">F80/E80</f>
        <v>0.58397732249191581</v>
      </c>
      <c r="I80" s="4"/>
      <c r="J80" s="3"/>
    </row>
    <row r="81" spans="1:10" ht="16.5" x14ac:dyDescent="0.35">
      <c r="A81" s="3"/>
      <c r="B81" s="4"/>
      <c r="C81" s="30" t="s">
        <v>33</v>
      </c>
      <c r="D81" s="31"/>
      <c r="E81" s="32">
        <f ca="1">SUM(E78:E80)</f>
        <v>4.09536532</v>
      </c>
      <c r="F81" s="32">
        <f t="shared" ref="F81" ca="1" si="11">SUM(F78:F80)</f>
        <v>2.0399608900000001</v>
      </c>
      <c r="G81" s="32">
        <f t="shared" ref="G81" ca="1" si="12">SUM(G78:G80)</f>
        <v>6.1353262100000006</v>
      </c>
      <c r="H81" s="41">
        <f ca="1">F81/E81</f>
        <v>0.49811451008722224</v>
      </c>
      <c r="I81" s="4"/>
      <c r="J81" s="3"/>
    </row>
    <row r="82" spans="1:10" ht="16.5" x14ac:dyDescent="0.35">
      <c r="A82" s="3"/>
      <c r="B82" s="4"/>
      <c r="C82" s="17"/>
      <c r="D82" s="11"/>
      <c r="E82" s="21"/>
      <c r="F82" s="21"/>
      <c r="G82" s="21"/>
      <c r="H82" s="38"/>
      <c r="I82" s="4"/>
      <c r="J82" s="3"/>
    </row>
    <row r="83" spans="1:10" ht="16.5" x14ac:dyDescent="0.35">
      <c r="A83" s="3"/>
      <c r="B83" s="4"/>
      <c r="C83" s="16" t="s">
        <v>12</v>
      </c>
      <c r="D83" s="10"/>
      <c r="E83" s="20"/>
      <c r="F83" s="20"/>
      <c r="G83" s="20"/>
      <c r="H83" s="37"/>
      <c r="I83" s="4"/>
      <c r="J83" s="3"/>
    </row>
    <row r="84" spans="1:10" ht="16.5" x14ac:dyDescent="0.35">
      <c r="A84" s="3"/>
      <c r="B84" s="4"/>
      <c r="C84" s="17" t="s">
        <v>5</v>
      </c>
      <c r="D84" s="11" t="s">
        <v>20</v>
      </c>
      <c r="E84" s="21">
        <f ca="1">[1]!s_dq_callamount(D84,$G$3,100000000)</f>
        <v>2.5536148000000001</v>
      </c>
      <c r="F84" s="21">
        <f ca="1">[1]!s_dq_putamount(D84,$G$3,100000000)</f>
        <v>1.3301232000000001</v>
      </c>
      <c r="G84" s="21">
        <f ca="1">[1]!s_dq_optionamount(D84,$G$3,100000000)</f>
        <v>3.8837380000000001</v>
      </c>
      <c r="H84" s="38">
        <f ca="1">F84/E84</f>
        <v>0.52087856007100208</v>
      </c>
      <c r="I84" s="4"/>
      <c r="J84" s="3"/>
    </row>
    <row r="85" spans="1:10" ht="16.5" x14ac:dyDescent="0.35">
      <c r="A85" s="3"/>
      <c r="B85" s="4"/>
      <c r="C85" s="19" t="s">
        <v>6</v>
      </c>
      <c r="D85" s="10" t="s">
        <v>21</v>
      </c>
      <c r="E85" s="20">
        <f ca="1">[1]!s_dq_callamount(D85,$G$3,100000000)</f>
        <v>11.275182600000001</v>
      </c>
      <c r="F85" s="20">
        <f ca="1">[1]!s_dq_putamount(D85,$G$3,100000000)</f>
        <v>6.3498890000000001</v>
      </c>
      <c r="G85" s="20">
        <f ca="1">[1]!s_dq_optionamount(D85,$G$3,100000000)</f>
        <v>17.625071599999998</v>
      </c>
      <c r="H85" s="37">
        <f ca="1">F85/E85</f>
        <v>0.56317393919633729</v>
      </c>
      <c r="I85" s="4"/>
      <c r="J85" s="3"/>
    </row>
    <row r="86" spans="1:10" ht="16.5" x14ac:dyDescent="0.35">
      <c r="A86" s="3"/>
      <c r="B86" s="4"/>
      <c r="C86" s="17" t="s">
        <v>7</v>
      </c>
      <c r="D86" s="11" t="s">
        <v>22</v>
      </c>
      <c r="E86" s="21">
        <f ca="1">[1]!s_dq_callamount(D86,$G$3,100000000)</f>
        <v>0.73219979999999996</v>
      </c>
      <c r="F86" s="21">
        <f ca="1">[1]!s_dq_putamount(D86,$G$3,100000000)</f>
        <v>0.49120360000000002</v>
      </c>
      <c r="G86" s="21">
        <f ca="1">[1]!s_dq_optionamount(D86,$G$3,100000000)</f>
        <v>1.2234034</v>
      </c>
      <c r="H86" s="38">
        <f ca="1">F86/E86</f>
        <v>0.67086005759630096</v>
      </c>
      <c r="I86" s="4"/>
      <c r="J86" s="3"/>
    </row>
    <row r="87" spans="1:10" ht="16.5" x14ac:dyDescent="0.35">
      <c r="A87" s="3"/>
      <c r="B87" s="4"/>
      <c r="C87" s="23" t="s">
        <v>33</v>
      </c>
      <c r="D87" s="26"/>
      <c r="E87" s="32">
        <f ca="1">SUM(E84:E86)</f>
        <v>14.560997200000001</v>
      </c>
      <c r="F87" s="32">
        <f t="shared" ref="F87" ca="1" si="13">SUM(F84:F86)</f>
        <v>8.1712158000000006</v>
      </c>
      <c r="G87" s="32">
        <f t="shared" ref="G87" ca="1" si="14">SUM(G84:G86)</f>
        <v>22.732212999999998</v>
      </c>
      <c r="H87" s="41">
        <f ca="1">F87/E87</f>
        <v>0.56117144229654825</v>
      </c>
      <c r="I87" s="4"/>
      <c r="J87" s="3"/>
    </row>
    <row r="88" spans="1:10" ht="16.5" x14ac:dyDescent="0.35">
      <c r="A88" s="3"/>
      <c r="B88" s="4"/>
      <c r="C88" s="17"/>
      <c r="D88" s="11"/>
      <c r="E88" s="21"/>
      <c r="F88" s="21"/>
      <c r="G88" s="21"/>
      <c r="H88" s="38"/>
      <c r="I88" s="4"/>
      <c r="J88" s="3"/>
    </row>
    <row r="89" spans="1:10" ht="16.5" x14ac:dyDescent="0.35">
      <c r="A89" s="3"/>
      <c r="B89" s="4"/>
      <c r="C89" s="23" t="s">
        <v>39</v>
      </c>
      <c r="D89" s="24"/>
      <c r="E89" s="25">
        <f ca="1">E74+E81+E87</f>
        <v>33.815520550000002</v>
      </c>
      <c r="F89" s="25">
        <f t="shared" ref="F89:G89" ca="1" si="15">F74+F81+F87</f>
        <v>20.644607870000002</v>
      </c>
      <c r="G89" s="25">
        <f t="shared" ca="1" si="15"/>
        <v>54.460128420000004</v>
      </c>
      <c r="H89" s="41">
        <f ca="1">F89/E89</f>
        <v>0.61050687773605783</v>
      </c>
      <c r="I89" s="4"/>
      <c r="J89" s="3"/>
    </row>
    <row r="90" spans="1:10" ht="16.5" x14ac:dyDescent="0.35">
      <c r="A90" s="3"/>
      <c r="B90" s="4"/>
      <c r="C90" s="7"/>
      <c r="D90" s="7"/>
      <c r="E90" s="7"/>
      <c r="F90" s="7"/>
      <c r="G90" s="7"/>
      <c r="H90" s="4"/>
      <c r="I90" s="4"/>
      <c r="J90" s="3"/>
    </row>
    <row r="91" spans="1:10" x14ac:dyDescent="0.2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</row>
  </sheetData>
  <phoneticPr fontId="1" type="noConversion"/>
  <conditionalFormatting sqref="H10:H12 H38:H41 H68:H71 H15:H36 H44:H66 H74:H89">
    <cfRule type="cellIs" dxfId="9" priority="13" operator="lessThan">
      <formula>1</formula>
    </cfRule>
    <cfRule type="cellIs" dxfId="8" priority="14" operator="greaterThanOrEqual">
      <formula>1</formula>
    </cfRule>
  </conditionalFormatting>
  <conditionalFormatting sqref="H13">
    <cfRule type="cellIs" dxfId="7" priority="11" operator="lessThan">
      <formula>1</formula>
    </cfRule>
    <cfRule type="cellIs" dxfId="6" priority="12" operator="greaterThanOrEqual">
      <formula>1</formula>
    </cfRule>
  </conditionalFormatting>
  <conditionalFormatting sqref="H14">
    <cfRule type="cellIs" dxfId="5" priority="7" operator="lessThan">
      <formula>1</formula>
    </cfRule>
    <cfRule type="cellIs" dxfId="4" priority="8" operator="greaterThanOrEqual">
      <formula>1</formula>
    </cfRule>
  </conditionalFormatting>
  <conditionalFormatting sqref="H42:H43">
    <cfRule type="cellIs" dxfId="3" priority="3" operator="lessThan">
      <formula>1</formula>
    </cfRule>
    <cfRule type="cellIs" dxfId="2" priority="4" operator="greaterThanOrEqual">
      <formula>1</formula>
    </cfRule>
  </conditionalFormatting>
  <conditionalFormatting sqref="H72:H73">
    <cfRule type="cellIs" dxfId="1" priority="1" operator="lessThan">
      <formula>1</formula>
    </cfRule>
    <cfRule type="cellIs" dxfId="0" priority="2" operator="greaterThanOrEqual">
      <formula>1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PCR情况统计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Wind衍生品</dc:creator>
  <cp:lastModifiedBy>Zhai Shuai</cp:lastModifiedBy>
  <dcterms:created xsi:type="dcterms:W3CDTF">2023-03-08T01:02:01Z</dcterms:created>
  <dcterms:modified xsi:type="dcterms:W3CDTF">2025-07-17T05:28:34Z</dcterms:modified>
</cp:coreProperties>
</file>