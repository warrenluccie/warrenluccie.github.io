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模板详情\20240418 可比ETF\"/>
    </mc:Choice>
  </mc:AlternateContent>
  <bookViews>
    <workbookView xWindow="0" yWindow="0" windowWidth="28800" windowHeight="11910"/>
  </bookViews>
  <sheets>
    <sheet name="基本资料" sheetId="1" r:id="rId1"/>
    <sheet name="估值分析" sheetId="26" r:id="rId2"/>
    <sheet name="Wind模板" sheetId="31" state="veryHidden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AC1" i="1"/>
  <c r="P39" i="1"/>
  <c r="U39" i="1"/>
  <c r="N39" i="1"/>
  <c r="O39" i="1"/>
  <c r="R39" i="1"/>
  <c r="X39" i="1"/>
  <c r="N38" i="1"/>
  <c r="O38" i="1"/>
  <c r="P38" i="1"/>
  <c r="R38" i="1"/>
  <c r="U38" i="1"/>
  <c r="V38" i="1"/>
  <c r="S38" i="1"/>
  <c r="W38" i="1"/>
  <c r="T38" i="1"/>
  <c r="X38" i="1"/>
  <c r="F35" i="26"/>
  <c r="F17" i="26"/>
  <c r="E18" i="26"/>
  <c r="D32" i="26"/>
  <c r="E21" i="26"/>
  <c r="D11" i="26"/>
  <c r="P15" i="1"/>
  <c r="P16" i="1"/>
  <c r="P26" i="1"/>
  <c r="U26" i="1"/>
  <c r="U36" i="1"/>
  <c r="O9" i="1"/>
  <c r="O27" i="1"/>
  <c r="R28" i="1"/>
  <c r="R29" i="1"/>
  <c r="N32" i="1"/>
  <c r="N10" i="1"/>
  <c r="O13" i="1"/>
  <c r="F21" i="26"/>
  <c r="E8" i="26"/>
  <c r="F15" i="26"/>
  <c r="F29" i="26"/>
  <c r="E24" i="26"/>
  <c r="E26" i="26"/>
  <c r="E33" i="26"/>
  <c r="D12" i="26"/>
  <c r="P12" i="1"/>
  <c r="P11" i="1"/>
  <c r="P22" i="1"/>
  <c r="U13" i="1"/>
  <c r="U22" i="1"/>
  <c r="O18" i="1"/>
  <c r="O16" i="1"/>
  <c r="R26" i="1"/>
  <c r="R15" i="1"/>
  <c r="R16" i="1"/>
  <c r="O33" i="1"/>
  <c r="S16" i="1"/>
  <c r="Q29" i="1"/>
  <c r="D29" i="26"/>
  <c r="N27" i="1"/>
  <c r="F8" i="26"/>
  <c r="F12" i="26"/>
  <c r="F18" i="26"/>
  <c r="E30" i="26"/>
  <c r="E32" i="26"/>
  <c r="D23" i="26"/>
  <c r="D17" i="26"/>
  <c r="P34" i="1"/>
  <c r="P30" i="1"/>
  <c r="P27" i="1"/>
  <c r="U24" i="1"/>
  <c r="U27" i="1"/>
  <c r="O23" i="1"/>
  <c r="R34" i="1"/>
  <c r="T34" i="1" s="1"/>
  <c r="E17" i="26"/>
  <c r="O29" i="1"/>
  <c r="R24" i="1"/>
  <c r="R10" i="1"/>
  <c r="O31" i="1"/>
  <c r="T16" i="1"/>
  <c r="N26" i="1"/>
  <c r="S29" i="1"/>
  <c r="W26" i="1"/>
  <c r="M18" i="26"/>
  <c r="M17" i="26"/>
  <c r="U12" i="1"/>
  <c r="T10" i="1"/>
  <c r="F20" i="26"/>
  <c r="F24" i="26"/>
  <c r="F30" i="26"/>
  <c r="E36" i="26"/>
  <c r="E34" i="26"/>
  <c r="E29" i="26"/>
  <c r="D13" i="26"/>
  <c r="P36" i="1"/>
  <c r="P24" i="1"/>
  <c r="U32" i="1"/>
  <c r="U10" i="1"/>
  <c r="V10" i="1" s="1"/>
  <c r="U21" i="1"/>
  <c r="N28" i="1"/>
  <c r="E10" i="26"/>
  <c r="O17" i="1"/>
  <c r="N16" i="1"/>
  <c r="R30" i="1"/>
  <c r="O15" i="1"/>
  <c r="E9" i="26"/>
  <c r="S26" i="1"/>
  <c r="Q34" i="1"/>
  <c r="Q26" i="1"/>
  <c r="I18" i="26"/>
  <c r="I17" i="26"/>
  <c r="F13" i="26"/>
  <c r="T26" i="1"/>
  <c r="I24" i="26"/>
  <c r="F32" i="26"/>
  <c r="F36" i="26"/>
  <c r="F19" i="26"/>
  <c r="D19" i="26"/>
  <c r="D35" i="26"/>
  <c r="D22" i="26"/>
  <c r="D14" i="26"/>
  <c r="P35" i="1"/>
  <c r="P10" i="1"/>
  <c r="U33" i="1"/>
  <c r="U18" i="1"/>
  <c r="U19" i="1"/>
  <c r="E14" i="26"/>
  <c r="R20" i="1"/>
  <c r="O35" i="1"/>
  <c r="N36" i="1"/>
  <c r="N29" i="1"/>
  <c r="R19" i="1"/>
  <c r="O14" i="1"/>
  <c r="O34" i="1"/>
  <c r="T28" i="1"/>
  <c r="T15" i="1"/>
  <c r="Q18" i="26"/>
  <c r="I32" i="26"/>
  <c r="Q17" i="26"/>
  <c r="U31" i="1"/>
  <c r="F9" i="26"/>
  <c r="F26" i="26"/>
  <c r="F31" i="26"/>
  <c r="D25" i="26"/>
  <c r="E20" i="26"/>
  <c r="D28" i="26"/>
  <c r="D16" i="26"/>
  <c r="P13" i="1"/>
  <c r="P18" i="1"/>
  <c r="U28" i="1"/>
  <c r="U20" i="1"/>
  <c r="W20" i="1" s="1"/>
  <c r="U15" i="1"/>
  <c r="R35" i="1"/>
  <c r="N30" i="1"/>
  <c r="N23" i="1"/>
  <c r="N35" i="1"/>
  <c r="S35" i="1"/>
  <c r="N22" i="1"/>
  <c r="N17" i="1"/>
  <c r="R21" i="1"/>
  <c r="S15" i="1"/>
  <c r="Q20" i="1"/>
  <c r="X28" i="1"/>
  <c r="X15" i="1"/>
  <c r="Q24" i="26"/>
  <c r="Q21" i="26"/>
  <c r="U14" i="1"/>
  <c r="O28" i="1"/>
  <c r="R18" i="1"/>
  <c r="M21" i="26"/>
  <c r="F33" i="26"/>
  <c r="F10" i="26"/>
  <c r="Q10" i="26" s="1"/>
  <c r="F25" i="26"/>
  <c r="U8" i="1"/>
  <c r="E19" i="26"/>
  <c r="D21" i="26"/>
  <c r="E28" i="26"/>
  <c r="D8" i="26"/>
  <c r="P32" i="1"/>
  <c r="P20" i="1"/>
  <c r="U25" i="1"/>
  <c r="U9" i="1"/>
  <c r="U35" i="1"/>
  <c r="X35" i="1" s="1"/>
  <c r="O11" i="1"/>
  <c r="E11" i="26"/>
  <c r="R27" i="1"/>
  <c r="S27" i="1" s="1"/>
  <c r="N20" i="1"/>
  <c r="N11" i="1"/>
  <c r="N8" i="1"/>
  <c r="O30" i="1"/>
  <c r="R33" i="1"/>
  <c r="S10" i="1"/>
  <c r="W35" i="1"/>
  <c r="Q28" i="1"/>
  <c r="Q15" i="1"/>
  <c r="Q16" i="1"/>
  <c r="Z27" i="1"/>
  <c r="AB26" i="1"/>
  <c r="Z24" i="1"/>
  <c r="AB19" i="1"/>
  <c r="Z33" i="1"/>
  <c r="M24" i="26"/>
  <c r="I21" i="26"/>
  <c r="I10" i="26"/>
  <c r="D34" i="26"/>
  <c r="N13" i="1"/>
  <c r="W15" i="1"/>
  <c r="F22" i="26"/>
  <c r="F14" i="26"/>
  <c r="D18" i="26"/>
  <c r="E25" i="26"/>
  <c r="D27" i="26"/>
  <c r="E22" i="26"/>
  <c r="R8" i="1"/>
  <c r="P33" i="1"/>
  <c r="P31" i="1"/>
  <c r="U16" i="1"/>
  <c r="U34" i="1"/>
  <c r="O21" i="1"/>
  <c r="R31" i="1"/>
  <c r="E12" i="26"/>
  <c r="E15" i="26"/>
  <c r="N15" i="1"/>
  <c r="N9" i="1"/>
  <c r="O36" i="1"/>
  <c r="O32" i="1"/>
  <c r="O22" i="1"/>
  <c r="S8" i="1"/>
  <c r="S30" i="1"/>
  <c r="Q35" i="1"/>
  <c r="W27" i="1"/>
  <c r="W24" i="1"/>
  <c r="W33" i="1"/>
  <c r="AB31" i="1"/>
  <c r="AB34" i="1"/>
  <c r="AB27" i="1"/>
  <c r="Z26" i="1"/>
  <c r="AB24" i="1"/>
  <c r="X19" i="1"/>
  <c r="AB33" i="1"/>
  <c r="M30" i="26"/>
  <c r="Q20" i="26"/>
  <c r="Q33" i="26"/>
  <c r="D31" i="26"/>
  <c r="O12" i="1"/>
  <c r="F34" i="26"/>
  <c r="F27" i="26"/>
  <c r="D24" i="26"/>
  <c r="E31" i="26"/>
  <c r="Q31" i="26" s="1"/>
  <c r="D33" i="26"/>
  <c r="E35" i="26"/>
  <c r="Q35" i="26" s="1"/>
  <c r="P21" i="1"/>
  <c r="P28" i="1"/>
  <c r="P37" i="1"/>
  <c r="U11" i="1"/>
  <c r="U37" i="1"/>
  <c r="O37" i="1"/>
  <c r="E16" i="26"/>
  <c r="N12" i="1"/>
  <c r="R12" i="1"/>
  <c r="N34" i="1"/>
  <c r="N19" i="1"/>
  <c r="O20" i="1"/>
  <c r="N33" i="1"/>
  <c r="O8" i="1"/>
  <c r="T8" i="1"/>
  <c r="S19" i="1"/>
  <c r="W31" i="1"/>
  <c r="Q27" i="1"/>
  <c r="Q24" i="1"/>
  <c r="Q33" i="1"/>
  <c r="X31" i="1"/>
  <c r="X34" i="1"/>
  <c r="X27" i="1"/>
  <c r="X26" i="1"/>
  <c r="X24" i="1"/>
  <c r="Z19" i="1"/>
  <c r="X33" i="1"/>
  <c r="I30" i="26"/>
  <c r="M31" i="26"/>
  <c r="M20" i="26"/>
  <c r="M33" i="26"/>
  <c r="M35" i="26"/>
  <c r="D15" i="26"/>
  <c r="O25" i="1"/>
  <c r="N18" i="1"/>
  <c r="V28" i="1"/>
  <c r="M10" i="26"/>
  <c r="F11" i="26"/>
  <c r="F16" i="26"/>
  <c r="D30" i="26"/>
  <c r="D20" i="26"/>
  <c r="E27" i="26"/>
  <c r="D9" i="26"/>
  <c r="P19" i="1"/>
  <c r="P9" i="1"/>
  <c r="P29" i="1"/>
  <c r="U17" i="1"/>
  <c r="U29" i="1"/>
  <c r="O26" i="1"/>
  <c r="R11" i="1"/>
  <c r="N31" i="1"/>
  <c r="S28" i="1"/>
  <c r="R13" i="1"/>
  <c r="N24" i="1"/>
  <c r="N14" i="1"/>
  <c r="T29" i="1"/>
  <c r="O24" i="1"/>
  <c r="S34" i="1"/>
  <c r="T19" i="1"/>
  <c r="Q31" i="1"/>
  <c r="W12" i="1"/>
  <c r="W10" i="1"/>
  <c r="W21" i="1"/>
  <c r="V31" i="1"/>
  <c r="V34" i="1"/>
  <c r="V27" i="1"/>
  <c r="V26" i="1"/>
  <c r="V24" i="1"/>
  <c r="V19" i="1"/>
  <c r="V33" i="1"/>
  <c r="Q30" i="26"/>
  <c r="I31" i="26"/>
  <c r="I20" i="26"/>
  <c r="I33" i="26"/>
  <c r="I35" i="26"/>
  <c r="I11" i="26"/>
  <c r="P14" i="1"/>
  <c r="W16" i="1"/>
  <c r="M15" i="26"/>
  <c r="F23" i="26"/>
  <c r="F28" i="26"/>
  <c r="D36" i="26"/>
  <c r="D26" i="26"/>
  <c r="E23" i="26"/>
  <c r="D10" i="26"/>
  <c r="P8" i="1"/>
  <c r="P25" i="1"/>
  <c r="P23" i="1"/>
  <c r="U30" i="1"/>
  <c r="U23" i="1"/>
  <c r="O19" i="1"/>
  <c r="S11" i="1"/>
  <c r="N25" i="1"/>
  <c r="T20" i="1"/>
  <c r="E13" i="26"/>
  <c r="N37" i="1"/>
  <c r="N21" i="1"/>
  <c r="S31" i="1"/>
  <c r="O10" i="1"/>
  <c r="T27" i="1"/>
  <c r="S18" i="1"/>
  <c r="W11" i="1"/>
  <c r="Q12" i="1"/>
  <c r="Q10" i="1"/>
  <c r="X21" i="1"/>
  <c r="AB11" i="1"/>
  <c r="AB20" i="1"/>
  <c r="Z12" i="1"/>
  <c r="AB13" i="1"/>
  <c r="AB10" i="1"/>
  <c r="AB18" i="1"/>
  <c r="Q8" i="26"/>
  <c r="I36" i="26"/>
  <c r="I26" i="26"/>
  <c r="I27" i="26"/>
  <c r="M29" i="26"/>
  <c r="I14" i="26"/>
  <c r="I12" i="26"/>
  <c r="Q9" i="26"/>
  <c r="P17" i="1"/>
  <c r="V35" i="1"/>
  <c r="M22" i="26"/>
  <c r="M8" i="26"/>
  <c r="I8" i="26"/>
  <c r="X10" i="1"/>
  <c r="Z10" i="1"/>
  <c r="M36" i="26"/>
  <c r="Q36" i="26"/>
  <c r="Q29" i="26"/>
  <c r="I29" i="26"/>
  <c r="V30" i="1"/>
  <c r="Q30" i="1"/>
  <c r="W30" i="1"/>
  <c r="T30" i="1"/>
  <c r="I9" i="26"/>
  <c r="M9" i="26"/>
  <c r="M32" i="26"/>
  <c r="Q32" i="26"/>
  <c r="M14" i="26"/>
  <c r="Q14" i="26"/>
  <c r="S20" i="1"/>
  <c r="V20" i="1"/>
  <c r="Z20" i="1"/>
  <c r="X20" i="1"/>
  <c r="Q19" i="1"/>
  <c r="W19" i="1"/>
  <c r="M26" i="26"/>
  <c r="Q26" i="26"/>
  <c r="W28" i="1"/>
  <c r="Z28" i="1"/>
  <c r="AB28" i="1"/>
  <c r="Z15" i="1"/>
  <c r="AB15" i="1"/>
  <c r="V15" i="1"/>
  <c r="Z35" i="1"/>
  <c r="AB35" i="1"/>
  <c r="T35" i="1"/>
  <c r="S21" i="1"/>
  <c r="AB21" i="1"/>
  <c r="T21" i="1"/>
  <c r="Q21" i="1"/>
  <c r="Z21" i="1"/>
  <c r="V21" i="1"/>
  <c r="Q18" i="1"/>
  <c r="W18" i="1"/>
  <c r="V18" i="1"/>
  <c r="X18" i="1"/>
  <c r="Z18" i="1"/>
  <c r="T18" i="1"/>
  <c r="I19" i="26"/>
  <c r="Q19" i="26"/>
  <c r="M19" i="26"/>
  <c r="Q28" i="26"/>
  <c r="I28" i="26"/>
  <c r="M28" i="26"/>
  <c r="T33" i="1"/>
  <c r="S33" i="1"/>
  <c r="M25" i="26"/>
  <c r="I25" i="26"/>
  <c r="Q25" i="26"/>
  <c r="I22" i="26"/>
  <c r="Q22" i="26"/>
  <c r="V8" i="1"/>
  <c r="X8" i="1"/>
  <c r="Z8" i="1"/>
  <c r="AB8" i="1"/>
  <c r="Q8" i="1"/>
  <c r="X16" i="1"/>
  <c r="Z16" i="1"/>
  <c r="AB16" i="1"/>
  <c r="V16" i="1"/>
  <c r="Z34" i="1"/>
  <c r="W34" i="1"/>
  <c r="Z31" i="1"/>
  <c r="T31" i="1"/>
  <c r="M12" i="26"/>
  <c r="Q12" i="26"/>
  <c r="Q15" i="26"/>
  <c r="I15" i="26"/>
  <c r="M34" i="26"/>
  <c r="I34" i="26"/>
  <c r="Q34" i="26"/>
  <c r="Q16" i="26"/>
  <c r="M16" i="26"/>
  <c r="I16" i="26"/>
  <c r="T12" i="1"/>
  <c r="V12" i="1"/>
  <c r="X12" i="1"/>
  <c r="S12" i="1"/>
  <c r="AB12" i="1"/>
  <c r="M11" i="26"/>
  <c r="Q11" i="26"/>
  <c r="Q27" i="26"/>
  <c r="M27" i="26"/>
  <c r="V29" i="1"/>
  <c r="X29" i="1"/>
  <c r="Z29" i="1"/>
  <c r="AB29" i="1"/>
  <c r="W29" i="1"/>
  <c r="T11" i="1"/>
  <c r="V11" i="1"/>
  <c r="X11" i="1"/>
  <c r="Z11" i="1"/>
  <c r="Q11" i="1"/>
  <c r="S13" i="1"/>
  <c r="Q13" i="1"/>
  <c r="W13" i="1"/>
  <c r="V13" i="1"/>
  <c r="X13" i="1"/>
  <c r="T13" i="1"/>
  <c r="Z13" i="1"/>
  <c r="I23" i="26"/>
  <c r="M23" i="26"/>
  <c r="Q23" i="26"/>
  <c r="X30" i="1"/>
  <c r="Z30" i="1"/>
  <c r="AB30" i="1"/>
  <c r="M13" i="26"/>
  <c r="Q13" i="26"/>
  <c r="I13" i="26"/>
  <c r="Q38" i="1"/>
  <c r="AB38" i="1"/>
  <c r="Z38" i="1"/>
  <c r="W39" i="1"/>
  <c r="V39" i="1"/>
  <c r="Z39" i="1"/>
  <c r="T39" i="1"/>
  <c r="S39" i="1"/>
  <c r="Q39" i="1"/>
  <c r="AB39" i="1"/>
  <c r="E7" i="1" l="1"/>
  <c r="F7" i="1" s="1"/>
  <c r="D11" i="1"/>
  <c r="H7" i="1"/>
  <c r="I7" i="1"/>
  <c r="D8" i="1"/>
  <c r="G7" i="1"/>
  <c r="N10" i="26"/>
  <c r="N16" i="26"/>
  <c r="N32" i="26"/>
  <c r="R14" i="1"/>
  <c r="AB14" i="1"/>
  <c r="N19" i="26"/>
  <c r="N14" i="26"/>
  <c r="N26" i="26"/>
  <c r="R32" i="1"/>
  <c r="Z32" i="1" s="1"/>
  <c r="X14" i="1"/>
  <c r="N35" i="26"/>
  <c r="N31" i="26"/>
  <c r="T32" i="1"/>
  <c r="T24" i="1"/>
  <c r="V14" i="1"/>
  <c r="N28" i="26"/>
  <c r="N22" i="26"/>
  <c r="N25" i="26"/>
  <c r="R22" i="1"/>
  <c r="T22" i="1" s="1"/>
  <c r="R37" i="1"/>
  <c r="W14" i="1"/>
  <c r="W37" i="1"/>
  <c r="AB32" i="1"/>
  <c r="R25" i="1"/>
  <c r="Q14" i="1"/>
  <c r="AB37" i="1"/>
  <c r="N9" i="26"/>
  <c r="N29" i="26"/>
  <c r="N36" i="26"/>
  <c r="S22" i="1"/>
  <c r="R36" i="1"/>
  <c r="W32" i="1"/>
  <c r="W36" i="1"/>
  <c r="X32" i="1"/>
  <c r="X36" i="1"/>
  <c r="S24" i="1"/>
  <c r="Z14" i="1"/>
  <c r="N13" i="26"/>
  <c r="N33" i="26"/>
  <c r="N30" i="26"/>
  <c r="T14" i="1"/>
  <c r="Q32" i="1"/>
  <c r="Q36" i="1"/>
  <c r="V32" i="1"/>
  <c r="V36" i="1"/>
  <c r="S36" i="1"/>
  <c r="N34" i="26"/>
  <c r="N15" i="26"/>
  <c r="N21" i="26"/>
  <c r="N24" i="26"/>
  <c r="R9" i="1"/>
  <c r="S37" i="1"/>
  <c r="W22" i="1"/>
  <c r="AB22" i="1"/>
  <c r="N20" i="26"/>
  <c r="V22" i="1"/>
  <c r="N17" i="26"/>
  <c r="N23" i="26"/>
  <c r="N18" i="26"/>
  <c r="S9" i="1"/>
  <c r="S32" i="1"/>
  <c r="Q22" i="1"/>
  <c r="Z22" i="1"/>
  <c r="N11" i="26"/>
  <c r="Q25" i="1"/>
  <c r="W9" i="1"/>
  <c r="N12" i="26"/>
  <c r="N27" i="26"/>
  <c r="N8" i="26"/>
  <c r="R23" i="1"/>
  <c r="T37" i="1"/>
  <c r="W25" i="1"/>
  <c r="X22" i="1"/>
  <c r="X23" i="1"/>
  <c r="W8" i="1"/>
  <c r="R17" i="1"/>
  <c r="V37" i="1"/>
  <c r="Q37" i="1"/>
  <c r="X37" i="1"/>
  <c r="Z37" i="1"/>
  <c r="S25" i="1"/>
  <c r="V25" i="1"/>
  <c r="AB25" i="1"/>
  <c r="X25" i="1"/>
  <c r="Z25" i="1"/>
  <c r="T25" i="1"/>
  <c r="AB36" i="1"/>
  <c r="Z36" i="1"/>
  <c r="T36" i="1"/>
  <c r="T9" i="1"/>
  <c r="V9" i="1"/>
  <c r="X9" i="1"/>
  <c r="Z9" i="1"/>
  <c r="AB9" i="1"/>
  <c r="Q9" i="1"/>
  <c r="Z23" i="1"/>
  <c r="S23" i="1"/>
  <c r="AB23" i="1"/>
  <c r="V23" i="1"/>
  <c r="Q23" i="1"/>
  <c r="W23" i="1"/>
  <c r="T23" i="1"/>
  <c r="V17" i="1"/>
  <c r="X17" i="1"/>
  <c r="Z17" i="1"/>
  <c r="AB17" i="1"/>
  <c r="T17" i="1"/>
  <c r="Q17" i="1"/>
  <c r="W17" i="1"/>
  <c r="E11" i="1" l="1"/>
  <c r="F11" i="1" s="1"/>
  <c r="G11" i="1"/>
  <c r="H11" i="1"/>
  <c r="I11" i="1"/>
  <c r="D12" i="1"/>
  <c r="H8" i="1"/>
  <c r="I8" i="1"/>
  <c r="D9" i="1"/>
  <c r="E8" i="1"/>
  <c r="F8" i="1" s="1"/>
  <c r="G8" i="1"/>
  <c r="AC39" i="1"/>
  <c r="Y39" i="1"/>
  <c r="AA39" i="1"/>
  <c r="AA38" i="1"/>
  <c r="AC38" i="1"/>
  <c r="Y38" i="1"/>
  <c r="O17" i="26"/>
  <c r="O23" i="26"/>
  <c r="O18" i="26"/>
  <c r="H11" i="26"/>
  <c r="L19" i="26"/>
  <c r="L34" i="26"/>
  <c r="L24" i="26"/>
  <c r="R13" i="26"/>
  <c r="R16" i="26"/>
  <c r="P33" i="26"/>
  <c r="P32" i="26"/>
  <c r="P30" i="26"/>
  <c r="AC36" i="1"/>
  <c r="AC25" i="1"/>
  <c r="AC17" i="1"/>
  <c r="AC19" i="1"/>
  <c r="AA15" i="1"/>
  <c r="AA12" i="1"/>
  <c r="AA34" i="1"/>
  <c r="AC35" i="1"/>
  <c r="O14" i="26"/>
  <c r="P25" i="26"/>
  <c r="AA10" i="1"/>
  <c r="S14" i="1"/>
  <c r="O12" i="26"/>
  <c r="O27" i="26"/>
  <c r="H23" i="26"/>
  <c r="H24" i="26"/>
  <c r="H16" i="26"/>
  <c r="L36" i="26"/>
  <c r="L12" i="26"/>
  <c r="P15" i="26"/>
  <c r="P14" i="26"/>
  <c r="P21" i="26"/>
  <c r="P26" i="26"/>
  <c r="P24" i="26"/>
  <c r="Y37" i="1"/>
  <c r="Y22" i="1"/>
  <c r="Y33" i="1"/>
  <c r="Y30" i="1"/>
  <c r="Y13" i="1"/>
  <c r="Y27" i="1"/>
  <c r="Y8" i="1"/>
  <c r="AC21" i="1"/>
  <c r="O26" i="26"/>
  <c r="P27" i="26"/>
  <c r="AA16" i="1"/>
  <c r="O11" i="26"/>
  <c r="O20" i="26"/>
  <c r="L14" i="26"/>
  <c r="H12" i="26"/>
  <c r="L27" i="26"/>
  <c r="H31" i="26"/>
  <c r="H9" i="26"/>
  <c r="R15" i="26"/>
  <c r="R14" i="26"/>
  <c r="R21" i="26"/>
  <c r="R26" i="26"/>
  <c r="R24" i="26"/>
  <c r="AA37" i="1"/>
  <c r="AC22" i="1"/>
  <c r="AC33" i="1"/>
  <c r="AA30" i="1"/>
  <c r="AA13" i="1"/>
  <c r="AA27" i="1"/>
  <c r="AA8" i="1"/>
  <c r="AA21" i="1"/>
  <c r="H27" i="26"/>
  <c r="L25" i="26"/>
  <c r="P8" i="26"/>
  <c r="AA11" i="1"/>
  <c r="O10" i="26"/>
  <c r="O34" i="26"/>
  <c r="L15" i="26"/>
  <c r="L29" i="26"/>
  <c r="L32" i="26"/>
  <c r="L22" i="26"/>
  <c r="H21" i="26"/>
  <c r="P17" i="26"/>
  <c r="P35" i="26"/>
  <c r="P23" i="26"/>
  <c r="R31" i="26"/>
  <c r="R18" i="26"/>
  <c r="AC37" i="1"/>
  <c r="AA22" i="1"/>
  <c r="AA33" i="1"/>
  <c r="AC30" i="1"/>
  <c r="AC13" i="1"/>
  <c r="AC27" i="1"/>
  <c r="AC8" i="1"/>
  <c r="Y21" i="1"/>
  <c r="L20" i="26"/>
  <c r="P12" i="26"/>
  <c r="AA23" i="1"/>
  <c r="AC28" i="1"/>
  <c r="O16" i="26"/>
  <c r="O32" i="26"/>
  <c r="L28" i="26"/>
  <c r="L30" i="26"/>
  <c r="H29" i="26"/>
  <c r="H19" i="26"/>
  <c r="H34" i="26"/>
  <c r="R17" i="26"/>
  <c r="R35" i="26"/>
  <c r="R23" i="26"/>
  <c r="P31" i="26"/>
  <c r="P18" i="26"/>
  <c r="Y23" i="1"/>
  <c r="Y32" i="1"/>
  <c r="Y16" i="1"/>
  <c r="Y10" i="1"/>
  <c r="Y26" i="1"/>
  <c r="Y28" i="1"/>
  <c r="Y11" i="1"/>
  <c r="S17" i="1"/>
  <c r="H25" i="26"/>
  <c r="P22" i="26"/>
  <c r="AC32" i="1"/>
  <c r="AA26" i="1"/>
  <c r="L10" i="26"/>
  <c r="O35" i="26"/>
  <c r="O31" i="26"/>
  <c r="L16" i="26"/>
  <c r="L18" i="26"/>
  <c r="H17" i="26"/>
  <c r="L35" i="26"/>
  <c r="H22" i="26"/>
  <c r="R12" i="26"/>
  <c r="R22" i="26"/>
  <c r="R27" i="26"/>
  <c r="R25" i="26"/>
  <c r="O8" i="26"/>
  <c r="AC23" i="1"/>
  <c r="AA32" i="1"/>
  <c r="AC16" i="1"/>
  <c r="AC10" i="1"/>
  <c r="AC26" i="1"/>
  <c r="AA28" i="1"/>
  <c r="AC11" i="1"/>
  <c r="O21" i="26"/>
  <c r="P16" i="26"/>
  <c r="AA17" i="1"/>
  <c r="AA35" i="1"/>
  <c r="O22" i="26"/>
  <c r="O25" i="26"/>
  <c r="H13" i="26"/>
  <c r="H15" i="26"/>
  <c r="L33" i="26"/>
  <c r="H32" i="26"/>
  <c r="L13" i="26"/>
  <c r="P11" i="26"/>
  <c r="P28" i="26"/>
  <c r="R20" i="26"/>
  <c r="R19" i="26"/>
  <c r="L8" i="26"/>
  <c r="Y9" i="1"/>
  <c r="Y14" i="1"/>
  <c r="Y18" i="1"/>
  <c r="Y24" i="1"/>
  <c r="Y29" i="1"/>
  <c r="Y20" i="1"/>
  <c r="Y31" i="1"/>
  <c r="O15" i="26"/>
  <c r="R33" i="26"/>
  <c r="AA25" i="1"/>
  <c r="O28" i="26"/>
  <c r="O19" i="26"/>
  <c r="H26" i="26"/>
  <c r="H35" i="26"/>
  <c r="H30" i="26"/>
  <c r="L23" i="26"/>
  <c r="H10" i="26"/>
  <c r="R11" i="26"/>
  <c r="R28" i="26"/>
  <c r="P20" i="26"/>
  <c r="P19" i="26"/>
  <c r="R8" i="26"/>
  <c r="AA9" i="1"/>
  <c r="AA14" i="1"/>
  <c r="AC18" i="1"/>
  <c r="AA24" i="1"/>
  <c r="AC29" i="1"/>
  <c r="AA20" i="1"/>
  <c r="AC31" i="1"/>
  <c r="Y35" i="1"/>
  <c r="L26" i="26"/>
  <c r="P13" i="26"/>
  <c r="AA36" i="1"/>
  <c r="AC15" i="1"/>
  <c r="O9" i="26"/>
  <c r="O29" i="26"/>
  <c r="O36" i="26"/>
  <c r="L17" i="26"/>
  <c r="H36" i="26"/>
  <c r="L21" i="26"/>
  <c r="H20" i="26"/>
  <c r="P9" i="26"/>
  <c r="P10" i="26"/>
  <c r="P29" i="26"/>
  <c r="P34" i="26"/>
  <c r="P36" i="26"/>
  <c r="H8" i="26"/>
  <c r="AC9" i="1"/>
  <c r="AC14" i="1"/>
  <c r="AA18" i="1"/>
  <c r="AC24" i="1"/>
  <c r="AA29" i="1"/>
  <c r="AC20" i="1"/>
  <c r="AA31" i="1"/>
  <c r="Y34" i="1"/>
  <c r="H28" i="26"/>
  <c r="H33" i="26"/>
  <c r="R30" i="26"/>
  <c r="AA19" i="1"/>
  <c r="AC34" i="1"/>
  <c r="O13" i="26"/>
  <c r="O33" i="26"/>
  <c r="O30" i="26"/>
  <c r="H14" i="26"/>
  <c r="L31" i="26"/>
  <c r="H18" i="26"/>
  <c r="L11" i="26"/>
  <c r="R9" i="26"/>
  <c r="R10" i="26"/>
  <c r="R29" i="26"/>
  <c r="R34" i="26"/>
  <c r="R36" i="26"/>
  <c r="Y36" i="1"/>
  <c r="Y25" i="1"/>
  <c r="Y17" i="1"/>
  <c r="Y19" i="1"/>
  <c r="Y15" i="1"/>
  <c r="Y12" i="1"/>
  <c r="O24" i="26"/>
  <c r="L9" i="26"/>
  <c r="R32" i="26"/>
  <c r="AC12" i="1"/>
  <c r="D10" i="1" l="1"/>
  <c r="L7" i="26"/>
  <c r="H7" i="26"/>
  <c r="G12" i="1"/>
  <c r="H12" i="1"/>
  <c r="I12" i="1"/>
  <c r="E12" i="1"/>
  <c r="F12" i="1" s="1"/>
  <c r="H9" i="1"/>
  <c r="I9" i="1"/>
  <c r="G9" i="1"/>
  <c r="E9" i="1"/>
  <c r="F9" i="1" s="1"/>
  <c r="G36" i="26"/>
  <c r="G13" i="26"/>
  <c r="K31" i="26"/>
  <c r="K9" i="26"/>
  <c r="K23" i="26"/>
  <c r="K29" i="26"/>
  <c r="K33" i="26"/>
  <c r="K36" i="26"/>
  <c r="K27" i="26"/>
  <c r="G28" i="26"/>
  <c r="G26" i="26"/>
  <c r="G24" i="26"/>
  <c r="K15" i="26"/>
  <c r="K17" i="26"/>
  <c r="G16" i="26"/>
  <c r="G18" i="26"/>
  <c r="K24" i="26"/>
  <c r="G29" i="26"/>
  <c r="G8" i="26"/>
  <c r="G32" i="26"/>
  <c r="G12" i="26"/>
  <c r="G14" i="26"/>
  <c r="G34" i="26"/>
  <c r="K34" i="26"/>
  <c r="G21" i="26"/>
  <c r="G19" i="26"/>
  <c r="G15" i="26"/>
  <c r="K25" i="26"/>
  <c r="G22" i="26"/>
  <c r="G10" i="26"/>
  <c r="G31" i="26"/>
  <c r="K12" i="26"/>
  <c r="K8" i="26"/>
  <c r="K35" i="26"/>
  <c r="K13" i="26"/>
  <c r="K26" i="26"/>
  <c r="K32" i="26"/>
  <c r="K22" i="26"/>
  <c r="G9" i="26"/>
  <c r="K20" i="26"/>
  <c r="K11" i="26"/>
  <c r="G35" i="26"/>
  <c r="K30" i="26"/>
  <c r="K19" i="26"/>
  <c r="K14" i="26"/>
  <c r="G27" i="26"/>
  <c r="K10" i="26"/>
  <c r="K21" i="26"/>
  <c r="K28" i="26"/>
  <c r="K18" i="26"/>
  <c r="G17" i="26"/>
  <c r="G20" i="26"/>
  <c r="G33" i="26"/>
  <c r="G25" i="26"/>
  <c r="G11" i="26"/>
  <c r="K16" i="26"/>
  <c r="G23" i="26"/>
  <c r="G30" i="26"/>
  <c r="E10" i="1" l="1"/>
  <c r="F10" i="1" s="1"/>
  <c r="I10" i="1"/>
  <c r="H10" i="1"/>
  <c r="G10" i="1"/>
  <c r="K7" i="26"/>
  <c r="G7" i="26"/>
</calcChain>
</file>

<file path=xl/sharedStrings.xml><?xml version="1.0" encoding="utf-8"?>
<sst xmlns="http://schemas.openxmlformats.org/spreadsheetml/2006/main" count="118" uniqueCount="85">
  <si>
    <t>Wind代码</t>
    <phoneticPr fontId="3" type="noConversion"/>
  </si>
  <si>
    <t>证券简称</t>
    <phoneticPr fontId="3" type="noConversion"/>
  </si>
  <si>
    <t>行情速览</t>
    <phoneticPr fontId="3" type="noConversion"/>
  </si>
  <si>
    <t>最新收盘价</t>
    <phoneticPr fontId="3" type="noConversion"/>
  </si>
  <si>
    <t>最近交易日</t>
    <phoneticPr fontId="3" type="noConversion"/>
  </si>
  <si>
    <t>最新涨跌幅(%)</t>
    <phoneticPr fontId="3" type="noConversion"/>
  </si>
  <si>
    <t>最近更新：</t>
    <phoneticPr fontId="3" type="noConversion"/>
  </si>
  <si>
    <t>基础信息</t>
    <phoneticPr fontId="3" type="noConversion"/>
  </si>
  <si>
    <t>日期</t>
    <phoneticPr fontId="3" type="noConversion"/>
  </si>
  <si>
    <t>1年前</t>
    <phoneticPr fontId="3" type="noConversion"/>
  </si>
  <si>
    <t>2年前</t>
    <phoneticPr fontId="3" type="noConversion"/>
  </si>
  <si>
    <t>今日</t>
    <phoneticPr fontId="3" type="noConversion"/>
  </si>
  <si>
    <t>月份</t>
    <phoneticPr fontId="3" type="noConversion"/>
  </si>
  <si>
    <t>季度</t>
    <phoneticPr fontId="3" type="noConversion"/>
  </si>
  <si>
    <t>年份</t>
    <phoneticPr fontId="3" type="noConversion"/>
  </si>
  <si>
    <t>时间</t>
    <phoneticPr fontId="3" type="noConversion"/>
  </si>
  <si>
    <t>年初</t>
    <phoneticPr fontId="3" type="noConversion"/>
  </si>
  <si>
    <t>年底</t>
    <phoneticPr fontId="3" type="noConversion"/>
  </si>
  <si>
    <t>1年后</t>
    <phoneticPr fontId="3" type="noConversion"/>
  </si>
  <si>
    <t>2年后</t>
    <phoneticPr fontId="3" type="noConversion"/>
  </si>
  <si>
    <t>估值分析</t>
    <phoneticPr fontId="3" type="noConversion"/>
  </si>
  <si>
    <t>最新收盘日总市值</t>
    <phoneticPr fontId="2" type="noConversion"/>
  </si>
  <si>
    <t>趋势图</t>
    <phoneticPr fontId="2" type="noConversion"/>
  </si>
  <si>
    <t>最新收盘日</t>
    <phoneticPr fontId="3" type="noConversion"/>
  </si>
  <si>
    <t>PB(FY1)</t>
    <phoneticPr fontId="2" type="noConversion"/>
  </si>
  <si>
    <t>PB(FY2)</t>
    <phoneticPr fontId="2" type="noConversion"/>
  </si>
  <si>
    <t>最新收盘日PB(MRQ)</t>
    <phoneticPr fontId="2" type="noConversion"/>
  </si>
  <si>
    <t>*注：此excel中所有财务相关数据均采用了GSD标准</t>
    <phoneticPr fontId="3" type="noConversion"/>
  </si>
  <si>
    <t>可比指数</t>
    <phoneticPr fontId="2" type="noConversion"/>
  </si>
  <si>
    <t>10年前</t>
    <phoneticPr fontId="3" type="noConversion"/>
  </si>
  <si>
    <t>股息率(近12个月）</t>
    <phoneticPr fontId="2" type="noConversion"/>
  </si>
  <si>
    <t>分位数</t>
    <phoneticPr fontId="2" type="noConversion"/>
  </si>
  <si>
    <t>分位数</t>
    <phoneticPr fontId="2" type="noConversion"/>
  </si>
  <si>
    <t>最新PE(TTM)</t>
    <phoneticPr fontId="2" type="noConversion"/>
  </si>
  <si>
    <t>最新PB(MRQ)</t>
    <phoneticPr fontId="2" type="noConversion"/>
  </si>
  <si>
    <t>股息率(近12个月）</t>
    <phoneticPr fontId="2" type="noConversion"/>
  </si>
  <si>
    <t>基本资料</t>
    <phoneticPr fontId="3" type="noConversion"/>
  </si>
  <si>
    <t>159647.SZ</t>
    <phoneticPr fontId="3" type="noConversion"/>
  </si>
  <si>
    <t>159666.SZ</t>
    <phoneticPr fontId="3" type="noConversion"/>
  </si>
  <si>
    <t>159766.SZ</t>
    <phoneticPr fontId="3" type="noConversion"/>
  </si>
  <si>
    <t>159855.SZ</t>
    <phoneticPr fontId="3" type="noConversion"/>
  </si>
  <si>
    <t>159865.SZ</t>
    <phoneticPr fontId="3" type="noConversion"/>
  </si>
  <si>
    <t>159869.SZ</t>
    <phoneticPr fontId="3" type="noConversion"/>
  </si>
  <si>
    <t>159883.SZ</t>
    <phoneticPr fontId="3" type="noConversion"/>
  </si>
  <si>
    <t>159996.SZ</t>
    <phoneticPr fontId="3" type="noConversion"/>
  </si>
  <si>
    <t>510880.SH</t>
    <phoneticPr fontId="3" type="noConversion"/>
  </si>
  <si>
    <t>511260.SH</t>
    <phoneticPr fontId="3" type="noConversion"/>
  </si>
  <si>
    <t>512000.SH</t>
    <phoneticPr fontId="3" type="noConversion"/>
  </si>
  <si>
    <t>512010.SH</t>
    <phoneticPr fontId="3" type="noConversion"/>
  </si>
  <si>
    <t>512170.SH</t>
    <phoneticPr fontId="3" type="noConversion"/>
  </si>
  <si>
    <t>512200.SH</t>
    <phoneticPr fontId="3" type="noConversion"/>
  </si>
  <si>
    <t>512480.SH</t>
    <phoneticPr fontId="3" type="noConversion"/>
  </si>
  <si>
    <t>512660.SH</t>
    <phoneticPr fontId="3" type="noConversion"/>
  </si>
  <si>
    <t>512690.SH</t>
    <phoneticPr fontId="3" type="noConversion"/>
  </si>
  <si>
    <t>512800.SH</t>
    <phoneticPr fontId="3" type="noConversion"/>
  </si>
  <si>
    <t>512980.SH</t>
    <phoneticPr fontId="3" type="noConversion"/>
  </si>
  <si>
    <t>513050.SH</t>
    <phoneticPr fontId="3" type="noConversion"/>
  </si>
  <si>
    <t>513180.SH</t>
    <phoneticPr fontId="3" type="noConversion"/>
  </si>
  <si>
    <t>515000.SH</t>
    <phoneticPr fontId="3" type="noConversion"/>
  </si>
  <si>
    <t>515030.SH</t>
    <phoneticPr fontId="3" type="noConversion"/>
  </si>
  <si>
    <t>515050.SH</t>
    <phoneticPr fontId="3" type="noConversion"/>
  </si>
  <si>
    <t>515220.SH</t>
    <phoneticPr fontId="3" type="noConversion"/>
  </si>
  <si>
    <t>515400.SH</t>
    <phoneticPr fontId="3" type="noConversion"/>
  </si>
  <si>
    <t>515790.SH</t>
    <phoneticPr fontId="3" type="noConversion"/>
  </si>
  <si>
    <t>516800.SH</t>
    <phoneticPr fontId="3" type="noConversion"/>
  </si>
  <si>
    <t>517090.SH</t>
    <phoneticPr fontId="3" type="noConversion"/>
  </si>
  <si>
    <t>561560.SH</t>
    <phoneticPr fontId="3" type="noConversion"/>
  </si>
  <si>
    <t>ETF场内简称</t>
    <phoneticPr fontId="3" type="noConversion"/>
  </si>
  <si>
    <t>基金管理人</t>
    <phoneticPr fontId="3" type="noConversion"/>
  </si>
  <si>
    <t>可比ETF-基本资料</t>
    <phoneticPr fontId="3" type="noConversion"/>
  </si>
  <si>
    <t>可比ETF-估值分析</t>
    <phoneticPr fontId="3" type="noConversion"/>
  </si>
  <si>
    <t>上市日期</t>
    <phoneticPr fontId="3" type="noConversion"/>
  </si>
  <si>
    <t>ETF资产净值</t>
    <phoneticPr fontId="3" type="noConversion"/>
  </si>
  <si>
    <t>跟踪指数</t>
    <phoneticPr fontId="3" type="noConversion"/>
  </si>
  <si>
    <t>跟踪指数总市值</t>
    <phoneticPr fontId="3" type="noConversion"/>
  </si>
  <si>
    <t>跟踪指数EPS</t>
    <phoneticPr fontId="3" type="noConversion"/>
  </si>
  <si>
    <t>跟踪指数P/E(TTM)</t>
    <phoneticPr fontId="3" type="noConversion"/>
  </si>
  <si>
    <t>跟踪指数P/B(MRQ)</t>
    <phoneticPr fontId="3" type="noConversion"/>
  </si>
  <si>
    <t>跟踪指数股息率(近12个月）</t>
    <phoneticPr fontId="3" type="noConversion"/>
  </si>
  <si>
    <t>跟踪指数</t>
    <phoneticPr fontId="3" type="noConversion"/>
  </si>
  <si>
    <t>跟踪指数总市值(亿元)</t>
    <phoneticPr fontId="2" type="noConversion"/>
  </si>
  <si>
    <t>跟踪指数市净率PB</t>
    <phoneticPr fontId="2" type="noConversion"/>
  </si>
  <si>
    <t>跟踪指数股息率(近12个月）</t>
    <phoneticPr fontId="3" type="noConversion"/>
  </si>
  <si>
    <t>159329.SZ</t>
    <phoneticPr fontId="3" type="noConversion"/>
  </si>
  <si>
    <t>513300.SH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</si>
</sst>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76" formatCode="###,###,##0.0000"/>
    <numFmt numFmtId="177" formatCode="###,###,##0.000"/>
    <numFmt numFmtId="178" formatCode="###,###,##0.00"/>
    <numFmt numFmtId="179" formatCode="0\.00,,&quot;亿&quot;"/>
  </numFmts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10"/>
      <color theme="1" tint="0.34998626667073579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color theme="0"/>
      <name val="Arial"/>
      <family val="2"/>
    </font>
    <font>
      <sz val="11"/>
      <color theme="1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dotted">
        <color auto="1"/>
      </right>
      <top/>
      <bottom style="hair">
        <color auto="1"/>
      </bottom>
      <diagonal/>
    </border>
    <border>
      <left style="dashed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 style="dotted">
        <color auto="1"/>
      </left>
      <right/>
      <top/>
      <bottom style="hair">
        <color auto="1"/>
      </bottom>
      <diagonal/>
    </border>
    <border>
      <left style="dotted">
        <color auto="1"/>
      </left>
      <right/>
      <top style="hair">
        <color auto="1"/>
      </top>
      <bottom style="hair">
        <color auto="1"/>
      </bottom>
      <diagonal/>
    </border>
    <border>
      <left/>
      <right style="dotted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4" fillId="2" borderId="0" xfId="0" applyFont="1" applyFill="1" applyAlignment="1"/>
    <xf numFmtId="0" fontId="4" fillId="2" borderId="0" xfId="0" applyFont="1" applyFill="1">
      <alignment vertical="center"/>
    </xf>
    <xf numFmtId="0" fontId="0" fillId="4" borderId="0" xfId="0" applyFill="1">
      <alignment vertical="center"/>
    </xf>
    <xf numFmtId="0" fontId="5" fillId="4" borderId="1" xfId="0" applyFont="1" applyFill="1" applyBorder="1" applyAlignment="1">
      <alignment vertical="top"/>
    </xf>
    <xf numFmtId="0" fontId="1" fillId="4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5" fillId="4" borderId="1" xfId="0" applyFont="1" applyFill="1" applyBorder="1" applyAlignment="1">
      <alignment horizontal="right" vertical="top"/>
    </xf>
    <xf numFmtId="178" fontId="1" fillId="0" borderId="0" xfId="0" applyNumberFormat="1" applyFont="1" applyFill="1" applyBorder="1" applyAlignment="1">
      <alignment horizontal="right" vertical="center"/>
    </xf>
    <xf numFmtId="0" fontId="1" fillId="0" borderId="3" xfId="0" applyFont="1" applyFill="1" applyBorder="1">
      <alignment vertical="center"/>
    </xf>
    <xf numFmtId="0" fontId="6" fillId="5" borderId="7" xfId="0" applyFont="1" applyFill="1" applyBorder="1" applyAlignment="1">
      <alignment horizontal="left"/>
    </xf>
    <xf numFmtId="178" fontId="1" fillId="0" borderId="2" xfId="0" applyNumberFormat="1" applyFont="1" applyFill="1" applyBorder="1" applyAlignment="1">
      <alignment horizontal="right" vertical="center"/>
    </xf>
    <xf numFmtId="178" fontId="1" fillId="0" borderId="11" xfId="0" applyNumberFormat="1" applyFont="1" applyFill="1" applyBorder="1" applyAlignment="1">
      <alignment horizontal="right" vertical="center"/>
    </xf>
    <xf numFmtId="0" fontId="1" fillId="0" borderId="11" xfId="0" applyFont="1" applyFill="1" applyBorder="1" applyAlignment="1">
      <alignment horizontal="right" vertical="center"/>
    </xf>
    <xf numFmtId="177" fontId="1" fillId="0" borderId="2" xfId="0" applyNumberFormat="1" applyFont="1" applyFill="1" applyBorder="1" applyAlignment="1">
      <alignment horizontal="right" vertical="center"/>
    </xf>
    <xf numFmtId="0" fontId="1" fillId="0" borderId="6" xfId="0" applyFont="1" applyFill="1" applyBorder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right" vertical="center"/>
    </xf>
    <xf numFmtId="0" fontId="0" fillId="4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0" borderId="0" xfId="0" applyFill="1" applyBorder="1">
      <alignment vertical="center"/>
    </xf>
    <xf numFmtId="178" fontId="1" fillId="0" borderId="3" xfId="0" applyNumberFormat="1" applyFont="1" applyFill="1" applyBorder="1" applyAlignment="1">
      <alignment horizontal="right" vertical="center"/>
    </xf>
    <xf numFmtId="178" fontId="1" fillId="0" borderId="3" xfId="0" applyNumberFormat="1" applyFont="1" applyFill="1" applyBorder="1">
      <alignment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1" fillId="0" borderId="3" xfId="0" applyNumberFormat="1" applyFont="1" applyFill="1" applyBorder="1">
      <alignment vertical="center"/>
    </xf>
    <xf numFmtId="178" fontId="1" fillId="0" borderId="2" xfId="0" applyNumberFormat="1" applyFont="1" applyFill="1" applyBorder="1">
      <alignment vertical="center"/>
    </xf>
    <xf numFmtId="178" fontId="1" fillId="0" borderId="8" xfId="0" applyNumberFormat="1" applyFont="1" applyFill="1" applyBorder="1" applyAlignment="1">
      <alignment horizontal="left" vertical="center"/>
    </xf>
    <xf numFmtId="0" fontId="1" fillId="0" borderId="11" xfId="0" applyFont="1" applyFill="1" applyBorder="1">
      <alignment vertical="center"/>
    </xf>
    <xf numFmtId="176" fontId="1" fillId="0" borderId="2" xfId="0" applyNumberFormat="1" applyFont="1" applyFill="1" applyBorder="1" applyAlignment="1">
      <alignment horizontal="right" vertical="center"/>
    </xf>
    <xf numFmtId="178" fontId="1" fillId="0" borderId="5" xfId="0" applyNumberFormat="1" applyFont="1" applyFill="1" applyBorder="1" applyAlignment="1">
      <alignment horizontal="right" vertical="center"/>
    </xf>
    <xf numFmtId="178" fontId="1" fillId="0" borderId="6" xfId="0" applyNumberFormat="1" applyFont="1" applyFill="1" applyBorder="1" applyAlignment="1">
      <alignment horizontal="right" vertical="center"/>
    </xf>
    <xf numFmtId="0" fontId="7" fillId="4" borderId="0" xfId="0" applyFont="1" applyFill="1">
      <alignment vertical="center"/>
    </xf>
    <xf numFmtId="0" fontId="6" fillId="5" borderId="12" xfId="0" applyFont="1" applyFill="1" applyBorder="1" applyAlignment="1">
      <alignment horizontal="left" vertical="center"/>
    </xf>
    <xf numFmtId="0" fontId="6" fillId="5" borderId="13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14" fontId="1" fillId="0" borderId="13" xfId="0" applyNumberFormat="1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14" fontId="1" fillId="0" borderId="15" xfId="0" applyNumberFormat="1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14" fontId="10" fillId="2" borderId="0" xfId="0" applyNumberFormat="1" applyFont="1" applyFill="1" applyAlignment="1">
      <alignment horizontal="center" vertical="center"/>
    </xf>
    <xf numFmtId="0" fontId="5" fillId="0" borderId="0" xfId="0" applyFont="1" applyAlignment="1"/>
    <xf numFmtId="176" fontId="1" fillId="0" borderId="8" xfId="0" applyNumberFormat="1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6" fillId="5" borderId="9" xfId="0" applyFont="1" applyFill="1" applyBorder="1" applyAlignment="1">
      <alignment horizontal="left"/>
    </xf>
    <xf numFmtId="0" fontId="6" fillId="5" borderId="10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right" vertical="center"/>
    </xf>
    <xf numFmtId="49" fontId="1" fillId="0" borderId="6" xfId="0" applyNumberFormat="1" applyFont="1" applyFill="1" applyBorder="1" applyAlignment="1">
      <alignment horizontal="right" vertical="center"/>
    </xf>
    <xf numFmtId="179" fontId="1" fillId="0" borderId="3" xfId="1" applyNumberFormat="1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1" fillId="0" borderId="0" xfId="0" applyFont="1" applyFill="1" applyBorder="1" applyAlignment="1">
      <alignment horizontal="right" vertical="center"/>
    </xf>
    <xf numFmtId="0" fontId="6" fillId="5" borderId="20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179" fontId="1" fillId="0" borderId="0" xfId="0" applyNumberFormat="1" applyFont="1" applyFill="1" applyBorder="1" applyAlignment="1">
      <alignment horizontal="right" vertical="center"/>
    </xf>
    <xf numFmtId="0" fontId="1" fillId="0" borderId="5" xfId="0" applyFont="1" applyFill="1" applyBorder="1" applyAlignment="1">
      <alignment horizontal="right" vertical="center"/>
    </xf>
    <xf numFmtId="0" fontId="6" fillId="5" borderId="7" xfId="0" applyFont="1" applyFill="1" applyBorder="1" applyAlignment="1">
      <alignment horizontal="right" vertical="center"/>
    </xf>
    <xf numFmtId="0" fontId="6" fillId="5" borderId="9" xfId="0" applyFont="1" applyFill="1" applyBorder="1" applyAlignment="1">
      <alignment horizontal="right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right"/>
    </xf>
    <xf numFmtId="0" fontId="6" fillId="5" borderId="9" xfId="0" applyFont="1" applyFill="1" applyBorder="1" applyAlignment="1">
      <alignment horizontal="right"/>
    </xf>
    <xf numFmtId="0" fontId="6" fillId="5" borderId="19" xfId="0" applyFont="1" applyFill="1" applyBorder="1" applyAlignment="1">
      <alignment horizontal="right"/>
    </xf>
    <xf numFmtId="0" fontId="6" fillId="5" borderId="20" xfId="0" applyFont="1" applyFill="1" applyBorder="1" applyAlignment="1">
      <alignment horizontal="right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right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hair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dotted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9" formatCode="yyyy/m/d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6" formatCode="###,###,##0.0000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6" formatCode="###,###,##0.00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8" formatCode="###,###,##0.00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>
        <left/>
        <right style="dash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7" formatCode="###,###,##0.000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79" formatCode="0\.00,,&quot;亿&quot;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otted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dotted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none">
          <fgColor indexed="64"/>
          <bgColor auto="1"/>
        </patternFill>
      </fill>
    </dxf>
    <dxf>
      <fill>
        <patternFill>
          <bgColor rgb="FFF4F4F4"/>
        </patternFill>
      </fill>
    </dxf>
    <dxf>
      <fill>
        <patternFill>
          <bgColor theme="0"/>
        </patternFill>
      </fill>
    </dxf>
  </dxfs>
  <tableStyles count="1" defaultTableStyle="表样式 1" defaultPivotStyle="PivotStyleLight16">
    <tableStyle name="表样式 1" pivot="0" count="2">
      <tableStyleElement type="firstRowStripe" dxfId="87"/>
      <tableStyleElement type="secondRowStripe" dxfId="86"/>
    </tableStyle>
  </tableStyles>
  <colors>
    <mruColors>
      <color rgb="FF63636D"/>
      <color rgb="FFE9E9E9"/>
      <color rgb="FFF4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76200</xdr:rowOff>
    </xdr:from>
    <xdr:to>
      <xdr:col>12</xdr:col>
      <xdr:colOff>521971</xdr:colOff>
      <xdr:row>0</xdr:row>
      <xdr:rowOff>295800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76200"/>
          <a:ext cx="636271" cy="21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2</xdr:col>
      <xdr:colOff>521971</xdr:colOff>
      <xdr:row>0</xdr:row>
      <xdr:rowOff>295800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6200"/>
          <a:ext cx="636271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f_etf_netasset"/>
      <definedName name="f_info_exchangeshortname"/>
      <definedName name="f_info_mgrcomp"/>
      <definedName name="f_info_setupdate"/>
      <definedName name="f_info_trackindexcode"/>
      <definedName name="hks_fa_eps_basic"/>
      <definedName name="hks_info_name"/>
      <definedName name="hks_val_mv_ard"/>
      <definedName name="hks_val_pb"/>
      <definedName name="hks_val_pe_ttm"/>
      <definedName name="i_val_dividend_percentile"/>
      <definedName name="i_val_pb_mrqwgt"/>
      <definedName name="i_val_pb_percentile"/>
      <definedName name="i_val_pe_percentile"/>
      <definedName name="lastradeday_s"/>
      <definedName name="pb_mrq"/>
      <definedName name="s_dq_close"/>
      <definedName name="s_dq_pctchange"/>
      <definedName name="s_fa_eps_ttm2"/>
      <definedName name="s_fa_latelyrd_bt"/>
      <definedName name="s_stm_rpt_e"/>
      <definedName name="s_val_dividendyield2"/>
      <definedName name="s_val_estpb"/>
      <definedName name="s_val_evtoebitda2"/>
      <definedName name="s_val_mv_ard"/>
      <definedName name="s_val_pb_lf"/>
      <definedName name="s_val_pe_ttm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表1" displayName="表1" ref="M8:AC100" headerRowCount="0" totalsRowShown="0" headerRowDxfId="85" dataDxfId="84">
  <sortState ref="M8:AD100">
    <sortCondition descending="1" ref="AB8"/>
  </sortState>
  <tableColumns count="17">
    <tableColumn id="1" name="列1" headerRowDxfId="83" dataDxfId="82"/>
    <tableColumn id="2" name="列2" headerRowDxfId="81" dataDxfId="80"/>
    <tableColumn id="7" name="列7" headerRowDxfId="79" dataDxfId="78"/>
    <tableColumn id="20" name="列5" headerRowDxfId="77" dataDxfId="76">
      <calculatedColumnFormula>[1]!f_info_setupdate(M8)</calculatedColumnFormula>
    </tableColumn>
    <tableColumn id="19" name="列13" headerRowDxfId="75" dataDxfId="74">
      <calculatedColumnFormula>[1]!f_etf_netasset(M8,表1[[#This Row],[列10]])</calculatedColumnFormula>
    </tableColumn>
    <tableColumn id="10" name="列10" headerRowDxfId="73" dataDxfId="72">
      <calculatedColumnFormula>[1]!lastradeday_s(M8,"")</calculatedColumnFormula>
    </tableColumn>
    <tableColumn id="11" name="列11" headerRowDxfId="71" dataDxfId="70">
      <calculatedColumnFormula>[1]!s_dq_close(M8,"",3)</calculatedColumnFormula>
    </tableColumn>
    <tableColumn id="12" name="列12" headerRowDxfId="69" dataDxfId="68">
      <calculatedColumnFormula>[1]!s_dq_pctchange(M8,"")</calculatedColumnFormula>
    </tableColumn>
    <tableColumn id="18" name="列18" headerRowDxfId="67" dataDxfId="66">
      <calculatedColumnFormula>[1]!f_info_trackindexcode(M8)</calculatedColumnFormula>
    </tableColumn>
    <tableColumn id="14" name="列14" headerRowDxfId="65" dataDxfId="64">
      <calculatedColumnFormula>[1]!hks_val_mv_ard(M8,"","",100000000)</calculatedColumnFormula>
    </tableColumn>
    <tableColumn id="102" name="列102" headerRowDxfId="63" dataDxfId="62">
      <calculatedColumnFormula>[1]!hks_fa_eps_basic(M8,[1]!s_fa_latelyrd_bt(M8,R8),"")</calculatedColumnFormula>
    </tableColumn>
    <tableColumn id="15" name="列15" headerRowDxfId="61" dataDxfId="60">
      <calculatedColumnFormula>[1]!hks_val_pe_ttm(M8,R8)</calculatedColumnFormula>
    </tableColumn>
    <tableColumn id="6" name="列6" headerRowDxfId="59" dataDxfId="58">
      <calculatedColumnFormula>[1]!i_val_pe_percentile(M8,R8,$D$9,R8)</calculatedColumnFormula>
    </tableColumn>
    <tableColumn id="16" name="列16" headerRowDxfId="57" dataDxfId="56">
      <calculatedColumnFormula>[1]!pb_mrq(M8,R8)</calculatedColumnFormula>
    </tableColumn>
    <tableColumn id="8" name="列8" headerRowDxfId="55" dataDxfId="54">
      <calculatedColumnFormula>[1]!i_val_pb_percentile(M8,R8,$D$9,R8)</calculatedColumnFormula>
    </tableColumn>
    <tableColumn id="17" name="列17" headerRowDxfId="53" dataDxfId="52">
      <calculatedColumnFormula>[1]!s_val_evtoebitda2(M8,R8)</calculatedColumnFormula>
    </tableColumn>
    <tableColumn id="9" name="列9" headerRowDxfId="51" dataDxfId="50"/>
  </tableColumns>
  <tableStyleInfo name="表样式 1" showFirstColumn="0" showLastColumn="0" showRowStripes="1" showColumnStripes="0"/>
</table>
</file>

<file path=xl/tables/table2.xml><?xml version="1.0" encoding="utf-8"?>
<table xmlns="http://schemas.openxmlformats.org/spreadsheetml/2006/main" id="4" name="表4" displayName="表4" ref="C7:I12" headerRowCount="0" totalsRowShown="0" headerRowDxfId="49" dataDxfId="48">
  <tableColumns count="7">
    <tableColumn id="1" name="列1" headerRowDxfId="47" dataDxfId="46"/>
    <tableColumn id="2" name="列2" headerRowDxfId="45" dataDxfId="44"/>
    <tableColumn id="3" name="列3" headerRowDxfId="43" dataDxfId="42">
      <calculatedColumnFormula>MONTH(D8)</calculatedColumnFormula>
    </tableColumn>
    <tableColumn id="4" name="列4" headerRowDxfId="41" dataDxfId="40">
      <calculatedColumnFormula>LEN(2^E8)</calculatedColumnFormula>
    </tableColumn>
    <tableColumn id="5" name="列5" headerRowDxfId="39" dataDxfId="38">
      <calculatedColumnFormula>YEAR(D8)</calculatedColumnFormula>
    </tableColumn>
    <tableColumn id="6" name="列6" headerRowDxfId="37" dataDxfId="36">
      <calculatedColumnFormula>DATE(YEAR(D8),1,1)</calculatedColumnFormula>
    </tableColumn>
    <tableColumn id="7" name="列7" headerRowDxfId="35" dataDxfId="34">
      <calculatedColumnFormula>DATE(YEAR(D8),12,31)</calculatedColumnFormula>
    </tableColumn>
  </tableColumns>
  <tableStyleInfo name="表样式 1" showFirstColumn="0" showLastColumn="0" showRowStripes="1" showColumnStripes="0"/>
</table>
</file>

<file path=xl/tables/table3.xml><?xml version="1.0" encoding="utf-8"?>
<table xmlns="http://schemas.openxmlformats.org/spreadsheetml/2006/main" id="13" name="表1_3121314" displayName="表1_3121314" ref="C8:R100" headerRowCount="0" totalsRowShown="0" headerRowDxfId="33" dataDxfId="32">
  <tableColumns count="16">
    <tableColumn id="1" name="列1" headerRowDxfId="31" dataDxfId="30"/>
    <tableColumn id="2" name="列2" headerRowDxfId="29" dataDxfId="28">
      <calculatedColumnFormula>[1]!hks_info_name(C8)</calculatedColumnFormula>
    </tableColumn>
    <tableColumn id="20" name="列105" headerRowDxfId="27" dataDxfId="26">
      <calculatedColumnFormula>[1]!lastradeday_s(C8,TODAY())</calculatedColumnFormula>
    </tableColumn>
    <tableColumn id="6" name="列6" headerRowDxfId="25" dataDxfId="24">
      <calculatedColumnFormula>[1]!f_info_trackindexcode(表1_3121314[[#This Row],[列1]])</calculatedColumnFormula>
    </tableColumn>
    <tableColumn id="7" name="列7" headerRowDxfId="23" dataDxfId="22"/>
    <tableColumn id="8" name="列8" headerRowDxfId="21" dataDxfId="20"/>
    <tableColumn id="9" name="列9" headerRowDxfId="19" dataDxfId="18"/>
    <tableColumn id="10" name="列10" headerRowDxfId="17" dataDxfId="16"/>
    <tableColumn id="185" name="列103" headerRowDxfId="15" dataDxfId="14">
      <calculatedColumnFormula>[1]!hks_val_pb(C8,基本资料!$I$9,基本资料!$G$9)</calculatedColumnFormula>
    </tableColumn>
    <tableColumn id="186" name="列104" headerRowDxfId="13" dataDxfId="12">
      <calculatedColumnFormula>[1]!hks_val_pb(C8,基本资料!$I$8,基本资料!$G$8)</calculatedColumnFormula>
    </tableColumn>
    <tableColumn id="173" name="列90" headerRowDxfId="11" dataDxfId="10">
      <calculatedColumnFormula>[1]!pb_mrq(C8,E8)</calculatedColumnFormula>
    </tableColumn>
    <tableColumn id="174" name="列91" headerRowDxfId="9" dataDxfId="8">
      <calculatedColumnFormula>[1]!s_val_estpb(C8,E8,YEAR([1]!s_stm_rpt_e(C8,基本资料!$I$8,0))+1)</calculatedColumnFormula>
    </tableColumn>
    <tableColumn id="175" name="列92" headerRowDxfId="7" dataDxfId="6">
      <calculatedColumnFormula>[1]!s_val_estpb(C8,E8,YEAR([1]!s_stm_rpt_e(C8,基本资料!$I$8,0))+2)</calculatedColumnFormula>
    </tableColumn>
    <tableColumn id="4" name="列4" headerRowDxfId="5" dataDxfId="4">
      <calculatedColumnFormula>[1]!i_val_pb_percentile(C8,E8,基本资料!$D$9,E8)</calculatedColumnFormula>
    </tableColumn>
    <tableColumn id="168" name="列85" headerRowDxfId="3" dataDxfId="2">
      <calculatedColumnFormula>[1]!s_val_evtoebitda2(C8,E8)</calculatedColumnFormula>
    </tableColumn>
    <tableColumn id="5" name="列5" headerRowDxfId="1" dataDxfId="0"/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  <pageSetUpPr autoPageBreaks="0"/>
  </sheetPr>
  <dimension ref="A1:BT102"/>
  <sheetViews>
    <sheetView showGridLines="0" tabSelected="1" topLeftCell="K1" zoomScaleNormal="100" workbookViewId="0">
      <selection activeCell="C39" sqref="C39"/>
    </sheetView>
  </sheetViews>
  <sheetFormatPr defaultRowHeight="16.5" x14ac:dyDescent="0.2"/>
  <cols>
    <col min="1" max="1" width="2.125" style="2" customWidth="1"/>
    <col min="2" max="2" width="1.5" style="2" customWidth="1"/>
    <col min="3" max="3" width="9.375" style="8" customWidth="1"/>
    <col min="4" max="4" width="11.125" style="8" bestFit="1" customWidth="1"/>
    <col min="5" max="6" width="5.375" style="8" customWidth="1"/>
    <col min="7" max="7" width="6.375" style="8" customWidth="1"/>
    <col min="8" max="8" width="9.25" style="8" customWidth="1"/>
    <col min="9" max="9" width="10.75" style="8" customWidth="1"/>
    <col min="10" max="10" width="1.5" style="2" customWidth="1"/>
    <col min="11" max="11" width="1.625" style="2" customWidth="1"/>
    <col min="12" max="12" width="1.5" style="2" customWidth="1"/>
    <col min="13" max="13" width="10.625" style="8" customWidth="1"/>
    <col min="14" max="14" width="13.625" style="8" customWidth="1"/>
    <col min="15" max="15" width="22.625" style="8" customWidth="1"/>
    <col min="16" max="16" width="11.625" style="8" customWidth="1"/>
    <col min="17" max="17" width="10.875" style="8" bestFit="1" customWidth="1"/>
    <col min="18" max="18" width="12.625" customWidth="1"/>
    <col min="19" max="20" width="12.625" style="8" customWidth="1"/>
    <col min="21" max="21" width="13.375" style="8" customWidth="1"/>
    <col min="22" max="22" width="13.625" style="9" customWidth="1"/>
    <col min="23" max="23" width="15.125" style="9" customWidth="1"/>
    <col min="24" max="27" width="12.625" style="9" customWidth="1"/>
    <col min="28" max="28" width="14.5" style="8" customWidth="1"/>
    <col min="29" max="29" width="12.625" style="8" customWidth="1"/>
    <col min="30" max="30" width="1.25" style="8" customWidth="1"/>
    <col min="31" max="31" width="12.875" style="8" customWidth="1"/>
    <col min="32" max="32" width="1.5" style="2" customWidth="1"/>
    <col min="33" max="16384" width="9" style="2"/>
  </cols>
  <sheetData>
    <row r="1" spans="1:72" s="4" customFormat="1" ht="27.75" x14ac:dyDescent="0.3">
      <c r="A1" s="3"/>
      <c r="B1" s="3"/>
      <c r="C1" s="3"/>
      <c r="M1" s="44"/>
      <c r="N1" s="75" t="s">
        <v>69</v>
      </c>
      <c r="O1" s="75"/>
      <c r="P1" s="75"/>
      <c r="Q1" s="75"/>
      <c r="R1" s="75"/>
      <c r="S1" s="75"/>
      <c r="T1" s="75"/>
      <c r="U1" s="75"/>
      <c r="V1" s="44"/>
      <c r="W1" s="44"/>
      <c r="X1" s="44"/>
      <c r="Y1" s="44"/>
      <c r="Z1" s="44"/>
      <c r="AB1" s="45" t="s">
        <v>6</v>
      </c>
      <c r="AC1" s="46">
        <f ca="1">TODAY()</f>
        <v>45489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 s="1" customFormat="1" ht="9" customHeight="1" x14ac:dyDescent="0.2">
      <c r="S2" s="10"/>
      <c r="T2" s="10"/>
      <c r="U2" s="10"/>
      <c r="V2" s="10"/>
      <c r="W2" s="10"/>
    </row>
    <row r="3" spans="1:72" s="1" customFormat="1" ht="9" customHeight="1" x14ac:dyDescent="0.2">
      <c r="B3" s="5"/>
      <c r="C3" s="5"/>
      <c r="D3" s="5"/>
      <c r="E3" s="5"/>
      <c r="F3" s="5"/>
      <c r="G3" s="5"/>
      <c r="H3" s="5"/>
      <c r="I3" s="5"/>
      <c r="J3" s="5"/>
      <c r="L3" s="5"/>
      <c r="M3" s="5"/>
      <c r="N3" s="5"/>
      <c r="O3" s="5"/>
      <c r="P3" s="5"/>
      <c r="Q3" s="5"/>
      <c r="R3" s="5"/>
      <c r="S3" s="11"/>
      <c r="T3" s="11"/>
      <c r="U3" s="11"/>
      <c r="V3" s="11"/>
      <c r="W3" s="11"/>
      <c r="X3" s="5"/>
      <c r="Y3" s="5"/>
      <c r="Z3" s="5"/>
      <c r="AA3" s="5"/>
      <c r="AB3" s="5"/>
      <c r="AC3" s="5"/>
      <c r="AD3" s="5"/>
    </row>
    <row r="4" spans="1:72" s="1" customFormat="1" ht="17.25" x14ac:dyDescent="0.2">
      <c r="B4" s="5"/>
      <c r="C4" s="6" t="s">
        <v>7</v>
      </c>
      <c r="D4" s="6"/>
      <c r="E4" s="6"/>
      <c r="F4" s="6"/>
      <c r="G4" s="6"/>
      <c r="H4" s="6"/>
      <c r="I4" s="6"/>
      <c r="J4" s="5"/>
      <c r="L4" s="5"/>
      <c r="M4" s="6" t="s">
        <v>36</v>
      </c>
      <c r="N4" s="6"/>
      <c r="O4" s="6"/>
      <c r="P4" s="6"/>
      <c r="Q4" s="6"/>
      <c r="R4" s="6"/>
      <c r="S4" s="12"/>
      <c r="T4" s="12"/>
      <c r="U4" s="12"/>
      <c r="V4" s="12"/>
      <c r="W4" s="12"/>
      <c r="X4" s="6"/>
      <c r="Y4" s="6"/>
      <c r="Z4" s="6"/>
      <c r="AA4" s="6"/>
      <c r="AB4" s="6"/>
      <c r="AC4" s="6"/>
      <c r="AD4" s="5"/>
    </row>
    <row r="5" spans="1:72" s="1" customFormat="1" ht="9" customHeight="1" x14ac:dyDescent="0.2">
      <c r="B5" s="5"/>
      <c r="C5" s="5"/>
      <c r="D5" s="5"/>
      <c r="E5" s="5"/>
      <c r="F5" s="5"/>
      <c r="G5" s="5"/>
      <c r="H5" s="5"/>
      <c r="I5" s="5"/>
      <c r="J5" s="5"/>
      <c r="L5" s="5"/>
      <c r="M5" s="5"/>
      <c r="N5" s="5"/>
      <c r="O5" s="5"/>
      <c r="P5" s="5"/>
      <c r="Q5" s="5"/>
      <c r="R5" s="5"/>
      <c r="S5" s="11"/>
      <c r="T5" s="11"/>
      <c r="U5" s="11"/>
      <c r="V5" s="11"/>
      <c r="W5" s="11"/>
      <c r="X5" s="5"/>
      <c r="Y5" s="5"/>
      <c r="Z5" s="5"/>
      <c r="AA5" s="5"/>
      <c r="AB5" s="5"/>
      <c r="AC5" s="5"/>
      <c r="AD5" s="5"/>
    </row>
    <row r="6" spans="1:72" s="1" customFormat="1" x14ac:dyDescent="0.35">
      <c r="B6" s="5"/>
      <c r="C6" s="37" t="s">
        <v>15</v>
      </c>
      <c r="D6" s="38" t="s">
        <v>8</v>
      </c>
      <c r="E6" s="38" t="s">
        <v>12</v>
      </c>
      <c r="F6" s="38" t="s">
        <v>13</v>
      </c>
      <c r="G6" s="38" t="s">
        <v>14</v>
      </c>
      <c r="H6" s="38" t="s">
        <v>16</v>
      </c>
      <c r="I6" s="39" t="s">
        <v>17</v>
      </c>
      <c r="J6" s="5"/>
      <c r="L6" s="5"/>
      <c r="M6" s="76" t="s">
        <v>0</v>
      </c>
      <c r="N6" s="70" t="s">
        <v>67</v>
      </c>
      <c r="O6" s="70" t="s">
        <v>68</v>
      </c>
      <c r="P6" s="70" t="s">
        <v>71</v>
      </c>
      <c r="Q6" s="70" t="s">
        <v>72</v>
      </c>
      <c r="R6" s="72" t="s">
        <v>2</v>
      </c>
      <c r="S6" s="73"/>
      <c r="T6" s="74"/>
      <c r="U6" s="70" t="s">
        <v>73</v>
      </c>
      <c r="V6" s="70" t="s">
        <v>74</v>
      </c>
      <c r="W6" s="70" t="s">
        <v>75</v>
      </c>
      <c r="X6" s="68" t="s">
        <v>76</v>
      </c>
      <c r="Y6" s="69"/>
      <c r="Z6" s="68" t="s">
        <v>77</v>
      </c>
      <c r="AA6" s="69"/>
      <c r="AB6" s="68" t="s">
        <v>78</v>
      </c>
      <c r="AC6" s="69"/>
      <c r="AD6" s="5"/>
    </row>
    <row r="7" spans="1:72" s="1" customFormat="1" x14ac:dyDescent="0.35">
      <c r="B7" s="5"/>
      <c r="C7" s="40" t="s">
        <v>11</v>
      </c>
      <c r="D7" s="41">
        <f ca="1">TODAY()</f>
        <v>45489</v>
      </c>
      <c r="E7" s="42">
        <f ca="1">MONTH(D7)</f>
        <v>7</v>
      </c>
      <c r="F7" s="42">
        <f ca="1">LEN(2^E7)</f>
        <v>3</v>
      </c>
      <c r="G7" s="42">
        <f ca="1">YEAR(D7)</f>
        <v>2024</v>
      </c>
      <c r="H7" s="41">
        <f ca="1">DATE(YEAR(D7),1,1)</f>
        <v>45292</v>
      </c>
      <c r="I7" s="43">
        <f ca="1">DATE(YEAR(D7),12,31)</f>
        <v>45657</v>
      </c>
      <c r="J7" s="5"/>
      <c r="L7" s="5"/>
      <c r="M7" s="77"/>
      <c r="N7" s="71"/>
      <c r="O7" s="71"/>
      <c r="P7" s="71"/>
      <c r="Q7" s="71"/>
      <c r="R7" s="15" t="s">
        <v>4</v>
      </c>
      <c r="S7" s="50" t="s">
        <v>3</v>
      </c>
      <c r="T7" s="51" t="s">
        <v>5</v>
      </c>
      <c r="U7" s="71"/>
      <c r="V7" s="71"/>
      <c r="W7" s="71"/>
      <c r="X7" s="50" t="s">
        <v>33</v>
      </c>
      <c r="Y7" s="57" t="s">
        <v>31</v>
      </c>
      <c r="Z7" s="50" t="s">
        <v>34</v>
      </c>
      <c r="AA7" s="57" t="s">
        <v>32</v>
      </c>
      <c r="AB7" s="50" t="s">
        <v>35</v>
      </c>
      <c r="AC7" s="58" t="s">
        <v>32</v>
      </c>
      <c r="AD7" s="5"/>
    </row>
    <row r="8" spans="1:72" s="1" customFormat="1" x14ac:dyDescent="0.2">
      <c r="B8" s="5"/>
      <c r="C8" s="40" t="s">
        <v>9</v>
      </c>
      <c r="D8" s="41">
        <f ca="1">DATE(YEAR(D7)-1,MONTH(D7),DAY(D7))</f>
        <v>45123</v>
      </c>
      <c r="E8" s="42">
        <f t="shared" ref="E8:E9" ca="1" si="0">MONTH(D8)</f>
        <v>7</v>
      </c>
      <c r="F8" s="42">
        <f t="shared" ref="F8:F9" ca="1" si="1">LEN(2^E8)</f>
        <v>3</v>
      </c>
      <c r="G8" s="42">
        <f t="shared" ref="G8:G9" ca="1" si="2">YEAR(D8)</f>
        <v>2023</v>
      </c>
      <c r="H8" s="41">
        <f t="shared" ref="H8:H9" ca="1" si="3">DATE(YEAR(D8),1,1)</f>
        <v>44927</v>
      </c>
      <c r="I8" s="43">
        <f t="shared" ref="I8:I9" ca="1" si="4">DATE(YEAR(D8),12,31)</f>
        <v>45291</v>
      </c>
      <c r="J8" s="5"/>
      <c r="L8" s="5"/>
      <c r="M8" s="53" t="s">
        <v>61</v>
      </c>
      <c r="N8" s="14" t="str">
        <f>[1]!f_info_exchangeshortname(M8)</f>
        <v>煤炭ETF</v>
      </c>
      <c r="O8" s="14" t="str">
        <f>[1]!f_info_mgrcomp(M8)</f>
        <v>国泰基金管理有限公司</v>
      </c>
      <c r="P8" s="49" t="str">
        <f>[1]!f_info_setupdate(M8)</f>
        <v>2020-01-20</v>
      </c>
      <c r="Q8" s="54">
        <f ca="1">[1]!f_etf_netasset(M8,表1[[#This Row],[列10]])</f>
        <v>2896172635.1300001</v>
      </c>
      <c r="R8" s="52" t="str">
        <f ca="1">[1]!lastradeday_s(M8,$D$7)</f>
        <v>2024-07-16</v>
      </c>
      <c r="S8" s="16">
        <f ca="1">[1]!s_dq_close(M8,R8,3)</f>
        <v>1.177</v>
      </c>
      <c r="T8" s="17">
        <f ca="1">[1]!s_dq_pctchange(M8,R8)</f>
        <v>-8.488964346348811E-2</v>
      </c>
      <c r="U8" s="55" t="str">
        <f>[1]!f_info_trackindexcode(M8)</f>
        <v>399998.SZ</v>
      </c>
      <c r="V8" s="59">
        <f ca="1">[1]!s_val_mv_ard(表1[[#This Row],[列18]],R8)</f>
        <v>1927158140997</v>
      </c>
      <c r="W8" s="28">
        <f ca="1">[1]!s_fa_eps_ttm2(表1[[#This Row],[列18]],表1[[#This Row],[列10]])</f>
        <v>1.0427596318686498</v>
      </c>
      <c r="X8" s="27">
        <f ca="1">[1]!s_val_pe_ttm(表1[[#This Row],[列18]],R8)</f>
        <v>12.340499877929688</v>
      </c>
      <c r="Y8" s="27">
        <f ca="1">[1]!i_val_pe_percentile(表1[[#This Row],[列18]],R8,$D$9,R8)</f>
        <v>90.269151138716353</v>
      </c>
      <c r="Z8" s="29">
        <f ca="1">[1]!i_val_pb_mrqwgt(表1[[#This Row],[列18]],R8)</f>
        <v>1.6778</v>
      </c>
      <c r="AA8" s="27">
        <f ca="1">[1]!i_val_pb_percentile(表1[[#This Row],[列18]],R8,$D$9,R8)</f>
        <v>83.02277432712215</v>
      </c>
      <c r="AB8" s="29">
        <f ca="1">[1]!s_val_dividendyield2(表1[[#This Row],[列18]],R8)</f>
        <v>5.9901999999999997</v>
      </c>
      <c r="AC8" s="27">
        <f ca="1">[1]!i_val_dividend_percentile(表1[[#This Row],[列18]],R8,$D$9,R8)</f>
        <v>8.9026915113871627</v>
      </c>
      <c r="AD8" s="5"/>
    </row>
    <row r="9" spans="1:72" s="1" customFormat="1" x14ac:dyDescent="0.2">
      <c r="B9" s="5"/>
      <c r="C9" s="40" t="s">
        <v>10</v>
      </c>
      <c r="D9" s="41">
        <f ca="1">DATE(YEAR(D8)-1,MONTH(D8),DAY(D8))</f>
        <v>44758</v>
      </c>
      <c r="E9" s="42">
        <f t="shared" ca="1" si="0"/>
        <v>7</v>
      </c>
      <c r="F9" s="42">
        <f t="shared" ca="1" si="1"/>
        <v>3</v>
      </c>
      <c r="G9" s="42">
        <f t="shared" ca="1" si="2"/>
        <v>2022</v>
      </c>
      <c r="H9" s="41">
        <f t="shared" ca="1" si="3"/>
        <v>44562</v>
      </c>
      <c r="I9" s="43">
        <f t="shared" ca="1" si="4"/>
        <v>44926</v>
      </c>
      <c r="J9" s="5"/>
      <c r="L9" s="5"/>
      <c r="M9" s="53" t="s">
        <v>45</v>
      </c>
      <c r="N9" s="14" t="str">
        <f>[1]!f_info_exchangeshortname(M9)</f>
        <v>红利ETF</v>
      </c>
      <c r="O9" s="14" t="str">
        <f>[1]!f_info_mgrcomp(M9)</f>
        <v>华泰柏瑞基金管理有限公司</v>
      </c>
      <c r="P9" s="49" t="str">
        <f>[1]!f_info_setupdate(M9)</f>
        <v>2006-11-17</v>
      </c>
      <c r="Q9" s="54">
        <f ca="1">[1]!f_etf_netasset(M9,表1[[#This Row],[列10]])</f>
        <v>18145995893.93</v>
      </c>
      <c r="R9" s="52" t="str">
        <f ca="1">[1]!lastradeday_s(M9,$D$7)</f>
        <v>2024-07-16</v>
      </c>
      <c r="S9" s="16">
        <f ca="1">[1]!s_dq_close(M9,R9,3)</f>
        <v>3.1819999999999999</v>
      </c>
      <c r="T9" s="17">
        <f ca="1">[1]!s_dq_pctchange(M9,R9)</f>
        <v>-0.40688575899843193</v>
      </c>
      <c r="U9" s="55" t="str">
        <f>[1]!f_info_trackindexcode(M9)</f>
        <v>000015.SH</v>
      </c>
      <c r="V9" s="59">
        <f ca="1">[1]!s_val_mv_ard(表1[[#This Row],[列18]],R9)</f>
        <v>11865150431786</v>
      </c>
      <c r="W9" s="28">
        <f ca="1">[1]!s_fa_eps_ttm2(表1[[#This Row],[列18]],表1[[#This Row],[列10]])</f>
        <v>0.96797392487181777</v>
      </c>
      <c r="X9" s="27">
        <f ca="1">[1]!s_val_pe_ttm(表1[[#This Row],[列18]],R9)</f>
        <v>6.8380999565124512</v>
      </c>
      <c r="Y9" s="27">
        <f ca="1">[1]!i_val_pe_percentile(表1[[#This Row],[列18]],R9,$D$9,R9)</f>
        <v>99.792960662525871</v>
      </c>
      <c r="Z9" s="29">
        <f ca="1">[1]!i_val_pb_mrqwgt(表1[[#This Row],[列18]],R9)</f>
        <v>1.1712</v>
      </c>
      <c r="AA9" s="27">
        <f ca="1">[1]!i_val_pb_percentile(表1[[#This Row],[列18]],R9,$D$9,R9)</f>
        <v>100</v>
      </c>
      <c r="AB9" s="29">
        <f ca="1">[1]!s_val_dividendyield2(表1[[#This Row],[列18]],R9)</f>
        <v>6.0610999999999997</v>
      </c>
      <c r="AC9" s="27">
        <f ca="1">[1]!i_val_dividend_percentile(表1[[#This Row],[列18]],R9,$D$9,R9)</f>
        <v>18.840579710144929</v>
      </c>
      <c r="AD9" s="5"/>
    </row>
    <row r="10" spans="1:72" s="1" customFormat="1" x14ac:dyDescent="0.2">
      <c r="B10" s="5"/>
      <c r="C10" s="40" t="s">
        <v>29</v>
      </c>
      <c r="D10" s="41">
        <f ca="1">DATE(YEAR(D9)-8,MONTH(D9),DAY(D9))</f>
        <v>41836</v>
      </c>
      <c r="E10" s="42">
        <f t="shared" ref="E10" ca="1" si="5">MONTH(D10)</f>
        <v>7</v>
      </c>
      <c r="F10" s="42">
        <f t="shared" ref="F10" ca="1" si="6">LEN(2^E10)</f>
        <v>3</v>
      </c>
      <c r="G10" s="42">
        <f t="shared" ref="G10" ca="1" si="7">YEAR(D10)</f>
        <v>2014</v>
      </c>
      <c r="H10" s="41">
        <f t="shared" ref="H10" ca="1" si="8">DATE(YEAR(D10),1,1)</f>
        <v>41640</v>
      </c>
      <c r="I10" s="43">
        <f t="shared" ref="I10" ca="1" si="9">DATE(YEAR(D10),12,31)</f>
        <v>42004</v>
      </c>
      <c r="J10" s="5"/>
      <c r="L10" s="5"/>
      <c r="M10" s="53" t="s">
        <v>54</v>
      </c>
      <c r="N10" s="14" t="str">
        <f>[1]!f_info_exchangeshortname(M10)</f>
        <v>银行ETF</v>
      </c>
      <c r="O10" s="14" t="str">
        <f>[1]!f_info_mgrcomp(M10)</f>
        <v>华宝基金管理有限公司</v>
      </c>
      <c r="P10" s="49" t="str">
        <f>[1]!f_info_setupdate(M10)</f>
        <v>2017-07-18</v>
      </c>
      <c r="Q10" s="54">
        <f ca="1">[1]!f_etf_netasset(M10,表1[[#This Row],[列10]])</f>
        <v>4955811834</v>
      </c>
      <c r="R10" s="52" t="str">
        <f ca="1">[1]!lastradeday_s(M10,$D$7)</f>
        <v>2024-07-16</v>
      </c>
      <c r="S10" s="16">
        <f ca="1">[1]!s_dq_close(M10,R10,3)</f>
        <v>1.2989999999999999</v>
      </c>
      <c r="T10" s="17">
        <f ca="1">[1]!s_dq_pctchange(M10,R10)</f>
        <v>-0.38343558282209472</v>
      </c>
      <c r="U10" s="55" t="str">
        <f>[1]!f_info_trackindexcode(M10)</f>
        <v>399986.SZ</v>
      </c>
      <c r="V10" s="59">
        <f ca="1">[1]!s_val_mv_ard(表1[[#This Row],[列18]],R10)</f>
        <v>11989828154759</v>
      </c>
      <c r="W10" s="28">
        <f ca="1">[1]!s_fa_eps_ttm2(表1[[#This Row],[列18]],表1[[#This Row],[列10]])</f>
        <v>1.1064075235227613</v>
      </c>
      <c r="X10" s="27">
        <f ca="1">[1]!s_val_pe_ttm(表1[[#This Row],[列18]],R10)</f>
        <v>5.7329998016357422</v>
      </c>
      <c r="Y10" s="27">
        <f ca="1">[1]!i_val_pe_percentile(表1[[#This Row],[列18]],R10,$D$9,R10)</f>
        <v>100</v>
      </c>
      <c r="Z10" s="29">
        <f ca="1">[1]!i_val_pb_mrqwgt(表1[[#This Row],[列18]],R10)</f>
        <v>0.62760000000000005</v>
      </c>
      <c r="AA10" s="27">
        <f ca="1">[1]!i_val_pb_percentile(表1[[#This Row],[列18]],R10,$D$9,R10)</f>
        <v>99.792960662525871</v>
      </c>
      <c r="AB10" s="29">
        <f ca="1">[1]!s_val_dividendyield2(表1[[#This Row],[列18]],R10)</f>
        <v>6.1936999999999998</v>
      </c>
      <c r="AC10" s="27">
        <f ca="1">[1]!i_val_dividend_percentile(表1[[#This Row],[列18]],R10,$D$9,R10)</f>
        <v>95.652173913043484</v>
      </c>
      <c r="AD10" s="5"/>
    </row>
    <row r="11" spans="1:72" s="1" customFormat="1" x14ac:dyDescent="0.2">
      <c r="B11" s="5"/>
      <c r="C11" s="40" t="s">
        <v>18</v>
      </c>
      <c r="D11" s="41">
        <f ca="1">DATE(YEAR(D7)+1,MONTH(D7),DAY(D7))</f>
        <v>45854</v>
      </c>
      <c r="E11" s="42">
        <f ca="1">MONTH(D11)</f>
        <v>7</v>
      </c>
      <c r="F11" s="42">
        <f ca="1">LEN(2^E11)</f>
        <v>3</v>
      </c>
      <c r="G11" s="42">
        <f t="shared" ref="G11:G12" ca="1" si="10">YEAR(D11)</f>
        <v>2025</v>
      </c>
      <c r="H11" s="41">
        <f t="shared" ref="H11:H12" ca="1" si="11">DATE(YEAR(D11),1,1)</f>
        <v>45658</v>
      </c>
      <c r="I11" s="43">
        <f t="shared" ref="I11:I12" ca="1" si="12">DATE(YEAR(D11),12,31)</f>
        <v>46022</v>
      </c>
      <c r="J11" s="5"/>
      <c r="L11" s="5"/>
      <c r="M11" s="53" t="s">
        <v>65</v>
      </c>
      <c r="N11" s="14" t="str">
        <f>[1]!f_info_exchangeshortname(M11)</f>
        <v>共赢ETF</v>
      </c>
      <c r="O11" s="14" t="str">
        <f>[1]!f_info_mgrcomp(M11)</f>
        <v>国泰基金管理有限公司</v>
      </c>
      <c r="P11" s="49" t="str">
        <f>[1]!f_info_setupdate(M11)</f>
        <v>2021-12-17</v>
      </c>
      <c r="Q11" s="54">
        <f ca="1">[1]!f_etf_netasset(M11,表1[[#This Row],[列10]])</f>
        <v>588763412.5</v>
      </c>
      <c r="R11" s="52" t="str">
        <f ca="1">[1]!lastradeday_s(M11,$D$7)</f>
        <v>2024-07-16</v>
      </c>
      <c r="S11" s="16">
        <f ca="1">[1]!s_dq_close(M11,R11,3)</f>
        <v>1.514</v>
      </c>
      <c r="T11" s="17">
        <f ca="1">[1]!s_dq_pctchange(M11,R11)</f>
        <v>0.39787798408488101</v>
      </c>
      <c r="U11" s="55" t="str">
        <f>[1]!f_info_trackindexcode(M11)</f>
        <v>GPCCH003.FI</v>
      </c>
      <c r="V11" s="59">
        <f ca="1">[1]!s_val_mv_ard(表1[[#This Row],[列18]],R11)</f>
        <v>18933778845672</v>
      </c>
      <c r="W11" s="28" t="str">
        <f ca="1">[1]!s_fa_eps_ttm2(表1[[#This Row],[列18]],表1[[#This Row],[列10]])</f>
        <v>0</v>
      </c>
      <c r="X11" s="27">
        <f ca="1">[1]!s_val_pe_ttm(表1[[#This Row],[列18]],R11)</f>
        <v>12.198800086975098</v>
      </c>
      <c r="Y11" s="27">
        <f ca="1">[1]!i_val_pe_percentile(表1[[#This Row],[列18]],R11,$D$9,R11)</f>
        <v>96.618357487922708</v>
      </c>
      <c r="Z11" s="29">
        <f ca="1">[1]!i_val_pb_mrqwgt(表1[[#This Row],[列18]],R11)</f>
        <v>1.1217999999999999</v>
      </c>
      <c r="AA11" s="27">
        <f ca="1">[1]!i_val_pb_percentile(表1[[#This Row],[列18]],R11,$D$9,R11)</f>
        <v>97.584541062801932</v>
      </c>
      <c r="AB11" s="29">
        <f ca="1">[1]!s_val_dividendyield2(表1[[#This Row],[列18]],R11)</f>
        <v>3.8161999999999998</v>
      </c>
      <c r="AC11" s="27">
        <f ca="1">[1]!i_val_dividend_percentile(表1[[#This Row],[列18]],R11,$D$9,R11)</f>
        <v>1.4492753623188406</v>
      </c>
      <c r="AD11" s="5"/>
    </row>
    <row r="12" spans="1:72" s="1" customFormat="1" x14ac:dyDescent="0.2">
      <c r="B12" s="5"/>
      <c r="C12" s="40" t="s">
        <v>19</v>
      </c>
      <c r="D12" s="41">
        <f ca="1">DATE(YEAR(D11)+1,MONTH(D8),DAY(D8))</f>
        <v>46219</v>
      </c>
      <c r="E12" s="42">
        <f ca="1">MONTH(D12)</f>
        <v>7</v>
      </c>
      <c r="F12" s="42">
        <f ca="1">LEN(2^E12)</f>
        <v>3</v>
      </c>
      <c r="G12" s="42">
        <f t="shared" ca="1" si="10"/>
        <v>2026</v>
      </c>
      <c r="H12" s="41">
        <f t="shared" ca="1" si="11"/>
        <v>46023</v>
      </c>
      <c r="I12" s="43">
        <f t="shared" ca="1" si="12"/>
        <v>46387</v>
      </c>
      <c r="J12" s="5"/>
      <c r="L12" s="5"/>
      <c r="M12" s="53" t="s">
        <v>50</v>
      </c>
      <c r="N12" s="14" t="str">
        <f>[1]!f_info_exchangeshortname(M12)</f>
        <v>地产ETF</v>
      </c>
      <c r="O12" s="14" t="str">
        <f>[1]!f_info_mgrcomp(M12)</f>
        <v>南方基金管理股份有限公司</v>
      </c>
      <c r="P12" s="49" t="str">
        <f>[1]!f_info_setupdate(M12)</f>
        <v>2017-08-25</v>
      </c>
      <c r="Q12" s="54">
        <f ca="1">[1]!f_etf_netasset(M12,表1[[#This Row],[列10]])</f>
        <v>4239605986</v>
      </c>
      <c r="R12" s="52" t="str">
        <f ca="1">[1]!lastradeday_s(M12,$D$7)</f>
        <v>2024-07-16</v>
      </c>
      <c r="S12" s="16">
        <f ca="1">[1]!s_dq_close(M12,R12,3)</f>
        <v>0.42599999999999999</v>
      </c>
      <c r="T12" s="17">
        <f ca="1">[1]!s_dq_pctchange(M12,R12)</f>
        <v>0.47169811320754756</v>
      </c>
      <c r="U12" s="55" t="str">
        <f>[1]!f_info_trackindexcode(M12)</f>
        <v>931775.CSI</v>
      </c>
      <c r="V12" s="59">
        <f ca="1">[1]!s_val_mv_ard(表1[[#This Row],[列18]],R12)</f>
        <v>923976399432.00012</v>
      </c>
      <c r="W12" s="28">
        <f ca="1">[1]!s_fa_eps_ttm2(表1[[#This Row],[列18]],表1[[#This Row],[列10]])</f>
        <v>-7.9884709526665043E-2</v>
      </c>
      <c r="X12" s="27" t="str">
        <f ca="1">[1]!s_val_pe_ttm(表1[[#This Row],[列18]],R12)</f>
        <v>0</v>
      </c>
      <c r="Y12" s="27" t="str">
        <f ca="1">[1]!i_val_pe_percentile(表1[[#This Row],[列18]],R12,$D$9,R12)</f>
        <v>0</v>
      </c>
      <c r="Z12" s="29">
        <f ca="1">[1]!i_val_pb_mrqwgt(表1[[#This Row],[列18]],R12)</f>
        <v>1.022</v>
      </c>
      <c r="AA12" s="27">
        <f ca="1">[1]!i_val_pb_percentile(表1[[#This Row],[列18]],R12,$D$9,R12)</f>
        <v>3.1055900621118013</v>
      </c>
      <c r="AB12" s="29">
        <f ca="1">[1]!s_val_dividendyield2(表1[[#This Row],[列18]],R12)</f>
        <v>1.8556999999999999</v>
      </c>
      <c r="AC12" s="27">
        <f ca="1">[1]!i_val_dividend_percentile(表1[[#This Row],[列18]],R12,$D$9,R12)</f>
        <v>3.7267080745341614</v>
      </c>
      <c r="AD12" s="5"/>
    </row>
    <row r="13" spans="1:72" s="1" customFormat="1" x14ac:dyDescent="0.2">
      <c r="B13" s="5"/>
      <c r="C13" s="7"/>
      <c r="D13" s="7"/>
      <c r="E13" s="7"/>
      <c r="F13" s="7"/>
      <c r="G13" s="7"/>
      <c r="H13" s="7"/>
      <c r="I13" s="7"/>
      <c r="J13" s="5"/>
      <c r="L13" s="5"/>
      <c r="M13" s="53" t="s">
        <v>63</v>
      </c>
      <c r="N13" s="14" t="str">
        <f>[1]!f_info_exchangeshortname(M13)</f>
        <v>光伏ETF</v>
      </c>
      <c r="O13" s="14" t="str">
        <f>[1]!f_info_mgrcomp(M13)</f>
        <v>华泰柏瑞基金管理有限公司</v>
      </c>
      <c r="P13" s="49" t="str">
        <f>[1]!f_info_setupdate(M13)</f>
        <v>2020-12-07</v>
      </c>
      <c r="Q13" s="54">
        <f ca="1">[1]!f_etf_netasset(M13,表1[[#This Row],[列10]])</f>
        <v>7940034811.1999998</v>
      </c>
      <c r="R13" s="52" t="str">
        <f ca="1">[1]!lastradeday_s(M13,$D$7)</f>
        <v>2024-07-16</v>
      </c>
      <c r="S13" s="16">
        <f ca="1">[1]!s_dq_close(M13,R13,3)</f>
        <v>0.67900000000000005</v>
      </c>
      <c r="T13" s="17">
        <f ca="1">[1]!s_dq_pctchange(M13,R13)</f>
        <v>2.4132730015082977</v>
      </c>
      <c r="U13" s="55" t="str">
        <f>[1]!f_info_trackindexcode(M13)</f>
        <v>931151.CSI</v>
      </c>
      <c r="V13" s="59">
        <f ca="1">[1]!s_val_mv_ard(表1[[#This Row],[列18]],R13)</f>
        <v>1326428046182</v>
      </c>
      <c r="W13" s="28">
        <f ca="1">[1]!s_fa_eps_ttm2(表1[[#This Row],[列18]],表1[[#This Row],[列10]])</f>
        <v>0.75185594467733419</v>
      </c>
      <c r="X13" s="27">
        <f ca="1">[1]!s_val_pe_ttm(表1[[#This Row],[列18]],R13)</f>
        <v>14.767999649047852</v>
      </c>
      <c r="Y13" s="27">
        <f ca="1">[1]!i_val_pe_percentile(表1[[#This Row],[列18]],R13,$D$9,R13)</f>
        <v>37.888198757763973</v>
      </c>
      <c r="Z13" s="29">
        <f ca="1">[1]!i_val_pb_mrqwgt(表1[[#This Row],[列18]],R13)</f>
        <v>2.3243</v>
      </c>
      <c r="AA13" s="27">
        <f ca="1">[1]!i_val_pb_percentile(表1[[#This Row],[列18]],R13,$D$9,R13)</f>
        <v>1.4492753623188406</v>
      </c>
      <c r="AB13" s="29">
        <f ca="1">[1]!s_val_dividendyield2(表1[[#This Row],[列18]],R13)</f>
        <v>2.6772999999999998</v>
      </c>
      <c r="AC13" s="27">
        <f ca="1">[1]!i_val_dividend_percentile(表1[[#This Row],[列18]],R13,$D$9,R13)</f>
        <v>93.16770186335404</v>
      </c>
      <c r="AD13" s="5"/>
    </row>
    <row r="14" spans="1:72" s="1" customFormat="1" x14ac:dyDescent="0.2">
      <c r="B14" s="5"/>
      <c r="C14" s="36" t="s">
        <v>27</v>
      </c>
      <c r="D14" s="7"/>
      <c r="E14" s="7"/>
      <c r="F14" s="7"/>
      <c r="G14" s="7"/>
      <c r="H14" s="7"/>
      <c r="I14" s="7"/>
      <c r="J14" s="5"/>
      <c r="L14" s="5"/>
      <c r="M14" s="53" t="s">
        <v>44</v>
      </c>
      <c r="N14" s="14" t="str">
        <f>[1]!f_info_exchangeshortname(M14)</f>
        <v>家电ETF</v>
      </c>
      <c r="O14" s="14" t="str">
        <f>[1]!f_info_mgrcomp(M14)</f>
        <v>国泰基金管理有限公司</v>
      </c>
      <c r="P14" s="49" t="str">
        <f>[1]!f_info_setupdate(M14)</f>
        <v>2020-02-27</v>
      </c>
      <c r="Q14" s="54">
        <f ca="1">[1]!f_etf_netasset(M14,表1[[#This Row],[列10]])</f>
        <v>1470196678.8339999</v>
      </c>
      <c r="R14" s="52" t="str">
        <f ca="1">[1]!lastradeday_s(M14,$D$7)</f>
        <v>2024-07-16</v>
      </c>
      <c r="S14" s="16">
        <f ca="1">[1]!s_dq_close(M14,R14,3)</f>
        <v>1.0760000000000001</v>
      </c>
      <c r="T14" s="17">
        <f ca="1">[1]!s_dq_pctchange(M14,R14)</f>
        <v>-0.18552875695732854</v>
      </c>
      <c r="U14" s="55" t="str">
        <f>[1]!f_info_trackindexcode(M14)</f>
        <v>930697.CSI</v>
      </c>
      <c r="V14" s="59">
        <f ca="1">[1]!s_val_mv_ard(表1[[#This Row],[列18]],R14)</f>
        <v>1621573703464</v>
      </c>
      <c r="W14" s="28">
        <f ca="1">[1]!s_fa_eps_ttm2(表1[[#This Row],[列18]],表1[[#This Row],[列10]])</f>
        <v>1.5486841182214255</v>
      </c>
      <c r="X14" s="27">
        <f ca="1">[1]!s_val_pe_ttm(表1[[#This Row],[列18]],R14)</f>
        <v>13.987000465393066</v>
      </c>
      <c r="Y14" s="27">
        <f ca="1">[1]!i_val_pe_percentile(表1[[#This Row],[列18]],R14,$D$9,R14)</f>
        <v>7.2463768115942031</v>
      </c>
      <c r="Z14" s="29">
        <f ca="1">[1]!i_val_pb_mrqwgt(表1[[#This Row],[列18]],R14)</f>
        <v>2.7684000000000002</v>
      </c>
      <c r="AA14" s="27">
        <f ca="1">[1]!i_val_pb_percentile(表1[[#This Row],[列18]],R14,$D$9,R14)</f>
        <v>16.356107660455489</v>
      </c>
      <c r="AB14" s="29">
        <f ca="1">[1]!s_val_dividendyield2(表1[[#This Row],[列18]],R14)</f>
        <v>3.0653000000000001</v>
      </c>
      <c r="AC14" s="27">
        <f ca="1">[1]!i_val_dividend_percentile(表1[[#This Row],[列18]],R14,$D$9,R14)</f>
        <v>42.857142857142854</v>
      </c>
      <c r="AD14" s="5"/>
    </row>
    <row r="15" spans="1:72" s="1" customFormat="1" x14ac:dyDescent="0.2">
      <c r="B15" s="5"/>
      <c r="C15" s="7"/>
      <c r="D15" s="7"/>
      <c r="E15" s="7"/>
      <c r="F15" s="7"/>
      <c r="G15" s="7"/>
      <c r="H15" s="7"/>
      <c r="I15" s="7"/>
      <c r="J15" s="5"/>
      <c r="L15" s="5"/>
      <c r="M15" s="53" t="s">
        <v>38</v>
      </c>
      <c r="N15" s="14" t="str">
        <f>[1]!f_info_exchangeshortname(M15)</f>
        <v>交通运输ETF</v>
      </c>
      <c r="O15" s="14" t="str">
        <f>[1]!f_info_mgrcomp(M15)</f>
        <v>华夏基金管理有限公司</v>
      </c>
      <c r="P15" s="49" t="str">
        <f>[1]!f_info_setupdate(M15)</f>
        <v>2023-01-13</v>
      </c>
      <c r="Q15" s="54">
        <f ca="1">[1]!f_etf_netasset(M15,表1[[#This Row],[列10]])</f>
        <v>75063983.136999995</v>
      </c>
      <c r="R15" s="52" t="str">
        <f ca="1">[1]!lastradeday_s(M15,$D$7)</f>
        <v>2024-07-16</v>
      </c>
      <c r="S15" s="16">
        <f ca="1">[1]!s_dq_close(M15,R15,3)</f>
        <v>0.89700000000000002</v>
      </c>
      <c r="T15" s="17">
        <f ca="1">[1]!s_dq_pctchange(M15,R15)</f>
        <v>0.33557046979865801</v>
      </c>
      <c r="U15" s="55" t="str">
        <f>[1]!f_info_trackindexcode(M15)</f>
        <v>h30171.CSI</v>
      </c>
      <c r="V15" s="59">
        <f ca="1">[1]!s_val_mv_ard(表1[[#This Row],[列18]],R15)</f>
        <v>2783952443471</v>
      </c>
      <c r="W15" s="28">
        <f ca="1">[1]!s_fa_eps_ttm2(表1[[#This Row],[列18]],表1[[#This Row],[列10]])</f>
        <v>0.4252963124835904</v>
      </c>
      <c r="X15" s="27">
        <f ca="1">[1]!s_val_pe_ttm(表1[[#This Row],[列18]],R15)</f>
        <v>15.909700393676758</v>
      </c>
      <c r="Y15" s="27">
        <f ca="1">[1]!i_val_pe_percentile(表1[[#This Row],[列18]],R15,$D$9,R15)</f>
        <v>6.625258799171843</v>
      </c>
      <c r="Z15" s="29">
        <f ca="1">[1]!i_val_pb_mrqwgt(表1[[#This Row],[列18]],R15)</f>
        <v>1.6556</v>
      </c>
      <c r="AA15" s="27">
        <f ca="1">[1]!i_val_pb_percentile(表1[[#This Row],[列18]],R15,$D$9,R15)</f>
        <v>28.778467908902694</v>
      </c>
      <c r="AB15" s="29">
        <f ca="1">[1]!s_val_dividendyield2(表1[[#This Row],[列18]],R15)</f>
        <v>2.4851999999999999</v>
      </c>
      <c r="AC15" s="27">
        <f ca="1">[1]!i_val_dividend_percentile(表1[[#This Row],[列18]],R15,$D$9,R15)</f>
        <v>21.532091097308488</v>
      </c>
      <c r="AD15" s="5"/>
    </row>
    <row r="16" spans="1:72" s="1" customFormat="1" x14ac:dyDescent="0.2">
      <c r="C16" s="21"/>
      <c r="D16" s="21"/>
      <c r="E16" s="21"/>
      <c r="F16" s="21"/>
      <c r="G16" s="21"/>
      <c r="H16" s="21"/>
      <c r="I16" s="21"/>
      <c r="L16" s="5"/>
      <c r="M16" s="53" t="s">
        <v>53</v>
      </c>
      <c r="N16" s="14" t="str">
        <f>[1]!f_info_exchangeshortname(M16)</f>
        <v>酒ETF</v>
      </c>
      <c r="O16" s="14" t="str">
        <f>[1]!f_info_mgrcomp(M16)</f>
        <v>鹏华基金管理有限公司</v>
      </c>
      <c r="P16" s="49" t="str">
        <f>[1]!f_info_setupdate(M16)</f>
        <v>2019-04-04</v>
      </c>
      <c r="Q16" s="54">
        <f ca="1">[1]!f_etf_netasset(M16,表1[[#This Row],[列10]])</f>
        <v>8992571907.2400017</v>
      </c>
      <c r="R16" s="52" t="str">
        <f ca="1">[1]!lastradeday_s(M16,$D$7)</f>
        <v>2024-07-16</v>
      </c>
      <c r="S16" s="16">
        <f ca="1">[1]!s_dq_close(M16,R16,3)</f>
        <v>0.58499999999999996</v>
      </c>
      <c r="T16" s="17">
        <f ca="1">[1]!s_dq_pctchange(M16,R16)</f>
        <v>0</v>
      </c>
      <c r="U16" s="55" t="str">
        <f>[1]!f_info_trackindexcode(M16)</f>
        <v>399987.SZ</v>
      </c>
      <c r="V16" s="59">
        <f ca="1">[1]!s_val_mv_ard(表1[[#This Row],[列18]],R16)</f>
        <v>3485751388113</v>
      </c>
      <c r="W16" s="28">
        <f ca="1">[1]!s_fa_eps_ttm2(表1[[#This Row],[列18]],表1[[#This Row],[列10]])</f>
        <v>5.8476973023428744</v>
      </c>
      <c r="X16" s="27">
        <f ca="1">[1]!s_val_pe_ttm(表1[[#This Row],[列18]],R16)</f>
        <v>20.200199127197266</v>
      </c>
      <c r="Y16" s="27">
        <f ca="1">[1]!i_val_pe_percentile(表1[[#This Row],[列18]],R16,$D$9,R16)</f>
        <v>1.2422360248447204</v>
      </c>
      <c r="Z16" s="29">
        <f ca="1">[1]!i_val_pb_mrqwgt(表1[[#This Row],[列18]],R16)</f>
        <v>5.5961999999999996</v>
      </c>
      <c r="AA16" s="27">
        <f ca="1">[1]!i_val_pb_percentile(表1[[#This Row],[列18]],R16,$D$9,R16)</f>
        <v>4.7619047619047619</v>
      </c>
      <c r="AB16" s="29">
        <f ca="1">[1]!s_val_dividendyield2(表1[[#This Row],[列18]],R16)</f>
        <v>3.2128999999999999</v>
      </c>
      <c r="AC16" s="27">
        <f ca="1">[1]!i_val_dividend_percentile(表1[[#This Row],[列18]],R16,$D$9,R16)</f>
        <v>97.515527950310556</v>
      </c>
      <c r="AD16" s="5"/>
    </row>
    <row r="17" spans="3:30" s="1" customFormat="1" x14ac:dyDescent="0.2">
      <c r="C17" s="21"/>
      <c r="D17" s="21"/>
      <c r="E17" s="21"/>
      <c r="F17" s="21"/>
      <c r="G17" s="21"/>
      <c r="H17" s="21"/>
      <c r="I17" s="21"/>
      <c r="L17" s="5"/>
      <c r="M17" s="53" t="s">
        <v>43</v>
      </c>
      <c r="N17" s="14" t="str">
        <f>[1]!f_info_exchangeshortname(M17)</f>
        <v>医疗器械ETF</v>
      </c>
      <c r="O17" s="14" t="str">
        <f>[1]!f_info_mgrcomp(M17)</f>
        <v>永赢基金管理有限公司</v>
      </c>
      <c r="P17" s="49" t="str">
        <f>[1]!f_info_setupdate(M17)</f>
        <v>2021-04-22</v>
      </c>
      <c r="Q17" s="54">
        <f ca="1">[1]!f_etf_netasset(M17,表1[[#This Row],[列10]])</f>
        <v>1593766071.5451999</v>
      </c>
      <c r="R17" s="52" t="str">
        <f ca="1">[1]!lastradeday_s(M17,$D$7)</f>
        <v>2024-07-16</v>
      </c>
      <c r="S17" s="16">
        <f ca="1">[1]!s_dq_close(M17,R17,3)</f>
        <v>0.45400000000000001</v>
      </c>
      <c r="T17" s="17">
        <f ca="1">[1]!s_dq_pctchange(M17,R17)</f>
        <v>-0.4385964912280706</v>
      </c>
      <c r="U17" s="55" t="str">
        <f>[1]!f_info_trackindexcode(M17)</f>
        <v>h30217.CSI</v>
      </c>
      <c r="V17" s="59">
        <f ca="1">[1]!s_val_mv_ard(表1[[#This Row],[列18]],R17)</f>
        <v>1231115533816</v>
      </c>
      <c r="W17" s="28">
        <f ca="1">[1]!s_fa_eps_ttm2(表1[[#This Row],[列18]],表1[[#This Row],[列10]])</f>
        <v>0.94187131800443091</v>
      </c>
      <c r="X17" s="27">
        <f ca="1">[1]!s_val_pe_ttm(表1[[#This Row],[列18]],R17)</f>
        <v>32.644298553466797</v>
      </c>
      <c r="Y17" s="27">
        <f ca="1">[1]!i_val_pe_percentile(表1[[#This Row],[列18]],R17,$D$9,R17)</f>
        <v>65.838509316770185</v>
      </c>
      <c r="Z17" s="29">
        <f ca="1">[1]!i_val_pb_mrqwgt(表1[[#This Row],[列18]],R17)</f>
        <v>4.7835000000000001</v>
      </c>
      <c r="AA17" s="27">
        <f ca="1">[1]!i_val_pb_percentile(表1[[#This Row],[列18]],R17,$D$9,R17)</f>
        <v>0.82815734989648038</v>
      </c>
      <c r="AB17" s="29">
        <f ca="1">[1]!s_val_dividendyield2(表1[[#This Row],[列18]],R17)</f>
        <v>1.4998</v>
      </c>
      <c r="AC17" s="27">
        <f ca="1">[1]!i_val_dividend_percentile(表1[[#This Row],[列18]],R17,$D$9,R17)</f>
        <v>49.275362318840585</v>
      </c>
      <c r="AD17" s="5"/>
    </row>
    <row r="18" spans="3:30" s="1" customFormat="1" x14ac:dyDescent="0.2">
      <c r="C18" s="21"/>
      <c r="D18" s="21"/>
      <c r="E18" s="21"/>
      <c r="F18" s="21"/>
      <c r="G18" s="21"/>
      <c r="H18" s="21"/>
      <c r="I18" s="21"/>
      <c r="L18" s="5"/>
      <c r="M18" s="53" t="s">
        <v>66</v>
      </c>
      <c r="N18" s="14" t="str">
        <f>[1]!f_info_exchangeshortname(M18)</f>
        <v>电力ETF</v>
      </c>
      <c r="O18" s="14" t="str">
        <f>[1]!f_info_mgrcomp(M18)</f>
        <v>华泰柏瑞基金管理有限公司</v>
      </c>
      <c r="P18" s="49" t="str">
        <f>[1]!f_info_setupdate(M18)</f>
        <v>2022-04-26</v>
      </c>
      <c r="Q18" s="54">
        <f ca="1">[1]!f_etf_netasset(M18,表1[[#This Row],[列10]])</f>
        <v>261739044.17999998</v>
      </c>
      <c r="R18" s="52" t="str">
        <f ca="1">[1]!lastradeday_s(M18,$D$7)</f>
        <v>2024-07-16</v>
      </c>
      <c r="S18" s="16">
        <f ca="1">[1]!s_dq_close(M18,R18,3)</f>
        <v>1.278</v>
      </c>
      <c r="T18" s="17">
        <f ca="1">[1]!s_dq_pctchange(M18,R18)</f>
        <v>0.31397174254317139</v>
      </c>
      <c r="U18" s="55" t="str">
        <f>[1]!f_info_trackindexcode(M18)</f>
        <v>h30199.CSI</v>
      </c>
      <c r="V18" s="59">
        <f ca="1">[1]!s_val_mv_ard(表1[[#This Row],[列18]],R18)</f>
        <v>3129430335465.0005</v>
      </c>
      <c r="W18" s="28">
        <f ca="1">[1]!s_fa_eps_ttm2(表1[[#This Row],[列18]],表1[[#This Row],[列10]])</f>
        <v>0.43770890613598146</v>
      </c>
      <c r="X18" s="27">
        <f ca="1">[1]!s_val_pe_ttm(表1[[#This Row],[列18]],R18)</f>
        <v>19.851800918579102</v>
      </c>
      <c r="Y18" s="27">
        <f ca="1">[1]!i_val_pe_percentile(表1[[#This Row],[列18]],R18,$D$9,R18)</f>
        <v>25.879917184265011</v>
      </c>
      <c r="Z18" s="29">
        <f ca="1">[1]!i_val_pb_mrqwgt(表1[[#This Row],[列18]],R18)</f>
        <v>2.1120000000000001</v>
      </c>
      <c r="AA18" s="27">
        <f ca="1">[1]!i_val_pb_percentile(表1[[#This Row],[列18]],R18,$D$9,R18)</f>
        <v>99.378881987577643</v>
      </c>
      <c r="AB18" s="29">
        <f ca="1">[1]!s_val_dividendyield2(表1[[#This Row],[列18]],R18)</f>
        <v>1.9771000000000001</v>
      </c>
      <c r="AC18" s="27">
        <f ca="1">[1]!i_val_dividend_percentile(表1[[#This Row],[列18]],R18,$D$9,R18)</f>
        <v>48.240165631469978</v>
      </c>
      <c r="AD18" s="5"/>
    </row>
    <row r="19" spans="3:30" s="1" customFormat="1" x14ac:dyDescent="0.2">
      <c r="C19" s="21"/>
      <c r="D19" s="21"/>
      <c r="E19" s="21"/>
      <c r="F19" s="21"/>
      <c r="G19" s="21"/>
      <c r="H19" s="21"/>
      <c r="I19" s="21"/>
      <c r="L19" s="5"/>
      <c r="M19" s="53" t="s">
        <v>49</v>
      </c>
      <c r="N19" s="14" t="str">
        <f>[1]!f_info_exchangeshortname(M19)</f>
        <v>医疗ETF</v>
      </c>
      <c r="O19" s="14" t="str">
        <f>[1]!f_info_mgrcomp(M19)</f>
        <v>华宝基金管理有限公司</v>
      </c>
      <c r="P19" s="49" t="str">
        <f>[1]!f_info_setupdate(M19)</f>
        <v>2019-05-20</v>
      </c>
      <c r="Q19" s="54">
        <f ca="1">[1]!f_etf_netasset(M19,表1[[#This Row],[列10]])</f>
        <v>21702244098.850002</v>
      </c>
      <c r="R19" s="52" t="str">
        <f ca="1">[1]!lastradeday_s(M19,$D$7)</f>
        <v>2024-07-16</v>
      </c>
      <c r="S19" s="16">
        <f ca="1">[1]!s_dq_close(M19,R19,3)</f>
        <v>0.28899999999999998</v>
      </c>
      <c r="T19" s="17">
        <f ca="1">[1]!s_dq_pctchange(M19,R19)</f>
        <v>0</v>
      </c>
      <c r="U19" s="55" t="str">
        <f>[1]!f_info_trackindexcode(M19)</f>
        <v>399989.SZ</v>
      </c>
      <c r="V19" s="59">
        <f ca="1">[1]!s_val_mv_ard(表1[[#This Row],[列18]],R19)</f>
        <v>1404437555909</v>
      </c>
      <c r="W19" s="28">
        <f ca="1">[1]!s_fa_eps_ttm2(表1[[#This Row],[列18]],表1[[#This Row],[列10]])</f>
        <v>1.0753019627354399</v>
      </c>
      <c r="X19" s="27">
        <f ca="1">[1]!s_val_pe_ttm(表1[[#This Row],[列18]],R19)</f>
        <v>25.746200561523438</v>
      </c>
      <c r="Y19" s="27">
        <f ca="1">[1]!i_val_pe_percentile(表1[[#This Row],[列18]],R19,$D$9,R19)</f>
        <v>26.501035196687372</v>
      </c>
      <c r="Z19" s="29">
        <f ca="1">[1]!i_val_pb_mrqwgt(表1[[#This Row],[列18]],R19)</f>
        <v>4.3716999999999997</v>
      </c>
      <c r="AA19" s="27">
        <f ca="1">[1]!i_val_pb_percentile(表1[[#This Row],[列18]],R19,$D$9,R19)</f>
        <v>1.0351966873706004</v>
      </c>
      <c r="AB19" s="29">
        <f ca="1">[1]!s_val_dividendyield2(表1[[#This Row],[列18]],R19)</f>
        <v>1.5742</v>
      </c>
      <c r="AC19" s="27">
        <f ca="1">[1]!i_val_dividend_percentile(表1[[#This Row],[列18]],R19,$D$9,R19)</f>
        <v>72.67080745341616</v>
      </c>
      <c r="AD19" s="5"/>
    </row>
    <row r="20" spans="3:30" s="1" customFormat="1" x14ac:dyDescent="0.2">
      <c r="C20" s="21"/>
      <c r="D20" s="21"/>
      <c r="E20" s="21"/>
      <c r="F20" s="21"/>
      <c r="G20" s="21"/>
      <c r="H20" s="21"/>
      <c r="I20" s="21"/>
      <c r="L20" s="5"/>
      <c r="M20" s="53" t="s">
        <v>55</v>
      </c>
      <c r="N20" s="14" t="str">
        <f>[1]!f_info_exchangeshortname(M20)</f>
        <v>传媒ETF</v>
      </c>
      <c r="O20" s="14" t="str">
        <f>[1]!f_info_mgrcomp(M20)</f>
        <v>广发基金管理有限公司</v>
      </c>
      <c r="P20" s="49" t="str">
        <f>[1]!f_info_setupdate(M20)</f>
        <v>2017-12-27</v>
      </c>
      <c r="Q20" s="54">
        <f ca="1">[1]!f_etf_netasset(M20,表1[[#This Row],[列10]])</f>
        <v>3346045313.52</v>
      </c>
      <c r="R20" s="52" t="str">
        <f ca="1">[1]!lastradeday_s(M20,$D$7)</f>
        <v>2024-07-16</v>
      </c>
      <c r="S20" s="16">
        <f ca="1">[1]!s_dq_close(M20,R20,3)</f>
        <v>0.58899999999999997</v>
      </c>
      <c r="T20" s="17">
        <f ca="1">[1]!s_dq_pctchange(M20,R20)</f>
        <v>0.51194539249146809</v>
      </c>
      <c r="U20" s="55" t="str">
        <f>[1]!f_info_trackindexcode(M20)</f>
        <v>399971.SZ</v>
      </c>
      <c r="V20" s="59">
        <f ca="1">[1]!s_val_mv_ard(表1[[#This Row],[列18]],R20)</f>
        <v>810192170342</v>
      </c>
      <c r="W20" s="28">
        <f ca="1">[1]!s_fa_eps_ttm2(表1[[#This Row],[列18]],表1[[#This Row],[列10]])</f>
        <v>0.37953484678483368</v>
      </c>
      <c r="X20" s="27">
        <f ca="1">[1]!s_val_pe_ttm(表1[[#This Row],[列18]],R20)</f>
        <v>19.172599792480469</v>
      </c>
      <c r="Y20" s="27">
        <f ca="1">[1]!i_val_pe_percentile(表1[[#This Row],[列18]],R20,$D$9,R20)</f>
        <v>0</v>
      </c>
      <c r="Z20" s="29">
        <f ca="1">[1]!i_val_pb_mrqwgt(表1[[#This Row],[列18]],R20)</f>
        <v>2.6938</v>
      </c>
      <c r="AA20" s="27">
        <f ca="1">[1]!i_val_pb_percentile(表1[[#This Row],[列18]],R20,$D$9,R20)</f>
        <v>6.4182194616977233</v>
      </c>
      <c r="AB20" s="29">
        <f ca="1">[1]!s_val_dividendyield2(表1[[#This Row],[列18]],R20)</f>
        <v>2.8279000000000001</v>
      </c>
      <c r="AC20" s="27">
        <f ca="1">[1]!i_val_dividend_percentile(表1[[#This Row],[列18]],R20,$D$9,R20)</f>
        <v>95.238095238095227</v>
      </c>
      <c r="AD20" s="5"/>
    </row>
    <row r="21" spans="3:30" s="1" customFormat="1" x14ac:dyDescent="0.2">
      <c r="C21" s="21"/>
      <c r="D21" s="21"/>
      <c r="E21" s="21"/>
      <c r="F21" s="21"/>
      <c r="G21" s="21"/>
      <c r="H21" s="21"/>
      <c r="I21" s="21"/>
      <c r="L21" s="5"/>
      <c r="M21" s="53" t="s">
        <v>37</v>
      </c>
      <c r="N21" s="14" t="str">
        <f>[1]!f_info_exchangeshortname(M21)</f>
        <v>中药ETF</v>
      </c>
      <c r="O21" s="14" t="str">
        <f>[1]!f_info_mgrcomp(M21)</f>
        <v>鹏华基金管理有限公司</v>
      </c>
      <c r="P21" s="49" t="str">
        <f>[1]!f_info_setupdate(M21)</f>
        <v>2022-07-20</v>
      </c>
      <c r="Q21" s="54">
        <f ca="1">[1]!f_etf_netasset(M21,表1[[#This Row],[列10]])</f>
        <v>683671355.63999999</v>
      </c>
      <c r="R21" s="52" t="str">
        <f ca="1">[1]!lastradeday_s(M21,$D$7)</f>
        <v>2024-07-16</v>
      </c>
      <c r="S21" s="16">
        <f ca="1">[1]!s_dq_close(M21,R21,3)</f>
        <v>0.94199999999999995</v>
      </c>
      <c r="T21" s="17">
        <f ca="1">[1]!s_dq_pctchange(M21,R21)</f>
        <v>-0.31746031746031778</v>
      </c>
      <c r="U21" s="55" t="str">
        <f>[1]!f_info_trackindexcode(M21)</f>
        <v>930641.CSI</v>
      </c>
      <c r="V21" s="59">
        <f ca="1">[1]!s_val_mv_ard(表1[[#This Row],[列18]],R21)</f>
        <v>794401570088</v>
      </c>
      <c r="W21" s="28">
        <f ca="1">[1]!s_fa_eps_ttm2(表1[[#This Row],[列18]],表1[[#This Row],[列10]])</f>
        <v>0.81527902374940142</v>
      </c>
      <c r="X21" s="27">
        <f ca="1">[1]!s_val_pe_ttm(表1[[#This Row],[列18]],R21)</f>
        <v>22.893699645996094</v>
      </c>
      <c r="Y21" s="27">
        <f ca="1">[1]!i_val_pe_percentile(表1[[#This Row],[列18]],R21,$D$9,R21)</f>
        <v>1.8633540372670807</v>
      </c>
      <c r="Z21" s="29">
        <f ca="1">[1]!i_val_pb_mrqwgt(表1[[#This Row],[列18]],R21)</f>
        <v>3.4897999999999998</v>
      </c>
      <c r="AA21" s="27">
        <f ca="1">[1]!i_val_pb_percentile(表1[[#This Row],[列18]],R21,$D$9,R21)</f>
        <v>2.8985507246376812</v>
      </c>
      <c r="AB21" s="29">
        <f ca="1">[1]!s_val_dividendyield2(表1[[#This Row],[列18]],R21)</f>
        <v>2.694</v>
      </c>
      <c r="AC21" s="27">
        <f ca="1">[1]!i_val_dividend_percentile(表1[[#This Row],[列18]],R21,$D$9,R21)</f>
        <v>99.378881987577643</v>
      </c>
      <c r="AD21" s="5"/>
    </row>
    <row r="22" spans="3:30" s="1" customFormat="1" x14ac:dyDescent="0.2">
      <c r="C22" s="21"/>
      <c r="D22" s="21"/>
      <c r="E22" s="21"/>
      <c r="F22" s="21"/>
      <c r="G22" s="21"/>
      <c r="H22" s="21"/>
      <c r="I22" s="21"/>
      <c r="L22" s="5"/>
      <c r="M22" s="53" t="s">
        <v>48</v>
      </c>
      <c r="N22" s="14" t="str">
        <f>[1]!f_info_exchangeshortname(M22)</f>
        <v>医药ETF</v>
      </c>
      <c r="O22" s="14" t="str">
        <f>[1]!f_info_mgrcomp(M22)</f>
        <v>易方达基金管理有限公司</v>
      </c>
      <c r="P22" s="49" t="str">
        <f>[1]!f_info_setupdate(M22)</f>
        <v>2013-09-23</v>
      </c>
      <c r="Q22" s="54">
        <f ca="1">[1]!f_etf_netasset(M22,表1[[#This Row],[列10]])</f>
        <v>17136003198.419998</v>
      </c>
      <c r="R22" s="52" t="str">
        <f ca="1">[1]!lastradeday_s(M22,$D$7)</f>
        <v>2024-07-16</v>
      </c>
      <c r="S22" s="16">
        <f ca="1">[1]!s_dq_close(M22,R22,3)</f>
        <v>0.32700000000000001</v>
      </c>
      <c r="T22" s="17">
        <f ca="1">[1]!s_dq_pctchange(M22,R22)</f>
        <v>0.30674846625766899</v>
      </c>
      <c r="U22" s="55" t="str">
        <f>[1]!f_info_trackindexcode(M22)</f>
        <v>000913.SH</v>
      </c>
      <c r="V22" s="59">
        <f ca="1">[1]!s_val_mv_ard(表1[[#This Row],[列18]],R22)</f>
        <v>2065277900574</v>
      </c>
      <c r="W22" s="28">
        <f ca="1">[1]!s_fa_eps_ttm2(表1[[#This Row],[列18]],表1[[#This Row],[列10]])</f>
        <v>1.3642844537003558</v>
      </c>
      <c r="X22" s="27">
        <f ca="1">[1]!s_val_pe_ttm(表1[[#This Row],[列18]],R22)</f>
        <v>24.165399551391602</v>
      </c>
      <c r="Y22" s="27">
        <f ca="1">[1]!i_val_pe_percentile(表1[[#This Row],[列18]],R22,$D$9,R22)</f>
        <v>2.8985507246376812</v>
      </c>
      <c r="Z22" s="29">
        <f ca="1">[1]!i_val_pb_mrqwgt(表1[[#This Row],[列18]],R22)</f>
        <v>5.0090000000000003</v>
      </c>
      <c r="AA22" s="27">
        <f ca="1">[1]!i_val_pb_percentile(表1[[#This Row],[列18]],R22,$D$9,R22)</f>
        <v>1.4492753623188406</v>
      </c>
      <c r="AB22" s="29">
        <f ca="1">[1]!s_val_dividendyield2(表1[[#This Row],[列18]],R22)</f>
        <v>1.6649</v>
      </c>
      <c r="AC22" s="27">
        <f ca="1">[1]!i_val_dividend_percentile(表1[[#This Row],[列18]],R22,$D$9,R22)</f>
        <v>97.101449275362313</v>
      </c>
      <c r="AD22" s="5"/>
    </row>
    <row r="23" spans="3:30" s="1" customFormat="1" x14ac:dyDescent="0.2">
      <c r="C23" s="21"/>
      <c r="D23" s="21"/>
      <c r="E23" s="21"/>
      <c r="F23" s="21"/>
      <c r="G23" s="21"/>
      <c r="H23" s="21"/>
      <c r="I23" s="21"/>
      <c r="L23" s="5"/>
      <c r="M23" s="53" t="s">
        <v>47</v>
      </c>
      <c r="N23" s="14" t="str">
        <f>[1]!f_info_exchangeshortname(M23)</f>
        <v>券商ETF</v>
      </c>
      <c r="O23" s="14" t="str">
        <f>[1]!f_info_mgrcomp(M23)</f>
        <v>华宝基金管理有限公司</v>
      </c>
      <c r="P23" s="49" t="str">
        <f>[1]!f_info_setupdate(M23)</f>
        <v>2016-08-30</v>
      </c>
      <c r="Q23" s="54">
        <f ca="1">[1]!f_etf_netasset(M23,表1[[#This Row],[列10]])</f>
        <v>19763982716.939999</v>
      </c>
      <c r="R23" s="52" t="str">
        <f ca="1">[1]!lastradeday_s(M23,$D$7)</f>
        <v>2024-07-16</v>
      </c>
      <c r="S23" s="16">
        <f ca="1">[1]!s_dq_close(M23,R23,3)</f>
        <v>0.748</v>
      </c>
      <c r="T23" s="17">
        <f ca="1">[1]!s_dq_pctchange(M23,R23)</f>
        <v>0.80862533692722449</v>
      </c>
      <c r="U23" s="55" t="str">
        <f>[1]!f_info_trackindexcode(M23)</f>
        <v>399975.SZ</v>
      </c>
      <c r="V23" s="59">
        <f ca="1">[1]!s_val_mv_ard(表1[[#This Row],[列18]],R23)</f>
        <v>2633613971508</v>
      </c>
      <c r="W23" s="28">
        <f ca="1">[1]!s_fa_eps_ttm2(表1[[#This Row],[列18]],表1[[#This Row],[列10]])</f>
        <v>0.39338783893360346</v>
      </c>
      <c r="X23" s="27">
        <f ca="1">[1]!s_val_pe_ttm(表1[[#This Row],[列18]],R23)</f>
        <v>21.020500183105469</v>
      </c>
      <c r="Y23" s="27">
        <f ca="1">[1]!i_val_pe_percentile(表1[[#This Row],[列18]],R23,$D$9,R23)</f>
        <v>56.314699792960667</v>
      </c>
      <c r="Z23" s="29">
        <f ca="1">[1]!i_val_pb_mrqwgt(表1[[#This Row],[列18]],R23)</f>
        <v>1.2230000000000001</v>
      </c>
      <c r="AA23" s="27">
        <f ca="1">[1]!i_val_pb_percentile(表1[[#This Row],[列18]],R23,$D$9,R23)</f>
        <v>1.0351966873706004</v>
      </c>
      <c r="AB23" s="29">
        <f ca="1">[1]!s_val_dividendyield2(表1[[#This Row],[列18]],R23)</f>
        <v>1.6906000000000001</v>
      </c>
      <c r="AC23" s="27">
        <f ca="1">[1]!i_val_dividend_percentile(表1[[#This Row],[列18]],R23,$D$9,R23)</f>
        <v>46.376811594202898</v>
      </c>
      <c r="AD23" s="5"/>
    </row>
    <row r="24" spans="3:30" s="1" customFormat="1" x14ac:dyDescent="0.2">
      <c r="C24" s="21"/>
      <c r="D24" s="21"/>
      <c r="E24" s="21"/>
      <c r="F24" s="21"/>
      <c r="G24" s="21"/>
      <c r="H24" s="21"/>
      <c r="I24" s="21"/>
      <c r="L24" s="5"/>
      <c r="M24" s="53" t="s">
        <v>42</v>
      </c>
      <c r="N24" s="14" t="str">
        <f>[1]!f_info_exchangeshortname(M24)</f>
        <v>游戏ETF</v>
      </c>
      <c r="O24" s="14" t="str">
        <f>[1]!f_info_mgrcomp(M24)</f>
        <v>华夏基金管理有限公司</v>
      </c>
      <c r="P24" s="49" t="str">
        <f>[1]!f_info_setupdate(M24)</f>
        <v>2021-02-25</v>
      </c>
      <c r="Q24" s="54">
        <f ca="1">[1]!f_etf_netasset(M24,表1[[#This Row],[列10]])</f>
        <v>5967758124.7037992</v>
      </c>
      <c r="R24" s="52" t="str">
        <f ca="1">[1]!lastradeday_s(M24,$D$7)</f>
        <v>2024-07-16</v>
      </c>
      <c r="S24" s="16">
        <f ca="1">[1]!s_dq_close(M24,R24,3)</f>
        <v>0.746</v>
      </c>
      <c r="T24" s="17">
        <f ca="1">[1]!s_dq_pctchange(M24,R24)</f>
        <v>0.81081081081081152</v>
      </c>
      <c r="U24" s="55" t="str">
        <f>[1]!f_info_trackindexcode(M24)</f>
        <v>930901.CSI</v>
      </c>
      <c r="V24" s="59">
        <f ca="1">[1]!s_val_mv_ard(表1[[#This Row],[列18]],R24)</f>
        <v>298494980057</v>
      </c>
      <c r="W24" s="28">
        <f ca="1">[1]!s_fa_eps_ttm2(表1[[#This Row],[列18]],表1[[#This Row],[列10]])</f>
        <v>0.27249068340936294</v>
      </c>
      <c r="X24" s="27">
        <f ca="1">[1]!s_val_pe_ttm(表1[[#This Row],[列18]],R24)</f>
        <v>27.722600936889648</v>
      </c>
      <c r="Y24" s="27">
        <f ca="1">[1]!i_val_pe_percentile(表1[[#This Row],[列18]],R24,$D$9,R24)</f>
        <v>0</v>
      </c>
      <c r="Z24" s="29">
        <f ca="1">[1]!i_val_pb_mrqwgt(表1[[#This Row],[列18]],R24)</f>
        <v>2.4036</v>
      </c>
      <c r="AA24" s="27">
        <f ca="1">[1]!i_val_pb_percentile(表1[[#This Row],[列18]],R24,$D$9,R24)</f>
        <v>8.9026915113871627</v>
      </c>
      <c r="AB24" s="29">
        <f ca="1">[1]!s_val_dividendyield2(表1[[#This Row],[列18]],R24)</f>
        <v>1.9756</v>
      </c>
      <c r="AC24" s="27">
        <f ca="1">[1]!i_val_dividend_percentile(表1[[#This Row],[列18]],R24,$D$9,R24)</f>
        <v>73.291925465838517</v>
      </c>
      <c r="AD24" s="5"/>
    </row>
    <row r="25" spans="3:30" s="1" customFormat="1" x14ac:dyDescent="0.2">
      <c r="C25" s="21"/>
      <c r="D25" s="21"/>
      <c r="E25" s="21"/>
      <c r="F25" s="21"/>
      <c r="G25" s="21"/>
      <c r="H25" s="21"/>
      <c r="I25" s="21"/>
      <c r="L25" s="5"/>
      <c r="M25" s="53" t="s">
        <v>41</v>
      </c>
      <c r="N25" s="14" t="str">
        <f>[1]!f_info_exchangeshortname(M25)</f>
        <v>养殖ETF</v>
      </c>
      <c r="O25" s="14" t="str">
        <f>[1]!f_info_mgrcomp(M25)</f>
        <v>国泰基金管理有限公司</v>
      </c>
      <c r="P25" s="49" t="str">
        <f>[1]!f_info_setupdate(M25)</f>
        <v>2021-03-01</v>
      </c>
      <c r="Q25" s="54">
        <f ca="1">[1]!f_etf_netasset(M25,表1[[#This Row],[列10]])</f>
        <v>4672806966.0024004</v>
      </c>
      <c r="R25" s="52" t="str">
        <f ca="1">[1]!lastradeday_s(M25,$D$7)</f>
        <v>2024-07-16</v>
      </c>
      <c r="S25" s="16">
        <f ca="1">[1]!s_dq_close(M25,R25,3)</f>
        <v>0.57799999999999996</v>
      </c>
      <c r="T25" s="17">
        <f ca="1">[1]!s_dq_pctchange(M25,R25)</f>
        <v>0.69686411149825855</v>
      </c>
      <c r="U25" s="55" t="str">
        <f>[1]!f_info_trackindexcode(M25)</f>
        <v>930707.CSI</v>
      </c>
      <c r="V25" s="59">
        <f ca="1">[1]!s_val_mv_ard(表1[[#This Row],[列18]],R25)</f>
        <v>687624023010</v>
      </c>
      <c r="W25" s="28">
        <f ca="1">[1]!s_fa_eps_ttm2(表1[[#This Row],[列18]],表1[[#This Row],[列10]])</f>
        <v>-0.37363534233830997</v>
      </c>
      <c r="X25" s="27" t="str">
        <f ca="1">[1]!s_val_pe_ttm(表1[[#This Row],[列18]],R25)</f>
        <v>0</v>
      </c>
      <c r="Y25" s="27" t="str">
        <f ca="1">[1]!i_val_pe_percentile(表1[[#This Row],[列18]],R25,$D$9,R25)</f>
        <v>0</v>
      </c>
      <c r="Z25" s="29">
        <f ca="1">[1]!i_val_pb_mrqwgt(表1[[#This Row],[列18]],R25)</f>
        <v>2.73</v>
      </c>
      <c r="AA25" s="27">
        <f ca="1">[1]!i_val_pb_percentile(表1[[#This Row],[列18]],R25,$D$9,R25)</f>
        <v>51.138716356107658</v>
      </c>
      <c r="AB25" s="29">
        <f ca="1">[1]!s_val_dividendyield2(表1[[#This Row],[列18]],R25)</f>
        <v>0.7218</v>
      </c>
      <c r="AC25" s="27">
        <f ca="1">[1]!i_val_dividend_percentile(表1[[#This Row],[列18]],R25,$D$9,R25)</f>
        <v>40.579710144927539</v>
      </c>
      <c r="AD25" s="5"/>
    </row>
    <row r="26" spans="3:30" s="1" customFormat="1" x14ac:dyDescent="0.2">
      <c r="C26" s="21"/>
      <c r="D26" s="21"/>
      <c r="E26" s="21"/>
      <c r="F26" s="21"/>
      <c r="G26" s="21"/>
      <c r="H26" s="21"/>
      <c r="I26" s="21"/>
      <c r="L26" s="5"/>
      <c r="M26" s="53" t="s">
        <v>59</v>
      </c>
      <c r="N26" s="14" t="str">
        <f>[1]!f_info_exchangeshortname(M26)</f>
        <v>新汽车</v>
      </c>
      <c r="O26" s="14" t="str">
        <f>[1]!f_info_mgrcomp(M26)</f>
        <v>华夏基金管理有限公司</v>
      </c>
      <c r="P26" s="49" t="str">
        <f>[1]!f_info_setupdate(M26)</f>
        <v>2020-02-20</v>
      </c>
      <c r="Q26" s="54">
        <f ca="1">[1]!f_etf_netasset(M26,表1[[#This Row],[列10]])</f>
        <v>4924296451.1999998</v>
      </c>
      <c r="R26" s="52" t="str">
        <f ca="1">[1]!lastradeday_s(M26,$D$7)</f>
        <v>2024-07-16</v>
      </c>
      <c r="S26" s="16">
        <f ca="1">[1]!s_dq_close(M26,R26,3)</f>
        <v>0.98799999999999999</v>
      </c>
      <c r="T26" s="17">
        <f ca="1">[1]!s_dq_pctchange(M26,R26)</f>
        <v>1.0224948875255633</v>
      </c>
      <c r="U26" s="55" t="str">
        <f>[1]!f_info_trackindexcode(M26)</f>
        <v>399976.SZ</v>
      </c>
      <c r="V26" s="59">
        <f ca="1">[1]!s_val_mv_ard(表1[[#This Row],[列18]],R26)</f>
        <v>2760626458107</v>
      </c>
      <c r="W26" s="28">
        <f ca="1">[1]!s_fa_eps_ttm2(表1[[#This Row],[列18]],表1[[#This Row],[列10]])</f>
        <v>1.5846770789355715</v>
      </c>
      <c r="X26" s="27">
        <f ca="1">[1]!s_val_pe_ttm(表1[[#This Row],[列18]],R26)</f>
        <v>21.77549934387207</v>
      </c>
      <c r="Y26" s="27">
        <f ca="1">[1]!i_val_pe_percentile(表1[[#This Row],[列18]],R26,$D$9,R26)</f>
        <v>54.244306418219459</v>
      </c>
      <c r="Z26" s="29">
        <f ca="1">[1]!i_val_pb_mrqwgt(表1[[#This Row],[列18]],R26)</f>
        <v>2.9304999999999999</v>
      </c>
      <c r="AA26" s="27">
        <f ca="1">[1]!i_val_pb_percentile(表1[[#This Row],[列18]],R26,$D$9,R26)</f>
        <v>3.5196687370600417</v>
      </c>
      <c r="AB26" s="29">
        <f ca="1">[1]!s_val_dividendyield2(表1[[#This Row],[列18]],R26)</f>
        <v>1.9429000000000001</v>
      </c>
      <c r="AC26" s="27">
        <f ca="1">[1]!i_val_dividend_percentile(表1[[#This Row],[列18]],R26,$D$9,R26)</f>
        <v>94.824016563146998</v>
      </c>
      <c r="AD26" s="5"/>
    </row>
    <row r="27" spans="3:30" s="1" customFormat="1" x14ac:dyDescent="0.2">
      <c r="C27" s="21"/>
      <c r="D27" s="21"/>
      <c r="E27" s="21"/>
      <c r="F27" s="21"/>
      <c r="G27" s="21"/>
      <c r="H27" s="21"/>
      <c r="I27" s="21"/>
      <c r="L27" s="5"/>
      <c r="M27" s="53" t="s">
        <v>60</v>
      </c>
      <c r="N27" s="14" t="str">
        <f>[1]!f_info_exchangeshortname(M27)</f>
        <v>5GETF</v>
      </c>
      <c r="O27" s="14" t="str">
        <f>[1]!f_info_mgrcomp(M27)</f>
        <v>华夏基金管理有限公司</v>
      </c>
      <c r="P27" s="49" t="str">
        <f>[1]!f_info_setupdate(M27)</f>
        <v>2019-09-17</v>
      </c>
      <c r="Q27" s="54">
        <f ca="1">[1]!f_etf_netasset(M27,表1[[#This Row],[列10]])</f>
        <v>7504078842.750001</v>
      </c>
      <c r="R27" s="52" t="str">
        <f ca="1">[1]!lastradeday_s(M27,$D$7)</f>
        <v>2024-07-16</v>
      </c>
      <c r="S27" s="16">
        <f ca="1">[1]!s_dq_close(M27,R27,3)</f>
        <v>1.0680000000000001</v>
      </c>
      <c r="T27" s="17">
        <f ca="1">[1]!s_dq_pctchange(M27,R27)</f>
        <v>2.5936599423631255</v>
      </c>
      <c r="U27" s="55" t="str">
        <f>[1]!f_info_trackindexcode(M27)</f>
        <v>931079.CSI</v>
      </c>
      <c r="V27" s="59">
        <f ca="1">[1]!s_val_mv_ard(表1[[#This Row],[列18]],R27)</f>
        <v>2666421713081</v>
      </c>
      <c r="W27" s="28">
        <f ca="1">[1]!s_fa_eps_ttm2(表1[[#This Row],[列18]],表1[[#This Row],[列10]])</f>
        <v>0.84039626500110975</v>
      </c>
      <c r="X27" s="27">
        <f ca="1">[1]!s_val_pe_ttm(表1[[#This Row],[列18]],R27)</f>
        <v>32.217498779296875</v>
      </c>
      <c r="Y27" s="27">
        <f ca="1">[1]!i_val_pe_percentile(表1[[#This Row],[列18]],R27,$D$9,R27)</f>
        <v>89.440993788819881</v>
      </c>
      <c r="Z27" s="29">
        <f ca="1">[1]!i_val_pb_mrqwgt(表1[[#This Row],[列18]],R27)</f>
        <v>5.3666</v>
      </c>
      <c r="AA27" s="27">
        <f ca="1">[1]!i_val_pb_percentile(表1[[#This Row],[列18]],R27,$D$9,R27)</f>
        <v>89.85507246376811</v>
      </c>
      <c r="AB27" s="29">
        <f ca="1">[1]!s_val_dividendyield2(表1[[#This Row],[列18]],R27)</f>
        <v>1.1581999999999999</v>
      </c>
      <c r="AC27" s="27">
        <f ca="1">[1]!i_val_dividend_percentile(表1[[#This Row],[列18]],R27,$D$9,R27)</f>
        <v>53.93374741200828</v>
      </c>
      <c r="AD27" s="5"/>
    </row>
    <row r="28" spans="3:30" s="1" customFormat="1" x14ac:dyDescent="0.2">
      <c r="C28" s="21"/>
      <c r="D28" s="21"/>
      <c r="E28" s="21"/>
      <c r="F28" s="21"/>
      <c r="G28" s="21"/>
      <c r="H28" s="21"/>
      <c r="I28" s="21"/>
      <c r="L28" s="5"/>
      <c r="M28" s="53" t="s">
        <v>64</v>
      </c>
      <c r="N28" s="14" t="str">
        <f>[1]!f_info_exchangeshortname(M28)</f>
        <v>智能制造ETF</v>
      </c>
      <c r="O28" s="14" t="str">
        <f>[1]!f_info_mgrcomp(M28)</f>
        <v>华宝基金管理有限公司</v>
      </c>
      <c r="P28" s="49" t="str">
        <f>[1]!f_info_setupdate(M28)</f>
        <v>2021-01-29</v>
      </c>
      <c r="Q28" s="54">
        <f ca="1">[1]!f_etf_netasset(M28,表1[[#This Row],[列10]])</f>
        <v>201170666.80000001</v>
      </c>
      <c r="R28" s="52" t="str">
        <f ca="1">[1]!lastradeday_s(M28,$D$7)</f>
        <v>2024-07-16</v>
      </c>
      <c r="S28" s="16">
        <f ca="1">[1]!s_dq_close(M28,R28,3)</f>
        <v>0.85399999999999998</v>
      </c>
      <c r="T28" s="17">
        <f ca="1">[1]!s_dq_pctchange(M28,R28)</f>
        <v>2.3980815347721842</v>
      </c>
      <c r="U28" s="55" t="str">
        <f>[1]!f_info_trackindexcode(M28)</f>
        <v>930850.CSI</v>
      </c>
      <c r="V28" s="59">
        <f ca="1">[1]!s_val_mv_ard(表1[[#This Row],[列18]],R28)</f>
        <v>3755360698761</v>
      </c>
      <c r="W28" s="28">
        <f ca="1">[1]!s_fa_eps_ttm2(表1[[#This Row],[列18]],表1[[#This Row],[列10]])</f>
        <v>0.65233255549777569</v>
      </c>
      <c r="X28" s="27">
        <f ca="1">[1]!s_val_pe_ttm(表1[[#This Row],[列18]],R28)</f>
        <v>32.691501617431641</v>
      </c>
      <c r="Y28" s="27">
        <f ca="1">[1]!i_val_pe_percentile(表1[[#This Row],[列18]],R28,$D$9,R28)</f>
        <v>43.892339544513462</v>
      </c>
      <c r="Z28" s="29">
        <f ca="1">[1]!i_val_pb_mrqwgt(表1[[#This Row],[列18]],R28)</f>
        <v>4.1607000000000003</v>
      </c>
      <c r="AA28" s="27">
        <f ca="1">[1]!i_val_pb_percentile(表1[[#This Row],[列18]],R28,$D$9,R28)</f>
        <v>16.149068322981368</v>
      </c>
      <c r="AB28" s="29">
        <f ca="1">[1]!s_val_dividendyield2(表1[[#This Row],[列18]],R28)</f>
        <v>1.2666999999999999</v>
      </c>
      <c r="AC28" s="27">
        <f ca="1">[1]!i_val_dividend_percentile(表1[[#This Row],[列18]],R28,$D$9,R28)</f>
        <v>92.132505175983439</v>
      </c>
      <c r="AD28" s="5"/>
    </row>
    <row r="29" spans="3:30" s="1" customFormat="1" x14ac:dyDescent="0.2">
      <c r="C29" s="21"/>
      <c r="D29" s="21"/>
      <c r="E29" s="21"/>
      <c r="F29" s="21"/>
      <c r="G29" s="21"/>
      <c r="H29" s="21"/>
      <c r="I29" s="21"/>
      <c r="L29" s="5"/>
      <c r="M29" s="53" t="s">
        <v>58</v>
      </c>
      <c r="N29" s="14" t="str">
        <f>[1]!f_info_exchangeshortname(M29)</f>
        <v>科技ETF</v>
      </c>
      <c r="O29" s="14" t="str">
        <f>[1]!f_info_mgrcomp(M29)</f>
        <v>华宝基金管理有限公司</v>
      </c>
      <c r="P29" s="49" t="str">
        <f>[1]!f_info_setupdate(M29)</f>
        <v>2019-07-22</v>
      </c>
      <c r="Q29" s="54">
        <f ca="1">[1]!f_etf_netasset(M29,表1[[#This Row],[列10]])</f>
        <v>2674629076.2099996</v>
      </c>
      <c r="R29" s="52" t="str">
        <f ca="1">[1]!lastradeday_s(M29,$D$7)</f>
        <v>2024-07-16</v>
      </c>
      <c r="S29" s="16">
        <f ca="1">[1]!s_dq_close(M29,R29,3)</f>
        <v>1.0860000000000001</v>
      </c>
      <c r="T29" s="17">
        <f ca="1">[1]!s_dq_pctchange(M29,R29)</f>
        <v>1.6853932584269677</v>
      </c>
      <c r="U29" s="55" t="str">
        <f>[1]!f_info_trackindexcode(M29)</f>
        <v>931087.CSI</v>
      </c>
      <c r="V29" s="59">
        <f ca="1">[1]!s_val_mv_ard(表1[[#This Row],[列18]],R29)</f>
        <v>3789397262486</v>
      </c>
      <c r="W29" s="28">
        <f ca="1">[1]!s_fa_eps_ttm2(表1[[#This Row],[列18]],表1[[#This Row],[列10]])</f>
        <v>1.0398113837344551</v>
      </c>
      <c r="X29" s="27">
        <f ca="1">[1]!s_val_pe_ttm(表1[[#This Row],[列18]],R29)</f>
        <v>32.568698883056641</v>
      </c>
      <c r="Y29" s="27">
        <f ca="1">[1]!i_val_pe_percentile(表1[[#This Row],[列18]],R29,$D$9,R29)</f>
        <v>30.020703933747413</v>
      </c>
      <c r="Z29" s="29">
        <f ca="1">[1]!i_val_pb_mrqwgt(表1[[#This Row],[列18]],R29)</f>
        <v>5.3384</v>
      </c>
      <c r="AA29" s="27">
        <f ca="1">[1]!i_val_pb_percentile(表1[[#This Row],[列18]],R29,$D$9,R29)</f>
        <v>29.19254658385093</v>
      </c>
      <c r="AB29" s="29">
        <f ca="1">[1]!s_val_dividendyield2(表1[[#This Row],[列18]],R29)</f>
        <v>1.4387000000000001</v>
      </c>
      <c r="AC29" s="27">
        <f ca="1">[1]!i_val_dividend_percentile(表1[[#This Row],[列18]],R29,$D$9,R29)</f>
        <v>100</v>
      </c>
      <c r="AD29" s="5"/>
    </row>
    <row r="30" spans="3:30" s="1" customFormat="1" x14ac:dyDescent="0.2">
      <c r="C30" s="21"/>
      <c r="D30" s="21"/>
      <c r="E30" s="21"/>
      <c r="F30" s="21"/>
      <c r="G30" s="21"/>
      <c r="H30" s="21"/>
      <c r="I30" s="21"/>
      <c r="L30" s="5"/>
      <c r="M30" s="53" t="s">
        <v>57</v>
      </c>
      <c r="N30" s="14" t="str">
        <f>[1]!f_info_exchangeshortname(M30)</f>
        <v>恒指科技</v>
      </c>
      <c r="O30" s="14" t="str">
        <f>[1]!f_info_mgrcomp(M30)</f>
        <v>华夏基金管理有限公司</v>
      </c>
      <c r="P30" s="49" t="str">
        <f>[1]!f_info_setupdate(M30)</f>
        <v>2021-05-18</v>
      </c>
      <c r="Q30" s="54">
        <f ca="1">[1]!f_etf_netasset(M30,表1[[#This Row],[列10]])</f>
        <v>20926531223.399998</v>
      </c>
      <c r="R30" s="52" t="str">
        <f ca="1">[1]!lastradeday_s(M30,$D$7)</f>
        <v>2024-07-16</v>
      </c>
      <c r="S30" s="16">
        <f ca="1">[1]!s_dq_close(M30,R30,3)</f>
        <v>0.5</v>
      </c>
      <c r="T30" s="17">
        <f ca="1">[1]!s_dq_pctchange(M30,R30)</f>
        <v>-0.79365079365079427</v>
      </c>
      <c r="U30" s="55" t="str">
        <f>[1]!f_info_trackindexcode(M30)</f>
        <v>HSTECH.HI</v>
      </c>
      <c r="V30" s="59">
        <f ca="1">[1]!s_val_mv_ard(表1[[#This Row],[列18]],R30)</f>
        <v>9213431985956</v>
      </c>
      <c r="W30" s="28" t="str">
        <f ca="1">[1]!s_fa_eps_ttm2(表1[[#This Row],[列18]],表1[[#This Row],[列10]])</f>
        <v>0</v>
      </c>
      <c r="X30" s="27">
        <f ca="1">[1]!s_val_pe_ttm(表1[[#This Row],[列18]],R30)</f>
        <v>23.255199432373047</v>
      </c>
      <c r="Y30" s="27">
        <f ca="1">[1]!i_val_pe_percentile(表1[[#This Row],[列18]],R30,$D$9,R30)</f>
        <v>34.560327198364007</v>
      </c>
      <c r="Z30" s="29" t="str">
        <f ca="1">[1]!i_val_pb_mrqwgt(表1[[#This Row],[列18]],R30)</f>
        <v>0</v>
      </c>
      <c r="AA30" s="27">
        <f ca="1">[1]!i_val_pb_percentile(表1[[#This Row],[列18]],R30,$D$9,R30)</f>
        <v>34.151329243353786</v>
      </c>
      <c r="AB30" s="29">
        <f ca="1">[1]!s_val_dividendyield2(表1[[#This Row],[列18]],R30)</f>
        <v>1.3499000000000001</v>
      </c>
      <c r="AC30" s="27">
        <f ca="1">[1]!i_val_dividend_percentile(表1[[#This Row],[列18]],R30,$D$9,R30)</f>
        <v>97.955010224948879</v>
      </c>
      <c r="AD30" s="5"/>
    </row>
    <row r="31" spans="3:30" s="1" customFormat="1" x14ac:dyDescent="0.2">
      <c r="C31" s="21"/>
      <c r="D31" s="21"/>
      <c r="E31" s="21"/>
      <c r="F31" s="21"/>
      <c r="G31" s="21"/>
      <c r="H31" s="21"/>
      <c r="I31" s="21"/>
      <c r="L31" s="5"/>
      <c r="M31" s="53" t="s">
        <v>56</v>
      </c>
      <c r="N31" s="14" t="str">
        <f>[1]!f_info_exchangeshortname(M31)</f>
        <v>中概互联</v>
      </c>
      <c r="O31" s="14" t="str">
        <f>[1]!f_info_mgrcomp(M31)</f>
        <v>易方达基金管理有限公司</v>
      </c>
      <c r="P31" s="49" t="str">
        <f>[1]!f_info_setupdate(M31)</f>
        <v>2017-01-04</v>
      </c>
      <c r="Q31" s="54">
        <f ca="1">[1]!f_etf_netasset(M31,表1[[#This Row],[列10]])</f>
        <v>36684498789.990005</v>
      </c>
      <c r="R31" s="52" t="str">
        <f ca="1">[1]!lastradeday_s(M31,$D$7)</f>
        <v>2024-07-16</v>
      </c>
      <c r="S31" s="16">
        <f ca="1">[1]!s_dq_close(M31,R31,3)</f>
        <v>1.056</v>
      </c>
      <c r="T31" s="17">
        <f ca="1">[1]!s_dq_pctchange(M31,R31)</f>
        <v>-1.492537313432837</v>
      </c>
      <c r="U31" s="55" t="str">
        <f>[1]!f_info_trackindexcode(M31)</f>
        <v>h30533.CSI</v>
      </c>
      <c r="V31" s="59">
        <f ca="1">[1]!s_val_mv_ard(表1[[#This Row],[列18]],R31)</f>
        <v>9516436423455</v>
      </c>
      <c r="W31" s="28" t="str">
        <f ca="1">[1]!s_fa_eps_ttm2(表1[[#This Row],[列18]],表1[[#This Row],[列10]])</f>
        <v>0</v>
      </c>
      <c r="X31" s="27">
        <f ca="1">[1]!s_val_pe_ttm(表1[[#This Row],[列18]],R31)</f>
        <v>20.796199798583984</v>
      </c>
      <c r="Y31" s="27">
        <f ca="1">[1]!i_val_pe_percentile(表1[[#This Row],[列18]],R31,$D$9,R31)</f>
        <v>35.673076923076927</v>
      </c>
      <c r="Z31" s="29" t="str">
        <f ca="1">[1]!i_val_pb_mrqwgt(表1[[#This Row],[列18]],R31)</f>
        <v>0</v>
      </c>
      <c r="AA31" s="27">
        <f ca="1">[1]!i_val_pb_percentile(表1[[#This Row],[列18]],R31,$D$9,R31)</f>
        <v>55.96153846153846</v>
      </c>
      <c r="AB31" s="29">
        <f ca="1">[1]!s_val_dividendyield2(表1[[#This Row],[列18]],R31)</f>
        <v>1.3298000000000001</v>
      </c>
      <c r="AC31" s="27">
        <f ca="1">[1]!i_val_dividend_percentile(表1[[#This Row],[列18]],R31,$D$9,R31)</f>
        <v>96.057692307692307</v>
      </c>
      <c r="AD31" s="5"/>
    </row>
    <row r="32" spans="3:30" s="1" customFormat="1" x14ac:dyDescent="0.2">
      <c r="C32" s="21"/>
      <c r="D32" s="21"/>
      <c r="E32" s="21"/>
      <c r="F32" s="21"/>
      <c r="G32" s="21"/>
      <c r="H32" s="21"/>
      <c r="I32" s="21"/>
      <c r="L32" s="5"/>
      <c r="M32" s="53" t="s">
        <v>40</v>
      </c>
      <c r="N32" s="14" t="str">
        <f>[1]!f_info_exchangeshortname(M32)</f>
        <v>影视ETF</v>
      </c>
      <c r="O32" s="14" t="str">
        <f>[1]!f_info_mgrcomp(M32)</f>
        <v>银华基金管理股份有限公司</v>
      </c>
      <c r="P32" s="49" t="str">
        <f>[1]!f_info_setupdate(M32)</f>
        <v>2021-02-09</v>
      </c>
      <c r="Q32" s="54">
        <f ca="1">[1]!f_etf_netasset(M32,表1[[#This Row],[列10]])</f>
        <v>74989494.507599995</v>
      </c>
      <c r="R32" s="52" t="str">
        <f ca="1">[1]!lastradeday_s(M32,$D$7)</f>
        <v>2024-07-16</v>
      </c>
      <c r="S32" s="16">
        <f ca="1">[1]!s_dq_close(M32,R32,3)</f>
        <v>0.64400000000000002</v>
      </c>
      <c r="T32" s="17">
        <f ca="1">[1]!s_dq_pctchange(M32,R32)</f>
        <v>0.15552099533437028</v>
      </c>
      <c r="U32" s="55" t="str">
        <f>[1]!f_info_trackindexcode(M32)</f>
        <v>930781.CSI</v>
      </c>
      <c r="V32" s="59">
        <f ca="1">[1]!s_val_mv_ard(表1[[#This Row],[列18]],R32)</f>
        <v>321758355721</v>
      </c>
      <c r="W32" s="28">
        <f ca="1">[1]!s_fa_eps_ttm2(表1[[#This Row],[列18]],表1[[#This Row],[列10]])</f>
        <v>6.2322384154760165E-2</v>
      </c>
      <c r="X32" s="27">
        <f ca="1">[1]!s_val_pe_ttm(表1[[#This Row],[列18]],R32)</f>
        <v>61.636798858642578</v>
      </c>
      <c r="Y32" s="27">
        <f ca="1">[1]!i_val_pe_percentile(表1[[#This Row],[列18]],R32,$D$9,R32)</f>
        <v>0.81743869209809261</v>
      </c>
      <c r="Z32" s="29">
        <f ca="1">[1]!i_val_pb_mrqwgt(表1[[#This Row],[列18]],R32)</f>
        <v>2.5339999999999998</v>
      </c>
      <c r="AA32" s="27">
        <f ca="1">[1]!i_val_pb_percentile(表1[[#This Row],[列18]],R32,$D$9,R32)</f>
        <v>0.6211180124223602</v>
      </c>
      <c r="AB32" s="29">
        <f ca="1">[1]!s_val_dividendyield2(表1[[#This Row],[列18]],R32)</f>
        <v>1.069</v>
      </c>
      <c r="AC32" s="27">
        <f ca="1">[1]!i_val_dividend_percentile(表1[[#This Row],[列18]],R32,$D$9,R32)</f>
        <v>60.662525879917183</v>
      </c>
      <c r="AD32" s="5"/>
    </row>
    <row r="33" spans="3:30" s="1" customFormat="1" x14ac:dyDescent="0.2">
      <c r="C33" s="21"/>
      <c r="D33" s="21"/>
      <c r="E33" s="21"/>
      <c r="F33" s="21"/>
      <c r="G33" s="21"/>
      <c r="H33" s="21"/>
      <c r="I33" s="21"/>
      <c r="L33" s="5"/>
      <c r="M33" s="53" t="s">
        <v>52</v>
      </c>
      <c r="N33" s="14" t="str">
        <f>[1]!f_info_exchangeshortname(M33)</f>
        <v>军工ETF</v>
      </c>
      <c r="O33" s="14" t="str">
        <f>[1]!f_info_mgrcomp(M33)</f>
        <v>国泰基金管理有限公司</v>
      </c>
      <c r="P33" s="49" t="str">
        <f>[1]!f_info_setupdate(M33)</f>
        <v>2016-07-26</v>
      </c>
      <c r="Q33" s="54">
        <f ca="1">[1]!f_etf_netasset(M33,表1[[#This Row],[列10]])</f>
        <v>7692303296</v>
      </c>
      <c r="R33" s="52" t="str">
        <f ca="1">[1]!lastradeday_s(M33,$D$7)</f>
        <v>2024-07-16</v>
      </c>
      <c r="S33" s="16">
        <f ca="1">[1]!s_dq_close(M33,R33,3)</f>
        <v>0.86399999999999999</v>
      </c>
      <c r="T33" s="17">
        <f ca="1">[1]!s_dq_pctchange(M33,R33)</f>
        <v>0.5820721769499424</v>
      </c>
      <c r="U33" s="55" t="str">
        <f>[1]!f_info_trackindexcode(M33)</f>
        <v>399967.SZ</v>
      </c>
      <c r="V33" s="59">
        <f ca="1">[1]!s_val_mv_ard(表1[[#This Row],[列18]],R33)</f>
        <v>1838456928534</v>
      </c>
      <c r="W33" s="28">
        <f ca="1">[1]!s_fa_eps_ttm2(表1[[#This Row],[列18]],表1[[#This Row],[列10]])</f>
        <v>0.29534759560896906</v>
      </c>
      <c r="X33" s="27">
        <f ca="1">[1]!s_val_pe_ttm(表1[[#This Row],[列18]],R33)</f>
        <v>51.035800933837891</v>
      </c>
      <c r="Y33" s="27">
        <f ca="1">[1]!i_val_pe_percentile(表1[[#This Row],[列18]],R33,$D$9,R33)</f>
        <v>14.492753623188406</v>
      </c>
      <c r="Z33" s="29">
        <f ca="1">[1]!i_val_pb_mrqwgt(表1[[#This Row],[列18]],R33)</f>
        <v>3.2212999999999998</v>
      </c>
      <c r="AA33" s="27">
        <f ca="1">[1]!i_val_pb_percentile(表1[[#This Row],[列18]],R33,$D$9,R33)</f>
        <v>9.1097308488612825</v>
      </c>
      <c r="AB33" s="29">
        <f ca="1">[1]!s_val_dividendyield2(表1[[#This Row],[列18]],R33)</f>
        <v>0.64100000000000001</v>
      </c>
      <c r="AC33" s="27">
        <f ca="1">[1]!i_val_dividend_percentile(表1[[#This Row],[列18]],R33,$D$9,R33)</f>
        <v>97.929606625258799</v>
      </c>
      <c r="AD33" s="5"/>
    </row>
    <row r="34" spans="3:30" s="1" customFormat="1" x14ac:dyDescent="0.2">
      <c r="C34" s="21"/>
      <c r="D34" s="21"/>
      <c r="E34" s="21"/>
      <c r="F34" s="21"/>
      <c r="G34" s="21"/>
      <c r="H34" s="21"/>
      <c r="I34" s="21"/>
      <c r="L34" s="5"/>
      <c r="M34" s="53" t="s">
        <v>62</v>
      </c>
      <c r="N34" s="14" t="str">
        <f>[1]!f_info_exchangeshortname(M34)</f>
        <v>大数据</v>
      </c>
      <c r="O34" s="14" t="str">
        <f>[1]!f_info_mgrcomp(M34)</f>
        <v>富国基金管理有限公司</v>
      </c>
      <c r="P34" s="49" t="str">
        <f>[1]!f_info_setupdate(M34)</f>
        <v>2021-01-07</v>
      </c>
      <c r="Q34" s="54">
        <f ca="1">[1]!f_etf_netasset(M34,表1[[#This Row],[列10]])</f>
        <v>991588607.22000003</v>
      </c>
      <c r="R34" s="52" t="str">
        <f ca="1">[1]!lastradeday_s(M34,$D$7)</f>
        <v>2024-07-16</v>
      </c>
      <c r="S34" s="16">
        <f ca="1">[1]!s_dq_close(M34,R34,3)</f>
        <v>0.59299999999999997</v>
      </c>
      <c r="T34" s="17">
        <f ca="1">[1]!s_dq_pctchange(M34,R34)</f>
        <v>2.595155709342563</v>
      </c>
      <c r="U34" s="55" t="str">
        <f>[1]!f_info_trackindexcode(M34)</f>
        <v>930902.CSI</v>
      </c>
      <c r="V34" s="59">
        <f ca="1">[1]!s_val_mv_ard(表1[[#This Row],[列18]],R34)</f>
        <v>935513995291</v>
      </c>
      <c r="W34" s="28">
        <f ca="1">[1]!s_fa_eps_ttm2(表1[[#This Row],[列18]],表1[[#This Row],[列10]])</f>
        <v>0.16848376724712072</v>
      </c>
      <c r="X34" s="27">
        <f ca="1">[1]!s_val_pe_ttm(表1[[#This Row],[列18]],R34)</f>
        <v>81.752899169921875</v>
      </c>
      <c r="Y34" s="27">
        <f ca="1">[1]!i_val_pe_percentile(表1[[#This Row],[列18]],R34,$D$9,R34)</f>
        <v>39.337474120082817</v>
      </c>
      <c r="Z34" s="29">
        <f ca="1">[1]!i_val_pb_mrqwgt(表1[[#This Row],[列18]],R34)</f>
        <v>3.5097</v>
      </c>
      <c r="AA34" s="27">
        <f ca="1">[1]!i_val_pb_percentile(表1[[#This Row],[列18]],R34,$D$9,R34)</f>
        <v>0.6211180124223602</v>
      </c>
      <c r="AB34" s="29">
        <f ca="1">[1]!s_val_dividendyield2(表1[[#This Row],[列18]],R34)</f>
        <v>0.80279999999999996</v>
      </c>
      <c r="AC34" s="27">
        <f ca="1">[1]!i_val_dividend_percentile(表1[[#This Row],[列18]],R34,$D$9,R34)</f>
        <v>100</v>
      </c>
      <c r="AD34" s="5"/>
    </row>
    <row r="35" spans="3:30" s="1" customFormat="1" x14ac:dyDescent="0.2">
      <c r="C35" s="21"/>
      <c r="D35" s="21"/>
      <c r="E35" s="21"/>
      <c r="F35" s="21"/>
      <c r="G35" s="21"/>
      <c r="H35" s="21"/>
      <c r="I35" s="21"/>
      <c r="L35" s="5"/>
      <c r="M35" s="53" t="s">
        <v>51</v>
      </c>
      <c r="N35" s="14" t="str">
        <f>[1]!f_info_exchangeshortname(M35)</f>
        <v>半导体</v>
      </c>
      <c r="O35" s="14" t="str">
        <f>[1]!f_info_mgrcomp(M35)</f>
        <v>国联安基金管理有限公司</v>
      </c>
      <c r="P35" s="49" t="str">
        <f>[1]!f_info_setupdate(M35)</f>
        <v>2019-05-08</v>
      </c>
      <c r="Q35" s="54">
        <f ca="1">[1]!f_etf_netasset(M35,表1[[#This Row],[列10]])</f>
        <v>21785195336.279999</v>
      </c>
      <c r="R35" s="52" t="str">
        <f ca="1">[1]!lastradeday_s(M35,$D$7)</f>
        <v>2024-07-16</v>
      </c>
      <c r="S35" s="16">
        <f ca="1">[1]!s_dq_close(M35,R35,3)</f>
        <v>0.753</v>
      </c>
      <c r="T35" s="17">
        <f ca="1">[1]!s_dq_pctchange(M35,R35)</f>
        <v>2.868852459016396</v>
      </c>
      <c r="U35" s="55" t="str">
        <f>[1]!f_info_trackindexcode(M35)</f>
        <v>h30184.CSI</v>
      </c>
      <c r="V35" s="59">
        <f ca="1">[1]!s_val_mv_ard(表1[[#This Row],[列18]],R35)</f>
        <v>2780653751373</v>
      </c>
      <c r="W35" s="28">
        <f ca="1">[1]!s_fa_eps_ttm2(表1[[#This Row],[列18]],表1[[#This Row],[列10]])</f>
        <v>0.3971731713874217</v>
      </c>
      <c r="X35" s="27">
        <f ca="1">[1]!s_val_pe_ttm(表1[[#This Row],[列18]],R35)</f>
        <v>90.323402404785156</v>
      </c>
      <c r="Y35" s="27">
        <f ca="1">[1]!i_val_pe_percentile(表1[[#This Row],[列18]],R35,$D$9,R35)</f>
        <v>84.265010351966879</v>
      </c>
      <c r="Z35" s="29">
        <f ca="1">[1]!i_val_pb_mrqwgt(表1[[#This Row],[列18]],R35)</f>
        <v>5.5087999999999999</v>
      </c>
      <c r="AA35" s="27">
        <f ca="1">[1]!i_val_pb_percentile(表1[[#This Row],[列18]],R35,$D$9,R35)</f>
        <v>18.219461697722565</v>
      </c>
      <c r="AB35" s="29">
        <f ca="1">[1]!s_val_dividendyield2(表1[[#This Row],[列18]],R35)</f>
        <v>0.31109999999999999</v>
      </c>
      <c r="AC35" s="27">
        <f ca="1">[1]!i_val_dividend_percentile(表1[[#This Row],[列18]],R35,$D$9,R35)</f>
        <v>58.799171842650097</v>
      </c>
      <c r="AD35" s="5"/>
    </row>
    <row r="36" spans="3:30" s="1" customFormat="1" x14ac:dyDescent="0.2">
      <c r="C36" s="21"/>
      <c r="D36" s="21"/>
      <c r="E36" s="21"/>
      <c r="F36" s="21"/>
      <c r="G36" s="21"/>
      <c r="H36" s="21"/>
      <c r="I36" s="21"/>
      <c r="L36" s="5"/>
      <c r="M36" s="53" t="s">
        <v>39</v>
      </c>
      <c r="N36" s="14" t="str">
        <f>[1]!f_info_exchangeshortname(M36)</f>
        <v>旅游ETF</v>
      </c>
      <c r="O36" s="14" t="str">
        <f>[1]!f_info_mgrcomp(M36)</f>
        <v>富国基金管理有限公司</v>
      </c>
      <c r="P36" s="49" t="str">
        <f>[1]!f_info_setupdate(M36)</f>
        <v>2021-07-15</v>
      </c>
      <c r="Q36" s="54">
        <f ca="1">[1]!f_etf_netasset(M36,表1[[#This Row],[列10]])</f>
        <v>2878710894.7568998</v>
      </c>
      <c r="R36" s="52" t="str">
        <f ca="1">[1]!lastradeday_s(M36,$D$7)</f>
        <v>2024-07-16</v>
      </c>
      <c r="S36" s="16">
        <f ca="1">[1]!s_dq_close(M36,R36,3)</f>
        <v>0.63800000000000001</v>
      </c>
      <c r="T36" s="17">
        <f ca="1">[1]!s_dq_pctchange(M36,R36)</f>
        <v>0.1569858712715857</v>
      </c>
      <c r="U36" s="55" t="str">
        <f>[1]!f_info_trackindexcode(M36)</f>
        <v>930633.CSI</v>
      </c>
      <c r="V36" s="59">
        <f ca="1">[1]!s_val_mv_ard(表1[[#This Row],[列18]],R36)</f>
        <v>866215369163</v>
      </c>
      <c r="W36" s="28">
        <f ca="1">[1]!s_fa_eps_ttm2(表1[[#This Row],[列18]],表1[[#This Row],[列10]])</f>
        <v>3.5043311068560866E-2</v>
      </c>
      <c r="X36" s="27">
        <f ca="1">[1]!s_val_pe_ttm(表1[[#This Row],[列18]],R36)</f>
        <v>267.14968872070313</v>
      </c>
      <c r="Y36" s="27">
        <f ca="1">[1]!i_val_pe_percentile(表1[[#This Row],[列18]],R36,$D$9,R36)</f>
        <v>100</v>
      </c>
      <c r="Z36" s="29">
        <f ca="1">[1]!i_val_pb_mrqwgt(表1[[#This Row],[列18]],R36)</f>
        <v>2.7845</v>
      </c>
      <c r="AA36" s="27">
        <f ca="1">[1]!i_val_pb_percentile(表1[[#This Row],[列18]],R36,$D$9,R36)</f>
        <v>3.1055900621118013</v>
      </c>
      <c r="AB36" s="29">
        <f ca="1">[1]!s_val_dividendyield2(表1[[#This Row],[列18]],R36)</f>
        <v>0.89900000000000002</v>
      </c>
      <c r="AC36" s="27">
        <f ca="1">[1]!i_val_dividend_percentile(表1[[#This Row],[列18]],R36,$D$9,R36)</f>
        <v>99.792960662525871</v>
      </c>
      <c r="AD36" s="5"/>
    </row>
    <row r="37" spans="3:30" s="1" customFormat="1" x14ac:dyDescent="0.2">
      <c r="C37" s="21"/>
      <c r="D37" s="21"/>
      <c r="E37" s="21"/>
      <c r="F37" s="21"/>
      <c r="G37" s="21"/>
      <c r="H37" s="21"/>
      <c r="I37" s="21"/>
      <c r="L37" s="5"/>
      <c r="M37" s="53" t="s">
        <v>46</v>
      </c>
      <c r="N37" s="14" t="str">
        <f>[1]!f_info_exchangeshortname(M37)</f>
        <v>十年国债</v>
      </c>
      <c r="O37" s="14" t="str">
        <f>[1]!f_info_mgrcomp(M37)</f>
        <v>国泰基金管理有限公司</v>
      </c>
      <c r="P37" s="49" t="str">
        <f>[1]!f_info_setupdate(M37)</f>
        <v>2017-08-04</v>
      </c>
      <c r="Q37" s="54">
        <f ca="1">[1]!f_etf_netasset(M37,表1[[#This Row],[列10]])</f>
        <v>1402919482.5</v>
      </c>
      <c r="R37" s="52" t="str">
        <f ca="1">[1]!lastradeday_s(M37,$D$7)</f>
        <v>2024-07-16</v>
      </c>
      <c r="S37" s="16">
        <f ca="1">[1]!s_dq_close(M37,R37,3)</f>
        <v>129.113</v>
      </c>
      <c r="T37" s="17">
        <f ca="1">[1]!s_dq_pctchange(M37,R37)</f>
        <v>-2.0907542202250905E-2</v>
      </c>
      <c r="U37" s="55" t="str">
        <f>[1]!f_info_trackindexcode(M37)</f>
        <v>h11077.SH</v>
      </c>
      <c r="V37" s="59" t="str">
        <f ca="1">[1]!s_val_mv_ard(表1[[#This Row],[列18]],R37)</f>
        <v>0</v>
      </c>
      <c r="W37" s="28" t="str">
        <f ca="1">[1]!s_fa_eps_ttm2(表1[[#This Row],[列18]],表1[[#This Row],[列10]])</f>
        <v>0</v>
      </c>
      <c r="X37" s="27" t="str">
        <f ca="1">[1]!s_val_pe_ttm(表1[[#This Row],[列18]],R37)</f>
        <v>0</v>
      </c>
      <c r="Y37" s="27" t="str">
        <f ca="1">[1]!i_val_pe_percentile(表1[[#This Row],[列18]],R37,$D$9,R37)</f>
        <v>0</v>
      </c>
      <c r="Z37" s="29" t="str">
        <f ca="1">[1]!i_val_pb_mrqwgt(表1[[#This Row],[列18]],R37)</f>
        <v>0</v>
      </c>
      <c r="AA37" s="27" t="str">
        <f ca="1">[1]!i_val_pb_percentile(表1[[#This Row],[列18]],R37,$D$9,R37)</f>
        <v>0</v>
      </c>
      <c r="AB37" s="29" t="str">
        <f ca="1">[1]!s_val_dividendyield2(表1[[#This Row],[列18]],R37)</f>
        <v>0</v>
      </c>
      <c r="AC37" s="27" t="str">
        <f ca="1">[1]!i_val_dividend_percentile(表1[[#This Row],[列18]],R37,$D$9,R37)</f>
        <v>0</v>
      </c>
      <c r="AD37" s="5"/>
    </row>
    <row r="38" spans="3:30" s="1" customFormat="1" x14ac:dyDescent="0.2">
      <c r="C38" s="21"/>
      <c r="D38" s="21"/>
      <c r="E38" s="21"/>
      <c r="F38" s="21"/>
      <c r="G38" s="21"/>
      <c r="H38" s="21"/>
      <c r="I38" s="21"/>
      <c r="L38" s="5"/>
      <c r="M38" s="53" t="s">
        <v>83</v>
      </c>
      <c r="N38" s="14" t="str">
        <f>[1]!f_info_exchangeshortname(M38)</f>
        <v>沙特ETF</v>
      </c>
      <c r="O38" s="14" t="str">
        <f>[1]!f_info_mgrcomp(M38)</f>
        <v>南方基金管理股份有限公司</v>
      </c>
      <c r="P38" s="49" t="str">
        <f>[1]!f_info_setupdate(M38)</f>
        <v>2024-07-05</v>
      </c>
      <c r="Q38" s="54">
        <f ca="1">[1]!f_etf_netasset(M38,表1[[#This Row],[列10]])</f>
        <v>621902569.10320008</v>
      </c>
      <c r="R38" s="52" t="str">
        <f ca="1">[1]!lastradeday_s(M38,$D$7)</f>
        <v>2024-07-16</v>
      </c>
      <c r="S38" s="16">
        <f ca="1">[1]!s_dq_close(M38,R38,3)</f>
        <v>1.079</v>
      </c>
      <c r="T38" s="17">
        <f ca="1">[1]!s_dq_pctchange(M38,R38)</f>
        <v>9.9898063200815468</v>
      </c>
      <c r="U38" s="55" t="str">
        <f>[1]!f_info_trackindexcode(M38)</f>
        <v>WISAUNT.FI</v>
      </c>
      <c r="V38" s="59" t="str">
        <f ca="1">[1]!s_val_mv_ard(表1[[#This Row],[列18]],R38)</f>
        <v>0</v>
      </c>
      <c r="W38" s="28" t="str">
        <f ca="1">[1]!s_fa_eps_ttm2(表1[[#This Row],[列18]],表1[[#This Row],[列10]])</f>
        <v>0</v>
      </c>
      <c r="X38" s="27" t="str">
        <f ca="1">[1]!s_val_pe_ttm(表1[[#This Row],[列18]],R38)</f>
        <v>0</v>
      </c>
      <c r="Y38" s="27" t="str">
        <f ca="1">[1]!i_val_pe_percentile(表1[[#This Row],[列18]],R38,$D$9,R38)</f>
        <v>0</v>
      </c>
      <c r="Z38" s="29" t="str">
        <f ca="1">[1]!i_val_pb_mrqwgt(表1[[#This Row],[列18]],R38)</f>
        <v>0</v>
      </c>
      <c r="AA38" s="27" t="str">
        <f ca="1">[1]!i_val_pb_percentile(表1[[#This Row],[列18]],R38,$D$9,R38)</f>
        <v>0</v>
      </c>
      <c r="AB38" s="29" t="str">
        <f ca="1">[1]!s_val_dividendyield2(表1[[#This Row],[列18]],R38)</f>
        <v>0</v>
      </c>
      <c r="AC38" s="27" t="str">
        <f ca="1">[1]!i_val_dividend_percentile(表1[[#This Row],[列18]],R38,$D$9,R38)</f>
        <v>0</v>
      </c>
      <c r="AD38" s="5"/>
    </row>
    <row r="39" spans="3:30" s="1" customFormat="1" x14ac:dyDescent="0.2">
      <c r="C39" s="21"/>
      <c r="D39" s="21"/>
      <c r="E39" s="21"/>
      <c r="F39" s="21"/>
      <c r="G39" s="21"/>
      <c r="H39" s="21"/>
      <c r="I39" s="21"/>
      <c r="L39" s="5"/>
      <c r="M39" s="53" t="s">
        <v>84</v>
      </c>
      <c r="N39" s="14" t="str">
        <f>[1]!f_info_exchangeshortname(M39)</f>
        <v>纳斯达克</v>
      </c>
      <c r="O39" s="14" t="str">
        <f>[1]!f_info_mgrcomp(M39)</f>
        <v>华夏基金管理有限公司</v>
      </c>
      <c r="P39" s="49" t="str">
        <f>[1]!f_info_setupdate(M39)</f>
        <v>2020-10-22</v>
      </c>
      <c r="Q39" s="54">
        <f ca="1">[1]!f_etf_netasset(M39,表1[[#This Row],[列10]])</f>
        <v>4585738955.1999998</v>
      </c>
      <c r="R39" s="52" t="str">
        <f ca="1">[1]!lastradeday_s(M39,$D$7)</f>
        <v>2024-07-16</v>
      </c>
      <c r="S39" s="16">
        <f ca="1">[1]!s_dq_close(M39,R39,3)</f>
        <v>1.9990000000000001</v>
      </c>
      <c r="T39" s="17">
        <f ca="1">[1]!s_dq_pctchange(M39,R39)</f>
        <v>0</v>
      </c>
      <c r="U39" s="55" t="str">
        <f>[1]!f_info_trackindexcode(M39)</f>
        <v>NDX.GI</v>
      </c>
      <c r="V39" s="59">
        <f ca="1">[1]!s_val_mv_ard(表1[[#This Row],[列18]],R39)</f>
        <v>35480719026266</v>
      </c>
      <c r="W39" s="28" t="str">
        <f ca="1">[1]!s_fa_eps_ttm2(表1[[#This Row],[列18]],表1[[#This Row],[列10]])</f>
        <v>0</v>
      </c>
      <c r="X39" s="27">
        <f ca="1">[1]!s_val_pe_ttm(表1[[#This Row],[列18]],R39)</f>
        <v>47.997898101806641</v>
      </c>
      <c r="Y39" s="27">
        <f ca="1">[1]!i_val_pe_percentile(表1[[#This Row],[列18]],R39,$D$9,R39)</f>
        <v>100.1</v>
      </c>
      <c r="Z39" s="29" t="str">
        <f ca="1">[1]!i_val_pb_mrqwgt(表1[[#This Row],[列18]],R39)</f>
        <v>0</v>
      </c>
      <c r="AA39" s="27">
        <f ca="1">[1]!i_val_pb_percentile(表1[[#This Row],[列18]],R39,$D$9,R39)</f>
        <v>100.1</v>
      </c>
      <c r="AB39" s="29">
        <f ca="1">[1]!s_val_dividendyield2(表1[[#This Row],[列18]],R39)</f>
        <v>0.43459999999999999</v>
      </c>
      <c r="AC39" s="27" t="str">
        <f ca="1">[1]!i_val_dividend_percentile(表1[[#This Row],[列18]],R39,$D$9,R39)</f>
        <v>0</v>
      </c>
      <c r="AD39" s="5"/>
    </row>
    <row r="40" spans="3:30" s="1" customFormat="1" x14ac:dyDescent="0.2">
      <c r="C40" s="21"/>
      <c r="D40" s="21"/>
      <c r="E40" s="21"/>
      <c r="F40" s="21"/>
      <c r="G40" s="21"/>
      <c r="H40" s="21"/>
      <c r="I40" s="21"/>
      <c r="L40" s="5"/>
      <c r="M40" s="20"/>
      <c r="N40" s="14"/>
      <c r="O40" s="14"/>
      <c r="P40" s="14"/>
      <c r="Q40" s="14"/>
      <c r="R40" s="52"/>
      <c r="S40" s="19"/>
      <c r="T40" s="18"/>
      <c r="U40" s="56"/>
      <c r="V40" s="13"/>
      <c r="W40" s="28"/>
      <c r="X40" s="27"/>
      <c r="Y40" s="27"/>
      <c r="Z40" s="29"/>
      <c r="AA40" s="27"/>
      <c r="AB40" s="14"/>
      <c r="AC40" s="27"/>
      <c r="AD40" s="5"/>
    </row>
    <row r="41" spans="3:30" s="1" customFormat="1" x14ac:dyDescent="0.2">
      <c r="C41" s="21"/>
      <c r="D41" s="21"/>
      <c r="E41" s="21"/>
      <c r="F41" s="21"/>
      <c r="G41" s="21"/>
      <c r="H41" s="21"/>
      <c r="I41" s="21"/>
      <c r="L41" s="5"/>
      <c r="M41" s="20"/>
      <c r="N41" s="14"/>
      <c r="O41" s="14"/>
      <c r="P41" s="14"/>
      <c r="Q41" s="14"/>
      <c r="R41" s="52"/>
      <c r="S41" s="19"/>
      <c r="T41" s="18"/>
      <c r="U41" s="56"/>
      <c r="V41" s="13"/>
      <c r="W41" s="28"/>
      <c r="X41" s="27"/>
      <c r="Y41" s="27"/>
      <c r="Z41" s="29"/>
      <c r="AA41" s="27"/>
      <c r="AB41" s="14"/>
      <c r="AC41" s="27"/>
      <c r="AD41" s="5"/>
    </row>
    <row r="42" spans="3:30" s="1" customFormat="1" x14ac:dyDescent="0.2">
      <c r="C42" s="21"/>
      <c r="D42" s="21"/>
      <c r="E42" s="21"/>
      <c r="F42" s="21"/>
      <c r="G42" s="21"/>
      <c r="H42" s="21"/>
      <c r="I42" s="21"/>
      <c r="L42" s="5"/>
      <c r="M42" s="20"/>
      <c r="N42" s="14"/>
      <c r="O42" s="14"/>
      <c r="P42" s="14"/>
      <c r="Q42" s="14"/>
      <c r="R42" s="52"/>
      <c r="S42" s="19"/>
      <c r="T42" s="18"/>
      <c r="U42" s="56"/>
      <c r="V42" s="13"/>
      <c r="W42" s="28"/>
      <c r="X42" s="27"/>
      <c r="Y42" s="27"/>
      <c r="Z42" s="29"/>
      <c r="AA42" s="27"/>
      <c r="AB42" s="14"/>
      <c r="AC42" s="27"/>
      <c r="AD42" s="5"/>
    </row>
    <row r="43" spans="3:30" s="1" customFormat="1" x14ac:dyDescent="0.2">
      <c r="C43" s="21"/>
      <c r="D43" s="21"/>
      <c r="E43" s="21"/>
      <c r="F43" s="21"/>
      <c r="G43" s="21"/>
      <c r="H43" s="21"/>
      <c r="I43" s="21"/>
      <c r="L43" s="5"/>
      <c r="M43" s="20"/>
      <c r="N43" s="14"/>
      <c r="O43" s="14"/>
      <c r="P43" s="14"/>
      <c r="Q43" s="14"/>
      <c r="R43" s="52"/>
      <c r="S43" s="19"/>
      <c r="T43" s="18"/>
      <c r="U43" s="56"/>
      <c r="V43" s="13"/>
      <c r="W43" s="28"/>
      <c r="X43" s="27"/>
      <c r="Y43" s="27"/>
      <c r="Z43" s="29"/>
      <c r="AA43" s="27"/>
      <c r="AB43" s="14"/>
      <c r="AC43" s="27"/>
      <c r="AD43" s="5"/>
    </row>
    <row r="44" spans="3:30" s="1" customFormat="1" x14ac:dyDescent="0.2">
      <c r="C44" s="21"/>
      <c r="D44" s="21"/>
      <c r="E44" s="21"/>
      <c r="F44" s="21"/>
      <c r="G44" s="21"/>
      <c r="H44" s="21"/>
      <c r="I44" s="21"/>
      <c r="L44" s="5"/>
      <c r="M44" s="20"/>
      <c r="N44" s="14"/>
      <c r="O44" s="14"/>
      <c r="P44" s="14"/>
      <c r="Q44" s="14"/>
      <c r="R44" s="52"/>
      <c r="S44" s="19"/>
      <c r="T44" s="18"/>
      <c r="U44" s="56"/>
      <c r="V44" s="13"/>
      <c r="W44" s="28"/>
      <c r="X44" s="27"/>
      <c r="Y44" s="27"/>
      <c r="Z44" s="29"/>
      <c r="AA44" s="27"/>
      <c r="AB44" s="14"/>
      <c r="AC44" s="27"/>
      <c r="AD44" s="5"/>
    </row>
    <row r="45" spans="3:30" s="1" customFormat="1" x14ac:dyDescent="0.2">
      <c r="C45" s="21"/>
      <c r="D45" s="21"/>
      <c r="E45" s="21"/>
      <c r="F45" s="21"/>
      <c r="G45" s="21"/>
      <c r="H45" s="21"/>
      <c r="I45" s="21"/>
      <c r="L45" s="5"/>
      <c r="M45" s="20"/>
      <c r="N45" s="14"/>
      <c r="O45" s="14"/>
      <c r="P45" s="14"/>
      <c r="Q45" s="14"/>
      <c r="R45" s="52"/>
      <c r="S45" s="19"/>
      <c r="T45" s="18"/>
      <c r="U45" s="56"/>
      <c r="V45" s="13"/>
      <c r="W45" s="28"/>
      <c r="X45" s="27"/>
      <c r="Y45" s="27"/>
      <c r="Z45" s="29"/>
      <c r="AA45" s="27"/>
      <c r="AB45" s="14"/>
      <c r="AC45" s="27"/>
      <c r="AD45" s="5"/>
    </row>
    <row r="46" spans="3:30" s="1" customFormat="1" x14ac:dyDescent="0.2">
      <c r="C46" s="21"/>
      <c r="D46" s="21"/>
      <c r="E46" s="21"/>
      <c r="F46" s="21"/>
      <c r="G46" s="21"/>
      <c r="H46" s="21"/>
      <c r="I46" s="21"/>
      <c r="L46" s="5"/>
      <c r="M46" s="20"/>
      <c r="N46" s="14"/>
      <c r="O46" s="14"/>
      <c r="P46" s="14"/>
      <c r="Q46" s="14"/>
      <c r="R46" s="52"/>
      <c r="S46" s="19"/>
      <c r="T46" s="18"/>
      <c r="U46" s="56"/>
      <c r="V46" s="13"/>
      <c r="W46" s="28"/>
      <c r="X46" s="27"/>
      <c r="Y46" s="27"/>
      <c r="Z46" s="29"/>
      <c r="AA46" s="27"/>
      <c r="AB46" s="14"/>
      <c r="AC46" s="27"/>
      <c r="AD46" s="5"/>
    </row>
    <row r="47" spans="3:30" s="1" customFormat="1" x14ac:dyDescent="0.2">
      <c r="C47" s="21"/>
      <c r="D47" s="21"/>
      <c r="E47" s="21"/>
      <c r="F47" s="21"/>
      <c r="G47" s="21"/>
      <c r="H47" s="21"/>
      <c r="I47" s="21"/>
      <c r="L47" s="5"/>
      <c r="M47" s="20"/>
      <c r="N47" s="14"/>
      <c r="O47" s="14"/>
      <c r="P47" s="14"/>
      <c r="Q47" s="14"/>
      <c r="R47" s="52"/>
      <c r="S47" s="19"/>
      <c r="T47" s="18"/>
      <c r="U47" s="56"/>
      <c r="V47" s="13"/>
      <c r="W47" s="28"/>
      <c r="X47" s="27"/>
      <c r="Y47" s="27"/>
      <c r="Z47" s="29"/>
      <c r="AA47" s="27"/>
      <c r="AB47" s="14"/>
      <c r="AC47" s="27"/>
      <c r="AD47" s="5"/>
    </row>
    <row r="48" spans="3:30" s="1" customFormat="1" x14ac:dyDescent="0.2">
      <c r="C48" s="21"/>
      <c r="D48" s="21"/>
      <c r="E48" s="21"/>
      <c r="F48" s="21"/>
      <c r="G48" s="21"/>
      <c r="H48" s="21"/>
      <c r="I48" s="21"/>
      <c r="L48" s="5"/>
      <c r="M48" s="20"/>
      <c r="N48" s="14"/>
      <c r="O48" s="14"/>
      <c r="P48" s="14"/>
      <c r="Q48" s="14"/>
      <c r="R48" s="52"/>
      <c r="S48" s="19"/>
      <c r="T48" s="18"/>
      <c r="U48" s="56"/>
      <c r="V48" s="13"/>
      <c r="W48" s="28"/>
      <c r="X48" s="27"/>
      <c r="Y48" s="27"/>
      <c r="Z48" s="29"/>
      <c r="AA48" s="27"/>
      <c r="AB48" s="14"/>
      <c r="AC48" s="27"/>
      <c r="AD48" s="5"/>
    </row>
    <row r="49" spans="3:30" s="1" customFormat="1" x14ac:dyDescent="0.2">
      <c r="C49" s="21"/>
      <c r="D49" s="21"/>
      <c r="E49" s="21"/>
      <c r="F49" s="21"/>
      <c r="G49" s="21"/>
      <c r="H49" s="21"/>
      <c r="I49" s="21"/>
      <c r="L49" s="5"/>
      <c r="M49" s="20"/>
      <c r="N49" s="14"/>
      <c r="O49" s="14"/>
      <c r="P49" s="14"/>
      <c r="Q49" s="14"/>
      <c r="R49" s="52"/>
      <c r="S49" s="19"/>
      <c r="T49" s="18"/>
      <c r="U49" s="56"/>
      <c r="V49" s="13"/>
      <c r="W49" s="28"/>
      <c r="X49" s="27"/>
      <c r="Y49" s="27"/>
      <c r="Z49" s="29"/>
      <c r="AA49" s="27"/>
      <c r="AB49" s="14"/>
      <c r="AC49" s="27"/>
      <c r="AD49" s="5"/>
    </row>
    <row r="50" spans="3:30" s="1" customFormat="1" x14ac:dyDescent="0.2">
      <c r="C50" s="21"/>
      <c r="D50" s="21"/>
      <c r="E50" s="21"/>
      <c r="F50" s="21"/>
      <c r="G50" s="21"/>
      <c r="H50" s="21"/>
      <c r="I50" s="21"/>
      <c r="L50" s="5"/>
      <c r="M50" s="20"/>
      <c r="N50" s="14"/>
      <c r="O50" s="14"/>
      <c r="P50" s="14"/>
      <c r="Q50" s="14"/>
      <c r="R50" s="52"/>
      <c r="S50" s="19"/>
      <c r="T50" s="18"/>
      <c r="U50" s="56"/>
      <c r="V50" s="13"/>
      <c r="W50" s="28"/>
      <c r="X50" s="27"/>
      <c r="Y50" s="27"/>
      <c r="Z50" s="29"/>
      <c r="AA50" s="27"/>
      <c r="AB50" s="14"/>
      <c r="AC50" s="27"/>
      <c r="AD50" s="5"/>
    </row>
    <row r="51" spans="3:30" s="1" customFormat="1" x14ac:dyDescent="0.2">
      <c r="C51" s="21"/>
      <c r="D51" s="21"/>
      <c r="E51" s="21"/>
      <c r="F51" s="21"/>
      <c r="G51" s="21"/>
      <c r="H51" s="21"/>
      <c r="I51" s="21"/>
      <c r="L51" s="5"/>
      <c r="M51" s="20"/>
      <c r="N51" s="14"/>
      <c r="O51" s="14"/>
      <c r="P51" s="14"/>
      <c r="Q51" s="14"/>
      <c r="R51" s="52"/>
      <c r="S51" s="19"/>
      <c r="T51" s="18"/>
      <c r="U51" s="56"/>
      <c r="V51" s="13"/>
      <c r="W51" s="28"/>
      <c r="X51" s="27"/>
      <c r="Y51" s="27"/>
      <c r="Z51" s="29"/>
      <c r="AA51" s="27"/>
      <c r="AB51" s="14"/>
      <c r="AC51" s="27"/>
      <c r="AD51" s="5"/>
    </row>
    <row r="52" spans="3:30" s="1" customFormat="1" x14ac:dyDescent="0.2">
      <c r="C52" s="21"/>
      <c r="D52" s="21"/>
      <c r="E52" s="21"/>
      <c r="F52" s="21"/>
      <c r="G52" s="21"/>
      <c r="H52" s="21"/>
      <c r="I52" s="21"/>
      <c r="L52" s="5"/>
      <c r="M52" s="20"/>
      <c r="N52" s="14"/>
      <c r="O52" s="14"/>
      <c r="P52" s="14"/>
      <c r="Q52" s="14"/>
      <c r="R52" s="52"/>
      <c r="S52" s="19"/>
      <c r="T52" s="18"/>
      <c r="U52" s="56"/>
      <c r="V52" s="13"/>
      <c r="W52" s="28"/>
      <c r="X52" s="27"/>
      <c r="Y52" s="27"/>
      <c r="Z52" s="29"/>
      <c r="AA52" s="27"/>
      <c r="AB52" s="14"/>
      <c r="AC52" s="27"/>
      <c r="AD52" s="5"/>
    </row>
    <row r="53" spans="3:30" s="1" customFormat="1" x14ac:dyDescent="0.2">
      <c r="C53" s="21"/>
      <c r="D53" s="21"/>
      <c r="E53" s="21"/>
      <c r="F53" s="21"/>
      <c r="G53" s="21"/>
      <c r="H53" s="21"/>
      <c r="I53" s="21"/>
      <c r="L53" s="5"/>
      <c r="M53" s="20"/>
      <c r="N53" s="14"/>
      <c r="O53" s="14"/>
      <c r="P53" s="14"/>
      <c r="Q53" s="14"/>
      <c r="R53" s="52"/>
      <c r="S53" s="19"/>
      <c r="T53" s="18"/>
      <c r="U53" s="56"/>
      <c r="V53" s="13"/>
      <c r="W53" s="28"/>
      <c r="X53" s="27"/>
      <c r="Y53" s="27"/>
      <c r="Z53" s="29"/>
      <c r="AA53" s="27"/>
      <c r="AB53" s="14"/>
      <c r="AC53" s="27"/>
      <c r="AD53" s="5"/>
    </row>
    <row r="54" spans="3:30" s="1" customFormat="1" x14ac:dyDescent="0.2">
      <c r="C54" s="21"/>
      <c r="D54" s="21"/>
      <c r="E54" s="21"/>
      <c r="F54" s="21"/>
      <c r="G54" s="21"/>
      <c r="H54" s="21"/>
      <c r="I54" s="21"/>
      <c r="L54" s="5"/>
      <c r="M54" s="20"/>
      <c r="N54" s="14"/>
      <c r="O54" s="14"/>
      <c r="P54" s="14"/>
      <c r="Q54" s="14"/>
      <c r="R54" s="52"/>
      <c r="S54" s="19"/>
      <c r="T54" s="18"/>
      <c r="U54" s="56"/>
      <c r="V54" s="13"/>
      <c r="W54" s="28"/>
      <c r="X54" s="27"/>
      <c r="Y54" s="27"/>
      <c r="Z54" s="29"/>
      <c r="AA54" s="27"/>
      <c r="AB54" s="14"/>
      <c r="AC54" s="27"/>
      <c r="AD54" s="5"/>
    </row>
    <row r="55" spans="3:30" s="1" customFormat="1" x14ac:dyDescent="0.2">
      <c r="C55" s="21"/>
      <c r="D55" s="21"/>
      <c r="E55" s="21"/>
      <c r="F55" s="21"/>
      <c r="G55" s="21"/>
      <c r="H55" s="21"/>
      <c r="I55" s="21"/>
      <c r="L55" s="5"/>
      <c r="M55" s="20"/>
      <c r="N55" s="14"/>
      <c r="O55" s="14"/>
      <c r="P55" s="14"/>
      <c r="Q55" s="14"/>
      <c r="R55" s="52"/>
      <c r="S55" s="19"/>
      <c r="T55" s="18"/>
      <c r="U55" s="56"/>
      <c r="V55" s="13"/>
      <c r="W55" s="28"/>
      <c r="X55" s="27"/>
      <c r="Y55" s="27"/>
      <c r="Z55" s="29"/>
      <c r="AA55" s="27"/>
      <c r="AB55" s="14"/>
      <c r="AC55" s="27"/>
      <c r="AD55" s="5"/>
    </row>
    <row r="56" spans="3:30" s="1" customFormat="1" x14ac:dyDescent="0.2">
      <c r="C56" s="21"/>
      <c r="D56" s="21"/>
      <c r="E56" s="21"/>
      <c r="F56" s="21"/>
      <c r="G56" s="21"/>
      <c r="H56" s="21"/>
      <c r="I56" s="21"/>
      <c r="L56" s="5"/>
      <c r="M56" s="20"/>
      <c r="N56" s="14"/>
      <c r="O56" s="14"/>
      <c r="P56" s="14"/>
      <c r="Q56" s="14"/>
      <c r="R56" s="52"/>
      <c r="S56" s="19"/>
      <c r="T56" s="18"/>
      <c r="U56" s="56"/>
      <c r="V56" s="13"/>
      <c r="W56" s="28"/>
      <c r="X56" s="27"/>
      <c r="Y56" s="27"/>
      <c r="Z56" s="29"/>
      <c r="AA56" s="27"/>
      <c r="AB56" s="14"/>
      <c r="AC56" s="27"/>
      <c r="AD56" s="5"/>
    </row>
    <row r="57" spans="3:30" s="1" customFormat="1" x14ac:dyDescent="0.2">
      <c r="C57" s="21"/>
      <c r="D57" s="21"/>
      <c r="E57" s="21"/>
      <c r="F57" s="21"/>
      <c r="G57" s="21"/>
      <c r="H57" s="21"/>
      <c r="I57" s="21"/>
      <c r="L57" s="5"/>
      <c r="M57" s="20"/>
      <c r="N57" s="14"/>
      <c r="O57" s="14"/>
      <c r="P57" s="14"/>
      <c r="Q57" s="14"/>
      <c r="R57" s="52"/>
      <c r="S57" s="19"/>
      <c r="T57" s="18"/>
      <c r="U57" s="56"/>
      <c r="V57" s="13"/>
      <c r="W57" s="28"/>
      <c r="X57" s="27"/>
      <c r="Y57" s="27"/>
      <c r="Z57" s="29"/>
      <c r="AA57" s="27"/>
      <c r="AB57" s="14"/>
      <c r="AC57" s="27"/>
      <c r="AD57" s="5"/>
    </row>
    <row r="58" spans="3:30" s="1" customFormat="1" x14ac:dyDescent="0.2">
      <c r="C58" s="21"/>
      <c r="D58" s="21"/>
      <c r="E58" s="21"/>
      <c r="F58" s="21"/>
      <c r="G58" s="21"/>
      <c r="H58" s="21"/>
      <c r="I58" s="21"/>
      <c r="L58" s="5"/>
      <c r="M58" s="20"/>
      <c r="N58" s="14"/>
      <c r="O58" s="14"/>
      <c r="P58" s="14"/>
      <c r="Q58" s="14"/>
      <c r="R58" s="52"/>
      <c r="S58" s="19"/>
      <c r="T58" s="18"/>
      <c r="U58" s="56"/>
      <c r="V58" s="13"/>
      <c r="W58" s="28"/>
      <c r="X58" s="27"/>
      <c r="Y58" s="27"/>
      <c r="Z58" s="29"/>
      <c r="AA58" s="27"/>
      <c r="AB58" s="14"/>
      <c r="AC58" s="27"/>
      <c r="AD58" s="5"/>
    </row>
    <row r="59" spans="3:30" s="1" customFormat="1" x14ac:dyDescent="0.2">
      <c r="C59" s="21"/>
      <c r="D59" s="21"/>
      <c r="E59" s="21"/>
      <c r="F59" s="21"/>
      <c r="G59" s="21"/>
      <c r="H59" s="21"/>
      <c r="I59" s="21"/>
      <c r="L59" s="5"/>
      <c r="M59" s="20"/>
      <c r="N59" s="14"/>
      <c r="O59" s="14"/>
      <c r="P59" s="14"/>
      <c r="Q59" s="14"/>
      <c r="R59" s="52"/>
      <c r="S59" s="19"/>
      <c r="T59" s="18"/>
      <c r="U59" s="56"/>
      <c r="V59" s="13"/>
      <c r="W59" s="28"/>
      <c r="X59" s="27"/>
      <c r="Y59" s="27"/>
      <c r="Z59" s="29"/>
      <c r="AA59" s="27"/>
      <c r="AB59" s="14"/>
      <c r="AC59" s="27"/>
      <c r="AD59" s="5"/>
    </row>
    <row r="60" spans="3:30" s="1" customFormat="1" x14ac:dyDescent="0.2">
      <c r="C60" s="21"/>
      <c r="D60" s="21"/>
      <c r="E60" s="21"/>
      <c r="F60" s="21"/>
      <c r="G60" s="21"/>
      <c r="H60" s="21"/>
      <c r="I60" s="21"/>
      <c r="L60" s="5"/>
      <c r="M60" s="20"/>
      <c r="N60" s="14"/>
      <c r="O60" s="14"/>
      <c r="P60" s="14"/>
      <c r="Q60" s="14"/>
      <c r="R60" s="52"/>
      <c r="S60" s="19"/>
      <c r="T60" s="18"/>
      <c r="U60" s="56"/>
      <c r="V60" s="13"/>
      <c r="W60" s="28"/>
      <c r="X60" s="27"/>
      <c r="Y60" s="27"/>
      <c r="Z60" s="29"/>
      <c r="AA60" s="27"/>
      <c r="AB60" s="14"/>
      <c r="AC60" s="27"/>
      <c r="AD60" s="5"/>
    </row>
    <row r="61" spans="3:30" s="1" customFormat="1" x14ac:dyDescent="0.2">
      <c r="C61" s="21"/>
      <c r="D61" s="21"/>
      <c r="E61" s="21"/>
      <c r="F61" s="21"/>
      <c r="G61" s="21"/>
      <c r="H61" s="21"/>
      <c r="I61" s="21"/>
      <c r="L61" s="5"/>
      <c r="M61" s="20"/>
      <c r="N61" s="14"/>
      <c r="O61" s="14"/>
      <c r="P61" s="14"/>
      <c r="Q61" s="14"/>
      <c r="R61" s="52"/>
      <c r="S61" s="19"/>
      <c r="T61" s="18"/>
      <c r="U61" s="56"/>
      <c r="V61" s="13"/>
      <c r="W61" s="28"/>
      <c r="X61" s="27"/>
      <c r="Y61" s="27"/>
      <c r="Z61" s="29"/>
      <c r="AA61" s="27"/>
      <c r="AB61" s="14"/>
      <c r="AC61" s="27"/>
      <c r="AD61" s="5"/>
    </row>
    <row r="62" spans="3:30" s="1" customFormat="1" x14ac:dyDescent="0.2">
      <c r="C62" s="21"/>
      <c r="D62" s="21"/>
      <c r="E62" s="21"/>
      <c r="F62" s="21"/>
      <c r="G62" s="21"/>
      <c r="H62" s="21"/>
      <c r="I62" s="21"/>
      <c r="L62" s="5"/>
      <c r="M62" s="20"/>
      <c r="N62" s="14"/>
      <c r="O62" s="14"/>
      <c r="P62" s="14"/>
      <c r="Q62" s="14"/>
      <c r="R62" s="52"/>
      <c r="S62" s="19"/>
      <c r="T62" s="18"/>
      <c r="U62" s="56"/>
      <c r="V62" s="13"/>
      <c r="W62" s="28"/>
      <c r="X62" s="27"/>
      <c r="Y62" s="27"/>
      <c r="Z62" s="29"/>
      <c r="AA62" s="27"/>
      <c r="AB62" s="14"/>
      <c r="AC62" s="27"/>
      <c r="AD62" s="5"/>
    </row>
    <row r="63" spans="3:30" s="1" customFormat="1" x14ac:dyDescent="0.2">
      <c r="C63" s="21"/>
      <c r="D63" s="21"/>
      <c r="E63" s="21"/>
      <c r="F63" s="21"/>
      <c r="G63" s="21"/>
      <c r="H63" s="21"/>
      <c r="I63" s="21"/>
      <c r="L63" s="5"/>
      <c r="M63" s="20"/>
      <c r="N63" s="14"/>
      <c r="O63" s="14"/>
      <c r="P63" s="14"/>
      <c r="Q63" s="14"/>
      <c r="R63" s="52"/>
      <c r="S63" s="19"/>
      <c r="T63" s="18"/>
      <c r="U63" s="56"/>
      <c r="V63" s="13"/>
      <c r="W63" s="28"/>
      <c r="X63" s="27"/>
      <c r="Y63" s="27"/>
      <c r="Z63" s="29"/>
      <c r="AA63" s="27"/>
      <c r="AB63" s="14"/>
      <c r="AC63" s="27"/>
      <c r="AD63" s="5"/>
    </row>
    <row r="64" spans="3:30" s="1" customFormat="1" x14ac:dyDescent="0.2">
      <c r="C64" s="21"/>
      <c r="D64" s="21"/>
      <c r="E64" s="21"/>
      <c r="F64" s="21"/>
      <c r="G64" s="21"/>
      <c r="H64" s="21"/>
      <c r="I64" s="21"/>
      <c r="L64" s="5"/>
      <c r="M64" s="20"/>
      <c r="N64" s="14"/>
      <c r="O64" s="14"/>
      <c r="P64" s="14"/>
      <c r="Q64" s="14"/>
      <c r="R64" s="52"/>
      <c r="S64" s="19"/>
      <c r="T64" s="18"/>
      <c r="U64" s="56"/>
      <c r="V64" s="13"/>
      <c r="W64" s="28"/>
      <c r="X64" s="27"/>
      <c r="Y64" s="27"/>
      <c r="Z64" s="29"/>
      <c r="AA64" s="27"/>
      <c r="AB64" s="14"/>
      <c r="AC64" s="27"/>
      <c r="AD64" s="5"/>
    </row>
    <row r="65" spans="3:30" s="1" customFormat="1" x14ac:dyDescent="0.2">
      <c r="C65" s="21"/>
      <c r="D65" s="21"/>
      <c r="E65" s="21"/>
      <c r="F65" s="21"/>
      <c r="G65" s="21"/>
      <c r="H65" s="21"/>
      <c r="I65" s="21"/>
      <c r="L65" s="5"/>
      <c r="M65" s="20"/>
      <c r="N65" s="14"/>
      <c r="O65" s="14"/>
      <c r="P65" s="14"/>
      <c r="Q65" s="14"/>
      <c r="R65" s="52"/>
      <c r="S65" s="19"/>
      <c r="T65" s="18"/>
      <c r="U65" s="56"/>
      <c r="V65" s="13"/>
      <c r="W65" s="28"/>
      <c r="X65" s="27"/>
      <c r="Y65" s="27"/>
      <c r="Z65" s="29"/>
      <c r="AA65" s="27"/>
      <c r="AB65" s="14"/>
      <c r="AC65" s="27"/>
      <c r="AD65" s="5"/>
    </row>
    <row r="66" spans="3:30" s="1" customFormat="1" x14ac:dyDescent="0.2">
      <c r="C66" s="21"/>
      <c r="D66" s="21"/>
      <c r="E66" s="21"/>
      <c r="F66" s="21"/>
      <c r="G66" s="21"/>
      <c r="H66" s="21"/>
      <c r="I66" s="21"/>
      <c r="L66" s="5"/>
      <c r="M66" s="20"/>
      <c r="N66" s="14"/>
      <c r="O66" s="14"/>
      <c r="P66" s="14"/>
      <c r="Q66" s="14"/>
      <c r="R66" s="52"/>
      <c r="S66" s="19"/>
      <c r="T66" s="18"/>
      <c r="U66" s="56"/>
      <c r="V66" s="13"/>
      <c r="W66" s="28"/>
      <c r="X66" s="27"/>
      <c r="Y66" s="27"/>
      <c r="Z66" s="29"/>
      <c r="AA66" s="27"/>
      <c r="AB66" s="14"/>
      <c r="AC66" s="27"/>
      <c r="AD66" s="5"/>
    </row>
    <row r="67" spans="3:30" s="1" customFormat="1" x14ac:dyDescent="0.2">
      <c r="C67" s="21"/>
      <c r="D67" s="21"/>
      <c r="E67" s="21"/>
      <c r="F67" s="21"/>
      <c r="G67" s="21"/>
      <c r="H67" s="21"/>
      <c r="I67" s="21"/>
      <c r="L67" s="5"/>
      <c r="M67" s="20"/>
      <c r="N67" s="14"/>
      <c r="O67" s="14"/>
      <c r="P67" s="14"/>
      <c r="Q67" s="14"/>
      <c r="R67" s="52"/>
      <c r="S67" s="19"/>
      <c r="T67" s="18"/>
      <c r="U67" s="56"/>
      <c r="V67" s="13"/>
      <c r="W67" s="28"/>
      <c r="X67" s="27"/>
      <c r="Y67" s="27"/>
      <c r="Z67" s="29"/>
      <c r="AA67" s="27"/>
      <c r="AB67" s="14"/>
      <c r="AC67" s="27"/>
      <c r="AD67" s="5"/>
    </row>
    <row r="68" spans="3:30" s="1" customFormat="1" x14ac:dyDescent="0.2">
      <c r="C68" s="21"/>
      <c r="D68" s="21"/>
      <c r="E68" s="21"/>
      <c r="F68" s="21"/>
      <c r="G68" s="21"/>
      <c r="H68" s="21"/>
      <c r="I68" s="21"/>
      <c r="L68" s="5"/>
      <c r="M68" s="20"/>
      <c r="N68" s="14"/>
      <c r="O68" s="14"/>
      <c r="P68" s="14"/>
      <c r="Q68" s="14"/>
      <c r="R68" s="52"/>
      <c r="S68" s="19"/>
      <c r="T68" s="18"/>
      <c r="U68" s="56"/>
      <c r="V68" s="13"/>
      <c r="W68" s="28"/>
      <c r="X68" s="27"/>
      <c r="Y68" s="27"/>
      <c r="Z68" s="29"/>
      <c r="AA68" s="27"/>
      <c r="AB68" s="14"/>
      <c r="AC68" s="27"/>
      <c r="AD68" s="5"/>
    </row>
    <row r="69" spans="3:30" s="1" customFormat="1" x14ac:dyDescent="0.2">
      <c r="C69" s="21"/>
      <c r="D69" s="21"/>
      <c r="E69" s="21"/>
      <c r="F69" s="21"/>
      <c r="G69" s="21"/>
      <c r="H69" s="21"/>
      <c r="I69" s="21"/>
      <c r="L69" s="5"/>
      <c r="M69" s="20"/>
      <c r="N69" s="14"/>
      <c r="O69" s="14"/>
      <c r="P69" s="14"/>
      <c r="Q69" s="14"/>
      <c r="R69" s="52"/>
      <c r="S69" s="19"/>
      <c r="T69" s="18"/>
      <c r="U69" s="56"/>
      <c r="V69" s="13"/>
      <c r="W69" s="28"/>
      <c r="X69" s="27"/>
      <c r="Y69" s="27"/>
      <c r="Z69" s="29"/>
      <c r="AA69" s="27"/>
      <c r="AB69" s="14"/>
      <c r="AC69" s="27"/>
      <c r="AD69" s="5"/>
    </row>
    <row r="70" spans="3:30" s="1" customFormat="1" x14ac:dyDescent="0.2">
      <c r="C70" s="21"/>
      <c r="D70" s="21"/>
      <c r="E70" s="21"/>
      <c r="F70" s="21"/>
      <c r="G70" s="21"/>
      <c r="H70" s="21"/>
      <c r="I70" s="21"/>
      <c r="L70" s="5"/>
      <c r="M70" s="20"/>
      <c r="N70" s="14"/>
      <c r="O70" s="14"/>
      <c r="P70" s="14"/>
      <c r="Q70" s="14"/>
      <c r="R70" s="52"/>
      <c r="S70" s="19"/>
      <c r="T70" s="18"/>
      <c r="U70" s="56"/>
      <c r="V70" s="13"/>
      <c r="W70" s="28"/>
      <c r="X70" s="27"/>
      <c r="Y70" s="27"/>
      <c r="Z70" s="29"/>
      <c r="AA70" s="27"/>
      <c r="AB70" s="14"/>
      <c r="AC70" s="27"/>
      <c r="AD70" s="5"/>
    </row>
    <row r="71" spans="3:30" s="1" customFormat="1" x14ac:dyDescent="0.2">
      <c r="C71" s="21"/>
      <c r="D71" s="21"/>
      <c r="E71" s="21"/>
      <c r="F71" s="21"/>
      <c r="G71" s="21"/>
      <c r="H71" s="21"/>
      <c r="I71" s="21"/>
      <c r="L71" s="5"/>
      <c r="M71" s="20"/>
      <c r="N71" s="14"/>
      <c r="O71" s="14"/>
      <c r="P71" s="14"/>
      <c r="Q71" s="14"/>
      <c r="R71" s="52"/>
      <c r="S71" s="19"/>
      <c r="T71" s="18"/>
      <c r="U71" s="56"/>
      <c r="V71" s="13"/>
      <c r="W71" s="28"/>
      <c r="X71" s="27"/>
      <c r="Y71" s="27"/>
      <c r="Z71" s="29"/>
      <c r="AA71" s="27"/>
      <c r="AB71" s="14"/>
      <c r="AC71" s="27"/>
      <c r="AD71" s="5"/>
    </row>
    <row r="72" spans="3:30" s="1" customFormat="1" x14ac:dyDescent="0.2">
      <c r="C72" s="21"/>
      <c r="D72" s="21"/>
      <c r="E72" s="21"/>
      <c r="F72" s="21"/>
      <c r="G72" s="21"/>
      <c r="H72" s="21"/>
      <c r="I72" s="21"/>
      <c r="L72" s="5"/>
      <c r="M72" s="20"/>
      <c r="N72" s="14"/>
      <c r="O72" s="14"/>
      <c r="P72" s="14"/>
      <c r="Q72" s="14"/>
      <c r="R72" s="52"/>
      <c r="S72" s="19"/>
      <c r="T72" s="18"/>
      <c r="U72" s="56"/>
      <c r="V72" s="13"/>
      <c r="W72" s="28"/>
      <c r="X72" s="27"/>
      <c r="Y72" s="27"/>
      <c r="Z72" s="29"/>
      <c r="AA72" s="27"/>
      <c r="AB72" s="14"/>
      <c r="AC72" s="27"/>
      <c r="AD72" s="5"/>
    </row>
    <row r="73" spans="3:30" s="1" customFormat="1" x14ac:dyDescent="0.2">
      <c r="C73" s="21"/>
      <c r="D73" s="21"/>
      <c r="E73" s="21"/>
      <c r="F73" s="21"/>
      <c r="G73" s="21"/>
      <c r="H73" s="21"/>
      <c r="I73" s="21"/>
      <c r="L73" s="5"/>
      <c r="M73" s="20"/>
      <c r="N73" s="14"/>
      <c r="O73" s="14"/>
      <c r="P73" s="14"/>
      <c r="Q73" s="14"/>
      <c r="R73" s="52"/>
      <c r="S73" s="19"/>
      <c r="T73" s="18"/>
      <c r="U73" s="56"/>
      <c r="V73" s="13"/>
      <c r="W73" s="28"/>
      <c r="X73" s="27"/>
      <c r="Y73" s="27"/>
      <c r="Z73" s="29"/>
      <c r="AA73" s="27"/>
      <c r="AB73" s="14"/>
      <c r="AC73" s="27"/>
      <c r="AD73" s="5"/>
    </row>
    <row r="74" spans="3:30" s="1" customFormat="1" x14ac:dyDescent="0.2">
      <c r="C74" s="21"/>
      <c r="D74" s="21"/>
      <c r="E74" s="21"/>
      <c r="F74" s="21"/>
      <c r="G74" s="21"/>
      <c r="H74" s="21"/>
      <c r="I74" s="21"/>
      <c r="L74" s="5"/>
      <c r="M74" s="20"/>
      <c r="N74" s="14"/>
      <c r="O74" s="14"/>
      <c r="P74" s="14"/>
      <c r="Q74" s="14"/>
      <c r="R74" s="52"/>
      <c r="S74" s="19"/>
      <c r="T74" s="18"/>
      <c r="U74" s="56"/>
      <c r="V74" s="13"/>
      <c r="W74" s="28"/>
      <c r="X74" s="27"/>
      <c r="Y74" s="27"/>
      <c r="Z74" s="29"/>
      <c r="AA74" s="27"/>
      <c r="AB74" s="14"/>
      <c r="AC74" s="27"/>
      <c r="AD74" s="5"/>
    </row>
    <row r="75" spans="3:30" s="1" customFormat="1" x14ac:dyDescent="0.2">
      <c r="C75" s="21"/>
      <c r="D75" s="21"/>
      <c r="E75" s="21"/>
      <c r="F75" s="21"/>
      <c r="G75" s="21"/>
      <c r="H75" s="21"/>
      <c r="I75" s="21"/>
      <c r="L75" s="5"/>
      <c r="M75" s="20"/>
      <c r="N75" s="14"/>
      <c r="O75" s="14"/>
      <c r="P75" s="14"/>
      <c r="Q75" s="14"/>
      <c r="R75" s="52"/>
      <c r="S75" s="19"/>
      <c r="T75" s="18"/>
      <c r="U75" s="56"/>
      <c r="V75" s="13"/>
      <c r="W75" s="28"/>
      <c r="X75" s="27"/>
      <c r="Y75" s="27"/>
      <c r="Z75" s="29"/>
      <c r="AA75" s="27"/>
      <c r="AB75" s="14"/>
      <c r="AC75" s="27"/>
      <c r="AD75" s="5"/>
    </row>
    <row r="76" spans="3:30" s="1" customFormat="1" x14ac:dyDescent="0.2">
      <c r="C76" s="21"/>
      <c r="D76" s="21"/>
      <c r="E76" s="21"/>
      <c r="F76" s="21"/>
      <c r="G76" s="21"/>
      <c r="H76" s="21"/>
      <c r="I76" s="21"/>
      <c r="L76" s="5"/>
      <c r="M76" s="20"/>
      <c r="N76" s="14"/>
      <c r="O76" s="14"/>
      <c r="P76" s="14"/>
      <c r="Q76" s="14"/>
      <c r="R76" s="52"/>
      <c r="S76" s="19"/>
      <c r="T76" s="18"/>
      <c r="U76" s="56"/>
      <c r="V76" s="13"/>
      <c r="W76" s="28"/>
      <c r="X76" s="27"/>
      <c r="Y76" s="27"/>
      <c r="Z76" s="29"/>
      <c r="AA76" s="27"/>
      <c r="AB76" s="14"/>
      <c r="AC76" s="27"/>
      <c r="AD76" s="5"/>
    </row>
    <row r="77" spans="3:30" s="1" customFormat="1" x14ac:dyDescent="0.2">
      <c r="C77" s="21"/>
      <c r="D77" s="21"/>
      <c r="E77" s="21"/>
      <c r="F77" s="21"/>
      <c r="G77" s="21"/>
      <c r="H77" s="21"/>
      <c r="I77" s="21"/>
      <c r="L77" s="5"/>
      <c r="M77" s="20"/>
      <c r="N77" s="14"/>
      <c r="O77" s="14"/>
      <c r="P77" s="14"/>
      <c r="Q77" s="14"/>
      <c r="R77" s="52"/>
      <c r="S77" s="19"/>
      <c r="T77" s="18"/>
      <c r="U77" s="56"/>
      <c r="V77" s="13"/>
      <c r="W77" s="28"/>
      <c r="X77" s="27"/>
      <c r="Y77" s="27"/>
      <c r="Z77" s="29"/>
      <c r="AA77" s="27"/>
      <c r="AB77" s="14"/>
      <c r="AC77" s="27"/>
      <c r="AD77" s="5"/>
    </row>
    <row r="78" spans="3:30" s="1" customFormat="1" x14ac:dyDescent="0.2">
      <c r="C78" s="21"/>
      <c r="D78" s="21"/>
      <c r="E78" s="21"/>
      <c r="F78" s="21"/>
      <c r="G78" s="21"/>
      <c r="H78" s="21"/>
      <c r="I78" s="21"/>
      <c r="L78" s="5"/>
      <c r="M78" s="20"/>
      <c r="N78" s="14"/>
      <c r="O78" s="14"/>
      <c r="P78" s="14"/>
      <c r="Q78" s="14"/>
      <c r="R78" s="52"/>
      <c r="S78" s="19"/>
      <c r="T78" s="18"/>
      <c r="U78" s="56"/>
      <c r="V78" s="13"/>
      <c r="W78" s="28"/>
      <c r="X78" s="27"/>
      <c r="Y78" s="27"/>
      <c r="Z78" s="29"/>
      <c r="AA78" s="27"/>
      <c r="AB78" s="14"/>
      <c r="AC78" s="27"/>
      <c r="AD78" s="5"/>
    </row>
    <row r="79" spans="3:30" s="1" customFormat="1" x14ac:dyDescent="0.2">
      <c r="C79" s="21"/>
      <c r="D79" s="21"/>
      <c r="E79" s="21"/>
      <c r="F79" s="21"/>
      <c r="G79" s="21"/>
      <c r="H79" s="21"/>
      <c r="I79" s="21"/>
      <c r="L79" s="5"/>
      <c r="M79" s="20"/>
      <c r="N79" s="14"/>
      <c r="O79" s="14"/>
      <c r="P79" s="14"/>
      <c r="Q79" s="14"/>
      <c r="R79" s="52"/>
      <c r="S79" s="19"/>
      <c r="T79" s="18"/>
      <c r="U79" s="56"/>
      <c r="V79" s="13"/>
      <c r="W79" s="28"/>
      <c r="X79" s="27"/>
      <c r="Y79" s="27"/>
      <c r="Z79" s="29"/>
      <c r="AA79" s="27"/>
      <c r="AB79" s="14"/>
      <c r="AC79" s="27"/>
      <c r="AD79" s="5"/>
    </row>
    <row r="80" spans="3:30" s="1" customFormat="1" x14ac:dyDescent="0.2">
      <c r="C80" s="21"/>
      <c r="D80" s="21"/>
      <c r="E80" s="21"/>
      <c r="F80" s="21"/>
      <c r="G80" s="21"/>
      <c r="H80" s="21"/>
      <c r="I80" s="21"/>
      <c r="L80" s="5"/>
      <c r="M80" s="20"/>
      <c r="N80" s="14"/>
      <c r="O80" s="14"/>
      <c r="P80" s="14"/>
      <c r="Q80" s="14"/>
      <c r="R80" s="52"/>
      <c r="S80" s="19"/>
      <c r="T80" s="18"/>
      <c r="U80" s="56"/>
      <c r="V80" s="13"/>
      <c r="W80" s="28"/>
      <c r="X80" s="27"/>
      <c r="Y80" s="27"/>
      <c r="Z80" s="29"/>
      <c r="AA80" s="27"/>
      <c r="AB80" s="14"/>
      <c r="AC80" s="27"/>
      <c r="AD80" s="5"/>
    </row>
    <row r="81" spans="3:30" s="1" customFormat="1" x14ac:dyDescent="0.2">
      <c r="C81" s="21"/>
      <c r="D81" s="21"/>
      <c r="E81" s="21"/>
      <c r="F81" s="21"/>
      <c r="G81" s="21"/>
      <c r="H81" s="21"/>
      <c r="I81" s="21"/>
      <c r="L81" s="5"/>
      <c r="M81" s="20"/>
      <c r="N81" s="14"/>
      <c r="O81" s="14"/>
      <c r="P81" s="14"/>
      <c r="Q81" s="14"/>
      <c r="R81" s="52"/>
      <c r="S81" s="19"/>
      <c r="T81" s="18"/>
      <c r="U81" s="56"/>
      <c r="V81" s="13"/>
      <c r="W81" s="28"/>
      <c r="X81" s="27"/>
      <c r="Y81" s="27"/>
      <c r="Z81" s="29"/>
      <c r="AA81" s="27"/>
      <c r="AB81" s="14"/>
      <c r="AC81" s="27"/>
      <c r="AD81" s="5"/>
    </row>
    <row r="82" spans="3:30" s="1" customFormat="1" x14ac:dyDescent="0.2">
      <c r="C82" s="21"/>
      <c r="D82" s="21"/>
      <c r="E82" s="21"/>
      <c r="F82" s="21"/>
      <c r="G82" s="21"/>
      <c r="H82" s="21"/>
      <c r="I82" s="21"/>
      <c r="L82" s="5"/>
      <c r="M82" s="20"/>
      <c r="N82" s="14"/>
      <c r="O82" s="14"/>
      <c r="P82" s="14"/>
      <c r="Q82" s="14"/>
      <c r="R82" s="52"/>
      <c r="S82" s="19"/>
      <c r="T82" s="18"/>
      <c r="U82" s="56"/>
      <c r="V82" s="13"/>
      <c r="W82" s="28"/>
      <c r="X82" s="27"/>
      <c r="Y82" s="27"/>
      <c r="Z82" s="29"/>
      <c r="AA82" s="27"/>
      <c r="AB82" s="14"/>
      <c r="AC82" s="27"/>
      <c r="AD82" s="5"/>
    </row>
    <row r="83" spans="3:30" s="1" customFormat="1" x14ac:dyDescent="0.2">
      <c r="C83" s="21"/>
      <c r="D83" s="21"/>
      <c r="E83" s="21"/>
      <c r="F83" s="21"/>
      <c r="G83" s="21"/>
      <c r="H83" s="21"/>
      <c r="I83" s="21"/>
      <c r="L83" s="5"/>
      <c r="M83" s="20"/>
      <c r="N83" s="14"/>
      <c r="O83" s="14"/>
      <c r="P83" s="14"/>
      <c r="Q83" s="14"/>
      <c r="R83" s="52"/>
      <c r="S83" s="19"/>
      <c r="T83" s="18"/>
      <c r="U83" s="56"/>
      <c r="V83" s="13"/>
      <c r="W83" s="28"/>
      <c r="X83" s="27"/>
      <c r="Y83" s="27"/>
      <c r="Z83" s="29"/>
      <c r="AA83" s="27"/>
      <c r="AB83" s="14"/>
      <c r="AC83" s="27"/>
      <c r="AD83" s="5"/>
    </row>
    <row r="84" spans="3:30" s="1" customFormat="1" x14ac:dyDescent="0.2">
      <c r="C84" s="21"/>
      <c r="D84" s="21"/>
      <c r="E84" s="21"/>
      <c r="F84" s="21"/>
      <c r="G84" s="21"/>
      <c r="H84" s="21"/>
      <c r="I84" s="21"/>
      <c r="L84" s="5"/>
      <c r="M84" s="20"/>
      <c r="N84" s="14"/>
      <c r="O84" s="14"/>
      <c r="P84" s="14"/>
      <c r="Q84" s="14"/>
      <c r="R84" s="52"/>
      <c r="S84" s="19"/>
      <c r="T84" s="18"/>
      <c r="U84" s="56"/>
      <c r="V84" s="13"/>
      <c r="W84" s="28"/>
      <c r="X84" s="27"/>
      <c r="Y84" s="27"/>
      <c r="Z84" s="29"/>
      <c r="AA84" s="27"/>
      <c r="AB84" s="14"/>
      <c r="AC84" s="27"/>
      <c r="AD84" s="5"/>
    </row>
    <row r="85" spans="3:30" s="1" customFormat="1" x14ac:dyDescent="0.2">
      <c r="C85" s="21"/>
      <c r="D85" s="21"/>
      <c r="E85" s="21"/>
      <c r="F85" s="21"/>
      <c r="G85" s="21"/>
      <c r="H85" s="21"/>
      <c r="I85" s="21"/>
      <c r="L85" s="5"/>
      <c r="M85" s="20"/>
      <c r="N85" s="14"/>
      <c r="O85" s="14"/>
      <c r="P85" s="14"/>
      <c r="Q85" s="14"/>
      <c r="R85" s="52"/>
      <c r="S85" s="19"/>
      <c r="T85" s="18"/>
      <c r="U85" s="56"/>
      <c r="V85" s="13"/>
      <c r="W85" s="28"/>
      <c r="X85" s="27"/>
      <c r="Y85" s="27"/>
      <c r="Z85" s="29"/>
      <c r="AA85" s="27"/>
      <c r="AB85" s="14"/>
      <c r="AC85" s="27"/>
      <c r="AD85" s="5"/>
    </row>
    <row r="86" spans="3:30" s="1" customFormat="1" x14ac:dyDescent="0.2">
      <c r="C86" s="21"/>
      <c r="D86" s="21"/>
      <c r="E86" s="21"/>
      <c r="F86" s="21"/>
      <c r="G86" s="21"/>
      <c r="H86" s="21"/>
      <c r="I86" s="21"/>
      <c r="L86" s="5"/>
      <c r="M86" s="20"/>
      <c r="N86" s="14"/>
      <c r="O86" s="14"/>
      <c r="P86" s="14"/>
      <c r="Q86" s="14"/>
      <c r="R86" s="52"/>
      <c r="S86" s="19"/>
      <c r="T86" s="18"/>
      <c r="U86" s="56"/>
      <c r="V86" s="13"/>
      <c r="W86" s="28"/>
      <c r="X86" s="27"/>
      <c r="Y86" s="27"/>
      <c r="Z86" s="29"/>
      <c r="AA86" s="27"/>
      <c r="AB86" s="14"/>
      <c r="AC86" s="27"/>
      <c r="AD86" s="5"/>
    </row>
    <row r="87" spans="3:30" s="1" customFormat="1" x14ac:dyDescent="0.2">
      <c r="C87" s="21"/>
      <c r="D87" s="21"/>
      <c r="E87" s="21"/>
      <c r="F87" s="21"/>
      <c r="G87" s="21"/>
      <c r="H87" s="21"/>
      <c r="I87" s="21"/>
      <c r="L87" s="5"/>
      <c r="M87" s="20"/>
      <c r="N87" s="14"/>
      <c r="O87" s="14"/>
      <c r="P87" s="14"/>
      <c r="Q87" s="14"/>
      <c r="R87" s="52"/>
      <c r="S87" s="19"/>
      <c r="T87" s="18"/>
      <c r="U87" s="56"/>
      <c r="V87" s="13"/>
      <c r="W87" s="28"/>
      <c r="X87" s="27"/>
      <c r="Y87" s="27"/>
      <c r="Z87" s="29"/>
      <c r="AA87" s="27"/>
      <c r="AB87" s="14"/>
      <c r="AC87" s="27"/>
      <c r="AD87" s="5"/>
    </row>
    <row r="88" spans="3:30" s="1" customFormat="1" x14ac:dyDescent="0.2">
      <c r="C88" s="21"/>
      <c r="D88" s="21"/>
      <c r="E88" s="21"/>
      <c r="F88" s="21"/>
      <c r="G88" s="21"/>
      <c r="H88" s="21"/>
      <c r="I88" s="21"/>
      <c r="L88" s="5"/>
      <c r="M88" s="20"/>
      <c r="N88" s="14"/>
      <c r="O88" s="14"/>
      <c r="P88" s="14"/>
      <c r="Q88" s="14"/>
      <c r="R88" s="52"/>
      <c r="S88" s="19"/>
      <c r="T88" s="18"/>
      <c r="U88" s="56"/>
      <c r="V88" s="13"/>
      <c r="W88" s="28"/>
      <c r="X88" s="27"/>
      <c r="Y88" s="27"/>
      <c r="Z88" s="29"/>
      <c r="AA88" s="27"/>
      <c r="AB88" s="14"/>
      <c r="AC88" s="27"/>
      <c r="AD88" s="5"/>
    </row>
    <row r="89" spans="3:30" s="1" customFormat="1" x14ac:dyDescent="0.2">
      <c r="C89" s="21"/>
      <c r="D89" s="21"/>
      <c r="E89" s="21"/>
      <c r="F89" s="21"/>
      <c r="G89" s="21"/>
      <c r="H89" s="21"/>
      <c r="I89" s="21"/>
      <c r="L89" s="5"/>
      <c r="M89" s="20"/>
      <c r="N89" s="14"/>
      <c r="O89" s="14"/>
      <c r="P89" s="14"/>
      <c r="Q89" s="14"/>
      <c r="R89" s="52"/>
      <c r="S89" s="19"/>
      <c r="T89" s="18"/>
      <c r="U89" s="56"/>
      <c r="V89" s="13"/>
      <c r="W89" s="28"/>
      <c r="X89" s="27"/>
      <c r="Y89" s="27"/>
      <c r="Z89" s="29"/>
      <c r="AA89" s="27"/>
      <c r="AB89" s="14"/>
      <c r="AC89" s="27"/>
      <c r="AD89" s="5"/>
    </row>
    <row r="90" spans="3:30" s="1" customFormat="1" x14ac:dyDescent="0.2">
      <c r="C90" s="21"/>
      <c r="D90" s="21"/>
      <c r="E90" s="21"/>
      <c r="F90" s="21"/>
      <c r="G90" s="21"/>
      <c r="H90" s="21"/>
      <c r="I90" s="21"/>
      <c r="L90" s="5"/>
      <c r="M90" s="20"/>
      <c r="N90" s="14"/>
      <c r="O90" s="14"/>
      <c r="P90" s="14"/>
      <c r="Q90" s="14"/>
      <c r="R90" s="52"/>
      <c r="S90" s="19"/>
      <c r="T90" s="18"/>
      <c r="U90" s="56"/>
      <c r="V90" s="13"/>
      <c r="W90" s="28"/>
      <c r="X90" s="27"/>
      <c r="Y90" s="27"/>
      <c r="Z90" s="29"/>
      <c r="AA90" s="27"/>
      <c r="AB90" s="14"/>
      <c r="AC90" s="27"/>
      <c r="AD90" s="5"/>
    </row>
    <row r="91" spans="3:30" s="1" customFormat="1" x14ac:dyDescent="0.2">
      <c r="C91" s="21"/>
      <c r="D91" s="21"/>
      <c r="E91" s="21"/>
      <c r="F91" s="21"/>
      <c r="G91" s="21"/>
      <c r="H91" s="21"/>
      <c r="I91" s="21"/>
      <c r="L91" s="5"/>
      <c r="M91" s="20"/>
      <c r="N91" s="14"/>
      <c r="O91" s="14"/>
      <c r="P91" s="14"/>
      <c r="Q91" s="14"/>
      <c r="R91" s="52"/>
      <c r="S91" s="19"/>
      <c r="T91" s="18"/>
      <c r="U91" s="56"/>
      <c r="V91" s="13"/>
      <c r="W91" s="28"/>
      <c r="X91" s="27"/>
      <c r="Y91" s="27"/>
      <c r="Z91" s="29"/>
      <c r="AA91" s="27"/>
      <c r="AB91" s="14"/>
      <c r="AC91" s="27"/>
      <c r="AD91" s="5"/>
    </row>
    <row r="92" spans="3:30" s="1" customFormat="1" x14ac:dyDescent="0.2">
      <c r="C92" s="21"/>
      <c r="D92" s="21"/>
      <c r="E92" s="21"/>
      <c r="F92" s="21"/>
      <c r="G92" s="21"/>
      <c r="H92" s="21"/>
      <c r="I92" s="21"/>
      <c r="L92" s="5"/>
      <c r="M92" s="20"/>
      <c r="N92" s="14"/>
      <c r="O92" s="14"/>
      <c r="P92" s="14"/>
      <c r="Q92" s="14"/>
      <c r="R92" s="52"/>
      <c r="S92" s="19"/>
      <c r="T92" s="18"/>
      <c r="U92" s="56"/>
      <c r="V92" s="13"/>
      <c r="W92" s="28"/>
      <c r="X92" s="27"/>
      <c r="Y92" s="27"/>
      <c r="Z92" s="29"/>
      <c r="AA92" s="27"/>
      <c r="AB92" s="14"/>
      <c r="AC92" s="27"/>
      <c r="AD92" s="5"/>
    </row>
    <row r="93" spans="3:30" s="1" customFormat="1" x14ac:dyDescent="0.2">
      <c r="C93" s="21"/>
      <c r="D93" s="21"/>
      <c r="E93" s="21"/>
      <c r="F93" s="21"/>
      <c r="G93" s="21"/>
      <c r="H93" s="21"/>
      <c r="I93" s="21"/>
      <c r="L93" s="5"/>
      <c r="M93" s="20"/>
      <c r="N93" s="14"/>
      <c r="O93" s="14"/>
      <c r="P93" s="14"/>
      <c r="Q93" s="14"/>
      <c r="R93" s="52"/>
      <c r="S93" s="19"/>
      <c r="T93" s="18"/>
      <c r="U93" s="56"/>
      <c r="V93" s="13"/>
      <c r="W93" s="28"/>
      <c r="X93" s="27"/>
      <c r="Y93" s="27"/>
      <c r="Z93" s="29"/>
      <c r="AA93" s="27"/>
      <c r="AB93" s="14"/>
      <c r="AC93" s="27"/>
      <c r="AD93" s="5"/>
    </row>
    <row r="94" spans="3:30" s="1" customFormat="1" x14ac:dyDescent="0.2">
      <c r="C94" s="21"/>
      <c r="D94" s="21"/>
      <c r="E94" s="21"/>
      <c r="F94" s="21"/>
      <c r="G94" s="21"/>
      <c r="H94" s="21"/>
      <c r="I94" s="21"/>
      <c r="L94" s="5"/>
      <c r="M94" s="20"/>
      <c r="N94" s="14"/>
      <c r="O94" s="14"/>
      <c r="P94" s="14"/>
      <c r="Q94" s="14"/>
      <c r="R94" s="52"/>
      <c r="S94" s="19"/>
      <c r="T94" s="18"/>
      <c r="U94" s="56"/>
      <c r="V94" s="13"/>
      <c r="W94" s="28"/>
      <c r="X94" s="27"/>
      <c r="Y94" s="27"/>
      <c r="Z94" s="29"/>
      <c r="AA94" s="27"/>
      <c r="AB94" s="14"/>
      <c r="AC94" s="27"/>
      <c r="AD94" s="5"/>
    </row>
    <row r="95" spans="3:30" s="1" customFormat="1" x14ac:dyDescent="0.2">
      <c r="C95" s="21"/>
      <c r="D95" s="21"/>
      <c r="E95" s="21"/>
      <c r="F95" s="21"/>
      <c r="G95" s="21"/>
      <c r="H95" s="21"/>
      <c r="I95" s="21"/>
      <c r="L95" s="5"/>
      <c r="M95" s="20"/>
      <c r="N95" s="14"/>
      <c r="O95" s="14"/>
      <c r="P95" s="14"/>
      <c r="Q95" s="14"/>
      <c r="R95" s="52"/>
      <c r="S95" s="19"/>
      <c r="T95" s="18"/>
      <c r="U95" s="56"/>
      <c r="V95" s="13"/>
      <c r="W95" s="28"/>
      <c r="X95" s="27"/>
      <c r="Y95" s="27"/>
      <c r="Z95" s="29"/>
      <c r="AA95" s="27"/>
      <c r="AB95" s="14"/>
      <c r="AC95" s="27"/>
      <c r="AD95" s="5"/>
    </row>
    <row r="96" spans="3:30" s="1" customFormat="1" x14ac:dyDescent="0.2">
      <c r="C96" s="21"/>
      <c r="D96" s="21"/>
      <c r="E96" s="21"/>
      <c r="F96" s="21"/>
      <c r="G96" s="21"/>
      <c r="H96" s="21"/>
      <c r="I96" s="21"/>
      <c r="L96" s="5"/>
      <c r="M96" s="20"/>
      <c r="N96" s="14"/>
      <c r="O96" s="14"/>
      <c r="P96" s="14"/>
      <c r="Q96" s="14"/>
      <c r="R96" s="52"/>
      <c r="S96" s="19"/>
      <c r="T96" s="18"/>
      <c r="U96" s="56"/>
      <c r="V96" s="13"/>
      <c r="W96" s="28"/>
      <c r="X96" s="27"/>
      <c r="Y96" s="27"/>
      <c r="Z96" s="29"/>
      <c r="AA96" s="27"/>
      <c r="AB96" s="14"/>
      <c r="AC96" s="27"/>
      <c r="AD96" s="5"/>
    </row>
    <row r="97" spans="3:31" s="1" customFormat="1" x14ac:dyDescent="0.2">
      <c r="C97" s="21"/>
      <c r="D97" s="21"/>
      <c r="E97" s="21"/>
      <c r="F97" s="21"/>
      <c r="G97" s="21"/>
      <c r="H97" s="21"/>
      <c r="I97" s="21"/>
      <c r="L97" s="5"/>
      <c r="M97" s="20"/>
      <c r="N97" s="14"/>
      <c r="O97" s="14"/>
      <c r="P97" s="14"/>
      <c r="Q97" s="14"/>
      <c r="R97" s="52"/>
      <c r="S97" s="19"/>
      <c r="T97" s="18"/>
      <c r="U97" s="56"/>
      <c r="V97" s="13"/>
      <c r="W97" s="28"/>
      <c r="X97" s="27"/>
      <c r="Y97" s="27"/>
      <c r="Z97" s="29"/>
      <c r="AA97" s="27"/>
      <c r="AB97" s="14"/>
      <c r="AC97" s="27"/>
      <c r="AD97" s="5"/>
    </row>
    <row r="98" spans="3:31" s="1" customFormat="1" x14ac:dyDescent="0.2">
      <c r="C98" s="21"/>
      <c r="D98" s="21"/>
      <c r="E98" s="21"/>
      <c r="F98" s="21"/>
      <c r="G98" s="21"/>
      <c r="H98" s="21"/>
      <c r="I98" s="21"/>
      <c r="L98" s="5"/>
      <c r="M98" s="20"/>
      <c r="N98" s="14"/>
      <c r="O98" s="14"/>
      <c r="P98" s="14"/>
      <c r="Q98" s="14"/>
      <c r="R98" s="52"/>
      <c r="S98" s="19"/>
      <c r="T98" s="18"/>
      <c r="U98" s="56"/>
      <c r="V98" s="13"/>
      <c r="W98" s="28"/>
      <c r="X98" s="27"/>
      <c r="Y98" s="27"/>
      <c r="Z98" s="29"/>
      <c r="AA98" s="27"/>
      <c r="AB98" s="14"/>
      <c r="AC98" s="27"/>
      <c r="AD98" s="5"/>
    </row>
    <row r="99" spans="3:31" s="1" customFormat="1" x14ac:dyDescent="0.2">
      <c r="C99" s="21"/>
      <c r="D99" s="21"/>
      <c r="E99" s="21"/>
      <c r="F99" s="21"/>
      <c r="G99" s="21"/>
      <c r="H99" s="21"/>
      <c r="I99" s="21"/>
      <c r="L99" s="5"/>
      <c r="M99" s="20"/>
      <c r="N99" s="14"/>
      <c r="O99" s="14"/>
      <c r="P99" s="14"/>
      <c r="Q99" s="14"/>
      <c r="R99" s="52"/>
      <c r="S99" s="19"/>
      <c r="T99" s="18"/>
      <c r="U99" s="56"/>
      <c r="V99" s="13"/>
      <c r="W99" s="28"/>
      <c r="X99" s="27"/>
      <c r="Y99" s="27"/>
      <c r="Z99" s="29"/>
      <c r="AA99" s="27"/>
      <c r="AB99" s="14"/>
      <c r="AC99" s="27"/>
      <c r="AD99" s="5"/>
    </row>
    <row r="100" spans="3:31" s="1" customFormat="1" x14ac:dyDescent="0.2">
      <c r="C100" s="21"/>
      <c r="D100" s="21"/>
      <c r="E100" s="21"/>
      <c r="F100" s="21"/>
      <c r="G100" s="21"/>
      <c r="H100" s="21"/>
      <c r="I100" s="21"/>
      <c r="L100" s="5"/>
      <c r="M100" s="20"/>
      <c r="N100" s="14"/>
      <c r="O100" s="14"/>
      <c r="P100" s="14"/>
      <c r="Q100" s="14"/>
      <c r="R100" s="14"/>
      <c r="S100" s="14"/>
      <c r="T100" s="18"/>
      <c r="U100" s="56"/>
      <c r="V100" s="20"/>
      <c r="W100" s="28"/>
      <c r="X100" s="27"/>
      <c r="Y100" s="27"/>
      <c r="Z100" s="29"/>
      <c r="AA100" s="27"/>
      <c r="AB100" s="14"/>
      <c r="AC100" s="27"/>
      <c r="AD100" s="5"/>
    </row>
    <row r="101" spans="3:31" s="1" customFormat="1" ht="9" customHeight="1" x14ac:dyDescent="0.2">
      <c r="C101" s="21"/>
      <c r="D101" s="21"/>
      <c r="E101" s="21"/>
      <c r="F101" s="21"/>
      <c r="G101" s="21"/>
      <c r="H101" s="21"/>
      <c r="I101" s="21"/>
      <c r="L101" s="5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3:31" s="1" customFormat="1" x14ac:dyDescent="0.2">
      <c r="C102" s="21"/>
      <c r="D102" s="21"/>
      <c r="E102" s="21"/>
      <c r="F102" s="21"/>
      <c r="G102" s="21"/>
      <c r="H102" s="21"/>
      <c r="I102" s="21"/>
      <c r="M102" s="21"/>
      <c r="N102" s="21"/>
      <c r="O102" s="21"/>
      <c r="P102" s="21"/>
      <c r="Q102" s="21"/>
      <c r="S102" s="21"/>
      <c r="T102" s="21"/>
      <c r="U102" s="21"/>
      <c r="V102" s="22"/>
      <c r="W102" s="22"/>
      <c r="X102" s="22"/>
      <c r="Y102" s="22"/>
      <c r="Z102" s="22"/>
      <c r="AA102" s="22"/>
      <c r="AB102" s="21"/>
      <c r="AC102" s="21"/>
      <c r="AD102" s="21"/>
      <c r="AE102" s="21"/>
    </row>
  </sheetData>
  <mergeCells count="13">
    <mergeCell ref="N1:U1"/>
    <mergeCell ref="M6:M7"/>
    <mergeCell ref="N6:N7"/>
    <mergeCell ref="P6:P7"/>
    <mergeCell ref="AB6:AC6"/>
    <mergeCell ref="O6:O7"/>
    <mergeCell ref="V6:V7"/>
    <mergeCell ref="W6:W7"/>
    <mergeCell ref="R6:T6"/>
    <mergeCell ref="X6:Y6"/>
    <mergeCell ref="Z6:AA6"/>
    <mergeCell ref="U6:U7"/>
    <mergeCell ref="Q6:Q7"/>
  </mergeCells>
  <phoneticPr fontId="3" type="noConversion"/>
  <conditionalFormatting sqref="Y8:Y10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{36EBFA13-223C-40B4-83CD-38554DFE1A9B}</x14:id>
        </ext>
      </extLst>
    </cfRule>
  </conditionalFormatting>
  <conditionalFormatting sqref="AA8:AA10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{DFCBA6C0-FD99-4277-957D-8E71A8224665}</x14:id>
        </ext>
      </extLst>
    </cfRule>
  </conditionalFormatting>
  <conditionalFormatting sqref="AC8:AC1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{98EA7AC7-9170-4FB6-B7BB-4F65D1371B21}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EBFA13-223C-40B4-83CD-38554DFE1A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Y8:Y100</xm:sqref>
        </x14:conditionalFormatting>
        <x14:conditionalFormatting xmlns:xm="http://schemas.microsoft.com/office/excel/2006/main">
          <x14:cfRule type="dataBar" id="{DFCBA6C0-FD99-4277-957D-8E71A82246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AA8:AA100</xm:sqref>
        </x14:conditionalFormatting>
        <x14:conditionalFormatting xmlns:xm="http://schemas.microsoft.com/office/excel/2006/main">
          <x14:cfRule type="dataBar" id="{98EA7AC7-9170-4FB6-B7BB-4F65D1371B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AC8:AC100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63636D"/>
    <pageSetUpPr autoPageBreaks="0"/>
  </sheetPr>
  <dimension ref="A1:AY102"/>
  <sheetViews>
    <sheetView showGridLines="0" workbookViewId="0">
      <selection activeCell="B39" sqref="B39"/>
    </sheetView>
  </sheetViews>
  <sheetFormatPr defaultRowHeight="14.25" x14ac:dyDescent="0.2"/>
  <cols>
    <col min="1" max="1" width="1.625" style="2" customWidth="1"/>
    <col min="2" max="2" width="1.5" style="2" customWidth="1"/>
    <col min="3" max="3" width="10.625" style="25" customWidth="1"/>
    <col min="4" max="4" width="9.625" style="25" customWidth="1"/>
    <col min="5" max="6" width="11.625" style="25" customWidth="1"/>
    <col min="7" max="9" width="15.875" style="25" customWidth="1"/>
    <col min="10" max="10" width="13.5" style="25" customWidth="1"/>
    <col min="11" max="12" width="12.25" style="25" customWidth="1"/>
    <col min="13" max="13" width="18" style="25" bestFit="1" customWidth="1"/>
    <col min="14" max="16" width="12.375" style="25" customWidth="1"/>
    <col min="17" max="18" width="16.25" style="25" customWidth="1"/>
    <col min="19" max="19" width="1.5" style="25" customWidth="1"/>
    <col min="20" max="16384" width="9" style="25"/>
  </cols>
  <sheetData>
    <row r="1" spans="1:51" s="4" customFormat="1" ht="27.75" x14ac:dyDescent="0.3">
      <c r="A1" s="3"/>
      <c r="B1" s="3"/>
      <c r="D1" s="75" t="s">
        <v>70</v>
      </c>
      <c r="E1" s="75"/>
      <c r="F1" s="75"/>
      <c r="G1" s="75"/>
      <c r="H1" s="75"/>
      <c r="I1" s="75"/>
      <c r="J1" s="7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s="1" customFormat="1" ht="9" customHeight="1" x14ac:dyDescent="0.2"/>
    <row r="3" spans="1:51" s="1" customFormat="1" ht="9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51" s="1" customFormat="1" ht="17.25" x14ac:dyDescent="0.2">
      <c r="B4" s="5"/>
      <c r="C4" s="6" t="s">
        <v>20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5"/>
    </row>
    <row r="5" spans="1:51" s="1" customFormat="1" ht="9" customHeight="1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51" s="24" customFormat="1" ht="16.5" x14ac:dyDescent="0.35">
      <c r="A6" s="1"/>
      <c r="B6" s="5"/>
      <c r="C6" s="76" t="s">
        <v>0</v>
      </c>
      <c r="D6" s="70" t="s">
        <v>1</v>
      </c>
      <c r="E6" s="70" t="s">
        <v>23</v>
      </c>
      <c r="F6" s="70" t="s">
        <v>79</v>
      </c>
      <c r="G6" s="68" t="s">
        <v>80</v>
      </c>
      <c r="H6" s="83"/>
      <c r="I6" s="83"/>
      <c r="J6" s="69"/>
      <c r="K6" s="78" t="s">
        <v>81</v>
      </c>
      <c r="L6" s="79"/>
      <c r="M6" s="79"/>
      <c r="N6" s="79"/>
      <c r="O6" s="79"/>
      <c r="P6" s="80"/>
      <c r="Q6" s="81" t="s">
        <v>82</v>
      </c>
      <c r="R6" s="82"/>
      <c r="S6" s="23"/>
    </row>
    <row r="7" spans="1:51" s="24" customFormat="1" ht="16.5" x14ac:dyDescent="0.35">
      <c r="A7" s="1"/>
      <c r="B7" s="5"/>
      <c r="C7" s="77"/>
      <c r="D7" s="71"/>
      <c r="E7" s="71"/>
      <c r="F7" s="71"/>
      <c r="G7" s="61" t="str">
        <f ca="1">基本资料!$G$9&amp;"年总市值"</f>
        <v>2022年总市值</v>
      </c>
      <c r="H7" s="62" t="str">
        <f ca="1">基本资料!$G$8&amp;"年总市值"</f>
        <v>2023年总市值</v>
      </c>
      <c r="I7" s="62" t="s">
        <v>21</v>
      </c>
      <c r="J7" s="63" t="s">
        <v>22</v>
      </c>
      <c r="K7" s="64" t="str">
        <f ca="1">基本资料!$G$9&amp;"年PB"</f>
        <v>2022年PB</v>
      </c>
      <c r="L7" s="65" t="str">
        <f ca="1">基本资料!$G$8&amp;"年PB"</f>
        <v>2023年PB</v>
      </c>
      <c r="M7" s="65" t="s">
        <v>26</v>
      </c>
      <c r="N7" s="65" t="s">
        <v>24</v>
      </c>
      <c r="O7" s="66" t="s">
        <v>25</v>
      </c>
      <c r="P7" s="67" t="s">
        <v>32</v>
      </c>
      <c r="Q7" s="65" t="s">
        <v>30</v>
      </c>
      <c r="R7" s="66" t="s">
        <v>32</v>
      </c>
      <c r="S7" s="23"/>
    </row>
    <row r="8" spans="1:51" s="24" customFormat="1" ht="16.5" x14ac:dyDescent="0.2">
      <c r="A8" s="1"/>
      <c r="B8" s="5"/>
      <c r="C8" s="53" t="s">
        <v>61</v>
      </c>
      <c r="D8" s="14" t="str">
        <f>[1]!f_info_exchangeshortname(C8)</f>
        <v>煤炭ETF</v>
      </c>
      <c r="E8" s="49" t="str">
        <f ca="1">[1]!lastradeday_s(C8,TODAY())</f>
        <v>2024-07-16</v>
      </c>
      <c r="F8" s="60" t="str">
        <f>[1]!f_info_trackindexcode(表1_3121314[[#This Row],[列1]])</f>
        <v>399998.SZ</v>
      </c>
      <c r="G8" s="48">
        <f ca="1">[1]!s_val_mv_ard(表1_3121314[[#This Row],[列6]],基本资料!$I$9,100000000)</f>
        <v>14959.935453640001</v>
      </c>
      <c r="H8" s="16">
        <f ca="1">[1]!s_val_mv_ard(表1_3121314[[#This Row],[列6]],基本资料!$I$8,100000000)</f>
        <v>16874.012554180001</v>
      </c>
      <c r="I8" s="33">
        <f ca="1">[1]!s_val_mv_ard(表1_3121314[[#This Row],[列6]],E8,100000000)</f>
        <v>19271.58140997</v>
      </c>
      <c r="J8" s="32"/>
      <c r="K8" s="34">
        <f ca="1">[1]!s_val_pb_lf(表1_3121314[[#This Row],[列6]],基本资料!$I$9)</f>
        <v>1.3496999740600586</v>
      </c>
      <c r="L8" s="16">
        <f ca="1">[1]!s_val_pb_lf(表1_3121314[[#This Row],[列6]],基本资料!$I$8)</f>
        <v>1.4679000377655029</v>
      </c>
      <c r="M8" s="16">
        <f ca="1" xml:space="preserve">  [1]!i_val_pb_mrqwgt(表1_3121314[[#This Row],[列6]],E8)</f>
        <v>1.6778</v>
      </c>
      <c r="N8" s="16" t="str">
        <f ca="1">[1]!s_val_estpb(表1_3121314[[#This Row],[列6]],E8,基本资料!$G$7)</f>
        <v>0</v>
      </c>
      <c r="O8" s="35" t="str">
        <f ca="1">[1]!s_val_estpb(表1_3121314[[#This Row],[列6]],E8,基本资料!$G$11)</f>
        <v>0</v>
      </c>
      <c r="P8" s="13">
        <f ca="1">[1]!i_val_pb_percentile(表1_3121314[[#This Row],[列6]],E8,基本资料!$D$9,E8)</f>
        <v>83.02277432712215</v>
      </c>
      <c r="Q8" s="26">
        <f ca="1">[1]!s_val_dividendyield2(表1_3121314[[#This Row],[列6]],E8)</f>
        <v>5.9901999999999997</v>
      </c>
      <c r="R8" s="26">
        <f ca="1">[1]!i_val_dividend_percentile(表1_3121314[[#This Row],[列6]],E8,基本资料!$D$9,E8)</f>
        <v>8.9026915113871627</v>
      </c>
      <c r="S8" s="23"/>
    </row>
    <row r="9" spans="1:51" s="24" customFormat="1" ht="16.5" x14ac:dyDescent="0.2">
      <c r="A9" s="1"/>
      <c r="B9" s="5"/>
      <c r="C9" s="53" t="s">
        <v>45</v>
      </c>
      <c r="D9" s="14" t="str">
        <f>[1]!f_info_exchangeshortname(C9)</f>
        <v>红利ETF</v>
      </c>
      <c r="E9" s="49" t="str">
        <f ca="1">[1]!lastradeday_s(C9,TODAY())</f>
        <v>2024-07-16</v>
      </c>
      <c r="F9" s="60" t="str">
        <f>[1]!f_info_trackindexcode(表1_3121314[[#This Row],[列1]])</f>
        <v>000015.SH</v>
      </c>
      <c r="G9" s="48">
        <f ca="1">[1]!s_val_mv_ard(表1_3121314[[#This Row],[列6]],基本资料!$I$9,100000000)</f>
        <v>85159.555641640007</v>
      </c>
      <c r="H9" s="16">
        <f ca="1">[1]!s_val_mv_ard(表1_3121314[[#This Row],[列6]],基本资料!$I$8,100000000)</f>
        <v>96466.027190339999</v>
      </c>
      <c r="I9" s="33">
        <f ca="1">[1]!s_val_mv_ard(表1_3121314[[#This Row],[列6]],E9,100000000)</f>
        <v>118651.50431786</v>
      </c>
      <c r="J9" s="32"/>
      <c r="K9" s="34">
        <f ca="1">[1]!s_val_pb_lf(表1_3121314[[#This Row],[列6]],基本资料!$I$9)</f>
        <v>0.57980000972747803</v>
      </c>
      <c r="L9" s="16">
        <f ca="1">[1]!s_val_pb_lf(表1_3121314[[#This Row],[列6]],基本资料!$I$8)</f>
        <v>0.60809999704360962</v>
      </c>
      <c r="M9" s="16">
        <f ca="1" xml:space="preserve">  [1]!i_val_pb_mrqwgt(表1_3121314[[#This Row],[列6]],E9)</f>
        <v>1.1712</v>
      </c>
      <c r="N9" s="16" t="str">
        <f ca="1">[1]!s_val_estpb(表1_3121314[[#This Row],[列6]],E9,基本资料!$G$7)</f>
        <v>0</v>
      </c>
      <c r="O9" s="35" t="str">
        <f ca="1">[1]!s_val_estpb(表1_3121314[[#This Row],[列6]],E9,基本资料!$G$11)</f>
        <v>0</v>
      </c>
      <c r="P9" s="13">
        <f ca="1">[1]!i_val_pb_percentile(表1_3121314[[#This Row],[列6]],E9,基本资料!$D$9,E9)</f>
        <v>100</v>
      </c>
      <c r="Q9" s="26">
        <f ca="1">[1]!s_val_dividendyield2(表1_3121314[[#This Row],[列6]],E9)</f>
        <v>6.0610999999999997</v>
      </c>
      <c r="R9" s="26">
        <f ca="1">[1]!i_val_dividend_percentile(表1_3121314[[#This Row],[列6]],E9,基本资料!$D$9,E9)</f>
        <v>18.840579710144929</v>
      </c>
      <c r="S9" s="23"/>
    </row>
    <row r="10" spans="1:51" s="24" customFormat="1" ht="16.5" x14ac:dyDescent="0.2">
      <c r="A10" s="1"/>
      <c r="B10" s="5"/>
      <c r="C10" s="53" t="s">
        <v>54</v>
      </c>
      <c r="D10" s="14" t="str">
        <f>[1]!f_info_exchangeshortname(C10)</f>
        <v>银行ETF</v>
      </c>
      <c r="E10" s="49" t="str">
        <f ca="1">[1]!lastradeday_s(C10,TODAY())</f>
        <v>2024-07-16</v>
      </c>
      <c r="F10" s="60" t="str">
        <f>[1]!f_info_trackindexcode(表1_3121314[[#This Row],[列1]])</f>
        <v>399986.SZ</v>
      </c>
      <c r="G10" s="48">
        <f ca="1">[1]!s_val_mv_ard(表1_3121314[[#This Row],[列6]],基本资料!$I$9,100000000)</f>
        <v>92996.650769469998</v>
      </c>
      <c r="H10" s="16">
        <f ca="1">[1]!s_val_mv_ard(表1_3121314[[#This Row],[列6]],基本资料!$I$8,100000000)</f>
        <v>97985.926050089998</v>
      </c>
      <c r="I10" s="33">
        <f ca="1">[1]!s_val_mv_ard(表1_3121314[[#This Row],[列6]],E10,100000000)</f>
        <v>119898.28154759</v>
      </c>
      <c r="J10" s="32"/>
      <c r="K10" s="34">
        <f ca="1">[1]!s_val_pb_lf(表1_3121314[[#This Row],[列6]],基本资料!$I$9)</f>
        <v>0.53799998760223389</v>
      </c>
      <c r="L10" s="16">
        <f ca="1">[1]!s_val_pb_lf(表1_3121314[[#This Row],[列6]],基本资料!$I$8)</f>
        <v>0.52139997482299805</v>
      </c>
      <c r="M10" s="16">
        <f ca="1" xml:space="preserve">  [1]!i_val_pb_mrqwgt(表1_3121314[[#This Row],[列6]],E10)</f>
        <v>0.62760000000000005</v>
      </c>
      <c r="N10" s="16" t="str">
        <f ca="1">[1]!s_val_estpb(表1_3121314[[#This Row],[列6]],E10,基本资料!$G$7)</f>
        <v>0</v>
      </c>
      <c r="O10" s="35" t="str">
        <f ca="1">[1]!s_val_estpb(表1_3121314[[#This Row],[列6]],E10,基本资料!$G$11)</f>
        <v>0</v>
      </c>
      <c r="P10" s="13">
        <f ca="1">[1]!i_val_pb_percentile(表1_3121314[[#This Row],[列6]],E10,基本资料!$D$9,E10)</f>
        <v>99.792960662525871</v>
      </c>
      <c r="Q10" s="26">
        <f ca="1">[1]!s_val_dividendyield2(表1_3121314[[#This Row],[列6]],E10)</f>
        <v>6.1936999999999998</v>
      </c>
      <c r="R10" s="26">
        <f ca="1">[1]!i_val_dividend_percentile(表1_3121314[[#This Row],[列6]],E10,基本资料!$D$9,E10)</f>
        <v>95.652173913043484</v>
      </c>
      <c r="S10" s="23"/>
    </row>
    <row r="11" spans="1:51" s="24" customFormat="1" ht="16.5" x14ac:dyDescent="0.2">
      <c r="A11" s="1"/>
      <c r="B11" s="5"/>
      <c r="C11" s="53" t="s">
        <v>65</v>
      </c>
      <c r="D11" s="14" t="str">
        <f>[1]!f_info_exchangeshortname(C11)</f>
        <v>共赢ETF</v>
      </c>
      <c r="E11" s="49" t="str">
        <f ca="1">[1]!lastradeday_s(C11,TODAY())</f>
        <v>2024-07-16</v>
      </c>
      <c r="F11" s="60" t="str">
        <f>[1]!f_info_trackindexcode(表1_3121314[[#This Row],[列1]])</f>
        <v>GPCCH003.FI</v>
      </c>
      <c r="G11" s="48" t="str">
        <f ca="1">[1]!s_val_mv_ard(表1_3121314[[#This Row],[列6]],基本资料!$I$9,100000000)</f>
        <v>0</v>
      </c>
      <c r="H11" s="16">
        <f ca="1">[1]!s_val_mv_ard(表1_3121314[[#This Row],[列6]],基本资料!$I$8,100000000)</f>
        <v>150889.51957355</v>
      </c>
      <c r="I11" s="33">
        <f ca="1">[1]!s_val_mv_ard(表1_3121314[[#This Row],[列6]],E11,100000000)</f>
        <v>189337.78845672001</v>
      </c>
      <c r="J11" s="32"/>
      <c r="K11" s="34" t="str">
        <f ca="1">[1]!s_val_pb_lf(表1_3121314[[#This Row],[列6]],基本资料!$I$9)</f>
        <v>0</v>
      </c>
      <c r="L11" s="16">
        <f ca="1">[1]!s_val_pb_lf(表1_3121314[[#This Row],[列6]],基本资料!$I$8)</f>
        <v>1.0550999641418457</v>
      </c>
      <c r="M11" s="16">
        <f ca="1" xml:space="preserve">  [1]!i_val_pb_mrqwgt(表1_3121314[[#This Row],[列6]],E11)</f>
        <v>1.1217999999999999</v>
      </c>
      <c r="N11" s="16" t="str">
        <f ca="1">[1]!s_val_estpb(表1_3121314[[#This Row],[列6]],E11,基本资料!$G$7)</f>
        <v>0</v>
      </c>
      <c r="O11" s="35" t="str">
        <f ca="1">[1]!s_val_estpb(表1_3121314[[#This Row],[列6]],E11,基本资料!$G$11)</f>
        <v>0</v>
      </c>
      <c r="P11" s="13">
        <f ca="1">[1]!i_val_pb_percentile(表1_3121314[[#This Row],[列6]],E11,基本资料!$D$9,E11)</f>
        <v>97.584541062801932</v>
      </c>
      <c r="Q11" s="26">
        <f ca="1">[1]!s_val_dividendyield2(表1_3121314[[#This Row],[列6]],E11)</f>
        <v>3.8161999999999998</v>
      </c>
      <c r="R11" s="26">
        <f ca="1">[1]!i_val_dividend_percentile(表1_3121314[[#This Row],[列6]],E11,基本资料!$D$9,E11)</f>
        <v>1.4492753623188406</v>
      </c>
      <c r="S11" s="23"/>
    </row>
    <row r="12" spans="1:51" s="24" customFormat="1" ht="16.5" x14ac:dyDescent="0.2">
      <c r="A12" s="1"/>
      <c r="B12" s="5"/>
      <c r="C12" s="53" t="s">
        <v>50</v>
      </c>
      <c r="D12" s="14" t="str">
        <f>[1]!f_info_exchangeshortname(C12)</f>
        <v>地产ETF</v>
      </c>
      <c r="E12" s="49" t="str">
        <f ca="1">[1]!lastradeday_s(C12,TODAY())</f>
        <v>2024-07-16</v>
      </c>
      <c r="F12" s="60" t="str">
        <f>[1]!f_info_trackindexcode(表1_3121314[[#This Row],[列1]])</f>
        <v>931775.CSI</v>
      </c>
      <c r="G12" s="48">
        <f ca="1">[1]!s_val_mv_ard(表1_3121314[[#This Row],[列6]],基本资料!$I$9,100000000)</f>
        <v>14670.81701345</v>
      </c>
      <c r="H12" s="16">
        <f ca="1">[1]!s_val_mv_ard(表1_3121314[[#This Row],[列6]],基本资料!$I$8,100000000)</f>
        <v>11193.06372624</v>
      </c>
      <c r="I12" s="33">
        <f ca="1">[1]!s_val_mv_ard(表1_3121314[[#This Row],[列6]],E12,100000000)</f>
        <v>9239.7639943200011</v>
      </c>
      <c r="J12" s="32"/>
      <c r="K12" s="34">
        <f ca="1">[1]!s_val_pb_lf(表1_3121314[[#This Row],[列6]],基本资料!$I$9)</f>
        <v>0.91710001230239868</v>
      </c>
      <c r="L12" s="16">
        <f ca="1">[1]!s_val_pb_lf(表1_3121314[[#This Row],[列6]],基本资料!$I$8)</f>
        <v>0.72269999980926514</v>
      </c>
      <c r="M12" s="16">
        <f ca="1" xml:space="preserve">  [1]!i_val_pb_mrqwgt(表1_3121314[[#This Row],[列6]],E12)</f>
        <v>1.022</v>
      </c>
      <c r="N12" s="16" t="str">
        <f ca="1">[1]!s_val_estpb(表1_3121314[[#This Row],[列6]],E12,基本资料!$G$7)</f>
        <v>0</v>
      </c>
      <c r="O12" s="35" t="str">
        <f ca="1">[1]!s_val_estpb(表1_3121314[[#This Row],[列6]],E12,基本资料!$G$11)</f>
        <v>0</v>
      </c>
      <c r="P12" s="13">
        <f ca="1">[1]!i_val_pb_percentile(表1_3121314[[#This Row],[列6]],E12,基本资料!$D$9,E12)</f>
        <v>3.1055900621118013</v>
      </c>
      <c r="Q12" s="26">
        <f ca="1">[1]!s_val_dividendyield2(表1_3121314[[#This Row],[列6]],E12)</f>
        <v>1.8556999999999999</v>
      </c>
      <c r="R12" s="26">
        <f ca="1">[1]!i_val_dividend_percentile(表1_3121314[[#This Row],[列6]],E12,基本资料!$D$9,E12)</f>
        <v>3.7267080745341614</v>
      </c>
      <c r="S12" s="23"/>
    </row>
    <row r="13" spans="1:51" s="24" customFormat="1" ht="16.5" x14ac:dyDescent="0.2">
      <c r="A13" s="1"/>
      <c r="B13" s="5"/>
      <c r="C13" s="53" t="s">
        <v>63</v>
      </c>
      <c r="D13" s="14" t="str">
        <f>[1]!f_info_exchangeshortname(C13)</f>
        <v>光伏ETF</v>
      </c>
      <c r="E13" s="49" t="str">
        <f ca="1">[1]!lastradeday_s(C13,TODAY())</f>
        <v>2024-07-16</v>
      </c>
      <c r="F13" s="60" t="str">
        <f>[1]!f_info_trackindexcode(表1_3121314[[#This Row],[列1]])</f>
        <v>931151.CSI</v>
      </c>
      <c r="G13" s="48">
        <f ca="1">[1]!s_val_mv_ard(表1_3121314[[#This Row],[列6]],基本资料!$I$9,100000000)</f>
        <v>25931.106551019999</v>
      </c>
      <c r="H13" s="16">
        <f ca="1">[1]!s_val_mv_ard(表1_3121314[[#This Row],[列6]],基本资料!$I$8,100000000)</f>
        <v>17962.854449219998</v>
      </c>
      <c r="I13" s="33">
        <f ca="1">[1]!s_val_mv_ard(表1_3121314[[#This Row],[列6]],E13,100000000)</f>
        <v>13264.280461820001</v>
      </c>
      <c r="J13" s="32"/>
      <c r="K13" s="34">
        <f ca="1">[1]!s_val_pb_lf(表1_3121314[[#This Row],[列6]],基本资料!$I$9)</f>
        <v>4.2272000312805176</v>
      </c>
      <c r="L13" s="16">
        <f ca="1">[1]!s_val_pb_lf(表1_3121314[[#This Row],[列6]],基本资料!$I$8)</f>
        <v>2.2058000564575195</v>
      </c>
      <c r="M13" s="16">
        <f ca="1" xml:space="preserve">  [1]!i_val_pb_mrqwgt(表1_3121314[[#This Row],[列6]],E13)</f>
        <v>2.3243</v>
      </c>
      <c r="N13" s="16" t="str">
        <f ca="1">[1]!s_val_estpb(表1_3121314[[#This Row],[列6]],E13,基本资料!$G$7)</f>
        <v>0</v>
      </c>
      <c r="O13" s="35" t="str">
        <f ca="1">[1]!s_val_estpb(表1_3121314[[#This Row],[列6]],E13,基本资料!$G$11)</f>
        <v>0</v>
      </c>
      <c r="P13" s="13">
        <f ca="1">[1]!i_val_pb_percentile(表1_3121314[[#This Row],[列6]],E13,基本资料!$D$9,E13)</f>
        <v>1.4492753623188406</v>
      </c>
      <c r="Q13" s="26">
        <f ca="1">[1]!s_val_dividendyield2(表1_3121314[[#This Row],[列6]],E13)</f>
        <v>2.6772999999999998</v>
      </c>
      <c r="R13" s="26">
        <f ca="1">[1]!i_val_dividend_percentile(表1_3121314[[#This Row],[列6]],E13,基本资料!$D$9,E13)</f>
        <v>93.16770186335404</v>
      </c>
      <c r="S13" s="23"/>
    </row>
    <row r="14" spans="1:51" s="24" customFormat="1" ht="16.5" x14ac:dyDescent="0.2">
      <c r="A14" s="1"/>
      <c r="B14" s="5"/>
      <c r="C14" s="53" t="s">
        <v>44</v>
      </c>
      <c r="D14" s="14" t="str">
        <f>[1]!f_info_exchangeshortname(C14)</f>
        <v>家电ETF</v>
      </c>
      <c r="E14" s="49" t="str">
        <f ca="1">[1]!lastradeday_s(C14,TODAY())</f>
        <v>2024-07-16</v>
      </c>
      <c r="F14" s="60" t="str">
        <f>[1]!f_info_trackindexcode(表1_3121314[[#This Row],[列1]])</f>
        <v>930697.CSI</v>
      </c>
      <c r="G14" s="48">
        <f ca="1">[1]!s_val_mv_ard(表1_3121314[[#This Row],[列6]],基本资料!$I$9,100000000)</f>
        <v>15194.79135354</v>
      </c>
      <c r="H14" s="16">
        <f ca="1">[1]!s_val_mv_ard(表1_3121314[[#This Row],[列6]],基本资料!$I$8,100000000)</f>
        <v>15732.419525960002</v>
      </c>
      <c r="I14" s="33">
        <f ca="1">[1]!s_val_mv_ard(表1_3121314[[#This Row],[列6]],E14,100000000)</f>
        <v>16215.73703464</v>
      </c>
      <c r="J14" s="32"/>
      <c r="K14" s="34">
        <f ca="1">[1]!s_val_pb_lf(表1_3121314[[#This Row],[列6]],基本资料!$I$9)</f>
        <v>2.6958000659942627</v>
      </c>
      <c r="L14" s="16">
        <f ca="1">[1]!s_val_pb_lf(表1_3121314[[#This Row],[列6]],基本资料!$I$8)</f>
        <v>2.4379000663757324</v>
      </c>
      <c r="M14" s="16">
        <f ca="1" xml:space="preserve">  [1]!i_val_pb_mrqwgt(表1_3121314[[#This Row],[列6]],E14)</f>
        <v>2.7684000000000002</v>
      </c>
      <c r="N14" s="16" t="str">
        <f ca="1">[1]!s_val_estpb(表1_3121314[[#This Row],[列6]],E14,基本资料!$G$7)</f>
        <v>0</v>
      </c>
      <c r="O14" s="35" t="str">
        <f ca="1">[1]!s_val_estpb(表1_3121314[[#This Row],[列6]],E14,基本资料!$G$11)</f>
        <v>0</v>
      </c>
      <c r="P14" s="13">
        <f ca="1">[1]!i_val_pb_percentile(表1_3121314[[#This Row],[列6]],E14,基本资料!$D$9,E14)</f>
        <v>16.356107660455489</v>
      </c>
      <c r="Q14" s="26">
        <f ca="1">[1]!s_val_dividendyield2(表1_3121314[[#This Row],[列6]],E14)</f>
        <v>3.0653000000000001</v>
      </c>
      <c r="R14" s="26">
        <f ca="1">[1]!i_val_dividend_percentile(表1_3121314[[#This Row],[列6]],E14,基本资料!$D$9,E14)</f>
        <v>42.857142857142854</v>
      </c>
      <c r="S14" s="23"/>
    </row>
    <row r="15" spans="1:51" s="24" customFormat="1" ht="16.5" x14ac:dyDescent="0.2">
      <c r="A15" s="1"/>
      <c r="B15" s="5"/>
      <c r="C15" s="53" t="s">
        <v>38</v>
      </c>
      <c r="D15" s="14" t="str">
        <f>[1]!f_info_exchangeshortname(C15)</f>
        <v>交通运输ETF</v>
      </c>
      <c r="E15" s="49" t="str">
        <f ca="1">[1]!lastradeday_s(C15,TODAY())</f>
        <v>2024-07-16</v>
      </c>
      <c r="F15" s="60" t="str">
        <f>[1]!f_info_trackindexcode(表1_3121314[[#This Row],[列1]])</f>
        <v>h30171.CSI</v>
      </c>
      <c r="G15" s="48">
        <f ca="1">[1]!s_val_mv_ard(表1_3121314[[#This Row],[列6]],基本资料!$I$9,100000000)</f>
        <v>29232.965726210001</v>
      </c>
      <c r="H15" s="16">
        <f ca="1">[1]!s_val_mv_ard(表1_3121314[[#This Row],[列6]],基本资料!$I$8,100000000)</f>
        <v>25620.91917297</v>
      </c>
      <c r="I15" s="33">
        <f ca="1">[1]!s_val_mv_ard(表1_3121314[[#This Row],[列6]],E15,100000000)</f>
        <v>27839.524434710002</v>
      </c>
      <c r="J15" s="32"/>
      <c r="K15" s="34">
        <f ca="1">[1]!s_val_pb_lf(表1_3121314[[#This Row],[列6]],基本资料!$I$9)</f>
        <v>1.4703999757766724</v>
      </c>
      <c r="L15" s="16">
        <f ca="1">[1]!s_val_pb_lf(表1_3121314[[#This Row],[列6]],基本资料!$I$8)</f>
        <v>1.2400000095367432</v>
      </c>
      <c r="M15" s="16">
        <f ca="1" xml:space="preserve">  [1]!i_val_pb_mrqwgt(表1_3121314[[#This Row],[列6]],E15)</f>
        <v>1.6556</v>
      </c>
      <c r="N15" s="16" t="str">
        <f ca="1">[1]!s_val_estpb(表1_3121314[[#This Row],[列6]],E15,基本资料!$G$7)</f>
        <v>0</v>
      </c>
      <c r="O15" s="35" t="str">
        <f ca="1">[1]!s_val_estpb(表1_3121314[[#This Row],[列6]],E15,基本资料!$G$11)</f>
        <v>0</v>
      </c>
      <c r="P15" s="13">
        <f ca="1">[1]!i_val_pb_percentile(表1_3121314[[#This Row],[列6]],E15,基本资料!$D$9,E15)</f>
        <v>28.778467908902694</v>
      </c>
      <c r="Q15" s="26">
        <f ca="1">[1]!s_val_dividendyield2(表1_3121314[[#This Row],[列6]],E15)</f>
        <v>2.4851999999999999</v>
      </c>
      <c r="R15" s="26">
        <f ca="1">[1]!i_val_dividend_percentile(表1_3121314[[#This Row],[列6]],E15,基本资料!$D$9,E15)</f>
        <v>21.532091097308488</v>
      </c>
      <c r="S15" s="23"/>
    </row>
    <row r="16" spans="1:51" s="24" customFormat="1" ht="16.5" x14ac:dyDescent="0.2">
      <c r="A16" s="1"/>
      <c r="B16" s="5"/>
      <c r="C16" s="53" t="s">
        <v>53</v>
      </c>
      <c r="D16" s="14" t="str">
        <f>[1]!f_info_exchangeshortname(C16)</f>
        <v>酒ETF</v>
      </c>
      <c r="E16" s="49" t="str">
        <f ca="1">[1]!lastradeday_s(C16,TODAY())</f>
        <v>2024-07-16</v>
      </c>
      <c r="F16" s="60" t="str">
        <f>[1]!f_info_trackindexcode(表1_3121314[[#This Row],[列1]])</f>
        <v>399987.SZ</v>
      </c>
      <c r="G16" s="48">
        <f ca="1">[1]!s_val_mv_ard(表1_3121314[[#This Row],[列6]],基本资料!$I$9,100000000)</f>
        <v>46735.213150459997</v>
      </c>
      <c r="H16" s="16">
        <f ca="1">[1]!s_val_mv_ard(表1_3121314[[#This Row],[列6]],基本资料!$I$8,100000000)</f>
        <v>41023.275098110003</v>
      </c>
      <c r="I16" s="33">
        <f ca="1">[1]!s_val_mv_ard(表1_3121314[[#This Row],[列6]],E16,100000000)</f>
        <v>34857.513881129998</v>
      </c>
      <c r="J16" s="32"/>
      <c r="K16" s="34">
        <f ca="1">[1]!s_val_pb_lf(表1_3121314[[#This Row],[列6]],基本资料!$I$9)</f>
        <v>8.5615997314453125</v>
      </c>
      <c r="L16" s="16">
        <f ca="1">[1]!s_val_pb_lf(表1_3121314[[#This Row],[列6]],基本资料!$I$8)</f>
        <v>6.741300106048584</v>
      </c>
      <c r="M16" s="16">
        <f ca="1" xml:space="preserve">  [1]!i_val_pb_mrqwgt(表1_3121314[[#This Row],[列6]],E16)</f>
        <v>5.5961999999999996</v>
      </c>
      <c r="N16" s="16" t="str">
        <f ca="1">[1]!s_val_estpb(表1_3121314[[#This Row],[列6]],E16,基本资料!$G$7)</f>
        <v>0</v>
      </c>
      <c r="O16" s="35" t="str">
        <f ca="1">[1]!s_val_estpb(表1_3121314[[#This Row],[列6]],E16,基本资料!$G$11)</f>
        <v>0</v>
      </c>
      <c r="P16" s="13">
        <f ca="1">[1]!i_val_pb_percentile(表1_3121314[[#This Row],[列6]],E16,基本资料!$D$9,E16)</f>
        <v>4.7619047619047619</v>
      </c>
      <c r="Q16" s="26">
        <f ca="1">[1]!s_val_dividendyield2(表1_3121314[[#This Row],[列6]],E16)</f>
        <v>3.2128999999999999</v>
      </c>
      <c r="R16" s="26">
        <f ca="1">[1]!i_val_dividend_percentile(表1_3121314[[#This Row],[列6]],E16,基本资料!$D$9,E16)</f>
        <v>97.515527950310556</v>
      </c>
      <c r="S16" s="23"/>
    </row>
    <row r="17" spans="1:19" s="24" customFormat="1" ht="16.5" x14ac:dyDescent="0.2">
      <c r="A17" s="1"/>
      <c r="B17" s="5"/>
      <c r="C17" s="53" t="s">
        <v>43</v>
      </c>
      <c r="D17" s="14" t="str">
        <f>[1]!f_info_exchangeshortname(C17)</f>
        <v>医疗器械ETF</v>
      </c>
      <c r="E17" s="49" t="str">
        <f ca="1">[1]!lastradeday_s(C17,TODAY())</f>
        <v>2024-07-16</v>
      </c>
      <c r="F17" s="60" t="str">
        <f>[1]!f_info_trackindexcode(表1_3121314[[#This Row],[列1]])</f>
        <v>h30217.CSI</v>
      </c>
      <c r="G17" s="48">
        <f ca="1">[1]!s_val_mv_ard(表1_3121314[[#This Row],[列6]],基本资料!$I$9,100000000)</f>
        <v>16112.620297670001</v>
      </c>
      <c r="H17" s="16">
        <f ca="1">[1]!s_val_mv_ard(表1_3121314[[#This Row],[列6]],基本资料!$I$8,100000000)</f>
        <v>15060.312354409998</v>
      </c>
      <c r="I17" s="33">
        <f ca="1">[1]!s_val_mv_ard(表1_3121314[[#This Row],[列6]],E17,100000000)</f>
        <v>12311.155338160001</v>
      </c>
      <c r="J17" s="32"/>
      <c r="K17" s="34">
        <f ca="1">[1]!s_val_pb_lf(表1_3121314[[#This Row],[列6]],基本资料!$I$9)</f>
        <v>4.3182997703552246</v>
      </c>
      <c r="L17" s="16">
        <f ca="1">[1]!s_val_pb_lf(表1_3121314[[#This Row],[列6]],基本资料!$I$8)</f>
        <v>3.6040999889373779</v>
      </c>
      <c r="M17" s="16">
        <f ca="1" xml:space="preserve">  [1]!i_val_pb_mrqwgt(表1_3121314[[#This Row],[列6]],E17)</f>
        <v>4.7835000000000001</v>
      </c>
      <c r="N17" s="16" t="str">
        <f ca="1">[1]!s_val_estpb(表1_3121314[[#This Row],[列6]],E17,基本资料!$G$7)</f>
        <v>0</v>
      </c>
      <c r="O17" s="35" t="str">
        <f ca="1">[1]!s_val_estpb(表1_3121314[[#This Row],[列6]],E17,基本资料!$G$11)</f>
        <v>0</v>
      </c>
      <c r="P17" s="13">
        <f ca="1">[1]!i_val_pb_percentile(表1_3121314[[#This Row],[列6]],E17,基本资料!$D$9,E17)</f>
        <v>0.82815734989648038</v>
      </c>
      <c r="Q17" s="26">
        <f ca="1">[1]!s_val_dividendyield2(表1_3121314[[#This Row],[列6]],E17)</f>
        <v>1.4998</v>
      </c>
      <c r="R17" s="26">
        <f ca="1">[1]!i_val_dividend_percentile(表1_3121314[[#This Row],[列6]],E17,基本资料!$D$9,E17)</f>
        <v>49.275362318840585</v>
      </c>
      <c r="S17" s="23"/>
    </row>
    <row r="18" spans="1:19" s="24" customFormat="1" ht="16.5" x14ac:dyDescent="0.2">
      <c r="A18" s="1"/>
      <c r="B18" s="5"/>
      <c r="C18" s="53" t="s">
        <v>66</v>
      </c>
      <c r="D18" s="14" t="str">
        <f>[1]!f_info_exchangeshortname(C18)</f>
        <v>电力ETF</v>
      </c>
      <c r="E18" s="49" t="str">
        <f ca="1">[1]!lastradeday_s(C18,TODAY())</f>
        <v>2024-07-16</v>
      </c>
      <c r="F18" s="60" t="str">
        <f>[1]!f_info_trackindexcode(表1_3121314[[#This Row],[列1]])</f>
        <v>h30199.CSI</v>
      </c>
      <c r="G18" s="48">
        <f ca="1">[1]!s_val_mv_ard(表1_3121314[[#This Row],[列6]],基本资料!$I$9,100000000)</f>
        <v>22974.003769300001</v>
      </c>
      <c r="H18" s="16">
        <f ca="1">[1]!s_val_mv_ard(表1_3121314[[#This Row],[列6]],基本资料!$I$8,100000000)</f>
        <v>25102.266265689999</v>
      </c>
      <c r="I18" s="33">
        <f ca="1">[1]!s_val_mv_ard(表1_3121314[[#This Row],[列6]],E18,100000000)</f>
        <v>31294.303354650005</v>
      </c>
      <c r="J18" s="32"/>
      <c r="K18" s="34">
        <f ca="1">[1]!s_val_pb_lf(表1_3121314[[#This Row],[列6]],基本资料!$I$9)</f>
        <v>1.7288000583648682</v>
      </c>
      <c r="L18" s="16">
        <f ca="1">[1]!s_val_pb_lf(表1_3121314[[#This Row],[列6]],基本资料!$I$8)</f>
        <v>1.6750999689102173</v>
      </c>
      <c r="M18" s="16">
        <f ca="1" xml:space="preserve">  [1]!i_val_pb_mrqwgt(表1_3121314[[#This Row],[列6]],E18)</f>
        <v>2.1120000000000001</v>
      </c>
      <c r="N18" s="16" t="str">
        <f ca="1">[1]!s_val_estpb(表1_3121314[[#This Row],[列6]],E18,基本资料!$G$7)</f>
        <v>0</v>
      </c>
      <c r="O18" s="35" t="str">
        <f ca="1">[1]!s_val_estpb(表1_3121314[[#This Row],[列6]],E18,基本资料!$G$11)</f>
        <v>0</v>
      </c>
      <c r="P18" s="13">
        <f ca="1">[1]!i_val_pb_percentile(表1_3121314[[#This Row],[列6]],E18,基本资料!$D$9,E18)</f>
        <v>99.378881987577643</v>
      </c>
      <c r="Q18" s="26">
        <f ca="1">[1]!s_val_dividendyield2(表1_3121314[[#This Row],[列6]],E18)</f>
        <v>1.9771000000000001</v>
      </c>
      <c r="R18" s="26">
        <f ca="1">[1]!i_val_dividend_percentile(表1_3121314[[#This Row],[列6]],E18,基本资料!$D$9,E18)</f>
        <v>48.240165631469978</v>
      </c>
      <c r="S18" s="23"/>
    </row>
    <row r="19" spans="1:19" s="24" customFormat="1" ht="16.5" x14ac:dyDescent="0.2">
      <c r="A19" s="1"/>
      <c r="B19" s="5"/>
      <c r="C19" s="53" t="s">
        <v>49</v>
      </c>
      <c r="D19" s="14" t="str">
        <f>[1]!f_info_exchangeshortname(C19)</f>
        <v>医疗ETF</v>
      </c>
      <c r="E19" s="49" t="str">
        <f ca="1">[1]!lastradeday_s(C19,TODAY())</f>
        <v>2024-07-16</v>
      </c>
      <c r="F19" s="60" t="str">
        <f>[1]!f_info_trackindexcode(表1_3121314[[#This Row],[列1]])</f>
        <v>399989.SZ</v>
      </c>
      <c r="G19" s="48">
        <f ca="1">[1]!s_val_mv_ard(表1_3121314[[#This Row],[列6]],基本资料!$I$9,100000000)</f>
        <v>22801.758893540002</v>
      </c>
      <c r="H19" s="16">
        <f ca="1">[1]!s_val_mv_ard(表1_3121314[[#This Row],[列6]],基本资料!$I$8,100000000)</f>
        <v>18692.985141590001</v>
      </c>
      <c r="I19" s="33">
        <f ca="1">[1]!s_val_mv_ard(表1_3121314[[#This Row],[列6]],E19,100000000)</f>
        <v>14044.37555909</v>
      </c>
      <c r="J19" s="32"/>
      <c r="K19" s="34">
        <f ca="1">[1]!s_val_pb_lf(表1_3121314[[#This Row],[列6]],基本资料!$I$9)</f>
        <v>5.7044000625610352</v>
      </c>
      <c r="L19" s="16">
        <f ca="1">[1]!s_val_pb_lf(表1_3121314[[#This Row],[列6]],基本资料!$I$8)</f>
        <v>4.3112998008728027</v>
      </c>
      <c r="M19" s="16">
        <f ca="1" xml:space="preserve">  [1]!i_val_pb_mrqwgt(表1_3121314[[#This Row],[列6]],E19)</f>
        <v>4.3716999999999997</v>
      </c>
      <c r="N19" s="16" t="str">
        <f ca="1">[1]!s_val_estpb(表1_3121314[[#This Row],[列6]],E19,基本资料!$G$7)</f>
        <v>0</v>
      </c>
      <c r="O19" s="35" t="str">
        <f ca="1">[1]!s_val_estpb(表1_3121314[[#This Row],[列6]],E19,基本资料!$G$11)</f>
        <v>0</v>
      </c>
      <c r="P19" s="13">
        <f ca="1">[1]!i_val_pb_percentile(表1_3121314[[#This Row],[列6]],E19,基本资料!$D$9,E19)</f>
        <v>1.0351966873706004</v>
      </c>
      <c r="Q19" s="26">
        <f ca="1">[1]!s_val_dividendyield2(表1_3121314[[#This Row],[列6]],E19)</f>
        <v>1.5742</v>
      </c>
      <c r="R19" s="26">
        <f ca="1">[1]!i_val_dividend_percentile(表1_3121314[[#This Row],[列6]],E19,基本资料!$D$9,E19)</f>
        <v>72.67080745341616</v>
      </c>
      <c r="S19" s="23"/>
    </row>
    <row r="20" spans="1:19" s="24" customFormat="1" ht="16.5" x14ac:dyDescent="0.2">
      <c r="A20" s="1"/>
      <c r="B20" s="5"/>
      <c r="C20" s="53" t="s">
        <v>55</v>
      </c>
      <c r="D20" s="14" t="str">
        <f>[1]!f_info_exchangeshortname(C20)</f>
        <v>传媒ETF</v>
      </c>
      <c r="E20" s="49" t="str">
        <f ca="1">[1]!lastradeday_s(C20,TODAY())</f>
        <v>2024-07-16</v>
      </c>
      <c r="F20" s="60" t="str">
        <f>[1]!f_info_trackindexcode(表1_3121314[[#This Row],[列1]])</f>
        <v>399971.SZ</v>
      </c>
      <c r="G20" s="48">
        <f ca="1">[1]!s_val_mv_ard(表1_3121314[[#This Row],[列6]],基本资料!$I$9,100000000)</f>
        <v>7930.4340701299998</v>
      </c>
      <c r="H20" s="16">
        <f ca="1">[1]!s_val_mv_ard(表1_3121314[[#This Row],[列6]],基本资料!$I$8,100000000)</f>
        <v>9785.1501088999994</v>
      </c>
      <c r="I20" s="33">
        <f ca="1">[1]!s_val_mv_ard(表1_3121314[[#This Row],[列6]],E20,100000000)</f>
        <v>8101.9217034200001</v>
      </c>
      <c r="J20" s="32"/>
      <c r="K20" s="34">
        <f ca="1">[1]!s_val_pb_lf(表1_3121314[[#This Row],[列6]],基本资料!$I$9)</f>
        <v>1.8009999990463257</v>
      </c>
      <c r="L20" s="16">
        <f ca="1">[1]!s_val_pb_lf(表1_3121314[[#This Row],[列6]],基本资料!$I$8)</f>
        <v>2.0566000938415527</v>
      </c>
      <c r="M20" s="16">
        <f ca="1" xml:space="preserve">  [1]!i_val_pb_mrqwgt(表1_3121314[[#This Row],[列6]],E20)</f>
        <v>2.6938</v>
      </c>
      <c r="N20" s="16" t="str">
        <f ca="1">[1]!s_val_estpb(表1_3121314[[#This Row],[列6]],E20,基本资料!$G$7)</f>
        <v>0</v>
      </c>
      <c r="O20" s="35" t="str">
        <f ca="1">[1]!s_val_estpb(表1_3121314[[#This Row],[列6]],E20,基本资料!$G$11)</f>
        <v>0</v>
      </c>
      <c r="P20" s="13">
        <f ca="1">[1]!i_val_pb_percentile(表1_3121314[[#This Row],[列6]],E20,基本资料!$D$9,E20)</f>
        <v>6.4182194616977233</v>
      </c>
      <c r="Q20" s="26">
        <f ca="1">[1]!s_val_dividendyield2(表1_3121314[[#This Row],[列6]],E20)</f>
        <v>2.8279000000000001</v>
      </c>
      <c r="R20" s="26">
        <f ca="1">[1]!i_val_dividend_percentile(表1_3121314[[#This Row],[列6]],E20,基本资料!$D$9,E20)</f>
        <v>95.238095238095227</v>
      </c>
      <c r="S20" s="23"/>
    </row>
    <row r="21" spans="1:19" s="24" customFormat="1" ht="16.5" x14ac:dyDescent="0.2">
      <c r="A21" s="1"/>
      <c r="B21" s="5"/>
      <c r="C21" s="53" t="s">
        <v>37</v>
      </c>
      <c r="D21" s="14" t="str">
        <f>[1]!f_info_exchangeshortname(C21)</f>
        <v>中药ETF</v>
      </c>
      <c r="E21" s="49" t="str">
        <f ca="1">[1]!lastradeday_s(C21,TODAY())</f>
        <v>2024-07-16</v>
      </c>
      <c r="F21" s="60" t="str">
        <f>[1]!f_info_trackindexcode(表1_3121314[[#This Row],[列1]])</f>
        <v>930641.CSI</v>
      </c>
      <c r="G21" s="48">
        <f ca="1">[1]!s_val_mv_ard(表1_3121314[[#This Row],[列6]],基本资料!$I$9,100000000)</f>
        <v>9284.6551102800004</v>
      </c>
      <c r="H21" s="16">
        <f ca="1">[1]!s_val_mv_ard(表1_3121314[[#This Row],[列6]],基本资料!$I$8,100000000)</f>
        <v>9243.4257081600008</v>
      </c>
      <c r="I21" s="33">
        <f ca="1">[1]!s_val_mv_ard(表1_3121314[[#This Row],[列6]],E21,100000000)</f>
        <v>7944.0157008799997</v>
      </c>
      <c r="J21" s="32"/>
      <c r="K21" s="34">
        <f ca="1">[1]!s_val_pb_lf(表1_3121314[[#This Row],[列6]],基本资料!$I$9)</f>
        <v>2.9298000335693359</v>
      </c>
      <c r="L21" s="16">
        <f ca="1">[1]!s_val_pb_lf(表1_3121314[[#This Row],[列6]],基本资料!$I$8)</f>
        <v>2.7593998908996582</v>
      </c>
      <c r="M21" s="16">
        <f ca="1" xml:space="preserve">  [1]!i_val_pb_mrqwgt(表1_3121314[[#This Row],[列6]],E21)</f>
        <v>3.4897999999999998</v>
      </c>
      <c r="N21" s="16" t="str">
        <f ca="1">[1]!s_val_estpb(表1_3121314[[#This Row],[列6]],E21,基本资料!$G$7)</f>
        <v>0</v>
      </c>
      <c r="O21" s="35" t="str">
        <f ca="1">[1]!s_val_estpb(表1_3121314[[#This Row],[列6]],E21,基本资料!$G$11)</f>
        <v>0</v>
      </c>
      <c r="P21" s="13">
        <f ca="1">[1]!i_val_pb_percentile(表1_3121314[[#This Row],[列6]],E21,基本资料!$D$9,E21)</f>
        <v>2.8985507246376812</v>
      </c>
      <c r="Q21" s="26">
        <f ca="1">[1]!s_val_dividendyield2(表1_3121314[[#This Row],[列6]],E21)</f>
        <v>2.694</v>
      </c>
      <c r="R21" s="26">
        <f ca="1">[1]!i_val_dividend_percentile(表1_3121314[[#This Row],[列6]],E21,基本资料!$D$9,E21)</f>
        <v>99.378881987577643</v>
      </c>
      <c r="S21" s="23"/>
    </row>
    <row r="22" spans="1:19" s="24" customFormat="1" ht="16.5" x14ac:dyDescent="0.2">
      <c r="A22" s="1"/>
      <c r="B22" s="5"/>
      <c r="C22" s="53" t="s">
        <v>48</v>
      </c>
      <c r="D22" s="14" t="str">
        <f>[1]!f_info_exchangeshortname(C22)</f>
        <v>医药ETF</v>
      </c>
      <c r="E22" s="49" t="str">
        <f ca="1">[1]!lastradeday_s(C22,TODAY())</f>
        <v>2024-07-16</v>
      </c>
      <c r="F22" s="60" t="str">
        <f>[1]!f_info_trackindexcode(表1_3121314[[#This Row],[列1]])</f>
        <v>000913.SH</v>
      </c>
      <c r="G22" s="48">
        <f ca="1">[1]!s_val_mv_ard(表1_3121314[[#This Row],[列6]],基本资料!$I$9,100000000)</f>
        <v>27061.025942420001</v>
      </c>
      <c r="H22" s="16">
        <f ca="1">[1]!s_val_mv_ard(表1_3121314[[#This Row],[列6]],基本资料!$I$8,100000000)</f>
        <v>24522.095956109999</v>
      </c>
      <c r="I22" s="33">
        <f ca="1">[1]!s_val_mv_ard(表1_3121314[[#This Row],[列6]],E22,100000000)</f>
        <v>20652.779005740002</v>
      </c>
      <c r="J22" s="32"/>
      <c r="K22" s="34">
        <f ca="1">[1]!s_val_pb_lf(表1_3121314[[#This Row],[列6]],基本资料!$I$9)</f>
        <v>5.6212000846862793</v>
      </c>
      <c r="L22" s="16">
        <f ca="1">[1]!s_val_pb_lf(表1_3121314[[#This Row],[列6]],基本资料!$I$8)</f>
        <v>3.9526000022888184</v>
      </c>
      <c r="M22" s="16">
        <f ca="1" xml:space="preserve">  [1]!i_val_pb_mrqwgt(表1_3121314[[#This Row],[列6]],E22)</f>
        <v>5.0090000000000003</v>
      </c>
      <c r="N22" s="16" t="str">
        <f ca="1">[1]!s_val_estpb(表1_3121314[[#This Row],[列6]],E22,基本资料!$G$7)</f>
        <v>0</v>
      </c>
      <c r="O22" s="35" t="str">
        <f ca="1">[1]!s_val_estpb(表1_3121314[[#This Row],[列6]],E22,基本资料!$G$11)</f>
        <v>0</v>
      </c>
      <c r="P22" s="13">
        <f ca="1">[1]!i_val_pb_percentile(表1_3121314[[#This Row],[列6]],E22,基本资料!$D$9,E22)</f>
        <v>1.4492753623188406</v>
      </c>
      <c r="Q22" s="26">
        <f ca="1">[1]!s_val_dividendyield2(表1_3121314[[#This Row],[列6]],E22)</f>
        <v>1.6649</v>
      </c>
      <c r="R22" s="26">
        <f ca="1">[1]!i_val_dividend_percentile(表1_3121314[[#This Row],[列6]],E22,基本资料!$D$9,E22)</f>
        <v>97.101449275362313</v>
      </c>
      <c r="S22" s="23"/>
    </row>
    <row r="23" spans="1:19" s="24" customFormat="1" ht="16.5" x14ac:dyDescent="0.2">
      <c r="A23" s="1"/>
      <c r="B23" s="5"/>
      <c r="C23" s="53" t="s">
        <v>47</v>
      </c>
      <c r="D23" s="14" t="str">
        <f>[1]!f_info_exchangeshortname(C23)</f>
        <v>券商ETF</v>
      </c>
      <c r="E23" s="49" t="str">
        <f ca="1">[1]!lastradeday_s(C23,TODAY())</f>
        <v>2024-07-16</v>
      </c>
      <c r="F23" s="60" t="str">
        <f>[1]!f_info_trackindexcode(表1_3121314[[#This Row],[列1]])</f>
        <v>399975.SZ</v>
      </c>
      <c r="G23" s="48">
        <f ca="1">[1]!s_val_mv_ard(表1_3121314[[#This Row],[列6]],基本资料!$I$9,100000000)</f>
        <v>28645.352188410001</v>
      </c>
      <c r="H23" s="16">
        <f ca="1">[1]!s_val_mv_ard(表1_3121314[[#This Row],[列6]],基本资料!$I$8,100000000)</f>
        <v>30065.0617853</v>
      </c>
      <c r="I23" s="33">
        <f ca="1">[1]!s_val_mv_ard(表1_3121314[[#This Row],[列6]],E23,100000000)</f>
        <v>26336.13971508</v>
      </c>
      <c r="J23" s="32"/>
      <c r="K23" s="34">
        <f ca="1">[1]!s_val_pb_lf(表1_3121314[[#This Row],[列6]],基本资料!$I$9)</f>
        <v>1.2608000040054321</v>
      </c>
      <c r="L23" s="16">
        <f ca="1">[1]!s_val_pb_lf(表1_3121314[[#This Row],[列6]],基本资料!$I$8)</f>
        <v>1.2927000522613525</v>
      </c>
      <c r="M23" s="16">
        <f ca="1" xml:space="preserve">  [1]!i_val_pb_mrqwgt(表1_3121314[[#This Row],[列6]],E23)</f>
        <v>1.2230000000000001</v>
      </c>
      <c r="N23" s="16" t="str">
        <f ca="1">[1]!s_val_estpb(表1_3121314[[#This Row],[列6]],E23,基本资料!$G$7)</f>
        <v>0</v>
      </c>
      <c r="O23" s="35" t="str">
        <f ca="1">[1]!s_val_estpb(表1_3121314[[#This Row],[列6]],E23,基本资料!$G$11)</f>
        <v>0</v>
      </c>
      <c r="P23" s="13">
        <f ca="1">[1]!i_val_pb_percentile(表1_3121314[[#This Row],[列6]],E23,基本资料!$D$9,E23)</f>
        <v>1.0351966873706004</v>
      </c>
      <c r="Q23" s="26">
        <f ca="1">[1]!s_val_dividendyield2(表1_3121314[[#This Row],[列6]],E23)</f>
        <v>1.6906000000000001</v>
      </c>
      <c r="R23" s="26">
        <f ca="1">[1]!i_val_dividend_percentile(表1_3121314[[#This Row],[列6]],E23,基本资料!$D$9,E23)</f>
        <v>46.376811594202898</v>
      </c>
      <c r="S23" s="23"/>
    </row>
    <row r="24" spans="1:19" s="24" customFormat="1" ht="16.5" x14ac:dyDescent="0.2">
      <c r="A24" s="1"/>
      <c r="B24" s="5"/>
      <c r="C24" s="53" t="s">
        <v>42</v>
      </c>
      <c r="D24" s="14" t="str">
        <f>[1]!f_info_exchangeshortname(C24)</f>
        <v>游戏ETF</v>
      </c>
      <c r="E24" s="49" t="str">
        <f ca="1">[1]!lastradeday_s(C24,TODAY())</f>
        <v>2024-07-16</v>
      </c>
      <c r="F24" s="60" t="str">
        <f>[1]!f_info_trackindexcode(表1_3121314[[#This Row],[列1]])</f>
        <v>930901.CSI</v>
      </c>
      <c r="G24" s="48">
        <f ca="1">[1]!s_val_mv_ard(表1_3121314[[#This Row],[列6]],基本资料!$I$9,100000000)</f>
        <v>3019.71039518</v>
      </c>
      <c r="H24" s="16">
        <f ca="1">[1]!s_val_mv_ard(表1_3121314[[#This Row],[列6]],基本资料!$I$8,100000000)</f>
        <v>4138.53148745</v>
      </c>
      <c r="I24" s="33">
        <f ca="1">[1]!s_val_mv_ard(表1_3121314[[#This Row],[列6]],E24,100000000)</f>
        <v>2984.9498005700002</v>
      </c>
      <c r="J24" s="32"/>
      <c r="K24" s="34">
        <f ca="1">[1]!s_val_pb_lf(表1_3121314[[#This Row],[列6]],基本资料!$I$9)</f>
        <v>1.9764000177383423</v>
      </c>
      <c r="L24" s="16">
        <f ca="1">[1]!s_val_pb_lf(表1_3121314[[#This Row],[列6]],基本资料!$I$8)</f>
        <v>2.6702001094818115</v>
      </c>
      <c r="M24" s="16">
        <f ca="1" xml:space="preserve">  [1]!i_val_pb_mrqwgt(表1_3121314[[#This Row],[列6]],E24)</f>
        <v>2.4036</v>
      </c>
      <c r="N24" s="16" t="str">
        <f ca="1">[1]!s_val_estpb(表1_3121314[[#This Row],[列6]],E24,基本资料!$G$7)</f>
        <v>0</v>
      </c>
      <c r="O24" s="35" t="str">
        <f ca="1">[1]!s_val_estpb(表1_3121314[[#This Row],[列6]],E24,基本资料!$G$11)</f>
        <v>0</v>
      </c>
      <c r="P24" s="13">
        <f ca="1">[1]!i_val_pb_percentile(表1_3121314[[#This Row],[列6]],E24,基本资料!$D$9,E24)</f>
        <v>8.9026915113871627</v>
      </c>
      <c r="Q24" s="26">
        <f ca="1">[1]!s_val_dividendyield2(表1_3121314[[#This Row],[列6]],E24)</f>
        <v>1.9756</v>
      </c>
      <c r="R24" s="26">
        <f ca="1">[1]!i_val_dividend_percentile(表1_3121314[[#This Row],[列6]],E24,基本资料!$D$9,E24)</f>
        <v>73.291925465838517</v>
      </c>
      <c r="S24" s="23"/>
    </row>
    <row r="25" spans="1:19" s="24" customFormat="1" ht="16.5" x14ac:dyDescent="0.2">
      <c r="A25" s="1"/>
      <c r="B25" s="5"/>
      <c r="C25" s="53" t="s">
        <v>41</v>
      </c>
      <c r="D25" s="14" t="str">
        <f>[1]!f_info_exchangeshortname(C25)</f>
        <v>养殖ETF</v>
      </c>
      <c r="E25" s="49" t="str">
        <f ca="1">[1]!lastradeday_s(C25,TODAY())</f>
        <v>2024-07-16</v>
      </c>
      <c r="F25" s="60" t="str">
        <f>[1]!f_info_trackindexcode(表1_3121314[[#This Row],[列1]])</f>
        <v>930707.CSI</v>
      </c>
      <c r="G25" s="48">
        <f ca="1">[1]!s_val_mv_ard(表1_3121314[[#This Row],[列6]],基本资料!$I$9,100000000)</f>
        <v>9295.6172814099991</v>
      </c>
      <c r="H25" s="16">
        <f ca="1">[1]!s_val_mv_ard(表1_3121314[[#This Row],[列6]],基本资料!$I$8,100000000)</f>
        <v>7739.8147777599997</v>
      </c>
      <c r="I25" s="33">
        <f ca="1">[1]!s_val_mv_ard(表1_3121314[[#This Row],[列6]],E25,100000000)</f>
        <v>6876.2402301000002</v>
      </c>
      <c r="J25" s="32"/>
      <c r="K25" s="34">
        <f ca="1">[1]!s_val_pb_lf(表1_3121314[[#This Row],[列6]],基本资料!$I$9)</f>
        <v>3.3124001026153564</v>
      </c>
      <c r="L25" s="16">
        <f ca="1">[1]!s_val_pb_lf(表1_3121314[[#This Row],[列6]],基本资料!$I$8)</f>
        <v>2.836400032043457</v>
      </c>
      <c r="M25" s="16">
        <f ca="1" xml:space="preserve">  [1]!i_val_pb_mrqwgt(表1_3121314[[#This Row],[列6]],E25)</f>
        <v>2.73</v>
      </c>
      <c r="N25" s="16" t="str">
        <f ca="1">[1]!s_val_estpb(表1_3121314[[#This Row],[列6]],E25,基本资料!$G$7)</f>
        <v>0</v>
      </c>
      <c r="O25" s="35" t="str">
        <f ca="1">[1]!s_val_estpb(表1_3121314[[#This Row],[列6]],E25,基本资料!$G$11)</f>
        <v>0</v>
      </c>
      <c r="P25" s="13">
        <f ca="1">[1]!i_val_pb_percentile(表1_3121314[[#This Row],[列6]],E25,基本资料!$D$9,E25)</f>
        <v>51.138716356107658</v>
      </c>
      <c r="Q25" s="26">
        <f ca="1">[1]!s_val_dividendyield2(表1_3121314[[#This Row],[列6]],E25)</f>
        <v>0.7218</v>
      </c>
      <c r="R25" s="26">
        <f ca="1">[1]!i_val_dividend_percentile(表1_3121314[[#This Row],[列6]],E25,基本资料!$D$9,E25)</f>
        <v>40.579710144927539</v>
      </c>
      <c r="S25" s="23"/>
    </row>
    <row r="26" spans="1:19" s="24" customFormat="1" ht="16.5" x14ac:dyDescent="0.2">
      <c r="A26" s="1"/>
      <c r="B26" s="5"/>
      <c r="C26" s="53" t="s">
        <v>59</v>
      </c>
      <c r="D26" s="14" t="str">
        <f>[1]!f_info_exchangeshortname(C26)</f>
        <v>新汽车</v>
      </c>
      <c r="E26" s="49" t="str">
        <f ca="1">[1]!lastradeday_s(C26,TODAY())</f>
        <v>2024-07-16</v>
      </c>
      <c r="F26" s="60" t="str">
        <f>[1]!f_info_trackindexcode(表1_3121314[[#This Row],[列1]])</f>
        <v>399976.SZ</v>
      </c>
      <c r="G26" s="48">
        <f ca="1">[1]!s_val_mv_ard(表1_3121314[[#This Row],[列6]],基本资料!$I$9,100000000)</f>
        <v>38226.911082020008</v>
      </c>
      <c r="H26" s="16">
        <f ca="1">[1]!s_val_mv_ard(表1_3121314[[#This Row],[列6]],基本资料!$I$8,100000000)</f>
        <v>28411.515459869999</v>
      </c>
      <c r="I26" s="33">
        <f ca="1">[1]!s_val_mv_ard(表1_3121314[[#This Row],[列6]],E26,100000000)</f>
        <v>27606.264581070001</v>
      </c>
      <c r="J26" s="32"/>
      <c r="K26" s="34">
        <f ca="1">[1]!s_val_pb_lf(表1_3121314[[#This Row],[列6]],基本资料!$I$9)</f>
        <v>4.8990001678466797</v>
      </c>
      <c r="L26" s="16">
        <f ca="1">[1]!s_val_pb_lf(表1_3121314[[#This Row],[列6]],基本资料!$I$8)</f>
        <v>2.9904000759124756</v>
      </c>
      <c r="M26" s="16">
        <f ca="1" xml:space="preserve">  [1]!i_val_pb_mrqwgt(表1_3121314[[#This Row],[列6]],E26)</f>
        <v>2.9304999999999999</v>
      </c>
      <c r="N26" s="16" t="str">
        <f ca="1">[1]!s_val_estpb(表1_3121314[[#This Row],[列6]],E26,基本资料!$G$7)</f>
        <v>0</v>
      </c>
      <c r="O26" s="35" t="str">
        <f ca="1">[1]!s_val_estpb(表1_3121314[[#This Row],[列6]],E26,基本资料!$G$11)</f>
        <v>0</v>
      </c>
      <c r="P26" s="13">
        <f ca="1">[1]!i_val_pb_percentile(表1_3121314[[#This Row],[列6]],E26,基本资料!$D$9,E26)</f>
        <v>3.5196687370600417</v>
      </c>
      <c r="Q26" s="26">
        <f ca="1">[1]!s_val_dividendyield2(表1_3121314[[#This Row],[列6]],E26)</f>
        <v>1.9429000000000001</v>
      </c>
      <c r="R26" s="26">
        <f ca="1">[1]!i_val_dividend_percentile(表1_3121314[[#This Row],[列6]],E26,基本资料!$D$9,E26)</f>
        <v>94.824016563146998</v>
      </c>
      <c r="S26" s="23"/>
    </row>
    <row r="27" spans="1:19" s="24" customFormat="1" ht="16.5" x14ac:dyDescent="0.2">
      <c r="A27" s="1"/>
      <c r="B27" s="5"/>
      <c r="C27" s="53" t="s">
        <v>60</v>
      </c>
      <c r="D27" s="14" t="str">
        <f>[1]!f_info_exchangeshortname(C27)</f>
        <v>5GETF</v>
      </c>
      <c r="E27" s="49" t="str">
        <f ca="1">[1]!lastradeday_s(C27,TODAY())</f>
        <v>2024-07-16</v>
      </c>
      <c r="F27" s="60" t="str">
        <f>[1]!f_info_trackindexcode(表1_3121314[[#This Row],[列1]])</f>
        <v>931079.CSI</v>
      </c>
      <c r="G27" s="48">
        <f ca="1">[1]!s_val_mv_ard(表1_3121314[[#This Row],[列6]],基本资料!$I$9,100000000)</f>
        <v>20363.182632740001</v>
      </c>
      <c r="H27" s="16">
        <f ca="1">[1]!s_val_mv_ard(表1_3121314[[#This Row],[列6]],基本资料!$I$8,100000000)</f>
        <v>22488.063093739998</v>
      </c>
      <c r="I27" s="33">
        <f ca="1">[1]!s_val_mv_ard(表1_3121314[[#This Row],[列6]],E27,100000000)</f>
        <v>26664.217130810001</v>
      </c>
      <c r="J27" s="32"/>
      <c r="K27" s="34">
        <f ca="1">[1]!s_val_pb_lf(表1_3121314[[#This Row],[列6]],基本资料!$I$9)</f>
        <v>2.6607000827789307</v>
      </c>
      <c r="L27" s="16">
        <f ca="1">[1]!s_val_pb_lf(表1_3121314[[#This Row],[列6]],基本资料!$I$8)</f>
        <v>3.0016000270843506</v>
      </c>
      <c r="M27" s="16">
        <f ca="1" xml:space="preserve">  [1]!i_val_pb_mrqwgt(表1_3121314[[#This Row],[列6]],E27)</f>
        <v>5.3666</v>
      </c>
      <c r="N27" s="16" t="str">
        <f ca="1">[1]!s_val_estpb(表1_3121314[[#This Row],[列6]],E27,基本资料!$G$7)</f>
        <v>0</v>
      </c>
      <c r="O27" s="35" t="str">
        <f ca="1">[1]!s_val_estpb(表1_3121314[[#This Row],[列6]],E27,基本资料!$G$11)</f>
        <v>0</v>
      </c>
      <c r="P27" s="13">
        <f ca="1">[1]!i_val_pb_percentile(表1_3121314[[#This Row],[列6]],E27,基本资料!$D$9,E27)</f>
        <v>89.85507246376811</v>
      </c>
      <c r="Q27" s="26">
        <f ca="1">[1]!s_val_dividendyield2(表1_3121314[[#This Row],[列6]],E27)</f>
        <v>1.1581999999999999</v>
      </c>
      <c r="R27" s="26">
        <f ca="1">[1]!i_val_dividend_percentile(表1_3121314[[#This Row],[列6]],E27,基本资料!$D$9,E27)</f>
        <v>53.93374741200828</v>
      </c>
      <c r="S27" s="23"/>
    </row>
    <row r="28" spans="1:19" s="24" customFormat="1" ht="16.5" x14ac:dyDescent="0.2">
      <c r="A28" s="1"/>
      <c r="B28" s="5"/>
      <c r="C28" s="53" t="s">
        <v>64</v>
      </c>
      <c r="D28" s="14" t="str">
        <f>[1]!f_info_exchangeshortname(C28)</f>
        <v>智能制造ETF</v>
      </c>
      <c r="E28" s="49" t="str">
        <f ca="1">[1]!lastradeday_s(C28,TODAY())</f>
        <v>2024-07-16</v>
      </c>
      <c r="F28" s="60" t="str">
        <f>[1]!f_info_trackindexcode(表1_3121314[[#This Row],[列1]])</f>
        <v>930850.CSI</v>
      </c>
      <c r="G28" s="48">
        <f ca="1">[1]!s_val_mv_ard(表1_3121314[[#This Row],[列6]],基本资料!$I$9,100000000)</f>
        <v>37249.409685720006</v>
      </c>
      <c r="H28" s="16">
        <f ca="1">[1]!s_val_mv_ard(表1_3121314[[#This Row],[列6]],基本资料!$I$8,100000000)</f>
        <v>38800.86182256</v>
      </c>
      <c r="I28" s="33">
        <f ca="1">[1]!s_val_mv_ard(表1_3121314[[#This Row],[列6]],E28,100000000)</f>
        <v>37553.606987610001</v>
      </c>
      <c r="J28" s="32"/>
      <c r="K28" s="34">
        <f ca="1">[1]!s_val_pb_lf(表1_3121314[[#This Row],[列6]],基本资料!$I$9)</f>
        <v>3.4265999794006348</v>
      </c>
      <c r="L28" s="16">
        <f ca="1">[1]!s_val_pb_lf(表1_3121314[[#This Row],[列6]],基本资料!$I$8)</f>
        <v>3.1898999214172363</v>
      </c>
      <c r="M28" s="16">
        <f ca="1" xml:space="preserve">  [1]!i_val_pb_mrqwgt(表1_3121314[[#This Row],[列6]],E28)</f>
        <v>4.1607000000000003</v>
      </c>
      <c r="N28" s="16" t="str">
        <f ca="1">[1]!s_val_estpb(表1_3121314[[#This Row],[列6]],E28,基本资料!$G$7)</f>
        <v>0</v>
      </c>
      <c r="O28" s="35" t="str">
        <f ca="1">[1]!s_val_estpb(表1_3121314[[#This Row],[列6]],E28,基本资料!$G$11)</f>
        <v>0</v>
      </c>
      <c r="P28" s="13">
        <f ca="1">[1]!i_val_pb_percentile(表1_3121314[[#This Row],[列6]],E28,基本资料!$D$9,E28)</f>
        <v>16.149068322981368</v>
      </c>
      <c r="Q28" s="26">
        <f ca="1">[1]!s_val_dividendyield2(表1_3121314[[#This Row],[列6]],E28)</f>
        <v>1.2666999999999999</v>
      </c>
      <c r="R28" s="26">
        <f ca="1">[1]!i_val_dividend_percentile(表1_3121314[[#This Row],[列6]],E28,基本资料!$D$9,E28)</f>
        <v>92.132505175983439</v>
      </c>
      <c r="S28" s="23"/>
    </row>
    <row r="29" spans="1:19" s="24" customFormat="1" ht="16.5" x14ac:dyDescent="0.2">
      <c r="A29" s="1"/>
      <c r="B29" s="5"/>
      <c r="C29" s="53" t="s">
        <v>58</v>
      </c>
      <c r="D29" s="14" t="str">
        <f>[1]!f_info_exchangeshortname(C29)</f>
        <v>科技ETF</v>
      </c>
      <c r="E29" s="49" t="str">
        <f ca="1">[1]!lastradeday_s(C29,TODAY())</f>
        <v>2024-07-16</v>
      </c>
      <c r="F29" s="60" t="str">
        <f>[1]!f_info_trackindexcode(表1_3121314[[#This Row],[列1]])</f>
        <v>931087.CSI</v>
      </c>
      <c r="G29" s="48">
        <f ca="1">[1]!s_val_mv_ard(表1_3121314[[#This Row],[列6]],基本资料!$I$9,100000000)</f>
        <v>35418.787391710001</v>
      </c>
      <c r="H29" s="16">
        <f ca="1">[1]!s_val_mv_ard(表1_3121314[[#This Row],[列6]],基本资料!$I$8,100000000)</f>
        <v>42062.596796270002</v>
      </c>
      <c r="I29" s="33">
        <f ca="1">[1]!s_val_mv_ard(表1_3121314[[#This Row],[列6]],E29,100000000)</f>
        <v>37893.972624859998</v>
      </c>
      <c r="J29" s="32"/>
      <c r="K29" s="34">
        <f ca="1">[1]!s_val_pb_lf(表1_3121314[[#This Row],[列6]],基本资料!$I$9)</f>
        <v>4.6728000640869141</v>
      </c>
      <c r="L29" s="16">
        <f ca="1">[1]!s_val_pb_lf(表1_3121314[[#This Row],[列6]],基本资料!$I$8)</f>
        <v>3.5380001068115234</v>
      </c>
      <c r="M29" s="16">
        <f ca="1" xml:space="preserve">  [1]!i_val_pb_mrqwgt(表1_3121314[[#This Row],[列6]],E29)</f>
        <v>5.3384</v>
      </c>
      <c r="N29" s="16" t="str">
        <f ca="1">[1]!s_val_estpb(表1_3121314[[#This Row],[列6]],E29,基本资料!$G$7)</f>
        <v>0</v>
      </c>
      <c r="O29" s="35" t="str">
        <f ca="1">[1]!s_val_estpb(表1_3121314[[#This Row],[列6]],E29,基本资料!$G$11)</f>
        <v>0</v>
      </c>
      <c r="P29" s="13">
        <f ca="1">[1]!i_val_pb_percentile(表1_3121314[[#This Row],[列6]],E29,基本资料!$D$9,E29)</f>
        <v>29.19254658385093</v>
      </c>
      <c r="Q29" s="26">
        <f ca="1">[1]!s_val_dividendyield2(表1_3121314[[#This Row],[列6]],E29)</f>
        <v>1.4387000000000001</v>
      </c>
      <c r="R29" s="26">
        <f ca="1">[1]!i_val_dividend_percentile(表1_3121314[[#This Row],[列6]],E29,基本资料!$D$9,E29)</f>
        <v>100</v>
      </c>
      <c r="S29" s="23"/>
    </row>
    <row r="30" spans="1:19" s="24" customFormat="1" ht="16.5" x14ac:dyDescent="0.2">
      <c r="A30" s="1"/>
      <c r="B30" s="5"/>
      <c r="C30" s="53" t="s">
        <v>57</v>
      </c>
      <c r="D30" s="14" t="str">
        <f>[1]!f_info_exchangeshortname(C30)</f>
        <v>恒指科技</v>
      </c>
      <c r="E30" s="49" t="str">
        <f ca="1">[1]!lastradeday_s(C30,TODAY())</f>
        <v>2024-07-16</v>
      </c>
      <c r="F30" s="60" t="str">
        <f>[1]!f_info_trackindexcode(表1_3121314[[#This Row],[列1]])</f>
        <v>HSTECH.HI</v>
      </c>
      <c r="G30" s="48">
        <f ca="1">[1]!s_val_mv_ard(表1_3121314[[#This Row],[列6]],基本资料!$I$9,100000000)</f>
        <v>99602.089182630007</v>
      </c>
      <c r="H30" s="16">
        <f ca="1">[1]!s_val_mv_ard(表1_3121314[[#This Row],[列6]],基本资料!$I$8,100000000)</f>
        <v>84898.847837380003</v>
      </c>
      <c r="I30" s="33">
        <f ca="1">[1]!s_val_mv_ard(表1_3121314[[#This Row],[列6]],E30,100000000)</f>
        <v>92134.319859559997</v>
      </c>
      <c r="J30" s="32"/>
      <c r="K30" s="34">
        <f ca="1">[1]!s_val_pb_lf(表1_3121314[[#This Row],[列6]],基本资料!$I$9)</f>
        <v>2.689500093460083</v>
      </c>
      <c r="L30" s="16">
        <f ca="1">[1]!s_val_pb_lf(表1_3121314[[#This Row],[列6]],基本资料!$I$8)</f>
        <v>2.1730000972747803</v>
      </c>
      <c r="M30" s="16" t="str">
        <f ca="1" xml:space="preserve">  [1]!i_val_pb_mrqwgt(表1_3121314[[#This Row],[列6]],E30)</f>
        <v>0</v>
      </c>
      <c r="N30" s="16" t="str">
        <f ca="1">[1]!s_val_estpb(表1_3121314[[#This Row],[列6]],E30,基本资料!$G$7)</f>
        <v>0</v>
      </c>
      <c r="O30" s="35" t="str">
        <f ca="1">[1]!s_val_estpb(表1_3121314[[#This Row],[列6]],E30,基本资料!$G$11)</f>
        <v>0</v>
      </c>
      <c r="P30" s="13">
        <f ca="1">[1]!i_val_pb_percentile(表1_3121314[[#This Row],[列6]],E30,基本资料!$D$9,E30)</f>
        <v>34.151329243353786</v>
      </c>
      <c r="Q30" s="26">
        <f ca="1">[1]!s_val_dividendyield2(表1_3121314[[#This Row],[列6]],E30)</f>
        <v>1.3499000000000001</v>
      </c>
      <c r="R30" s="26">
        <f ca="1">[1]!i_val_dividend_percentile(表1_3121314[[#This Row],[列6]],E30,基本资料!$D$9,E30)</f>
        <v>97.955010224948879</v>
      </c>
      <c r="S30" s="23"/>
    </row>
    <row r="31" spans="1:19" s="24" customFormat="1" ht="16.5" x14ac:dyDescent="0.2">
      <c r="A31" s="1"/>
      <c r="B31" s="5"/>
      <c r="C31" s="53" t="s">
        <v>56</v>
      </c>
      <c r="D31" s="14" t="str">
        <f>[1]!f_info_exchangeshortname(C31)</f>
        <v>中概互联</v>
      </c>
      <c r="E31" s="49" t="str">
        <f ca="1">[1]!lastradeday_s(C31,TODAY())</f>
        <v>2024-07-16</v>
      </c>
      <c r="F31" s="60" t="str">
        <f>[1]!f_info_trackindexcode(表1_3121314[[#This Row],[列1]])</f>
        <v>h30533.CSI</v>
      </c>
      <c r="G31" s="48">
        <f ca="1">[1]!s_val_mv_ard(表1_3121314[[#This Row],[列6]],基本资料!$I$9,100000000)</f>
        <v>92082.582799569995</v>
      </c>
      <c r="H31" s="16">
        <f ca="1">[1]!s_val_mv_ard(表1_3121314[[#This Row],[列6]],基本资料!$I$8,100000000)</f>
        <v>85356.908847250001</v>
      </c>
      <c r="I31" s="33">
        <f ca="1">[1]!s_val_mv_ard(表1_3121314[[#This Row],[列6]],E31,100000000)</f>
        <v>95164.364234549997</v>
      </c>
      <c r="J31" s="32"/>
      <c r="K31" s="34">
        <f ca="1">[1]!s_val_pb_lf(表1_3121314[[#This Row],[列6]],基本资料!$I$9)</f>
        <v>2.7237999439239502</v>
      </c>
      <c r="L31" s="16">
        <f ca="1">[1]!s_val_pb_lf(表1_3121314[[#This Row],[列6]],基本资料!$I$8)</f>
        <v>2.3310000896453857</v>
      </c>
      <c r="M31" s="16" t="str">
        <f ca="1" xml:space="preserve">  [1]!i_val_pb_mrqwgt(表1_3121314[[#This Row],[列6]],E31)</f>
        <v>0</v>
      </c>
      <c r="N31" s="16" t="str">
        <f ca="1">[1]!s_val_estpb(表1_3121314[[#This Row],[列6]],E31,基本资料!$G$7)</f>
        <v>0</v>
      </c>
      <c r="O31" s="35" t="str">
        <f ca="1">[1]!s_val_estpb(表1_3121314[[#This Row],[列6]],E31,基本资料!$G$11)</f>
        <v>0</v>
      </c>
      <c r="P31" s="13">
        <f ca="1">[1]!i_val_pb_percentile(表1_3121314[[#This Row],[列6]],E31,基本资料!$D$9,E31)</f>
        <v>55.96153846153846</v>
      </c>
      <c r="Q31" s="26">
        <f ca="1">[1]!s_val_dividendyield2(表1_3121314[[#This Row],[列6]],E31)</f>
        <v>1.3298000000000001</v>
      </c>
      <c r="R31" s="26">
        <f ca="1">[1]!i_val_dividend_percentile(表1_3121314[[#This Row],[列6]],E31,基本资料!$D$9,E31)</f>
        <v>96.057692307692307</v>
      </c>
      <c r="S31" s="23"/>
    </row>
    <row r="32" spans="1:19" s="24" customFormat="1" ht="16.5" x14ac:dyDescent="0.2">
      <c r="A32" s="1"/>
      <c r="B32" s="5"/>
      <c r="C32" s="53" t="s">
        <v>40</v>
      </c>
      <c r="D32" s="14" t="str">
        <f>[1]!f_info_exchangeshortname(C32)</f>
        <v>影视ETF</v>
      </c>
      <c r="E32" s="49" t="str">
        <f ca="1">[1]!lastradeday_s(C32,TODAY())</f>
        <v>2024-07-16</v>
      </c>
      <c r="F32" s="60" t="str">
        <f>[1]!f_info_trackindexcode(表1_3121314[[#This Row],[列1]])</f>
        <v>930781.CSI</v>
      </c>
      <c r="G32" s="48">
        <f ca="1">[1]!s_val_mv_ard(表1_3121314[[#This Row],[列6]],基本资料!$I$9,100000000)</f>
        <v>3935.8976724200002</v>
      </c>
      <c r="H32" s="16">
        <f ca="1">[1]!s_val_mv_ard(表1_3121314[[#This Row],[列6]],基本资料!$I$8,100000000)</f>
        <v>4315.1507254500002</v>
      </c>
      <c r="I32" s="33">
        <f ca="1">[1]!s_val_mv_ard(表1_3121314[[#This Row],[列6]],E32,100000000)</f>
        <v>3217.58355721</v>
      </c>
      <c r="J32" s="32"/>
      <c r="K32" s="34">
        <f ca="1">[1]!s_val_pb_lf(表1_3121314[[#This Row],[列6]],基本资料!$I$9)</f>
        <v>1.8838000297546387</v>
      </c>
      <c r="L32" s="16">
        <f ca="1">[1]!s_val_pb_lf(表1_3121314[[#This Row],[列6]],基本资料!$I$8)</f>
        <v>2.0162999629974365</v>
      </c>
      <c r="M32" s="16">
        <f ca="1" xml:space="preserve">  [1]!i_val_pb_mrqwgt(表1_3121314[[#This Row],[列6]],E32)</f>
        <v>2.5339999999999998</v>
      </c>
      <c r="N32" s="16" t="str">
        <f ca="1">[1]!s_val_estpb(表1_3121314[[#This Row],[列6]],E32,基本资料!$G$7)</f>
        <v>0</v>
      </c>
      <c r="O32" s="35" t="str">
        <f ca="1">[1]!s_val_estpb(表1_3121314[[#This Row],[列6]],E32,基本资料!$G$11)</f>
        <v>0</v>
      </c>
      <c r="P32" s="13">
        <f ca="1">[1]!i_val_pb_percentile(表1_3121314[[#This Row],[列6]],E32,基本资料!$D$9,E32)</f>
        <v>0.6211180124223602</v>
      </c>
      <c r="Q32" s="26">
        <f ca="1">[1]!s_val_dividendyield2(表1_3121314[[#This Row],[列6]],E32)</f>
        <v>1.069</v>
      </c>
      <c r="R32" s="26">
        <f ca="1">[1]!i_val_dividend_percentile(表1_3121314[[#This Row],[列6]],E32,基本资料!$D$9,E32)</f>
        <v>60.662525879917183</v>
      </c>
      <c r="S32" s="23"/>
    </row>
    <row r="33" spans="1:19" s="24" customFormat="1" ht="16.5" x14ac:dyDescent="0.2">
      <c r="A33" s="1"/>
      <c r="B33" s="5"/>
      <c r="C33" s="53" t="s">
        <v>52</v>
      </c>
      <c r="D33" s="14" t="str">
        <f>[1]!f_info_exchangeshortname(C33)</f>
        <v>军工ETF</v>
      </c>
      <c r="E33" s="49" t="str">
        <f ca="1">[1]!lastradeday_s(C33,TODAY())</f>
        <v>2024-07-16</v>
      </c>
      <c r="F33" s="60" t="str">
        <f>[1]!f_info_trackindexcode(表1_3121314[[#This Row],[列1]])</f>
        <v>399967.SZ</v>
      </c>
      <c r="G33" s="48">
        <f ca="1">[1]!s_val_mv_ard(表1_3121314[[#This Row],[列6]],基本资料!$I$9,100000000)</f>
        <v>19575.423866659999</v>
      </c>
      <c r="H33" s="16">
        <f ca="1">[1]!s_val_mv_ard(表1_3121314[[#This Row],[列6]],基本资料!$I$8,100000000)</f>
        <v>19889.547128480001</v>
      </c>
      <c r="I33" s="33">
        <f ca="1">[1]!s_val_mv_ard(表1_3121314[[#This Row],[列6]],E33,100000000)</f>
        <v>18384.56928534</v>
      </c>
      <c r="J33" s="32"/>
      <c r="K33" s="34">
        <f ca="1">[1]!s_val_pb_lf(表1_3121314[[#This Row],[列6]],基本资料!$I$9)</f>
        <v>3.0989999771118164</v>
      </c>
      <c r="L33" s="16">
        <f ca="1">[1]!s_val_pb_lf(表1_3121314[[#This Row],[列6]],基本资料!$I$8)</f>
        <v>2.8336000442504883</v>
      </c>
      <c r="M33" s="16">
        <f ca="1" xml:space="preserve">  [1]!i_val_pb_mrqwgt(表1_3121314[[#This Row],[列6]],E33)</f>
        <v>3.2212999999999998</v>
      </c>
      <c r="N33" s="16" t="str">
        <f ca="1">[1]!s_val_estpb(表1_3121314[[#This Row],[列6]],E33,基本资料!$G$7)</f>
        <v>0</v>
      </c>
      <c r="O33" s="35" t="str">
        <f ca="1">[1]!s_val_estpb(表1_3121314[[#This Row],[列6]],E33,基本资料!$G$11)</f>
        <v>0</v>
      </c>
      <c r="P33" s="13">
        <f ca="1">[1]!i_val_pb_percentile(表1_3121314[[#This Row],[列6]],E33,基本资料!$D$9,E33)</f>
        <v>9.1097308488612825</v>
      </c>
      <c r="Q33" s="26">
        <f ca="1">[1]!s_val_dividendyield2(表1_3121314[[#This Row],[列6]],E33)</f>
        <v>0.64100000000000001</v>
      </c>
      <c r="R33" s="26">
        <f ca="1">[1]!i_val_dividend_percentile(表1_3121314[[#This Row],[列6]],E33,基本资料!$D$9,E33)</f>
        <v>97.929606625258799</v>
      </c>
      <c r="S33" s="23"/>
    </row>
    <row r="34" spans="1:19" s="24" customFormat="1" ht="16.5" x14ac:dyDescent="0.2">
      <c r="A34" s="1"/>
      <c r="B34" s="5"/>
      <c r="C34" s="53" t="s">
        <v>62</v>
      </c>
      <c r="D34" s="14" t="str">
        <f>[1]!f_info_exchangeshortname(C34)</f>
        <v>大数据</v>
      </c>
      <c r="E34" s="49" t="str">
        <f ca="1">[1]!lastradeday_s(C34,TODAY())</f>
        <v>2024-07-16</v>
      </c>
      <c r="F34" s="60" t="str">
        <f>[1]!f_info_trackindexcode(表1_3121314[[#This Row],[列1]])</f>
        <v>930902.CSI</v>
      </c>
      <c r="G34" s="48">
        <f ca="1">[1]!s_val_mv_ard(表1_3121314[[#This Row],[列6]],基本资料!$I$9,100000000)</f>
        <v>10533.589068540001</v>
      </c>
      <c r="H34" s="16">
        <f ca="1">[1]!s_val_mv_ard(表1_3121314[[#This Row],[列6]],基本资料!$I$8,100000000)</f>
        <v>12217.888949620001</v>
      </c>
      <c r="I34" s="33">
        <f ca="1">[1]!s_val_mv_ard(表1_3121314[[#This Row],[列6]],E34,100000000)</f>
        <v>9355.1399529099999</v>
      </c>
      <c r="J34" s="32"/>
      <c r="K34" s="34">
        <f ca="1">[1]!s_val_pb_lf(表1_3121314[[#This Row],[列6]],基本资料!$I$9)</f>
        <v>3.4328000545501709</v>
      </c>
      <c r="L34" s="16">
        <f ca="1">[1]!s_val_pb_lf(表1_3121314[[#This Row],[列6]],基本资料!$I$8)</f>
        <v>3.4756999015808105</v>
      </c>
      <c r="M34" s="16">
        <f ca="1" xml:space="preserve">  [1]!i_val_pb_mrqwgt(表1_3121314[[#This Row],[列6]],E34)</f>
        <v>3.5097</v>
      </c>
      <c r="N34" s="16" t="str">
        <f ca="1">[1]!s_val_estpb(表1_3121314[[#This Row],[列6]],E34,基本资料!$G$7)</f>
        <v>0</v>
      </c>
      <c r="O34" s="35" t="str">
        <f ca="1">[1]!s_val_estpb(表1_3121314[[#This Row],[列6]],E34,基本资料!$G$11)</f>
        <v>0</v>
      </c>
      <c r="P34" s="13">
        <f ca="1">[1]!i_val_pb_percentile(表1_3121314[[#This Row],[列6]],E34,基本资料!$D$9,E34)</f>
        <v>0.6211180124223602</v>
      </c>
      <c r="Q34" s="26">
        <f ca="1">[1]!s_val_dividendyield2(表1_3121314[[#This Row],[列6]],E34)</f>
        <v>0.80279999999999996</v>
      </c>
      <c r="R34" s="26">
        <f ca="1">[1]!i_val_dividend_percentile(表1_3121314[[#This Row],[列6]],E34,基本资料!$D$9,E34)</f>
        <v>100</v>
      </c>
      <c r="S34" s="23"/>
    </row>
    <row r="35" spans="1:19" s="24" customFormat="1" ht="16.5" x14ac:dyDescent="0.2">
      <c r="A35" s="1"/>
      <c r="B35" s="5"/>
      <c r="C35" s="53" t="s">
        <v>51</v>
      </c>
      <c r="D35" s="14" t="str">
        <f>[1]!f_info_exchangeshortname(C35)</f>
        <v>半导体</v>
      </c>
      <c r="E35" s="49" t="str">
        <f ca="1">[1]!lastradeday_s(C35,TODAY())</f>
        <v>2024-07-16</v>
      </c>
      <c r="F35" s="60" t="str">
        <f>[1]!f_info_trackindexcode(表1_3121314[[#This Row],[列1]])</f>
        <v>h30184.CSI</v>
      </c>
      <c r="G35" s="48">
        <f ca="1">[1]!s_val_mv_ard(表1_3121314[[#This Row],[列6]],基本资料!$I$9,100000000)</f>
        <v>21411.941322940002</v>
      </c>
      <c r="H35" s="16">
        <f ca="1">[1]!s_val_mv_ard(表1_3121314[[#This Row],[列6]],基本资料!$I$8,100000000)</f>
        <v>29032.370315280001</v>
      </c>
      <c r="I35" s="33">
        <f ca="1">[1]!s_val_mv_ard(表1_3121314[[#This Row],[列6]],E35,100000000)</f>
        <v>27806.53751373</v>
      </c>
      <c r="J35" s="32"/>
      <c r="K35" s="34">
        <f ca="1">[1]!s_val_pb_lf(表1_3121314[[#This Row],[列6]],基本资料!$I$9)</f>
        <v>4.3041000366210938</v>
      </c>
      <c r="L35" s="16">
        <f ca="1">[1]!s_val_pb_lf(表1_3121314[[#This Row],[列6]],基本资料!$I$8)</f>
        <v>4.3487000465393066</v>
      </c>
      <c r="M35" s="16">
        <f ca="1" xml:space="preserve">  [1]!i_val_pb_mrqwgt(表1_3121314[[#This Row],[列6]],E35)</f>
        <v>5.5087999999999999</v>
      </c>
      <c r="N35" s="16" t="str">
        <f ca="1">[1]!s_val_estpb(表1_3121314[[#This Row],[列6]],E35,基本资料!$G$7)</f>
        <v>0</v>
      </c>
      <c r="O35" s="35" t="str">
        <f ca="1">[1]!s_val_estpb(表1_3121314[[#This Row],[列6]],E35,基本资料!$G$11)</f>
        <v>0</v>
      </c>
      <c r="P35" s="13">
        <f ca="1">[1]!i_val_pb_percentile(表1_3121314[[#This Row],[列6]],E35,基本资料!$D$9,E35)</f>
        <v>18.219461697722565</v>
      </c>
      <c r="Q35" s="26">
        <f ca="1">[1]!s_val_dividendyield2(表1_3121314[[#This Row],[列6]],E35)</f>
        <v>0.31109999999999999</v>
      </c>
      <c r="R35" s="26">
        <f ca="1">[1]!i_val_dividend_percentile(表1_3121314[[#This Row],[列6]],E35,基本资料!$D$9,E35)</f>
        <v>58.799171842650097</v>
      </c>
      <c r="S35" s="23"/>
    </row>
    <row r="36" spans="1:19" s="24" customFormat="1" ht="16.5" x14ac:dyDescent="0.2">
      <c r="A36" s="1"/>
      <c r="B36" s="5"/>
      <c r="C36" s="53" t="s">
        <v>39</v>
      </c>
      <c r="D36" s="14" t="str">
        <f>[1]!f_info_exchangeshortname(C36)</f>
        <v>旅游ETF</v>
      </c>
      <c r="E36" s="49" t="str">
        <f ca="1">[1]!lastradeday_s(C36,TODAY())</f>
        <v>2024-07-16</v>
      </c>
      <c r="F36" s="60" t="str">
        <f>[1]!f_info_trackindexcode(表1_3121314[[#This Row],[列1]])</f>
        <v>930633.CSI</v>
      </c>
      <c r="G36" s="48">
        <f ca="1">[1]!s_val_mv_ard(表1_3121314[[#This Row],[列6]],基本资料!$I$9,100000000)</f>
        <v>14505.28899424</v>
      </c>
      <c r="H36" s="16">
        <f ca="1">[1]!s_val_mv_ard(表1_3121314[[#This Row],[列6]],基本资料!$I$8,100000000)</f>
        <v>9329.3586093899994</v>
      </c>
      <c r="I36" s="33">
        <f ca="1">[1]!s_val_mv_ard(表1_3121314[[#This Row],[列6]],E36,100000000)</f>
        <v>8662.1536916299992</v>
      </c>
      <c r="J36" s="32"/>
      <c r="K36" s="34">
        <f ca="1">[1]!s_val_pb_lf(表1_3121314[[#This Row],[列6]],基本资料!$I$9)</f>
        <v>3.5743000507354736</v>
      </c>
      <c r="L36" s="16">
        <f ca="1">[1]!s_val_pb_lf(表1_3121314[[#This Row],[列6]],基本资料!$I$8)</f>
        <v>2.2249000072479248</v>
      </c>
      <c r="M36" s="16">
        <f ca="1" xml:space="preserve">  [1]!i_val_pb_mrqwgt(表1_3121314[[#This Row],[列6]],E36)</f>
        <v>2.7845</v>
      </c>
      <c r="N36" s="16" t="str">
        <f ca="1">[1]!s_val_estpb(表1_3121314[[#This Row],[列6]],E36,基本资料!$G$7)</f>
        <v>0</v>
      </c>
      <c r="O36" s="35" t="str">
        <f ca="1">[1]!s_val_estpb(表1_3121314[[#This Row],[列6]],E36,基本资料!$G$11)</f>
        <v>0</v>
      </c>
      <c r="P36" s="13">
        <f ca="1">[1]!i_val_pb_percentile(表1_3121314[[#This Row],[列6]],E36,基本资料!$D$9,E36)</f>
        <v>3.1055900621118013</v>
      </c>
      <c r="Q36" s="26">
        <f ca="1">[1]!s_val_dividendyield2(表1_3121314[[#This Row],[列6]],E36)</f>
        <v>0.89900000000000002</v>
      </c>
      <c r="R36" s="26">
        <f ca="1">[1]!i_val_dividend_percentile(表1_3121314[[#This Row],[列6]],E36,基本资料!$D$9,E36)</f>
        <v>99.792960662525871</v>
      </c>
      <c r="S36" s="23"/>
    </row>
    <row r="37" spans="1:19" s="24" customFormat="1" ht="16.5" x14ac:dyDescent="0.2">
      <c r="A37" s="1"/>
      <c r="B37" s="5"/>
      <c r="C37" s="53"/>
      <c r="D37" s="14"/>
      <c r="E37" s="49"/>
      <c r="F37" s="60"/>
      <c r="G37" s="48"/>
      <c r="H37" s="16"/>
      <c r="I37" s="33"/>
      <c r="J37" s="32"/>
      <c r="K37" s="34"/>
      <c r="L37" s="16"/>
      <c r="M37" s="16"/>
      <c r="N37" s="16"/>
      <c r="O37" s="35"/>
      <c r="P37" s="13"/>
      <c r="Q37" s="26"/>
      <c r="R37" s="26"/>
      <c r="S37" s="23"/>
    </row>
    <row r="38" spans="1:19" s="24" customFormat="1" ht="16.5" x14ac:dyDescent="0.2">
      <c r="A38" s="1"/>
      <c r="B38" s="5"/>
      <c r="C38" s="20"/>
      <c r="D38" s="14"/>
      <c r="E38" s="49"/>
      <c r="F38" s="49"/>
      <c r="G38" s="31"/>
      <c r="H38" s="30"/>
      <c r="I38" s="30"/>
      <c r="J38" s="32"/>
      <c r="K38" s="34"/>
      <c r="L38" s="16"/>
      <c r="M38" s="16"/>
      <c r="N38" s="16"/>
      <c r="O38" s="35"/>
      <c r="P38" s="13"/>
      <c r="Q38" s="26"/>
      <c r="R38" s="26"/>
      <c r="S38" s="23"/>
    </row>
    <row r="39" spans="1:19" s="24" customFormat="1" ht="16.5" x14ac:dyDescent="0.2">
      <c r="A39" s="1"/>
      <c r="B39" s="5"/>
      <c r="C39" s="20"/>
      <c r="D39" s="14"/>
      <c r="E39" s="49"/>
      <c r="F39" s="49"/>
      <c r="G39" s="31"/>
      <c r="H39" s="30"/>
      <c r="I39" s="30"/>
      <c r="J39" s="32"/>
      <c r="K39" s="34"/>
      <c r="L39" s="16"/>
      <c r="M39" s="16"/>
      <c r="N39" s="16"/>
      <c r="O39" s="35"/>
      <c r="P39" s="13"/>
      <c r="Q39" s="26"/>
      <c r="R39" s="26"/>
      <c r="S39" s="23"/>
    </row>
    <row r="40" spans="1:19" s="24" customFormat="1" ht="16.5" x14ac:dyDescent="0.2">
      <c r="A40" s="1"/>
      <c r="B40" s="5"/>
      <c r="C40" s="20"/>
      <c r="D40" s="14"/>
      <c r="E40" s="49"/>
      <c r="F40" s="49"/>
      <c r="G40" s="31"/>
      <c r="H40" s="30"/>
      <c r="I40" s="30"/>
      <c r="J40" s="32"/>
      <c r="K40" s="34"/>
      <c r="L40" s="16"/>
      <c r="M40" s="16"/>
      <c r="N40" s="16"/>
      <c r="O40" s="35"/>
      <c r="P40" s="13"/>
      <c r="Q40" s="26"/>
      <c r="R40" s="26"/>
      <c r="S40" s="23"/>
    </row>
    <row r="41" spans="1:19" s="24" customFormat="1" ht="16.5" x14ac:dyDescent="0.2">
      <c r="A41" s="1"/>
      <c r="B41" s="5"/>
      <c r="C41" s="20"/>
      <c r="D41" s="14"/>
      <c r="E41" s="49"/>
      <c r="F41" s="49"/>
      <c r="G41" s="31"/>
      <c r="H41" s="30"/>
      <c r="I41" s="30"/>
      <c r="J41" s="32"/>
      <c r="K41" s="34"/>
      <c r="L41" s="16"/>
      <c r="M41" s="16"/>
      <c r="N41" s="16"/>
      <c r="O41" s="35"/>
      <c r="P41" s="13"/>
      <c r="Q41" s="26"/>
      <c r="R41" s="26"/>
      <c r="S41" s="23"/>
    </row>
    <row r="42" spans="1:19" s="24" customFormat="1" ht="16.5" x14ac:dyDescent="0.2">
      <c r="A42" s="1"/>
      <c r="B42" s="5"/>
      <c r="C42" s="20"/>
      <c r="D42" s="14"/>
      <c r="E42" s="49"/>
      <c r="F42" s="49"/>
      <c r="G42" s="31"/>
      <c r="H42" s="30"/>
      <c r="I42" s="30"/>
      <c r="J42" s="32"/>
      <c r="K42" s="34"/>
      <c r="L42" s="16"/>
      <c r="M42" s="16"/>
      <c r="N42" s="16"/>
      <c r="O42" s="35"/>
      <c r="P42" s="13"/>
      <c r="Q42" s="26"/>
      <c r="R42" s="26"/>
      <c r="S42" s="23"/>
    </row>
    <row r="43" spans="1:19" s="24" customFormat="1" ht="16.5" x14ac:dyDescent="0.2">
      <c r="A43" s="1"/>
      <c r="B43" s="5"/>
      <c r="C43" s="20"/>
      <c r="D43" s="14"/>
      <c r="E43" s="49"/>
      <c r="F43" s="49"/>
      <c r="G43" s="31"/>
      <c r="H43" s="30"/>
      <c r="I43" s="30"/>
      <c r="J43" s="32"/>
      <c r="K43" s="34"/>
      <c r="L43" s="16"/>
      <c r="M43" s="16"/>
      <c r="N43" s="16"/>
      <c r="O43" s="35"/>
      <c r="P43" s="13"/>
      <c r="Q43" s="26"/>
      <c r="R43" s="26"/>
      <c r="S43" s="23"/>
    </row>
    <row r="44" spans="1:19" s="24" customFormat="1" ht="16.5" x14ac:dyDescent="0.2">
      <c r="A44" s="1"/>
      <c r="B44" s="5"/>
      <c r="C44" s="20"/>
      <c r="D44" s="14"/>
      <c r="E44" s="49"/>
      <c r="F44" s="49"/>
      <c r="G44" s="31"/>
      <c r="H44" s="30"/>
      <c r="I44" s="30"/>
      <c r="J44" s="32"/>
      <c r="K44" s="34"/>
      <c r="L44" s="16"/>
      <c r="M44" s="16"/>
      <c r="N44" s="16"/>
      <c r="O44" s="35"/>
      <c r="P44" s="13"/>
      <c r="Q44" s="26"/>
      <c r="R44" s="26"/>
      <c r="S44" s="23"/>
    </row>
    <row r="45" spans="1:19" s="24" customFormat="1" ht="16.5" x14ac:dyDescent="0.2">
      <c r="A45" s="1"/>
      <c r="B45" s="5"/>
      <c r="C45" s="20"/>
      <c r="D45" s="14"/>
      <c r="E45" s="49"/>
      <c r="F45" s="49"/>
      <c r="G45" s="31"/>
      <c r="H45" s="30"/>
      <c r="I45" s="30"/>
      <c r="J45" s="32"/>
      <c r="K45" s="34"/>
      <c r="L45" s="16"/>
      <c r="M45" s="16"/>
      <c r="N45" s="16"/>
      <c r="O45" s="35"/>
      <c r="P45" s="13"/>
      <c r="Q45" s="26"/>
      <c r="R45" s="26"/>
      <c r="S45" s="23"/>
    </row>
    <row r="46" spans="1:19" s="24" customFormat="1" ht="16.5" x14ac:dyDescent="0.2">
      <c r="A46" s="1"/>
      <c r="B46" s="5"/>
      <c r="C46" s="20"/>
      <c r="D46" s="14"/>
      <c r="E46" s="49"/>
      <c r="F46" s="49"/>
      <c r="G46" s="31"/>
      <c r="H46" s="30"/>
      <c r="I46" s="30"/>
      <c r="J46" s="32"/>
      <c r="K46" s="34"/>
      <c r="L46" s="16"/>
      <c r="M46" s="16"/>
      <c r="N46" s="16"/>
      <c r="O46" s="35"/>
      <c r="P46" s="13"/>
      <c r="Q46" s="26"/>
      <c r="R46" s="26"/>
      <c r="S46" s="23"/>
    </row>
    <row r="47" spans="1:19" s="24" customFormat="1" ht="16.5" x14ac:dyDescent="0.2">
      <c r="A47" s="1"/>
      <c r="B47" s="5"/>
      <c r="C47" s="20"/>
      <c r="D47" s="14"/>
      <c r="E47" s="49"/>
      <c r="F47" s="49"/>
      <c r="G47" s="31"/>
      <c r="H47" s="30"/>
      <c r="I47" s="30"/>
      <c r="J47" s="32"/>
      <c r="K47" s="34"/>
      <c r="L47" s="16"/>
      <c r="M47" s="16"/>
      <c r="N47" s="16"/>
      <c r="O47" s="35"/>
      <c r="P47" s="13"/>
      <c r="Q47" s="26"/>
      <c r="R47" s="26"/>
      <c r="S47" s="23"/>
    </row>
    <row r="48" spans="1:19" s="24" customFormat="1" ht="16.5" x14ac:dyDescent="0.2">
      <c r="A48" s="1"/>
      <c r="B48" s="5"/>
      <c r="C48" s="20"/>
      <c r="D48" s="14"/>
      <c r="E48" s="49"/>
      <c r="F48" s="49"/>
      <c r="G48" s="31"/>
      <c r="H48" s="30"/>
      <c r="I48" s="30"/>
      <c r="J48" s="32"/>
      <c r="K48" s="34"/>
      <c r="L48" s="16"/>
      <c r="M48" s="16"/>
      <c r="N48" s="16"/>
      <c r="O48" s="35"/>
      <c r="P48" s="13"/>
      <c r="Q48" s="26"/>
      <c r="R48" s="26"/>
      <c r="S48" s="23"/>
    </row>
    <row r="49" spans="1:19" s="24" customFormat="1" ht="16.5" x14ac:dyDescent="0.2">
      <c r="A49" s="1"/>
      <c r="B49" s="5"/>
      <c r="C49" s="20"/>
      <c r="D49" s="14"/>
      <c r="E49" s="49"/>
      <c r="F49" s="49"/>
      <c r="G49" s="31"/>
      <c r="H49" s="30"/>
      <c r="I49" s="30"/>
      <c r="J49" s="32"/>
      <c r="K49" s="34"/>
      <c r="L49" s="16"/>
      <c r="M49" s="16"/>
      <c r="N49" s="16"/>
      <c r="O49" s="35"/>
      <c r="P49" s="13"/>
      <c r="Q49" s="26"/>
      <c r="R49" s="26"/>
      <c r="S49" s="23"/>
    </row>
    <row r="50" spans="1:19" s="24" customFormat="1" ht="16.5" x14ac:dyDescent="0.2">
      <c r="A50" s="1"/>
      <c r="B50" s="5"/>
      <c r="C50" s="20"/>
      <c r="D50" s="14"/>
      <c r="E50" s="49"/>
      <c r="F50" s="49"/>
      <c r="G50" s="31"/>
      <c r="H50" s="30"/>
      <c r="I50" s="30"/>
      <c r="J50" s="32"/>
      <c r="K50" s="34"/>
      <c r="L50" s="16"/>
      <c r="M50" s="16"/>
      <c r="N50" s="16"/>
      <c r="O50" s="35"/>
      <c r="P50" s="13"/>
      <c r="Q50" s="26"/>
      <c r="R50" s="26"/>
      <c r="S50" s="23"/>
    </row>
    <row r="51" spans="1:19" s="24" customFormat="1" ht="16.5" x14ac:dyDescent="0.2">
      <c r="A51" s="1"/>
      <c r="B51" s="5"/>
      <c r="C51" s="20"/>
      <c r="D51" s="14"/>
      <c r="E51" s="49"/>
      <c r="F51" s="49"/>
      <c r="G51" s="31"/>
      <c r="H51" s="30"/>
      <c r="I51" s="30"/>
      <c r="J51" s="32"/>
      <c r="K51" s="34"/>
      <c r="L51" s="16"/>
      <c r="M51" s="16"/>
      <c r="N51" s="16"/>
      <c r="O51" s="35"/>
      <c r="P51" s="13"/>
      <c r="Q51" s="26"/>
      <c r="R51" s="26"/>
      <c r="S51" s="23"/>
    </row>
    <row r="52" spans="1:19" s="24" customFormat="1" ht="16.5" x14ac:dyDescent="0.2">
      <c r="A52" s="1"/>
      <c r="B52" s="5"/>
      <c r="C52" s="20"/>
      <c r="D52" s="14"/>
      <c r="E52" s="49"/>
      <c r="F52" s="49"/>
      <c r="G52" s="31"/>
      <c r="H52" s="30"/>
      <c r="I52" s="30"/>
      <c r="J52" s="32"/>
      <c r="K52" s="34"/>
      <c r="L52" s="16"/>
      <c r="M52" s="16"/>
      <c r="N52" s="16"/>
      <c r="O52" s="35"/>
      <c r="P52" s="13"/>
      <c r="Q52" s="26"/>
      <c r="R52" s="26"/>
      <c r="S52" s="23"/>
    </row>
    <row r="53" spans="1:19" s="24" customFormat="1" ht="16.5" x14ac:dyDescent="0.2">
      <c r="A53" s="1"/>
      <c r="B53" s="5"/>
      <c r="C53" s="20"/>
      <c r="D53" s="14"/>
      <c r="E53" s="49"/>
      <c r="F53" s="49"/>
      <c r="G53" s="31"/>
      <c r="H53" s="30"/>
      <c r="I53" s="30"/>
      <c r="J53" s="32"/>
      <c r="K53" s="34"/>
      <c r="L53" s="16"/>
      <c r="M53" s="16"/>
      <c r="N53" s="16"/>
      <c r="O53" s="35"/>
      <c r="P53" s="13"/>
      <c r="Q53" s="26"/>
      <c r="R53" s="26"/>
      <c r="S53" s="23"/>
    </row>
    <row r="54" spans="1:19" s="24" customFormat="1" ht="16.5" x14ac:dyDescent="0.2">
      <c r="A54" s="1"/>
      <c r="B54" s="5"/>
      <c r="C54" s="20"/>
      <c r="D54" s="14"/>
      <c r="E54" s="49"/>
      <c r="F54" s="49"/>
      <c r="G54" s="31"/>
      <c r="H54" s="30"/>
      <c r="I54" s="30"/>
      <c r="J54" s="32"/>
      <c r="K54" s="34"/>
      <c r="L54" s="16"/>
      <c r="M54" s="16"/>
      <c r="N54" s="16"/>
      <c r="O54" s="35"/>
      <c r="P54" s="13"/>
      <c r="Q54" s="26"/>
      <c r="R54" s="26"/>
      <c r="S54" s="23"/>
    </row>
    <row r="55" spans="1:19" s="24" customFormat="1" ht="16.5" x14ac:dyDescent="0.2">
      <c r="A55" s="1"/>
      <c r="B55" s="5"/>
      <c r="C55" s="20"/>
      <c r="D55" s="14"/>
      <c r="E55" s="49"/>
      <c r="F55" s="49"/>
      <c r="G55" s="31"/>
      <c r="H55" s="30"/>
      <c r="I55" s="30"/>
      <c r="J55" s="32"/>
      <c r="K55" s="34"/>
      <c r="L55" s="16"/>
      <c r="M55" s="16"/>
      <c r="N55" s="16"/>
      <c r="O55" s="35"/>
      <c r="P55" s="13"/>
      <c r="Q55" s="26"/>
      <c r="R55" s="26"/>
      <c r="S55" s="23"/>
    </row>
    <row r="56" spans="1:19" s="24" customFormat="1" ht="16.5" x14ac:dyDescent="0.2">
      <c r="A56" s="1"/>
      <c r="B56" s="5"/>
      <c r="C56" s="20"/>
      <c r="D56" s="14"/>
      <c r="E56" s="49"/>
      <c r="F56" s="49"/>
      <c r="G56" s="31"/>
      <c r="H56" s="30"/>
      <c r="I56" s="30"/>
      <c r="J56" s="32"/>
      <c r="K56" s="34"/>
      <c r="L56" s="16"/>
      <c r="M56" s="16"/>
      <c r="N56" s="16"/>
      <c r="O56" s="35"/>
      <c r="P56" s="13"/>
      <c r="Q56" s="26"/>
      <c r="R56" s="26"/>
      <c r="S56" s="23"/>
    </row>
    <row r="57" spans="1:19" s="24" customFormat="1" ht="16.5" x14ac:dyDescent="0.2">
      <c r="A57" s="1"/>
      <c r="B57" s="5"/>
      <c r="C57" s="20"/>
      <c r="D57" s="14"/>
      <c r="E57" s="49"/>
      <c r="F57" s="49"/>
      <c r="G57" s="31"/>
      <c r="H57" s="30"/>
      <c r="I57" s="30"/>
      <c r="J57" s="32"/>
      <c r="K57" s="34"/>
      <c r="L57" s="16"/>
      <c r="M57" s="16"/>
      <c r="N57" s="16"/>
      <c r="O57" s="35"/>
      <c r="P57" s="13"/>
      <c r="Q57" s="26"/>
      <c r="R57" s="26"/>
      <c r="S57" s="23"/>
    </row>
    <row r="58" spans="1:19" s="24" customFormat="1" ht="16.5" x14ac:dyDescent="0.2">
      <c r="A58" s="1"/>
      <c r="B58" s="5"/>
      <c r="C58" s="20"/>
      <c r="D58" s="14"/>
      <c r="E58" s="49"/>
      <c r="F58" s="49"/>
      <c r="G58" s="31"/>
      <c r="H58" s="30"/>
      <c r="I58" s="30"/>
      <c r="J58" s="32"/>
      <c r="K58" s="34"/>
      <c r="L58" s="16"/>
      <c r="M58" s="16"/>
      <c r="N58" s="16"/>
      <c r="O58" s="35"/>
      <c r="P58" s="13"/>
      <c r="Q58" s="26"/>
      <c r="R58" s="26"/>
      <c r="S58" s="23"/>
    </row>
    <row r="59" spans="1:19" s="24" customFormat="1" ht="16.5" x14ac:dyDescent="0.2">
      <c r="A59" s="1"/>
      <c r="B59" s="5"/>
      <c r="C59" s="20"/>
      <c r="D59" s="14"/>
      <c r="E59" s="49"/>
      <c r="F59" s="49"/>
      <c r="G59" s="31"/>
      <c r="H59" s="30"/>
      <c r="I59" s="30"/>
      <c r="J59" s="32"/>
      <c r="K59" s="34"/>
      <c r="L59" s="16"/>
      <c r="M59" s="16"/>
      <c r="N59" s="16"/>
      <c r="O59" s="35"/>
      <c r="P59" s="13"/>
      <c r="Q59" s="26"/>
      <c r="R59" s="26"/>
      <c r="S59" s="23"/>
    </row>
    <row r="60" spans="1:19" s="24" customFormat="1" ht="16.5" x14ac:dyDescent="0.2">
      <c r="A60" s="1"/>
      <c r="B60" s="5"/>
      <c r="C60" s="20"/>
      <c r="D60" s="14"/>
      <c r="E60" s="49"/>
      <c r="F60" s="49"/>
      <c r="G60" s="31"/>
      <c r="H60" s="30"/>
      <c r="I60" s="30"/>
      <c r="J60" s="32"/>
      <c r="K60" s="34"/>
      <c r="L60" s="16"/>
      <c r="M60" s="16"/>
      <c r="N60" s="16"/>
      <c r="O60" s="35"/>
      <c r="P60" s="13"/>
      <c r="Q60" s="26"/>
      <c r="R60" s="26"/>
      <c r="S60" s="23"/>
    </row>
    <row r="61" spans="1:19" s="24" customFormat="1" ht="16.5" x14ac:dyDescent="0.2">
      <c r="A61" s="1"/>
      <c r="B61" s="5"/>
      <c r="C61" s="20"/>
      <c r="D61" s="14"/>
      <c r="E61" s="49"/>
      <c r="F61" s="49"/>
      <c r="G61" s="31"/>
      <c r="H61" s="30"/>
      <c r="I61" s="30"/>
      <c r="J61" s="32"/>
      <c r="K61" s="34"/>
      <c r="L61" s="16"/>
      <c r="M61" s="16"/>
      <c r="N61" s="16"/>
      <c r="O61" s="35"/>
      <c r="P61" s="13"/>
      <c r="Q61" s="26"/>
      <c r="R61" s="26"/>
      <c r="S61" s="23"/>
    </row>
    <row r="62" spans="1:19" s="24" customFormat="1" ht="16.5" x14ac:dyDescent="0.2">
      <c r="A62" s="1"/>
      <c r="B62" s="5"/>
      <c r="C62" s="20"/>
      <c r="D62" s="14"/>
      <c r="E62" s="49"/>
      <c r="F62" s="49"/>
      <c r="G62" s="31"/>
      <c r="H62" s="30"/>
      <c r="I62" s="30"/>
      <c r="J62" s="32"/>
      <c r="K62" s="34"/>
      <c r="L62" s="16"/>
      <c r="M62" s="16"/>
      <c r="N62" s="16"/>
      <c r="O62" s="35"/>
      <c r="P62" s="13"/>
      <c r="Q62" s="26"/>
      <c r="R62" s="26"/>
      <c r="S62" s="23"/>
    </row>
    <row r="63" spans="1:19" s="24" customFormat="1" ht="16.5" x14ac:dyDescent="0.2">
      <c r="A63" s="1"/>
      <c r="B63" s="5"/>
      <c r="C63" s="20"/>
      <c r="D63" s="14"/>
      <c r="E63" s="49"/>
      <c r="F63" s="49"/>
      <c r="G63" s="31"/>
      <c r="H63" s="30"/>
      <c r="I63" s="30"/>
      <c r="J63" s="32"/>
      <c r="K63" s="34"/>
      <c r="L63" s="16"/>
      <c r="M63" s="16"/>
      <c r="N63" s="16"/>
      <c r="O63" s="35"/>
      <c r="P63" s="13"/>
      <c r="Q63" s="26"/>
      <c r="R63" s="26"/>
      <c r="S63" s="23"/>
    </row>
    <row r="64" spans="1:19" s="24" customFormat="1" ht="16.5" x14ac:dyDescent="0.2">
      <c r="A64" s="1"/>
      <c r="B64" s="5"/>
      <c r="C64" s="20"/>
      <c r="D64" s="14"/>
      <c r="E64" s="49"/>
      <c r="F64" s="49"/>
      <c r="G64" s="31"/>
      <c r="H64" s="30"/>
      <c r="I64" s="30"/>
      <c r="J64" s="32"/>
      <c r="K64" s="34"/>
      <c r="L64" s="16"/>
      <c r="M64" s="16"/>
      <c r="N64" s="16"/>
      <c r="O64" s="35"/>
      <c r="P64" s="13"/>
      <c r="Q64" s="26"/>
      <c r="R64" s="26"/>
      <c r="S64" s="23"/>
    </row>
    <row r="65" spans="1:19" s="24" customFormat="1" ht="16.5" x14ac:dyDescent="0.2">
      <c r="A65" s="1"/>
      <c r="B65" s="5"/>
      <c r="C65" s="20"/>
      <c r="D65" s="14"/>
      <c r="E65" s="49"/>
      <c r="F65" s="49"/>
      <c r="G65" s="31"/>
      <c r="H65" s="30"/>
      <c r="I65" s="30"/>
      <c r="J65" s="32"/>
      <c r="K65" s="34"/>
      <c r="L65" s="16"/>
      <c r="M65" s="16"/>
      <c r="N65" s="16"/>
      <c r="O65" s="35"/>
      <c r="P65" s="13"/>
      <c r="Q65" s="26"/>
      <c r="R65" s="26"/>
      <c r="S65" s="23"/>
    </row>
    <row r="66" spans="1:19" s="24" customFormat="1" ht="16.5" x14ac:dyDescent="0.2">
      <c r="A66" s="1"/>
      <c r="B66" s="5"/>
      <c r="C66" s="20"/>
      <c r="D66" s="14"/>
      <c r="E66" s="49"/>
      <c r="F66" s="49"/>
      <c r="G66" s="31"/>
      <c r="H66" s="30"/>
      <c r="I66" s="30"/>
      <c r="J66" s="32"/>
      <c r="K66" s="34"/>
      <c r="L66" s="16"/>
      <c r="M66" s="16"/>
      <c r="N66" s="16"/>
      <c r="O66" s="35"/>
      <c r="P66" s="13"/>
      <c r="Q66" s="26"/>
      <c r="R66" s="26"/>
      <c r="S66" s="23"/>
    </row>
    <row r="67" spans="1:19" s="24" customFormat="1" ht="16.5" x14ac:dyDescent="0.2">
      <c r="A67" s="1"/>
      <c r="B67" s="5"/>
      <c r="C67" s="20"/>
      <c r="D67" s="14"/>
      <c r="E67" s="49"/>
      <c r="F67" s="49"/>
      <c r="G67" s="31"/>
      <c r="H67" s="30"/>
      <c r="I67" s="30"/>
      <c r="J67" s="32"/>
      <c r="K67" s="34"/>
      <c r="L67" s="16"/>
      <c r="M67" s="16"/>
      <c r="N67" s="16"/>
      <c r="O67" s="35"/>
      <c r="P67" s="13"/>
      <c r="Q67" s="26"/>
      <c r="R67" s="26"/>
      <c r="S67" s="23"/>
    </row>
    <row r="68" spans="1:19" s="24" customFormat="1" ht="16.5" x14ac:dyDescent="0.2">
      <c r="A68" s="1"/>
      <c r="B68" s="5"/>
      <c r="C68" s="20"/>
      <c r="D68" s="14"/>
      <c r="E68" s="49"/>
      <c r="F68" s="49"/>
      <c r="G68" s="31"/>
      <c r="H68" s="30"/>
      <c r="I68" s="30"/>
      <c r="J68" s="32"/>
      <c r="K68" s="34"/>
      <c r="L68" s="16"/>
      <c r="M68" s="16"/>
      <c r="N68" s="16"/>
      <c r="O68" s="35"/>
      <c r="P68" s="13"/>
      <c r="Q68" s="26"/>
      <c r="R68" s="26"/>
      <c r="S68" s="23"/>
    </row>
    <row r="69" spans="1:19" s="24" customFormat="1" ht="16.5" x14ac:dyDescent="0.2">
      <c r="A69" s="1"/>
      <c r="B69" s="5"/>
      <c r="C69" s="20"/>
      <c r="D69" s="14"/>
      <c r="E69" s="49"/>
      <c r="F69" s="49"/>
      <c r="G69" s="31"/>
      <c r="H69" s="30"/>
      <c r="I69" s="30"/>
      <c r="J69" s="32"/>
      <c r="K69" s="34"/>
      <c r="L69" s="16"/>
      <c r="M69" s="16"/>
      <c r="N69" s="16"/>
      <c r="O69" s="35"/>
      <c r="P69" s="13"/>
      <c r="Q69" s="26"/>
      <c r="R69" s="26"/>
      <c r="S69" s="23"/>
    </row>
    <row r="70" spans="1:19" s="24" customFormat="1" ht="16.5" x14ac:dyDescent="0.2">
      <c r="A70" s="1"/>
      <c r="B70" s="5"/>
      <c r="C70" s="20"/>
      <c r="D70" s="14"/>
      <c r="E70" s="49"/>
      <c r="F70" s="49"/>
      <c r="G70" s="31"/>
      <c r="H70" s="30"/>
      <c r="I70" s="30"/>
      <c r="J70" s="32"/>
      <c r="K70" s="34"/>
      <c r="L70" s="16"/>
      <c r="M70" s="16"/>
      <c r="N70" s="16"/>
      <c r="O70" s="35"/>
      <c r="P70" s="13"/>
      <c r="Q70" s="26"/>
      <c r="R70" s="26"/>
      <c r="S70" s="23"/>
    </row>
    <row r="71" spans="1:19" s="24" customFormat="1" ht="16.5" x14ac:dyDescent="0.2">
      <c r="A71" s="1"/>
      <c r="B71" s="5"/>
      <c r="C71" s="20"/>
      <c r="D71" s="14"/>
      <c r="E71" s="49"/>
      <c r="F71" s="49"/>
      <c r="G71" s="31"/>
      <c r="H71" s="30"/>
      <c r="I71" s="30"/>
      <c r="J71" s="32"/>
      <c r="K71" s="34"/>
      <c r="L71" s="16"/>
      <c r="M71" s="16"/>
      <c r="N71" s="16"/>
      <c r="O71" s="35"/>
      <c r="P71" s="13"/>
      <c r="Q71" s="26"/>
      <c r="R71" s="26"/>
      <c r="S71" s="23"/>
    </row>
    <row r="72" spans="1:19" s="24" customFormat="1" ht="16.5" x14ac:dyDescent="0.2">
      <c r="A72" s="1"/>
      <c r="B72" s="5"/>
      <c r="C72" s="20"/>
      <c r="D72" s="14"/>
      <c r="E72" s="49"/>
      <c r="F72" s="49"/>
      <c r="G72" s="31"/>
      <c r="H72" s="30"/>
      <c r="I72" s="30"/>
      <c r="J72" s="32"/>
      <c r="K72" s="34"/>
      <c r="L72" s="16"/>
      <c r="M72" s="16"/>
      <c r="N72" s="16"/>
      <c r="O72" s="35"/>
      <c r="P72" s="13"/>
      <c r="Q72" s="26"/>
      <c r="R72" s="26"/>
      <c r="S72" s="23"/>
    </row>
    <row r="73" spans="1:19" s="24" customFormat="1" ht="16.5" x14ac:dyDescent="0.2">
      <c r="A73" s="1"/>
      <c r="B73" s="5"/>
      <c r="C73" s="20"/>
      <c r="D73" s="14"/>
      <c r="E73" s="49"/>
      <c r="F73" s="49"/>
      <c r="G73" s="31"/>
      <c r="H73" s="30"/>
      <c r="I73" s="30"/>
      <c r="J73" s="32"/>
      <c r="K73" s="34"/>
      <c r="L73" s="16"/>
      <c r="M73" s="16"/>
      <c r="N73" s="16"/>
      <c r="O73" s="35"/>
      <c r="P73" s="13"/>
      <c r="Q73" s="26"/>
      <c r="R73" s="26"/>
      <c r="S73" s="23"/>
    </row>
    <row r="74" spans="1:19" s="24" customFormat="1" ht="16.5" x14ac:dyDescent="0.2">
      <c r="A74" s="1"/>
      <c r="B74" s="5"/>
      <c r="C74" s="20"/>
      <c r="D74" s="14"/>
      <c r="E74" s="49"/>
      <c r="F74" s="49"/>
      <c r="G74" s="31"/>
      <c r="H74" s="30"/>
      <c r="I74" s="30"/>
      <c r="J74" s="32"/>
      <c r="K74" s="34"/>
      <c r="L74" s="16"/>
      <c r="M74" s="16"/>
      <c r="N74" s="16"/>
      <c r="O74" s="35"/>
      <c r="P74" s="13"/>
      <c r="Q74" s="26"/>
      <c r="R74" s="26"/>
      <c r="S74" s="23"/>
    </row>
    <row r="75" spans="1:19" s="24" customFormat="1" ht="16.5" x14ac:dyDescent="0.2">
      <c r="A75" s="1"/>
      <c r="B75" s="5"/>
      <c r="C75" s="20"/>
      <c r="D75" s="14"/>
      <c r="E75" s="49"/>
      <c r="F75" s="49"/>
      <c r="G75" s="31"/>
      <c r="H75" s="30"/>
      <c r="I75" s="30"/>
      <c r="J75" s="32"/>
      <c r="K75" s="34"/>
      <c r="L75" s="16"/>
      <c r="M75" s="16"/>
      <c r="N75" s="16"/>
      <c r="O75" s="35"/>
      <c r="P75" s="13"/>
      <c r="Q75" s="26"/>
      <c r="R75" s="26"/>
      <c r="S75" s="23"/>
    </row>
    <row r="76" spans="1:19" s="24" customFormat="1" ht="16.5" x14ac:dyDescent="0.2">
      <c r="A76" s="1"/>
      <c r="B76" s="5"/>
      <c r="C76" s="20"/>
      <c r="D76" s="14"/>
      <c r="E76" s="49"/>
      <c r="F76" s="49"/>
      <c r="G76" s="31"/>
      <c r="H76" s="30"/>
      <c r="I76" s="30"/>
      <c r="J76" s="32"/>
      <c r="K76" s="34"/>
      <c r="L76" s="16"/>
      <c r="M76" s="16"/>
      <c r="N76" s="16"/>
      <c r="O76" s="35"/>
      <c r="P76" s="13"/>
      <c r="Q76" s="26"/>
      <c r="R76" s="26"/>
      <c r="S76" s="23"/>
    </row>
    <row r="77" spans="1:19" s="24" customFormat="1" ht="16.5" x14ac:dyDescent="0.2">
      <c r="A77" s="1"/>
      <c r="B77" s="5"/>
      <c r="C77" s="20"/>
      <c r="D77" s="14"/>
      <c r="E77" s="49"/>
      <c r="F77" s="49"/>
      <c r="G77" s="31"/>
      <c r="H77" s="30"/>
      <c r="I77" s="30"/>
      <c r="J77" s="32"/>
      <c r="K77" s="34"/>
      <c r="L77" s="16"/>
      <c r="M77" s="16"/>
      <c r="N77" s="16"/>
      <c r="O77" s="35"/>
      <c r="P77" s="13"/>
      <c r="Q77" s="26"/>
      <c r="R77" s="26"/>
      <c r="S77" s="23"/>
    </row>
    <row r="78" spans="1:19" s="24" customFormat="1" ht="16.5" x14ac:dyDescent="0.2">
      <c r="A78" s="1"/>
      <c r="B78" s="5"/>
      <c r="C78" s="20"/>
      <c r="D78" s="14"/>
      <c r="E78" s="49"/>
      <c r="F78" s="49"/>
      <c r="G78" s="31"/>
      <c r="H78" s="30"/>
      <c r="I78" s="30"/>
      <c r="J78" s="32"/>
      <c r="K78" s="34"/>
      <c r="L78" s="16"/>
      <c r="M78" s="16"/>
      <c r="N78" s="16"/>
      <c r="O78" s="35"/>
      <c r="P78" s="13"/>
      <c r="Q78" s="26"/>
      <c r="R78" s="26"/>
      <c r="S78" s="23"/>
    </row>
    <row r="79" spans="1:19" s="24" customFormat="1" ht="16.5" x14ac:dyDescent="0.2">
      <c r="A79" s="1"/>
      <c r="B79" s="5"/>
      <c r="C79" s="20"/>
      <c r="D79" s="14"/>
      <c r="E79" s="49"/>
      <c r="F79" s="49"/>
      <c r="G79" s="31"/>
      <c r="H79" s="30"/>
      <c r="I79" s="30"/>
      <c r="J79" s="32"/>
      <c r="K79" s="34"/>
      <c r="L79" s="16"/>
      <c r="M79" s="16"/>
      <c r="N79" s="16"/>
      <c r="O79" s="35"/>
      <c r="P79" s="13"/>
      <c r="Q79" s="26"/>
      <c r="R79" s="26"/>
      <c r="S79" s="23"/>
    </row>
    <row r="80" spans="1:19" s="24" customFormat="1" ht="16.5" x14ac:dyDescent="0.2">
      <c r="A80" s="1"/>
      <c r="B80" s="5"/>
      <c r="C80" s="20"/>
      <c r="D80" s="14"/>
      <c r="E80" s="49"/>
      <c r="F80" s="49"/>
      <c r="G80" s="31"/>
      <c r="H80" s="30"/>
      <c r="I80" s="30"/>
      <c r="J80" s="32"/>
      <c r="K80" s="34"/>
      <c r="L80" s="16"/>
      <c r="M80" s="16"/>
      <c r="N80" s="16"/>
      <c r="O80" s="35"/>
      <c r="P80" s="13"/>
      <c r="Q80" s="26"/>
      <c r="R80" s="26"/>
      <c r="S80" s="23"/>
    </row>
    <row r="81" spans="1:19" s="24" customFormat="1" ht="16.5" x14ac:dyDescent="0.2">
      <c r="A81" s="1"/>
      <c r="B81" s="5"/>
      <c r="C81" s="20"/>
      <c r="D81" s="14"/>
      <c r="E81" s="49"/>
      <c r="F81" s="49"/>
      <c r="G81" s="31"/>
      <c r="H81" s="30"/>
      <c r="I81" s="30"/>
      <c r="J81" s="32"/>
      <c r="K81" s="34"/>
      <c r="L81" s="16"/>
      <c r="M81" s="16"/>
      <c r="N81" s="16"/>
      <c r="O81" s="35"/>
      <c r="P81" s="13"/>
      <c r="Q81" s="26"/>
      <c r="R81" s="26"/>
      <c r="S81" s="23"/>
    </row>
    <row r="82" spans="1:19" s="24" customFormat="1" ht="16.5" x14ac:dyDescent="0.2">
      <c r="A82" s="1"/>
      <c r="B82" s="5"/>
      <c r="C82" s="20"/>
      <c r="D82" s="14"/>
      <c r="E82" s="49"/>
      <c r="F82" s="49"/>
      <c r="G82" s="31"/>
      <c r="H82" s="30"/>
      <c r="I82" s="30"/>
      <c r="J82" s="32"/>
      <c r="K82" s="34"/>
      <c r="L82" s="16"/>
      <c r="M82" s="16"/>
      <c r="N82" s="16"/>
      <c r="O82" s="35"/>
      <c r="P82" s="13"/>
      <c r="Q82" s="26"/>
      <c r="R82" s="26"/>
      <c r="S82" s="23"/>
    </row>
    <row r="83" spans="1:19" s="24" customFormat="1" ht="16.5" x14ac:dyDescent="0.2">
      <c r="A83" s="1"/>
      <c r="B83" s="5"/>
      <c r="C83" s="20"/>
      <c r="D83" s="14"/>
      <c r="E83" s="49"/>
      <c r="F83" s="49"/>
      <c r="G83" s="31"/>
      <c r="H83" s="30"/>
      <c r="I83" s="30"/>
      <c r="J83" s="32"/>
      <c r="K83" s="34"/>
      <c r="L83" s="16"/>
      <c r="M83" s="16"/>
      <c r="N83" s="16"/>
      <c r="O83" s="35"/>
      <c r="P83" s="13"/>
      <c r="Q83" s="26"/>
      <c r="R83" s="26"/>
      <c r="S83" s="23"/>
    </row>
    <row r="84" spans="1:19" s="24" customFormat="1" ht="16.5" x14ac:dyDescent="0.2">
      <c r="A84" s="1"/>
      <c r="B84" s="5"/>
      <c r="C84" s="20"/>
      <c r="D84" s="14"/>
      <c r="E84" s="49"/>
      <c r="F84" s="49"/>
      <c r="G84" s="31"/>
      <c r="H84" s="30"/>
      <c r="I84" s="30"/>
      <c r="J84" s="32"/>
      <c r="K84" s="34"/>
      <c r="L84" s="16"/>
      <c r="M84" s="16"/>
      <c r="N84" s="16"/>
      <c r="O84" s="35"/>
      <c r="P84" s="13"/>
      <c r="Q84" s="26"/>
      <c r="R84" s="26"/>
      <c r="S84" s="23"/>
    </row>
    <row r="85" spans="1:19" s="24" customFormat="1" ht="16.5" x14ac:dyDescent="0.2">
      <c r="A85" s="1"/>
      <c r="B85" s="5"/>
      <c r="C85" s="20"/>
      <c r="D85" s="14"/>
      <c r="E85" s="49"/>
      <c r="F85" s="49"/>
      <c r="G85" s="31"/>
      <c r="H85" s="30"/>
      <c r="I85" s="30"/>
      <c r="J85" s="32"/>
      <c r="K85" s="34"/>
      <c r="L85" s="16"/>
      <c r="M85" s="16"/>
      <c r="N85" s="16"/>
      <c r="O85" s="35"/>
      <c r="P85" s="13"/>
      <c r="Q85" s="26"/>
      <c r="R85" s="26"/>
      <c r="S85" s="23"/>
    </row>
    <row r="86" spans="1:19" s="24" customFormat="1" ht="16.5" x14ac:dyDescent="0.2">
      <c r="A86" s="1"/>
      <c r="B86" s="5"/>
      <c r="C86" s="20"/>
      <c r="D86" s="14"/>
      <c r="E86" s="49"/>
      <c r="F86" s="49"/>
      <c r="G86" s="31"/>
      <c r="H86" s="30"/>
      <c r="I86" s="30"/>
      <c r="J86" s="32"/>
      <c r="K86" s="34"/>
      <c r="L86" s="16"/>
      <c r="M86" s="16"/>
      <c r="N86" s="16"/>
      <c r="O86" s="35"/>
      <c r="P86" s="13"/>
      <c r="Q86" s="26"/>
      <c r="R86" s="26"/>
      <c r="S86" s="23"/>
    </row>
    <row r="87" spans="1:19" s="24" customFormat="1" ht="16.5" x14ac:dyDescent="0.2">
      <c r="A87" s="1"/>
      <c r="B87" s="5"/>
      <c r="C87" s="20"/>
      <c r="D87" s="14"/>
      <c r="E87" s="49"/>
      <c r="F87" s="49"/>
      <c r="G87" s="31"/>
      <c r="H87" s="30"/>
      <c r="I87" s="30"/>
      <c r="J87" s="32"/>
      <c r="K87" s="34"/>
      <c r="L87" s="16"/>
      <c r="M87" s="16"/>
      <c r="N87" s="16"/>
      <c r="O87" s="35"/>
      <c r="P87" s="13"/>
      <c r="Q87" s="26"/>
      <c r="R87" s="26"/>
      <c r="S87" s="23"/>
    </row>
    <row r="88" spans="1:19" s="24" customFormat="1" ht="16.5" x14ac:dyDescent="0.2">
      <c r="A88" s="1"/>
      <c r="B88" s="5"/>
      <c r="C88" s="20"/>
      <c r="D88" s="14"/>
      <c r="E88" s="49"/>
      <c r="F88" s="49"/>
      <c r="G88" s="31"/>
      <c r="H88" s="30"/>
      <c r="I88" s="30"/>
      <c r="J88" s="32"/>
      <c r="K88" s="34"/>
      <c r="L88" s="16"/>
      <c r="M88" s="16"/>
      <c r="N88" s="16"/>
      <c r="O88" s="35"/>
      <c r="P88" s="13"/>
      <c r="Q88" s="26"/>
      <c r="R88" s="26"/>
      <c r="S88" s="23"/>
    </row>
    <row r="89" spans="1:19" s="24" customFormat="1" ht="16.5" x14ac:dyDescent="0.2">
      <c r="A89" s="1"/>
      <c r="B89" s="5"/>
      <c r="C89" s="20"/>
      <c r="D89" s="14"/>
      <c r="E89" s="49"/>
      <c r="F89" s="49"/>
      <c r="G89" s="31"/>
      <c r="H89" s="30"/>
      <c r="I89" s="30"/>
      <c r="J89" s="32"/>
      <c r="K89" s="34"/>
      <c r="L89" s="16"/>
      <c r="M89" s="16"/>
      <c r="N89" s="16"/>
      <c r="O89" s="35"/>
      <c r="P89" s="13"/>
      <c r="Q89" s="26"/>
      <c r="R89" s="26"/>
      <c r="S89" s="23"/>
    </row>
    <row r="90" spans="1:19" s="24" customFormat="1" ht="16.5" x14ac:dyDescent="0.2">
      <c r="A90" s="1"/>
      <c r="B90" s="5"/>
      <c r="C90" s="20"/>
      <c r="D90" s="14"/>
      <c r="E90" s="49"/>
      <c r="F90" s="49"/>
      <c r="G90" s="31"/>
      <c r="H90" s="30"/>
      <c r="I90" s="30"/>
      <c r="J90" s="32"/>
      <c r="K90" s="34"/>
      <c r="L90" s="16"/>
      <c r="M90" s="16"/>
      <c r="N90" s="16"/>
      <c r="O90" s="35"/>
      <c r="P90" s="13"/>
      <c r="Q90" s="26"/>
      <c r="R90" s="26"/>
      <c r="S90" s="23"/>
    </row>
    <row r="91" spans="1:19" s="24" customFormat="1" ht="16.5" x14ac:dyDescent="0.2">
      <c r="A91" s="1"/>
      <c r="B91" s="5"/>
      <c r="C91" s="20"/>
      <c r="D91" s="14"/>
      <c r="E91" s="49"/>
      <c r="F91" s="49"/>
      <c r="G91" s="31"/>
      <c r="H91" s="30"/>
      <c r="I91" s="30"/>
      <c r="J91" s="32"/>
      <c r="K91" s="34"/>
      <c r="L91" s="16"/>
      <c r="M91" s="16"/>
      <c r="N91" s="16"/>
      <c r="O91" s="35"/>
      <c r="P91" s="13"/>
      <c r="Q91" s="26"/>
      <c r="R91" s="26"/>
      <c r="S91" s="23"/>
    </row>
    <row r="92" spans="1:19" s="24" customFormat="1" ht="16.5" x14ac:dyDescent="0.2">
      <c r="A92" s="1"/>
      <c r="B92" s="5"/>
      <c r="C92" s="20"/>
      <c r="D92" s="14"/>
      <c r="E92" s="49"/>
      <c r="F92" s="49"/>
      <c r="G92" s="31"/>
      <c r="H92" s="30"/>
      <c r="I92" s="30"/>
      <c r="J92" s="32"/>
      <c r="K92" s="34"/>
      <c r="L92" s="16"/>
      <c r="M92" s="16"/>
      <c r="N92" s="16"/>
      <c r="O92" s="35"/>
      <c r="P92" s="13"/>
      <c r="Q92" s="26"/>
      <c r="R92" s="26"/>
      <c r="S92" s="23"/>
    </row>
    <row r="93" spans="1:19" s="24" customFormat="1" ht="16.5" x14ac:dyDescent="0.2">
      <c r="A93" s="1"/>
      <c r="B93" s="5"/>
      <c r="C93" s="20"/>
      <c r="D93" s="14"/>
      <c r="E93" s="49"/>
      <c r="F93" s="49"/>
      <c r="G93" s="31"/>
      <c r="H93" s="30"/>
      <c r="I93" s="30"/>
      <c r="J93" s="32"/>
      <c r="K93" s="34"/>
      <c r="L93" s="16"/>
      <c r="M93" s="16"/>
      <c r="N93" s="16"/>
      <c r="O93" s="35"/>
      <c r="P93" s="13"/>
      <c r="Q93" s="26"/>
      <c r="R93" s="26"/>
      <c r="S93" s="23"/>
    </row>
    <row r="94" spans="1:19" s="24" customFormat="1" ht="16.5" x14ac:dyDescent="0.2">
      <c r="A94" s="1"/>
      <c r="B94" s="5"/>
      <c r="C94" s="20"/>
      <c r="D94" s="14"/>
      <c r="E94" s="49"/>
      <c r="F94" s="49"/>
      <c r="G94" s="31"/>
      <c r="H94" s="30"/>
      <c r="I94" s="30"/>
      <c r="J94" s="32"/>
      <c r="K94" s="34"/>
      <c r="L94" s="16"/>
      <c r="M94" s="16"/>
      <c r="N94" s="16"/>
      <c r="O94" s="35"/>
      <c r="P94" s="13"/>
      <c r="Q94" s="26"/>
      <c r="R94" s="26"/>
      <c r="S94" s="23"/>
    </row>
    <row r="95" spans="1:19" s="24" customFormat="1" ht="16.5" x14ac:dyDescent="0.2">
      <c r="A95" s="1"/>
      <c r="B95" s="5"/>
      <c r="C95" s="20"/>
      <c r="D95" s="14"/>
      <c r="E95" s="49"/>
      <c r="F95" s="49"/>
      <c r="G95" s="31"/>
      <c r="H95" s="30"/>
      <c r="I95" s="30"/>
      <c r="J95" s="32"/>
      <c r="K95" s="34"/>
      <c r="L95" s="16"/>
      <c r="M95" s="16"/>
      <c r="N95" s="16"/>
      <c r="O95" s="35"/>
      <c r="P95" s="13"/>
      <c r="Q95" s="26"/>
      <c r="R95" s="26"/>
      <c r="S95" s="23"/>
    </row>
    <row r="96" spans="1:19" s="24" customFormat="1" ht="16.5" x14ac:dyDescent="0.2">
      <c r="A96" s="1"/>
      <c r="B96" s="5"/>
      <c r="C96" s="20"/>
      <c r="D96" s="14"/>
      <c r="E96" s="49"/>
      <c r="F96" s="49"/>
      <c r="G96" s="31"/>
      <c r="H96" s="30"/>
      <c r="I96" s="30"/>
      <c r="J96" s="32"/>
      <c r="K96" s="34"/>
      <c r="L96" s="16"/>
      <c r="M96" s="16"/>
      <c r="N96" s="16"/>
      <c r="O96" s="35"/>
      <c r="P96" s="13"/>
      <c r="Q96" s="26"/>
      <c r="R96" s="26"/>
      <c r="S96" s="23"/>
    </row>
    <row r="97" spans="1:19" s="24" customFormat="1" ht="16.5" x14ac:dyDescent="0.2">
      <c r="A97" s="1"/>
      <c r="B97" s="5"/>
      <c r="C97" s="20"/>
      <c r="D97" s="14"/>
      <c r="E97" s="49"/>
      <c r="F97" s="49"/>
      <c r="G97" s="31"/>
      <c r="H97" s="30"/>
      <c r="I97" s="30"/>
      <c r="J97" s="32"/>
      <c r="K97" s="34"/>
      <c r="L97" s="16"/>
      <c r="M97" s="16"/>
      <c r="N97" s="16"/>
      <c r="O97" s="35"/>
      <c r="P97" s="13"/>
      <c r="Q97" s="26"/>
      <c r="R97" s="26"/>
      <c r="S97" s="23"/>
    </row>
    <row r="98" spans="1:19" s="24" customFormat="1" ht="16.5" x14ac:dyDescent="0.2">
      <c r="A98" s="1"/>
      <c r="B98" s="5"/>
      <c r="C98" s="20"/>
      <c r="D98" s="14"/>
      <c r="E98" s="49"/>
      <c r="F98" s="49"/>
      <c r="G98" s="31"/>
      <c r="H98" s="30"/>
      <c r="I98" s="30"/>
      <c r="J98" s="32"/>
      <c r="K98" s="34"/>
      <c r="L98" s="16"/>
      <c r="M98" s="16"/>
      <c r="N98" s="16"/>
      <c r="O98" s="35"/>
      <c r="P98" s="13"/>
      <c r="Q98" s="26"/>
      <c r="R98" s="26"/>
      <c r="S98" s="23"/>
    </row>
    <row r="99" spans="1:19" s="24" customFormat="1" ht="16.5" x14ac:dyDescent="0.2">
      <c r="A99" s="1"/>
      <c r="B99" s="5"/>
      <c r="C99" s="20"/>
      <c r="D99" s="14"/>
      <c r="E99" s="49"/>
      <c r="F99" s="49"/>
      <c r="G99" s="31"/>
      <c r="H99" s="30"/>
      <c r="I99" s="30"/>
      <c r="J99" s="32"/>
      <c r="K99" s="34"/>
      <c r="L99" s="16"/>
      <c r="M99" s="16"/>
      <c r="N99" s="16"/>
      <c r="O99" s="35"/>
      <c r="P99" s="13"/>
      <c r="Q99" s="26"/>
      <c r="R99" s="26"/>
      <c r="S99" s="23"/>
    </row>
    <row r="100" spans="1:19" s="24" customFormat="1" ht="16.5" x14ac:dyDescent="0.2">
      <c r="A100" s="1"/>
      <c r="B100" s="5"/>
      <c r="C100" s="20"/>
      <c r="D100" s="14"/>
      <c r="E100" s="49"/>
      <c r="F100" s="49"/>
      <c r="G100" s="31"/>
      <c r="H100" s="30"/>
      <c r="I100" s="30"/>
      <c r="J100" s="32"/>
      <c r="K100" s="34"/>
      <c r="L100" s="16"/>
      <c r="M100" s="16"/>
      <c r="N100" s="16"/>
      <c r="O100" s="35"/>
      <c r="P100" s="13"/>
      <c r="Q100" s="26"/>
      <c r="R100" s="26"/>
      <c r="S100" s="23"/>
    </row>
    <row r="101" spans="1:19" s="24" customFormat="1" ht="9" customHeight="1" x14ac:dyDescent="0.2">
      <c r="A101" s="1"/>
      <c r="B101" s="5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</row>
    <row r="102" spans="1:19" s="24" customFormat="1" ht="9" customHeight="1" x14ac:dyDescent="0.2">
      <c r="A102" s="1"/>
      <c r="B102" s="1"/>
    </row>
  </sheetData>
  <mergeCells count="8">
    <mergeCell ref="K6:P6"/>
    <mergeCell ref="Q6:R6"/>
    <mergeCell ref="D1:J1"/>
    <mergeCell ref="C6:C7"/>
    <mergeCell ref="D6:D7"/>
    <mergeCell ref="E6:E7"/>
    <mergeCell ref="G6:J6"/>
    <mergeCell ref="F6:F7"/>
  </mergeCells>
  <phoneticPr fontId="2" type="noConversion"/>
  <conditionalFormatting sqref="P8:P10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{CD4D59CD-5F3F-4C66-9D58-65188F5C61AB}</x14:id>
        </ext>
      </extLst>
    </cfRule>
  </conditionalFormatting>
  <conditionalFormatting sqref="R8:R1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{17EF7B8B-73A4-411A-84DE-5E699FA9F848}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4D59CD-5F3F-4C66-9D58-65188F5C6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P8:P100</xm:sqref>
        </x14:conditionalFormatting>
        <x14:conditionalFormatting xmlns:xm="http://schemas.microsoft.com/office/excel/2006/main">
          <x14:cfRule type="dataBar" id="{17EF7B8B-73A4-411A-84DE-5E699FA9F8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R8:R100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估值分析!G8:I8</xm:f>
              <xm:sqref>J8</xm:sqref>
            </x14:sparkline>
            <x14:sparkline>
              <xm:f>估值分析!G9:I9</xm:f>
              <xm:sqref>J9</xm:sqref>
            </x14:sparkline>
            <x14:sparkline>
              <xm:f>估值分析!G10:I10</xm:f>
              <xm:sqref>J10</xm:sqref>
            </x14:sparkline>
            <x14:sparkline>
              <xm:f>估值分析!G11:I11</xm:f>
              <xm:sqref>J11</xm:sqref>
            </x14:sparkline>
            <x14:sparkline>
              <xm:f>估值分析!G12:I12</xm:f>
              <xm:sqref>J12</xm:sqref>
            </x14:sparkline>
            <x14:sparkline>
              <xm:f>估值分析!G13:I13</xm:f>
              <xm:sqref>J13</xm:sqref>
            </x14:sparkline>
            <x14:sparkline>
              <xm:f>估值分析!G14:I14</xm:f>
              <xm:sqref>J14</xm:sqref>
            </x14:sparkline>
            <x14:sparkline>
              <xm:f>估值分析!G15:I15</xm:f>
              <xm:sqref>J15</xm:sqref>
            </x14:sparkline>
            <x14:sparkline>
              <xm:f>估值分析!G16:I16</xm:f>
              <xm:sqref>J16</xm:sqref>
            </x14:sparkline>
            <x14:sparkline>
              <xm:f>估值分析!G17:I17</xm:f>
              <xm:sqref>J17</xm:sqref>
            </x14:sparkline>
            <x14:sparkline>
              <xm:f>估值分析!G18:I18</xm:f>
              <xm:sqref>J18</xm:sqref>
            </x14:sparkline>
            <x14:sparkline>
              <xm:f>估值分析!G19:I19</xm:f>
              <xm:sqref>J19</xm:sqref>
            </x14:sparkline>
            <x14:sparkline>
              <xm:f>估值分析!G20:I20</xm:f>
              <xm:sqref>J20</xm:sqref>
            </x14:sparkline>
            <x14:sparkline>
              <xm:f>估值分析!G21:I21</xm:f>
              <xm:sqref>J21</xm:sqref>
            </x14:sparkline>
            <x14:sparkline>
              <xm:f>估值分析!G22:I22</xm:f>
              <xm:sqref>J22</xm:sqref>
            </x14:sparkline>
            <x14:sparkline>
              <xm:f>估值分析!G23:I23</xm:f>
              <xm:sqref>J23</xm:sqref>
            </x14:sparkline>
            <x14:sparkline>
              <xm:f>估值分析!G24:I24</xm:f>
              <xm:sqref>J24</xm:sqref>
            </x14:sparkline>
            <x14:sparkline>
              <xm:f>估值分析!G25:I25</xm:f>
              <xm:sqref>J25</xm:sqref>
            </x14:sparkline>
            <x14:sparkline>
              <xm:f>估值分析!G26:I26</xm:f>
              <xm:sqref>J26</xm:sqref>
            </x14:sparkline>
            <x14:sparkline>
              <xm:f>估值分析!G27:I27</xm:f>
              <xm:sqref>J27</xm:sqref>
            </x14:sparkline>
            <x14:sparkline>
              <xm:f>估值分析!G28:I28</xm:f>
              <xm:sqref>J28</xm:sqref>
            </x14:sparkline>
            <x14:sparkline>
              <xm:f>估值分析!G29:I29</xm:f>
              <xm:sqref>J29</xm:sqref>
            </x14:sparkline>
            <x14:sparkline>
              <xm:f>估值分析!G30:I30</xm:f>
              <xm:sqref>J30</xm:sqref>
            </x14:sparkline>
            <x14:sparkline>
              <xm:f>估值分析!G31:I31</xm:f>
              <xm:sqref>J31</xm:sqref>
            </x14:sparkline>
            <x14:sparkline>
              <xm:f>估值分析!G32:I32</xm:f>
              <xm:sqref>J32</xm:sqref>
            </x14:sparkline>
            <x14:sparkline>
              <xm:f>估值分析!G33:I33</xm:f>
              <xm:sqref>J33</xm:sqref>
            </x14:sparkline>
            <x14:sparkline>
              <xm:f>估值分析!G34:I34</xm:f>
              <xm:sqref>J34</xm:sqref>
            </x14:sparkline>
            <x14:sparkline>
              <xm:f>估值分析!G35:I35</xm:f>
              <xm:sqref>J35</xm:sqref>
            </x14:sparkline>
            <x14:sparkline>
              <xm:f>估值分析!G36:I36</xm:f>
              <xm:sqref>J36</xm:sqref>
            </x14:sparkline>
            <x14:sparkline>
              <xm:f>估值分析!G37:I37</xm:f>
              <xm:sqref>J37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63636D"/>
  </sheetPr>
  <dimension ref="A1"/>
  <sheetViews>
    <sheetView workbookViewId="0"/>
  </sheetViews>
  <sheetFormatPr defaultRowHeight="14.25" x14ac:dyDescent="0.2"/>
  <sheetData>
    <row r="1" spans="1:1" ht="17.25" x14ac:dyDescent="0.3">
      <c r="A1" s="47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基本资料</vt:lpstr>
      <vt:lpstr>估值分析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SiYu</dc:creator>
  <cp:lastModifiedBy>Cui YongQiang</cp:lastModifiedBy>
  <dcterms:created xsi:type="dcterms:W3CDTF">2022-06-16T07:25:53Z</dcterms:created>
  <dcterms:modified xsi:type="dcterms:W3CDTF">2024-07-16T07:56:22Z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385712986</vt:i4>
  </property>
  <property fmtid="{D5CDD505-2E9C-101B-9397-08002B2CF9AE}" pid="3" name="_NewReviewCycle">
    <vt:lpwstr/>
  </property>
  <property fmtid="{D5CDD505-2E9C-101B-9397-08002B2CF9AE}" pid="4" name="_EmailSubject">
    <vt:lpwstr>可比公司和报价excel模板</vt:lpwstr>
  </property>
  <property fmtid="{D5CDD505-2E9C-101B-9397-08002B2CF9AE}" pid="5" name="_AuthorEmail">
    <vt:lpwstr>jywang.jesslyn@wind.com.cn</vt:lpwstr>
  </property>
  <property fmtid="{D5CDD505-2E9C-101B-9397-08002B2CF9AE}" pid="6" name="_AuthorEmailDisplayName">
    <vt:lpwstr>Wang JiaYi</vt:lpwstr>
  </property>
  <property fmtid="{D5CDD505-2E9C-101B-9397-08002B2CF9AE}" pid="7" name="_PreviousAdHocReviewCycleID">
    <vt:i4>1246074349</vt:i4>
  </property>
  <property fmtid="{D5CDD505-2E9C-101B-9397-08002B2CF9AE}" pid="8" name="_ReviewingToolsShownOnce">
    <vt:lpwstr/>
  </property>
</Properties>
</file>