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11295"/>
  </bookViews>
  <sheets>
    <sheet name="价差分析" sheetId="4" r:id="rId1"/>
    <sheet name="data" sheetId="3" state="hidden" r:id="rId2"/>
    <sheet name="Wind模板" sheetId="2" state="veryHidden" r:id="rId3"/>
  </sheets>
  <externalReferences>
    <externalReference r:id="rId4"/>
  </externalReferences>
  <definedNames>
    <definedName name="comp1">OFFSET(data!$A$3,1,1,data!$O$4,1)</definedName>
    <definedName name="comp2">OFFSET(data!$A$3,1,2,data!$O$4,1)</definedName>
    <definedName name="pd">OFFSET(data!$A$3,1,9,data!$O$4,1)</definedName>
    <definedName name="timeseries">OFFSET(data!$A$3,1,0,data!$O$4,1)</definedName>
  </definedNames>
  <calcPr calcId="162913"/>
</workbook>
</file>

<file path=xl/calcChain.xml><?xml version="1.0" encoding="utf-8"?>
<calcChain xmlns="http://schemas.openxmlformats.org/spreadsheetml/2006/main">
  <c r="T4" i="4" l="1"/>
  <c r="T5" i="4"/>
  <c r="Q5" i="4"/>
  <c r="N5" i="4"/>
  <c r="K5" i="4"/>
  <c r="H5" i="4"/>
  <c r="E5" i="4"/>
  <c r="H17" i="4"/>
  <c r="E17" i="4"/>
  <c r="I1" i="3" l="1"/>
  <c r="H1" i="3"/>
  <c r="C10" i="4"/>
  <c r="C9" i="4"/>
  <c r="C8" i="4"/>
  <c r="C12" i="4"/>
  <c r="C11" i="4"/>
  <c r="E1" i="3"/>
  <c r="F1" i="3"/>
  <c r="D1" i="3"/>
  <c r="E12" i="4"/>
  <c r="E11" i="4"/>
  <c r="E10" i="4"/>
  <c r="E9" i="4"/>
  <c r="E8" i="4"/>
  <c r="D3" i="3"/>
  <c r="A4" i="3"/>
  <c r="E3" i="3"/>
  <c r="I3" i="3"/>
  <c r="H3" i="3"/>
  <c r="F3" i="3"/>
  <c r="D11" i="4" l="1"/>
  <c r="D12" i="4"/>
  <c r="D10" i="4"/>
  <c r="D9" i="4" l="1"/>
  <c r="D8" i="4"/>
  <c r="C1" i="3" l="1"/>
  <c r="B1" i="3"/>
  <c r="M4" i="3"/>
  <c r="B4" i="3"/>
  <c r="E4" i="3"/>
  <c r="I4" i="3"/>
  <c r="F4" i="3"/>
  <c r="A5" i="3"/>
  <c r="H4" i="3"/>
  <c r="D4" i="3"/>
  <c r="C4" i="3"/>
  <c r="B3" i="3"/>
  <c r="C3" i="3"/>
  <c r="J4" i="3" l="1"/>
  <c r="I5" i="3"/>
  <c r="H5" i="3"/>
  <c r="F5" i="3"/>
  <c r="C5" i="3"/>
  <c r="E5" i="3"/>
  <c r="D5" i="3"/>
  <c r="A6" i="3"/>
  <c r="B5" i="3"/>
  <c r="J5" i="3" l="1"/>
  <c r="P24" i="4"/>
  <c r="C6" i="3"/>
  <c r="B6" i="3"/>
  <c r="I6" i="3"/>
  <c r="A7" i="3"/>
  <c r="D6" i="3"/>
  <c r="F6" i="3"/>
  <c r="H6" i="3"/>
  <c r="E6" i="3"/>
  <c r="J6" i="3" l="1"/>
  <c r="F7" i="3"/>
  <c r="I7" i="3"/>
  <c r="A8" i="3"/>
  <c r="D7" i="3"/>
  <c r="C7" i="3"/>
  <c r="H7" i="3"/>
  <c r="B7" i="3"/>
  <c r="E7" i="3"/>
  <c r="J7" i="3" l="1"/>
  <c r="B8" i="3"/>
  <c r="C8" i="3"/>
  <c r="F8" i="3"/>
  <c r="I8" i="3"/>
  <c r="H8" i="3"/>
  <c r="A9" i="3"/>
  <c r="D8" i="3"/>
  <c r="E8" i="3"/>
  <c r="J8" i="3" l="1"/>
  <c r="C9" i="3"/>
  <c r="E9" i="3"/>
  <c r="I9" i="3"/>
  <c r="H9" i="3"/>
  <c r="A10" i="3"/>
  <c r="B9" i="3"/>
  <c r="F9" i="3"/>
  <c r="D9" i="3"/>
  <c r="J9" i="3" l="1"/>
  <c r="B10" i="3"/>
  <c r="E10" i="3"/>
  <c r="F10" i="3"/>
  <c r="D10" i="3"/>
  <c r="H10" i="3"/>
  <c r="C10" i="3"/>
  <c r="I10" i="3"/>
  <c r="A11" i="3"/>
  <c r="J10" i="3" l="1"/>
  <c r="A12" i="3"/>
  <c r="I11" i="3"/>
  <c r="F11" i="3"/>
  <c r="H11" i="3"/>
  <c r="B11" i="3"/>
  <c r="D11" i="3"/>
  <c r="C11" i="3"/>
  <c r="E11" i="3"/>
  <c r="J11" i="3" l="1"/>
  <c r="B12" i="3"/>
  <c r="C12" i="3"/>
  <c r="E12" i="3"/>
  <c r="I12" i="3"/>
  <c r="F12" i="3"/>
  <c r="A13" i="3"/>
  <c r="D12" i="3"/>
  <c r="H12" i="3"/>
  <c r="J12" i="3" l="1"/>
  <c r="F13" i="3"/>
  <c r="C13" i="3"/>
  <c r="E13" i="3"/>
  <c r="A14" i="3"/>
  <c r="B13" i="3"/>
  <c r="D13" i="3"/>
  <c r="H13" i="3"/>
  <c r="I13" i="3"/>
  <c r="J13" i="3" l="1"/>
  <c r="A15" i="3"/>
  <c r="B14" i="3"/>
  <c r="H14" i="3"/>
  <c r="F14" i="3"/>
  <c r="C14" i="3"/>
  <c r="E14" i="3"/>
  <c r="D14" i="3"/>
  <c r="I14" i="3"/>
  <c r="J14" i="3" l="1"/>
  <c r="I15" i="3"/>
  <c r="H15" i="3"/>
  <c r="B15" i="3"/>
  <c r="E15" i="3"/>
  <c r="D15" i="3"/>
  <c r="C15" i="3"/>
  <c r="A16" i="3"/>
  <c r="F15" i="3"/>
  <c r="J15" i="3" l="1"/>
  <c r="I16" i="3"/>
  <c r="E16" i="3"/>
  <c r="B16" i="3"/>
  <c r="F16" i="3"/>
  <c r="C16" i="3"/>
  <c r="D16" i="3"/>
  <c r="H16" i="3"/>
  <c r="A17" i="3"/>
  <c r="J16" i="3" l="1"/>
  <c r="E17" i="3"/>
  <c r="H17" i="3"/>
  <c r="A18" i="3"/>
  <c r="C17" i="3"/>
  <c r="D17" i="3"/>
  <c r="B17" i="3"/>
  <c r="I17" i="3"/>
  <c r="F17" i="3"/>
  <c r="J17" i="3" l="1"/>
  <c r="C18" i="3"/>
  <c r="D18" i="3"/>
  <c r="B18" i="3"/>
  <c r="A19" i="3"/>
  <c r="I18" i="3"/>
  <c r="E18" i="3"/>
  <c r="F18" i="3"/>
  <c r="H18" i="3"/>
  <c r="J18" i="3" l="1"/>
  <c r="I19" i="3"/>
  <c r="F19" i="3"/>
  <c r="C19" i="3"/>
  <c r="B19" i="3"/>
  <c r="E19" i="3"/>
  <c r="A20" i="3"/>
  <c r="D19" i="3"/>
  <c r="H19" i="3"/>
  <c r="J19" i="3" l="1"/>
  <c r="I20" i="3"/>
  <c r="A21" i="3"/>
  <c r="H20" i="3"/>
  <c r="D20" i="3"/>
  <c r="F20" i="3"/>
  <c r="B20" i="3"/>
  <c r="C20" i="3"/>
  <c r="E20" i="3"/>
  <c r="J20" i="3" l="1"/>
  <c r="I21" i="3"/>
  <c r="E21" i="3"/>
  <c r="D21" i="3"/>
  <c r="H21" i="3"/>
  <c r="C21" i="3"/>
  <c r="F21" i="3"/>
  <c r="B21" i="3"/>
  <c r="A22" i="3"/>
  <c r="J21" i="3" l="1"/>
  <c r="D22" i="3"/>
  <c r="H22" i="3"/>
  <c r="F22" i="3"/>
  <c r="I22" i="3"/>
  <c r="C22" i="3"/>
  <c r="E22" i="3"/>
  <c r="B22" i="3"/>
  <c r="A23" i="3"/>
  <c r="J22" i="3" l="1"/>
  <c r="I23" i="3"/>
  <c r="E23" i="3"/>
  <c r="B23" i="3"/>
  <c r="H23" i="3"/>
  <c r="C23" i="3"/>
  <c r="F23" i="3"/>
  <c r="A24" i="3"/>
  <c r="D23" i="3"/>
  <c r="J23" i="3" l="1"/>
  <c r="A25" i="3"/>
  <c r="C24" i="3"/>
  <c r="F24" i="3"/>
  <c r="B24" i="3"/>
  <c r="D24" i="3"/>
  <c r="H24" i="3"/>
  <c r="E24" i="3"/>
  <c r="I24" i="3"/>
  <c r="J24" i="3" l="1"/>
  <c r="F25" i="3"/>
  <c r="H25" i="3"/>
  <c r="B25" i="3"/>
  <c r="I25" i="3"/>
  <c r="C25" i="3"/>
  <c r="E25" i="3"/>
  <c r="D25" i="3"/>
  <c r="A26" i="3"/>
  <c r="J25" i="3" l="1"/>
  <c r="C26" i="3"/>
  <c r="H26" i="3"/>
  <c r="B26" i="3"/>
  <c r="D26" i="3"/>
  <c r="F26" i="3"/>
  <c r="A27" i="3"/>
  <c r="I26" i="3"/>
  <c r="E26" i="3"/>
  <c r="J26" i="3" l="1"/>
  <c r="E27" i="3"/>
  <c r="I27" i="3"/>
  <c r="F27" i="3"/>
  <c r="B27" i="3"/>
  <c r="A28" i="3"/>
  <c r="C27" i="3"/>
  <c r="H27" i="3"/>
  <c r="D27" i="3"/>
  <c r="J27" i="3" l="1"/>
  <c r="D28" i="3"/>
  <c r="A29" i="3"/>
  <c r="E28" i="3"/>
  <c r="H28" i="3"/>
  <c r="B28" i="3"/>
  <c r="F28" i="3"/>
  <c r="C28" i="3"/>
  <c r="I28" i="3"/>
  <c r="J28" i="3" l="1"/>
  <c r="H29" i="3"/>
  <c r="D29" i="3"/>
  <c r="C29" i="3"/>
  <c r="I29" i="3"/>
  <c r="E29" i="3"/>
  <c r="A30" i="3"/>
  <c r="F29" i="3"/>
  <c r="B29" i="3"/>
  <c r="J29" i="3" l="1"/>
  <c r="C30" i="3"/>
  <c r="D30" i="3"/>
  <c r="F30" i="3"/>
  <c r="I30" i="3"/>
  <c r="H30" i="3"/>
  <c r="E30" i="3"/>
  <c r="A31" i="3"/>
  <c r="B30" i="3"/>
  <c r="J30" i="3" l="1"/>
  <c r="E31" i="3"/>
  <c r="C31" i="3"/>
  <c r="B31" i="3"/>
  <c r="D31" i="3"/>
  <c r="F31" i="3"/>
  <c r="I31" i="3"/>
  <c r="H31" i="3"/>
  <c r="A32" i="3"/>
  <c r="J31" i="3" l="1"/>
  <c r="F32" i="3"/>
  <c r="D32" i="3"/>
  <c r="H32" i="3"/>
  <c r="E32" i="3"/>
  <c r="B32" i="3"/>
  <c r="A33" i="3"/>
  <c r="I32" i="3"/>
  <c r="C32" i="3"/>
  <c r="J32" i="3" l="1"/>
  <c r="E33" i="3"/>
  <c r="B33" i="3"/>
  <c r="A34" i="3"/>
  <c r="F33" i="3"/>
  <c r="C33" i="3"/>
  <c r="H33" i="3"/>
  <c r="D33" i="3"/>
  <c r="I33" i="3"/>
  <c r="J33" i="3" l="1"/>
  <c r="H34" i="3"/>
  <c r="D34" i="3"/>
  <c r="E34" i="3"/>
  <c r="F34" i="3"/>
  <c r="C34" i="3"/>
  <c r="B34" i="3"/>
  <c r="A35" i="3"/>
  <c r="I34" i="3"/>
  <c r="J34" i="3" l="1"/>
  <c r="B35" i="3"/>
  <c r="H35" i="3"/>
  <c r="A36" i="3"/>
  <c r="F35" i="3"/>
  <c r="D35" i="3"/>
  <c r="E35" i="3"/>
  <c r="C35" i="3"/>
  <c r="I35" i="3"/>
  <c r="J35" i="3" l="1"/>
  <c r="D36" i="3"/>
  <c r="C36" i="3"/>
  <c r="I36" i="3"/>
  <c r="F36" i="3"/>
  <c r="A37" i="3"/>
  <c r="H36" i="3"/>
  <c r="B36" i="3"/>
  <c r="E36" i="3"/>
  <c r="J36" i="3" l="1"/>
  <c r="F37" i="3"/>
  <c r="D37" i="3"/>
  <c r="A38" i="3"/>
  <c r="E37" i="3"/>
  <c r="C37" i="3"/>
  <c r="B37" i="3"/>
  <c r="H37" i="3"/>
  <c r="I37" i="3"/>
  <c r="J37" i="3" l="1"/>
  <c r="B38" i="3"/>
  <c r="I38" i="3"/>
  <c r="D38" i="3"/>
  <c r="E38" i="3"/>
  <c r="F38" i="3"/>
  <c r="C38" i="3"/>
  <c r="H38" i="3"/>
  <c r="A39" i="3"/>
  <c r="J38" i="3" l="1"/>
  <c r="H39" i="3"/>
  <c r="C39" i="3"/>
  <c r="F39" i="3"/>
  <c r="I39" i="3"/>
  <c r="B39" i="3"/>
  <c r="D39" i="3"/>
  <c r="A40" i="3"/>
  <c r="E39" i="3"/>
  <c r="J39" i="3" l="1"/>
  <c r="E40" i="3"/>
  <c r="C40" i="3"/>
  <c r="D40" i="3"/>
  <c r="H40" i="3"/>
  <c r="I40" i="3"/>
  <c r="F40" i="3"/>
  <c r="A41" i="3"/>
  <c r="B40" i="3"/>
  <c r="J40" i="3" l="1"/>
  <c r="I41" i="3"/>
  <c r="F41" i="3"/>
  <c r="C41" i="3"/>
  <c r="B41" i="3"/>
  <c r="H41" i="3"/>
  <c r="E41" i="3"/>
  <c r="D41" i="3"/>
  <c r="A42" i="3"/>
  <c r="J41" i="3" l="1"/>
  <c r="C42" i="3"/>
  <c r="I42" i="3"/>
  <c r="D42" i="3"/>
  <c r="H42" i="3"/>
  <c r="F42" i="3"/>
  <c r="A43" i="3"/>
  <c r="E42" i="3"/>
  <c r="B42" i="3"/>
  <c r="J42" i="3" l="1"/>
  <c r="I43" i="3"/>
  <c r="F43" i="3"/>
  <c r="A44" i="3"/>
  <c r="H43" i="3"/>
  <c r="D43" i="3"/>
  <c r="C43" i="3"/>
  <c r="B43" i="3"/>
  <c r="E43" i="3"/>
  <c r="J43" i="3" l="1"/>
  <c r="D44" i="3"/>
  <c r="B44" i="3"/>
  <c r="E44" i="3"/>
  <c r="H44" i="3"/>
  <c r="I44" i="3"/>
  <c r="A45" i="3"/>
  <c r="C44" i="3"/>
  <c r="F44" i="3"/>
  <c r="J44" i="3" l="1"/>
  <c r="A46" i="3"/>
  <c r="D45" i="3"/>
  <c r="I45" i="3"/>
  <c r="C45" i="3"/>
  <c r="H45" i="3"/>
  <c r="E45" i="3"/>
  <c r="B45" i="3"/>
  <c r="F45" i="3"/>
  <c r="J45" i="3" l="1"/>
  <c r="B46" i="3"/>
  <c r="E46" i="3"/>
  <c r="C46" i="3"/>
  <c r="H46" i="3"/>
  <c r="D46" i="3"/>
  <c r="I46" i="3"/>
  <c r="F46" i="3"/>
  <c r="A47" i="3"/>
  <c r="J46" i="3" l="1"/>
  <c r="A48" i="3"/>
  <c r="I47" i="3"/>
  <c r="C47" i="3"/>
  <c r="E47" i="3"/>
  <c r="D47" i="3"/>
  <c r="B47" i="3"/>
  <c r="F47" i="3"/>
  <c r="H47" i="3"/>
  <c r="J47" i="3" l="1"/>
  <c r="C48" i="3"/>
  <c r="B48" i="3"/>
  <c r="F48" i="3"/>
  <c r="D48" i="3"/>
  <c r="E48" i="3"/>
  <c r="H48" i="3"/>
  <c r="I48" i="3"/>
  <c r="A49" i="3"/>
  <c r="J48" i="3" l="1"/>
  <c r="A50" i="3"/>
  <c r="H49" i="3"/>
  <c r="F49" i="3"/>
  <c r="C49" i="3"/>
  <c r="I49" i="3"/>
  <c r="D49" i="3"/>
  <c r="E49" i="3"/>
  <c r="B49" i="3"/>
  <c r="J49" i="3" l="1"/>
  <c r="D50" i="3"/>
  <c r="B50" i="3"/>
  <c r="F50" i="3"/>
  <c r="H50" i="3"/>
  <c r="A51" i="3"/>
  <c r="C50" i="3"/>
  <c r="I50" i="3"/>
  <c r="E50" i="3"/>
  <c r="J50" i="3" l="1"/>
  <c r="A52" i="3"/>
  <c r="H51" i="3"/>
  <c r="D51" i="3"/>
  <c r="B51" i="3"/>
  <c r="E51" i="3"/>
  <c r="F51" i="3"/>
  <c r="I51" i="3"/>
  <c r="C51" i="3"/>
  <c r="J51" i="3" l="1"/>
  <c r="B52" i="3"/>
  <c r="H52" i="3"/>
  <c r="C52" i="3"/>
  <c r="D52" i="3"/>
  <c r="I52" i="3"/>
  <c r="E52" i="3"/>
  <c r="A53" i="3"/>
  <c r="F52" i="3"/>
  <c r="J52" i="3" l="1"/>
  <c r="C53" i="3"/>
  <c r="H53" i="3"/>
  <c r="D53" i="3"/>
  <c r="A54" i="3"/>
  <c r="E53" i="3"/>
  <c r="F53" i="3"/>
  <c r="B53" i="3"/>
  <c r="I53" i="3"/>
  <c r="J53" i="3" l="1"/>
  <c r="C54" i="3"/>
  <c r="H54" i="3"/>
  <c r="E54" i="3"/>
  <c r="A55" i="3"/>
  <c r="B54" i="3"/>
  <c r="D54" i="3"/>
  <c r="I54" i="3"/>
  <c r="F54" i="3"/>
  <c r="J54" i="3" l="1"/>
  <c r="C55" i="3"/>
  <c r="D55" i="3"/>
  <c r="B55" i="3"/>
  <c r="F55" i="3"/>
  <c r="E55" i="3"/>
  <c r="A56" i="3"/>
  <c r="H55" i="3"/>
  <c r="I55" i="3"/>
  <c r="J55" i="3" l="1"/>
  <c r="I56" i="3"/>
  <c r="F56" i="3"/>
  <c r="D56" i="3"/>
  <c r="A57" i="3"/>
  <c r="E56" i="3"/>
  <c r="C56" i="3"/>
  <c r="H56" i="3"/>
  <c r="B56" i="3"/>
  <c r="J56" i="3" l="1"/>
  <c r="I57" i="3"/>
  <c r="E57" i="3"/>
  <c r="B57" i="3"/>
  <c r="C57" i="3"/>
  <c r="A58" i="3"/>
  <c r="D57" i="3"/>
  <c r="H57" i="3"/>
  <c r="F57" i="3"/>
  <c r="J57" i="3" l="1"/>
  <c r="H58" i="3"/>
  <c r="D58" i="3"/>
  <c r="B58" i="3"/>
  <c r="C58" i="3"/>
  <c r="A59" i="3"/>
  <c r="F58" i="3"/>
  <c r="E58" i="3"/>
  <c r="I58" i="3"/>
  <c r="J58" i="3" l="1"/>
  <c r="D59" i="3"/>
  <c r="A60" i="3"/>
  <c r="E59" i="3"/>
  <c r="F59" i="3"/>
  <c r="H59" i="3"/>
  <c r="I59" i="3"/>
  <c r="B59" i="3"/>
  <c r="C59" i="3"/>
  <c r="J59" i="3" l="1"/>
  <c r="A61" i="3"/>
  <c r="B60" i="3"/>
  <c r="H60" i="3"/>
  <c r="E60" i="3"/>
  <c r="I60" i="3"/>
  <c r="C60" i="3"/>
  <c r="F60" i="3"/>
  <c r="D60" i="3"/>
  <c r="J60" i="3" l="1"/>
  <c r="C61" i="3"/>
  <c r="I61" i="3"/>
  <c r="F61" i="3"/>
  <c r="B61" i="3"/>
  <c r="D61" i="3"/>
  <c r="H61" i="3"/>
  <c r="E61" i="3"/>
  <c r="A62" i="3"/>
  <c r="J61" i="3" l="1"/>
  <c r="E62" i="3"/>
  <c r="D62" i="3"/>
  <c r="A63" i="3"/>
  <c r="B62" i="3"/>
  <c r="F62" i="3"/>
  <c r="H62" i="3"/>
  <c r="I62" i="3"/>
  <c r="C62" i="3"/>
  <c r="J62" i="3" l="1"/>
  <c r="I63" i="3"/>
  <c r="H63" i="3"/>
  <c r="F63" i="3"/>
  <c r="A64" i="3"/>
  <c r="E63" i="3"/>
  <c r="D63" i="3"/>
  <c r="B63" i="3"/>
  <c r="C63" i="3"/>
  <c r="J63" i="3" l="1"/>
  <c r="C64" i="3"/>
  <c r="I64" i="3"/>
  <c r="H64" i="3"/>
  <c r="E64" i="3"/>
  <c r="A65" i="3"/>
  <c r="F64" i="3"/>
  <c r="B64" i="3"/>
  <c r="D64" i="3"/>
  <c r="J64" i="3" l="1"/>
  <c r="D65" i="3"/>
  <c r="A66" i="3"/>
  <c r="F65" i="3"/>
  <c r="H65" i="3"/>
  <c r="E65" i="3"/>
  <c r="B65" i="3"/>
  <c r="I65" i="3"/>
  <c r="C65" i="3"/>
  <c r="J65" i="3" l="1"/>
  <c r="A67" i="3"/>
  <c r="C66" i="3"/>
  <c r="H66" i="3"/>
  <c r="B66" i="3"/>
  <c r="I66" i="3"/>
  <c r="D66" i="3"/>
  <c r="F66" i="3"/>
  <c r="E66" i="3"/>
  <c r="J66" i="3" l="1"/>
  <c r="E67" i="3"/>
  <c r="A68" i="3"/>
  <c r="H67" i="3"/>
  <c r="D67" i="3"/>
  <c r="C67" i="3"/>
  <c r="F67" i="3"/>
  <c r="I67" i="3"/>
  <c r="B67" i="3"/>
  <c r="J67" i="3" l="1"/>
  <c r="F68" i="3"/>
  <c r="B68" i="3"/>
  <c r="H68" i="3"/>
  <c r="C68" i="3"/>
  <c r="D68" i="3"/>
  <c r="I68" i="3"/>
  <c r="E68" i="3"/>
  <c r="A69" i="3"/>
  <c r="J68" i="3" l="1"/>
  <c r="H69" i="3"/>
  <c r="I69" i="3"/>
  <c r="B69" i="3"/>
  <c r="D69" i="3"/>
  <c r="A70" i="3"/>
  <c r="E69" i="3"/>
  <c r="C69" i="3"/>
  <c r="F69" i="3"/>
  <c r="J69" i="3" l="1"/>
  <c r="I70" i="3"/>
  <c r="C70" i="3"/>
  <c r="D70" i="3"/>
  <c r="H70" i="3"/>
  <c r="B70" i="3"/>
  <c r="F70" i="3"/>
  <c r="A71" i="3"/>
  <c r="E70" i="3"/>
  <c r="J70" i="3" l="1"/>
  <c r="A72" i="3"/>
  <c r="C71" i="3"/>
  <c r="H71" i="3"/>
  <c r="F71" i="3"/>
  <c r="B71" i="3"/>
  <c r="I71" i="3"/>
  <c r="E71" i="3"/>
  <c r="D71" i="3"/>
  <c r="J71" i="3" l="1"/>
  <c r="B72" i="3"/>
  <c r="A73" i="3"/>
  <c r="D72" i="3"/>
  <c r="C72" i="3"/>
  <c r="H72" i="3"/>
  <c r="I72" i="3"/>
  <c r="F72" i="3"/>
  <c r="E72" i="3"/>
  <c r="J72" i="3" l="1"/>
  <c r="E73" i="3"/>
  <c r="I73" i="3"/>
  <c r="C73" i="3"/>
  <c r="B73" i="3"/>
  <c r="A74" i="3"/>
  <c r="F73" i="3"/>
  <c r="H73" i="3"/>
  <c r="D73" i="3"/>
  <c r="J73" i="3" l="1"/>
  <c r="F74" i="3"/>
  <c r="B74" i="3"/>
  <c r="I74" i="3"/>
  <c r="D74" i="3"/>
  <c r="C74" i="3"/>
  <c r="H74" i="3"/>
  <c r="E74" i="3"/>
  <c r="A75" i="3"/>
  <c r="J74" i="3" l="1"/>
  <c r="D75" i="3"/>
  <c r="C75" i="3"/>
  <c r="F75" i="3"/>
  <c r="B75" i="3"/>
  <c r="A76" i="3"/>
  <c r="I75" i="3"/>
  <c r="E75" i="3"/>
  <c r="H75" i="3"/>
  <c r="J75" i="3" l="1"/>
  <c r="B76" i="3"/>
  <c r="C76" i="3"/>
  <c r="A77" i="3"/>
  <c r="D76" i="3"/>
  <c r="F76" i="3"/>
  <c r="E76" i="3"/>
  <c r="H76" i="3"/>
  <c r="I76" i="3"/>
  <c r="J76" i="3" l="1"/>
  <c r="C77" i="3"/>
  <c r="E77" i="3"/>
  <c r="A78" i="3"/>
  <c r="I77" i="3"/>
  <c r="D77" i="3"/>
  <c r="B77" i="3"/>
  <c r="H77" i="3"/>
  <c r="F77" i="3"/>
  <c r="J77" i="3" l="1"/>
  <c r="E78" i="3"/>
  <c r="C78" i="3"/>
  <c r="B78" i="3"/>
  <c r="A79" i="3"/>
  <c r="I78" i="3"/>
  <c r="H78" i="3"/>
  <c r="F78" i="3"/>
  <c r="D78" i="3"/>
  <c r="J78" i="3" l="1"/>
  <c r="H79" i="3"/>
  <c r="F79" i="3"/>
  <c r="I79" i="3"/>
  <c r="C79" i="3"/>
  <c r="B79" i="3"/>
  <c r="E79" i="3"/>
  <c r="A80" i="3"/>
  <c r="D79" i="3"/>
  <c r="J79" i="3" l="1"/>
  <c r="I80" i="3"/>
  <c r="F80" i="3"/>
  <c r="A81" i="3"/>
  <c r="D80" i="3"/>
  <c r="B80" i="3"/>
  <c r="E80" i="3"/>
  <c r="C80" i="3"/>
  <c r="H80" i="3"/>
  <c r="J80" i="3" l="1"/>
  <c r="D81" i="3"/>
  <c r="B81" i="3"/>
  <c r="E81" i="3"/>
  <c r="F81" i="3"/>
  <c r="A82" i="3"/>
  <c r="C81" i="3"/>
  <c r="I81" i="3"/>
  <c r="H81" i="3"/>
  <c r="J81" i="3" l="1"/>
  <c r="D82" i="3"/>
  <c r="I82" i="3"/>
  <c r="B82" i="3"/>
  <c r="E82" i="3"/>
  <c r="F82" i="3"/>
  <c r="C82" i="3"/>
  <c r="H82" i="3"/>
  <c r="A83" i="3"/>
  <c r="J82" i="3" l="1"/>
  <c r="D83" i="3"/>
  <c r="A84" i="3"/>
  <c r="H83" i="3"/>
  <c r="C83" i="3"/>
  <c r="F83" i="3"/>
  <c r="I83" i="3"/>
  <c r="E83" i="3"/>
  <c r="B83" i="3"/>
  <c r="J83" i="3" l="1"/>
  <c r="B84" i="3"/>
  <c r="I84" i="3"/>
  <c r="A85" i="3"/>
  <c r="D84" i="3"/>
  <c r="C84" i="3"/>
  <c r="E84" i="3"/>
  <c r="H84" i="3"/>
  <c r="F84" i="3"/>
  <c r="J84" i="3" l="1"/>
  <c r="D85" i="3"/>
  <c r="I85" i="3"/>
  <c r="F85" i="3"/>
  <c r="H85" i="3"/>
  <c r="C85" i="3"/>
  <c r="E85" i="3"/>
  <c r="A86" i="3"/>
  <c r="B85" i="3"/>
  <c r="J85" i="3" l="1"/>
  <c r="D86" i="3"/>
  <c r="E86" i="3"/>
  <c r="F86" i="3"/>
  <c r="C86" i="3"/>
  <c r="H86" i="3"/>
  <c r="A87" i="3"/>
  <c r="B86" i="3"/>
  <c r="I86" i="3"/>
  <c r="J86" i="3" l="1"/>
  <c r="I87" i="3"/>
  <c r="A88" i="3"/>
  <c r="D87" i="3"/>
  <c r="F87" i="3"/>
  <c r="B87" i="3"/>
  <c r="H87" i="3"/>
  <c r="E87" i="3"/>
  <c r="C87" i="3"/>
  <c r="J87" i="3" l="1"/>
  <c r="B88" i="3"/>
  <c r="A89" i="3"/>
  <c r="I88" i="3"/>
  <c r="C88" i="3"/>
  <c r="D88" i="3"/>
  <c r="F88" i="3"/>
  <c r="H88" i="3"/>
  <c r="E88" i="3"/>
  <c r="J88" i="3" l="1"/>
  <c r="E89" i="3"/>
  <c r="B89" i="3"/>
  <c r="F89" i="3"/>
  <c r="H89" i="3"/>
  <c r="A90" i="3"/>
  <c r="I89" i="3"/>
  <c r="D89" i="3"/>
  <c r="C89" i="3"/>
  <c r="J89" i="3" l="1"/>
  <c r="F90" i="3"/>
  <c r="B90" i="3"/>
  <c r="C90" i="3"/>
  <c r="H90" i="3"/>
  <c r="A91" i="3"/>
  <c r="E90" i="3"/>
  <c r="D90" i="3"/>
  <c r="I90" i="3"/>
  <c r="J90" i="3" l="1"/>
  <c r="C91" i="3"/>
  <c r="A92" i="3"/>
  <c r="E91" i="3"/>
  <c r="H91" i="3"/>
  <c r="B91" i="3"/>
  <c r="F91" i="3"/>
  <c r="D91" i="3"/>
  <c r="I91" i="3"/>
  <c r="J91" i="3" l="1"/>
  <c r="E92" i="3"/>
  <c r="B92" i="3"/>
  <c r="I92" i="3"/>
  <c r="C92" i="3"/>
  <c r="D92" i="3"/>
  <c r="H92" i="3"/>
  <c r="F92" i="3"/>
  <c r="A93" i="3"/>
  <c r="J92" i="3" l="1"/>
  <c r="B93" i="3"/>
  <c r="H93" i="3"/>
  <c r="E93" i="3"/>
  <c r="I93" i="3"/>
  <c r="D93" i="3"/>
  <c r="C93" i="3"/>
  <c r="A94" i="3"/>
  <c r="F93" i="3"/>
  <c r="J93" i="3" l="1"/>
  <c r="B94" i="3"/>
  <c r="D94" i="3"/>
  <c r="I94" i="3"/>
  <c r="C94" i="3"/>
  <c r="E94" i="3"/>
  <c r="F94" i="3"/>
  <c r="H94" i="3"/>
  <c r="A95" i="3"/>
  <c r="J94" i="3" l="1"/>
  <c r="E95" i="3"/>
  <c r="H95" i="3"/>
  <c r="D95" i="3"/>
  <c r="F95" i="3"/>
  <c r="C95" i="3"/>
  <c r="B95" i="3"/>
  <c r="A96" i="3"/>
  <c r="I95" i="3"/>
  <c r="J95" i="3" l="1"/>
  <c r="D96" i="3"/>
  <c r="F96" i="3"/>
  <c r="I96" i="3"/>
  <c r="E96" i="3"/>
  <c r="H96" i="3"/>
  <c r="C96" i="3"/>
  <c r="B96" i="3"/>
  <c r="A97" i="3"/>
  <c r="J96" i="3" l="1"/>
  <c r="C97" i="3"/>
  <c r="B97" i="3"/>
  <c r="A98" i="3"/>
  <c r="I97" i="3"/>
  <c r="D97" i="3"/>
  <c r="H97" i="3"/>
  <c r="F97" i="3"/>
  <c r="E97" i="3"/>
  <c r="J97" i="3" l="1"/>
  <c r="E98" i="3"/>
  <c r="F98" i="3"/>
  <c r="A99" i="3"/>
  <c r="I98" i="3"/>
  <c r="B98" i="3"/>
  <c r="D98" i="3"/>
  <c r="C98" i="3"/>
  <c r="H98" i="3"/>
  <c r="J98" i="3" l="1"/>
  <c r="B99" i="3"/>
  <c r="A100" i="3"/>
  <c r="F99" i="3"/>
  <c r="E99" i="3"/>
  <c r="C99" i="3"/>
  <c r="I99" i="3"/>
  <c r="D99" i="3"/>
  <c r="H99" i="3"/>
  <c r="J99" i="3" l="1"/>
  <c r="I100" i="3"/>
  <c r="A101" i="3"/>
  <c r="D100" i="3"/>
  <c r="F100" i="3"/>
  <c r="E100" i="3"/>
  <c r="C100" i="3"/>
  <c r="B100" i="3"/>
  <c r="H100" i="3"/>
  <c r="J100" i="3" l="1"/>
  <c r="C101" i="3"/>
  <c r="H101" i="3"/>
  <c r="D101" i="3"/>
  <c r="B101" i="3"/>
  <c r="F101" i="3"/>
  <c r="A102" i="3"/>
  <c r="E101" i="3"/>
  <c r="I101" i="3"/>
  <c r="J101" i="3" l="1"/>
  <c r="E102" i="3"/>
  <c r="C102" i="3"/>
  <c r="D102" i="3"/>
  <c r="H102" i="3"/>
  <c r="I102" i="3"/>
  <c r="B102" i="3"/>
  <c r="A103" i="3"/>
  <c r="F102" i="3"/>
  <c r="J102" i="3" l="1"/>
  <c r="E103" i="3"/>
  <c r="F103" i="3"/>
  <c r="A104" i="3"/>
  <c r="H103" i="3"/>
  <c r="I103" i="3"/>
  <c r="B103" i="3"/>
  <c r="D103" i="3"/>
  <c r="C103" i="3"/>
  <c r="J103" i="3" l="1"/>
  <c r="B104" i="3"/>
  <c r="I104" i="3"/>
  <c r="C104" i="3"/>
  <c r="D104" i="3"/>
  <c r="A105" i="3"/>
  <c r="H104" i="3"/>
  <c r="E104" i="3"/>
  <c r="F104" i="3"/>
  <c r="J104" i="3" l="1"/>
  <c r="E105" i="3"/>
  <c r="I105" i="3"/>
  <c r="F105" i="3"/>
  <c r="C105" i="3"/>
  <c r="H105" i="3"/>
  <c r="D105" i="3"/>
  <c r="B105" i="3"/>
  <c r="A106" i="3"/>
  <c r="J105" i="3" l="1"/>
  <c r="B106" i="3"/>
  <c r="I106" i="3"/>
  <c r="H106" i="3"/>
  <c r="D106" i="3"/>
  <c r="A107" i="3"/>
  <c r="C106" i="3"/>
  <c r="F106" i="3"/>
  <c r="E106" i="3"/>
  <c r="J106" i="3" l="1"/>
  <c r="D107" i="3"/>
  <c r="C107" i="3"/>
  <c r="I107" i="3"/>
  <c r="H107" i="3"/>
  <c r="A108" i="3"/>
  <c r="F107" i="3"/>
  <c r="B107" i="3"/>
  <c r="E107" i="3"/>
  <c r="J107" i="3" l="1"/>
  <c r="H108" i="3"/>
  <c r="C108" i="3"/>
  <c r="B108" i="3"/>
  <c r="A109" i="3"/>
  <c r="I108" i="3"/>
  <c r="F108" i="3"/>
  <c r="D108" i="3"/>
  <c r="E108" i="3"/>
  <c r="J108" i="3" l="1"/>
  <c r="H109" i="3"/>
  <c r="F109" i="3"/>
  <c r="C109" i="3"/>
  <c r="E109" i="3"/>
  <c r="B109" i="3"/>
  <c r="D109" i="3"/>
  <c r="A110" i="3"/>
  <c r="I109" i="3"/>
  <c r="J109" i="3" l="1"/>
  <c r="B110" i="3"/>
  <c r="F110" i="3"/>
  <c r="E110" i="3"/>
  <c r="D110" i="3"/>
  <c r="H110" i="3"/>
  <c r="I110" i="3"/>
  <c r="C110" i="3"/>
  <c r="A111" i="3"/>
  <c r="J110" i="3" l="1"/>
  <c r="I111" i="3"/>
  <c r="C111" i="3"/>
  <c r="H111" i="3"/>
  <c r="F111" i="3"/>
  <c r="E111" i="3"/>
  <c r="B111" i="3"/>
  <c r="A112" i="3"/>
  <c r="D111" i="3"/>
  <c r="J111" i="3" l="1"/>
  <c r="F112" i="3"/>
  <c r="E112" i="3"/>
  <c r="I112" i="3"/>
  <c r="D112" i="3"/>
  <c r="A113" i="3"/>
  <c r="C112" i="3"/>
  <c r="H112" i="3"/>
  <c r="B112" i="3"/>
  <c r="J112" i="3" l="1"/>
  <c r="F113" i="3"/>
  <c r="B113" i="3"/>
  <c r="D113" i="3"/>
  <c r="H113" i="3"/>
  <c r="C113" i="3"/>
  <c r="A114" i="3"/>
  <c r="E113" i="3"/>
  <c r="I113" i="3"/>
  <c r="J113" i="3" l="1"/>
  <c r="F114" i="3"/>
  <c r="C114" i="3"/>
  <c r="E114" i="3"/>
  <c r="I114" i="3"/>
  <c r="B114" i="3"/>
  <c r="H114" i="3"/>
  <c r="A115" i="3"/>
  <c r="D114" i="3"/>
  <c r="J114" i="3" l="1"/>
  <c r="B115" i="3"/>
  <c r="A116" i="3"/>
  <c r="F115" i="3"/>
  <c r="H115" i="3"/>
  <c r="E115" i="3"/>
  <c r="I115" i="3"/>
  <c r="D115" i="3"/>
  <c r="C115" i="3"/>
  <c r="J115" i="3" l="1"/>
  <c r="B116" i="3"/>
  <c r="H116" i="3"/>
  <c r="E116" i="3"/>
  <c r="F116" i="3"/>
  <c r="A117" i="3"/>
  <c r="C116" i="3"/>
  <c r="D116" i="3"/>
  <c r="I116" i="3"/>
  <c r="J116" i="3" l="1"/>
  <c r="B117" i="3"/>
  <c r="D117" i="3"/>
  <c r="C117" i="3"/>
  <c r="E117" i="3"/>
  <c r="H117" i="3"/>
  <c r="I117" i="3"/>
  <c r="A118" i="3"/>
  <c r="F117" i="3"/>
  <c r="J117" i="3" l="1"/>
  <c r="E118" i="3"/>
  <c r="C118" i="3"/>
  <c r="H118" i="3"/>
  <c r="A119" i="3"/>
  <c r="I118" i="3"/>
  <c r="D118" i="3"/>
  <c r="B118" i="3"/>
  <c r="F118" i="3"/>
  <c r="J118" i="3" l="1"/>
  <c r="F119" i="3"/>
  <c r="I119" i="3"/>
  <c r="C119" i="3"/>
  <c r="H119" i="3"/>
  <c r="A120" i="3"/>
  <c r="D119" i="3"/>
  <c r="B119" i="3"/>
  <c r="E119" i="3"/>
  <c r="J119" i="3" l="1"/>
  <c r="F120" i="3"/>
  <c r="H120" i="3"/>
  <c r="E120" i="3"/>
  <c r="D120" i="3"/>
  <c r="I120" i="3"/>
  <c r="C120" i="3"/>
  <c r="A121" i="3"/>
  <c r="B120" i="3"/>
  <c r="J120" i="3" l="1"/>
  <c r="H121" i="3"/>
  <c r="I121" i="3"/>
  <c r="B121" i="3"/>
  <c r="A122" i="3"/>
  <c r="E121" i="3"/>
  <c r="F121" i="3"/>
  <c r="C121" i="3"/>
  <c r="D121" i="3"/>
  <c r="J121" i="3" l="1"/>
  <c r="I122" i="3"/>
  <c r="D122" i="3"/>
  <c r="B122" i="3"/>
  <c r="C122" i="3"/>
  <c r="H122" i="3"/>
  <c r="E122" i="3"/>
  <c r="F122" i="3"/>
  <c r="A123" i="3"/>
  <c r="J122" i="3" l="1"/>
  <c r="E123" i="3"/>
  <c r="A124" i="3"/>
  <c r="D123" i="3"/>
  <c r="F123" i="3"/>
  <c r="H123" i="3"/>
  <c r="C123" i="3"/>
  <c r="I123" i="3"/>
  <c r="B123" i="3"/>
  <c r="J123" i="3" l="1"/>
  <c r="F124" i="3"/>
  <c r="C124" i="3"/>
  <c r="E124" i="3"/>
  <c r="D124" i="3"/>
  <c r="A125" i="3"/>
  <c r="H124" i="3"/>
  <c r="I124" i="3"/>
  <c r="B124" i="3"/>
  <c r="J124" i="3" l="1"/>
  <c r="C125" i="3"/>
  <c r="H125" i="3"/>
  <c r="D125" i="3"/>
  <c r="A126" i="3"/>
  <c r="F125" i="3"/>
  <c r="I125" i="3"/>
  <c r="E125" i="3"/>
  <c r="B125" i="3"/>
  <c r="J125" i="3" l="1"/>
  <c r="B126" i="3"/>
  <c r="I126" i="3"/>
  <c r="A127" i="3"/>
  <c r="C126" i="3"/>
  <c r="D126" i="3"/>
  <c r="H126" i="3"/>
  <c r="E126" i="3"/>
  <c r="F126" i="3"/>
  <c r="J126" i="3" l="1"/>
  <c r="F127" i="3"/>
  <c r="E127" i="3"/>
  <c r="I127" i="3"/>
  <c r="A128" i="3"/>
  <c r="C127" i="3"/>
  <c r="B127" i="3"/>
  <c r="D127" i="3"/>
  <c r="H127" i="3"/>
  <c r="J127" i="3" l="1"/>
  <c r="B128" i="3"/>
  <c r="I128" i="3"/>
  <c r="H128" i="3"/>
  <c r="E128" i="3"/>
  <c r="C128" i="3"/>
  <c r="D128" i="3"/>
  <c r="A129" i="3"/>
  <c r="F128" i="3"/>
  <c r="J128" i="3" l="1"/>
  <c r="H129" i="3"/>
  <c r="F129" i="3"/>
  <c r="D129" i="3"/>
  <c r="C129" i="3"/>
  <c r="I129" i="3"/>
  <c r="E129" i="3"/>
  <c r="B129" i="3"/>
  <c r="A130" i="3"/>
  <c r="J129" i="3" l="1"/>
  <c r="F130" i="3"/>
  <c r="A131" i="3"/>
  <c r="B130" i="3"/>
  <c r="I130" i="3"/>
  <c r="C130" i="3"/>
  <c r="E130" i="3"/>
  <c r="D130" i="3"/>
  <c r="H130" i="3"/>
  <c r="J130" i="3" l="1"/>
  <c r="D131" i="3"/>
  <c r="A132" i="3"/>
  <c r="F131" i="3"/>
  <c r="I131" i="3"/>
  <c r="H131" i="3"/>
  <c r="E131" i="3"/>
  <c r="C131" i="3"/>
  <c r="B131" i="3"/>
  <c r="J131" i="3" l="1"/>
  <c r="B132" i="3"/>
  <c r="H132" i="3"/>
  <c r="E132" i="3"/>
  <c r="D132" i="3"/>
  <c r="A133" i="3"/>
  <c r="I132" i="3"/>
  <c r="C132" i="3"/>
  <c r="F132" i="3"/>
  <c r="J132" i="3" l="1"/>
  <c r="H133" i="3"/>
  <c r="A134" i="3"/>
  <c r="I133" i="3"/>
  <c r="F133" i="3"/>
  <c r="E133" i="3"/>
  <c r="C133" i="3"/>
  <c r="B133" i="3"/>
  <c r="D133" i="3"/>
  <c r="J133" i="3" l="1"/>
  <c r="D134" i="3"/>
  <c r="H134" i="3"/>
  <c r="B134" i="3"/>
  <c r="E134" i="3"/>
  <c r="F134" i="3"/>
  <c r="A135" i="3"/>
  <c r="C134" i="3"/>
  <c r="I134" i="3"/>
  <c r="J134" i="3" l="1"/>
  <c r="H135" i="3"/>
  <c r="I135" i="3"/>
  <c r="F135" i="3"/>
  <c r="C135" i="3"/>
  <c r="E135" i="3"/>
  <c r="A136" i="3"/>
  <c r="D135" i="3"/>
  <c r="B135" i="3"/>
  <c r="J135" i="3" l="1"/>
  <c r="F136" i="3"/>
  <c r="A137" i="3"/>
  <c r="B136" i="3"/>
  <c r="I136" i="3"/>
  <c r="D136" i="3"/>
  <c r="C136" i="3"/>
  <c r="E136" i="3"/>
  <c r="H136" i="3"/>
  <c r="J136" i="3" l="1"/>
  <c r="H137" i="3"/>
  <c r="C137" i="3"/>
  <c r="E137" i="3"/>
  <c r="I137" i="3"/>
  <c r="D137" i="3"/>
  <c r="F137" i="3"/>
  <c r="B137" i="3"/>
  <c r="A138" i="3"/>
  <c r="J137" i="3" l="1"/>
  <c r="E138" i="3"/>
  <c r="C138" i="3"/>
  <c r="H138" i="3"/>
  <c r="F138" i="3"/>
  <c r="B138" i="3"/>
  <c r="D138" i="3"/>
  <c r="I138" i="3"/>
  <c r="A139" i="3"/>
  <c r="J138" i="3" l="1"/>
  <c r="H139" i="3"/>
  <c r="D139" i="3"/>
  <c r="C139" i="3"/>
  <c r="I139" i="3"/>
  <c r="A140" i="3"/>
  <c r="B139" i="3"/>
  <c r="F139" i="3"/>
  <c r="E139" i="3"/>
  <c r="J139" i="3" l="1"/>
  <c r="F140" i="3"/>
  <c r="A141" i="3"/>
  <c r="I140" i="3"/>
  <c r="D140" i="3"/>
  <c r="C140" i="3"/>
  <c r="E140" i="3"/>
  <c r="B140" i="3"/>
  <c r="H140" i="3"/>
  <c r="J140" i="3" l="1"/>
  <c r="B141" i="3"/>
  <c r="I141" i="3"/>
  <c r="F141" i="3"/>
  <c r="D141" i="3"/>
  <c r="C141" i="3"/>
  <c r="E141" i="3"/>
  <c r="H141" i="3"/>
  <c r="A142" i="3"/>
  <c r="J141" i="3" l="1"/>
  <c r="D142" i="3"/>
  <c r="A143" i="3"/>
  <c r="C142" i="3"/>
  <c r="B142" i="3"/>
  <c r="H142" i="3"/>
  <c r="F142" i="3"/>
  <c r="E142" i="3"/>
  <c r="I142" i="3"/>
  <c r="J142" i="3" l="1"/>
  <c r="D143" i="3"/>
  <c r="C143" i="3"/>
  <c r="F143" i="3"/>
  <c r="I143" i="3"/>
  <c r="B143" i="3"/>
  <c r="E143" i="3"/>
  <c r="A144" i="3"/>
  <c r="H143" i="3"/>
  <c r="J143" i="3" l="1"/>
  <c r="I144" i="3"/>
  <c r="D144" i="3"/>
  <c r="H144" i="3"/>
  <c r="B144" i="3"/>
  <c r="F144" i="3"/>
  <c r="E144" i="3"/>
  <c r="A145" i="3"/>
  <c r="C144" i="3"/>
  <c r="J144" i="3" l="1"/>
  <c r="H145" i="3"/>
  <c r="D145" i="3"/>
  <c r="F145" i="3"/>
  <c r="A146" i="3"/>
  <c r="B145" i="3"/>
  <c r="I145" i="3"/>
  <c r="C145" i="3"/>
  <c r="E145" i="3"/>
  <c r="J145" i="3" l="1"/>
  <c r="D146" i="3"/>
  <c r="F146" i="3"/>
  <c r="B146" i="3"/>
  <c r="A147" i="3"/>
  <c r="H146" i="3"/>
  <c r="E146" i="3"/>
  <c r="C146" i="3"/>
  <c r="I146" i="3"/>
  <c r="J146" i="3" l="1"/>
  <c r="I147" i="3"/>
  <c r="B147" i="3"/>
  <c r="D147" i="3"/>
  <c r="A148" i="3"/>
  <c r="F147" i="3"/>
  <c r="E147" i="3"/>
  <c r="H147" i="3"/>
  <c r="C147" i="3"/>
  <c r="J147" i="3" l="1"/>
  <c r="D148" i="3"/>
  <c r="A149" i="3"/>
  <c r="E148" i="3"/>
  <c r="H148" i="3"/>
  <c r="C148" i="3"/>
  <c r="F148" i="3"/>
  <c r="B148" i="3"/>
  <c r="I148" i="3"/>
  <c r="J148" i="3" l="1"/>
  <c r="D149" i="3"/>
  <c r="F149" i="3"/>
  <c r="C149" i="3"/>
  <c r="A150" i="3"/>
  <c r="H149" i="3"/>
  <c r="E149" i="3"/>
  <c r="B149" i="3"/>
  <c r="I149" i="3"/>
  <c r="J149" i="3" l="1"/>
  <c r="D150" i="3"/>
  <c r="E150" i="3"/>
  <c r="I150" i="3"/>
  <c r="H150" i="3"/>
  <c r="C150" i="3"/>
  <c r="A151" i="3"/>
  <c r="F150" i="3"/>
  <c r="B150" i="3"/>
  <c r="J150" i="3" l="1"/>
  <c r="A152" i="3"/>
  <c r="D151" i="3"/>
  <c r="C151" i="3"/>
  <c r="I151" i="3"/>
  <c r="B151" i="3"/>
  <c r="H151" i="3"/>
  <c r="E151" i="3"/>
  <c r="F151" i="3"/>
  <c r="J151" i="3" l="1"/>
  <c r="B152" i="3"/>
  <c r="C152" i="3"/>
  <c r="A153" i="3"/>
  <c r="I152" i="3"/>
  <c r="D152" i="3"/>
  <c r="F152" i="3"/>
  <c r="H152" i="3"/>
  <c r="E152" i="3"/>
  <c r="J152" i="3" l="1"/>
  <c r="E153" i="3"/>
  <c r="H153" i="3"/>
  <c r="D153" i="3"/>
  <c r="F153" i="3"/>
  <c r="A154" i="3"/>
  <c r="B153" i="3"/>
  <c r="I153" i="3"/>
  <c r="C153" i="3"/>
  <c r="J153" i="3" l="1"/>
  <c r="B154" i="3"/>
  <c r="C154" i="3"/>
  <c r="I154" i="3"/>
  <c r="H154" i="3"/>
  <c r="A155" i="3"/>
  <c r="E154" i="3"/>
  <c r="D154" i="3"/>
  <c r="F154" i="3"/>
  <c r="J154" i="3" l="1"/>
  <c r="E155" i="3"/>
  <c r="F155" i="3"/>
  <c r="D155" i="3"/>
  <c r="I155" i="3"/>
  <c r="B155" i="3"/>
  <c r="C155" i="3"/>
  <c r="H155" i="3"/>
  <c r="A156" i="3"/>
  <c r="J155" i="3" l="1"/>
  <c r="E156" i="3"/>
  <c r="I156" i="3"/>
  <c r="D156" i="3"/>
  <c r="F156" i="3"/>
  <c r="B156" i="3"/>
  <c r="C156" i="3"/>
  <c r="A157" i="3"/>
  <c r="H156" i="3"/>
  <c r="J156" i="3" l="1"/>
  <c r="E157" i="3"/>
  <c r="B157" i="3"/>
  <c r="I157" i="3"/>
  <c r="H157" i="3"/>
  <c r="F157" i="3"/>
  <c r="A158" i="3"/>
  <c r="C157" i="3"/>
  <c r="D157" i="3"/>
  <c r="J157" i="3" l="1"/>
  <c r="A159" i="3"/>
  <c r="F158" i="3"/>
  <c r="C158" i="3"/>
  <c r="D158" i="3"/>
  <c r="E158" i="3"/>
  <c r="H158" i="3"/>
  <c r="B158" i="3"/>
  <c r="I158" i="3"/>
  <c r="J158" i="3" l="1"/>
  <c r="A160" i="3"/>
  <c r="C159" i="3"/>
  <c r="B159" i="3"/>
  <c r="I159" i="3"/>
  <c r="F159" i="3"/>
  <c r="H159" i="3"/>
  <c r="E159" i="3"/>
  <c r="D159" i="3"/>
  <c r="J159" i="3" l="1"/>
  <c r="F160" i="3"/>
  <c r="C160" i="3"/>
  <c r="B160" i="3"/>
  <c r="A161" i="3"/>
  <c r="I160" i="3"/>
  <c r="H160" i="3"/>
  <c r="E160" i="3"/>
  <c r="D160" i="3"/>
  <c r="J160" i="3" l="1"/>
  <c r="F161" i="3"/>
  <c r="D161" i="3"/>
  <c r="H161" i="3"/>
  <c r="E161" i="3"/>
  <c r="I161" i="3"/>
  <c r="B161" i="3"/>
  <c r="C161" i="3"/>
  <c r="A162" i="3"/>
  <c r="J161" i="3" l="1"/>
  <c r="E162" i="3"/>
  <c r="A163" i="3"/>
  <c r="F162" i="3"/>
  <c r="I162" i="3"/>
  <c r="D162" i="3"/>
  <c r="C162" i="3"/>
  <c r="B162" i="3"/>
  <c r="H162" i="3"/>
  <c r="J162" i="3" l="1"/>
  <c r="D163" i="3"/>
  <c r="H163" i="3"/>
  <c r="F163" i="3"/>
  <c r="I163" i="3"/>
  <c r="E163" i="3"/>
  <c r="A164" i="3"/>
  <c r="B163" i="3"/>
  <c r="C163" i="3"/>
  <c r="J163" i="3" l="1"/>
  <c r="H164" i="3"/>
  <c r="A165" i="3"/>
  <c r="E164" i="3"/>
  <c r="D164" i="3"/>
  <c r="B164" i="3"/>
  <c r="F164" i="3"/>
  <c r="C164" i="3"/>
  <c r="I164" i="3"/>
  <c r="J164" i="3" l="1"/>
  <c r="E165" i="3"/>
  <c r="H165" i="3"/>
  <c r="B165" i="3"/>
  <c r="D165" i="3"/>
  <c r="F165" i="3"/>
  <c r="A166" i="3"/>
  <c r="I165" i="3"/>
  <c r="C165" i="3"/>
  <c r="J165" i="3" l="1"/>
  <c r="D166" i="3"/>
  <c r="H166" i="3"/>
  <c r="F166" i="3"/>
  <c r="E166" i="3"/>
  <c r="I166" i="3"/>
  <c r="C166" i="3"/>
  <c r="B166" i="3"/>
  <c r="A167" i="3"/>
  <c r="J166" i="3" l="1"/>
  <c r="E167" i="3"/>
  <c r="H167" i="3"/>
  <c r="I167" i="3"/>
  <c r="B167" i="3"/>
  <c r="C167" i="3"/>
  <c r="D167" i="3"/>
  <c r="F167" i="3"/>
  <c r="A168" i="3"/>
  <c r="J167" i="3" l="1"/>
  <c r="D168" i="3"/>
  <c r="B168" i="3"/>
  <c r="C168" i="3"/>
  <c r="E168" i="3"/>
  <c r="H168" i="3"/>
  <c r="A169" i="3"/>
  <c r="F168" i="3"/>
  <c r="I168" i="3"/>
  <c r="J168" i="3" l="1"/>
  <c r="D169" i="3"/>
  <c r="H169" i="3"/>
  <c r="C169" i="3"/>
  <c r="E169" i="3"/>
  <c r="A170" i="3"/>
  <c r="F169" i="3"/>
  <c r="I169" i="3"/>
  <c r="B169" i="3"/>
  <c r="J169" i="3" l="1"/>
  <c r="F170" i="3"/>
  <c r="A171" i="3"/>
  <c r="E170" i="3"/>
  <c r="I170" i="3"/>
  <c r="H170" i="3"/>
  <c r="D170" i="3"/>
  <c r="B170" i="3"/>
  <c r="C170" i="3"/>
  <c r="J170" i="3" l="1"/>
  <c r="A172" i="3"/>
  <c r="D171" i="3"/>
  <c r="I171" i="3"/>
  <c r="E171" i="3"/>
  <c r="C171" i="3"/>
  <c r="H171" i="3"/>
  <c r="B171" i="3"/>
  <c r="F171" i="3"/>
  <c r="J171" i="3" l="1"/>
  <c r="E172" i="3"/>
  <c r="F172" i="3"/>
  <c r="A173" i="3"/>
  <c r="D172" i="3"/>
  <c r="C172" i="3"/>
  <c r="I172" i="3"/>
  <c r="H172" i="3"/>
  <c r="B172" i="3"/>
  <c r="J172" i="3" l="1"/>
  <c r="E173" i="3"/>
  <c r="C173" i="3"/>
  <c r="H173" i="3"/>
  <c r="A174" i="3"/>
  <c r="I173" i="3"/>
  <c r="B173" i="3"/>
  <c r="D173" i="3"/>
  <c r="F173" i="3"/>
  <c r="J173" i="3" l="1"/>
  <c r="H174" i="3"/>
  <c r="A175" i="3"/>
  <c r="D174" i="3"/>
  <c r="F174" i="3"/>
  <c r="B174" i="3"/>
  <c r="C174" i="3"/>
  <c r="E174" i="3"/>
  <c r="I174" i="3"/>
  <c r="J174" i="3" l="1"/>
  <c r="E175" i="3"/>
  <c r="A176" i="3"/>
  <c r="H175" i="3"/>
  <c r="D175" i="3"/>
  <c r="B175" i="3"/>
  <c r="I175" i="3"/>
  <c r="F175" i="3"/>
  <c r="C175" i="3"/>
  <c r="J175" i="3" l="1"/>
  <c r="C176" i="3"/>
  <c r="A177" i="3"/>
  <c r="E176" i="3"/>
  <c r="I176" i="3"/>
  <c r="B176" i="3"/>
  <c r="H176" i="3"/>
  <c r="D176" i="3"/>
  <c r="F176" i="3"/>
  <c r="J176" i="3" l="1"/>
  <c r="H177" i="3"/>
  <c r="A178" i="3"/>
  <c r="I177" i="3"/>
  <c r="C177" i="3"/>
  <c r="B177" i="3"/>
  <c r="F177" i="3"/>
  <c r="D177" i="3"/>
  <c r="E177" i="3"/>
  <c r="J177" i="3" l="1"/>
  <c r="C178" i="3"/>
  <c r="I178" i="3"/>
  <c r="F178" i="3"/>
  <c r="D178" i="3"/>
  <c r="A179" i="3"/>
  <c r="H178" i="3"/>
  <c r="B178" i="3"/>
  <c r="E178" i="3"/>
  <c r="J178" i="3" l="1"/>
  <c r="F179" i="3"/>
  <c r="A180" i="3"/>
  <c r="D179" i="3"/>
  <c r="E179" i="3"/>
  <c r="H179" i="3"/>
  <c r="C179" i="3"/>
  <c r="I179" i="3"/>
  <c r="B179" i="3"/>
  <c r="J179" i="3" l="1"/>
  <c r="C180" i="3"/>
  <c r="B180" i="3"/>
  <c r="I180" i="3"/>
  <c r="F180" i="3"/>
  <c r="E180" i="3"/>
  <c r="H180" i="3"/>
  <c r="A181" i="3"/>
  <c r="D180" i="3"/>
  <c r="J180" i="3" l="1"/>
  <c r="D181" i="3"/>
  <c r="E181" i="3"/>
  <c r="C181" i="3"/>
  <c r="F181" i="3"/>
  <c r="I181" i="3"/>
  <c r="H181" i="3"/>
  <c r="A182" i="3"/>
  <c r="B181" i="3"/>
  <c r="J181" i="3" l="1"/>
  <c r="B182" i="3"/>
  <c r="F182" i="3"/>
  <c r="I182" i="3"/>
  <c r="A183" i="3"/>
  <c r="E182" i="3"/>
  <c r="H182" i="3"/>
  <c r="D182" i="3"/>
  <c r="C182" i="3"/>
  <c r="J182" i="3" l="1"/>
  <c r="A184" i="3"/>
  <c r="C183" i="3"/>
  <c r="D183" i="3"/>
  <c r="F183" i="3"/>
  <c r="I183" i="3"/>
  <c r="H183" i="3"/>
  <c r="E183" i="3"/>
  <c r="B183" i="3"/>
  <c r="J183" i="3" l="1"/>
  <c r="D184" i="3"/>
  <c r="I184" i="3"/>
  <c r="A185" i="3"/>
  <c r="F184" i="3"/>
  <c r="C184" i="3"/>
  <c r="H184" i="3"/>
  <c r="B184" i="3"/>
  <c r="E184" i="3"/>
  <c r="J184" i="3" l="1"/>
  <c r="H185" i="3"/>
  <c r="E185" i="3"/>
  <c r="A186" i="3"/>
  <c r="D185" i="3"/>
  <c r="I185" i="3"/>
  <c r="C185" i="3"/>
  <c r="F185" i="3"/>
  <c r="B185" i="3"/>
  <c r="J185" i="3" l="1"/>
  <c r="I186" i="3"/>
  <c r="D186" i="3"/>
  <c r="B186" i="3"/>
  <c r="F186" i="3"/>
  <c r="C186" i="3"/>
  <c r="A187" i="3"/>
  <c r="H186" i="3"/>
  <c r="E186" i="3"/>
  <c r="J186" i="3" l="1"/>
  <c r="B187" i="3"/>
  <c r="F187" i="3"/>
  <c r="C187" i="3"/>
  <c r="I187" i="3"/>
  <c r="H187" i="3"/>
  <c r="E187" i="3"/>
  <c r="A188" i="3"/>
  <c r="D187" i="3"/>
  <c r="J187" i="3" l="1"/>
  <c r="F188" i="3"/>
  <c r="B188" i="3"/>
  <c r="H188" i="3"/>
  <c r="I188" i="3"/>
  <c r="E188" i="3"/>
  <c r="A189" i="3"/>
  <c r="C188" i="3"/>
  <c r="D188" i="3"/>
  <c r="J188" i="3" l="1"/>
  <c r="D189" i="3"/>
  <c r="B189" i="3"/>
  <c r="E189" i="3"/>
  <c r="I189" i="3"/>
  <c r="A190" i="3"/>
  <c r="F189" i="3"/>
  <c r="H189" i="3"/>
  <c r="C189" i="3"/>
  <c r="J189" i="3" l="1"/>
  <c r="F190" i="3"/>
  <c r="I190" i="3"/>
  <c r="E190" i="3"/>
  <c r="A191" i="3"/>
  <c r="D190" i="3"/>
  <c r="H190" i="3"/>
  <c r="C190" i="3"/>
  <c r="B190" i="3"/>
  <c r="J190" i="3" l="1"/>
  <c r="I191" i="3"/>
  <c r="E191" i="3"/>
  <c r="A192" i="3"/>
  <c r="D191" i="3"/>
  <c r="F191" i="3"/>
  <c r="H191" i="3"/>
  <c r="B191" i="3"/>
  <c r="C191" i="3"/>
  <c r="J191" i="3" l="1"/>
  <c r="I192" i="3"/>
  <c r="F192" i="3"/>
  <c r="E192" i="3"/>
  <c r="H192" i="3"/>
  <c r="B192" i="3"/>
  <c r="D192" i="3"/>
  <c r="C192" i="3"/>
  <c r="A193" i="3"/>
  <c r="J192" i="3" l="1"/>
  <c r="A194" i="3"/>
  <c r="H193" i="3"/>
  <c r="C193" i="3"/>
  <c r="D193" i="3"/>
  <c r="E193" i="3"/>
  <c r="I193" i="3"/>
  <c r="B193" i="3"/>
  <c r="F193" i="3"/>
  <c r="J193" i="3" l="1"/>
  <c r="B194" i="3"/>
  <c r="D194" i="3"/>
  <c r="C194" i="3"/>
  <c r="I194" i="3"/>
  <c r="A195" i="3"/>
  <c r="E194" i="3"/>
  <c r="F194" i="3"/>
  <c r="H194" i="3"/>
  <c r="J194" i="3" l="1"/>
  <c r="C195" i="3"/>
  <c r="I195" i="3"/>
  <c r="B195" i="3"/>
  <c r="A196" i="3"/>
  <c r="F195" i="3"/>
  <c r="E195" i="3"/>
  <c r="D195" i="3"/>
  <c r="H195" i="3"/>
  <c r="J195" i="3" l="1"/>
  <c r="C196" i="3"/>
  <c r="B196" i="3"/>
  <c r="E196" i="3"/>
  <c r="F196" i="3"/>
  <c r="D196" i="3"/>
  <c r="A197" i="3"/>
  <c r="H196" i="3"/>
  <c r="I196" i="3"/>
  <c r="J196" i="3" l="1"/>
  <c r="C197" i="3"/>
  <c r="F197" i="3"/>
  <c r="H197" i="3"/>
  <c r="I197" i="3"/>
  <c r="D197" i="3"/>
  <c r="B197" i="3"/>
  <c r="A198" i="3"/>
  <c r="E197" i="3"/>
  <c r="J197" i="3" l="1"/>
  <c r="F198" i="3"/>
  <c r="A199" i="3"/>
  <c r="E198" i="3"/>
  <c r="C198" i="3"/>
  <c r="H198" i="3"/>
  <c r="D198" i="3"/>
  <c r="B198" i="3"/>
  <c r="I198" i="3"/>
  <c r="J198" i="3" l="1"/>
  <c r="E199" i="3"/>
  <c r="D199" i="3"/>
  <c r="B199" i="3"/>
  <c r="C199" i="3"/>
  <c r="H199" i="3"/>
  <c r="F199" i="3"/>
  <c r="I199" i="3"/>
  <c r="A200" i="3"/>
  <c r="J199" i="3" l="1"/>
  <c r="F200" i="3"/>
  <c r="E200" i="3"/>
  <c r="B200" i="3"/>
  <c r="C200" i="3"/>
  <c r="D200" i="3"/>
  <c r="H200" i="3"/>
  <c r="I200" i="3"/>
  <c r="A201" i="3"/>
  <c r="J200" i="3" l="1"/>
  <c r="I201" i="3"/>
  <c r="B201" i="3"/>
  <c r="F201" i="3"/>
  <c r="H201" i="3"/>
  <c r="D201" i="3"/>
  <c r="A202" i="3"/>
  <c r="E201" i="3"/>
  <c r="C201" i="3"/>
  <c r="J201" i="3" l="1"/>
  <c r="F202" i="3"/>
  <c r="B202" i="3"/>
  <c r="E202" i="3"/>
  <c r="D202" i="3"/>
  <c r="A203" i="3"/>
  <c r="I202" i="3"/>
  <c r="C202" i="3"/>
  <c r="H202" i="3"/>
  <c r="J202" i="3" l="1"/>
  <c r="C203" i="3"/>
  <c r="F203" i="3"/>
  <c r="A204" i="3"/>
  <c r="B203" i="3"/>
  <c r="E203" i="3"/>
  <c r="H203" i="3"/>
  <c r="D203" i="3"/>
  <c r="I203" i="3"/>
  <c r="J203" i="3" l="1"/>
  <c r="F204" i="3"/>
  <c r="I204" i="3"/>
  <c r="A205" i="3"/>
  <c r="E204" i="3"/>
  <c r="C204" i="3"/>
  <c r="H204" i="3"/>
  <c r="D204" i="3"/>
  <c r="B204" i="3"/>
  <c r="J204" i="3" l="1"/>
  <c r="H205" i="3"/>
  <c r="B205" i="3"/>
  <c r="F205" i="3"/>
  <c r="D205" i="3"/>
  <c r="C205" i="3"/>
  <c r="I205" i="3"/>
  <c r="A206" i="3"/>
  <c r="E205" i="3"/>
  <c r="J205" i="3" l="1"/>
  <c r="F206" i="3"/>
  <c r="I206" i="3"/>
  <c r="A207" i="3"/>
  <c r="H206" i="3"/>
  <c r="C206" i="3"/>
  <c r="E206" i="3"/>
  <c r="D206" i="3"/>
  <c r="B206" i="3"/>
  <c r="J206" i="3" l="1"/>
  <c r="E207" i="3"/>
  <c r="F207" i="3"/>
  <c r="C207" i="3"/>
  <c r="D207" i="3"/>
  <c r="H207" i="3"/>
  <c r="I207" i="3"/>
  <c r="A208" i="3"/>
  <c r="B207" i="3"/>
  <c r="J207" i="3" l="1"/>
  <c r="C208" i="3"/>
  <c r="D208" i="3"/>
  <c r="A209" i="3"/>
  <c r="I208" i="3"/>
  <c r="B208" i="3"/>
  <c r="E208" i="3"/>
  <c r="H208" i="3"/>
  <c r="F208" i="3"/>
  <c r="J208" i="3" l="1"/>
  <c r="H209" i="3"/>
  <c r="B209" i="3"/>
  <c r="A210" i="3"/>
  <c r="I209" i="3"/>
  <c r="C209" i="3"/>
  <c r="D209" i="3"/>
  <c r="E209" i="3"/>
  <c r="F209" i="3"/>
  <c r="J209" i="3" l="1"/>
  <c r="B210" i="3"/>
  <c r="E210" i="3"/>
  <c r="A211" i="3"/>
  <c r="H210" i="3"/>
  <c r="C210" i="3"/>
  <c r="I210" i="3"/>
  <c r="D210" i="3"/>
  <c r="F210" i="3"/>
  <c r="J210" i="3" l="1"/>
  <c r="D211" i="3"/>
  <c r="B211" i="3"/>
  <c r="C211" i="3"/>
  <c r="F211" i="3"/>
  <c r="H211" i="3"/>
  <c r="I211" i="3"/>
  <c r="E211" i="3"/>
  <c r="A212" i="3"/>
  <c r="J211" i="3" l="1"/>
  <c r="I212" i="3"/>
  <c r="A213" i="3"/>
  <c r="D212" i="3"/>
  <c r="E212" i="3"/>
  <c r="H212" i="3"/>
  <c r="F212" i="3"/>
  <c r="C212" i="3"/>
  <c r="B212" i="3"/>
  <c r="J212" i="3" l="1"/>
  <c r="D213" i="3"/>
  <c r="B213" i="3"/>
  <c r="H213" i="3"/>
  <c r="I213" i="3"/>
  <c r="E213" i="3"/>
  <c r="F213" i="3"/>
  <c r="C213" i="3"/>
  <c r="A214" i="3"/>
  <c r="J213" i="3" l="1"/>
  <c r="H214" i="3"/>
  <c r="A215" i="3"/>
  <c r="E214" i="3"/>
  <c r="C214" i="3"/>
  <c r="I214" i="3"/>
  <c r="D214" i="3"/>
  <c r="F214" i="3"/>
  <c r="B214" i="3"/>
  <c r="J214" i="3" l="1"/>
  <c r="C215" i="3"/>
  <c r="B215" i="3"/>
  <c r="A216" i="3"/>
  <c r="F215" i="3"/>
  <c r="H215" i="3"/>
  <c r="I215" i="3"/>
  <c r="E215" i="3"/>
  <c r="D215" i="3"/>
  <c r="J215" i="3" l="1"/>
  <c r="E216" i="3"/>
  <c r="D216" i="3"/>
  <c r="B216" i="3"/>
  <c r="A217" i="3"/>
  <c r="H216" i="3"/>
  <c r="F216" i="3"/>
  <c r="C216" i="3"/>
  <c r="I216" i="3"/>
  <c r="J216" i="3" l="1"/>
  <c r="A218" i="3"/>
  <c r="H217" i="3"/>
  <c r="C217" i="3"/>
  <c r="F217" i="3"/>
  <c r="I217" i="3"/>
  <c r="D217" i="3"/>
  <c r="B217" i="3"/>
  <c r="E217" i="3"/>
  <c r="J217" i="3" l="1"/>
  <c r="A219" i="3"/>
  <c r="F218" i="3"/>
  <c r="C218" i="3"/>
  <c r="H218" i="3"/>
  <c r="I218" i="3"/>
  <c r="E218" i="3"/>
  <c r="D218" i="3"/>
  <c r="B218" i="3"/>
  <c r="J218" i="3" l="1"/>
  <c r="F219" i="3"/>
  <c r="D219" i="3"/>
  <c r="C219" i="3"/>
  <c r="A220" i="3"/>
  <c r="H219" i="3"/>
  <c r="I219" i="3"/>
  <c r="B219" i="3"/>
  <c r="E219" i="3"/>
  <c r="J219" i="3" l="1"/>
  <c r="I220" i="3"/>
  <c r="H220" i="3"/>
  <c r="F220" i="3"/>
  <c r="B220" i="3"/>
  <c r="E220" i="3"/>
  <c r="D220" i="3"/>
  <c r="A221" i="3"/>
  <c r="C220" i="3"/>
  <c r="J220" i="3" l="1"/>
  <c r="D221" i="3"/>
  <c r="E221" i="3"/>
  <c r="I221" i="3"/>
  <c r="B221" i="3"/>
  <c r="C221" i="3"/>
  <c r="F221" i="3"/>
  <c r="A222" i="3"/>
  <c r="H221" i="3"/>
  <c r="J221" i="3" l="1"/>
  <c r="I222" i="3"/>
  <c r="C222" i="3"/>
  <c r="D222" i="3"/>
  <c r="H222" i="3"/>
  <c r="A223" i="3"/>
  <c r="F222" i="3"/>
  <c r="E222" i="3"/>
  <c r="B222" i="3"/>
  <c r="J222" i="3" l="1"/>
  <c r="C223" i="3"/>
  <c r="B223" i="3"/>
  <c r="I223" i="3"/>
  <c r="E223" i="3"/>
  <c r="F223" i="3"/>
  <c r="D223" i="3"/>
  <c r="A224" i="3"/>
  <c r="H223" i="3"/>
  <c r="J223" i="3" l="1"/>
  <c r="I224" i="3"/>
  <c r="H224" i="3"/>
  <c r="E224" i="3"/>
  <c r="B224" i="3"/>
  <c r="F224" i="3"/>
  <c r="D224" i="3"/>
  <c r="A225" i="3"/>
  <c r="C224" i="3"/>
  <c r="J224" i="3" l="1"/>
  <c r="A226" i="3"/>
  <c r="H225" i="3"/>
  <c r="D225" i="3"/>
  <c r="C225" i="3"/>
  <c r="B225" i="3"/>
  <c r="E225" i="3"/>
  <c r="I225" i="3"/>
  <c r="F225" i="3"/>
  <c r="J225" i="3" l="1"/>
  <c r="F226" i="3"/>
  <c r="H226" i="3"/>
  <c r="A227" i="3"/>
  <c r="I226" i="3"/>
  <c r="D226" i="3"/>
  <c r="E226" i="3"/>
  <c r="C226" i="3"/>
  <c r="B226" i="3"/>
  <c r="J226" i="3" l="1"/>
  <c r="B227" i="3"/>
  <c r="E227" i="3"/>
  <c r="F227" i="3"/>
  <c r="I227" i="3"/>
  <c r="C227" i="3"/>
  <c r="A228" i="3"/>
  <c r="H227" i="3"/>
  <c r="D227" i="3"/>
  <c r="J227" i="3" l="1"/>
  <c r="H228" i="3"/>
  <c r="A229" i="3"/>
  <c r="F228" i="3"/>
  <c r="E228" i="3"/>
  <c r="I228" i="3"/>
  <c r="B228" i="3"/>
  <c r="C228" i="3"/>
  <c r="D228" i="3"/>
  <c r="J228" i="3" l="1"/>
  <c r="B229" i="3"/>
  <c r="I229" i="3"/>
  <c r="C229" i="3"/>
  <c r="A230" i="3"/>
  <c r="E229" i="3"/>
  <c r="D229" i="3"/>
  <c r="F229" i="3"/>
  <c r="H229" i="3"/>
  <c r="J229" i="3" l="1"/>
  <c r="D230" i="3"/>
  <c r="I230" i="3"/>
  <c r="F230" i="3"/>
  <c r="H230" i="3"/>
  <c r="B230" i="3"/>
  <c r="E230" i="3"/>
  <c r="A231" i="3"/>
  <c r="C230" i="3"/>
  <c r="J230" i="3" l="1"/>
  <c r="I231" i="3"/>
  <c r="E231" i="3"/>
  <c r="F231" i="3"/>
  <c r="C231" i="3"/>
  <c r="B231" i="3"/>
  <c r="A232" i="3"/>
  <c r="H231" i="3"/>
  <c r="D231" i="3"/>
  <c r="J231" i="3" l="1"/>
  <c r="D232" i="3"/>
  <c r="C232" i="3"/>
  <c r="E232" i="3"/>
  <c r="F232" i="3"/>
  <c r="B232" i="3"/>
  <c r="A233" i="3"/>
  <c r="H232" i="3"/>
  <c r="I232" i="3"/>
  <c r="J232" i="3" l="1"/>
  <c r="D233" i="3"/>
  <c r="H233" i="3"/>
  <c r="F233" i="3"/>
  <c r="I233" i="3"/>
  <c r="C233" i="3"/>
  <c r="B233" i="3"/>
  <c r="E233" i="3"/>
  <c r="A234" i="3"/>
  <c r="J233" i="3" l="1"/>
  <c r="I234" i="3"/>
  <c r="F234" i="3"/>
  <c r="E234" i="3"/>
  <c r="A235" i="3"/>
  <c r="H234" i="3"/>
  <c r="B234" i="3"/>
  <c r="D234" i="3"/>
  <c r="C234" i="3"/>
  <c r="J234" i="3" l="1"/>
  <c r="B235" i="3"/>
  <c r="C235" i="3"/>
  <c r="A236" i="3"/>
  <c r="H235" i="3"/>
  <c r="D235" i="3"/>
  <c r="E235" i="3"/>
  <c r="I235" i="3"/>
  <c r="F235" i="3"/>
  <c r="J235" i="3" l="1"/>
  <c r="D236" i="3"/>
  <c r="E236" i="3"/>
  <c r="F236" i="3"/>
  <c r="A237" i="3"/>
  <c r="I236" i="3"/>
  <c r="H236" i="3"/>
  <c r="C236" i="3"/>
  <c r="B236" i="3"/>
  <c r="J236" i="3" l="1"/>
  <c r="C237" i="3"/>
  <c r="A238" i="3"/>
  <c r="F237" i="3"/>
  <c r="D237" i="3"/>
  <c r="B237" i="3"/>
  <c r="I237" i="3"/>
  <c r="E237" i="3"/>
  <c r="H237" i="3"/>
  <c r="J237" i="3" l="1"/>
  <c r="E238" i="3"/>
  <c r="A239" i="3"/>
  <c r="I238" i="3"/>
  <c r="C238" i="3"/>
  <c r="F238" i="3"/>
  <c r="H238" i="3"/>
  <c r="D238" i="3"/>
  <c r="B238" i="3"/>
  <c r="J238" i="3" l="1"/>
  <c r="D239" i="3"/>
  <c r="A240" i="3"/>
  <c r="C239" i="3"/>
  <c r="B239" i="3"/>
  <c r="H239" i="3"/>
  <c r="F239" i="3"/>
  <c r="E239" i="3"/>
  <c r="I239" i="3"/>
  <c r="J239" i="3" l="1"/>
  <c r="F240" i="3"/>
  <c r="C240" i="3"/>
  <c r="I240" i="3"/>
  <c r="D240" i="3"/>
  <c r="E240" i="3"/>
  <c r="A241" i="3"/>
  <c r="H240" i="3"/>
  <c r="B240" i="3"/>
  <c r="J240" i="3" l="1"/>
  <c r="D241" i="3"/>
  <c r="C241" i="3"/>
  <c r="A242" i="3"/>
  <c r="I241" i="3"/>
  <c r="H241" i="3"/>
  <c r="B241" i="3"/>
  <c r="E241" i="3"/>
  <c r="F241" i="3"/>
  <c r="J241" i="3" l="1"/>
  <c r="D242" i="3"/>
  <c r="H242" i="3"/>
  <c r="F242" i="3"/>
  <c r="I242" i="3"/>
  <c r="A243" i="3"/>
  <c r="C242" i="3"/>
  <c r="E242" i="3"/>
  <c r="B242" i="3"/>
  <c r="J242" i="3" l="1"/>
  <c r="F243" i="3"/>
  <c r="B243" i="3"/>
  <c r="E243" i="3"/>
  <c r="I243" i="3"/>
  <c r="A244" i="3"/>
  <c r="C243" i="3"/>
  <c r="H243" i="3"/>
  <c r="D243" i="3"/>
  <c r="J243" i="3" l="1"/>
  <c r="F244" i="3"/>
  <c r="B244" i="3"/>
  <c r="H244" i="3"/>
  <c r="D244" i="3"/>
  <c r="C244" i="3"/>
  <c r="I244" i="3"/>
  <c r="E244" i="3"/>
  <c r="A245" i="3"/>
  <c r="J244" i="3" l="1"/>
  <c r="D245" i="3"/>
  <c r="H245" i="3"/>
  <c r="E245" i="3"/>
  <c r="I245" i="3"/>
  <c r="F245" i="3"/>
  <c r="B245" i="3"/>
  <c r="C245" i="3"/>
  <c r="A246" i="3"/>
  <c r="J245" i="3" l="1"/>
  <c r="B246" i="3"/>
  <c r="F246" i="3"/>
  <c r="I246" i="3"/>
  <c r="C246" i="3"/>
  <c r="H246" i="3"/>
  <c r="D246" i="3"/>
  <c r="E246" i="3"/>
  <c r="A247" i="3"/>
  <c r="J246" i="3" l="1"/>
  <c r="A248" i="3"/>
  <c r="C247" i="3"/>
  <c r="I247" i="3"/>
  <c r="H247" i="3"/>
  <c r="F247" i="3"/>
  <c r="D247" i="3"/>
  <c r="E247" i="3"/>
  <c r="B247" i="3"/>
  <c r="J247" i="3" l="1"/>
  <c r="H248" i="3"/>
  <c r="C248" i="3"/>
  <c r="B248" i="3"/>
  <c r="I248" i="3"/>
  <c r="F248" i="3"/>
  <c r="E248" i="3"/>
  <c r="D248" i="3"/>
  <c r="A249" i="3"/>
  <c r="J248" i="3" l="1"/>
  <c r="F249" i="3"/>
  <c r="I249" i="3"/>
  <c r="B249" i="3"/>
  <c r="E249" i="3"/>
  <c r="D249" i="3"/>
  <c r="H249" i="3"/>
  <c r="C249" i="3"/>
  <c r="A250" i="3"/>
  <c r="J249" i="3" l="1"/>
  <c r="F250" i="3"/>
  <c r="B250" i="3"/>
  <c r="H250" i="3"/>
  <c r="C250" i="3"/>
  <c r="I250" i="3"/>
  <c r="D250" i="3"/>
  <c r="E250" i="3"/>
  <c r="A251" i="3"/>
  <c r="J250" i="3" l="1"/>
  <c r="I251" i="3"/>
  <c r="A252" i="3"/>
  <c r="B251" i="3"/>
  <c r="D251" i="3"/>
  <c r="C251" i="3"/>
  <c r="F251" i="3"/>
  <c r="H251" i="3"/>
  <c r="E251" i="3"/>
  <c r="J251" i="3" l="1"/>
  <c r="C252" i="3"/>
  <c r="I252" i="3"/>
  <c r="F252" i="3"/>
  <c r="B252" i="3"/>
  <c r="H252" i="3"/>
  <c r="E252" i="3"/>
  <c r="A253" i="3"/>
  <c r="D252" i="3"/>
  <c r="J252" i="3" l="1"/>
  <c r="B253" i="3"/>
  <c r="H253" i="3"/>
  <c r="F253" i="3"/>
  <c r="I253" i="3"/>
  <c r="C253" i="3"/>
  <c r="A254" i="3"/>
  <c r="E253" i="3"/>
  <c r="D253" i="3"/>
  <c r="J253" i="3" l="1"/>
  <c r="E254" i="3"/>
  <c r="A255" i="3"/>
  <c r="B254" i="3"/>
  <c r="I254" i="3"/>
  <c r="D254" i="3"/>
  <c r="F254" i="3"/>
  <c r="H254" i="3"/>
  <c r="C254" i="3"/>
  <c r="J254" i="3" l="1"/>
  <c r="B255" i="3"/>
  <c r="F255" i="3"/>
  <c r="D255" i="3"/>
  <c r="C255" i="3"/>
  <c r="E255" i="3"/>
  <c r="H255" i="3"/>
  <c r="A256" i="3"/>
  <c r="I255" i="3"/>
  <c r="J255" i="3" l="1"/>
  <c r="D256" i="3"/>
  <c r="H256" i="3"/>
  <c r="A257" i="3"/>
  <c r="F256" i="3"/>
  <c r="C256" i="3"/>
  <c r="E256" i="3"/>
  <c r="B256" i="3"/>
  <c r="I256" i="3"/>
  <c r="J256" i="3" l="1"/>
  <c r="F257" i="3"/>
  <c r="D257" i="3"/>
  <c r="H257" i="3"/>
  <c r="A258" i="3"/>
  <c r="E257" i="3"/>
  <c r="B257" i="3"/>
  <c r="C257" i="3"/>
  <c r="I257" i="3"/>
  <c r="J257" i="3" l="1"/>
  <c r="C258" i="3"/>
  <c r="I258" i="3"/>
  <c r="D258" i="3"/>
  <c r="E258" i="3"/>
  <c r="F258" i="3"/>
  <c r="B258" i="3"/>
  <c r="A259" i="3"/>
  <c r="H258" i="3"/>
  <c r="J258" i="3" l="1"/>
  <c r="H259" i="3"/>
  <c r="I259" i="3"/>
  <c r="D259" i="3"/>
  <c r="A260" i="3"/>
  <c r="C259" i="3"/>
  <c r="F259" i="3"/>
  <c r="B259" i="3"/>
  <c r="E259" i="3"/>
  <c r="J259" i="3" l="1"/>
  <c r="C260" i="3"/>
  <c r="A261" i="3"/>
  <c r="D260" i="3"/>
  <c r="F260" i="3"/>
  <c r="H260" i="3"/>
  <c r="E260" i="3"/>
  <c r="I260" i="3"/>
  <c r="B260" i="3"/>
  <c r="J260" i="3" l="1"/>
  <c r="E261" i="3"/>
  <c r="A262" i="3"/>
  <c r="C261" i="3"/>
  <c r="I261" i="3"/>
  <c r="D261" i="3"/>
  <c r="B261" i="3"/>
  <c r="F261" i="3"/>
  <c r="H261" i="3"/>
  <c r="J261" i="3" l="1"/>
  <c r="C262" i="3"/>
  <c r="H262" i="3"/>
  <c r="I262" i="3"/>
  <c r="F262" i="3"/>
  <c r="B262" i="3"/>
  <c r="D262" i="3"/>
  <c r="E262" i="3"/>
  <c r="A263" i="3"/>
  <c r="J262" i="3" l="1"/>
  <c r="E263" i="3"/>
  <c r="I263" i="3"/>
  <c r="D263" i="3"/>
  <c r="H263" i="3"/>
  <c r="F263" i="3"/>
  <c r="A264" i="3"/>
  <c r="C263" i="3"/>
  <c r="B263" i="3"/>
  <c r="J263" i="3" l="1"/>
  <c r="E264" i="3"/>
  <c r="B264" i="3"/>
  <c r="D264" i="3"/>
  <c r="H264" i="3"/>
  <c r="I264" i="3"/>
  <c r="C264" i="3"/>
  <c r="F264" i="3"/>
  <c r="A265" i="3"/>
  <c r="J264" i="3" l="1"/>
  <c r="I265" i="3"/>
  <c r="C265" i="3"/>
  <c r="F265" i="3"/>
  <c r="A266" i="3"/>
  <c r="D265" i="3"/>
  <c r="E265" i="3"/>
  <c r="H265" i="3"/>
  <c r="B265" i="3"/>
  <c r="J265" i="3" l="1"/>
  <c r="E266" i="3"/>
  <c r="H266" i="3"/>
  <c r="I266" i="3"/>
  <c r="D266" i="3"/>
  <c r="F266" i="3"/>
  <c r="C266" i="3"/>
  <c r="A267" i="3"/>
  <c r="B266" i="3"/>
  <c r="J266" i="3" l="1"/>
  <c r="C267" i="3"/>
  <c r="A268" i="3"/>
  <c r="D267" i="3"/>
  <c r="I267" i="3"/>
  <c r="H267" i="3"/>
  <c r="B267" i="3"/>
  <c r="E267" i="3"/>
  <c r="F267" i="3"/>
  <c r="J267" i="3" l="1"/>
  <c r="F268" i="3"/>
  <c r="D268" i="3"/>
  <c r="B268" i="3"/>
  <c r="I268" i="3"/>
  <c r="E268" i="3"/>
  <c r="A269" i="3"/>
  <c r="H268" i="3"/>
  <c r="C268" i="3"/>
  <c r="J268" i="3" l="1"/>
  <c r="E269" i="3"/>
  <c r="D269" i="3"/>
  <c r="H269" i="3"/>
  <c r="C269" i="3"/>
  <c r="F269" i="3"/>
  <c r="B269" i="3"/>
  <c r="A270" i="3"/>
  <c r="I269" i="3"/>
  <c r="J269" i="3" l="1"/>
  <c r="C270" i="3"/>
  <c r="H270" i="3"/>
  <c r="B270" i="3"/>
  <c r="E270" i="3"/>
  <c r="I270" i="3"/>
  <c r="F270" i="3"/>
  <c r="A271" i="3"/>
  <c r="D270" i="3"/>
  <c r="J270" i="3" l="1"/>
  <c r="A272" i="3"/>
  <c r="H271" i="3"/>
  <c r="E271" i="3"/>
  <c r="B271" i="3"/>
  <c r="I271" i="3"/>
  <c r="C271" i="3"/>
  <c r="D271" i="3"/>
  <c r="F271" i="3"/>
  <c r="J271" i="3" l="1"/>
  <c r="C272" i="3"/>
  <c r="B272" i="3"/>
  <c r="F272" i="3"/>
  <c r="H272" i="3"/>
  <c r="D272" i="3"/>
  <c r="A273" i="3"/>
  <c r="E272" i="3"/>
  <c r="I272" i="3"/>
  <c r="J272" i="3" l="1"/>
  <c r="F273" i="3"/>
  <c r="C273" i="3"/>
  <c r="A274" i="3"/>
  <c r="E273" i="3"/>
  <c r="H273" i="3"/>
  <c r="I273" i="3"/>
  <c r="B273" i="3"/>
  <c r="D273" i="3"/>
  <c r="J273" i="3" l="1"/>
  <c r="B274" i="3"/>
  <c r="A275" i="3"/>
  <c r="H274" i="3"/>
  <c r="C274" i="3"/>
  <c r="E274" i="3"/>
  <c r="I274" i="3"/>
  <c r="F274" i="3"/>
  <c r="D274" i="3"/>
  <c r="J274" i="3" l="1"/>
  <c r="H275" i="3"/>
  <c r="B275" i="3"/>
  <c r="I275" i="3"/>
  <c r="E275" i="3"/>
  <c r="D275" i="3"/>
  <c r="C275" i="3"/>
  <c r="A276" i="3"/>
  <c r="F275" i="3"/>
  <c r="J275" i="3" l="1"/>
  <c r="A277" i="3"/>
  <c r="F276" i="3"/>
  <c r="C276" i="3"/>
  <c r="E276" i="3"/>
  <c r="H276" i="3"/>
  <c r="B276" i="3"/>
  <c r="I276" i="3"/>
  <c r="D276" i="3"/>
  <c r="J276" i="3" l="1"/>
  <c r="F277" i="3"/>
  <c r="E277" i="3"/>
  <c r="C277" i="3"/>
  <c r="A278" i="3"/>
  <c r="D277" i="3"/>
  <c r="B277" i="3"/>
  <c r="I277" i="3"/>
  <c r="H277" i="3"/>
  <c r="J277" i="3" l="1"/>
  <c r="A279" i="3"/>
  <c r="B278" i="3"/>
  <c r="D278" i="3"/>
  <c r="H278" i="3"/>
  <c r="E278" i="3"/>
  <c r="I278" i="3"/>
  <c r="F278" i="3"/>
  <c r="C278" i="3"/>
  <c r="J278" i="3" l="1"/>
  <c r="B279" i="3"/>
  <c r="I279" i="3"/>
  <c r="H279" i="3"/>
  <c r="C279" i="3"/>
  <c r="E279" i="3"/>
  <c r="A280" i="3"/>
  <c r="D279" i="3"/>
  <c r="F279" i="3"/>
  <c r="J279" i="3" l="1"/>
  <c r="I280" i="3"/>
  <c r="D280" i="3"/>
  <c r="E280" i="3"/>
  <c r="C280" i="3"/>
  <c r="H280" i="3"/>
  <c r="B280" i="3"/>
  <c r="F280" i="3"/>
  <c r="A281" i="3"/>
  <c r="J280" i="3" l="1"/>
  <c r="I281" i="3"/>
  <c r="B281" i="3"/>
  <c r="H281" i="3"/>
  <c r="A282" i="3"/>
  <c r="E281" i="3"/>
  <c r="D281" i="3"/>
  <c r="F281" i="3"/>
  <c r="C281" i="3"/>
  <c r="J281" i="3" l="1"/>
  <c r="C282" i="3"/>
  <c r="A283" i="3"/>
  <c r="F282" i="3"/>
  <c r="I282" i="3"/>
  <c r="H282" i="3"/>
  <c r="D282" i="3"/>
  <c r="E282" i="3"/>
  <c r="B282" i="3"/>
  <c r="J282" i="3" l="1"/>
  <c r="D283" i="3"/>
  <c r="C283" i="3"/>
  <c r="H283" i="3"/>
  <c r="B283" i="3"/>
  <c r="E283" i="3"/>
  <c r="A284" i="3"/>
  <c r="F283" i="3"/>
  <c r="I283" i="3"/>
  <c r="J283" i="3" l="1"/>
  <c r="I284" i="3"/>
  <c r="F284" i="3"/>
  <c r="H284" i="3"/>
  <c r="E284" i="3"/>
  <c r="C284" i="3"/>
  <c r="B284" i="3"/>
  <c r="A285" i="3"/>
  <c r="D284" i="3"/>
  <c r="J284" i="3" l="1"/>
  <c r="A286" i="3"/>
  <c r="C285" i="3"/>
  <c r="F285" i="3"/>
  <c r="B285" i="3"/>
  <c r="D285" i="3"/>
  <c r="E285" i="3"/>
  <c r="I285" i="3"/>
  <c r="H285" i="3"/>
  <c r="J285" i="3" l="1"/>
  <c r="F286" i="3"/>
  <c r="I286" i="3"/>
  <c r="E286" i="3"/>
  <c r="B286" i="3"/>
  <c r="D286" i="3"/>
  <c r="H286" i="3"/>
  <c r="C286" i="3"/>
  <c r="A287" i="3"/>
  <c r="J286" i="3" l="1"/>
  <c r="F287" i="3"/>
  <c r="A288" i="3"/>
  <c r="I287" i="3"/>
  <c r="E287" i="3"/>
  <c r="H287" i="3"/>
  <c r="C287" i="3"/>
  <c r="B287" i="3"/>
  <c r="D287" i="3"/>
  <c r="J287" i="3" l="1"/>
  <c r="I288" i="3"/>
  <c r="H288" i="3"/>
  <c r="E288" i="3"/>
  <c r="B288" i="3"/>
  <c r="D288" i="3"/>
  <c r="F288" i="3"/>
  <c r="C288" i="3"/>
  <c r="A289" i="3"/>
  <c r="J288" i="3" l="1"/>
  <c r="F289" i="3"/>
  <c r="D289" i="3"/>
  <c r="B289" i="3"/>
  <c r="I289" i="3"/>
  <c r="E289" i="3"/>
  <c r="C289" i="3"/>
  <c r="A290" i="3"/>
  <c r="H289" i="3"/>
  <c r="J289" i="3" l="1"/>
  <c r="I290" i="3"/>
  <c r="A291" i="3"/>
  <c r="F290" i="3"/>
  <c r="B290" i="3"/>
  <c r="H290" i="3"/>
  <c r="E290" i="3"/>
  <c r="D290" i="3"/>
  <c r="C290" i="3"/>
  <c r="J290" i="3" l="1"/>
  <c r="D291" i="3"/>
  <c r="F291" i="3"/>
  <c r="E291" i="3"/>
  <c r="H291" i="3"/>
  <c r="B291" i="3"/>
  <c r="C291" i="3"/>
  <c r="I291" i="3"/>
  <c r="A292" i="3"/>
  <c r="J291" i="3" l="1"/>
  <c r="I292" i="3"/>
  <c r="D292" i="3"/>
  <c r="H292" i="3"/>
  <c r="A293" i="3"/>
  <c r="F292" i="3"/>
  <c r="E292" i="3"/>
  <c r="C292" i="3"/>
  <c r="B292" i="3"/>
  <c r="J292" i="3" l="1"/>
  <c r="I293" i="3"/>
  <c r="B293" i="3"/>
  <c r="E293" i="3"/>
  <c r="F293" i="3"/>
  <c r="C293" i="3"/>
  <c r="D293" i="3"/>
  <c r="A294" i="3"/>
  <c r="H293" i="3"/>
  <c r="J293" i="3" l="1"/>
  <c r="B294" i="3"/>
  <c r="I294" i="3"/>
  <c r="A295" i="3"/>
  <c r="E294" i="3"/>
  <c r="H294" i="3"/>
  <c r="F294" i="3"/>
  <c r="C294" i="3"/>
  <c r="D294" i="3"/>
  <c r="J294" i="3" l="1"/>
  <c r="D295" i="3"/>
  <c r="C295" i="3"/>
  <c r="B295" i="3"/>
  <c r="A296" i="3"/>
  <c r="I295" i="3"/>
  <c r="H295" i="3"/>
  <c r="F295" i="3"/>
  <c r="E295" i="3"/>
  <c r="J295" i="3" l="1"/>
  <c r="E296" i="3"/>
  <c r="I296" i="3"/>
  <c r="B296" i="3"/>
  <c r="H296" i="3"/>
  <c r="C296" i="3"/>
  <c r="A297" i="3"/>
  <c r="F296" i="3"/>
  <c r="D296" i="3"/>
  <c r="J296" i="3" l="1"/>
  <c r="B297" i="3"/>
  <c r="A298" i="3"/>
  <c r="H297" i="3"/>
  <c r="E297" i="3"/>
  <c r="F297" i="3"/>
  <c r="D297" i="3"/>
  <c r="C297" i="3"/>
  <c r="I297" i="3"/>
  <c r="J297" i="3" l="1"/>
  <c r="A299" i="3"/>
  <c r="D298" i="3"/>
  <c r="I298" i="3"/>
  <c r="C298" i="3"/>
  <c r="H298" i="3"/>
  <c r="E298" i="3"/>
  <c r="F298" i="3"/>
  <c r="B298" i="3"/>
  <c r="J298" i="3" l="1"/>
  <c r="E299" i="3"/>
  <c r="F299" i="3"/>
  <c r="A300" i="3"/>
  <c r="H299" i="3"/>
  <c r="C299" i="3"/>
  <c r="B299" i="3"/>
  <c r="D299" i="3"/>
  <c r="I299" i="3"/>
  <c r="J299" i="3" l="1"/>
  <c r="F300" i="3"/>
  <c r="C300" i="3"/>
  <c r="A301" i="3"/>
  <c r="I300" i="3"/>
  <c r="B300" i="3"/>
  <c r="E300" i="3"/>
  <c r="D300" i="3"/>
  <c r="H300" i="3"/>
  <c r="J300" i="3" l="1"/>
  <c r="B301" i="3"/>
  <c r="C301" i="3"/>
  <c r="H301" i="3"/>
  <c r="I301" i="3"/>
  <c r="D301" i="3"/>
  <c r="F301" i="3"/>
  <c r="E301" i="3"/>
  <c r="A302" i="3"/>
  <c r="J301" i="3" l="1"/>
  <c r="E302" i="3"/>
  <c r="B302" i="3"/>
  <c r="D302" i="3"/>
  <c r="H302" i="3"/>
  <c r="I302" i="3"/>
  <c r="C302" i="3"/>
  <c r="F302" i="3"/>
  <c r="A303" i="3"/>
  <c r="J302" i="3" l="1"/>
  <c r="B303" i="3"/>
  <c r="D303" i="3"/>
  <c r="C303" i="3"/>
  <c r="E303" i="3"/>
  <c r="I303" i="3"/>
  <c r="H303" i="3"/>
  <c r="A304" i="3"/>
  <c r="F303" i="3"/>
  <c r="J303" i="3" l="1"/>
  <c r="F304" i="3"/>
  <c r="I304" i="3"/>
  <c r="D304" i="3"/>
  <c r="B304" i="3"/>
  <c r="A305" i="3"/>
  <c r="H304" i="3"/>
  <c r="E304" i="3"/>
  <c r="C304" i="3"/>
  <c r="J304" i="3" l="1"/>
  <c r="D305" i="3"/>
  <c r="I305" i="3"/>
  <c r="E305" i="3"/>
  <c r="F305" i="3"/>
  <c r="H305" i="3"/>
  <c r="B305" i="3"/>
  <c r="A306" i="3"/>
  <c r="C305" i="3"/>
  <c r="J305" i="3" l="1"/>
  <c r="F306" i="3"/>
  <c r="A307" i="3"/>
  <c r="I306" i="3"/>
  <c r="E306" i="3"/>
  <c r="C306" i="3"/>
  <c r="H306" i="3"/>
  <c r="D306" i="3"/>
  <c r="B306" i="3"/>
  <c r="J306" i="3" l="1"/>
  <c r="E307" i="3"/>
  <c r="D307" i="3"/>
  <c r="A308" i="3"/>
  <c r="B307" i="3"/>
  <c r="H307" i="3"/>
  <c r="I307" i="3"/>
  <c r="F307" i="3"/>
  <c r="C307" i="3"/>
  <c r="J307" i="3" l="1"/>
  <c r="F308" i="3"/>
  <c r="I308" i="3"/>
  <c r="A309" i="3"/>
  <c r="E308" i="3"/>
  <c r="H308" i="3"/>
  <c r="D308" i="3"/>
  <c r="B308" i="3"/>
  <c r="C308" i="3"/>
  <c r="J308" i="3" l="1"/>
  <c r="I309" i="3"/>
  <c r="E309" i="3"/>
  <c r="H309" i="3"/>
  <c r="A310" i="3"/>
  <c r="B309" i="3"/>
  <c r="F309" i="3"/>
  <c r="D309" i="3"/>
  <c r="C309" i="3"/>
  <c r="J309" i="3" l="1"/>
  <c r="F310" i="3"/>
  <c r="H310" i="3"/>
  <c r="A311" i="3"/>
  <c r="D310" i="3"/>
  <c r="E310" i="3"/>
  <c r="I310" i="3"/>
  <c r="C310" i="3"/>
  <c r="B310" i="3"/>
  <c r="J310" i="3" l="1"/>
  <c r="E311" i="3"/>
  <c r="A312" i="3"/>
  <c r="D311" i="3"/>
  <c r="B311" i="3"/>
  <c r="F311" i="3"/>
  <c r="H311" i="3"/>
  <c r="I311" i="3"/>
  <c r="C311" i="3"/>
  <c r="J311" i="3" l="1"/>
  <c r="B312" i="3"/>
  <c r="A313" i="3"/>
  <c r="C312" i="3"/>
  <c r="D312" i="3"/>
  <c r="H312" i="3"/>
  <c r="E312" i="3"/>
  <c r="F312" i="3"/>
  <c r="I312" i="3"/>
  <c r="J312" i="3" l="1"/>
  <c r="I313" i="3"/>
  <c r="D313" i="3"/>
  <c r="E313" i="3"/>
  <c r="F313" i="3"/>
  <c r="H313" i="3"/>
  <c r="C313" i="3"/>
  <c r="B313" i="3"/>
  <c r="A314" i="3"/>
  <c r="J313" i="3" l="1"/>
  <c r="C314" i="3"/>
  <c r="D314" i="3"/>
  <c r="B314" i="3"/>
  <c r="E314" i="3"/>
  <c r="H314" i="3"/>
  <c r="F314" i="3"/>
  <c r="I314" i="3"/>
  <c r="A315" i="3"/>
  <c r="J314" i="3" l="1"/>
  <c r="E315" i="3"/>
  <c r="I315" i="3"/>
  <c r="C315" i="3"/>
  <c r="D315" i="3"/>
  <c r="F315" i="3"/>
  <c r="A316" i="3"/>
  <c r="B315" i="3"/>
  <c r="H315" i="3"/>
  <c r="J315" i="3" l="1"/>
  <c r="H316" i="3"/>
  <c r="C316" i="3"/>
  <c r="A317" i="3"/>
  <c r="E316" i="3"/>
  <c r="B316" i="3"/>
  <c r="F316" i="3"/>
  <c r="D316" i="3"/>
  <c r="I316" i="3"/>
  <c r="J316" i="3" l="1"/>
  <c r="C317" i="3"/>
  <c r="A318" i="3"/>
  <c r="F317" i="3"/>
  <c r="B317" i="3"/>
  <c r="E317" i="3"/>
  <c r="D317" i="3"/>
  <c r="H317" i="3"/>
  <c r="I317" i="3"/>
  <c r="J317" i="3" l="1"/>
  <c r="D318" i="3"/>
  <c r="A319" i="3"/>
  <c r="F318" i="3"/>
  <c r="I318" i="3"/>
  <c r="H318" i="3"/>
  <c r="E318" i="3"/>
  <c r="B318" i="3"/>
  <c r="C318" i="3"/>
  <c r="J318" i="3" l="1"/>
  <c r="C319" i="3"/>
  <c r="H319" i="3"/>
  <c r="E319" i="3"/>
  <c r="D319" i="3"/>
  <c r="I319" i="3"/>
  <c r="A320" i="3"/>
  <c r="F319" i="3"/>
  <c r="B319" i="3"/>
  <c r="J319" i="3" l="1"/>
  <c r="H320" i="3"/>
  <c r="B320" i="3"/>
  <c r="F320" i="3"/>
  <c r="D320" i="3"/>
  <c r="E320" i="3"/>
  <c r="I320" i="3"/>
  <c r="C320" i="3"/>
  <c r="A321" i="3"/>
  <c r="J320" i="3" l="1"/>
  <c r="B321" i="3"/>
  <c r="C321" i="3"/>
  <c r="H321" i="3"/>
  <c r="A322" i="3"/>
  <c r="D321" i="3"/>
  <c r="I321" i="3"/>
  <c r="E321" i="3"/>
  <c r="F321" i="3"/>
  <c r="J321" i="3" l="1"/>
  <c r="A323" i="3"/>
  <c r="I322" i="3"/>
  <c r="F322" i="3"/>
  <c r="D322" i="3"/>
  <c r="B322" i="3"/>
  <c r="C322" i="3"/>
  <c r="E322" i="3"/>
  <c r="H322" i="3"/>
  <c r="J322" i="3" l="1"/>
  <c r="C323" i="3"/>
  <c r="A324" i="3"/>
  <c r="H323" i="3"/>
  <c r="F323" i="3"/>
  <c r="D323" i="3"/>
  <c r="E323" i="3"/>
  <c r="I323" i="3"/>
  <c r="B323" i="3"/>
  <c r="J323" i="3" l="1"/>
  <c r="E324" i="3"/>
  <c r="A325" i="3"/>
  <c r="D324" i="3"/>
  <c r="C324" i="3"/>
  <c r="F324" i="3"/>
  <c r="H324" i="3"/>
  <c r="I324" i="3"/>
  <c r="B324" i="3"/>
  <c r="J324" i="3" l="1"/>
  <c r="E325" i="3"/>
  <c r="I325" i="3"/>
  <c r="C325" i="3"/>
  <c r="A326" i="3"/>
  <c r="H325" i="3"/>
  <c r="D325" i="3"/>
  <c r="B325" i="3"/>
  <c r="F325" i="3"/>
  <c r="J325" i="3" l="1"/>
  <c r="A327" i="3"/>
  <c r="I326" i="3"/>
  <c r="D326" i="3"/>
  <c r="F326" i="3"/>
  <c r="C326" i="3"/>
  <c r="H326" i="3"/>
  <c r="B326" i="3"/>
  <c r="E326" i="3"/>
  <c r="J326" i="3" l="1"/>
  <c r="F327" i="3"/>
  <c r="E327" i="3"/>
  <c r="H327" i="3"/>
  <c r="A328" i="3"/>
  <c r="B327" i="3"/>
  <c r="D327" i="3"/>
  <c r="C327" i="3"/>
  <c r="I327" i="3"/>
  <c r="J327" i="3" l="1"/>
  <c r="C328" i="3"/>
  <c r="E328" i="3"/>
  <c r="D328" i="3"/>
  <c r="A329" i="3"/>
  <c r="B328" i="3"/>
  <c r="I328" i="3"/>
  <c r="H328" i="3"/>
  <c r="F328" i="3"/>
  <c r="J328" i="3" l="1"/>
  <c r="F329" i="3"/>
  <c r="I329" i="3"/>
  <c r="H329" i="3"/>
  <c r="D329" i="3"/>
  <c r="C329" i="3"/>
  <c r="E329" i="3"/>
  <c r="B329" i="3"/>
  <c r="A330" i="3"/>
  <c r="J329" i="3" l="1"/>
  <c r="B330" i="3"/>
  <c r="I330" i="3"/>
  <c r="A331" i="3"/>
  <c r="F330" i="3"/>
  <c r="C330" i="3"/>
  <c r="E330" i="3"/>
  <c r="H330" i="3"/>
  <c r="D330" i="3"/>
  <c r="J330" i="3" l="1"/>
  <c r="C331" i="3"/>
  <c r="D331" i="3"/>
  <c r="E331" i="3"/>
  <c r="I331" i="3"/>
  <c r="B331" i="3"/>
  <c r="H331" i="3"/>
  <c r="A332" i="3"/>
  <c r="F331" i="3"/>
  <c r="J331" i="3" l="1"/>
  <c r="E332" i="3"/>
  <c r="F332" i="3"/>
  <c r="H332" i="3"/>
  <c r="B332" i="3"/>
  <c r="I332" i="3"/>
  <c r="C332" i="3"/>
  <c r="D332" i="3"/>
  <c r="A333" i="3"/>
  <c r="J332" i="3" l="1"/>
  <c r="F333" i="3"/>
  <c r="E333" i="3"/>
  <c r="A334" i="3"/>
  <c r="H333" i="3"/>
  <c r="D333" i="3"/>
  <c r="I333" i="3"/>
  <c r="B333" i="3"/>
  <c r="C333" i="3"/>
  <c r="J333" i="3" l="1"/>
  <c r="I334" i="3"/>
  <c r="E334" i="3"/>
  <c r="C334" i="3"/>
  <c r="A335" i="3"/>
  <c r="B334" i="3"/>
  <c r="H334" i="3"/>
  <c r="F334" i="3"/>
  <c r="D334" i="3"/>
  <c r="J334" i="3" l="1"/>
  <c r="D335" i="3"/>
  <c r="B335" i="3"/>
  <c r="F335" i="3"/>
  <c r="I335" i="3"/>
  <c r="E335" i="3"/>
  <c r="H335" i="3"/>
  <c r="C335" i="3"/>
  <c r="A336" i="3"/>
  <c r="I336" i="3" l="1"/>
  <c r="A337" i="3"/>
  <c r="H337" i="3" s="1"/>
  <c r="H336" i="3"/>
  <c r="J336" i="3" s="1"/>
  <c r="F336" i="3"/>
  <c r="E336" i="3"/>
  <c r="C336" i="3"/>
  <c r="B336" i="3"/>
  <c r="D336" i="3"/>
  <c r="J335" i="3"/>
  <c r="F337" i="3" l="1"/>
  <c r="I337" i="3"/>
  <c r="B337" i="3"/>
  <c r="C337" i="3"/>
  <c r="E337" i="3"/>
  <c r="A338" i="3"/>
  <c r="A339" i="3" s="1"/>
  <c r="D337" i="3"/>
  <c r="J337" i="3"/>
  <c r="F338" i="3" l="1"/>
  <c r="E338" i="3"/>
  <c r="I338" i="3"/>
  <c r="H338" i="3"/>
  <c r="J338" i="3" s="1"/>
  <c r="C338" i="3"/>
  <c r="D338" i="3"/>
  <c r="B338" i="3"/>
  <c r="C339" i="3"/>
  <c r="D339" i="3"/>
  <c r="A340" i="3"/>
  <c r="B339" i="3"/>
  <c r="I339" i="3"/>
  <c r="E339" i="3"/>
  <c r="F339" i="3"/>
  <c r="H339" i="3"/>
  <c r="J339" i="3" l="1"/>
  <c r="D340" i="3"/>
  <c r="H340" i="3"/>
  <c r="C340" i="3"/>
  <c r="F340" i="3"/>
  <c r="E340" i="3"/>
  <c r="B340" i="3"/>
  <c r="A341" i="3"/>
  <c r="I340" i="3"/>
  <c r="J340" i="3" l="1"/>
  <c r="H341" i="3"/>
  <c r="E341" i="3"/>
  <c r="D341" i="3"/>
  <c r="F341" i="3"/>
  <c r="I341" i="3"/>
  <c r="B341" i="3"/>
  <c r="C341" i="3"/>
  <c r="A342" i="3"/>
  <c r="J341" i="3" l="1"/>
  <c r="D342" i="3"/>
  <c r="A343" i="3"/>
  <c r="H342" i="3"/>
  <c r="C342" i="3"/>
  <c r="B342" i="3"/>
  <c r="E342" i="3"/>
  <c r="F342" i="3"/>
  <c r="I342" i="3"/>
  <c r="J342" i="3" l="1"/>
  <c r="B343" i="3"/>
  <c r="I343" i="3"/>
  <c r="D343" i="3"/>
  <c r="C343" i="3"/>
  <c r="A344" i="3"/>
  <c r="F343" i="3"/>
  <c r="H343" i="3"/>
  <c r="E343" i="3"/>
  <c r="J343" i="3" l="1"/>
  <c r="H344" i="3"/>
  <c r="I344" i="3"/>
  <c r="D344" i="3"/>
  <c r="C344" i="3"/>
  <c r="F344" i="3"/>
  <c r="B344" i="3"/>
  <c r="A345" i="3"/>
  <c r="E344" i="3"/>
  <c r="J344" i="3" l="1"/>
  <c r="D345" i="3"/>
  <c r="H345" i="3"/>
  <c r="B345" i="3"/>
  <c r="E345" i="3"/>
  <c r="C345" i="3"/>
  <c r="I345" i="3"/>
  <c r="A346" i="3"/>
  <c r="F345" i="3"/>
  <c r="J345" i="3" l="1"/>
  <c r="F346" i="3"/>
  <c r="I346" i="3"/>
  <c r="B346" i="3"/>
  <c r="D346" i="3"/>
  <c r="E346" i="3"/>
  <c r="H346" i="3"/>
  <c r="C346" i="3"/>
  <c r="A347" i="3"/>
  <c r="J346" i="3" l="1"/>
  <c r="F347" i="3"/>
  <c r="C347" i="3"/>
  <c r="I347" i="3"/>
  <c r="E347" i="3"/>
  <c r="H347" i="3"/>
  <c r="D347" i="3"/>
  <c r="B347" i="3"/>
  <c r="A348" i="3"/>
  <c r="J347" i="3" l="1"/>
  <c r="F348" i="3"/>
  <c r="C348" i="3"/>
  <c r="A349" i="3"/>
  <c r="I348" i="3"/>
  <c r="D348" i="3"/>
  <c r="E348" i="3"/>
  <c r="B348" i="3"/>
  <c r="H348" i="3"/>
  <c r="J348" i="3" l="1"/>
  <c r="E349" i="3"/>
  <c r="H349" i="3"/>
  <c r="I349" i="3"/>
  <c r="C349" i="3"/>
  <c r="F349" i="3"/>
  <c r="B349" i="3"/>
  <c r="A350" i="3"/>
  <c r="D349" i="3"/>
  <c r="J349" i="3" l="1"/>
  <c r="I350" i="3"/>
  <c r="H350" i="3"/>
  <c r="E350" i="3"/>
  <c r="A351" i="3"/>
  <c r="D350" i="3"/>
  <c r="B350" i="3"/>
  <c r="C350" i="3"/>
  <c r="F350" i="3"/>
  <c r="J350" i="3" l="1"/>
  <c r="F351" i="3"/>
  <c r="B351" i="3"/>
  <c r="I351" i="3"/>
  <c r="E351" i="3"/>
  <c r="D351" i="3"/>
  <c r="C351" i="3"/>
  <c r="A352" i="3"/>
  <c r="H351" i="3"/>
  <c r="J351" i="3" l="1"/>
  <c r="H352" i="3"/>
  <c r="I352" i="3"/>
  <c r="C352" i="3"/>
  <c r="A353" i="3"/>
  <c r="F352" i="3"/>
  <c r="B352" i="3"/>
  <c r="E352" i="3"/>
  <c r="D352" i="3"/>
  <c r="J352" i="3" l="1"/>
  <c r="D353" i="3"/>
  <c r="A354" i="3"/>
  <c r="F353" i="3"/>
  <c r="I353" i="3"/>
  <c r="H353" i="3"/>
  <c r="E353" i="3"/>
  <c r="B353" i="3"/>
  <c r="C353" i="3"/>
  <c r="J353" i="3" l="1"/>
  <c r="F354" i="3"/>
  <c r="C354" i="3"/>
  <c r="H354" i="3"/>
  <c r="B354" i="3"/>
  <c r="I354" i="3"/>
  <c r="D354" i="3"/>
  <c r="E354" i="3"/>
  <c r="A355" i="3"/>
  <c r="J354" i="3" l="1"/>
  <c r="A356" i="3"/>
  <c r="H355" i="3"/>
  <c r="D355" i="3"/>
  <c r="E355" i="3"/>
  <c r="I355" i="3"/>
  <c r="F355" i="3"/>
  <c r="C355" i="3"/>
  <c r="B355" i="3"/>
  <c r="J355" i="3" l="1"/>
  <c r="C356" i="3"/>
  <c r="A357" i="3"/>
  <c r="D356" i="3"/>
  <c r="I356" i="3"/>
  <c r="H356" i="3"/>
  <c r="B356" i="3"/>
  <c r="E356" i="3"/>
  <c r="F356" i="3"/>
  <c r="J356" i="3" l="1"/>
  <c r="A358" i="3"/>
  <c r="B357" i="3"/>
  <c r="F357" i="3"/>
  <c r="C357" i="3"/>
  <c r="D357" i="3"/>
  <c r="I357" i="3"/>
  <c r="H357" i="3"/>
  <c r="E357" i="3"/>
  <c r="J357" i="3" l="1"/>
  <c r="F358" i="3"/>
  <c r="H358" i="3"/>
  <c r="A359" i="3"/>
  <c r="D358" i="3"/>
  <c r="E358" i="3"/>
  <c r="C358" i="3"/>
  <c r="B358" i="3"/>
  <c r="I358" i="3"/>
  <c r="J358" i="3" l="1"/>
  <c r="D359" i="3"/>
  <c r="F359" i="3"/>
  <c r="A360" i="3"/>
  <c r="I359" i="3"/>
  <c r="B359" i="3"/>
  <c r="E359" i="3"/>
  <c r="C359" i="3"/>
  <c r="H359" i="3"/>
  <c r="J359" i="3" l="1"/>
  <c r="C360" i="3"/>
  <c r="A361" i="3"/>
  <c r="B360" i="3"/>
  <c r="F360" i="3"/>
  <c r="I360" i="3"/>
  <c r="E360" i="3"/>
  <c r="H360" i="3"/>
  <c r="D360" i="3"/>
  <c r="J360" i="3" l="1"/>
  <c r="I361" i="3"/>
  <c r="B361" i="3"/>
  <c r="E361" i="3"/>
  <c r="D361" i="3"/>
  <c r="H361" i="3"/>
  <c r="F361" i="3"/>
  <c r="C361" i="3"/>
  <c r="A362" i="3"/>
  <c r="J361" i="3" l="1"/>
  <c r="A363" i="3"/>
  <c r="B362" i="3"/>
  <c r="D362" i="3"/>
  <c r="F362" i="3"/>
  <c r="I362" i="3"/>
  <c r="C362" i="3"/>
  <c r="E362" i="3"/>
  <c r="H362" i="3"/>
  <c r="J362" i="3" l="1"/>
  <c r="F363" i="3"/>
  <c r="C363" i="3"/>
  <c r="I363" i="3"/>
  <c r="E363" i="3"/>
  <c r="A364" i="3"/>
  <c r="D363" i="3"/>
  <c r="B363" i="3"/>
  <c r="H363" i="3"/>
  <c r="J363" i="3" l="1"/>
  <c r="B364" i="3"/>
  <c r="A365" i="3"/>
  <c r="C364" i="3"/>
  <c r="F364" i="3"/>
  <c r="H364" i="3"/>
  <c r="D364" i="3"/>
  <c r="I364" i="3"/>
  <c r="E364" i="3"/>
  <c r="J364" i="3" l="1"/>
  <c r="C365" i="3"/>
  <c r="F365" i="3"/>
  <c r="B365" i="3"/>
  <c r="E365" i="3"/>
  <c r="D365" i="3"/>
  <c r="H365" i="3"/>
  <c r="A366" i="3"/>
  <c r="I365" i="3"/>
  <c r="J365" i="3" l="1"/>
  <c r="F366" i="3"/>
  <c r="D366" i="3"/>
  <c r="C366" i="3"/>
  <c r="B366" i="3"/>
  <c r="E366" i="3"/>
  <c r="H366" i="3"/>
  <c r="A367" i="3"/>
  <c r="I366" i="3"/>
  <c r="J366" i="3" l="1"/>
  <c r="C367" i="3"/>
  <c r="F367" i="3"/>
  <c r="A368" i="3"/>
  <c r="E367" i="3"/>
  <c r="D367" i="3"/>
  <c r="I367" i="3"/>
  <c r="B367" i="3"/>
  <c r="H367" i="3"/>
  <c r="J367" i="3" l="1"/>
  <c r="E368" i="3"/>
  <c r="D368" i="3"/>
  <c r="F368" i="3"/>
  <c r="A369" i="3"/>
  <c r="C368" i="3"/>
  <c r="I368" i="3"/>
  <c r="H368" i="3"/>
  <c r="B368" i="3"/>
  <c r="J368" i="3" l="1"/>
  <c r="E369" i="3"/>
  <c r="F369" i="3"/>
  <c r="D369" i="3"/>
  <c r="C369" i="3"/>
  <c r="A370" i="3"/>
  <c r="B369" i="3"/>
  <c r="H369" i="3"/>
  <c r="I369" i="3"/>
  <c r="J369" i="3" l="1"/>
  <c r="C370" i="3"/>
  <c r="F370" i="3"/>
  <c r="D370" i="3"/>
  <c r="H370" i="3"/>
  <c r="B370" i="3"/>
  <c r="A371" i="3"/>
  <c r="E370" i="3"/>
  <c r="I370" i="3"/>
  <c r="J370" i="3" l="1"/>
  <c r="D371" i="3"/>
  <c r="I371" i="3"/>
  <c r="A372" i="3"/>
  <c r="C371" i="3"/>
  <c r="E371" i="3"/>
  <c r="H371" i="3"/>
  <c r="F371" i="3"/>
  <c r="B371" i="3"/>
  <c r="J371" i="3" l="1"/>
  <c r="E372" i="3"/>
  <c r="F372" i="3"/>
  <c r="D372" i="3"/>
  <c r="I372" i="3"/>
  <c r="C372" i="3"/>
  <c r="H372" i="3"/>
  <c r="A373" i="3"/>
  <c r="B372" i="3"/>
  <c r="J372" i="3" l="1"/>
  <c r="C373" i="3"/>
  <c r="F373" i="3"/>
  <c r="D373" i="3"/>
  <c r="I373" i="3"/>
  <c r="B373" i="3"/>
  <c r="E373" i="3"/>
  <c r="H373" i="3"/>
  <c r="A374" i="3"/>
  <c r="J373" i="3" l="1"/>
  <c r="E374" i="3"/>
  <c r="F374" i="3"/>
  <c r="I374" i="3"/>
  <c r="C374" i="3"/>
  <c r="D374" i="3"/>
  <c r="A375" i="3"/>
  <c r="B374" i="3"/>
  <c r="H374" i="3"/>
  <c r="J374" i="3" l="1"/>
  <c r="E375" i="3"/>
  <c r="C375" i="3"/>
  <c r="D375" i="3"/>
  <c r="A376" i="3"/>
  <c r="F375" i="3"/>
  <c r="B375" i="3"/>
  <c r="I375" i="3"/>
  <c r="H375" i="3"/>
  <c r="J375" i="3" l="1"/>
  <c r="F376" i="3"/>
  <c r="E376" i="3"/>
  <c r="I376" i="3"/>
  <c r="A377" i="3"/>
  <c r="D376" i="3"/>
  <c r="H376" i="3"/>
  <c r="B376" i="3"/>
  <c r="C376" i="3"/>
  <c r="J376" i="3" l="1"/>
  <c r="E377" i="3"/>
  <c r="F377" i="3"/>
  <c r="D377" i="3"/>
  <c r="B377" i="3"/>
  <c r="H377" i="3"/>
  <c r="I377" i="3"/>
  <c r="C377" i="3"/>
  <c r="A378" i="3"/>
  <c r="J377" i="3" l="1"/>
  <c r="E378" i="3"/>
  <c r="D378" i="3"/>
  <c r="C378" i="3"/>
  <c r="H378" i="3"/>
  <c r="F378" i="3"/>
  <c r="B378" i="3"/>
  <c r="I378" i="3"/>
  <c r="A379" i="3"/>
  <c r="J378" i="3" l="1"/>
  <c r="F379" i="3"/>
  <c r="E379" i="3"/>
  <c r="H379" i="3"/>
  <c r="I379" i="3"/>
  <c r="D379" i="3"/>
  <c r="A380" i="3"/>
  <c r="B379" i="3"/>
  <c r="C379" i="3"/>
  <c r="J379" i="3" l="1"/>
  <c r="E380" i="3"/>
  <c r="B380" i="3"/>
  <c r="D380" i="3"/>
  <c r="C380" i="3"/>
  <c r="H380" i="3"/>
  <c r="F380" i="3"/>
  <c r="I380" i="3"/>
  <c r="A381" i="3"/>
  <c r="J380" i="3" l="1"/>
  <c r="H381" i="3"/>
  <c r="A382" i="3"/>
  <c r="D381" i="3"/>
  <c r="I381" i="3"/>
  <c r="F381" i="3"/>
  <c r="E381" i="3"/>
  <c r="B381" i="3"/>
  <c r="C381" i="3"/>
  <c r="J381" i="3" l="1"/>
  <c r="B382" i="3"/>
  <c r="E382" i="3"/>
  <c r="H382" i="3"/>
  <c r="I382" i="3"/>
  <c r="D382" i="3"/>
  <c r="F382" i="3"/>
  <c r="A383" i="3"/>
  <c r="C382" i="3"/>
  <c r="J382" i="3" l="1"/>
  <c r="E383" i="3"/>
  <c r="B383" i="3"/>
  <c r="I383" i="3"/>
  <c r="A384" i="3"/>
  <c r="C383" i="3"/>
  <c r="H383" i="3"/>
  <c r="D383" i="3"/>
  <c r="F383" i="3"/>
  <c r="J383" i="3" l="1"/>
  <c r="C384" i="3"/>
  <c r="A385" i="3"/>
  <c r="H384" i="3"/>
  <c r="D384" i="3"/>
  <c r="E384" i="3"/>
  <c r="I384" i="3"/>
  <c r="B384" i="3"/>
  <c r="F384" i="3"/>
  <c r="J384" i="3" l="1"/>
  <c r="F385" i="3"/>
  <c r="D385" i="3"/>
  <c r="E385" i="3"/>
  <c r="A386" i="3"/>
  <c r="I385" i="3"/>
  <c r="H385" i="3"/>
  <c r="C385" i="3"/>
  <c r="B385" i="3"/>
  <c r="J385" i="3" l="1"/>
  <c r="F386" i="3"/>
  <c r="H386" i="3"/>
  <c r="B386" i="3"/>
  <c r="C386" i="3"/>
  <c r="A387" i="3"/>
  <c r="I386" i="3"/>
  <c r="D386" i="3"/>
  <c r="E386" i="3"/>
  <c r="J386" i="3" l="1"/>
  <c r="F387" i="3"/>
  <c r="I387" i="3"/>
  <c r="A388" i="3"/>
  <c r="E387" i="3"/>
  <c r="B387" i="3"/>
  <c r="D387" i="3"/>
  <c r="H387" i="3"/>
  <c r="C387" i="3"/>
  <c r="J387" i="3" l="1"/>
  <c r="C388" i="3"/>
  <c r="D388" i="3"/>
  <c r="A389" i="3"/>
  <c r="E388" i="3"/>
  <c r="H388" i="3"/>
  <c r="F388" i="3"/>
  <c r="I388" i="3"/>
  <c r="B388" i="3"/>
  <c r="J388" i="3" l="1"/>
  <c r="E389" i="3"/>
  <c r="C389" i="3"/>
  <c r="F389" i="3"/>
  <c r="D389" i="3"/>
  <c r="B389" i="3"/>
  <c r="I389" i="3"/>
  <c r="H389" i="3"/>
  <c r="A390" i="3"/>
  <c r="J389" i="3" l="1"/>
  <c r="E390" i="3"/>
  <c r="F390" i="3"/>
  <c r="C390" i="3"/>
  <c r="D390" i="3"/>
  <c r="H390" i="3"/>
  <c r="I390" i="3"/>
  <c r="A391" i="3"/>
  <c r="B390" i="3"/>
  <c r="J390" i="3" l="1"/>
  <c r="C391" i="3"/>
  <c r="D391" i="3"/>
  <c r="E391" i="3"/>
  <c r="B391" i="3"/>
  <c r="A392" i="3"/>
  <c r="I391" i="3"/>
  <c r="H391" i="3"/>
  <c r="F391" i="3"/>
  <c r="J391" i="3" l="1"/>
  <c r="E392" i="3"/>
  <c r="C392" i="3"/>
  <c r="F392" i="3"/>
  <c r="D392" i="3"/>
  <c r="I392" i="3"/>
  <c r="H392" i="3"/>
  <c r="B392" i="3"/>
  <c r="A393" i="3"/>
  <c r="J392" i="3" l="1"/>
  <c r="C393" i="3"/>
  <c r="I393" i="3"/>
  <c r="E393" i="3"/>
  <c r="A394" i="3"/>
  <c r="D393" i="3"/>
  <c r="B393" i="3"/>
  <c r="F393" i="3"/>
  <c r="H393" i="3"/>
  <c r="J393" i="3" l="1"/>
  <c r="C394" i="3"/>
  <c r="F394" i="3"/>
  <c r="D394" i="3"/>
  <c r="E394" i="3"/>
  <c r="B394" i="3"/>
  <c r="A395" i="3"/>
  <c r="I394" i="3"/>
  <c r="H394" i="3"/>
  <c r="J394" i="3" l="1"/>
  <c r="E395" i="3"/>
  <c r="D395" i="3"/>
  <c r="B395" i="3"/>
  <c r="A396" i="3"/>
  <c r="C395" i="3"/>
  <c r="F395" i="3"/>
  <c r="I395" i="3"/>
  <c r="H395" i="3"/>
  <c r="J395" i="3" l="1"/>
  <c r="E396" i="3"/>
  <c r="F396" i="3"/>
  <c r="H396" i="3"/>
  <c r="C396" i="3"/>
  <c r="B396" i="3"/>
  <c r="D396" i="3"/>
  <c r="I396" i="3"/>
  <c r="A397" i="3"/>
  <c r="J396" i="3" l="1"/>
  <c r="C397" i="3"/>
  <c r="F397" i="3"/>
  <c r="D397" i="3"/>
  <c r="A398" i="3"/>
  <c r="I397" i="3"/>
  <c r="E397" i="3"/>
  <c r="B397" i="3"/>
  <c r="H397" i="3"/>
  <c r="J397" i="3" l="1"/>
  <c r="E398" i="3"/>
  <c r="D398" i="3"/>
  <c r="B398" i="3"/>
  <c r="C398" i="3"/>
  <c r="A399" i="3"/>
  <c r="F398" i="3"/>
  <c r="H398" i="3"/>
  <c r="I398" i="3"/>
  <c r="J398" i="3" l="1"/>
  <c r="E399" i="3"/>
  <c r="F399" i="3"/>
  <c r="D399" i="3"/>
  <c r="A400" i="3"/>
  <c r="H399" i="3"/>
  <c r="B399" i="3"/>
  <c r="I399" i="3"/>
  <c r="C399" i="3"/>
  <c r="J399" i="3" l="1"/>
  <c r="C400" i="3"/>
  <c r="D400" i="3"/>
  <c r="E400" i="3"/>
  <c r="H400" i="3"/>
  <c r="B400" i="3"/>
  <c r="F400" i="3"/>
  <c r="I400" i="3"/>
  <c r="A401" i="3"/>
  <c r="J400" i="3" l="1"/>
  <c r="C401" i="3"/>
  <c r="D401" i="3"/>
  <c r="H401" i="3"/>
  <c r="I401" i="3"/>
  <c r="F401" i="3"/>
  <c r="B401" i="3"/>
  <c r="A402" i="3"/>
  <c r="E401" i="3"/>
  <c r="J401" i="3" l="1"/>
  <c r="E402" i="3"/>
  <c r="F402" i="3"/>
  <c r="B402" i="3"/>
  <c r="C402" i="3"/>
  <c r="A403" i="3"/>
  <c r="H402" i="3"/>
  <c r="I402" i="3"/>
  <c r="D402" i="3"/>
  <c r="J402" i="3" l="1"/>
  <c r="C403" i="3"/>
  <c r="F403" i="3"/>
  <c r="D403" i="3"/>
  <c r="E403" i="3"/>
  <c r="A404" i="3"/>
  <c r="B403" i="3"/>
  <c r="H403" i="3"/>
  <c r="I403" i="3"/>
  <c r="J403" i="3" l="1"/>
  <c r="E404" i="3"/>
  <c r="D404" i="3"/>
  <c r="C404" i="3"/>
  <c r="B404" i="3"/>
  <c r="F404" i="3"/>
  <c r="I404" i="3"/>
  <c r="A405" i="3"/>
  <c r="H404" i="3"/>
  <c r="J404" i="3" l="1"/>
  <c r="F405" i="3"/>
  <c r="D405" i="3"/>
  <c r="H405" i="3"/>
  <c r="A406" i="3"/>
  <c r="E405" i="3"/>
  <c r="C405" i="3"/>
  <c r="B405" i="3"/>
  <c r="I405" i="3"/>
  <c r="J405" i="3" l="1"/>
  <c r="C406" i="3"/>
  <c r="F406" i="3"/>
  <c r="D406" i="3"/>
  <c r="A407" i="3"/>
  <c r="E406" i="3"/>
  <c r="H406" i="3"/>
  <c r="B406" i="3"/>
  <c r="I406" i="3"/>
  <c r="J406" i="3" l="1"/>
  <c r="D407" i="3"/>
  <c r="F407" i="3"/>
  <c r="A408" i="3"/>
  <c r="B407" i="3"/>
  <c r="E407" i="3"/>
  <c r="C407" i="3"/>
  <c r="I407" i="3"/>
  <c r="H407" i="3"/>
  <c r="J407" i="3" l="1"/>
  <c r="A409" i="3"/>
  <c r="F408" i="3"/>
  <c r="C408" i="3"/>
  <c r="B408" i="3"/>
  <c r="D408" i="3"/>
  <c r="I408" i="3"/>
  <c r="H408" i="3"/>
  <c r="E408" i="3"/>
  <c r="J408" i="3" l="1"/>
  <c r="D409" i="3"/>
  <c r="H409" i="3"/>
  <c r="E409" i="3"/>
  <c r="F409" i="3"/>
  <c r="B409" i="3"/>
  <c r="C409" i="3"/>
  <c r="I409" i="3"/>
  <c r="A410" i="3"/>
  <c r="J409" i="3" l="1"/>
  <c r="A411" i="3"/>
  <c r="E410" i="3"/>
  <c r="C410" i="3"/>
  <c r="D410" i="3"/>
  <c r="H410" i="3"/>
  <c r="I410" i="3"/>
  <c r="F410" i="3"/>
  <c r="B410" i="3"/>
  <c r="J410" i="3" l="1"/>
  <c r="F411" i="3"/>
  <c r="D411" i="3"/>
  <c r="C411" i="3"/>
  <c r="B411" i="3"/>
  <c r="A412" i="3"/>
  <c r="I411" i="3"/>
  <c r="E411" i="3"/>
  <c r="H411" i="3"/>
  <c r="J411" i="3" l="1"/>
  <c r="F412" i="3"/>
  <c r="H412" i="3"/>
  <c r="I412" i="3"/>
  <c r="E412" i="3"/>
  <c r="B412" i="3"/>
  <c r="C412" i="3"/>
  <c r="A413" i="3"/>
  <c r="D412" i="3"/>
  <c r="J412" i="3" l="1"/>
  <c r="D413" i="3"/>
  <c r="C413" i="3"/>
  <c r="F413" i="3"/>
  <c r="A414" i="3"/>
  <c r="H413" i="3"/>
  <c r="I413" i="3"/>
  <c r="E413" i="3"/>
  <c r="B413" i="3"/>
  <c r="J413" i="3" l="1"/>
  <c r="F414" i="3"/>
  <c r="D414" i="3"/>
  <c r="A415" i="3"/>
  <c r="C414" i="3"/>
  <c r="B414" i="3"/>
  <c r="I414" i="3"/>
  <c r="E414" i="3"/>
  <c r="H414" i="3"/>
  <c r="J414" i="3" l="1"/>
  <c r="A416" i="3"/>
  <c r="F415" i="3"/>
  <c r="I415" i="3"/>
  <c r="B415" i="3"/>
  <c r="E415" i="3"/>
  <c r="C415" i="3"/>
  <c r="D415" i="3"/>
  <c r="H415" i="3"/>
  <c r="J415" i="3" l="1"/>
  <c r="D416" i="3"/>
  <c r="C416" i="3"/>
  <c r="H416" i="3"/>
  <c r="E416" i="3"/>
  <c r="B416" i="3"/>
  <c r="I416" i="3"/>
  <c r="A417" i="3"/>
  <c r="F416" i="3"/>
  <c r="J416" i="3" l="1"/>
  <c r="D417" i="3"/>
  <c r="E417" i="3"/>
  <c r="B417" i="3"/>
  <c r="C417" i="3"/>
  <c r="H417" i="3"/>
  <c r="A418" i="3"/>
  <c r="I417" i="3"/>
  <c r="F417" i="3"/>
  <c r="J417" i="3" l="1"/>
  <c r="B418" i="3"/>
  <c r="A419" i="3"/>
  <c r="H418" i="3"/>
  <c r="I418" i="3"/>
  <c r="E418" i="3"/>
  <c r="F418" i="3"/>
  <c r="D418" i="3"/>
  <c r="C418" i="3"/>
  <c r="J418" i="3" l="1"/>
  <c r="D419" i="3"/>
  <c r="E419" i="3"/>
  <c r="I419" i="3"/>
  <c r="A420" i="3"/>
  <c r="B419" i="3"/>
  <c r="F419" i="3"/>
  <c r="H419" i="3"/>
  <c r="C419" i="3"/>
  <c r="J419" i="3" l="1"/>
  <c r="C420" i="3"/>
  <c r="D420" i="3"/>
  <c r="A421" i="3"/>
  <c r="B420" i="3"/>
  <c r="I420" i="3"/>
  <c r="F420" i="3"/>
  <c r="E420" i="3"/>
  <c r="H420" i="3"/>
  <c r="J420" i="3" l="1"/>
  <c r="E421" i="3"/>
  <c r="A422" i="3"/>
  <c r="B421" i="3"/>
  <c r="H421" i="3"/>
  <c r="C421" i="3"/>
  <c r="F421" i="3"/>
  <c r="D421" i="3"/>
  <c r="I421" i="3"/>
  <c r="J421" i="3" l="1"/>
  <c r="E422" i="3"/>
  <c r="B422" i="3"/>
  <c r="H422" i="3"/>
  <c r="A423" i="3"/>
  <c r="D422" i="3"/>
  <c r="C422" i="3"/>
  <c r="F422" i="3"/>
  <c r="I422" i="3"/>
  <c r="J422" i="3" l="1"/>
  <c r="A424" i="3"/>
  <c r="H423" i="3"/>
  <c r="F423" i="3"/>
  <c r="E423" i="3"/>
  <c r="B423" i="3"/>
  <c r="D423" i="3"/>
  <c r="C423" i="3"/>
  <c r="I423" i="3"/>
  <c r="J423" i="3" l="1"/>
  <c r="E424" i="3"/>
  <c r="C424" i="3"/>
  <c r="I424" i="3"/>
  <c r="A425" i="3"/>
  <c r="B424" i="3"/>
  <c r="F424" i="3"/>
  <c r="D424" i="3"/>
  <c r="H424" i="3"/>
  <c r="J424" i="3" l="1"/>
  <c r="B425" i="3"/>
  <c r="A426" i="3"/>
  <c r="C425" i="3"/>
  <c r="D425" i="3"/>
  <c r="H425" i="3"/>
  <c r="E425" i="3"/>
  <c r="I425" i="3"/>
  <c r="F425" i="3"/>
  <c r="J425" i="3" l="1"/>
  <c r="D426" i="3"/>
  <c r="A427" i="3"/>
  <c r="B426" i="3"/>
  <c r="H426" i="3"/>
  <c r="I426" i="3"/>
  <c r="F426" i="3"/>
  <c r="E426" i="3"/>
  <c r="C426" i="3"/>
  <c r="J426" i="3" l="1"/>
  <c r="C427" i="3"/>
  <c r="A428" i="3"/>
  <c r="B427" i="3"/>
  <c r="H427" i="3"/>
  <c r="I427" i="3"/>
  <c r="F427" i="3"/>
  <c r="E427" i="3"/>
  <c r="D427" i="3"/>
  <c r="J427" i="3" l="1"/>
  <c r="E428" i="3"/>
  <c r="A429" i="3"/>
  <c r="B428" i="3"/>
  <c r="F428" i="3"/>
  <c r="D428" i="3"/>
  <c r="H428" i="3"/>
  <c r="I428" i="3"/>
  <c r="C428" i="3"/>
  <c r="J428" i="3" l="1"/>
  <c r="E429" i="3"/>
  <c r="A430" i="3"/>
  <c r="B429" i="3"/>
  <c r="C429" i="3"/>
  <c r="D429" i="3"/>
  <c r="I429" i="3"/>
  <c r="H429" i="3"/>
  <c r="F429" i="3"/>
  <c r="J429" i="3" l="1"/>
  <c r="A431" i="3"/>
  <c r="C430" i="3"/>
  <c r="D430" i="3"/>
  <c r="F430" i="3"/>
  <c r="E430" i="3"/>
  <c r="H430" i="3"/>
  <c r="B430" i="3"/>
  <c r="I430" i="3"/>
  <c r="J430" i="3" l="1"/>
  <c r="E431" i="3"/>
  <c r="A432" i="3"/>
  <c r="D431" i="3"/>
  <c r="F431" i="3"/>
  <c r="B431" i="3"/>
  <c r="I431" i="3"/>
  <c r="C431" i="3"/>
  <c r="H431" i="3"/>
  <c r="J431" i="3" l="1"/>
  <c r="C432" i="3"/>
  <c r="H432" i="3"/>
  <c r="I432" i="3"/>
  <c r="D432" i="3"/>
  <c r="F432" i="3"/>
  <c r="B432" i="3"/>
  <c r="A433" i="3"/>
  <c r="E432" i="3"/>
  <c r="J432" i="3" l="1"/>
  <c r="A434" i="3"/>
  <c r="H433" i="3"/>
  <c r="B433" i="3"/>
  <c r="I433" i="3"/>
  <c r="E433" i="3"/>
  <c r="C433" i="3"/>
  <c r="D433" i="3"/>
  <c r="F433" i="3"/>
  <c r="J433" i="3" l="1"/>
  <c r="D434" i="3"/>
  <c r="I434" i="3"/>
  <c r="F434" i="3"/>
  <c r="B434" i="3"/>
  <c r="E434" i="3"/>
  <c r="C434" i="3"/>
  <c r="A435" i="3"/>
  <c r="H434" i="3"/>
  <c r="J434" i="3" l="1"/>
  <c r="I435" i="3"/>
  <c r="B435" i="3"/>
  <c r="H435" i="3"/>
  <c r="A436" i="3"/>
  <c r="F435" i="3"/>
  <c r="C435" i="3"/>
  <c r="E435" i="3"/>
  <c r="D435" i="3"/>
  <c r="J435" i="3" l="1"/>
  <c r="B436" i="3"/>
  <c r="E436" i="3"/>
  <c r="A437" i="3"/>
  <c r="F436" i="3"/>
  <c r="D436" i="3"/>
  <c r="C436" i="3"/>
  <c r="H436" i="3"/>
  <c r="I436" i="3"/>
  <c r="J436" i="3" l="1"/>
  <c r="A438" i="3"/>
  <c r="C437" i="3"/>
  <c r="H437" i="3"/>
  <c r="F437" i="3"/>
  <c r="D437" i="3"/>
  <c r="I437" i="3"/>
  <c r="B437" i="3"/>
  <c r="E437" i="3"/>
  <c r="J437" i="3" l="1"/>
  <c r="A439" i="3"/>
  <c r="I438" i="3"/>
  <c r="C438" i="3"/>
  <c r="B438" i="3"/>
  <c r="H438" i="3"/>
  <c r="F438" i="3"/>
  <c r="E438" i="3"/>
  <c r="D438" i="3"/>
  <c r="J438" i="3" l="1"/>
  <c r="A440" i="3"/>
  <c r="F439" i="3"/>
  <c r="E439" i="3"/>
  <c r="C439" i="3"/>
  <c r="H439" i="3"/>
  <c r="I439" i="3"/>
  <c r="D439" i="3"/>
  <c r="B439" i="3"/>
  <c r="J439" i="3" l="1"/>
  <c r="B440" i="3"/>
  <c r="D440" i="3"/>
  <c r="I440" i="3"/>
  <c r="E440" i="3"/>
  <c r="C440" i="3"/>
  <c r="H440" i="3"/>
  <c r="A441" i="3"/>
  <c r="F440" i="3"/>
  <c r="J440" i="3" l="1"/>
  <c r="B441" i="3"/>
  <c r="D441" i="3"/>
  <c r="H441" i="3"/>
  <c r="E441" i="3"/>
  <c r="C441" i="3"/>
  <c r="A442" i="3"/>
  <c r="I441" i="3"/>
  <c r="F441" i="3"/>
  <c r="J441" i="3" l="1"/>
  <c r="H442" i="3"/>
  <c r="B442" i="3"/>
  <c r="C442" i="3"/>
  <c r="F442" i="3"/>
  <c r="E442" i="3"/>
  <c r="I442" i="3"/>
  <c r="A443" i="3"/>
  <c r="D442" i="3"/>
  <c r="J442" i="3" l="1"/>
  <c r="F443" i="3"/>
  <c r="C443" i="3"/>
  <c r="D443" i="3"/>
  <c r="E443" i="3"/>
  <c r="B443" i="3"/>
  <c r="H443" i="3"/>
  <c r="A444" i="3"/>
  <c r="I443" i="3"/>
  <c r="J443" i="3" l="1"/>
  <c r="B444" i="3"/>
  <c r="F444" i="3"/>
  <c r="I444" i="3"/>
  <c r="C444" i="3"/>
  <c r="H444" i="3"/>
  <c r="A445" i="3"/>
  <c r="E444" i="3"/>
  <c r="D444" i="3"/>
  <c r="J444" i="3" l="1"/>
  <c r="B445" i="3"/>
  <c r="I445" i="3"/>
  <c r="H445" i="3"/>
  <c r="F445" i="3"/>
  <c r="C445" i="3"/>
  <c r="D445" i="3"/>
  <c r="A446" i="3"/>
  <c r="E445" i="3"/>
  <c r="J445" i="3" l="1"/>
  <c r="I446" i="3"/>
  <c r="C446" i="3"/>
  <c r="A447" i="3"/>
  <c r="E446" i="3"/>
  <c r="H446" i="3"/>
  <c r="D446" i="3"/>
  <c r="F446" i="3"/>
  <c r="B446" i="3"/>
  <c r="J446" i="3" l="1"/>
  <c r="E447" i="3"/>
  <c r="B447" i="3"/>
  <c r="H447" i="3"/>
  <c r="D447" i="3"/>
  <c r="A448" i="3"/>
  <c r="F447" i="3"/>
  <c r="I447" i="3"/>
  <c r="C447" i="3"/>
  <c r="J447" i="3" l="1"/>
  <c r="E448" i="3"/>
  <c r="A449" i="3"/>
  <c r="C448" i="3"/>
  <c r="H448" i="3"/>
  <c r="F448" i="3"/>
  <c r="B448" i="3"/>
  <c r="I448" i="3"/>
  <c r="D448" i="3"/>
  <c r="J448" i="3" l="1"/>
  <c r="B449" i="3"/>
  <c r="I449" i="3"/>
  <c r="H449" i="3"/>
  <c r="D449" i="3"/>
  <c r="A450" i="3"/>
  <c r="C449" i="3"/>
  <c r="E449" i="3"/>
  <c r="F449" i="3"/>
  <c r="J449" i="3" l="1"/>
  <c r="D450" i="3"/>
  <c r="H450" i="3"/>
  <c r="F450" i="3"/>
  <c r="C450" i="3"/>
  <c r="B450" i="3"/>
  <c r="A451" i="3"/>
  <c r="I450" i="3"/>
  <c r="E450" i="3"/>
  <c r="J450" i="3" l="1"/>
  <c r="C451" i="3"/>
  <c r="B451" i="3"/>
  <c r="H451" i="3"/>
  <c r="I451" i="3"/>
  <c r="E451" i="3"/>
  <c r="F451" i="3"/>
  <c r="A452" i="3"/>
  <c r="D451" i="3"/>
  <c r="J451" i="3" l="1"/>
  <c r="D452" i="3"/>
  <c r="I452" i="3"/>
  <c r="A453" i="3"/>
  <c r="F452" i="3"/>
  <c r="E452" i="3"/>
  <c r="H452" i="3"/>
  <c r="B452" i="3"/>
  <c r="C452" i="3"/>
  <c r="J452" i="3" l="1"/>
  <c r="B453" i="3"/>
  <c r="C453" i="3"/>
  <c r="D453" i="3"/>
  <c r="F453" i="3"/>
  <c r="E453" i="3"/>
  <c r="H453" i="3"/>
  <c r="I453" i="3"/>
  <c r="A454" i="3"/>
  <c r="J453" i="3" l="1"/>
  <c r="E454" i="3"/>
  <c r="B454" i="3"/>
  <c r="A455" i="3"/>
  <c r="C454" i="3"/>
  <c r="H454" i="3"/>
  <c r="I454" i="3"/>
  <c r="D454" i="3"/>
  <c r="F454" i="3"/>
  <c r="J454" i="3" l="1"/>
  <c r="B455" i="3"/>
  <c r="A456" i="3"/>
  <c r="E455" i="3"/>
  <c r="C455" i="3"/>
  <c r="I455" i="3"/>
  <c r="H455" i="3"/>
  <c r="D455" i="3"/>
  <c r="F455" i="3"/>
  <c r="J455" i="3" l="1"/>
  <c r="E456" i="3"/>
  <c r="D456" i="3"/>
  <c r="A457" i="3"/>
  <c r="F456" i="3"/>
  <c r="B456" i="3"/>
  <c r="I456" i="3"/>
  <c r="C456" i="3"/>
  <c r="H456" i="3"/>
  <c r="J456" i="3" l="1"/>
  <c r="C457" i="3"/>
  <c r="D457" i="3"/>
  <c r="F457" i="3"/>
  <c r="I457" i="3"/>
  <c r="E457" i="3"/>
  <c r="B457" i="3"/>
  <c r="A458" i="3"/>
  <c r="H457" i="3"/>
  <c r="J457" i="3" l="1"/>
  <c r="D458" i="3"/>
  <c r="B458" i="3"/>
  <c r="F458" i="3"/>
  <c r="C458" i="3"/>
  <c r="A459" i="3"/>
  <c r="I458" i="3"/>
  <c r="E458" i="3"/>
  <c r="H458" i="3"/>
  <c r="J458" i="3" l="1"/>
  <c r="B459" i="3"/>
  <c r="C459" i="3"/>
  <c r="A460" i="3"/>
  <c r="F459" i="3"/>
  <c r="H459" i="3"/>
  <c r="D459" i="3"/>
  <c r="E459" i="3"/>
  <c r="I459" i="3"/>
  <c r="J459" i="3" l="1"/>
  <c r="B460" i="3"/>
  <c r="H460" i="3"/>
  <c r="C460" i="3"/>
  <c r="A461" i="3"/>
  <c r="F460" i="3"/>
  <c r="E460" i="3"/>
  <c r="D460" i="3"/>
  <c r="I460" i="3"/>
  <c r="J460" i="3" l="1"/>
  <c r="D461" i="3"/>
  <c r="B461" i="3"/>
  <c r="A462" i="3"/>
  <c r="H461" i="3"/>
  <c r="C461" i="3"/>
  <c r="F461" i="3"/>
  <c r="E461" i="3"/>
  <c r="I461" i="3"/>
  <c r="J461" i="3" l="1"/>
  <c r="B462" i="3"/>
  <c r="D462" i="3"/>
  <c r="A463" i="3"/>
  <c r="F462" i="3"/>
  <c r="I462" i="3"/>
  <c r="E462" i="3"/>
  <c r="C462" i="3"/>
  <c r="H462" i="3"/>
  <c r="J462" i="3" l="1"/>
  <c r="C463" i="3"/>
  <c r="B463" i="3"/>
  <c r="H463" i="3"/>
  <c r="A464" i="3"/>
  <c r="F463" i="3"/>
  <c r="D463" i="3"/>
  <c r="I463" i="3"/>
  <c r="E463" i="3"/>
  <c r="J463" i="3" l="1"/>
  <c r="B464" i="3"/>
  <c r="H464" i="3"/>
  <c r="A465" i="3"/>
  <c r="F464" i="3"/>
  <c r="D464" i="3"/>
  <c r="I464" i="3"/>
  <c r="E464" i="3"/>
  <c r="C464" i="3"/>
  <c r="J464" i="3" l="1"/>
  <c r="H465" i="3"/>
  <c r="A466" i="3"/>
  <c r="F465" i="3"/>
  <c r="B465" i="3"/>
  <c r="C465" i="3"/>
  <c r="D465" i="3"/>
  <c r="E465" i="3"/>
  <c r="I465" i="3"/>
  <c r="J465" i="3" l="1"/>
  <c r="D466" i="3"/>
  <c r="F466" i="3"/>
  <c r="H466" i="3"/>
  <c r="B466" i="3"/>
  <c r="A467" i="3"/>
  <c r="E466" i="3"/>
  <c r="C466" i="3"/>
  <c r="I466" i="3"/>
  <c r="J466" i="3" l="1"/>
  <c r="A468" i="3"/>
  <c r="I467" i="3"/>
  <c r="B467" i="3"/>
  <c r="C467" i="3"/>
  <c r="D467" i="3"/>
  <c r="F467" i="3"/>
  <c r="H467" i="3"/>
  <c r="E467" i="3"/>
  <c r="J467" i="3" l="1"/>
  <c r="B468" i="3"/>
  <c r="A469" i="3"/>
  <c r="H468" i="3"/>
  <c r="F468" i="3"/>
  <c r="I468" i="3"/>
  <c r="E468" i="3"/>
  <c r="D468" i="3"/>
  <c r="C468" i="3"/>
  <c r="J468" i="3" l="1"/>
  <c r="C469" i="3"/>
  <c r="I469" i="3"/>
  <c r="B469" i="3"/>
  <c r="F469" i="3"/>
  <c r="E469" i="3"/>
  <c r="D469" i="3"/>
  <c r="A470" i="3"/>
  <c r="H469" i="3"/>
  <c r="J469" i="3" l="1"/>
  <c r="E470" i="3"/>
  <c r="A471" i="3"/>
  <c r="H470" i="3"/>
  <c r="D470" i="3"/>
  <c r="I470" i="3"/>
  <c r="F470" i="3"/>
  <c r="C470" i="3"/>
  <c r="B470" i="3"/>
  <c r="J470" i="3" l="1"/>
  <c r="F471" i="3"/>
  <c r="A472" i="3"/>
  <c r="E471" i="3"/>
  <c r="B471" i="3"/>
  <c r="C471" i="3"/>
  <c r="I471" i="3"/>
  <c r="D471" i="3"/>
  <c r="H471" i="3"/>
  <c r="J471" i="3" l="1"/>
  <c r="B472" i="3"/>
  <c r="I472" i="3"/>
  <c r="H472" i="3"/>
  <c r="E472" i="3"/>
  <c r="A473" i="3"/>
  <c r="F472" i="3"/>
  <c r="C472" i="3"/>
  <c r="D472" i="3"/>
  <c r="J472" i="3" l="1"/>
  <c r="E473" i="3"/>
  <c r="B473" i="3"/>
  <c r="A474" i="3"/>
  <c r="F473" i="3"/>
  <c r="D473" i="3"/>
  <c r="C473" i="3"/>
  <c r="I473" i="3"/>
  <c r="H473" i="3"/>
  <c r="J473" i="3" l="1"/>
  <c r="C474" i="3"/>
  <c r="E474" i="3"/>
  <c r="H474" i="3"/>
  <c r="I474" i="3"/>
  <c r="B474" i="3"/>
  <c r="A475" i="3"/>
  <c r="D474" i="3"/>
  <c r="F474" i="3"/>
  <c r="J474" i="3" l="1"/>
  <c r="A476" i="3"/>
  <c r="B475" i="3"/>
  <c r="I475" i="3"/>
  <c r="E475" i="3"/>
  <c r="H475" i="3"/>
  <c r="C475" i="3"/>
  <c r="D475" i="3"/>
  <c r="F475" i="3"/>
  <c r="J475" i="3" l="1"/>
  <c r="B476" i="3"/>
  <c r="F476" i="3"/>
  <c r="A477" i="3"/>
  <c r="H476" i="3"/>
  <c r="C476" i="3"/>
  <c r="E476" i="3"/>
  <c r="I476" i="3"/>
  <c r="D476" i="3"/>
  <c r="J476" i="3" l="1"/>
  <c r="I477" i="3"/>
  <c r="E477" i="3"/>
  <c r="H477" i="3"/>
  <c r="D477" i="3"/>
  <c r="B477" i="3"/>
  <c r="C477" i="3"/>
  <c r="F477" i="3"/>
  <c r="A478" i="3"/>
  <c r="J477" i="3" l="1"/>
  <c r="A479" i="3"/>
  <c r="B478" i="3"/>
  <c r="C478" i="3"/>
  <c r="H478" i="3"/>
  <c r="I478" i="3"/>
  <c r="E478" i="3"/>
  <c r="D478" i="3"/>
  <c r="F478" i="3"/>
  <c r="J478" i="3" l="1"/>
  <c r="A480" i="3"/>
  <c r="D479" i="3"/>
  <c r="E479" i="3"/>
  <c r="I479" i="3"/>
  <c r="F479" i="3"/>
  <c r="B479" i="3"/>
  <c r="H479" i="3"/>
  <c r="C479" i="3"/>
  <c r="J479" i="3" l="1"/>
  <c r="D480" i="3"/>
  <c r="B480" i="3"/>
  <c r="C480" i="3"/>
  <c r="A481" i="3"/>
  <c r="H480" i="3"/>
  <c r="I480" i="3"/>
  <c r="F480" i="3"/>
  <c r="E480" i="3"/>
  <c r="J480" i="3" l="1"/>
  <c r="F481" i="3"/>
  <c r="C481" i="3"/>
  <c r="E481" i="3"/>
  <c r="I481" i="3"/>
  <c r="B481" i="3"/>
  <c r="D481" i="3"/>
  <c r="A482" i="3"/>
  <c r="H481" i="3"/>
  <c r="J481" i="3" s="1"/>
  <c r="F482" i="3" l="1"/>
  <c r="B482" i="3"/>
  <c r="D482" i="3"/>
  <c r="I482" i="3"/>
  <c r="H482" i="3"/>
  <c r="J482" i="3" s="1"/>
  <c r="C482" i="3"/>
  <c r="A483" i="3"/>
  <c r="E482" i="3"/>
  <c r="D483" i="3" l="1"/>
  <c r="B483" i="3"/>
  <c r="E483" i="3"/>
  <c r="C483" i="3"/>
  <c r="H483" i="3"/>
  <c r="J483" i="3" s="1"/>
  <c r="F483" i="3"/>
  <c r="I483" i="3"/>
  <c r="A484" i="3"/>
  <c r="C484" i="3" l="1"/>
  <c r="D484" i="3"/>
  <c r="B484" i="3"/>
  <c r="H484" i="3"/>
  <c r="J484" i="3" s="1"/>
  <c r="I484" i="3"/>
  <c r="A485" i="3"/>
  <c r="F484" i="3"/>
  <c r="E484" i="3"/>
  <c r="C485" i="3" l="1"/>
  <c r="B485" i="3"/>
  <c r="H485" i="3"/>
  <c r="J485" i="3" s="1"/>
  <c r="I485" i="3"/>
  <c r="D485" i="3"/>
  <c r="E485" i="3"/>
  <c r="F485" i="3"/>
  <c r="A486" i="3"/>
  <c r="F486" i="3" l="1"/>
  <c r="D486" i="3"/>
  <c r="B486" i="3"/>
  <c r="H486" i="3"/>
  <c r="J486" i="3" s="1"/>
  <c r="I486" i="3"/>
  <c r="C486" i="3"/>
  <c r="A487" i="3"/>
  <c r="E486" i="3"/>
  <c r="C487" i="3" l="1"/>
  <c r="E487" i="3"/>
  <c r="D487" i="3"/>
  <c r="F487" i="3"/>
  <c r="H487" i="3"/>
  <c r="J487" i="3" s="1"/>
  <c r="I487" i="3"/>
  <c r="B487" i="3"/>
  <c r="A488" i="3"/>
  <c r="F488" i="3" l="1"/>
  <c r="C488" i="3"/>
  <c r="E488" i="3"/>
  <c r="D488" i="3"/>
  <c r="B488" i="3"/>
  <c r="H488" i="3"/>
  <c r="J488" i="3" s="1"/>
  <c r="I488" i="3"/>
  <c r="A489" i="3"/>
  <c r="D489" i="3" l="1"/>
  <c r="F489" i="3"/>
  <c r="E489" i="3"/>
  <c r="B489" i="3"/>
  <c r="C489" i="3"/>
  <c r="I489" i="3"/>
  <c r="H489" i="3"/>
  <c r="J489" i="3" s="1"/>
  <c r="A490" i="3"/>
  <c r="F490" i="3" l="1"/>
  <c r="H490" i="3"/>
  <c r="J490" i="3" s="1"/>
  <c r="E490" i="3"/>
  <c r="C490" i="3"/>
  <c r="D490" i="3"/>
  <c r="B490" i="3"/>
  <c r="I490" i="3"/>
  <c r="A491" i="3"/>
  <c r="C491" i="3" l="1"/>
  <c r="B491" i="3"/>
  <c r="F491" i="3"/>
  <c r="E491" i="3"/>
  <c r="H491" i="3"/>
  <c r="J491" i="3" s="1"/>
  <c r="A492" i="3"/>
  <c r="D491" i="3"/>
  <c r="I491" i="3"/>
  <c r="F492" i="3" l="1"/>
  <c r="C492" i="3"/>
  <c r="D492" i="3"/>
  <c r="B492" i="3"/>
  <c r="E492" i="3"/>
  <c r="I492" i="3"/>
  <c r="A493" i="3"/>
  <c r="H492" i="3"/>
  <c r="J492" i="3" s="1"/>
  <c r="D493" i="3" l="1"/>
  <c r="E493" i="3"/>
  <c r="F493" i="3"/>
  <c r="H493" i="3"/>
  <c r="J493" i="3" s="1"/>
  <c r="A494" i="3"/>
  <c r="B493" i="3"/>
  <c r="C493" i="3"/>
  <c r="I493" i="3"/>
  <c r="F494" i="3" l="1"/>
  <c r="C494" i="3"/>
  <c r="D494" i="3"/>
  <c r="I494" i="3"/>
  <c r="H494" i="3"/>
  <c r="J494" i="3" s="1"/>
  <c r="A495" i="3"/>
  <c r="E494" i="3"/>
  <c r="B494" i="3"/>
  <c r="D495" i="3" l="1"/>
  <c r="E495" i="3"/>
  <c r="C495" i="3"/>
  <c r="H495" i="3"/>
  <c r="J495" i="3" s="1"/>
  <c r="A496" i="3"/>
  <c r="I495" i="3"/>
  <c r="F495" i="3"/>
  <c r="B495" i="3"/>
  <c r="F496" i="3" l="1"/>
  <c r="B496" i="3"/>
  <c r="D496" i="3"/>
  <c r="I496" i="3"/>
  <c r="E496" i="3"/>
  <c r="C496" i="3"/>
  <c r="A497" i="3"/>
  <c r="H496" i="3"/>
  <c r="J496" i="3" s="1"/>
  <c r="E497" i="3" l="1"/>
  <c r="F497" i="3"/>
  <c r="H497" i="3"/>
  <c r="J497" i="3" s="1"/>
  <c r="C497" i="3"/>
  <c r="B497" i="3"/>
  <c r="D497" i="3"/>
  <c r="I497" i="3"/>
  <c r="A498" i="3"/>
  <c r="F498" i="3" l="1"/>
  <c r="D498" i="3"/>
  <c r="H498" i="3"/>
  <c r="J498" i="3" s="1"/>
  <c r="E498" i="3"/>
  <c r="C498" i="3"/>
  <c r="B498" i="3"/>
  <c r="A499" i="3"/>
  <c r="I498" i="3"/>
  <c r="F499" i="3" l="1"/>
  <c r="C499" i="3"/>
  <c r="A500" i="3"/>
  <c r="D499" i="3"/>
  <c r="H499" i="3"/>
  <c r="J499" i="3" s="1"/>
  <c r="I499" i="3"/>
  <c r="E499" i="3"/>
  <c r="B499" i="3"/>
  <c r="F500" i="3" l="1"/>
  <c r="C500" i="3"/>
  <c r="B500" i="3"/>
  <c r="D500" i="3"/>
  <c r="E500" i="3"/>
  <c r="I500" i="3"/>
  <c r="A501" i="3"/>
  <c r="H500" i="3"/>
  <c r="J500" i="3" s="1"/>
  <c r="D501" i="3" l="1"/>
  <c r="E501" i="3"/>
  <c r="B501" i="3"/>
  <c r="C501" i="3"/>
  <c r="H501" i="3"/>
  <c r="J501" i="3" s="1"/>
  <c r="A502" i="3"/>
  <c r="I501" i="3"/>
  <c r="F501" i="3"/>
  <c r="F502" i="3" l="1"/>
  <c r="C502" i="3"/>
  <c r="D502" i="3"/>
  <c r="A503" i="3"/>
  <c r="B502" i="3"/>
  <c r="I502" i="3"/>
  <c r="E502" i="3"/>
  <c r="H502" i="3"/>
  <c r="J502" i="3" s="1"/>
  <c r="B503" i="3" l="1"/>
  <c r="E503" i="3"/>
  <c r="C503" i="3"/>
  <c r="F503" i="3"/>
  <c r="H503" i="3"/>
  <c r="J503" i="3" s="1"/>
  <c r="D503" i="3"/>
  <c r="I503" i="3"/>
  <c r="A504" i="3"/>
  <c r="F504" i="3" l="1"/>
  <c r="D504" i="3"/>
  <c r="C504" i="3"/>
  <c r="B504" i="3"/>
  <c r="I504" i="3"/>
  <c r="A505" i="3"/>
  <c r="H504" i="3"/>
  <c r="J504" i="3" s="1"/>
  <c r="E504" i="3"/>
  <c r="C505" i="3" l="1"/>
  <c r="E505" i="3"/>
  <c r="F505" i="3"/>
  <c r="H505" i="3"/>
  <c r="J505" i="3" s="1"/>
  <c r="A506" i="3"/>
  <c r="B505" i="3"/>
  <c r="I505" i="3"/>
  <c r="D505" i="3"/>
  <c r="F506" i="3" l="1"/>
  <c r="C506" i="3"/>
  <c r="D506" i="3"/>
  <c r="I506" i="3"/>
  <c r="H506" i="3"/>
  <c r="J506" i="3" s="1"/>
  <c r="B506" i="3"/>
  <c r="A507" i="3"/>
  <c r="E506" i="3"/>
  <c r="D507" i="3" l="1"/>
  <c r="B507" i="3"/>
  <c r="H507" i="3"/>
  <c r="J507" i="3" s="1"/>
  <c r="A508" i="3"/>
  <c r="E507" i="3"/>
  <c r="I507" i="3"/>
  <c r="F507" i="3"/>
  <c r="C507" i="3"/>
  <c r="F508" i="3" l="1"/>
  <c r="D508" i="3"/>
  <c r="B508" i="3"/>
  <c r="C508" i="3"/>
  <c r="A509" i="3"/>
  <c r="E508" i="3"/>
  <c r="H508" i="3"/>
  <c r="J508" i="3" s="1"/>
  <c r="I508" i="3"/>
  <c r="C509" i="3" l="1"/>
  <c r="B509" i="3"/>
  <c r="E509" i="3"/>
  <c r="F509" i="3"/>
  <c r="I509" i="3"/>
  <c r="D509" i="3"/>
  <c r="A510" i="3"/>
  <c r="H509" i="3"/>
  <c r="J509" i="3" s="1"/>
  <c r="F510" i="3" l="1"/>
  <c r="C510" i="3"/>
  <c r="E510" i="3"/>
  <c r="D510" i="3"/>
  <c r="B510" i="3"/>
  <c r="H510" i="3"/>
  <c r="J510" i="3" s="1"/>
  <c r="I510" i="3"/>
  <c r="A511" i="3"/>
  <c r="D511" i="3" l="1"/>
  <c r="C511" i="3"/>
  <c r="F511" i="3"/>
  <c r="I511" i="3"/>
  <c r="E511" i="3"/>
  <c r="H511" i="3"/>
  <c r="J511" i="3" s="1"/>
  <c r="A512" i="3"/>
  <c r="B511" i="3"/>
  <c r="F512" i="3" l="1"/>
  <c r="C512" i="3"/>
  <c r="B512" i="3"/>
  <c r="D512" i="3"/>
  <c r="I512" i="3"/>
  <c r="A513" i="3"/>
  <c r="E512" i="3"/>
  <c r="H512" i="3"/>
  <c r="J512" i="3" s="1"/>
  <c r="D513" i="3" l="1"/>
  <c r="E513" i="3"/>
  <c r="C513" i="3"/>
  <c r="H513" i="3"/>
  <c r="J513" i="3" s="1"/>
  <c r="A514" i="3"/>
  <c r="B513" i="3"/>
  <c r="F513" i="3"/>
  <c r="I513" i="3"/>
  <c r="F514" i="3" l="1"/>
  <c r="B514" i="3"/>
  <c r="C514" i="3"/>
  <c r="I514" i="3"/>
  <c r="E514" i="3"/>
  <c r="D514" i="3"/>
  <c r="H514" i="3"/>
  <c r="J514" i="3" s="1"/>
  <c r="A515" i="3"/>
  <c r="E515" i="3" l="1"/>
  <c r="F515" i="3"/>
  <c r="H515" i="3"/>
  <c r="J515" i="3" s="1"/>
  <c r="I515" i="3"/>
  <c r="C515" i="3"/>
  <c r="A516" i="3"/>
  <c r="D515" i="3"/>
  <c r="B515" i="3"/>
  <c r="F516" i="3" l="1"/>
  <c r="C516" i="3"/>
  <c r="D516" i="3"/>
  <c r="B516" i="3"/>
  <c r="E516" i="3"/>
  <c r="I516" i="3"/>
  <c r="H516" i="3"/>
  <c r="J516" i="3" s="1"/>
  <c r="A517" i="3"/>
  <c r="F517" i="3" l="1"/>
  <c r="C517" i="3"/>
  <c r="D517" i="3"/>
  <c r="I517" i="3"/>
  <c r="B517" i="3"/>
  <c r="E517" i="3"/>
  <c r="H517" i="3"/>
  <c r="J517" i="3" s="1"/>
  <c r="A518" i="3"/>
  <c r="F518" i="3" l="1"/>
  <c r="B518" i="3"/>
  <c r="D518" i="3"/>
  <c r="C518" i="3"/>
  <c r="H518" i="3"/>
  <c r="J518" i="3" s="1"/>
  <c r="A519" i="3"/>
  <c r="I518" i="3"/>
  <c r="E518" i="3"/>
  <c r="D519" i="3" l="1"/>
  <c r="E519" i="3"/>
  <c r="B519" i="3"/>
  <c r="I519" i="3"/>
  <c r="A520" i="3"/>
  <c r="C519" i="3"/>
  <c r="H519" i="3"/>
  <c r="J519" i="3" s="1"/>
  <c r="F519" i="3"/>
  <c r="F520" i="3" l="1"/>
  <c r="C520" i="3"/>
  <c r="D520" i="3"/>
  <c r="H520" i="3"/>
  <c r="J520" i="3" s="1"/>
  <c r="A521" i="3"/>
  <c r="E520" i="3"/>
  <c r="B520" i="3"/>
  <c r="I520" i="3"/>
  <c r="F521" i="3" l="1"/>
  <c r="B521" i="3"/>
  <c r="C521" i="3"/>
  <c r="H521" i="3"/>
  <c r="J521" i="3" s="1"/>
  <c r="A522" i="3"/>
  <c r="D521" i="3"/>
  <c r="E521" i="3"/>
  <c r="I521" i="3"/>
  <c r="F522" i="3" l="1"/>
  <c r="C522" i="3"/>
  <c r="D522" i="3"/>
  <c r="A523" i="3"/>
  <c r="B522" i="3"/>
  <c r="E522" i="3"/>
  <c r="H522" i="3"/>
  <c r="J522" i="3" s="1"/>
  <c r="I522" i="3"/>
  <c r="C523" i="3" l="1"/>
  <c r="F523" i="3"/>
  <c r="I523" i="3"/>
  <c r="D523" i="3"/>
  <c r="E523" i="3"/>
  <c r="H523" i="3"/>
  <c r="J523" i="3" s="1"/>
  <c r="A524" i="3"/>
  <c r="B523" i="3"/>
  <c r="F524" i="3" l="1"/>
  <c r="C524" i="3"/>
  <c r="D524" i="3"/>
  <c r="I524" i="3"/>
  <c r="B524" i="3"/>
  <c r="A525" i="3"/>
  <c r="H524" i="3"/>
  <c r="J524" i="3" s="1"/>
  <c r="E524" i="3"/>
  <c r="D525" i="3" l="1"/>
  <c r="E525" i="3"/>
  <c r="C525" i="3"/>
  <c r="F525" i="3"/>
  <c r="B525" i="3"/>
  <c r="I525" i="3"/>
  <c r="A526" i="3"/>
  <c r="H525" i="3"/>
  <c r="J525" i="3" s="1"/>
  <c r="F526" i="3" l="1"/>
  <c r="C526" i="3"/>
  <c r="H526" i="3"/>
  <c r="J526" i="3" s="1"/>
  <c r="E526" i="3"/>
  <c r="B526" i="3"/>
  <c r="D526" i="3"/>
  <c r="I526" i="3"/>
  <c r="A527" i="3"/>
  <c r="C527" i="3" l="1"/>
  <c r="B527" i="3"/>
  <c r="E527" i="3"/>
  <c r="F527" i="3"/>
  <c r="A528" i="3"/>
  <c r="H527" i="3"/>
  <c r="J527" i="3" s="1"/>
  <c r="I527" i="3"/>
  <c r="D527" i="3"/>
  <c r="F528" i="3" l="1"/>
  <c r="C528" i="3"/>
  <c r="D528" i="3"/>
  <c r="E528" i="3"/>
  <c r="B528" i="3"/>
  <c r="I528" i="3"/>
  <c r="H528" i="3"/>
  <c r="J528" i="3" s="1"/>
  <c r="A529" i="3"/>
  <c r="D529" i="3" l="1"/>
  <c r="E529" i="3"/>
  <c r="F529" i="3"/>
  <c r="C529" i="3"/>
  <c r="A530" i="3"/>
  <c r="I529" i="3"/>
  <c r="B529" i="3"/>
  <c r="H529" i="3"/>
  <c r="J529" i="3" s="1"/>
  <c r="F530" i="3" l="1"/>
  <c r="C530" i="3"/>
  <c r="D530" i="3"/>
  <c r="B530" i="3"/>
  <c r="I530" i="3"/>
  <c r="A531" i="3"/>
  <c r="E530" i="3"/>
  <c r="H530" i="3"/>
  <c r="J530" i="3" s="1"/>
  <c r="E531" i="3" l="1"/>
  <c r="A532" i="3"/>
  <c r="C531" i="3"/>
  <c r="B531" i="3"/>
  <c r="H531" i="3"/>
  <c r="J531" i="3" s="1"/>
  <c r="D531" i="3"/>
  <c r="I531" i="3"/>
  <c r="F531" i="3"/>
  <c r="C532" i="3" l="1"/>
  <c r="D532" i="3"/>
  <c r="A533" i="3"/>
  <c r="B532" i="3"/>
  <c r="E532" i="3"/>
  <c r="H532" i="3"/>
  <c r="J532" i="3" s="1"/>
  <c r="F532" i="3"/>
  <c r="I532" i="3"/>
  <c r="E533" i="3" l="1"/>
  <c r="B533" i="3"/>
  <c r="A534" i="3"/>
  <c r="F533" i="3"/>
  <c r="C533" i="3"/>
  <c r="I533" i="3"/>
  <c r="H533" i="3"/>
  <c r="J533" i="3" s="1"/>
  <c r="D533" i="3"/>
  <c r="D534" i="3" l="1"/>
  <c r="A535" i="3"/>
  <c r="C534" i="3"/>
  <c r="I534" i="3"/>
  <c r="E534" i="3"/>
  <c r="B534" i="3"/>
  <c r="H534" i="3"/>
  <c r="J534" i="3" s="1"/>
  <c r="F534" i="3"/>
  <c r="E535" i="3" l="1"/>
  <c r="B535" i="3"/>
  <c r="A536" i="3"/>
  <c r="F535" i="3"/>
  <c r="C535" i="3"/>
  <c r="D535" i="3"/>
  <c r="I535" i="3"/>
  <c r="H535" i="3"/>
  <c r="J535" i="3" s="1"/>
  <c r="C536" i="3" l="1"/>
  <c r="E536" i="3"/>
  <c r="A537" i="3"/>
  <c r="F536" i="3"/>
  <c r="D536" i="3"/>
  <c r="I536" i="3"/>
  <c r="H536" i="3"/>
  <c r="J536" i="3" s="1"/>
  <c r="B536" i="3"/>
  <c r="E537" i="3" l="1"/>
  <c r="A538" i="3"/>
  <c r="C537" i="3"/>
  <c r="B537" i="3"/>
  <c r="D537" i="3"/>
  <c r="F537" i="3"/>
  <c r="I537" i="3"/>
  <c r="H537" i="3"/>
  <c r="J537" i="3" s="1"/>
  <c r="E538" i="3" l="1"/>
  <c r="B538" i="3"/>
  <c r="C538" i="3"/>
  <c r="D538" i="3"/>
  <c r="I538" i="3"/>
  <c r="A539" i="3"/>
  <c r="H538" i="3"/>
  <c r="J538" i="3" s="1"/>
  <c r="F538" i="3"/>
  <c r="E539" i="3" l="1"/>
  <c r="B539" i="3"/>
  <c r="C539" i="3"/>
  <c r="F539" i="3"/>
  <c r="A540" i="3"/>
  <c r="H539" i="3"/>
  <c r="J539" i="3" s="1"/>
  <c r="I539" i="3"/>
  <c r="D539" i="3"/>
  <c r="D540" i="3" l="1"/>
  <c r="B540" i="3"/>
  <c r="A541" i="3"/>
  <c r="C540" i="3"/>
  <c r="I540" i="3"/>
  <c r="E540" i="3"/>
  <c r="H540" i="3"/>
  <c r="J540" i="3" s="1"/>
  <c r="F540" i="3"/>
  <c r="E541" i="3" l="1"/>
  <c r="B541" i="3"/>
  <c r="C541" i="3"/>
  <c r="A542" i="3"/>
  <c r="I541" i="3"/>
  <c r="H541" i="3"/>
  <c r="J541" i="3" s="1"/>
  <c r="D541" i="3"/>
  <c r="F541" i="3"/>
  <c r="C542" i="3" l="1"/>
  <c r="E542" i="3"/>
  <c r="A543" i="3"/>
  <c r="F542" i="3"/>
  <c r="D542" i="3"/>
  <c r="I542" i="3"/>
  <c r="H542" i="3"/>
  <c r="J542" i="3" s="1"/>
  <c r="B542" i="3"/>
  <c r="E543" i="3" l="1"/>
  <c r="A544" i="3"/>
  <c r="C543" i="3"/>
  <c r="H543" i="3"/>
  <c r="J543" i="3" s="1"/>
  <c r="I543" i="3"/>
  <c r="F543" i="3"/>
  <c r="B543" i="3"/>
  <c r="D543" i="3"/>
  <c r="B544" i="3" l="1"/>
  <c r="D544" i="3"/>
  <c r="E544" i="3"/>
  <c r="H544" i="3"/>
  <c r="J544" i="3" s="1"/>
  <c r="F544" i="3"/>
  <c r="A545" i="3"/>
  <c r="C544" i="3"/>
  <c r="I544" i="3"/>
  <c r="E545" i="3" l="1"/>
  <c r="B545" i="3"/>
  <c r="A546" i="3"/>
  <c r="C545" i="3"/>
  <c r="H545" i="3"/>
  <c r="J545" i="3" s="1"/>
  <c r="D545" i="3"/>
  <c r="F545" i="3"/>
  <c r="I545" i="3"/>
  <c r="D546" i="3" l="1"/>
  <c r="B546" i="3"/>
  <c r="A547" i="3"/>
  <c r="C546" i="3"/>
  <c r="I546" i="3"/>
  <c r="E546" i="3"/>
  <c r="H546" i="3"/>
  <c r="J546" i="3" s="1"/>
  <c r="F546" i="3"/>
  <c r="E547" i="3" l="1"/>
  <c r="C547" i="3"/>
  <c r="B547" i="3"/>
  <c r="I547" i="3"/>
  <c r="A548" i="3"/>
  <c r="H547" i="3"/>
  <c r="J547" i="3" s="1"/>
  <c r="D547" i="3"/>
  <c r="F547" i="3"/>
  <c r="C548" i="3" l="1"/>
  <c r="D548" i="3"/>
  <c r="E548" i="3"/>
  <c r="A549" i="3"/>
  <c r="I548" i="3"/>
  <c r="F548" i="3"/>
  <c r="B548" i="3"/>
  <c r="H548" i="3"/>
  <c r="J548" i="3" s="1"/>
  <c r="E549" i="3" l="1"/>
  <c r="A550" i="3"/>
  <c r="C549" i="3"/>
  <c r="I549" i="3"/>
  <c r="D549" i="3"/>
  <c r="B549" i="3"/>
  <c r="H549" i="3"/>
  <c r="J549" i="3" s="1"/>
  <c r="F549" i="3"/>
  <c r="C550" i="3" l="1"/>
  <c r="D550" i="3"/>
  <c r="B550" i="3"/>
  <c r="E550" i="3"/>
  <c r="I550" i="3"/>
  <c r="A551" i="3"/>
  <c r="H550" i="3"/>
  <c r="J550" i="3" s="1"/>
  <c r="F550" i="3"/>
  <c r="E551" i="3" l="1"/>
  <c r="B551" i="3"/>
  <c r="C551" i="3"/>
  <c r="A552" i="3"/>
  <c r="I551" i="3"/>
  <c r="D551" i="3"/>
  <c r="H551" i="3"/>
  <c r="J551" i="3" s="1"/>
  <c r="F551" i="3"/>
  <c r="D552" i="3" l="1"/>
  <c r="C552" i="3"/>
  <c r="H552" i="3"/>
  <c r="J552" i="3" s="1"/>
  <c r="I552" i="3"/>
  <c r="A553" i="3"/>
  <c r="F552" i="3"/>
  <c r="B552" i="3"/>
  <c r="E552" i="3"/>
  <c r="E553" i="3" l="1"/>
  <c r="B553" i="3"/>
  <c r="A554" i="3"/>
  <c r="C553" i="3"/>
  <c r="H553" i="3"/>
  <c r="J553" i="3" s="1"/>
  <c r="I553" i="3"/>
  <c r="D553" i="3"/>
  <c r="F553" i="3"/>
  <c r="C554" i="3" l="1"/>
  <c r="E554" i="3"/>
  <c r="A555" i="3"/>
  <c r="D554" i="3"/>
  <c r="I554" i="3"/>
  <c r="F554" i="3"/>
  <c r="B554" i="3"/>
  <c r="H554" i="3"/>
  <c r="J554" i="3" s="1"/>
  <c r="E555" i="3" l="1"/>
  <c r="A556" i="3"/>
  <c r="C555" i="3"/>
  <c r="B555" i="3"/>
  <c r="I555" i="3"/>
  <c r="F555" i="3"/>
  <c r="H555" i="3"/>
  <c r="J555" i="3" s="1"/>
  <c r="D555" i="3"/>
  <c r="E556" i="3" l="1"/>
  <c r="B556" i="3"/>
  <c r="C556" i="3"/>
  <c r="H556" i="3"/>
  <c r="J556" i="3" s="1"/>
  <c r="F556" i="3"/>
  <c r="A557" i="3"/>
  <c r="D556" i="3"/>
  <c r="I556" i="3"/>
  <c r="E557" i="3" l="1"/>
  <c r="B557" i="3"/>
  <c r="C557" i="3"/>
  <c r="A558" i="3"/>
  <c r="H557" i="3"/>
  <c r="J557" i="3" s="1"/>
  <c r="I557" i="3"/>
  <c r="D557" i="3"/>
  <c r="F557" i="3"/>
  <c r="D558" i="3" l="1"/>
  <c r="A559" i="3"/>
  <c r="B558" i="3"/>
  <c r="C558" i="3"/>
  <c r="I558" i="3"/>
  <c r="E558" i="3"/>
  <c r="F558" i="3"/>
  <c r="H558" i="3"/>
  <c r="J558" i="3" s="1"/>
  <c r="E559" i="3" l="1"/>
  <c r="C559" i="3"/>
  <c r="I559" i="3"/>
  <c r="B559" i="3"/>
  <c r="A560" i="3"/>
  <c r="D559" i="3"/>
  <c r="H559" i="3"/>
  <c r="J559" i="3" s="1"/>
  <c r="F559" i="3"/>
  <c r="C560" i="3" l="1"/>
  <c r="D560" i="3"/>
  <c r="A561" i="3"/>
  <c r="E560" i="3"/>
  <c r="F560" i="3"/>
  <c r="I560" i="3"/>
  <c r="B560" i="3"/>
  <c r="H560" i="3"/>
  <c r="J560" i="3" s="1"/>
  <c r="E561" i="3" l="1"/>
  <c r="C561" i="3"/>
  <c r="B561" i="3"/>
  <c r="H561" i="3"/>
  <c r="J561" i="3" s="1"/>
  <c r="F561" i="3"/>
  <c r="A562" i="3"/>
  <c r="I561" i="3"/>
  <c r="D561" i="3"/>
  <c r="B562" i="3" l="1"/>
  <c r="C562" i="3"/>
  <c r="D562" i="3"/>
  <c r="E562" i="3"/>
  <c r="I562" i="3"/>
  <c r="A563" i="3"/>
  <c r="H562" i="3"/>
  <c r="J562" i="3" s="1"/>
  <c r="F562" i="3"/>
  <c r="E563" i="3" l="1"/>
  <c r="B563" i="3"/>
  <c r="C563" i="3"/>
  <c r="A564" i="3"/>
  <c r="H563" i="3"/>
  <c r="J563" i="3" s="1"/>
  <c r="I563" i="3"/>
  <c r="D563" i="3"/>
  <c r="F563" i="3"/>
  <c r="D564" i="3" l="1"/>
  <c r="B564" i="3"/>
  <c r="A565" i="3"/>
  <c r="F564" i="3"/>
  <c r="I564" i="3"/>
  <c r="E564" i="3"/>
  <c r="C564" i="3"/>
  <c r="H564" i="3"/>
  <c r="J564" i="3" s="1"/>
  <c r="E565" i="3" l="1"/>
  <c r="A566" i="3"/>
  <c r="B565" i="3"/>
  <c r="D565" i="3"/>
  <c r="I565" i="3"/>
  <c r="H565" i="3"/>
  <c r="J565" i="3" s="1"/>
  <c r="F565" i="3"/>
  <c r="C565" i="3"/>
  <c r="C566" i="3" l="1"/>
  <c r="D566" i="3"/>
  <c r="A567" i="3"/>
  <c r="E566" i="3"/>
  <c r="H566" i="3"/>
  <c r="J566" i="3" s="1"/>
  <c r="B566" i="3"/>
  <c r="I566" i="3"/>
  <c r="F566" i="3"/>
  <c r="E567" i="3" l="1"/>
  <c r="C567" i="3"/>
  <c r="B567" i="3"/>
  <c r="I567" i="3"/>
  <c r="F567" i="3"/>
  <c r="A568" i="3"/>
  <c r="H567" i="3"/>
  <c r="J567" i="3" s="1"/>
  <c r="D567" i="3"/>
  <c r="C568" i="3" l="1"/>
  <c r="D568" i="3"/>
  <c r="E568" i="3"/>
  <c r="B568" i="3"/>
  <c r="F568" i="3"/>
  <c r="H568" i="3"/>
  <c r="J568" i="3" s="1"/>
  <c r="A569" i="3"/>
  <c r="I568" i="3"/>
  <c r="E569" i="3" l="1"/>
  <c r="B569" i="3"/>
  <c r="C569" i="3"/>
  <c r="F569" i="3"/>
  <c r="A570" i="3"/>
  <c r="I569" i="3"/>
  <c r="H569" i="3"/>
  <c r="J569" i="3" s="1"/>
  <c r="D569" i="3"/>
  <c r="D570" i="3" l="1"/>
  <c r="A571" i="3"/>
  <c r="B570" i="3"/>
  <c r="C570" i="3"/>
  <c r="H570" i="3"/>
  <c r="J570" i="3" s="1"/>
  <c r="F570" i="3"/>
  <c r="E570" i="3"/>
  <c r="I570" i="3"/>
  <c r="E571" i="3" l="1"/>
  <c r="C571" i="3"/>
  <c r="A572" i="3"/>
  <c r="B571" i="3"/>
  <c r="D571" i="3"/>
  <c r="I571" i="3"/>
  <c r="F571" i="3"/>
  <c r="H571" i="3"/>
  <c r="J571" i="3" s="1"/>
  <c r="C572" i="3" l="1"/>
  <c r="A573" i="3"/>
  <c r="D572" i="3"/>
  <c r="H572" i="3"/>
  <c r="J572" i="3" s="1"/>
  <c r="E572" i="3"/>
  <c r="I572" i="3"/>
  <c r="F572" i="3"/>
  <c r="B572" i="3"/>
  <c r="E573" i="3" l="1"/>
  <c r="A574" i="3"/>
  <c r="C573" i="3"/>
  <c r="B573" i="3"/>
  <c r="H573" i="3"/>
  <c r="J573" i="3" s="1"/>
  <c r="F573" i="3"/>
  <c r="I573" i="3"/>
  <c r="D573" i="3"/>
  <c r="E574" i="3" l="1"/>
  <c r="B574" i="3"/>
  <c r="D574" i="3"/>
  <c r="F574" i="3"/>
  <c r="A575" i="3"/>
  <c r="C574" i="3"/>
  <c r="H574" i="3"/>
  <c r="J574" i="3" s="1"/>
  <c r="I574" i="3"/>
  <c r="E575" i="3" l="1"/>
  <c r="B575" i="3"/>
  <c r="C575" i="3"/>
  <c r="D575" i="3"/>
  <c r="A576" i="3"/>
  <c r="H575" i="3"/>
  <c r="J575" i="3" s="1"/>
  <c r="I575" i="3"/>
  <c r="F575" i="3"/>
  <c r="D576" i="3" l="1"/>
  <c r="C576" i="3"/>
  <c r="A577" i="3"/>
  <c r="F576" i="3"/>
  <c r="B576" i="3"/>
  <c r="I576" i="3"/>
  <c r="H576" i="3"/>
  <c r="J576" i="3" s="1"/>
  <c r="E576" i="3"/>
  <c r="E577" i="3" l="1"/>
  <c r="B577" i="3"/>
  <c r="C577" i="3"/>
  <c r="A578" i="3"/>
  <c r="D577" i="3"/>
  <c r="H577" i="3"/>
  <c r="J577" i="3" s="1"/>
  <c r="I577" i="3"/>
  <c r="F577" i="3"/>
  <c r="C578" i="3" l="1"/>
  <c r="A579" i="3"/>
  <c r="D578" i="3"/>
  <c r="I578" i="3"/>
  <c r="B578" i="3"/>
  <c r="E578" i="3"/>
  <c r="H578" i="3"/>
  <c r="J578" i="3" s="1"/>
  <c r="F578" i="3"/>
  <c r="E579" i="3" l="1"/>
  <c r="A580" i="3"/>
  <c r="C579" i="3"/>
  <c r="I579" i="3"/>
  <c r="D579" i="3"/>
  <c r="B579" i="3"/>
  <c r="H579" i="3"/>
  <c r="J579" i="3" s="1"/>
  <c r="F579" i="3"/>
  <c r="B580" i="3" l="1"/>
  <c r="E580" i="3"/>
  <c r="F580" i="3"/>
  <c r="D580" i="3"/>
  <c r="C580" i="3"/>
  <c r="A581" i="3"/>
  <c r="H580" i="3"/>
  <c r="J580" i="3" s="1"/>
  <c r="I580" i="3"/>
  <c r="E581" i="3" l="1"/>
  <c r="B581" i="3"/>
  <c r="A582" i="3"/>
  <c r="C581" i="3"/>
  <c r="F581" i="3"/>
  <c r="H581" i="3"/>
  <c r="J581" i="3" s="1"/>
  <c r="I581" i="3"/>
  <c r="D581" i="3"/>
  <c r="D582" i="3" l="1"/>
  <c r="B582" i="3"/>
  <c r="C582" i="3"/>
  <c r="A583" i="3"/>
  <c r="H582" i="3"/>
  <c r="J582" i="3" s="1"/>
  <c r="I582" i="3"/>
  <c r="E582" i="3"/>
  <c r="F582" i="3"/>
  <c r="E583" i="3" l="1"/>
  <c r="A584" i="3"/>
  <c r="B583" i="3"/>
  <c r="I583" i="3"/>
  <c r="F583" i="3"/>
  <c r="C583" i="3"/>
  <c r="H583" i="3"/>
  <c r="J583" i="3" s="1"/>
  <c r="D583" i="3"/>
  <c r="C584" i="3" l="1"/>
  <c r="D584" i="3"/>
  <c r="A585" i="3"/>
  <c r="E584" i="3"/>
  <c r="F584" i="3"/>
  <c r="B584" i="3"/>
  <c r="I584" i="3"/>
  <c r="H584" i="3"/>
  <c r="J584" i="3" s="1"/>
  <c r="E585" i="3" l="1"/>
  <c r="A586" i="3"/>
  <c r="C585" i="3"/>
  <c r="I585" i="3"/>
  <c r="F585" i="3"/>
  <c r="B585" i="3"/>
  <c r="H585" i="3"/>
  <c r="J585" i="3" s="1"/>
  <c r="D585" i="3"/>
  <c r="C586" i="3" l="1"/>
  <c r="D586" i="3"/>
  <c r="B586" i="3"/>
  <c r="E586" i="3"/>
  <c r="H586" i="3"/>
  <c r="J586" i="3" s="1"/>
  <c r="F586" i="3"/>
  <c r="A587" i="3"/>
  <c r="I586" i="3"/>
  <c r="E587" i="3" l="1"/>
  <c r="C587" i="3"/>
  <c r="I587" i="3"/>
  <c r="F587" i="3"/>
  <c r="B587" i="3"/>
  <c r="A588" i="3"/>
  <c r="H587" i="3"/>
  <c r="J587" i="3" s="1"/>
  <c r="D587" i="3"/>
  <c r="D588" i="3" l="1"/>
  <c r="C588" i="3"/>
  <c r="B588" i="3"/>
  <c r="I588" i="3"/>
  <c r="A589" i="3"/>
  <c r="E588" i="3"/>
  <c r="F588" i="3"/>
  <c r="H588" i="3"/>
  <c r="J588" i="3" s="1"/>
  <c r="A590" i="3" l="1"/>
  <c r="B589" i="3"/>
  <c r="C589" i="3"/>
  <c r="E589" i="3"/>
  <c r="H589" i="3"/>
  <c r="J589" i="3" s="1"/>
  <c r="D589" i="3"/>
  <c r="I589" i="3"/>
  <c r="F589" i="3"/>
  <c r="D590" i="3" l="1"/>
  <c r="E590" i="3"/>
  <c r="C590" i="3"/>
  <c r="I590" i="3"/>
  <c r="B590" i="3"/>
  <c r="A591" i="3"/>
  <c r="F590" i="3"/>
  <c r="H590" i="3"/>
  <c r="J590" i="3" s="1"/>
  <c r="F591" i="3" l="1"/>
  <c r="C591" i="3"/>
  <c r="D591" i="3"/>
  <c r="E591" i="3"/>
  <c r="A592" i="3"/>
  <c r="H591" i="3"/>
  <c r="J591" i="3" s="1"/>
  <c r="I591" i="3"/>
  <c r="B591" i="3"/>
  <c r="C592" i="3" l="1"/>
  <c r="D592" i="3"/>
  <c r="F592" i="3"/>
  <c r="H592" i="3"/>
  <c r="J592" i="3" s="1"/>
  <c r="A593" i="3"/>
  <c r="I592" i="3"/>
  <c r="B592" i="3"/>
  <c r="E592" i="3"/>
  <c r="D593" i="3" l="1"/>
  <c r="E593" i="3"/>
  <c r="F593" i="3"/>
  <c r="C593" i="3"/>
  <c r="H593" i="3"/>
  <c r="J593" i="3" s="1"/>
  <c r="B593" i="3"/>
  <c r="A594" i="3"/>
  <c r="I593" i="3"/>
  <c r="F594" i="3" l="1"/>
  <c r="D594" i="3"/>
  <c r="C594" i="3"/>
  <c r="E594" i="3"/>
  <c r="H594" i="3"/>
  <c r="J594" i="3" s="1"/>
  <c r="B594" i="3"/>
  <c r="I594" i="3"/>
  <c r="A595" i="3"/>
  <c r="C595" i="3" l="1"/>
  <c r="E595" i="3"/>
  <c r="F595" i="3"/>
  <c r="D595" i="3"/>
  <c r="A596" i="3"/>
  <c r="I595" i="3"/>
  <c r="H595" i="3"/>
  <c r="J595" i="3" s="1"/>
  <c r="B595" i="3"/>
  <c r="D596" i="3" l="1"/>
  <c r="C596" i="3"/>
  <c r="F596" i="3"/>
  <c r="I596" i="3"/>
  <c r="B596" i="3"/>
  <c r="E596" i="3"/>
  <c r="H596" i="3"/>
  <c r="J596" i="3" s="1"/>
  <c r="A597" i="3"/>
  <c r="F597" i="3" l="1"/>
  <c r="E597" i="3"/>
  <c r="A598" i="3"/>
  <c r="C597" i="3"/>
  <c r="H597" i="3"/>
  <c r="J597" i="3" s="1"/>
  <c r="I597" i="3"/>
  <c r="B597" i="3"/>
  <c r="D597" i="3"/>
  <c r="C598" i="3" l="1"/>
  <c r="D598" i="3"/>
  <c r="F598" i="3"/>
  <c r="E598" i="3"/>
  <c r="H598" i="3"/>
  <c r="J598" i="3" s="1"/>
  <c r="I598" i="3"/>
  <c r="A599" i="3"/>
  <c r="B598" i="3"/>
  <c r="D599" i="3" l="1"/>
  <c r="E599" i="3"/>
  <c r="C599" i="3"/>
  <c r="F599" i="3"/>
  <c r="H599" i="3"/>
  <c r="J599" i="3" s="1"/>
  <c r="B599" i="3"/>
  <c r="A600" i="3"/>
  <c r="I599" i="3"/>
  <c r="F600" i="3" l="1"/>
  <c r="D600" i="3"/>
  <c r="A601" i="3"/>
  <c r="C600" i="3"/>
  <c r="E600" i="3"/>
  <c r="H600" i="3"/>
  <c r="J600" i="3" s="1"/>
  <c r="B600" i="3"/>
  <c r="I600" i="3"/>
  <c r="C601" i="3" l="1"/>
  <c r="F601" i="3"/>
  <c r="D601" i="3"/>
  <c r="E601" i="3"/>
  <c r="B601" i="3"/>
  <c r="I601" i="3"/>
  <c r="H601" i="3"/>
  <c r="J601" i="3" s="1"/>
  <c r="A602" i="3"/>
  <c r="D602" i="3" l="1"/>
  <c r="F602" i="3"/>
  <c r="C602" i="3"/>
  <c r="E602" i="3"/>
  <c r="I602" i="3"/>
  <c r="B602" i="3"/>
  <c r="H602" i="3"/>
  <c r="J602" i="3" s="1"/>
  <c r="A603" i="3"/>
  <c r="F603" i="3" l="1"/>
  <c r="C603" i="3"/>
  <c r="E603" i="3"/>
  <c r="A604" i="3"/>
  <c r="D603" i="3"/>
  <c r="H603" i="3"/>
  <c r="J603" i="3" s="1"/>
  <c r="I603" i="3"/>
  <c r="B603" i="3"/>
  <c r="C604" i="3" l="1"/>
  <c r="E604" i="3"/>
  <c r="F604" i="3"/>
  <c r="H604" i="3"/>
  <c r="J604" i="3" s="1"/>
  <c r="I604" i="3"/>
  <c r="B604" i="3"/>
  <c r="D604" i="3"/>
  <c r="A605" i="3"/>
  <c r="D605" i="3" l="1"/>
  <c r="E605" i="3"/>
  <c r="C605" i="3"/>
  <c r="F605" i="3"/>
  <c r="H605" i="3"/>
  <c r="J605" i="3" s="1"/>
  <c r="B605" i="3"/>
  <c r="I605" i="3"/>
  <c r="A606" i="3"/>
  <c r="F606" i="3" l="1"/>
  <c r="E606" i="3"/>
  <c r="C606" i="3"/>
  <c r="H606" i="3"/>
  <c r="J606" i="3" s="1"/>
  <c r="B606" i="3"/>
  <c r="A607" i="3"/>
  <c r="D606" i="3"/>
  <c r="I606" i="3"/>
  <c r="C607" i="3" l="1"/>
  <c r="D607" i="3"/>
  <c r="F607" i="3"/>
  <c r="A608" i="3"/>
  <c r="I607" i="3"/>
  <c r="E607" i="3"/>
  <c r="H607" i="3"/>
  <c r="J607" i="3" s="1"/>
  <c r="B607" i="3"/>
  <c r="D608" i="3" l="1"/>
  <c r="E608" i="3"/>
  <c r="C608" i="3"/>
  <c r="H608" i="3"/>
  <c r="J608" i="3" s="1"/>
  <c r="F608" i="3"/>
  <c r="I608" i="3"/>
  <c r="A609" i="3"/>
  <c r="B608" i="3"/>
  <c r="F609" i="3" l="1"/>
  <c r="C609" i="3"/>
  <c r="D609" i="3"/>
  <c r="E609" i="3"/>
  <c r="H609" i="3"/>
  <c r="J609" i="3" s="1"/>
  <c r="I609" i="3"/>
  <c r="B609" i="3"/>
  <c r="A610" i="3"/>
  <c r="C610" i="3" l="1"/>
  <c r="F610" i="3"/>
  <c r="D610" i="3"/>
  <c r="E610" i="3"/>
  <c r="A611" i="3"/>
  <c r="H610" i="3"/>
  <c r="J610" i="3" s="1"/>
  <c r="B610" i="3"/>
  <c r="I610" i="3"/>
  <c r="D611" i="3" l="1"/>
  <c r="F611" i="3"/>
  <c r="C611" i="3"/>
  <c r="E611" i="3"/>
  <c r="I611" i="3"/>
  <c r="B611" i="3"/>
  <c r="H611" i="3"/>
  <c r="J611" i="3" s="1"/>
  <c r="A612" i="3"/>
  <c r="F612" i="3" l="1"/>
  <c r="D612" i="3"/>
  <c r="C612" i="3"/>
  <c r="A613" i="3"/>
  <c r="E612" i="3"/>
  <c r="H612" i="3"/>
  <c r="J612" i="3" s="1"/>
  <c r="I612" i="3"/>
  <c r="B612" i="3"/>
  <c r="C613" i="3" l="1"/>
  <c r="E613" i="3"/>
  <c r="F613" i="3"/>
  <c r="D613" i="3"/>
  <c r="H613" i="3"/>
  <c r="J613" i="3" s="1"/>
  <c r="A614" i="3"/>
  <c r="B613" i="3"/>
  <c r="I613" i="3"/>
  <c r="D614" i="3" l="1"/>
  <c r="E614" i="3"/>
  <c r="C614" i="3"/>
  <c r="H614" i="3"/>
  <c r="J614" i="3" s="1"/>
  <c r="F614" i="3"/>
  <c r="I614" i="3"/>
  <c r="A615" i="3"/>
  <c r="B614" i="3"/>
  <c r="F615" i="3" l="1"/>
  <c r="I615" i="3"/>
  <c r="E615" i="3"/>
  <c r="C615" i="3"/>
  <c r="D615" i="3"/>
  <c r="B615" i="3"/>
  <c r="A616" i="3"/>
  <c r="H615" i="3"/>
  <c r="J615" i="3" s="1"/>
  <c r="C616" i="3" l="1"/>
  <c r="D616" i="3"/>
  <c r="F616" i="3"/>
  <c r="I616" i="3"/>
  <c r="E616" i="3"/>
  <c r="H616" i="3"/>
  <c r="J616" i="3" s="1"/>
  <c r="B616" i="3"/>
  <c r="A617" i="3"/>
  <c r="D617" i="3" l="1"/>
  <c r="C617" i="3"/>
  <c r="E617" i="3"/>
  <c r="B617" i="3"/>
  <c r="F617" i="3"/>
  <c r="H617" i="3"/>
  <c r="J617" i="3" s="1"/>
  <c r="I617" i="3"/>
  <c r="A618" i="3"/>
  <c r="F618" i="3" l="1"/>
  <c r="C618" i="3"/>
  <c r="D618" i="3"/>
  <c r="E618" i="3"/>
  <c r="H618" i="3"/>
  <c r="J618" i="3" s="1"/>
  <c r="I618" i="3"/>
  <c r="A619" i="3"/>
  <c r="B618" i="3"/>
  <c r="C619" i="3" l="1"/>
  <c r="D619" i="3"/>
  <c r="F619" i="3"/>
  <c r="E619" i="3"/>
  <c r="H619" i="3"/>
  <c r="J619" i="3" s="1"/>
  <c r="B619" i="3"/>
  <c r="I619" i="3"/>
  <c r="A620" i="3"/>
  <c r="D620" i="3" l="1"/>
  <c r="F620" i="3"/>
  <c r="E620" i="3"/>
  <c r="C620" i="3"/>
  <c r="I620" i="3"/>
  <c r="H620" i="3"/>
  <c r="J620" i="3" s="1"/>
  <c r="B620" i="3"/>
  <c r="A621" i="3"/>
  <c r="F621" i="3" l="1"/>
  <c r="C621" i="3"/>
  <c r="E621" i="3"/>
  <c r="D621" i="3"/>
  <c r="I621" i="3"/>
  <c r="B621" i="3"/>
  <c r="A622" i="3"/>
  <c r="H621" i="3"/>
  <c r="J621" i="3" s="1"/>
  <c r="C622" i="3" l="1"/>
  <c r="E622" i="3"/>
  <c r="F622" i="3"/>
  <c r="D622" i="3"/>
  <c r="A623" i="3"/>
  <c r="H622" i="3"/>
  <c r="J622" i="3" s="1"/>
  <c r="I622" i="3"/>
  <c r="B622" i="3"/>
  <c r="D623" i="3" l="1"/>
  <c r="C623" i="3"/>
  <c r="F623" i="3"/>
  <c r="B623" i="3"/>
  <c r="E623" i="3"/>
  <c r="H623" i="3"/>
  <c r="J623" i="3" s="1"/>
  <c r="I623" i="3"/>
  <c r="A624" i="3"/>
  <c r="F624" i="3" l="1"/>
  <c r="D624" i="3"/>
  <c r="I624" i="3"/>
  <c r="E624" i="3"/>
  <c r="B624" i="3"/>
  <c r="C624" i="3"/>
  <c r="H624" i="3"/>
  <c r="J624" i="3" s="1"/>
  <c r="A625" i="3"/>
  <c r="C625" i="3" l="1"/>
  <c r="F625" i="3"/>
  <c r="D625" i="3"/>
  <c r="E625" i="3"/>
  <c r="I625" i="3"/>
  <c r="H625" i="3"/>
  <c r="J625" i="3" s="1"/>
  <c r="B625" i="3"/>
  <c r="A626" i="3"/>
  <c r="D626" i="3" l="1"/>
  <c r="C626" i="3"/>
  <c r="E626" i="3"/>
  <c r="F626" i="3"/>
  <c r="I626" i="3"/>
  <c r="H626" i="3"/>
  <c r="J626" i="3" s="1"/>
  <c r="B626" i="3"/>
  <c r="A627" i="3"/>
  <c r="F627" i="3" l="1"/>
  <c r="D627" i="3"/>
  <c r="A628" i="3"/>
  <c r="C627" i="3"/>
  <c r="E627" i="3"/>
  <c r="B627" i="3"/>
  <c r="H627" i="3"/>
  <c r="J627" i="3" s="1"/>
  <c r="I627" i="3"/>
  <c r="C628" i="3" l="1"/>
  <c r="D628" i="3"/>
  <c r="E628" i="3"/>
  <c r="B628" i="3"/>
  <c r="F628" i="3"/>
  <c r="H628" i="3"/>
  <c r="J628" i="3" s="1"/>
  <c r="I628" i="3"/>
  <c r="A629" i="3"/>
  <c r="D629" i="3" l="1"/>
  <c r="E629" i="3"/>
  <c r="F629" i="3"/>
  <c r="C629" i="3"/>
  <c r="I629" i="3"/>
  <c r="A630" i="3"/>
  <c r="B629" i="3"/>
  <c r="H629" i="3"/>
  <c r="J629" i="3" s="1"/>
  <c r="F630" i="3" l="1"/>
  <c r="C630" i="3"/>
  <c r="D630" i="3"/>
  <c r="A631" i="3"/>
  <c r="E630" i="3"/>
  <c r="H630" i="3"/>
  <c r="J630" i="3" s="1"/>
  <c r="I630" i="3"/>
  <c r="B630" i="3"/>
  <c r="C631" i="3" l="1"/>
  <c r="D631" i="3"/>
  <c r="B631" i="3"/>
  <c r="E631" i="3"/>
  <c r="F631" i="3"/>
  <c r="A632" i="3"/>
  <c r="I631" i="3"/>
  <c r="H631" i="3"/>
  <c r="J631" i="3" s="1"/>
  <c r="D632" i="3" l="1"/>
  <c r="C632" i="3"/>
  <c r="E632" i="3"/>
  <c r="F632" i="3"/>
  <c r="I632" i="3"/>
  <c r="A633" i="3"/>
  <c r="B632" i="3"/>
  <c r="H632" i="3"/>
  <c r="J632" i="3" s="1"/>
  <c r="F633" i="3" l="1"/>
  <c r="C633" i="3"/>
  <c r="E633" i="3"/>
  <c r="D633" i="3"/>
  <c r="H633" i="3"/>
  <c r="J633" i="3" s="1"/>
  <c r="A634" i="3"/>
  <c r="I633" i="3"/>
  <c r="B633" i="3"/>
  <c r="C634" i="3" l="1"/>
  <c r="D634" i="3"/>
  <c r="E634" i="3"/>
  <c r="A635" i="3"/>
  <c r="F634" i="3"/>
  <c r="H634" i="3"/>
  <c r="J634" i="3" s="1"/>
  <c r="B634" i="3"/>
  <c r="I634" i="3"/>
  <c r="D635" i="3" l="1"/>
  <c r="E635" i="3"/>
  <c r="C635" i="3"/>
  <c r="I635" i="3"/>
  <c r="B635" i="3"/>
  <c r="F635" i="3"/>
  <c r="H635" i="3"/>
  <c r="J635" i="3" s="1"/>
  <c r="A636" i="3"/>
  <c r="F636" i="3" l="1"/>
  <c r="C636" i="3"/>
  <c r="D636" i="3"/>
  <c r="E636" i="3"/>
  <c r="H636" i="3"/>
  <c r="J636" i="3" s="1"/>
  <c r="A637" i="3"/>
  <c r="I636" i="3"/>
  <c r="B636" i="3"/>
  <c r="C637" i="3" l="1"/>
  <c r="E637" i="3"/>
  <c r="D637" i="3"/>
  <c r="B637" i="3"/>
  <c r="F637" i="3"/>
  <c r="H637" i="3"/>
  <c r="J637" i="3" s="1"/>
  <c r="I637" i="3"/>
  <c r="A638" i="3"/>
  <c r="D638" i="3" l="1"/>
  <c r="E638" i="3"/>
  <c r="F638" i="3"/>
  <c r="A639" i="3"/>
  <c r="C638" i="3"/>
  <c r="I638" i="3"/>
  <c r="H638" i="3"/>
  <c r="J638" i="3" s="1"/>
  <c r="B638" i="3"/>
  <c r="F639" i="3" l="1"/>
  <c r="C639" i="3"/>
  <c r="D639" i="3"/>
  <c r="B639" i="3"/>
  <c r="E639" i="3"/>
  <c r="H639" i="3"/>
  <c r="J639" i="3" s="1"/>
  <c r="I639" i="3"/>
  <c r="A640" i="3"/>
  <c r="C640" i="3" l="1"/>
  <c r="D640" i="3"/>
  <c r="H640" i="3"/>
  <c r="J640" i="3" s="1"/>
  <c r="A641" i="3"/>
  <c r="E640" i="3"/>
  <c r="F640" i="3"/>
  <c r="I640" i="3"/>
  <c r="B640" i="3"/>
  <c r="D641" i="3" l="1"/>
  <c r="C641" i="3"/>
  <c r="F641" i="3"/>
  <c r="H641" i="3"/>
  <c r="J641" i="3" s="1"/>
  <c r="B641" i="3"/>
  <c r="E641" i="3"/>
  <c r="A642" i="3"/>
  <c r="I641" i="3"/>
  <c r="F642" i="3" l="1"/>
  <c r="E642" i="3"/>
  <c r="C642" i="3"/>
  <c r="H642" i="3"/>
  <c r="J642" i="3" s="1"/>
  <c r="I642" i="3"/>
  <c r="D642" i="3"/>
  <c r="A643" i="3"/>
  <c r="B642" i="3"/>
  <c r="C643" i="3" l="1"/>
  <c r="D643" i="3"/>
  <c r="E643" i="3"/>
  <c r="A644" i="3"/>
  <c r="F643" i="3"/>
  <c r="B643" i="3"/>
  <c r="H643" i="3"/>
  <c r="J643" i="3" s="1"/>
  <c r="I643" i="3"/>
  <c r="D644" i="3" l="1"/>
  <c r="C644" i="3"/>
  <c r="F644" i="3"/>
  <c r="E644" i="3"/>
  <c r="I644" i="3"/>
  <c r="A645" i="3"/>
  <c r="H644" i="3"/>
  <c r="J644" i="3" s="1"/>
  <c r="B644" i="3"/>
  <c r="F645" i="3" l="1"/>
  <c r="C645" i="3"/>
  <c r="D645" i="3"/>
  <c r="E645" i="3"/>
  <c r="I645" i="3"/>
  <c r="H645" i="3"/>
  <c r="J645" i="3" s="1"/>
  <c r="A646" i="3"/>
  <c r="B645" i="3"/>
  <c r="E646" i="3" l="1"/>
  <c r="B646" i="3"/>
  <c r="D646" i="3"/>
  <c r="C646" i="3"/>
  <c r="H646" i="3"/>
  <c r="J646" i="3" s="1"/>
  <c r="F646" i="3"/>
  <c r="A647" i="3"/>
  <c r="I646" i="3"/>
  <c r="B647" i="3" l="1"/>
  <c r="D647" i="3"/>
  <c r="C647" i="3"/>
  <c r="E647" i="3"/>
  <c r="F647" i="3"/>
  <c r="I647" i="3"/>
  <c r="H647" i="3"/>
  <c r="J647" i="3" s="1"/>
  <c r="A648" i="3"/>
  <c r="C648" i="3" l="1"/>
  <c r="D648" i="3"/>
  <c r="E648" i="3"/>
  <c r="I648" i="3"/>
  <c r="B648" i="3"/>
  <c r="H648" i="3"/>
  <c r="J648" i="3" s="1"/>
  <c r="F648" i="3"/>
  <c r="A649" i="3"/>
  <c r="E649" i="3" l="1"/>
  <c r="C649" i="3"/>
  <c r="B649" i="3"/>
  <c r="D649" i="3"/>
  <c r="I649" i="3"/>
  <c r="H649" i="3"/>
  <c r="J649" i="3" s="1"/>
  <c r="F649" i="3"/>
  <c r="A650" i="3"/>
  <c r="B650" i="3" l="1"/>
  <c r="D650" i="3"/>
  <c r="E650" i="3"/>
  <c r="I650" i="3"/>
  <c r="F650" i="3"/>
  <c r="A651" i="3"/>
  <c r="C650" i="3"/>
  <c r="H650" i="3"/>
  <c r="J650" i="3" s="1"/>
  <c r="C651" i="3" l="1"/>
  <c r="D651" i="3"/>
  <c r="E651" i="3"/>
  <c r="F651" i="3"/>
  <c r="B651" i="3"/>
  <c r="H651" i="3"/>
  <c r="J651" i="3" s="1"/>
  <c r="I651" i="3"/>
  <c r="A652" i="3"/>
  <c r="E652" i="3" l="1"/>
  <c r="B652" i="3"/>
  <c r="D652" i="3"/>
  <c r="I652" i="3"/>
  <c r="C652" i="3"/>
  <c r="H652" i="3"/>
  <c r="J652" i="3" s="1"/>
  <c r="A653" i="3"/>
  <c r="F652" i="3"/>
  <c r="B653" i="3" l="1"/>
  <c r="D653" i="3"/>
  <c r="C653" i="3"/>
  <c r="H653" i="3"/>
  <c r="J653" i="3" s="1"/>
  <c r="A654" i="3"/>
  <c r="I653" i="3"/>
  <c r="E653" i="3"/>
  <c r="F653" i="3"/>
  <c r="C654" i="3" l="1"/>
  <c r="D654" i="3"/>
  <c r="E654" i="3"/>
  <c r="H654" i="3"/>
  <c r="J654" i="3" s="1"/>
  <c r="A655" i="3"/>
  <c r="I654" i="3"/>
  <c r="B654" i="3"/>
  <c r="F654" i="3"/>
  <c r="E655" i="3" l="1"/>
  <c r="B655" i="3"/>
  <c r="C655" i="3"/>
  <c r="D655" i="3"/>
  <c r="I655" i="3"/>
  <c r="F655" i="3"/>
  <c r="A656" i="3"/>
  <c r="H655" i="3"/>
  <c r="J655" i="3" s="1"/>
  <c r="B656" i="3" l="1"/>
  <c r="D656" i="3"/>
  <c r="E656" i="3"/>
  <c r="C656" i="3"/>
  <c r="F656" i="3"/>
  <c r="A657" i="3"/>
  <c r="I656" i="3"/>
  <c r="H656" i="3"/>
  <c r="J656" i="3" s="1"/>
  <c r="C657" i="3" l="1"/>
  <c r="D657" i="3"/>
  <c r="B657" i="3"/>
  <c r="E657" i="3"/>
  <c r="A658" i="3"/>
  <c r="I657" i="3"/>
  <c r="H657" i="3"/>
  <c r="J657" i="3" s="1"/>
  <c r="F657" i="3"/>
  <c r="E658" i="3" l="1"/>
  <c r="C658" i="3"/>
  <c r="D658" i="3"/>
  <c r="B658" i="3"/>
  <c r="F658" i="3"/>
  <c r="I658" i="3"/>
  <c r="A659" i="3"/>
  <c r="H658" i="3"/>
  <c r="J658" i="3" s="1"/>
  <c r="B659" i="3" l="1"/>
  <c r="C659" i="3"/>
  <c r="E659" i="3"/>
  <c r="D659" i="3"/>
  <c r="I659" i="3"/>
  <c r="H659" i="3"/>
  <c r="J659" i="3" s="1"/>
  <c r="F659" i="3"/>
  <c r="A660" i="3"/>
  <c r="C660" i="3" l="1"/>
  <c r="E660" i="3"/>
  <c r="B660" i="3"/>
  <c r="D660" i="3"/>
  <c r="H660" i="3"/>
  <c r="J660" i="3" s="1"/>
  <c r="F660" i="3"/>
  <c r="I660" i="3"/>
  <c r="A661" i="3"/>
  <c r="E661" i="3" l="1"/>
  <c r="B661" i="3"/>
  <c r="C661" i="3"/>
  <c r="D661" i="3"/>
  <c r="A662" i="3"/>
  <c r="H661" i="3"/>
  <c r="J661" i="3" s="1"/>
  <c r="F661" i="3"/>
  <c r="I661" i="3"/>
  <c r="B662" i="3" l="1"/>
  <c r="E662" i="3"/>
  <c r="D662" i="3"/>
  <c r="I662" i="3"/>
  <c r="F662" i="3"/>
  <c r="C662" i="3"/>
  <c r="H662" i="3"/>
  <c r="J662" i="3" s="1"/>
  <c r="A663" i="3"/>
  <c r="C663" i="3" l="1"/>
  <c r="D663" i="3"/>
  <c r="F663" i="3"/>
  <c r="B663" i="3"/>
  <c r="H663" i="3"/>
  <c r="J663" i="3" s="1"/>
  <c r="I663" i="3"/>
  <c r="E663" i="3"/>
  <c r="A664" i="3"/>
  <c r="E664" i="3" l="1"/>
  <c r="C664" i="3"/>
  <c r="B664" i="3"/>
  <c r="H664" i="3"/>
  <c r="J664" i="3" s="1"/>
  <c r="I664" i="3"/>
  <c r="A665" i="3"/>
  <c r="D664" i="3"/>
  <c r="F664" i="3"/>
  <c r="B665" i="3" l="1"/>
  <c r="D665" i="3"/>
  <c r="E665" i="3"/>
  <c r="H665" i="3"/>
  <c r="J665" i="3" s="1"/>
  <c r="F665" i="3"/>
  <c r="A666" i="3"/>
  <c r="C665" i="3"/>
  <c r="I665" i="3"/>
  <c r="C666" i="3" l="1"/>
  <c r="D666" i="3"/>
  <c r="B666" i="3"/>
  <c r="H666" i="3"/>
  <c r="J666" i="3" s="1"/>
  <c r="I666" i="3"/>
  <c r="A667" i="3"/>
  <c r="E666" i="3"/>
  <c r="F666" i="3"/>
  <c r="E667" i="3" l="1"/>
  <c r="C667" i="3"/>
  <c r="D667" i="3"/>
  <c r="B667" i="3"/>
  <c r="H667" i="3"/>
  <c r="J667" i="3" s="1"/>
  <c r="I667" i="3"/>
  <c r="F667" i="3"/>
  <c r="A668" i="3"/>
  <c r="B668" i="3" l="1"/>
  <c r="C668" i="3"/>
  <c r="E668" i="3"/>
  <c r="F668" i="3"/>
  <c r="D668" i="3"/>
  <c r="A669" i="3"/>
  <c r="H668" i="3"/>
  <c r="J668" i="3" s="1"/>
  <c r="I668" i="3"/>
  <c r="C669" i="3" l="1"/>
  <c r="D669" i="3"/>
  <c r="E669" i="3"/>
  <c r="B669" i="3"/>
  <c r="F669" i="3"/>
  <c r="H669" i="3"/>
  <c r="J669" i="3" s="1"/>
  <c r="I669" i="3"/>
  <c r="A670" i="3"/>
  <c r="E670" i="3" l="1"/>
  <c r="B670" i="3"/>
  <c r="C670" i="3"/>
  <c r="D670" i="3"/>
  <c r="A671" i="3"/>
  <c r="H670" i="3"/>
  <c r="J670" i="3" s="1"/>
  <c r="I670" i="3"/>
  <c r="F670" i="3"/>
  <c r="B671" i="3" l="1"/>
  <c r="C671" i="3"/>
  <c r="E671" i="3"/>
  <c r="H671" i="3"/>
  <c r="J671" i="3" s="1"/>
  <c r="F671" i="3"/>
  <c r="A672" i="3"/>
  <c r="D671" i="3"/>
  <c r="I671" i="3"/>
  <c r="C672" i="3" l="1"/>
  <c r="D672" i="3"/>
  <c r="B672" i="3"/>
  <c r="F672" i="3"/>
  <c r="E672" i="3"/>
  <c r="H672" i="3"/>
  <c r="J672" i="3" s="1"/>
  <c r="I672" i="3"/>
  <c r="A673" i="3"/>
  <c r="E673" i="3" l="1"/>
  <c r="B673" i="3"/>
  <c r="C673" i="3"/>
  <c r="D673" i="3"/>
  <c r="F673" i="3"/>
  <c r="H673" i="3"/>
  <c r="J673" i="3" s="1"/>
  <c r="A674" i="3"/>
  <c r="I673" i="3"/>
  <c r="B674" i="3" l="1"/>
  <c r="E674" i="3"/>
  <c r="D674" i="3"/>
  <c r="C674" i="3"/>
  <c r="I674" i="3"/>
  <c r="H674" i="3"/>
  <c r="J674" i="3" s="1"/>
  <c r="A675" i="3"/>
  <c r="F674" i="3"/>
  <c r="C675" i="3" l="1"/>
  <c r="D675" i="3"/>
  <c r="B675" i="3"/>
  <c r="A676" i="3"/>
  <c r="E675" i="3"/>
  <c r="I675" i="3"/>
  <c r="F675" i="3"/>
  <c r="H675" i="3"/>
  <c r="J675" i="3" s="1"/>
  <c r="E676" i="3" l="1"/>
  <c r="C676" i="3"/>
  <c r="D676" i="3"/>
  <c r="B676" i="3"/>
  <c r="A677" i="3"/>
  <c r="I676" i="3"/>
  <c r="H676" i="3"/>
  <c r="J676" i="3" s="1"/>
  <c r="F676" i="3"/>
  <c r="B677" i="3" l="1"/>
  <c r="C677" i="3"/>
  <c r="E677" i="3"/>
  <c r="H677" i="3"/>
  <c r="J677" i="3" s="1"/>
  <c r="A678" i="3"/>
  <c r="I677" i="3"/>
  <c r="D677" i="3"/>
  <c r="F677" i="3"/>
  <c r="C678" i="3" l="1"/>
  <c r="D678" i="3"/>
  <c r="E678" i="3"/>
  <c r="B678" i="3"/>
  <c r="H678" i="3"/>
  <c r="J678" i="3" s="1"/>
  <c r="F678" i="3"/>
  <c r="A679" i="3"/>
  <c r="I678" i="3"/>
  <c r="E679" i="3" l="1"/>
  <c r="C679" i="3"/>
  <c r="F679" i="3"/>
  <c r="B679" i="3"/>
  <c r="D679" i="3"/>
  <c r="H679" i="3"/>
  <c r="J679" i="3" s="1"/>
  <c r="I679" i="3"/>
  <c r="A680" i="3"/>
  <c r="B680" i="3" l="1"/>
  <c r="E680" i="3"/>
  <c r="D680" i="3"/>
  <c r="F680" i="3"/>
  <c r="C680" i="3"/>
  <c r="I680" i="3"/>
  <c r="H680" i="3"/>
  <c r="J680" i="3" s="1"/>
  <c r="A681" i="3"/>
  <c r="C681" i="3" l="1"/>
  <c r="D681" i="3"/>
  <c r="B681" i="3"/>
  <c r="E681" i="3"/>
  <c r="I681" i="3"/>
  <c r="H681" i="3"/>
  <c r="J681" i="3" s="1"/>
  <c r="F681" i="3"/>
  <c r="A682" i="3"/>
  <c r="E682" i="3" l="1"/>
  <c r="C682" i="3"/>
  <c r="A683" i="3"/>
  <c r="D682" i="3"/>
  <c r="I682" i="3"/>
  <c r="B682" i="3"/>
  <c r="H682" i="3"/>
  <c r="J682" i="3" s="1"/>
  <c r="F682" i="3"/>
  <c r="B683" i="3" l="1"/>
  <c r="D683" i="3"/>
  <c r="E683" i="3"/>
  <c r="I683" i="3"/>
  <c r="F683" i="3"/>
  <c r="C683" i="3"/>
  <c r="H683" i="3"/>
  <c r="J683" i="3" s="1"/>
  <c r="A684" i="3"/>
  <c r="C684" i="3" l="1"/>
  <c r="D684" i="3"/>
  <c r="B684" i="3"/>
  <c r="H684" i="3"/>
  <c r="J684" i="3" s="1"/>
  <c r="F684" i="3"/>
  <c r="I684" i="3"/>
  <c r="E684" i="3"/>
  <c r="A685" i="3"/>
  <c r="E685" i="3" l="1"/>
  <c r="C685" i="3"/>
  <c r="D685" i="3"/>
  <c r="I685" i="3"/>
  <c r="B685" i="3"/>
  <c r="A686" i="3"/>
  <c r="H685" i="3"/>
  <c r="J685" i="3" s="1"/>
  <c r="F685" i="3"/>
  <c r="B686" i="3" l="1"/>
  <c r="C686" i="3"/>
  <c r="E686" i="3"/>
  <c r="D686" i="3"/>
  <c r="F686" i="3"/>
  <c r="H686" i="3"/>
  <c r="J686" i="3" s="1"/>
  <c r="A687" i="3"/>
  <c r="I686" i="3"/>
  <c r="C687" i="3" l="1"/>
  <c r="D687" i="3"/>
  <c r="E687" i="3"/>
  <c r="B687" i="3"/>
  <c r="I687" i="3"/>
  <c r="F687" i="3"/>
  <c r="H687" i="3"/>
  <c r="J687" i="3" s="1"/>
  <c r="A688" i="3"/>
  <c r="E688" i="3" l="1"/>
  <c r="B688" i="3"/>
  <c r="C688" i="3"/>
  <c r="D688" i="3"/>
  <c r="A689" i="3"/>
  <c r="I688" i="3"/>
  <c r="H688" i="3"/>
  <c r="J688" i="3" s="1"/>
  <c r="F688" i="3"/>
  <c r="B689" i="3" l="1"/>
  <c r="E689" i="3"/>
  <c r="D689" i="3"/>
  <c r="H689" i="3"/>
  <c r="J689" i="3" s="1"/>
  <c r="F689" i="3"/>
  <c r="I689" i="3"/>
  <c r="C689" i="3"/>
  <c r="A690" i="3"/>
  <c r="C690" i="3" l="1"/>
  <c r="B690" i="3"/>
  <c r="A691" i="3"/>
  <c r="D690" i="3"/>
  <c r="E690" i="3"/>
  <c r="I690" i="3"/>
  <c r="H690" i="3"/>
  <c r="J690" i="3" s="1"/>
  <c r="F690" i="3"/>
  <c r="E691" i="3" l="1"/>
  <c r="C691" i="3"/>
  <c r="B691" i="3"/>
  <c r="D691" i="3"/>
  <c r="A692" i="3"/>
  <c r="H691" i="3"/>
  <c r="J691" i="3" s="1"/>
  <c r="I691" i="3"/>
  <c r="F691" i="3"/>
  <c r="B692" i="3" l="1"/>
  <c r="C692" i="3"/>
  <c r="D692" i="3"/>
  <c r="E692" i="3"/>
  <c r="I692" i="3"/>
  <c r="F692" i="3"/>
  <c r="A693" i="3"/>
  <c r="H692" i="3"/>
  <c r="J692" i="3" s="1"/>
  <c r="C693" i="3" l="1"/>
  <c r="B693" i="3"/>
  <c r="D693" i="3"/>
  <c r="I693" i="3"/>
  <c r="A694" i="3"/>
  <c r="E693" i="3"/>
  <c r="H693" i="3"/>
  <c r="J693" i="3" s="1"/>
  <c r="F693" i="3"/>
  <c r="E694" i="3" l="1"/>
  <c r="D694" i="3"/>
  <c r="C694" i="3"/>
  <c r="B694" i="3"/>
  <c r="I694" i="3"/>
  <c r="F694" i="3"/>
  <c r="H694" i="3"/>
  <c r="J694" i="3" s="1"/>
  <c r="A695" i="3"/>
  <c r="B695" i="3" l="1"/>
  <c r="C695" i="3"/>
  <c r="E695" i="3"/>
  <c r="D695" i="3"/>
  <c r="H695" i="3"/>
  <c r="J695" i="3" s="1"/>
  <c r="F695" i="3"/>
  <c r="A696" i="3"/>
  <c r="I695" i="3"/>
  <c r="C696" i="3" l="1"/>
  <c r="D696" i="3"/>
  <c r="E696" i="3"/>
  <c r="B696" i="3"/>
  <c r="I696" i="3"/>
  <c r="F696" i="3"/>
  <c r="H696" i="3"/>
  <c r="J696" i="3" s="1"/>
  <c r="A697" i="3"/>
  <c r="E697" i="3" l="1"/>
  <c r="B697" i="3"/>
  <c r="C697" i="3"/>
  <c r="I697" i="3"/>
  <c r="F697" i="3"/>
  <c r="D697" i="3"/>
  <c r="H697" i="3"/>
  <c r="J697" i="3" s="1"/>
  <c r="A698" i="3"/>
  <c r="B698" i="3" l="1"/>
  <c r="C698" i="3"/>
  <c r="E698" i="3"/>
  <c r="D698" i="3"/>
  <c r="I698" i="3"/>
  <c r="H698" i="3"/>
  <c r="J698" i="3" s="1"/>
  <c r="A699" i="3"/>
  <c r="F698" i="3"/>
  <c r="C699" i="3" l="1"/>
  <c r="D699" i="3"/>
  <c r="B699" i="3"/>
  <c r="H699" i="3"/>
  <c r="J699" i="3" s="1"/>
  <c r="F699" i="3"/>
  <c r="I699" i="3"/>
  <c r="E699" i="3"/>
  <c r="A700" i="3"/>
  <c r="E700" i="3" l="1"/>
  <c r="C700" i="3"/>
  <c r="B700" i="3"/>
  <c r="D700" i="3"/>
  <c r="I700" i="3"/>
  <c r="F700" i="3"/>
  <c r="H700" i="3"/>
  <c r="J700" i="3" s="1"/>
  <c r="A701" i="3"/>
  <c r="B701" i="3" l="1"/>
  <c r="D701" i="3"/>
  <c r="E701" i="3"/>
  <c r="C701" i="3"/>
  <c r="I701" i="3"/>
  <c r="F701" i="3"/>
  <c r="H701" i="3"/>
  <c r="J701" i="3" s="1"/>
  <c r="A702" i="3"/>
  <c r="C702" i="3" l="1"/>
  <c r="B702" i="3"/>
  <c r="D702" i="3"/>
  <c r="I702" i="3"/>
  <c r="E702" i="3"/>
  <c r="H702" i="3"/>
  <c r="J702" i="3" s="1"/>
  <c r="F702" i="3"/>
  <c r="A703" i="3"/>
  <c r="E703" i="3" l="1"/>
  <c r="C703" i="3"/>
  <c r="D703" i="3"/>
  <c r="B703" i="3"/>
  <c r="H703" i="3"/>
  <c r="J703" i="3" s="1"/>
  <c r="F703" i="3"/>
  <c r="I703" i="3"/>
  <c r="A704" i="3"/>
  <c r="B704" i="3" l="1"/>
  <c r="C704" i="3"/>
  <c r="E704" i="3"/>
  <c r="H704" i="3"/>
  <c r="J704" i="3" s="1"/>
  <c r="A705" i="3"/>
  <c r="I704" i="3"/>
  <c r="D704" i="3"/>
  <c r="F704" i="3"/>
  <c r="C705" i="3" l="1"/>
  <c r="D705" i="3"/>
  <c r="E705" i="3"/>
  <c r="B705" i="3"/>
  <c r="I705" i="3"/>
  <c r="F705" i="3"/>
  <c r="H705" i="3"/>
  <c r="J705" i="3" s="1"/>
  <c r="A706" i="3"/>
  <c r="E706" i="3" l="1"/>
  <c r="B706" i="3"/>
  <c r="C706" i="3"/>
  <c r="D706" i="3"/>
  <c r="H706" i="3"/>
  <c r="J706" i="3" s="1"/>
  <c r="I706" i="3"/>
  <c r="A707" i="3"/>
  <c r="F706" i="3"/>
  <c r="B707" i="3" l="1"/>
  <c r="E707" i="3"/>
  <c r="D707" i="3"/>
  <c r="F707" i="3"/>
  <c r="I707" i="3"/>
  <c r="A708" i="3"/>
  <c r="C707" i="3"/>
  <c r="H707" i="3"/>
  <c r="J707" i="3" s="1"/>
  <c r="C708" i="3" l="1"/>
  <c r="B708" i="3"/>
  <c r="F708" i="3"/>
  <c r="D708" i="3"/>
  <c r="E708" i="3"/>
  <c r="H708" i="3"/>
  <c r="J708" i="3" s="1"/>
  <c r="A709" i="3"/>
  <c r="I708" i="3"/>
  <c r="E709" i="3" l="1"/>
  <c r="D709" i="3"/>
  <c r="B709" i="3"/>
  <c r="C709" i="3"/>
  <c r="H709" i="3"/>
  <c r="J709" i="3" s="1"/>
  <c r="A710" i="3"/>
  <c r="I709" i="3"/>
  <c r="F709" i="3"/>
  <c r="B710" i="3" l="1"/>
  <c r="D710" i="3"/>
  <c r="E710" i="3"/>
  <c r="C710" i="3"/>
  <c r="H710" i="3"/>
  <c r="J710" i="3" s="1"/>
  <c r="F710" i="3"/>
  <c r="I710" i="3"/>
  <c r="A711" i="3"/>
  <c r="C711" i="3" l="1"/>
  <c r="D711" i="3"/>
  <c r="B711" i="3"/>
  <c r="E711" i="3"/>
  <c r="H711" i="3"/>
  <c r="J711" i="3" s="1"/>
  <c r="F711" i="3"/>
  <c r="I711" i="3"/>
  <c r="A712" i="3"/>
  <c r="E712" i="3" l="1"/>
  <c r="C712" i="3"/>
  <c r="D712" i="3"/>
  <c r="B712" i="3"/>
  <c r="I712" i="3"/>
  <c r="F712" i="3"/>
  <c r="H712" i="3"/>
  <c r="J712" i="3" s="1"/>
  <c r="A713" i="3"/>
  <c r="B713" i="3" l="1"/>
  <c r="C713" i="3"/>
  <c r="E713" i="3"/>
  <c r="F713" i="3"/>
  <c r="D713" i="3"/>
  <c r="H713" i="3"/>
  <c r="J713" i="3" s="1"/>
  <c r="A714" i="3"/>
  <c r="I713" i="3"/>
  <c r="C714" i="3" l="1"/>
  <c r="D714" i="3"/>
  <c r="E714" i="3"/>
  <c r="B714" i="3"/>
  <c r="H714" i="3"/>
  <c r="J714" i="3" s="1"/>
  <c r="A715" i="3"/>
  <c r="F714" i="3"/>
  <c r="I714" i="3"/>
  <c r="E715" i="3" l="1"/>
  <c r="B715" i="3"/>
  <c r="D715" i="3"/>
  <c r="C715" i="3"/>
  <c r="H715" i="3"/>
  <c r="J715" i="3" s="1"/>
  <c r="A716" i="3"/>
  <c r="F715" i="3"/>
  <c r="I715" i="3"/>
  <c r="B716" i="3" l="1"/>
  <c r="C716" i="3"/>
  <c r="E716" i="3"/>
  <c r="D716" i="3"/>
  <c r="F716" i="3"/>
  <c r="I716" i="3"/>
  <c r="H716" i="3"/>
  <c r="J716" i="3" s="1"/>
  <c r="A717" i="3"/>
  <c r="C717" i="3" l="1"/>
  <c r="E717" i="3"/>
  <c r="D717" i="3"/>
  <c r="A718" i="3"/>
  <c r="B717" i="3"/>
  <c r="I717" i="3"/>
  <c r="H717" i="3"/>
  <c r="J717" i="3" s="1"/>
  <c r="F717" i="3"/>
  <c r="E718" i="3" l="1"/>
  <c r="C718" i="3"/>
  <c r="B718" i="3"/>
  <c r="A719" i="3"/>
  <c r="H718" i="3"/>
  <c r="J718" i="3" s="1"/>
  <c r="F718" i="3"/>
  <c r="D718" i="3"/>
  <c r="I718" i="3"/>
  <c r="B719" i="3" l="1"/>
  <c r="E719" i="3"/>
  <c r="I719" i="3"/>
  <c r="A720" i="3"/>
  <c r="D719" i="3"/>
  <c r="F719" i="3"/>
  <c r="C719" i="3"/>
  <c r="H719" i="3"/>
  <c r="J719" i="3" s="1"/>
  <c r="C720" i="3" l="1"/>
  <c r="D720" i="3"/>
  <c r="B720" i="3"/>
  <c r="H720" i="3"/>
  <c r="J720" i="3" s="1"/>
  <c r="A721" i="3"/>
  <c r="E720" i="3"/>
  <c r="I720" i="3"/>
  <c r="F720" i="3"/>
  <c r="E721" i="3" l="1"/>
  <c r="C721" i="3"/>
  <c r="D721" i="3"/>
  <c r="B721" i="3"/>
  <c r="H721" i="3"/>
  <c r="J721" i="3" s="1"/>
  <c r="F721" i="3"/>
  <c r="A722" i="3"/>
  <c r="I721" i="3"/>
  <c r="B722" i="3" l="1"/>
  <c r="C722" i="3"/>
  <c r="I722" i="3"/>
  <c r="F722" i="3"/>
  <c r="A723" i="3"/>
  <c r="E722" i="3"/>
  <c r="D722" i="3"/>
  <c r="H722" i="3"/>
  <c r="J722" i="3" s="1"/>
  <c r="C723" i="3" l="1"/>
  <c r="D723" i="3"/>
  <c r="E723" i="3"/>
  <c r="B723" i="3"/>
  <c r="H723" i="3"/>
  <c r="J723" i="3" s="1"/>
  <c r="I723" i="3"/>
  <c r="A724" i="3"/>
  <c r="F723" i="3"/>
  <c r="E724" i="3" l="1"/>
  <c r="B724" i="3"/>
  <c r="C724" i="3"/>
  <c r="D724" i="3"/>
  <c r="H724" i="3"/>
  <c r="J724" i="3" s="1"/>
  <c r="I724" i="3"/>
  <c r="A725" i="3"/>
  <c r="F724" i="3"/>
  <c r="B725" i="3" l="1"/>
  <c r="C725" i="3"/>
  <c r="H725" i="3"/>
  <c r="J725" i="3" s="1"/>
  <c r="I725" i="3"/>
  <c r="E725" i="3"/>
  <c r="A726" i="3"/>
  <c r="D725" i="3"/>
  <c r="F725" i="3"/>
  <c r="C726" i="3" l="1"/>
  <c r="D726" i="3"/>
  <c r="B726" i="3"/>
  <c r="H726" i="3"/>
  <c r="J726" i="3" s="1"/>
  <c r="F726" i="3"/>
  <c r="I726" i="3"/>
  <c r="A727" i="3"/>
  <c r="E726" i="3"/>
  <c r="E727" i="3" l="1"/>
  <c r="C727" i="3"/>
  <c r="B727" i="3"/>
  <c r="H727" i="3"/>
  <c r="J727" i="3" s="1"/>
  <c r="I727" i="3"/>
  <c r="F727" i="3"/>
  <c r="A728" i="3"/>
  <c r="D727" i="3"/>
  <c r="B728" i="3" l="1"/>
  <c r="D728" i="3"/>
  <c r="E728" i="3"/>
  <c r="C728" i="3"/>
  <c r="I728" i="3"/>
  <c r="F728" i="3"/>
  <c r="A729" i="3"/>
  <c r="H728" i="3"/>
  <c r="J728" i="3" s="1"/>
  <c r="C729" i="3" l="1"/>
  <c r="D729" i="3"/>
  <c r="B729" i="3"/>
  <c r="F729" i="3"/>
  <c r="H729" i="3"/>
  <c r="J729" i="3" s="1"/>
  <c r="A730" i="3"/>
  <c r="E729" i="3"/>
  <c r="I729" i="3"/>
  <c r="E730" i="3" l="1"/>
  <c r="D730" i="3"/>
  <c r="C730" i="3"/>
  <c r="B730" i="3"/>
  <c r="H730" i="3"/>
  <c r="J730" i="3" s="1"/>
  <c r="I730" i="3"/>
  <c r="A731" i="3"/>
  <c r="F730" i="3"/>
  <c r="B731" i="3" l="1"/>
  <c r="C731" i="3"/>
  <c r="E731" i="3"/>
  <c r="A732" i="3"/>
  <c r="I731" i="3"/>
  <c r="F731" i="3"/>
  <c r="D731" i="3"/>
  <c r="H731" i="3"/>
  <c r="J731" i="3" s="1"/>
  <c r="C732" i="3" l="1"/>
  <c r="D732" i="3"/>
  <c r="E732" i="3"/>
  <c r="I732" i="3"/>
  <c r="B732" i="3"/>
  <c r="H732" i="3"/>
  <c r="J732" i="3" s="1"/>
  <c r="F732" i="3"/>
  <c r="A733" i="3"/>
  <c r="E733" i="3" l="1"/>
  <c r="B733" i="3"/>
  <c r="C733" i="3"/>
  <c r="D733" i="3"/>
  <c r="F733" i="3"/>
  <c r="I733" i="3"/>
  <c r="H733" i="3"/>
  <c r="J733" i="3" s="1"/>
  <c r="A734" i="3"/>
  <c r="B734" i="3" l="1"/>
  <c r="E734" i="3"/>
  <c r="D734" i="3"/>
  <c r="C734" i="3"/>
  <c r="I734" i="3"/>
  <c r="A735" i="3"/>
  <c r="F734" i="3"/>
  <c r="H734" i="3"/>
  <c r="J734" i="3" s="1"/>
  <c r="C735" i="3" l="1"/>
  <c r="D735" i="3"/>
  <c r="B735" i="3"/>
  <c r="A736" i="3"/>
  <c r="H735" i="3"/>
  <c r="J735" i="3" s="1"/>
  <c r="F735" i="3"/>
  <c r="E735" i="3"/>
  <c r="I735" i="3"/>
  <c r="E736" i="3" l="1"/>
  <c r="C736" i="3"/>
  <c r="D736" i="3"/>
  <c r="F736" i="3"/>
  <c r="B736" i="3"/>
  <c r="H736" i="3"/>
  <c r="J736" i="3" s="1"/>
  <c r="I736" i="3"/>
  <c r="A737" i="3"/>
  <c r="B737" i="3" l="1"/>
  <c r="E737" i="3"/>
  <c r="H737" i="3"/>
  <c r="J737" i="3" s="1"/>
  <c r="F737" i="3"/>
  <c r="D737" i="3"/>
  <c r="C737" i="3"/>
  <c r="A738" i="3"/>
  <c r="I737" i="3"/>
  <c r="C738" i="3" l="1"/>
  <c r="B738" i="3"/>
  <c r="H738" i="3"/>
  <c r="J738" i="3" s="1"/>
  <c r="D738" i="3"/>
  <c r="E738" i="3"/>
  <c r="I738" i="3"/>
  <c r="A739" i="3"/>
  <c r="F738" i="3"/>
  <c r="E739" i="3" l="1"/>
  <c r="C739" i="3"/>
  <c r="D739" i="3"/>
  <c r="I739" i="3"/>
  <c r="F739" i="3"/>
  <c r="B739" i="3"/>
  <c r="A740" i="3"/>
  <c r="H739" i="3"/>
  <c r="J739" i="3" s="1"/>
  <c r="B740" i="3" l="1"/>
  <c r="C740" i="3"/>
  <c r="E740" i="3"/>
  <c r="D740" i="3"/>
  <c r="I740" i="3"/>
  <c r="F740" i="3"/>
  <c r="H740" i="3"/>
  <c r="J740" i="3" s="1"/>
  <c r="A741" i="3"/>
  <c r="C741" i="3" l="1"/>
  <c r="E741" i="3"/>
  <c r="B741" i="3"/>
  <c r="H741" i="3"/>
  <c r="J741" i="3" s="1"/>
  <c r="D741" i="3"/>
  <c r="I741" i="3"/>
  <c r="F741" i="3"/>
  <c r="A742" i="3"/>
  <c r="E742" i="3" l="1"/>
  <c r="B742" i="3"/>
  <c r="C742" i="3"/>
  <c r="H742" i="3"/>
  <c r="J742" i="3" s="1"/>
  <c r="F742" i="3"/>
  <c r="I742" i="3"/>
  <c r="A743" i="3"/>
  <c r="D742" i="3"/>
  <c r="B743" i="3" l="1"/>
  <c r="D743" i="3"/>
  <c r="A744" i="3"/>
  <c r="E743" i="3"/>
  <c r="C743" i="3"/>
  <c r="F743" i="3"/>
  <c r="I743" i="3"/>
  <c r="H743" i="3"/>
  <c r="J743" i="3" s="1"/>
  <c r="C744" i="3" l="1"/>
  <c r="B744" i="3"/>
  <c r="E744" i="3"/>
  <c r="H744" i="3"/>
  <c r="J744" i="3" s="1"/>
  <c r="A745" i="3"/>
  <c r="D744" i="3"/>
  <c r="F744" i="3"/>
  <c r="I744" i="3"/>
  <c r="E745" i="3" l="1"/>
  <c r="C745" i="3"/>
  <c r="B745" i="3"/>
  <c r="D745" i="3"/>
  <c r="I745" i="3"/>
  <c r="A746" i="3"/>
  <c r="F745" i="3"/>
  <c r="H745" i="3"/>
  <c r="J745" i="3" s="1"/>
  <c r="B746" i="3" l="1"/>
  <c r="D746" i="3"/>
  <c r="E746" i="3"/>
  <c r="C746" i="3"/>
  <c r="A747" i="3"/>
  <c r="F746" i="3"/>
  <c r="I746" i="3"/>
  <c r="H746" i="3"/>
  <c r="J746" i="3" s="1"/>
  <c r="C747" i="3" l="1"/>
  <c r="B747" i="3"/>
  <c r="F747" i="3"/>
  <c r="D747" i="3"/>
  <c r="E747" i="3"/>
  <c r="H747" i="3"/>
  <c r="J747" i="3" s="1"/>
  <c r="A748" i="3"/>
  <c r="I747" i="3"/>
  <c r="E748" i="3" l="1"/>
  <c r="C748" i="3"/>
  <c r="D748" i="3"/>
  <c r="H748" i="3"/>
  <c r="J748" i="3" s="1"/>
  <c r="I748" i="3"/>
  <c r="F748" i="3"/>
  <c r="A749" i="3"/>
  <c r="B748" i="3"/>
  <c r="B749" i="3" l="1"/>
  <c r="E749" i="3"/>
  <c r="C749" i="3"/>
  <c r="D749" i="3"/>
  <c r="I749" i="3"/>
  <c r="F749" i="3"/>
  <c r="A750" i="3"/>
  <c r="H749" i="3"/>
  <c r="J749" i="3" s="1"/>
  <c r="C750" i="3" l="1"/>
  <c r="H750" i="3"/>
  <c r="J750" i="3" s="1"/>
  <c r="A751" i="3"/>
  <c r="D750" i="3"/>
  <c r="E750" i="3"/>
  <c r="B750" i="3"/>
  <c r="I750" i="3"/>
  <c r="F750" i="3"/>
  <c r="E751" i="3" l="1"/>
  <c r="C751" i="3"/>
  <c r="H751" i="3"/>
  <c r="J751" i="3" s="1"/>
  <c r="F751" i="3"/>
  <c r="B751" i="3"/>
  <c r="I751" i="3"/>
  <c r="A752" i="3"/>
  <c r="D751" i="3"/>
  <c r="B752" i="3" l="1"/>
  <c r="E752" i="3"/>
  <c r="C752" i="3"/>
  <c r="D752" i="3"/>
  <c r="H752" i="3"/>
  <c r="J752" i="3" s="1"/>
  <c r="F752" i="3"/>
  <c r="A753" i="3"/>
  <c r="I752" i="3"/>
  <c r="C753" i="3" l="1"/>
  <c r="D753" i="3"/>
  <c r="A754" i="3"/>
  <c r="B753" i="3"/>
  <c r="E753" i="3"/>
  <c r="H753" i="3"/>
  <c r="J753" i="3" s="1"/>
  <c r="F753" i="3"/>
  <c r="I753" i="3"/>
  <c r="E754" i="3" l="1"/>
  <c r="B754" i="3"/>
  <c r="C754" i="3"/>
  <c r="F754" i="3"/>
  <c r="H754" i="3"/>
  <c r="J754" i="3" s="1"/>
  <c r="A755" i="3"/>
  <c r="D754" i="3"/>
  <c r="I754" i="3"/>
  <c r="B755" i="3" l="1"/>
  <c r="D755" i="3"/>
  <c r="E755" i="3"/>
  <c r="I755" i="3"/>
  <c r="C755" i="3"/>
  <c r="H755" i="3"/>
  <c r="J755" i="3" s="1"/>
  <c r="A756" i="3"/>
  <c r="F755" i="3"/>
  <c r="C756" i="3" l="1"/>
  <c r="D756" i="3"/>
  <c r="B756" i="3"/>
  <c r="I756" i="3"/>
  <c r="F756" i="3"/>
  <c r="A757" i="3"/>
  <c r="E756" i="3"/>
  <c r="H756" i="3"/>
  <c r="J756" i="3" s="1"/>
  <c r="E757" i="3" l="1"/>
  <c r="C757" i="3"/>
  <c r="D757" i="3"/>
  <c r="B757" i="3"/>
  <c r="H757" i="3"/>
  <c r="J757" i="3" s="1"/>
  <c r="I757" i="3"/>
  <c r="A758" i="3"/>
  <c r="F757" i="3"/>
  <c r="B758" i="3" l="1"/>
  <c r="C758" i="3"/>
  <c r="E758" i="3"/>
  <c r="D758" i="3"/>
  <c r="I758" i="3"/>
  <c r="F758" i="3"/>
  <c r="H758" i="3"/>
  <c r="J758" i="3" s="1"/>
  <c r="A759" i="3"/>
  <c r="C759" i="3" l="1"/>
  <c r="D759" i="3"/>
  <c r="E759" i="3"/>
  <c r="B759" i="3"/>
  <c r="I759" i="3"/>
  <c r="A760" i="3"/>
  <c r="H759" i="3"/>
  <c r="J759" i="3" s="1"/>
  <c r="F759" i="3"/>
  <c r="E760" i="3" l="1"/>
  <c r="F760" i="3"/>
  <c r="B760" i="3"/>
  <c r="C760" i="3"/>
  <c r="D760" i="3"/>
  <c r="A761" i="3"/>
  <c r="H760" i="3"/>
  <c r="J760" i="3" s="1"/>
  <c r="I760" i="3"/>
  <c r="B761" i="3" l="1"/>
  <c r="D761" i="3"/>
  <c r="C761" i="3"/>
  <c r="E761" i="3"/>
  <c r="I761" i="3"/>
  <c r="H761" i="3"/>
  <c r="J761" i="3" s="1"/>
  <c r="F761" i="3"/>
  <c r="A762" i="3"/>
  <c r="C762" i="3" l="1"/>
  <c r="D762" i="3"/>
  <c r="B762" i="3"/>
  <c r="I762" i="3"/>
  <c r="H762" i="3"/>
  <c r="J762" i="3" s="1"/>
  <c r="E762" i="3"/>
  <c r="A763" i="3"/>
  <c r="F762" i="3"/>
  <c r="E763" i="3" l="1"/>
  <c r="C763" i="3"/>
  <c r="D763" i="3"/>
  <c r="I763" i="3"/>
  <c r="F763" i="3"/>
  <c r="B763" i="3"/>
  <c r="H763" i="3"/>
  <c r="J763" i="3" s="1"/>
  <c r="A764" i="3"/>
  <c r="B764" i="3" l="1"/>
  <c r="E764" i="3"/>
  <c r="C764" i="3"/>
  <c r="D764" i="3"/>
  <c r="I764" i="3"/>
  <c r="A765" i="3"/>
  <c r="F764" i="3"/>
  <c r="H764" i="3"/>
  <c r="J764" i="3" s="1"/>
  <c r="C765" i="3" l="1"/>
  <c r="D765" i="3"/>
  <c r="B765" i="3"/>
  <c r="F765" i="3"/>
  <c r="E765" i="3"/>
  <c r="I765" i="3"/>
  <c r="H765" i="3"/>
  <c r="J765" i="3" s="1"/>
  <c r="A766" i="3"/>
  <c r="E766" i="3" l="1"/>
  <c r="C766" i="3"/>
  <c r="D766" i="3"/>
  <c r="A767" i="3"/>
  <c r="B766" i="3"/>
  <c r="F766" i="3"/>
  <c r="H766" i="3"/>
  <c r="J766" i="3" s="1"/>
  <c r="I766" i="3"/>
  <c r="B767" i="3" l="1"/>
  <c r="C767" i="3"/>
  <c r="D767" i="3"/>
  <c r="E767" i="3"/>
  <c r="H767" i="3"/>
  <c r="J767" i="3" s="1"/>
  <c r="F767" i="3"/>
  <c r="A768" i="3"/>
  <c r="I767" i="3"/>
  <c r="C768" i="3" l="1"/>
  <c r="D768" i="3"/>
  <c r="E768" i="3"/>
  <c r="H768" i="3"/>
  <c r="J768" i="3" s="1"/>
  <c r="F768" i="3"/>
  <c r="I768" i="3"/>
  <c r="A769" i="3"/>
  <c r="B768" i="3"/>
  <c r="E769" i="3" l="1"/>
  <c r="B769" i="3"/>
  <c r="D769" i="3"/>
  <c r="I769" i="3"/>
  <c r="F769" i="3"/>
  <c r="C769" i="3"/>
  <c r="H769" i="3"/>
  <c r="J769" i="3" s="1"/>
  <c r="A770" i="3"/>
  <c r="B770" i="3" l="1"/>
  <c r="E770" i="3"/>
  <c r="C770" i="3"/>
  <c r="D770" i="3"/>
  <c r="I770" i="3"/>
  <c r="F770" i="3"/>
  <c r="A771" i="3"/>
  <c r="H770" i="3"/>
  <c r="J770" i="3" s="1"/>
  <c r="C771" i="3" l="1"/>
  <c r="B771" i="3"/>
  <c r="D771" i="3"/>
  <c r="E771" i="3"/>
  <c r="F771" i="3"/>
  <c r="H771" i="3"/>
  <c r="J771" i="3" s="1"/>
  <c r="A772" i="3"/>
  <c r="I771" i="3"/>
  <c r="E772" i="3" l="1"/>
  <c r="D772" i="3"/>
  <c r="C772" i="3"/>
  <c r="F772" i="3"/>
  <c r="B772" i="3"/>
  <c r="A773" i="3"/>
  <c r="I772" i="3"/>
  <c r="H772" i="3"/>
  <c r="J772" i="3" s="1"/>
  <c r="B773" i="3" l="1"/>
  <c r="D773" i="3"/>
  <c r="C773" i="3"/>
  <c r="I773" i="3"/>
  <c r="E773" i="3"/>
  <c r="H773" i="3"/>
  <c r="J773" i="3" s="1"/>
  <c r="A774" i="3"/>
  <c r="F773" i="3"/>
  <c r="C774" i="3" l="1"/>
  <c r="D774" i="3"/>
  <c r="B774" i="3"/>
  <c r="E774" i="3"/>
  <c r="H774" i="3"/>
  <c r="J774" i="3" s="1"/>
  <c r="I774" i="3"/>
  <c r="F774" i="3"/>
  <c r="A775" i="3"/>
  <c r="E775" i="3" l="1"/>
  <c r="C775" i="3"/>
  <c r="D775" i="3"/>
  <c r="B775" i="3"/>
  <c r="F775" i="3"/>
  <c r="H775" i="3"/>
  <c r="J775" i="3" s="1"/>
  <c r="I775" i="3"/>
  <c r="A776" i="3"/>
  <c r="B776" i="3" l="1"/>
  <c r="C776" i="3"/>
  <c r="D776" i="3"/>
  <c r="E776" i="3"/>
  <c r="F776" i="3"/>
  <c r="I776" i="3"/>
  <c r="H776" i="3"/>
  <c r="J776" i="3" s="1"/>
  <c r="A777" i="3"/>
  <c r="C777" i="3" l="1"/>
  <c r="D777" i="3"/>
  <c r="E777" i="3"/>
  <c r="B777" i="3"/>
  <c r="I777" i="3"/>
  <c r="A778" i="3"/>
  <c r="H777" i="3"/>
  <c r="J777" i="3" s="1"/>
  <c r="F777" i="3"/>
  <c r="E778" i="3" l="1"/>
  <c r="B778" i="3"/>
  <c r="D778" i="3"/>
  <c r="C778" i="3"/>
  <c r="I778" i="3"/>
  <c r="F778" i="3"/>
  <c r="H778" i="3"/>
  <c r="J778" i="3" s="1"/>
  <c r="A779" i="3"/>
  <c r="B779" i="3" l="1"/>
  <c r="E779" i="3"/>
  <c r="C779" i="3"/>
  <c r="D779" i="3"/>
  <c r="I779" i="3"/>
  <c r="A780" i="3"/>
  <c r="H779" i="3"/>
  <c r="J779" i="3" s="1"/>
  <c r="F779" i="3"/>
  <c r="C780" i="3" l="1"/>
  <c r="D780" i="3"/>
  <c r="B780" i="3"/>
  <c r="H780" i="3"/>
  <c r="J780" i="3" s="1"/>
  <c r="I780" i="3"/>
  <c r="E780" i="3"/>
  <c r="F780" i="3"/>
  <c r="A781" i="3"/>
  <c r="E781" i="3" l="1"/>
  <c r="D781" i="3"/>
  <c r="C781" i="3"/>
  <c r="I781" i="3"/>
  <c r="A782" i="3"/>
  <c r="B781" i="3"/>
  <c r="H781" i="3"/>
  <c r="J781" i="3" s="1"/>
  <c r="F781" i="3"/>
  <c r="B782" i="3" l="1"/>
  <c r="D782" i="3"/>
  <c r="A783" i="3"/>
  <c r="C782" i="3"/>
  <c r="H782" i="3"/>
  <c r="J782" i="3" s="1"/>
  <c r="F782" i="3"/>
  <c r="E782" i="3"/>
  <c r="I782" i="3"/>
  <c r="C783" i="3" l="1"/>
  <c r="B783" i="3"/>
  <c r="E783" i="3"/>
  <c r="H783" i="3"/>
  <c r="J783" i="3" s="1"/>
  <c r="D783" i="3"/>
  <c r="I783" i="3"/>
  <c r="F783" i="3"/>
  <c r="A784" i="3"/>
  <c r="E784" i="3" l="1"/>
  <c r="D784" i="3"/>
  <c r="B784" i="3"/>
  <c r="H784" i="3"/>
  <c r="J784" i="3" s="1"/>
  <c r="C784" i="3"/>
  <c r="F784" i="3"/>
  <c r="I784" i="3"/>
  <c r="A785" i="3"/>
  <c r="B785" i="3" l="1"/>
  <c r="C785" i="3"/>
  <c r="D785" i="3"/>
  <c r="E785" i="3"/>
  <c r="H785" i="3"/>
  <c r="J785" i="3" s="1"/>
  <c r="F785" i="3"/>
  <c r="A786" i="3"/>
  <c r="I785" i="3"/>
  <c r="C786" i="3" l="1"/>
  <c r="D786" i="3"/>
  <c r="E786" i="3"/>
  <c r="B786" i="3"/>
  <c r="I786" i="3"/>
  <c r="A787" i="3"/>
  <c r="H786" i="3"/>
  <c r="J786" i="3" s="1"/>
  <c r="F786" i="3"/>
  <c r="E787" i="3" l="1"/>
  <c r="B787" i="3"/>
  <c r="D787" i="3"/>
  <c r="F787" i="3"/>
  <c r="C787" i="3"/>
  <c r="I787" i="3"/>
  <c r="A788" i="3"/>
  <c r="H787" i="3"/>
  <c r="J787" i="3" s="1"/>
  <c r="B788" i="3" l="1"/>
  <c r="C788" i="3"/>
  <c r="D788" i="3"/>
  <c r="F788" i="3"/>
  <c r="E788" i="3"/>
  <c r="I788" i="3"/>
  <c r="H788" i="3"/>
  <c r="J788" i="3" s="1"/>
  <c r="A789" i="3"/>
  <c r="C789" i="3" l="1"/>
  <c r="B789" i="3"/>
  <c r="E789" i="3"/>
  <c r="F789" i="3"/>
  <c r="D789" i="3"/>
  <c r="H789" i="3"/>
  <c r="J789" i="3" s="1"/>
  <c r="I789" i="3"/>
  <c r="A790" i="3"/>
  <c r="E790" i="3" l="1"/>
  <c r="C790" i="3"/>
  <c r="D790" i="3"/>
  <c r="H790" i="3"/>
  <c r="J790" i="3" s="1"/>
  <c r="F790" i="3"/>
  <c r="A791" i="3"/>
  <c r="I790" i="3"/>
  <c r="B790" i="3"/>
  <c r="B791" i="3" l="1"/>
  <c r="D791" i="3"/>
  <c r="C791" i="3"/>
  <c r="I791" i="3"/>
  <c r="A792" i="3"/>
  <c r="E791" i="3"/>
  <c r="H791" i="3"/>
  <c r="J791" i="3" s="1"/>
  <c r="F791" i="3"/>
  <c r="C792" i="3" l="1"/>
  <c r="D792" i="3"/>
  <c r="B792" i="3"/>
  <c r="E792" i="3"/>
  <c r="A793" i="3"/>
  <c r="H792" i="3"/>
  <c r="J792" i="3" s="1"/>
  <c r="I792" i="3"/>
  <c r="F792" i="3"/>
  <c r="E793" i="3" l="1"/>
  <c r="C793" i="3"/>
  <c r="D793" i="3"/>
  <c r="B793" i="3"/>
  <c r="H793" i="3"/>
  <c r="J793" i="3" s="1"/>
  <c r="I793" i="3"/>
  <c r="A794" i="3"/>
  <c r="F793" i="3"/>
  <c r="B794" i="3" l="1"/>
  <c r="C794" i="3"/>
  <c r="D794" i="3"/>
  <c r="E794" i="3"/>
  <c r="I794" i="3"/>
  <c r="H794" i="3"/>
  <c r="J794" i="3" s="1"/>
  <c r="A795" i="3"/>
  <c r="F794" i="3"/>
  <c r="C795" i="3" l="1"/>
  <c r="D795" i="3"/>
  <c r="E795" i="3"/>
  <c r="B795" i="3"/>
  <c r="H795" i="3"/>
  <c r="J795" i="3" s="1"/>
  <c r="A796" i="3"/>
  <c r="I795" i="3"/>
  <c r="F795" i="3"/>
  <c r="E796" i="3" l="1"/>
  <c r="B796" i="3"/>
  <c r="D796" i="3"/>
  <c r="C796" i="3"/>
  <c r="I796" i="3"/>
  <c r="A797" i="3"/>
  <c r="H796" i="3"/>
  <c r="J796" i="3" s="1"/>
  <c r="F796" i="3"/>
  <c r="B797" i="3" l="1"/>
  <c r="E797" i="3"/>
  <c r="C797" i="3"/>
  <c r="H797" i="3"/>
  <c r="J797" i="3" s="1"/>
  <c r="A798" i="3"/>
  <c r="D797" i="3"/>
  <c r="I797" i="3"/>
  <c r="F797" i="3"/>
  <c r="C798" i="3" l="1"/>
  <c r="D798" i="3"/>
  <c r="B798" i="3"/>
  <c r="E798" i="3"/>
  <c r="H798" i="3"/>
  <c r="J798" i="3" s="1"/>
  <c r="F798" i="3"/>
  <c r="I798" i="3"/>
  <c r="A799" i="3"/>
  <c r="E799" i="3" l="1"/>
  <c r="C799" i="3"/>
  <c r="D799" i="3"/>
  <c r="B799" i="3"/>
  <c r="I799" i="3"/>
  <c r="A800" i="3"/>
  <c r="H799" i="3"/>
  <c r="J799" i="3" s="1"/>
  <c r="F799" i="3"/>
  <c r="B800" i="3" l="1"/>
  <c r="D800" i="3"/>
  <c r="C800" i="3"/>
  <c r="E800" i="3"/>
  <c r="I800" i="3"/>
  <c r="A801" i="3"/>
  <c r="H800" i="3"/>
  <c r="J800" i="3" s="1"/>
  <c r="F800" i="3"/>
  <c r="C801" i="3" l="1"/>
  <c r="B801" i="3"/>
  <c r="E801" i="3"/>
  <c r="D801" i="3"/>
  <c r="H801" i="3"/>
  <c r="J801" i="3" s="1"/>
  <c r="I801" i="3"/>
  <c r="F801" i="3"/>
  <c r="A802" i="3"/>
  <c r="E802" i="3" l="1"/>
  <c r="C802" i="3"/>
  <c r="D802" i="3"/>
  <c r="B802" i="3"/>
  <c r="I802" i="3"/>
  <c r="F802" i="3"/>
  <c r="A803" i="3"/>
  <c r="H802" i="3"/>
  <c r="J802" i="3" s="1"/>
  <c r="B803" i="3" l="1"/>
  <c r="C803" i="3"/>
  <c r="D803" i="3"/>
  <c r="I803" i="3"/>
  <c r="E803" i="3"/>
  <c r="A804" i="3"/>
  <c r="F803" i="3"/>
  <c r="H803" i="3"/>
  <c r="J803" i="3" s="1"/>
  <c r="C804" i="3" l="1"/>
  <c r="E804" i="3"/>
  <c r="H804" i="3"/>
  <c r="J804" i="3" s="1"/>
  <c r="F804" i="3"/>
  <c r="A805" i="3"/>
  <c r="D804" i="3"/>
  <c r="B804" i="3"/>
  <c r="I804" i="3"/>
  <c r="E805" i="3" l="1"/>
  <c r="B805" i="3"/>
  <c r="D805" i="3"/>
  <c r="C805" i="3"/>
  <c r="H805" i="3"/>
  <c r="J805" i="3" s="1"/>
  <c r="I805" i="3"/>
  <c r="A806" i="3"/>
  <c r="F805" i="3"/>
  <c r="B806" i="3" l="1"/>
  <c r="E806" i="3"/>
  <c r="C806" i="3"/>
  <c r="F806" i="3"/>
  <c r="D806" i="3"/>
  <c r="H806" i="3"/>
  <c r="J806" i="3" s="1"/>
  <c r="I806" i="3"/>
  <c r="A807" i="3"/>
  <c r="C807" i="3" l="1"/>
  <c r="B807" i="3"/>
  <c r="H807" i="3"/>
  <c r="J807" i="3" s="1"/>
  <c r="I807" i="3"/>
  <c r="D807" i="3"/>
  <c r="E807" i="3"/>
  <c r="A808" i="3"/>
  <c r="F807" i="3"/>
  <c r="E808" i="3" l="1"/>
  <c r="C808" i="3"/>
  <c r="D808" i="3"/>
  <c r="B808" i="3"/>
  <c r="A809" i="3"/>
  <c r="I808" i="3"/>
  <c r="F808" i="3"/>
  <c r="H808" i="3"/>
  <c r="J808" i="3" s="1"/>
  <c r="B809" i="3" l="1"/>
  <c r="D809" i="3"/>
  <c r="C809" i="3"/>
  <c r="E809" i="3"/>
  <c r="I809" i="3"/>
  <c r="F809" i="3"/>
  <c r="H809" i="3"/>
  <c r="J809" i="3" s="1"/>
  <c r="A810" i="3"/>
  <c r="C810" i="3" l="1"/>
  <c r="D810" i="3"/>
  <c r="B810" i="3"/>
  <c r="E810" i="3"/>
  <c r="I810" i="3"/>
  <c r="A811" i="3"/>
  <c r="H810" i="3"/>
  <c r="J810" i="3" s="1"/>
  <c r="F810" i="3"/>
  <c r="E811" i="3" l="1"/>
  <c r="C811" i="3"/>
  <c r="D811" i="3"/>
  <c r="B811" i="3"/>
  <c r="H811" i="3"/>
  <c r="J811" i="3" s="1"/>
  <c r="A812" i="3"/>
  <c r="I811" i="3"/>
  <c r="F811" i="3"/>
  <c r="B812" i="3" l="1"/>
  <c r="C812" i="3"/>
  <c r="D812" i="3"/>
  <c r="A813" i="3"/>
  <c r="H812" i="3"/>
  <c r="J812" i="3" s="1"/>
  <c r="E812" i="3"/>
  <c r="I812" i="3"/>
  <c r="F812" i="3"/>
  <c r="C813" i="3" l="1"/>
  <c r="E813" i="3"/>
  <c r="F813" i="3"/>
  <c r="D813" i="3"/>
  <c r="B813" i="3"/>
  <c r="A814" i="3"/>
  <c r="H813" i="3"/>
  <c r="J813" i="3" s="1"/>
  <c r="I813" i="3"/>
  <c r="E814" i="3" l="1"/>
  <c r="B814" i="3"/>
  <c r="D814" i="3"/>
  <c r="C814" i="3"/>
  <c r="F814" i="3"/>
  <c r="I814" i="3"/>
  <c r="H814" i="3"/>
  <c r="J814" i="3" s="1"/>
  <c r="A815" i="3"/>
  <c r="B815" i="3" l="1"/>
  <c r="E815" i="3"/>
  <c r="C815" i="3"/>
  <c r="H815" i="3"/>
  <c r="J815" i="3" s="1"/>
  <c r="I815" i="3"/>
  <c r="D815" i="3"/>
  <c r="F815" i="3"/>
  <c r="A816" i="3"/>
  <c r="C816" i="3" l="1"/>
  <c r="B816" i="3"/>
  <c r="H816" i="3"/>
  <c r="J816" i="3" s="1"/>
  <c r="I816" i="3"/>
  <c r="D816" i="3"/>
  <c r="E816" i="3"/>
  <c r="F816" i="3"/>
  <c r="A817" i="3"/>
  <c r="E817" i="3" l="1"/>
  <c r="C817" i="3"/>
  <c r="D817" i="3"/>
  <c r="B817" i="3"/>
  <c r="H817" i="3"/>
  <c r="J817" i="3" s="1"/>
  <c r="A818" i="3"/>
  <c r="F817" i="3"/>
  <c r="I817" i="3"/>
  <c r="B818" i="3" l="1"/>
  <c r="D818" i="3"/>
  <c r="C818" i="3"/>
  <c r="E818" i="3"/>
  <c r="F818" i="3"/>
  <c r="A819" i="3"/>
  <c r="I818" i="3"/>
  <c r="H818" i="3"/>
  <c r="J818" i="3" s="1"/>
  <c r="C819" i="3" l="1"/>
  <c r="D819" i="3"/>
  <c r="B819" i="3"/>
  <c r="A820" i="3"/>
  <c r="E819" i="3"/>
  <c r="H819" i="3"/>
  <c r="J819" i="3" s="1"/>
  <c r="I819" i="3"/>
  <c r="F819" i="3"/>
  <c r="E820" i="3" l="1"/>
  <c r="C820" i="3"/>
  <c r="D820" i="3"/>
  <c r="B820" i="3"/>
  <c r="H820" i="3"/>
  <c r="J820" i="3" s="1"/>
  <c r="F820" i="3"/>
  <c r="I820" i="3"/>
  <c r="A821" i="3"/>
  <c r="B821" i="3" l="1"/>
  <c r="C821" i="3"/>
  <c r="D821" i="3"/>
  <c r="E821" i="3"/>
  <c r="H821" i="3"/>
  <c r="J821" i="3" s="1"/>
  <c r="A822" i="3"/>
  <c r="F821" i="3"/>
  <c r="I821" i="3"/>
  <c r="C822" i="3" l="1"/>
  <c r="D822" i="3"/>
  <c r="E822" i="3"/>
  <c r="B822" i="3"/>
  <c r="H822" i="3"/>
  <c r="J822" i="3" s="1"/>
  <c r="A823" i="3"/>
  <c r="F822" i="3"/>
  <c r="I822" i="3"/>
  <c r="E823" i="3" l="1"/>
  <c r="B823" i="3"/>
  <c r="D823" i="3"/>
  <c r="C823" i="3"/>
  <c r="F823" i="3"/>
  <c r="I823" i="3"/>
  <c r="H823" i="3"/>
  <c r="J823" i="3" s="1"/>
  <c r="A824" i="3"/>
  <c r="B824" i="3" l="1"/>
  <c r="E824" i="3"/>
  <c r="C824" i="3"/>
  <c r="D824" i="3"/>
  <c r="I824" i="3"/>
  <c r="F824" i="3"/>
  <c r="H824" i="3"/>
  <c r="J824" i="3" s="1"/>
  <c r="A825" i="3"/>
  <c r="C825" i="3" l="1"/>
  <c r="B825" i="3"/>
  <c r="E825" i="3"/>
  <c r="D825" i="3"/>
  <c r="H825" i="3"/>
  <c r="J825" i="3" s="1"/>
  <c r="A826" i="3"/>
  <c r="F825" i="3"/>
  <c r="I825" i="3"/>
  <c r="E826" i="3" l="1"/>
  <c r="C826" i="3"/>
  <c r="D826" i="3"/>
  <c r="B826" i="3"/>
  <c r="H826" i="3"/>
  <c r="J826" i="3" s="1"/>
  <c r="F826" i="3"/>
  <c r="A827" i="3"/>
  <c r="I826" i="3"/>
  <c r="B827" i="3" l="1"/>
  <c r="D827" i="3"/>
  <c r="C827" i="3"/>
  <c r="H827" i="3"/>
  <c r="J827" i="3" s="1"/>
  <c r="A828" i="3"/>
  <c r="E827" i="3"/>
  <c r="F827" i="3"/>
  <c r="I827" i="3"/>
  <c r="C828" i="3" l="1"/>
  <c r="B828" i="3"/>
  <c r="E828" i="3"/>
  <c r="D828" i="3"/>
  <c r="I828" i="3"/>
  <c r="H828" i="3"/>
  <c r="J828" i="3" s="1"/>
  <c r="F828" i="3"/>
  <c r="A829" i="3"/>
  <c r="E829" i="3" l="1"/>
  <c r="D829" i="3"/>
  <c r="H829" i="3"/>
  <c r="J829" i="3" s="1"/>
  <c r="F829" i="3"/>
  <c r="C829" i="3"/>
  <c r="B829" i="3"/>
  <c r="A830" i="3"/>
  <c r="I829" i="3"/>
  <c r="B830" i="3" l="1"/>
  <c r="C830" i="3"/>
  <c r="D830" i="3"/>
  <c r="E830" i="3"/>
  <c r="A831" i="3"/>
  <c r="H830" i="3"/>
  <c r="J830" i="3" s="1"/>
  <c r="I830" i="3"/>
  <c r="F830" i="3"/>
  <c r="C831" i="3" l="1"/>
  <c r="D831" i="3"/>
  <c r="E831" i="3"/>
  <c r="A832" i="3"/>
  <c r="B831" i="3"/>
  <c r="H831" i="3"/>
  <c r="J831" i="3" s="1"/>
  <c r="I831" i="3"/>
  <c r="F831" i="3"/>
  <c r="E832" i="3" l="1"/>
  <c r="B832" i="3"/>
  <c r="D832" i="3"/>
  <c r="C832" i="3"/>
  <c r="A833" i="3"/>
  <c r="I832" i="3"/>
  <c r="H832" i="3"/>
  <c r="J832" i="3" s="1"/>
  <c r="F832" i="3"/>
  <c r="B833" i="3" l="1"/>
  <c r="E833" i="3"/>
  <c r="C833" i="3"/>
  <c r="D833" i="3"/>
  <c r="I833" i="3"/>
  <c r="A834" i="3"/>
  <c r="H833" i="3"/>
  <c r="J833" i="3" s="1"/>
  <c r="F833" i="3"/>
  <c r="C834" i="3" l="1"/>
  <c r="D834" i="3"/>
  <c r="E834" i="3"/>
  <c r="H834" i="3"/>
  <c r="J834" i="3" s="1"/>
  <c r="F834" i="3"/>
  <c r="B834" i="3"/>
  <c r="A835" i="3"/>
  <c r="I834" i="3"/>
  <c r="E835" i="3" l="1"/>
  <c r="C835" i="3"/>
  <c r="D835" i="3"/>
  <c r="F835" i="3"/>
  <c r="B835" i="3"/>
  <c r="H835" i="3"/>
  <c r="J835" i="3" s="1"/>
  <c r="I835" i="3"/>
  <c r="A836" i="3"/>
  <c r="B836" i="3" l="1"/>
  <c r="D836" i="3"/>
  <c r="C836" i="3"/>
  <c r="F836" i="3"/>
  <c r="E836" i="3"/>
  <c r="I836" i="3"/>
  <c r="H836" i="3"/>
  <c r="J836" i="3" s="1"/>
  <c r="A837" i="3"/>
  <c r="C837" i="3" l="1"/>
  <c r="D837" i="3"/>
  <c r="B837" i="3"/>
  <c r="I837" i="3"/>
  <c r="A838" i="3"/>
  <c r="E837" i="3"/>
  <c r="H837" i="3"/>
  <c r="J837" i="3" s="1"/>
  <c r="F837" i="3"/>
  <c r="E838" i="3" l="1"/>
  <c r="C838" i="3"/>
  <c r="D838" i="3"/>
  <c r="H838" i="3"/>
  <c r="J838" i="3" s="1"/>
  <c r="F838" i="3"/>
  <c r="A839" i="3"/>
  <c r="B838" i="3"/>
  <c r="I838" i="3"/>
  <c r="B839" i="3" l="1"/>
  <c r="E839" i="3"/>
  <c r="C839" i="3"/>
  <c r="A840" i="3"/>
  <c r="D839" i="3"/>
  <c r="H839" i="3"/>
  <c r="J839" i="3" s="1"/>
  <c r="I839" i="3"/>
  <c r="F839" i="3"/>
  <c r="C840" i="3" l="1"/>
  <c r="D840" i="3"/>
  <c r="E840" i="3"/>
  <c r="B840" i="3"/>
  <c r="I840" i="3"/>
  <c r="F840" i="3"/>
  <c r="A841" i="3"/>
  <c r="H840" i="3"/>
  <c r="J840" i="3" s="1"/>
  <c r="E841" i="3" l="1"/>
  <c r="B841" i="3"/>
  <c r="C841" i="3"/>
  <c r="A842" i="3"/>
  <c r="D841" i="3"/>
  <c r="H841" i="3"/>
  <c r="J841" i="3" s="1"/>
  <c r="I841" i="3"/>
  <c r="F841" i="3"/>
  <c r="B842" i="3" l="1"/>
  <c r="E842" i="3"/>
  <c r="C842" i="3"/>
  <c r="D842" i="3"/>
  <c r="H842" i="3"/>
  <c r="J842" i="3" s="1"/>
  <c r="F842" i="3"/>
  <c r="I842" i="3"/>
  <c r="A843" i="3"/>
  <c r="C843" i="3" l="1"/>
  <c r="D843" i="3"/>
  <c r="B843" i="3"/>
  <c r="H843" i="3"/>
  <c r="J843" i="3" s="1"/>
  <c r="I843" i="3"/>
  <c r="F843" i="3"/>
  <c r="E843" i="3"/>
  <c r="A844" i="3"/>
  <c r="E844" i="3" l="1"/>
  <c r="C844" i="3"/>
  <c r="D844" i="3"/>
  <c r="I844" i="3"/>
  <c r="A845" i="3"/>
  <c r="B844" i="3"/>
  <c r="H844" i="3"/>
  <c r="J844" i="3" s="1"/>
  <c r="F844" i="3"/>
  <c r="B845" i="3" l="1"/>
  <c r="D845" i="3"/>
  <c r="C845" i="3"/>
  <c r="E845" i="3"/>
  <c r="I845" i="3"/>
  <c r="F845" i="3"/>
  <c r="H845" i="3"/>
  <c r="J845" i="3" s="1"/>
  <c r="A846" i="3"/>
  <c r="C846" i="3" l="1"/>
  <c r="D846" i="3"/>
  <c r="E846" i="3"/>
  <c r="I846" i="3"/>
  <c r="B846" i="3"/>
  <c r="H846" i="3"/>
  <c r="J846" i="3" s="1"/>
  <c r="A847" i="3"/>
  <c r="F846" i="3"/>
  <c r="E847" i="3" l="1"/>
  <c r="C847" i="3"/>
  <c r="D847" i="3"/>
  <c r="I847" i="3"/>
  <c r="B847" i="3"/>
  <c r="H847" i="3"/>
  <c r="J847" i="3" s="1"/>
  <c r="A848" i="3"/>
  <c r="F847" i="3"/>
  <c r="B848" i="3" l="1"/>
  <c r="E848" i="3"/>
  <c r="C848" i="3"/>
  <c r="I848" i="3"/>
  <c r="F848" i="3"/>
  <c r="D848" i="3"/>
  <c r="A849" i="3"/>
  <c r="H848" i="3"/>
  <c r="J848" i="3" s="1"/>
  <c r="C849" i="3" l="1"/>
  <c r="B849" i="3"/>
  <c r="H849" i="3"/>
  <c r="J849" i="3" s="1"/>
  <c r="D849" i="3"/>
  <c r="E849" i="3"/>
  <c r="F849" i="3"/>
  <c r="I849" i="3"/>
  <c r="A850" i="3"/>
  <c r="E850" i="3" l="1"/>
  <c r="D850" i="3"/>
  <c r="B850" i="3"/>
  <c r="C850" i="3"/>
  <c r="A851" i="3"/>
  <c r="H850" i="3"/>
  <c r="J850" i="3" s="1"/>
  <c r="I850" i="3"/>
  <c r="F850" i="3"/>
  <c r="B851" i="3" l="1"/>
  <c r="E851" i="3"/>
  <c r="C851" i="3"/>
  <c r="F851" i="3"/>
  <c r="D851" i="3"/>
  <c r="H851" i="3"/>
  <c r="J851" i="3" s="1"/>
  <c r="I851" i="3"/>
  <c r="A852" i="3"/>
  <c r="C852" i="3" l="1"/>
  <c r="D852" i="3"/>
  <c r="B852" i="3"/>
  <c r="E852" i="3"/>
  <c r="I852" i="3"/>
  <c r="F852" i="3"/>
  <c r="H852" i="3"/>
  <c r="J852" i="3" s="1"/>
  <c r="A853" i="3"/>
  <c r="E853" i="3" l="1"/>
  <c r="C853" i="3"/>
  <c r="D853" i="3"/>
  <c r="B853" i="3"/>
  <c r="I853" i="3"/>
  <c r="A854" i="3"/>
  <c r="H853" i="3"/>
  <c r="J853" i="3" s="1"/>
  <c r="F853" i="3"/>
  <c r="B854" i="3" l="1"/>
  <c r="D854" i="3"/>
  <c r="C854" i="3"/>
  <c r="E854" i="3"/>
  <c r="H854" i="3"/>
  <c r="J854" i="3" s="1"/>
  <c r="A855" i="3"/>
  <c r="F854" i="3"/>
  <c r="I854" i="3"/>
  <c r="C855" i="3" l="1"/>
  <c r="D855" i="3"/>
  <c r="E855" i="3"/>
  <c r="B855" i="3"/>
  <c r="H855" i="3"/>
  <c r="J855" i="3" s="1"/>
  <c r="F855" i="3"/>
  <c r="A856" i="3"/>
  <c r="I855" i="3"/>
  <c r="E856" i="3" l="1"/>
  <c r="C856" i="3"/>
  <c r="D856" i="3"/>
  <c r="H856" i="3"/>
  <c r="J856" i="3" s="1"/>
  <c r="F856" i="3"/>
  <c r="I856" i="3"/>
  <c r="A857" i="3"/>
  <c r="B856" i="3"/>
  <c r="B857" i="3" l="1"/>
  <c r="D857" i="3"/>
  <c r="E857" i="3"/>
  <c r="C857" i="3"/>
  <c r="H857" i="3"/>
  <c r="J857" i="3" s="1"/>
  <c r="A858" i="3"/>
  <c r="F857" i="3"/>
  <c r="I857" i="3"/>
  <c r="C858" i="3" l="1"/>
  <c r="D858" i="3"/>
  <c r="E858" i="3"/>
  <c r="H858" i="3"/>
  <c r="J858" i="3" s="1"/>
  <c r="A859" i="3"/>
  <c r="F858" i="3"/>
  <c r="B858" i="3"/>
  <c r="I858" i="3"/>
  <c r="E859" i="3" l="1"/>
  <c r="C859" i="3"/>
  <c r="H859" i="3"/>
  <c r="J859" i="3" s="1"/>
  <c r="A860" i="3"/>
  <c r="B859" i="3"/>
  <c r="I859" i="3"/>
  <c r="F859" i="3"/>
  <c r="D859" i="3"/>
  <c r="B860" i="3" l="1"/>
  <c r="E860" i="3"/>
  <c r="C860" i="3"/>
  <c r="D860" i="3"/>
  <c r="A861" i="3"/>
  <c r="I860" i="3"/>
  <c r="H860" i="3"/>
  <c r="J860" i="3" s="1"/>
  <c r="F860" i="3"/>
  <c r="C861" i="3" l="1"/>
  <c r="D861" i="3"/>
  <c r="E861" i="3"/>
  <c r="H861" i="3"/>
  <c r="J861" i="3" s="1"/>
  <c r="A862" i="3"/>
  <c r="B861" i="3"/>
  <c r="F861" i="3"/>
  <c r="I861" i="3"/>
  <c r="E862" i="3" l="1"/>
  <c r="C862" i="3"/>
  <c r="D862" i="3"/>
  <c r="B862" i="3"/>
  <c r="F862" i="3"/>
  <c r="H862" i="3"/>
  <c r="J862" i="3" s="1"/>
  <c r="I862" i="3"/>
  <c r="A863" i="3"/>
  <c r="B863" i="3" l="1"/>
  <c r="D863" i="3"/>
  <c r="C863" i="3"/>
  <c r="E863" i="3"/>
  <c r="H863" i="3"/>
  <c r="J863" i="3" s="1"/>
  <c r="A864" i="3"/>
  <c r="F863" i="3"/>
  <c r="I863" i="3"/>
  <c r="C864" i="3" l="1"/>
  <c r="D864" i="3"/>
  <c r="B864" i="3"/>
  <c r="E864" i="3"/>
  <c r="I864" i="3"/>
  <c r="A865" i="3"/>
  <c r="H864" i="3"/>
  <c r="J864" i="3" s="1"/>
  <c r="F864" i="3"/>
  <c r="E865" i="3" l="1"/>
  <c r="C865" i="3"/>
  <c r="D865" i="3"/>
  <c r="H865" i="3"/>
  <c r="J865" i="3" s="1"/>
  <c r="A866" i="3"/>
  <c r="B865" i="3"/>
  <c r="F865" i="3"/>
  <c r="I865" i="3"/>
  <c r="B866" i="3" l="1"/>
  <c r="E866" i="3"/>
  <c r="C866" i="3"/>
  <c r="D866" i="3"/>
  <c r="I866" i="3"/>
  <c r="F866" i="3"/>
  <c r="H866" i="3"/>
  <c r="J866" i="3" s="1"/>
  <c r="A867" i="3"/>
  <c r="C867" i="3" l="1"/>
  <c r="D867" i="3"/>
  <c r="E867" i="3"/>
  <c r="B867" i="3"/>
  <c r="I867" i="3"/>
  <c r="A868" i="3"/>
  <c r="F867" i="3"/>
  <c r="H867" i="3"/>
  <c r="J867" i="3" s="1"/>
  <c r="E868" i="3" l="1"/>
  <c r="B868" i="3"/>
  <c r="C868" i="3"/>
  <c r="I868" i="3"/>
  <c r="F868" i="3"/>
  <c r="D868" i="3"/>
  <c r="H868" i="3"/>
  <c r="J868" i="3" s="1"/>
  <c r="A869" i="3"/>
  <c r="B869" i="3" l="1"/>
  <c r="E869" i="3"/>
  <c r="C869" i="3"/>
  <c r="D869" i="3"/>
  <c r="I869" i="3"/>
  <c r="F869" i="3"/>
  <c r="H869" i="3"/>
  <c r="J869" i="3" s="1"/>
  <c r="A870" i="3"/>
  <c r="C870" i="3" l="1"/>
  <c r="B870" i="3"/>
  <c r="E870" i="3"/>
  <c r="D870" i="3"/>
  <c r="H870" i="3"/>
  <c r="J870" i="3" s="1"/>
  <c r="F870" i="3"/>
  <c r="I870" i="3"/>
  <c r="A871" i="3"/>
  <c r="A872" i="3" l="1"/>
  <c r="B871" i="3"/>
  <c r="D871" i="3"/>
  <c r="H871" i="3"/>
  <c r="J871" i="3" s="1"/>
  <c r="C871" i="3"/>
  <c r="E871" i="3"/>
  <c r="I871" i="3"/>
  <c r="F871" i="3"/>
  <c r="B872" i="3" l="1"/>
  <c r="C872" i="3"/>
  <c r="D872" i="3"/>
  <c r="A873" i="3"/>
  <c r="H872" i="3"/>
  <c r="J872" i="3" s="1"/>
  <c r="I872" i="3"/>
  <c r="E872" i="3"/>
  <c r="F872" i="3"/>
  <c r="C873" i="3" l="1"/>
  <c r="D873" i="3"/>
  <c r="B873" i="3"/>
  <c r="I873" i="3"/>
  <c r="H873" i="3"/>
  <c r="J873" i="3" s="1"/>
  <c r="F873" i="3"/>
  <c r="A874" i="3"/>
  <c r="E873" i="3"/>
  <c r="A875" i="3" l="1"/>
  <c r="C874" i="3"/>
  <c r="D874" i="3"/>
  <c r="B874" i="3"/>
  <c r="E874" i="3"/>
  <c r="I874" i="3"/>
  <c r="H874" i="3"/>
  <c r="J874" i="3" s="1"/>
  <c r="F874" i="3"/>
  <c r="B875" i="3" l="1"/>
  <c r="D875" i="3"/>
  <c r="A876" i="3"/>
  <c r="E875" i="3"/>
  <c r="H875" i="3"/>
  <c r="J875" i="3" s="1"/>
  <c r="F875" i="3"/>
  <c r="C875" i="3"/>
  <c r="I875" i="3"/>
  <c r="C876" i="3" l="1"/>
  <c r="D876" i="3"/>
  <c r="B876" i="3"/>
  <c r="A877" i="3"/>
  <c r="F876" i="3"/>
  <c r="H876" i="3"/>
  <c r="J876" i="3" s="1"/>
  <c r="E876" i="3"/>
  <c r="I876" i="3"/>
  <c r="A878" i="3" l="1"/>
  <c r="C877" i="3"/>
  <c r="D877" i="3"/>
  <c r="I877" i="3"/>
  <c r="F877" i="3"/>
  <c r="B877" i="3"/>
  <c r="H877" i="3"/>
  <c r="J877" i="3" s="1"/>
  <c r="E877" i="3"/>
  <c r="B878" i="3" l="1"/>
  <c r="A879" i="3"/>
  <c r="C878" i="3"/>
  <c r="F878" i="3"/>
  <c r="E878" i="3"/>
  <c r="I878" i="3"/>
  <c r="D878" i="3"/>
  <c r="H878" i="3"/>
  <c r="J878" i="3" s="1"/>
  <c r="C879" i="3" l="1"/>
  <c r="A880" i="3"/>
  <c r="B879" i="3"/>
  <c r="D879" i="3"/>
  <c r="E879" i="3"/>
  <c r="F879" i="3"/>
  <c r="I879" i="3"/>
  <c r="H879" i="3"/>
  <c r="J879" i="3" s="1"/>
  <c r="A881" i="3" l="1"/>
  <c r="B880" i="3"/>
  <c r="C880" i="3"/>
  <c r="H880" i="3"/>
  <c r="J880" i="3" s="1"/>
  <c r="E880" i="3"/>
  <c r="F880" i="3"/>
  <c r="D880" i="3"/>
  <c r="I880" i="3"/>
  <c r="B881" i="3" l="1"/>
  <c r="A882" i="3"/>
  <c r="C881" i="3"/>
  <c r="I881" i="3"/>
  <c r="F881" i="3"/>
  <c r="D881" i="3"/>
  <c r="H881" i="3"/>
  <c r="J881" i="3" s="1"/>
  <c r="E881" i="3"/>
  <c r="C882" i="3" l="1"/>
  <c r="D882" i="3"/>
  <c r="B882" i="3"/>
  <c r="I882" i="3"/>
  <c r="A883" i="3"/>
  <c r="H882" i="3"/>
  <c r="J882" i="3" s="1"/>
  <c r="E882" i="3"/>
  <c r="F882" i="3"/>
  <c r="A884" i="3" l="1"/>
  <c r="C883" i="3"/>
  <c r="D883" i="3"/>
  <c r="H883" i="3"/>
  <c r="J883" i="3" s="1"/>
  <c r="B883" i="3"/>
  <c r="F883" i="3"/>
  <c r="I883" i="3"/>
  <c r="E883" i="3"/>
  <c r="B884" i="3" l="1"/>
  <c r="A885" i="3"/>
  <c r="C884" i="3"/>
  <c r="D884" i="3"/>
  <c r="I884" i="3"/>
  <c r="E884" i="3"/>
  <c r="H884" i="3"/>
  <c r="J884" i="3" s="1"/>
  <c r="F884" i="3"/>
  <c r="C885" i="3" l="1"/>
  <c r="D885" i="3"/>
  <c r="B885" i="3"/>
  <c r="A886" i="3"/>
  <c r="I885" i="3"/>
  <c r="E885" i="3"/>
  <c r="H885" i="3"/>
  <c r="J885" i="3" s="1"/>
  <c r="F885" i="3"/>
  <c r="A887" i="3" l="1"/>
  <c r="C886" i="3"/>
  <c r="D886" i="3"/>
  <c r="H886" i="3"/>
  <c r="J886" i="3" s="1"/>
  <c r="E886" i="3"/>
  <c r="B886" i="3"/>
  <c r="F886" i="3"/>
  <c r="I886" i="3"/>
  <c r="B887" i="3" l="1"/>
  <c r="C887" i="3"/>
  <c r="A888" i="3"/>
  <c r="I887" i="3"/>
  <c r="F887" i="3"/>
  <c r="D887" i="3"/>
  <c r="H887" i="3"/>
  <c r="J887" i="3" s="1"/>
  <c r="E887" i="3"/>
  <c r="C888" i="3" l="1"/>
  <c r="D888" i="3"/>
  <c r="A889" i="3"/>
  <c r="E888" i="3"/>
  <c r="B888" i="3"/>
  <c r="H888" i="3"/>
  <c r="J888" i="3" s="1"/>
  <c r="I888" i="3"/>
  <c r="F888" i="3"/>
  <c r="A890" i="3" l="1"/>
  <c r="B889" i="3"/>
  <c r="C889" i="3"/>
  <c r="D889" i="3"/>
  <c r="I889" i="3"/>
  <c r="F889" i="3"/>
  <c r="H889" i="3"/>
  <c r="J889" i="3" s="1"/>
  <c r="E889" i="3"/>
  <c r="B890" i="3" l="1"/>
  <c r="A891" i="3"/>
  <c r="C890" i="3"/>
  <c r="D890" i="3"/>
  <c r="H890" i="3"/>
  <c r="J890" i="3" s="1"/>
  <c r="F890" i="3"/>
  <c r="I890" i="3"/>
  <c r="E890" i="3"/>
  <c r="C891" i="3" l="1"/>
  <c r="D891" i="3"/>
  <c r="B891" i="3"/>
  <c r="A892" i="3"/>
  <c r="F891" i="3"/>
  <c r="H891" i="3"/>
  <c r="J891" i="3" s="1"/>
  <c r="I891" i="3"/>
  <c r="E891" i="3"/>
  <c r="A893" i="3" l="1"/>
  <c r="C892" i="3"/>
  <c r="D892" i="3"/>
  <c r="B892" i="3"/>
  <c r="H892" i="3"/>
  <c r="J892" i="3" s="1"/>
  <c r="E892" i="3"/>
  <c r="F892" i="3"/>
  <c r="I892" i="3"/>
  <c r="B893" i="3" l="1"/>
  <c r="D893" i="3"/>
  <c r="A894" i="3"/>
  <c r="C893" i="3"/>
  <c r="I893" i="3"/>
  <c r="H893" i="3"/>
  <c r="J893" i="3" s="1"/>
  <c r="F893" i="3"/>
  <c r="E893" i="3"/>
  <c r="C894" i="3" l="1"/>
  <c r="D894" i="3"/>
  <c r="B894" i="3"/>
  <c r="H894" i="3"/>
  <c r="J894" i="3" s="1"/>
  <c r="I894" i="3"/>
  <c r="E894" i="3"/>
  <c r="A895" i="3"/>
  <c r="F894" i="3"/>
  <c r="A896" i="3" l="1"/>
  <c r="C895" i="3"/>
  <c r="D895" i="3"/>
  <c r="H895" i="3"/>
  <c r="J895" i="3" s="1"/>
  <c r="I895" i="3"/>
  <c r="F895" i="3"/>
  <c r="E895" i="3"/>
  <c r="B895" i="3"/>
  <c r="B896" i="3" l="1"/>
  <c r="A897" i="3"/>
  <c r="C896" i="3"/>
  <c r="D896" i="3"/>
  <c r="F896" i="3"/>
  <c r="H896" i="3"/>
  <c r="J896" i="3" s="1"/>
  <c r="I896" i="3"/>
  <c r="E896" i="3"/>
  <c r="C897" i="3" l="1"/>
  <c r="D897" i="3"/>
  <c r="A898" i="3"/>
  <c r="B897" i="3"/>
  <c r="I897" i="3"/>
  <c r="F897" i="3"/>
  <c r="E897" i="3"/>
  <c r="H897" i="3"/>
  <c r="J897" i="3" s="1"/>
  <c r="A899" i="3" l="1"/>
  <c r="B898" i="3"/>
  <c r="C898" i="3"/>
  <c r="D898" i="3"/>
  <c r="I898" i="3"/>
  <c r="F898" i="3"/>
  <c r="H898" i="3"/>
  <c r="J898" i="3" s="1"/>
  <c r="E898" i="3"/>
  <c r="B899" i="3" l="1"/>
  <c r="A900" i="3"/>
  <c r="C899" i="3"/>
  <c r="I899" i="3"/>
  <c r="F899" i="3"/>
  <c r="E899" i="3"/>
  <c r="H899" i="3"/>
  <c r="J899" i="3" s="1"/>
  <c r="D899" i="3"/>
  <c r="C900" i="3" l="1"/>
  <c r="D900" i="3"/>
  <c r="B900" i="3"/>
  <c r="A901" i="3"/>
  <c r="I900" i="3"/>
  <c r="F900" i="3"/>
  <c r="H900" i="3"/>
  <c r="J900" i="3" s="1"/>
  <c r="E900" i="3"/>
  <c r="A902" i="3" l="1"/>
  <c r="H901" i="3"/>
  <c r="J901" i="3" s="1"/>
  <c r="F901" i="3"/>
  <c r="E901" i="3"/>
  <c r="C901" i="3"/>
  <c r="B901" i="3"/>
  <c r="D901" i="3"/>
  <c r="I901" i="3"/>
  <c r="B902" i="3" l="1"/>
  <c r="D902" i="3"/>
  <c r="A903" i="3"/>
  <c r="C902" i="3"/>
  <c r="E902" i="3"/>
  <c r="H902" i="3"/>
  <c r="J902" i="3" s="1"/>
  <c r="I902" i="3"/>
  <c r="F902" i="3"/>
  <c r="C903" i="3" l="1"/>
  <c r="D903" i="3"/>
  <c r="B903" i="3"/>
  <c r="A904" i="3"/>
  <c r="I903" i="3"/>
  <c r="F903" i="3"/>
  <c r="H903" i="3"/>
  <c r="J903" i="3" s="1"/>
  <c r="E903" i="3"/>
  <c r="A905" i="3" l="1"/>
  <c r="C904" i="3"/>
  <c r="D904" i="3"/>
  <c r="H904" i="3"/>
  <c r="J904" i="3" s="1"/>
  <c r="F904" i="3"/>
  <c r="E904" i="3"/>
  <c r="B904" i="3"/>
  <c r="I904" i="3"/>
  <c r="B905" i="3" l="1"/>
  <c r="A906" i="3"/>
  <c r="C905" i="3"/>
  <c r="D905" i="3"/>
  <c r="I905" i="3"/>
  <c r="H905" i="3"/>
  <c r="J905" i="3" s="1"/>
  <c r="F905" i="3"/>
  <c r="E905" i="3"/>
  <c r="C906" i="3" l="1"/>
  <c r="D906" i="3"/>
  <c r="A907" i="3"/>
  <c r="B906" i="3"/>
  <c r="H906" i="3"/>
  <c r="J906" i="3" s="1"/>
  <c r="F906" i="3"/>
  <c r="I906" i="3"/>
  <c r="E906" i="3"/>
  <c r="A908" i="3" l="1"/>
  <c r="B907" i="3"/>
  <c r="C907" i="3"/>
  <c r="D907" i="3"/>
  <c r="H907" i="3"/>
  <c r="J907" i="3" s="1"/>
  <c r="F907" i="3"/>
  <c r="I907" i="3"/>
  <c r="E907" i="3"/>
  <c r="B908" i="3" l="1"/>
  <c r="A909" i="3"/>
  <c r="C908" i="3"/>
  <c r="D908" i="3"/>
  <c r="H908" i="3"/>
  <c r="J908" i="3" s="1"/>
  <c r="F908" i="3"/>
  <c r="I908" i="3"/>
  <c r="E908" i="3"/>
  <c r="C909" i="3" l="1"/>
  <c r="D909" i="3"/>
  <c r="B909" i="3"/>
  <c r="A910" i="3"/>
  <c r="I909" i="3"/>
  <c r="H909" i="3"/>
  <c r="J909" i="3" s="1"/>
  <c r="F909" i="3"/>
  <c r="E909" i="3"/>
  <c r="A911" i="3" l="1"/>
  <c r="C910" i="3"/>
  <c r="D910" i="3"/>
  <c r="B910" i="3"/>
  <c r="H910" i="3"/>
  <c r="J910" i="3" s="1"/>
  <c r="I910" i="3"/>
  <c r="F910" i="3"/>
  <c r="E910" i="3"/>
  <c r="B911" i="3" l="1"/>
  <c r="D911" i="3"/>
  <c r="A912" i="3"/>
  <c r="C911" i="3"/>
  <c r="F911" i="3"/>
  <c r="H911" i="3"/>
  <c r="J911" i="3" s="1"/>
  <c r="I911" i="3"/>
  <c r="E911" i="3"/>
  <c r="C912" i="3" l="1"/>
  <c r="D912" i="3"/>
  <c r="B912" i="3"/>
  <c r="H912" i="3"/>
  <c r="J912" i="3" s="1"/>
  <c r="I912" i="3"/>
  <c r="F912" i="3"/>
  <c r="A913" i="3"/>
  <c r="E912" i="3"/>
  <c r="A914" i="3" l="1"/>
  <c r="D913" i="3"/>
  <c r="E913" i="3"/>
  <c r="C913" i="3"/>
  <c r="H913" i="3"/>
  <c r="J913" i="3" s="1"/>
  <c r="F913" i="3"/>
  <c r="I913" i="3"/>
  <c r="B913" i="3"/>
  <c r="B914" i="3" l="1"/>
  <c r="A915" i="3"/>
  <c r="C914" i="3"/>
  <c r="I914" i="3"/>
  <c r="E914" i="3"/>
  <c r="H914" i="3"/>
  <c r="J914" i="3" s="1"/>
  <c r="F914" i="3"/>
  <c r="D914" i="3"/>
  <c r="C915" i="3" l="1"/>
  <c r="D915" i="3"/>
  <c r="A916" i="3"/>
  <c r="B915" i="3"/>
  <c r="E915" i="3"/>
  <c r="I915" i="3"/>
  <c r="H915" i="3"/>
  <c r="J915" i="3" s="1"/>
  <c r="F915" i="3"/>
  <c r="A917" i="3" l="1"/>
  <c r="B916" i="3"/>
  <c r="C916" i="3"/>
  <c r="D916" i="3"/>
  <c r="I916" i="3"/>
  <c r="H916" i="3"/>
  <c r="J916" i="3" s="1"/>
  <c r="E916" i="3"/>
  <c r="F916" i="3"/>
  <c r="B917" i="3" l="1"/>
  <c r="A918" i="3"/>
  <c r="C917" i="3"/>
  <c r="D917" i="3"/>
  <c r="I917" i="3"/>
  <c r="E917" i="3"/>
  <c r="H917" i="3"/>
  <c r="J917" i="3" s="1"/>
  <c r="F917" i="3"/>
  <c r="C918" i="3" l="1"/>
  <c r="B918" i="3"/>
  <c r="H918" i="3"/>
  <c r="J918" i="3" s="1"/>
  <c r="I918" i="3"/>
  <c r="D918" i="3"/>
  <c r="A919" i="3"/>
  <c r="F918" i="3"/>
  <c r="E918" i="3"/>
  <c r="A920" i="3" l="1"/>
  <c r="C919" i="3"/>
  <c r="D919" i="3"/>
  <c r="H919" i="3"/>
  <c r="J919" i="3" s="1"/>
  <c r="E919" i="3"/>
  <c r="I919" i="3"/>
  <c r="B919" i="3"/>
  <c r="F919" i="3"/>
  <c r="B920" i="3" l="1"/>
  <c r="D920" i="3"/>
  <c r="A921" i="3"/>
  <c r="H920" i="3"/>
  <c r="J920" i="3" s="1"/>
  <c r="F920" i="3"/>
  <c r="C920" i="3"/>
  <c r="I920" i="3"/>
  <c r="E920" i="3"/>
  <c r="C921" i="3" l="1"/>
  <c r="D921" i="3"/>
  <c r="B921" i="3"/>
  <c r="I921" i="3"/>
  <c r="E921" i="3"/>
  <c r="A922" i="3"/>
  <c r="H921" i="3"/>
  <c r="J921" i="3" s="1"/>
  <c r="F921" i="3"/>
  <c r="A923" i="3" l="1"/>
  <c r="C922" i="3"/>
  <c r="D922" i="3"/>
  <c r="H922" i="3"/>
  <c r="J922" i="3" s="1"/>
  <c r="E922" i="3"/>
  <c r="B922" i="3"/>
  <c r="I922" i="3"/>
  <c r="F922" i="3"/>
  <c r="B923" i="3" l="1"/>
  <c r="A924" i="3"/>
  <c r="C923" i="3"/>
  <c r="I923" i="3"/>
  <c r="E923" i="3"/>
  <c r="D923" i="3"/>
  <c r="H923" i="3"/>
  <c r="J923" i="3" s="1"/>
  <c r="F923" i="3"/>
  <c r="C924" i="3" l="1"/>
  <c r="D924" i="3"/>
  <c r="A925" i="3"/>
  <c r="B924" i="3"/>
  <c r="H924" i="3"/>
  <c r="J924" i="3" s="1"/>
  <c r="F924" i="3"/>
  <c r="I924" i="3"/>
  <c r="E924" i="3"/>
  <c r="A926" i="3" l="1"/>
  <c r="B925" i="3"/>
  <c r="C925" i="3"/>
  <c r="I925" i="3"/>
  <c r="F925" i="3"/>
  <c r="H925" i="3"/>
  <c r="J925" i="3" s="1"/>
  <c r="E925" i="3"/>
  <c r="D925" i="3"/>
  <c r="B926" i="3" l="1"/>
  <c r="A927" i="3"/>
  <c r="C926" i="3"/>
  <c r="D926" i="3"/>
  <c r="H926" i="3"/>
  <c r="J926" i="3" s="1"/>
  <c r="I926" i="3"/>
  <c r="E926" i="3"/>
  <c r="F926" i="3"/>
  <c r="C927" i="3" l="1"/>
  <c r="D927" i="3"/>
  <c r="B927" i="3"/>
  <c r="A928" i="3"/>
  <c r="F927" i="3"/>
  <c r="H927" i="3"/>
  <c r="J927" i="3" s="1"/>
  <c r="I927" i="3"/>
  <c r="E927" i="3"/>
  <c r="A929" i="3" l="1"/>
  <c r="C928" i="3"/>
  <c r="D928" i="3"/>
  <c r="B928" i="3"/>
  <c r="H928" i="3"/>
  <c r="J928" i="3" s="1"/>
  <c r="I928" i="3"/>
  <c r="E928" i="3"/>
  <c r="F928" i="3"/>
  <c r="B929" i="3" l="1"/>
  <c r="D929" i="3"/>
  <c r="A930" i="3"/>
  <c r="H929" i="3"/>
  <c r="J929" i="3" s="1"/>
  <c r="I929" i="3"/>
  <c r="E929" i="3"/>
  <c r="C929" i="3"/>
  <c r="F929" i="3"/>
  <c r="C930" i="3" l="1"/>
  <c r="D930" i="3"/>
  <c r="A931" i="3"/>
  <c r="H930" i="3"/>
  <c r="J930" i="3" s="1"/>
  <c r="E930" i="3"/>
  <c r="B930" i="3"/>
  <c r="F930" i="3"/>
  <c r="I930" i="3"/>
  <c r="A932" i="3" l="1"/>
  <c r="C931" i="3"/>
  <c r="D931" i="3"/>
  <c r="B931" i="3"/>
  <c r="I931" i="3"/>
  <c r="H931" i="3"/>
  <c r="J931" i="3" s="1"/>
  <c r="E931" i="3"/>
  <c r="F931" i="3"/>
  <c r="B932" i="3" l="1"/>
  <c r="A933" i="3"/>
  <c r="C932" i="3"/>
  <c r="D932" i="3"/>
  <c r="H932" i="3"/>
  <c r="J932" i="3" s="1"/>
  <c r="I932" i="3"/>
  <c r="E932" i="3"/>
  <c r="F932" i="3"/>
  <c r="C933" i="3" l="1"/>
  <c r="D933" i="3"/>
  <c r="A934" i="3"/>
  <c r="I933" i="3"/>
  <c r="E933" i="3"/>
  <c r="B933" i="3"/>
  <c r="H933" i="3"/>
  <c r="J933" i="3" s="1"/>
  <c r="F933" i="3"/>
  <c r="A935" i="3" l="1"/>
  <c r="C934" i="3"/>
  <c r="B934" i="3"/>
  <c r="D934" i="3"/>
  <c r="E934" i="3"/>
  <c r="H934" i="3"/>
  <c r="J934" i="3" s="1"/>
  <c r="F934" i="3"/>
  <c r="I934" i="3"/>
  <c r="B935" i="3" l="1"/>
  <c r="A936" i="3"/>
  <c r="C935" i="3"/>
  <c r="I935" i="3"/>
  <c r="D935" i="3"/>
  <c r="H935" i="3"/>
  <c r="J935" i="3" s="1"/>
  <c r="F935" i="3"/>
  <c r="E935" i="3"/>
  <c r="C936" i="3" l="1"/>
  <c r="D936" i="3"/>
  <c r="B936" i="3"/>
  <c r="I936" i="3"/>
  <c r="E936" i="3"/>
  <c r="H936" i="3"/>
  <c r="J936" i="3" s="1"/>
  <c r="F936" i="3"/>
  <c r="A937" i="3"/>
  <c r="A938" i="3" l="1"/>
  <c r="C937" i="3"/>
  <c r="D937" i="3"/>
  <c r="B937" i="3"/>
  <c r="I937" i="3"/>
  <c r="H937" i="3"/>
  <c r="J937" i="3" s="1"/>
  <c r="F937" i="3"/>
  <c r="E937" i="3"/>
  <c r="B938" i="3" l="1"/>
  <c r="D938" i="3"/>
  <c r="A939" i="3"/>
  <c r="I938" i="3"/>
  <c r="H938" i="3"/>
  <c r="J938" i="3" s="1"/>
  <c r="F938" i="3"/>
  <c r="C938" i="3"/>
  <c r="E938" i="3"/>
  <c r="C939" i="3" l="1"/>
  <c r="D939" i="3"/>
  <c r="B939" i="3"/>
  <c r="F939" i="3"/>
  <c r="A940" i="3"/>
  <c r="I939" i="3"/>
  <c r="H939" i="3"/>
  <c r="J939" i="3" s="1"/>
  <c r="E939" i="3"/>
  <c r="A941" i="3" l="1"/>
  <c r="B940" i="3"/>
  <c r="F940" i="3"/>
  <c r="C940" i="3"/>
  <c r="D940" i="3"/>
  <c r="H940" i="3"/>
  <c r="J940" i="3" s="1"/>
  <c r="E940" i="3"/>
  <c r="I940" i="3"/>
  <c r="B941" i="3" l="1"/>
  <c r="A942" i="3"/>
  <c r="D941" i="3"/>
  <c r="C941" i="3"/>
  <c r="H941" i="3"/>
  <c r="J941" i="3" s="1"/>
  <c r="I941" i="3"/>
  <c r="F941" i="3"/>
  <c r="E941" i="3"/>
  <c r="C942" i="3" l="1"/>
  <c r="D942" i="3"/>
  <c r="A943" i="3"/>
  <c r="B942" i="3"/>
  <c r="H942" i="3"/>
  <c r="J942" i="3" s="1"/>
  <c r="E942" i="3"/>
  <c r="F942" i="3"/>
  <c r="I942" i="3"/>
  <c r="A944" i="3" l="1"/>
  <c r="C943" i="3"/>
  <c r="H943" i="3"/>
  <c r="J943" i="3" s="1"/>
  <c r="E943" i="3"/>
  <c r="B943" i="3"/>
  <c r="D943" i="3"/>
  <c r="I943" i="3"/>
  <c r="F943" i="3"/>
  <c r="B944" i="3" l="1"/>
  <c r="A945" i="3"/>
  <c r="C944" i="3"/>
  <c r="D944" i="3"/>
  <c r="H944" i="3"/>
  <c r="J944" i="3" s="1"/>
  <c r="E944" i="3"/>
  <c r="I944" i="3"/>
  <c r="F944" i="3"/>
  <c r="C945" i="3" l="1"/>
  <c r="D945" i="3"/>
  <c r="B945" i="3"/>
  <c r="E945" i="3"/>
  <c r="A946" i="3"/>
  <c r="H945" i="3"/>
  <c r="J945" i="3" s="1"/>
  <c r="I945" i="3"/>
  <c r="F945" i="3"/>
  <c r="A947" i="3" l="1"/>
  <c r="C946" i="3"/>
  <c r="D946" i="3"/>
  <c r="I946" i="3"/>
  <c r="F946" i="3"/>
  <c r="E946" i="3"/>
  <c r="B946" i="3"/>
  <c r="H946" i="3"/>
  <c r="J946" i="3" s="1"/>
  <c r="B947" i="3" l="1"/>
  <c r="D947" i="3"/>
  <c r="A948" i="3"/>
  <c r="C947" i="3"/>
  <c r="I947" i="3"/>
  <c r="H947" i="3"/>
  <c r="J947" i="3" s="1"/>
  <c r="F947" i="3"/>
  <c r="E947" i="3"/>
  <c r="C948" i="3" l="1"/>
  <c r="D948" i="3"/>
  <c r="B948" i="3"/>
  <c r="A949" i="3"/>
  <c r="E948" i="3"/>
  <c r="I948" i="3"/>
  <c r="H948" i="3"/>
  <c r="J948" i="3" s="1"/>
  <c r="F948" i="3"/>
  <c r="A950" i="3" l="1"/>
  <c r="D949" i="3"/>
  <c r="E949" i="3"/>
  <c r="C949" i="3"/>
  <c r="B949" i="3"/>
  <c r="F949" i="3"/>
  <c r="H949" i="3"/>
  <c r="J949" i="3" s="1"/>
  <c r="I949" i="3"/>
  <c r="B950" i="3" l="1"/>
  <c r="A951" i="3"/>
  <c r="C950" i="3"/>
  <c r="F950" i="3"/>
  <c r="D950" i="3"/>
  <c r="E950" i="3"/>
  <c r="I950" i="3"/>
  <c r="H950" i="3"/>
  <c r="J950" i="3" s="1"/>
  <c r="C951" i="3" l="1"/>
  <c r="D951" i="3"/>
  <c r="A952" i="3"/>
  <c r="B951" i="3"/>
  <c r="I951" i="3"/>
  <c r="H951" i="3"/>
  <c r="J951" i="3" s="1"/>
  <c r="F951" i="3"/>
  <c r="E951" i="3"/>
  <c r="A953" i="3" l="1"/>
  <c r="B952" i="3"/>
  <c r="C952" i="3"/>
  <c r="D952" i="3"/>
  <c r="F952" i="3"/>
  <c r="I952" i="3"/>
  <c r="H952" i="3"/>
  <c r="J952" i="3" s="1"/>
  <c r="E952" i="3"/>
  <c r="B953" i="3" l="1"/>
  <c r="A954" i="3"/>
  <c r="C953" i="3"/>
  <c r="I953" i="3"/>
  <c r="D953" i="3"/>
  <c r="H953" i="3"/>
  <c r="J953" i="3" s="1"/>
  <c r="F953" i="3"/>
  <c r="E953" i="3"/>
  <c r="C954" i="3" l="1"/>
  <c r="D954" i="3"/>
  <c r="B954" i="3"/>
  <c r="I954" i="3"/>
  <c r="F954" i="3"/>
  <c r="A955" i="3"/>
  <c r="H954" i="3"/>
  <c r="J954" i="3" s="1"/>
  <c r="E954" i="3"/>
  <c r="A956" i="3" l="1"/>
  <c r="C955" i="3"/>
  <c r="D955" i="3"/>
  <c r="B955" i="3"/>
  <c r="H955" i="3"/>
  <c r="J955" i="3" s="1"/>
  <c r="F955" i="3"/>
  <c r="E955" i="3"/>
  <c r="I955" i="3"/>
  <c r="B956" i="3" l="1"/>
  <c r="D956" i="3"/>
  <c r="A957" i="3"/>
  <c r="C956" i="3"/>
  <c r="I956" i="3"/>
  <c r="E956" i="3"/>
  <c r="F956" i="3"/>
  <c r="H956" i="3"/>
  <c r="J956" i="3" s="1"/>
  <c r="C957" i="3" l="1"/>
  <c r="B957" i="3"/>
  <c r="D957" i="3"/>
  <c r="A958" i="3"/>
  <c r="I957" i="3"/>
  <c r="H957" i="3"/>
  <c r="J957" i="3" s="1"/>
  <c r="E957" i="3"/>
  <c r="F957" i="3"/>
  <c r="A959" i="3" l="1"/>
  <c r="B958" i="3"/>
  <c r="E958" i="3"/>
  <c r="C958" i="3"/>
  <c r="D958" i="3"/>
  <c r="F958" i="3"/>
  <c r="H958" i="3"/>
  <c r="J958" i="3" s="1"/>
  <c r="I958" i="3"/>
  <c r="B959" i="3" l="1"/>
  <c r="C959" i="3"/>
  <c r="I959" i="3"/>
  <c r="A960" i="3"/>
  <c r="D959" i="3"/>
  <c r="H959" i="3"/>
  <c r="J959" i="3" s="1"/>
  <c r="F959" i="3"/>
  <c r="E959" i="3"/>
  <c r="C960" i="3" l="1"/>
  <c r="A961" i="3"/>
  <c r="B960" i="3"/>
  <c r="H960" i="3"/>
  <c r="J960" i="3" s="1"/>
  <c r="E960" i="3"/>
  <c r="D960" i="3"/>
  <c r="I960" i="3"/>
  <c r="F960" i="3"/>
  <c r="A962" i="3" l="1"/>
  <c r="C961" i="3"/>
  <c r="H961" i="3"/>
  <c r="J961" i="3" s="1"/>
  <c r="E961" i="3"/>
  <c r="B961" i="3"/>
  <c r="D961" i="3"/>
  <c r="I961" i="3"/>
  <c r="F961" i="3"/>
  <c r="B962" i="3" l="1"/>
  <c r="A963" i="3"/>
  <c r="C962" i="3"/>
  <c r="I962" i="3"/>
  <c r="H962" i="3"/>
  <c r="J962" i="3" s="1"/>
  <c r="F962" i="3"/>
  <c r="D962" i="3"/>
  <c r="E962" i="3"/>
  <c r="C963" i="3" l="1"/>
  <c r="D963" i="3"/>
  <c r="B963" i="3"/>
  <c r="A964" i="3"/>
  <c r="I963" i="3"/>
  <c r="H963" i="3"/>
  <c r="J963" i="3" s="1"/>
  <c r="E963" i="3"/>
  <c r="F963" i="3"/>
  <c r="A965" i="3" l="1"/>
  <c r="C964" i="3"/>
  <c r="D964" i="3"/>
  <c r="B964" i="3"/>
  <c r="H964" i="3"/>
  <c r="J964" i="3" s="1"/>
  <c r="F964" i="3"/>
  <c r="E964" i="3"/>
  <c r="I964" i="3"/>
  <c r="B965" i="3" l="1"/>
  <c r="D965" i="3"/>
  <c r="A966" i="3"/>
  <c r="H965" i="3"/>
  <c r="J965" i="3" s="1"/>
  <c r="F965" i="3"/>
  <c r="E965" i="3"/>
  <c r="C965" i="3"/>
  <c r="I965" i="3"/>
  <c r="C966" i="3" l="1"/>
  <c r="D966" i="3"/>
  <c r="B966" i="3"/>
  <c r="A967" i="3"/>
  <c r="E966" i="3"/>
  <c r="H966" i="3"/>
  <c r="J966" i="3" s="1"/>
  <c r="I966" i="3"/>
  <c r="F966" i="3"/>
  <c r="A968" i="3" l="1"/>
  <c r="C967" i="3"/>
  <c r="D967" i="3"/>
  <c r="H967" i="3"/>
  <c r="J967" i="3" s="1"/>
  <c r="I967" i="3"/>
  <c r="E967" i="3"/>
  <c r="F967" i="3"/>
  <c r="B967" i="3"/>
  <c r="B968" i="3" l="1"/>
  <c r="A969" i="3"/>
  <c r="C968" i="3"/>
  <c r="D968" i="3"/>
  <c r="I968" i="3"/>
  <c r="H968" i="3"/>
  <c r="J968" i="3" s="1"/>
  <c r="E968" i="3"/>
  <c r="F968" i="3"/>
  <c r="C969" i="3" l="1"/>
  <c r="D969" i="3"/>
  <c r="A970" i="3"/>
  <c r="B969" i="3"/>
  <c r="I969" i="3"/>
  <c r="E969" i="3"/>
  <c r="H969" i="3"/>
  <c r="J969" i="3" s="1"/>
  <c r="F969" i="3"/>
  <c r="A971" i="3" l="1"/>
  <c r="B970" i="3"/>
  <c r="C970" i="3"/>
  <c r="D970" i="3"/>
  <c r="H970" i="3"/>
  <c r="J970" i="3" s="1"/>
  <c r="E970" i="3"/>
  <c r="F970" i="3"/>
  <c r="I970" i="3"/>
  <c r="B971" i="3" l="1"/>
  <c r="A972" i="3"/>
  <c r="C971" i="3"/>
  <c r="D971" i="3"/>
  <c r="F971" i="3"/>
  <c r="H971" i="3"/>
  <c r="J971" i="3" s="1"/>
  <c r="I971" i="3"/>
  <c r="E971" i="3"/>
  <c r="C972" i="3" l="1"/>
  <c r="D972" i="3"/>
  <c r="B972" i="3"/>
  <c r="H972" i="3"/>
  <c r="J972" i="3" s="1"/>
  <c r="A973" i="3"/>
  <c r="E972" i="3"/>
  <c r="F972" i="3"/>
  <c r="I972" i="3"/>
  <c r="A974" i="3" l="1"/>
  <c r="D973" i="3"/>
  <c r="B973" i="3"/>
  <c r="F973" i="3"/>
  <c r="C973" i="3"/>
  <c r="H973" i="3"/>
  <c r="J973" i="3" s="1"/>
  <c r="I973" i="3"/>
  <c r="E973" i="3"/>
  <c r="B974" i="3" l="1"/>
  <c r="D974" i="3"/>
  <c r="A975" i="3"/>
  <c r="C974" i="3"/>
  <c r="I974" i="3"/>
  <c r="F974" i="3"/>
  <c r="H974" i="3"/>
  <c r="J974" i="3" s="1"/>
  <c r="E974" i="3"/>
  <c r="C975" i="3" l="1"/>
  <c r="D975" i="3"/>
  <c r="A976" i="3"/>
  <c r="I975" i="3"/>
  <c r="B975" i="3"/>
  <c r="H975" i="3"/>
  <c r="J975" i="3" s="1"/>
  <c r="E975" i="3"/>
  <c r="F975" i="3"/>
  <c r="A977" i="3" l="1"/>
  <c r="C976" i="3"/>
  <c r="D976" i="3"/>
  <c r="H976" i="3"/>
  <c r="J976" i="3" s="1"/>
  <c r="F976" i="3"/>
  <c r="B976" i="3"/>
  <c r="I976" i="3"/>
  <c r="E976" i="3"/>
  <c r="B977" i="3" l="1"/>
  <c r="C977" i="3"/>
  <c r="A978" i="3"/>
  <c r="I977" i="3"/>
  <c r="D977" i="3"/>
  <c r="E977" i="3"/>
  <c r="H977" i="3"/>
  <c r="J977" i="3" s="1"/>
  <c r="F977" i="3"/>
  <c r="C978" i="3" l="1"/>
  <c r="D978" i="3"/>
  <c r="A979" i="3"/>
  <c r="F978" i="3"/>
  <c r="I978" i="3"/>
  <c r="B978" i="3"/>
  <c r="H978" i="3"/>
  <c r="J978" i="3" s="1"/>
  <c r="E978" i="3"/>
  <c r="A980" i="3" l="1"/>
  <c r="B979" i="3"/>
  <c r="C979" i="3"/>
  <c r="D979" i="3"/>
  <c r="H979" i="3"/>
  <c r="J979" i="3" s="1"/>
  <c r="F979" i="3"/>
  <c r="E979" i="3"/>
  <c r="I979" i="3"/>
  <c r="B980" i="3" l="1"/>
  <c r="C980" i="3"/>
  <c r="D980" i="3"/>
  <c r="H980" i="3"/>
  <c r="J980" i="3" s="1"/>
  <c r="E980" i="3"/>
  <c r="A981" i="3"/>
  <c r="I980" i="3"/>
  <c r="F980" i="3"/>
  <c r="C981" i="3" l="1"/>
  <c r="D981" i="3"/>
  <c r="B981" i="3"/>
  <c r="A982" i="3"/>
  <c r="I981" i="3"/>
  <c r="E981" i="3"/>
  <c r="H981" i="3"/>
  <c r="J981" i="3" s="1"/>
  <c r="F981" i="3"/>
  <c r="A983" i="3" l="1"/>
  <c r="C982" i="3"/>
  <c r="B982" i="3"/>
  <c r="E982" i="3"/>
  <c r="F982" i="3"/>
  <c r="D982" i="3"/>
  <c r="I982" i="3"/>
  <c r="H982" i="3"/>
  <c r="J982" i="3" s="1"/>
  <c r="B983" i="3" l="1"/>
  <c r="D983" i="3"/>
  <c r="A984" i="3"/>
  <c r="H983" i="3"/>
  <c r="J983" i="3" s="1"/>
  <c r="F983" i="3"/>
  <c r="C983" i="3"/>
  <c r="I983" i="3"/>
  <c r="E983" i="3"/>
  <c r="C984" i="3" l="1"/>
  <c r="D984" i="3"/>
  <c r="A985" i="3"/>
  <c r="E984" i="3"/>
  <c r="B984" i="3"/>
  <c r="F984" i="3"/>
  <c r="H984" i="3"/>
  <c r="J984" i="3" s="1"/>
  <c r="I984" i="3"/>
  <c r="A986" i="3" l="1"/>
  <c r="C985" i="3"/>
  <c r="B985" i="3"/>
  <c r="H985" i="3"/>
  <c r="J985" i="3" s="1"/>
  <c r="D985" i="3"/>
  <c r="F985" i="3"/>
  <c r="E985" i="3"/>
  <c r="I985" i="3"/>
  <c r="B986" i="3" l="1"/>
  <c r="A987" i="3"/>
  <c r="C986" i="3"/>
  <c r="H986" i="3"/>
  <c r="J986" i="3" s="1"/>
  <c r="E986" i="3"/>
  <c r="I986" i="3"/>
  <c r="D986" i="3"/>
  <c r="F986" i="3"/>
  <c r="C987" i="3" l="1"/>
  <c r="D987" i="3"/>
  <c r="A988" i="3"/>
  <c r="I987" i="3"/>
  <c r="B987" i="3"/>
  <c r="H987" i="3"/>
  <c r="J987" i="3" s="1"/>
  <c r="F987" i="3"/>
  <c r="E987" i="3"/>
  <c r="A989" i="3" l="1"/>
  <c r="B988" i="3"/>
  <c r="C988" i="3"/>
  <c r="H988" i="3"/>
  <c r="J988" i="3" s="1"/>
  <c r="E988" i="3"/>
  <c r="D988" i="3"/>
  <c r="I988" i="3"/>
  <c r="F988" i="3"/>
  <c r="B989" i="3" l="1"/>
  <c r="A990" i="3"/>
  <c r="C989" i="3"/>
  <c r="D989" i="3"/>
  <c r="H989" i="3"/>
  <c r="J989" i="3" s="1"/>
  <c r="F989" i="3"/>
  <c r="I989" i="3"/>
  <c r="E989" i="3"/>
  <c r="C990" i="3" l="1"/>
  <c r="D990" i="3"/>
  <c r="B990" i="3"/>
  <c r="E990" i="3"/>
  <c r="A991" i="3"/>
  <c r="H990" i="3"/>
  <c r="J990" i="3" s="1"/>
  <c r="I990" i="3"/>
  <c r="F990" i="3"/>
  <c r="A992" i="3" l="1"/>
  <c r="C991" i="3"/>
  <c r="D991" i="3"/>
  <c r="B991" i="3"/>
  <c r="I991" i="3"/>
  <c r="H991" i="3"/>
  <c r="J991" i="3" s="1"/>
  <c r="F991" i="3"/>
  <c r="E991" i="3"/>
  <c r="B992" i="3" l="1"/>
  <c r="C992" i="3"/>
  <c r="E992" i="3"/>
  <c r="D992" i="3"/>
  <c r="H992" i="3"/>
  <c r="J992" i="3" s="1"/>
  <c r="A993" i="3"/>
  <c r="I992" i="3"/>
  <c r="F992" i="3"/>
  <c r="D993" i="3" l="1"/>
  <c r="B993" i="3"/>
  <c r="E993" i="3"/>
  <c r="I993" i="3"/>
  <c r="C993" i="3"/>
  <c r="A994" i="3"/>
  <c r="H993" i="3"/>
  <c r="J993" i="3" s="1"/>
  <c r="F993" i="3"/>
  <c r="B994" i="3" l="1"/>
  <c r="F994" i="3"/>
  <c r="A995" i="3"/>
  <c r="H994" i="3"/>
  <c r="J994" i="3" s="1"/>
  <c r="E994" i="3"/>
  <c r="C994" i="3"/>
  <c r="D994" i="3"/>
  <c r="I994" i="3"/>
  <c r="A996" i="3" l="1"/>
  <c r="F995" i="3"/>
  <c r="C995" i="3"/>
  <c r="I995" i="3"/>
  <c r="B995" i="3"/>
  <c r="D995" i="3"/>
  <c r="H995" i="3"/>
  <c r="J995" i="3" s="1"/>
  <c r="E995" i="3"/>
  <c r="B996" i="3" l="1"/>
  <c r="C996" i="3"/>
  <c r="F996" i="3"/>
  <c r="H996" i="3"/>
  <c r="J996" i="3" s="1"/>
  <c r="E996" i="3"/>
  <c r="A997" i="3"/>
  <c r="D996" i="3"/>
  <c r="I996" i="3"/>
  <c r="B997" i="3" l="1"/>
  <c r="F997" i="3"/>
  <c r="C997" i="3"/>
  <c r="A998" i="3"/>
  <c r="E997" i="3"/>
  <c r="H997" i="3"/>
  <c r="J997" i="3" s="1"/>
  <c r="D997" i="3"/>
  <c r="I997" i="3"/>
  <c r="A999" i="3" l="1"/>
  <c r="F998" i="3"/>
  <c r="B998" i="3"/>
  <c r="C998" i="3"/>
  <c r="H998" i="3"/>
  <c r="J998" i="3" s="1"/>
  <c r="E998" i="3"/>
  <c r="D998" i="3"/>
  <c r="I998" i="3"/>
  <c r="B999" i="3" l="1"/>
  <c r="C999" i="3"/>
  <c r="F999" i="3"/>
  <c r="A1000" i="3"/>
  <c r="E999" i="3"/>
  <c r="I999" i="3"/>
  <c r="H999" i="3"/>
  <c r="J999" i="3" s="1"/>
  <c r="D999" i="3"/>
  <c r="B1000" i="3" l="1"/>
  <c r="C1000" i="3"/>
  <c r="A1001" i="3"/>
  <c r="E1000" i="3"/>
  <c r="F1000" i="3"/>
  <c r="H1000" i="3"/>
  <c r="J1000" i="3" s="1"/>
  <c r="D1000" i="3"/>
  <c r="I1000" i="3"/>
  <c r="A1002" i="3" l="1"/>
  <c r="C1001" i="3"/>
  <c r="B1001" i="3"/>
  <c r="F1001" i="3"/>
  <c r="I1001" i="3"/>
  <c r="E1001" i="3"/>
  <c r="D1001" i="3"/>
  <c r="H1001" i="3"/>
  <c r="J1001" i="3" s="1"/>
  <c r="B1002" i="3" l="1"/>
  <c r="C1002" i="3"/>
  <c r="F1002" i="3"/>
  <c r="H1002" i="3"/>
  <c r="J1002" i="3" s="1"/>
  <c r="E1002" i="3"/>
  <c r="I1002" i="3"/>
  <c r="D1002" i="3"/>
  <c r="A1003" i="3"/>
  <c r="B1003" i="3" l="1"/>
  <c r="C1003" i="3"/>
  <c r="A1004" i="3"/>
  <c r="E1003" i="3"/>
  <c r="F1003" i="3"/>
  <c r="D1003" i="3"/>
  <c r="I1003" i="3"/>
  <c r="H1003" i="3"/>
  <c r="J1003" i="3" s="1"/>
  <c r="A1005" i="3" l="1"/>
  <c r="F1004" i="3"/>
  <c r="B1004" i="3"/>
  <c r="C1004" i="3"/>
  <c r="E1004" i="3"/>
  <c r="D1004" i="3"/>
  <c r="I1004" i="3"/>
  <c r="H1004" i="3"/>
  <c r="J1004" i="3" s="1"/>
  <c r="C1005" i="3" l="1"/>
  <c r="A1006" i="3"/>
  <c r="B1005" i="3"/>
  <c r="I1005" i="3"/>
  <c r="F1005" i="3"/>
  <c r="H1005" i="3"/>
  <c r="J1005" i="3" s="1"/>
  <c r="D1005" i="3"/>
  <c r="E1005" i="3"/>
  <c r="B1006" i="3" l="1"/>
  <c r="C1006" i="3"/>
  <c r="F1006" i="3"/>
  <c r="I1006" i="3"/>
  <c r="A1007" i="3"/>
  <c r="D1006" i="3"/>
  <c r="H1006" i="3"/>
  <c r="J1006" i="3" s="1"/>
  <c r="E1006" i="3"/>
  <c r="A1008" i="3" l="1"/>
  <c r="F1007" i="3"/>
  <c r="B1007" i="3"/>
  <c r="H1007" i="3"/>
  <c r="J1007" i="3" s="1"/>
  <c r="I1007" i="3"/>
  <c r="C1007" i="3"/>
  <c r="E1007" i="3"/>
  <c r="D1007" i="3"/>
  <c r="C1008" i="3" l="1"/>
  <c r="F1008" i="3"/>
  <c r="A1009" i="3"/>
  <c r="B1008" i="3"/>
  <c r="H1008" i="3"/>
  <c r="J1008" i="3" s="1"/>
  <c r="E1008" i="3"/>
  <c r="D1008" i="3"/>
  <c r="I1008" i="3"/>
  <c r="B1009" i="3" l="1"/>
  <c r="C1009" i="3"/>
  <c r="A1010" i="3"/>
  <c r="F1009" i="3"/>
  <c r="H1009" i="3"/>
  <c r="J1009" i="3" s="1"/>
  <c r="I1009" i="3"/>
  <c r="D1009" i="3"/>
  <c r="E1009" i="3"/>
  <c r="A1011" i="3" l="1"/>
  <c r="C1010" i="3"/>
  <c r="F1010" i="3"/>
  <c r="B1010" i="3"/>
  <c r="I1010" i="3"/>
  <c r="D1010" i="3"/>
  <c r="H1010" i="3"/>
  <c r="J1010" i="3" s="1"/>
  <c r="E1010" i="3"/>
  <c r="B1011" i="3" l="1"/>
  <c r="C1011" i="3"/>
  <c r="F1011" i="3"/>
  <c r="A1012" i="3"/>
  <c r="I1011" i="3"/>
  <c r="E1011" i="3"/>
  <c r="D1011" i="3"/>
  <c r="H1011" i="3"/>
  <c r="J1011" i="3" s="1"/>
  <c r="B1012" i="3" l="1"/>
  <c r="C1012" i="3"/>
  <c r="A1013" i="3"/>
  <c r="I1012" i="3"/>
  <c r="E1012" i="3"/>
  <c r="F1012" i="3"/>
  <c r="H1012" i="3"/>
  <c r="J1012" i="3" s="1"/>
  <c r="D1012" i="3"/>
  <c r="A1014" i="3" l="1"/>
  <c r="B1013" i="3"/>
  <c r="F1013" i="3"/>
  <c r="C1013" i="3"/>
  <c r="H1013" i="3"/>
  <c r="J1013" i="3" s="1"/>
  <c r="D1013" i="3"/>
  <c r="E1013" i="3"/>
  <c r="I1013" i="3"/>
  <c r="C1014" i="3" l="1"/>
  <c r="F1014" i="3"/>
  <c r="B1014" i="3"/>
  <c r="H1014" i="3"/>
  <c r="J1014" i="3" s="1"/>
  <c r="I1014" i="3"/>
  <c r="A1015" i="3"/>
  <c r="E1014" i="3"/>
  <c r="D1014" i="3"/>
  <c r="B1015" i="3" l="1"/>
  <c r="C1015" i="3"/>
  <c r="F1015" i="3"/>
  <c r="D1015" i="3"/>
  <c r="I1015" i="3"/>
  <c r="A1016" i="3"/>
  <c r="H1015" i="3"/>
  <c r="J1015" i="3" s="1"/>
  <c r="E1015" i="3"/>
  <c r="A1017" i="3" l="1"/>
  <c r="F1016" i="3"/>
  <c r="B1016" i="3"/>
  <c r="I1016" i="3"/>
  <c r="D1016" i="3"/>
  <c r="C1016" i="3"/>
  <c r="H1016" i="3"/>
  <c r="J1016" i="3" s="1"/>
  <c r="E1016" i="3"/>
  <c r="C1017" i="3" l="1"/>
  <c r="F1017" i="3"/>
  <c r="A1018" i="3"/>
  <c r="B1017" i="3"/>
  <c r="I1017" i="3"/>
  <c r="E1017" i="3"/>
  <c r="D1017" i="3"/>
  <c r="H1017" i="3"/>
  <c r="J1017" i="3" s="1"/>
  <c r="B1018" i="3" l="1"/>
  <c r="C1018" i="3"/>
  <c r="A1019" i="3"/>
  <c r="F1018" i="3"/>
  <c r="I1018" i="3"/>
  <c r="E1018" i="3"/>
  <c r="H1018" i="3"/>
  <c r="J1018" i="3" s="1"/>
  <c r="D1018" i="3"/>
  <c r="A1020" i="3" l="1"/>
  <c r="F1019" i="3"/>
  <c r="C1019" i="3"/>
  <c r="I1019" i="3"/>
  <c r="D1019" i="3"/>
  <c r="E1019" i="3"/>
  <c r="B1019" i="3"/>
  <c r="H1019" i="3"/>
  <c r="J1019" i="3" s="1"/>
  <c r="B1020" i="3" l="1"/>
  <c r="C1020" i="3"/>
  <c r="F1020" i="3"/>
  <c r="A1021" i="3"/>
  <c r="E1020" i="3"/>
  <c r="H1020" i="3"/>
  <c r="J1020" i="3" s="1"/>
  <c r="I1020" i="3"/>
  <c r="D1020" i="3"/>
  <c r="B1021" i="3" l="1"/>
  <c r="C1021" i="3"/>
  <c r="A1022" i="3"/>
  <c r="I1021" i="3"/>
  <c r="E1021" i="3"/>
  <c r="H1021" i="3"/>
  <c r="J1021" i="3" s="1"/>
  <c r="F1021" i="3"/>
  <c r="D1021" i="3"/>
  <c r="A1023" i="3" l="1"/>
  <c r="F1022" i="3"/>
  <c r="B1022" i="3"/>
  <c r="C1022" i="3"/>
  <c r="H1022" i="3"/>
  <c r="J1022" i="3" s="1"/>
  <c r="D1022" i="3"/>
  <c r="I1022" i="3"/>
  <c r="E1022" i="3"/>
  <c r="C1023" i="3" l="1"/>
  <c r="A1024" i="3"/>
  <c r="F1023" i="3"/>
  <c r="B1023" i="3"/>
  <c r="I1023" i="3"/>
  <c r="E1023" i="3"/>
  <c r="H1023" i="3"/>
  <c r="J1023" i="3" s="1"/>
  <c r="D1023" i="3"/>
  <c r="B1024" i="3" l="1"/>
  <c r="F1024" i="3"/>
  <c r="A1025" i="3"/>
  <c r="H1024" i="3"/>
  <c r="J1024" i="3" s="1"/>
  <c r="D1024" i="3"/>
  <c r="C1024" i="3"/>
  <c r="I1024" i="3"/>
  <c r="E1024" i="3"/>
  <c r="A1026" i="3" l="1"/>
  <c r="F1025" i="3"/>
  <c r="B1025" i="3"/>
  <c r="H1025" i="3"/>
  <c r="J1025" i="3" s="1"/>
  <c r="E1025" i="3"/>
  <c r="I1025" i="3"/>
  <c r="C1025" i="3"/>
  <c r="D1025" i="3"/>
  <c r="C1026" i="3" l="1"/>
  <c r="A1027" i="3"/>
  <c r="D1026" i="3"/>
  <c r="F1026" i="3"/>
  <c r="B1026" i="3"/>
  <c r="H1026" i="3"/>
  <c r="J1026" i="3" s="1"/>
  <c r="I1026" i="3"/>
  <c r="E1026" i="3"/>
  <c r="B1027" i="3" l="1"/>
  <c r="F1027" i="3"/>
  <c r="C1027" i="3"/>
  <c r="A1028" i="3"/>
  <c r="E1027" i="3"/>
  <c r="D1027" i="3"/>
  <c r="I1027" i="3"/>
  <c r="H1027" i="3"/>
  <c r="J1027" i="3" s="1"/>
  <c r="A1029" i="3" l="1"/>
  <c r="B1028" i="3"/>
  <c r="F1028" i="3"/>
  <c r="H1028" i="3"/>
  <c r="J1028" i="3" s="1"/>
  <c r="I1028" i="3"/>
  <c r="C1028" i="3"/>
  <c r="D1028" i="3"/>
  <c r="E1028" i="3"/>
  <c r="B1029" i="3" l="1"/>
  <c r="C1029" i="3"/>
  <c r="F1029" i="3"/>
  <c r="A1030" i="3"/>
  <c r="I1029" i="3"/>
  <c r="E1029" i="3"/>
  <c r="H1029" i="3"/>
  <c r="J1029" i="3" s="1"/>
  <c r="D1029" i="3"/>
  <c r="B1030" i="3" l="1"/>
  <c r="C1030" i="3"/>
  <c r="A1031" i="3"/>
  <c r="I1030" i="3"/>
  <c r="F1030" i="3"/>
  <c r="H1030" i="3"/>
  <c r="J1030" i="3" s="1"/>
  <c r="E1030" i="3"/>
  <c r="D1030" i="3"/>
  <c r="A1032" i="3" l="1"/>
  <c r="F1031" i="3"/>
  <c r="B1031" i="3"/>
  <c r="C1031" i="3"/>
  <c r="I1031" i="3"/>
  <c r="E1031" i="3"/>
  <c r="H1031" i="3"/>
  <c r="J1031" i="3" s="1"/>
  <c r="D1031" i="3"/>
  <c r="C1032" i="3" l="1"/>
  <c r="A1033" i="3"/>
  <c r="F1032" i="3"/>
  <c r="I1032" i="3"/>
  <c r="B1032" i="3"/>
  <c r="D1032" i="3"/>
  <c r="H1032" i="3"/>
  <c r="J1032" i="3" s="1"/>
  <c r="E1032" i="3"/>
  <c r="B1033" i="3" l="1"/>
  <c r="C1033" i="3"/>
  <c r="F1033" i="3"/>
  <c r="E1033" i="3"/>
  <c r="A1034" i="3"/>
  <c r="I1033" i="3"/>
  <c r="D1033" i="3"/>
  <c r="H1033" i="3"/>
  <c r="J1033" i="3" s="1"/>
  <c r="A1035" i="3" l="1"/>
  <c r="B1034" i="3"/>
  <c r="C1034" i="3"/>
  <c r="F1034" i="3"/>
  <c r="H1034" i="3"/>
  <c r="J1034" i="3" s="1"/>
  <c r="I1034" i="3"/>
  <c r="E1034" i="3"/>
  <c r="D1034" i="3"/>
  <c r="C1035" i="3" l="1"/>
  <c r="A1036" i="3"/>
  <c r="B1035" i="3"/>
  <c r="F1035" i="3"/>
  <c r="H1035" i="3"/>
  <c r="J1035" i="3" s="1"/>
  <c r="D1035" i="3"/>
  <c r="I1035" i="3"/>
  <c r="E1035" i="3"/>
  <c r="B1036" i="3" l="1"/>
  <c r="C1036" i="3"/>
  <c r="H1036" i="3"/>
  <c r="J1036" i="3" s="1"/>
  <c r="D1036" i="3"/>
  <c r="A1037" i="3"/>
  <c r="I1036" i="3"/>
  <c r="E1036" i="3"/>
  <c r="F1036" i="3"/>
  <c r="A1038" i="3" l="1"/>
  <c r="F1037" i="3"/>
  <c r="C1037" i="3"/>
  <c r="D1037" i="3"/>
  <c r="B1037" i="3"/>
  <c r="H1037" i="3"/>
  <c r="J1037" i="3" s="1"/>
  <c r="I1037" i="3"/>
  <c r="E1037" i="3"/>
  <c r="B1038" i="3" l="1"/>
  <c r="C1038" i="3"/>
  <c r="F1038" i="3"/>
  <c r="A1039" i="3"/>
  <c r="I1038" i="3"/>
  <c r="D1038" i="3"/>
  <c r="H1038" i="3"/>
  <c r="J1038" i="3" s="1"/>
  <c r="E1038" i="3"/>
  <c r="B1039" i="3" l="1"/>
  <c r="C1039" i="3"/>
  <c r="A1040" i="3"/>
  <c r="F1039" i="3"/>
  <c r="I1039" i="3"/>
  <c r="E1039" i="3"/>
  <c r="H1039" i="3"/>
  <c r="J1039" i="3" s="1"/>
  <c r="D1039" i="3"/>
  <c r="A1041" i="3" l="1"/>
  <c r="F1040" i="3"/>
  <c r="B1040" i="3"/>
  <c r="C1040" i="3"/>
  <c r="E1040" i="3"/>
  <c r="H1040" i="3"/>
  <c r="J1040" i="3" s="1"/>
  <c r="I1040" i="3"/>
  <c r="D1040" i="3"/>
  <c r="C1041" i="3" l="1"/>
  <c r="A1042" i="3"/>
  <c r="B1041" i="3"/>
  <c r="I1041" i="3"/>
  <c r="D1041" i="3"/>
  <c r="F1041" i="3"/>
  <c r="H1041" i="3"/>
  <c r="J1041" i="3" s="1"/>
  <c r="E1041" i="3"/>
  <c r="B1042" i="3" l="1"/>
  <c r="F1042" i="3"/>
  <c r="A1043" i="3"/>
  <c r="C1042" i="3"/>
  <c r="H1042" i="3"/>
  <c r="J1042" i="3" s="1"/>
  <c r="E1042" i="3"/>
  <c r="I1042" i="3"/>
  <c r="D1042" i="3"/>
  <c r="A1044" i="3" l="1"/>
  <c r="F1043" i="3"/>
  <c r="B1043" i="3"/>
  <c r="C1043" i="3"/>
  <c r="I1043" i="3"/>
  <c r="E1043" i="3"/>
  <c r="D1043" i="3"/>
  <c r="H1043" i="3"/>
  <c r="J1043" i="3" s="1"/>
  <c r="C1044" i="3" l="1"/>
  <c r="F1044" i="3"/>
  <c r="A1045" i="3"/>
  <c r="D1044" i="3"/>
  <c r="I1044" i="3"/>
  <c r="B1044" i="3"/>
  <c r="H1044" i="3"/>
  <c r="J1044" i="3" s="1"/>
  <c r="E1044" i="3"/>
  <c r="B1045" i="3" l="1"/>
  <c r="C1045" i="3"/>
  <c r="A1046" i="3"/>
  <c r="F1045" i="3"/>
  <c r="D1045" i="3"/>
  <c r="I1045" i="3"/>
  <c r="E1045" i="3"/>
  <c r="H1045" i="3"/>
  <c r="J1045" i="3" s="1"/>
  <c r="A1047" i="3" l="1"/>
  <c r="F1046" i="3"/>
  <c r="C1046" i="3"/>
  <c r="B1046" i="3"/>
  <c r="I1046" i="3"/>
  <c r="E1046" i="3"/>
  <c r="D1046" i="3"/>
  <c r="H1046" i="3"/>
  <c r="J1046" i="3" s="1"/>
  <c r="B1047" i="3" l="1"/>
  <c r="C1047" i="3"/>
  <c r="F1047" i="3"/>
  <c r="E1047" i="3"/>
  <c r="A1048" i="3"/>
  <c r="I1047" i="3"/>
  <c r="H1047" i="3"/>
  <c r="J1047" i="3" s="1"/>
  <c r="D1047" i="3"/>
  <c r="B1048" i="3" l="1"/>
  <c r="C1048" i="3"/>
  <c r="H1048" i="3"/>
  <c r="J1048" i="3" s="1"/>
  <c r="D1048" i="3"/>
  <c r="A1049" i="3"/>
  <c r="E1048" i="3"/>
  <c r="F1048" i="3"/>
  <c r="I1048" i="3"/>
  <c r="A1050" i="3" l="1"/>
  <c r="F1049" i="3"/>
  <c r="H1049" i="3"/>
  <c r="J1049" i="3" s="1"/>
  <c r="I1049" i="3"/>
  <c r="B1049" i="3"/>
  <c r="D1049" i="3"/>
  <c r="C1049" i="3"/>
  <c r="E1049" i="3"/>
  <c r="C1050" i="3" l="1"/>
  <c r="A1051" i="3"/>
  <c r="B1050" i="3"/>
  <c r="E1050" i="3"/>
  <c r="F1050" i="3"/>
  <c r="H1050" i="3"/>
  <c r="J1050" i="3" s="1"/>
  <c r="I1050" i="3"/>
  <c r="D1050" i="3"/>
  <c r="B1051" i="3" l="1"/>
  <c r="C1051" i="3"/>
  <c r="F1051" i="3"/>
  <c r="A1052" i="3"/>
  <c r="D1051" i="3"/>
  <c r="H1051" i="3"/>
  <c r="J1051" i="3" s="1"/>
  <c r="E1051" i="3"/>
  <c r="I1051" i="3"/>
  <c r="A1053" i="3" l="1"/>
  <c r="B1052" i="3"/>
  <c r="C1052" i="3"/>
  <c r="E1052" i="3"/>
  <c r="F1052" i="3"/>
  <c r="H1052" i="3"/>
  <c r="J1052" i="3" s="1"/>
  <c r="D1052" i="3"/>
  <c r="I1052" i="3"/>
  <c r="C1053" i="3" l="1"/>
  <c r="A1054" i="3"/>
  <c r="D1053" i="3"/>
  <c r="F1053" i="3"/>
  <c r="B1053" i="3"/>
  <c r="H1053" i="3"/>
  <c r="J1053" i="3" s="1"/>
  <c r="E1053" i="3"/>
  <c r="I1053" i="3"/>
  <c r="B1054" i="3" l="1"/>
  <c r="A1055" i="3"/>
  <c r="H1054" i="3"/>
  <c r="J1054" i="3" s="1"/>
  <c r="C1054" i="3"/>
  <c r="F1054" i="3"/>
  <c r="D1054" i="3"/>
  <c r="E1054" i="3"/>
  <c r="I1054" i="3"/>
  <c r="A1056" i="3" l="1"/>
  <c r="C1055" i="3"/>
  <c r="E1055" i="3"/>
  <c r="F1055" i="3"/>
  <c r="B1055" i="3"/>
  <c r="H1055" i="3"/>
  <c r="J1055" i="3" s="1"/>
  <c r="I1055" i="3"/>
  <c r="D1055" i="3"/>
  <c r="B1056" i="3" l="1"/>
  <c r="E1056" i="3"/>
  <c r="C1056" i="3"/>
  <c r="A1057" i="3"/>
  <c r="F1056" i="3"/>
  <c r="D1056" i="3"/>
  <c r="H1056" i="3"/>
  <c r="J1056" i="3" s="1"/>
  <c r="I1056" i="3"/>
  <c r="B1057" i="3" l="1"/>
  <c r="C1057" i="3"/>
  <c r="A1058" i="3"/>
  <c r="H1057" i="3"/>
  <c r="J1057" i="3" s="1"/>
  <c r="F1057" i="3"/>
  <c r="D1057" i="3"/>
  <c r="I1057" i="3"/>
  <c r="E1057" i="3"/>
  <c r="A1059" i="3" l="1"/>
  <c r="F1058" i="3"/>
  <c r="B1058" i="3"/>
  <c r="C1058" i="3"/>
  <c r="I1058" i="3"/>
  <c r="H1058" i="3"/>
  <c r="J1058" i="3" s="1"/>
  <c r="E1058" i="3"/>
  <c r="D1058" i="3"/>
  <c r="C1059" i="3" l="1"/>
  <c r="A1060" i="3"/>
  <c r="B1059" i="3"/>
  <c r="E1059" i="3"/>
  <c r="F1059" i="3"/>
  <c r="H1059" i="3"/>
  <c r="J1059" i="3" s="1"/>
  <c r="I1059" i="3"/>
  <c r="D1059" i="3"/>
  <c r="B1060" i="3" l="1"/>
  <c r="C1060" i="3"/>
  <c r="F1060" i="3"/>
  <c r="I1060" i="3"/>
  <c r="E1060" i="3"/>
  <c r="D1060" i="3"/>
  <c r="A1061" i="3"/>
  <c r="H1060" i="3"/>
  <c r="J1060" i="3" s="1"/>
  <c r="A1062" i="3" l="1"/>
  <c r="F1061" i="3"/>
  <c r="B1061" i="3"/>
  <c r="C1061" i="3"/>
  <c r="I1061" i="3"/>
  <c r="E1061" i="3"/>
  <c r="H1061" i="3"/>
  <c r="J1061" i="3" s="1"/>
  <c r="D1061" i="3"/>
  <c r="C1062" i="3" l="1"/>
  <c r="F1062" i="3"/>
  <c r="A1063" i="3"/>
  <c r="B1062" i="3"/>
  <c r="I1062" i="3"/>
  <c r="H1062" i="3"/>
  <c r="J1062" i="3" s="1"/>
  <c r="E1062" i="3"/>
  <c r="D1062" i="3"/>
  <c r="B1063" i="3" l="1"/>
  <c r="C1063" i="3"/>
  <c r="A1064" i="3"/>
  <c r="F1063" i="3"/>
  <c r="H1063" i="3"/>
  <c r="J1063" i="3" s="1"/>
  <c r="D1063" i="3"/>
  <c r="I1063" i="3"/>
  <c r="E1063" i="3"/>
  <c r="A1065" i="3" l="1"/>
  <c r="D1064" i="3"/>
  <c r="F1064" i="3"/>
  <c r="B1064" i="3"/>
  <c r="C1064" i="3"/>
  <c r="H1064" i="3"/>
  <c r="J1064" i="3" s="1"/>
  <c r="I1064" i="3"/>
  <c r="E1064" i="3"/>
  <c r="B1065" i="3" l="1"/>
  <c r="A1066" i="3"/>
  <c r="C1065" i="3"/>
  <c r="I1065" i="3"/>
  <c r="E1065" i="3"/>
  <c r="F1065" i="3"/>
  <c r="D1065" i="3"/>
  <c r="H1065" i="3"/>
  <c r="J1065" i="3" s="1"/>
  <c r="B1066" i="3" l="1"/>
  <c r="A1067" i="3"/>
  <c r="C1066" i="3"/>
  <c r="F1066" i="3"/>
  <c r="H1066" i="3"/>
  <c r="J1066" i="3" s="1"/>
  <c r="D1066" i="3"/>
  <c r="E1066" i="3"/>
  <c r="I1066" i="3"/>
  <c r="A1068" i="3" l="1"/>
  <c r="F1067" i="3"/>
  <c r="B1067" i="3"/>
  <c r="E1067" i="3"/>
  <c r="C1067" i="3"/>
  <c r="H1067" i="3"/>
  <c r="J1067" i="3" s="1"/>
  <c r="D1067" i="3"/>
  <c r="I1067" i="3"/>
  <c r="C1068" i="3" l="1"/>
  <c r="A1069" i="3"/>
  <c r="F1068" i="3"/>
  <c r="B1068" i="3"/>
  <c r="H1068" i="3"/>
  <c r="J1068" i="3" s="1"/>
  <c r="E1068" i="3"/>
  <c r="I1068" i="3"/>
  <c r="D1068" i="3"/>
  <c r="B1069" i="3" l="1"/>
  <c r="C1069" i="3"/>
  <c r="F1069" i="3"/>
  <c r="A1070" i="3"/>
  <c r="I1069" i="3"/>
  <c r="E1069" i="3"/>
  <c r="H1069" i="3"/>
  <c r="J1069" i="3" s="1"/>
  <c r="D1069" i="3"/>
  <c r="A1071" i="3" l="1"/>
  <c r="B1070" i="3"/>
  <c r="C1070" i="3"/>
  <c r="F1070" i="3"/>
  <c r="I1070" i="3"/>
  <c r="H1070" i="3"/>
  <c r="J1070" i="3" s="1"/>
  <c r="D1070" i="3"/>
  <c r="E1070" i="3"/>
  <c r="C1071" i="3" l="1"/>
  <c r="A1072" i="3"/>
  <c r="B1071" i="3"/>
  <c r="F1071" i="3"/>
  <c r="H1071" i="3"/>
  <c r="J1071" i="3" s="1"/>
  <c r="I1071" i="3"/>
  <c r="D1071" i="3"/>
  <c r="E1071" i="3"/>
  <c r="B1072" i="3" l="1"/>
  <c r="C1072" i="3"/>
  <c r="A1073" i="3"/>
  <c r="D1072" i="3"/>
  <c r="F1072" i="3"/>
  <c r="I1072" i="3"/>
  <c r="E1072" i="3"/>
  <c r="H1072" i="3"/>
  <c r="J1072" i="3" s="1"/>
  <c r="A1074" i="3" l="1"/>
  <c r="F1073" i="3"/>
  <c r="C1073" i="3"/>
  <c r="B1073" i="3"/>
  <c r="I1073" i="3"/>
  <c r="H1073" i="3"/>
  <c r="J1073" i="3" s="1"/>
  <c r="D1073" i="3"/>
  <c r="E1073" i="3"/>
  <c r="B1074" i="3" l="1"/>
  <c r="F1074" i="3"/>
  <c r="I1074" i="3"/>
  <c r="C1074" i="3"/>
  <c r="H1074" i="3"/>
  <c r="J1074" i="3" s="1"/>
  <c r="E1074" i="3"/>
  <c r="A1075" i="3"/>
  <c r="D1074" i="3"/>
  <c r="B1075" i="3" l="1"/>
  <c r="C1075" i="3"/>
  <c r="A1076" i="3"/>
  <c r="F1075" i="3"/>
  <c r="D1075" i="3"/>
  <c r="E1075" i="3"/>
  <c r="I1075" i="3"/>
  <c r="H1075" i="3"/>
  <c r="J1075" i="3" s="1"/>
  <c r="A1077" i="3" l="1"/>
  <c r="F1076" i="3"/>
  <c r="B1076" i="3"/>
  <c r="D1076" i="3"/>
  <c r="H1076" i="3"/>
  <c r="J1076" i="3" s="1"/>
  <c r="E1076" i="3"/>
  <c r="C1076" i="3"/>
  <c r="I1076" i="3"/>
  <c r="C1077" i="3" l="1"/>
  <c r="A1078" i="3"/>
  <c r="F1077" i="3"/>
  <c r="I1077" i="3"/>
  <c r="E1077" i="3"/>
  <c r="B1077" i="3"/>
  <c r="H1077" i="3"/>
  <c r="J1077" i="3" s="1"/>
  <c r="D1077" i="3"/>
  <c r="B1078" i="3" l="1"/>
  <c r="F1078" i="3"/>
  <c r="I1078" i="3"/>
  <c r="C1078" i="3"/>
  <c r="D1078" i="3"/>
  <c r="A1079" i="3"/>
  <c r="H1078" i="3"/>
  <c r="J1078" i="3" s="1"/>
  <c r="E1078" i="3"/>
  <c r="A1080" i="3" l="1"/>
  <c r="F1079" i="3"/>
  <c r="E1079" i="3"/>
  <c r="B1079" i="3"/>
  <c r="C1079" i="3"/>
  <c r="D1079" i="3"/>
  <c r="I1079" i="3"/>
  <c r="H1079" i="3"/>
  <c r="J1079" i="3" s="1"/>
  <c r="C1080" i="3" l="1"/>
  <c r="A1081" i="3"/>
  <c r="D1080" i="3"/>
  <c r="F1080" i="3"/>
  <c r="H1080" i="3"/>
  <c r="J1080" i="3" s="1"/>
  <c r="E1080" i="3"/>
  <c r="B1080" i="3"/>
  <c r="I1080" i="3"/>
  <c r="B1081" i="3" l="1"/>
  <c r="C1081" i="3"/>
  <c r="A1082" i="3"/>
  <c r="H1081" i="3"/>
  <c r="J1081" i="3" s="1"/>
  <c r="D1081" i="3"/>
  <c r="E1081" i="3"/>
  <c r="F1081" i="3"/>
  <c r="I1081" i="3"/>
  <c r="A1083" i="3" l="1"/>
  <c r="C1082" i="3"/>
  <c r="F1082" i="3"/>
  <c r="B1082" i="3"/>
  <c r="H1082" i="3"/>
  <c r="J1082" i="3" s="1"/>
  <c r="I1082" i="3"/>
  <c r="E1082" i="3"/>
  <c r="D1082" i="3"/>
  <c r="B1083" i="3" l="1"/>
  <c r="C1083" i="3"/>
  <c r="F1083" i="3"/>
  <c r="A1084" i="3"/>
  <c r="I1083" i="3"/>
  <c r="D1083" i="3"/>
  <c r="E1083" i="3"/>
  <c r="H1083" i="3"/>
  <c r="J1083" i="3" s="1"/>
  <c r="B1084" i="3" l="1"/>
  <c r="C1084" i="3"/>
  <c r="A1085" i="3"/>
  <c r="F1084" i="3"/>
  <c r="D1084" i="3"/>
  <c r="I1084" i="3"/>
  <c r="H1084" i="3"/>
  <c r="J1084" i="3" s="1"/>
  <c r="E1084" i="3"/>
  <c r="A1086" i="3" l="1"/>
  <c r="B1085" i="3"/>
  <c r="C1085" i="3"/>
  <c r="F1085" i="3"/>
  <c r="H1085" i="3"/>
  <c r="J1085" i="3" s="1"/>
  <c r="D1085" i="3"/>
  <c r="I1085" i="3"/>
  <c r="E1085" i="3"/>
  <c r="C1086" i="3" l="1"/>
  <c r="A1087" i="3"/>
  <c r="B1086" i="3"/>
  <c r="F1086" i="3"/>
  <c r="I1086" i="3"/>
  <c r="E1086" i="3"/>
  <c r="D1086" i="3"/>
  <c r="H1086" i="3"/>
  <c r="J1086" i="3" s="1"/>
  <c r="B1087" i="3" l="1"/>
  <c r="C1087" i="3"/>
  <c r="F1087" i="3"/>
  <c r="A1088" i="3"/>
  <c r="I1087" i="3"/>
  <c r="E1087" i="3"/>
  <c r="H1087" i="3"/>
  <c r="J1087" i="3" s="1"/>
  <c r="D1087" i="3"/>
  <c r="A1089" i="3" l="1"/>
  <c r="F1088" i="3"/>
  <c r="B1088" i="3"/>
  <c r="C1088" i="3"/>
  <c r="H1088" i="3"/>
  <c r="J1088" i="3" s="1"/>
  <c r="E1088" i="3"/>
  <c r="D1088" i="3"/>
  <c r="I1088" i="3"/>
  <c r="C1089" i="3" l="1"/>
  <c r="B1089" i="3"/>
  <c r="F1089" i="3"/>
  <c r="H1089" i="3"/>
  <c r="J1089" i="3" s="1"/>
  <c r="E1089" i="3"/>
  <c r="A1090" i="3"/>
  <c r="I1089" i="3"/>
  <c r="D1089" i="3"/>
  <c r="B1090" i="3" l="1"/>
  <c r="A1091" i="3"/>
  <c r="C1090" i="3"/>
  <c r="F1090" i="3"/>
  <c r="D1090" i="3"/>
  <c r="I1090" i="3"/>
  <c r="E1090" i="3"/>
  <c r="H1090" i="3"/>
  <c r="J1090" i="3" s="1"/>
  <c r="A1092" i="3" l="1"/>
  <c r="C1091" i="3"/>
  <c r="B1091" i="3"/>
  <c r="D1091" i="3"/>
  <c r="F1091" i="3"/>
  <c r="H1091" i="3"/>
  <c r="J1091" i="3" s="1"/>
  <c r="I1091" i="3"/>
  <c r="E1091" i="3"/>
  <c r="B1092" i="3" l="1"/>
  <c r="C1092" i="3"/>
  <c r="F1092" i="3"/>
  <c r="H1092" i="3"/>
  <c r="J1092" i="3" s="1"/>
  <c r="I1092" i="3"/>
  <c r="E1092" i="3"/>
  <c r="A1093" i="3"/>
  <c r="D1092" i="3"/>
  <c r="B1093" i="3" l="1"/>
  <c r="C1093" i="3"/>
  <c r="H1093" i="3"/>
  <c r="J1093" i="3" s="1"/>
  <c r="I1093" i="3"/>
  <c r="A1094" i="3"/>
  <c r="D1093" i="3"/>
  <c r="E1093" i="3"/>
  <c r="F1093" i="3"/>
  <c r="A1095" i="3" l="1"/>
  <c r="F1094" i="3"/>
  <c r="B1094" i="3"/>
  <c r="C1094" i="3"/>
  <c r="I1094" i="3"/>
  <c r="D1094" i="3"/>
  <c r="H1094" i="3"/>
  <c r="J1094" i="3" s="1"/>
  <c r="E1094" i="3"/>
  <c r="C1095" i="3" l="1"/>
  <c r="A1096" i="3"/>
  <c r="B1095" i="3"/>
  <c r="I1095" i="3"/>
  <c r="F1095" i="3"/>
  <c r="H1095" i="3"/>
  <c r="J1095" i="3" s="1"/>
  <c r="E1095" i="3"/>
  <c r="D1095" i="3"/>
  <c r="B1096" i="3" l="1"/>
  <c r="C1096" i="3"/>
  <c r="F1096" i="3"/>
  <c r="A1097" i="3"/>
  <c r="I1096" i="3"/>
  <c r="D1096" i="3"/>
  <c r="H1096" i="3"/>
  <c r="J1096" i="3" s="1"/>
  <c r="E1096" i="3"/>
  <c r="A1098" i="3" l="1"/>
  <c r="F1097" i="3"/>
  <c r="B1097" i="3"/>
  <c r="C1097" i="3"/>
  <c r="I1097" i="3"/>
  <c r="H1097" i="3"/>
  <c r="J1097" i="3" s="1"/>
  <c r="D1097" i="3"/>
  <c r="E1097" i="3"/>
  <c r="C1098" i="3" l="1"/>
  <c r="F1098" i="3"/>
  <c r="A1099" i="3"/>
  <c r="B1098" i="3"/>
  <c r="I1098" i="3"/>
  <c r="H1098" i="3"/>
  <c r="J1098" i="3" s="1"/>
  <c r="E1098" i="3"/>
  <c r="D1098" i="3"/>
  <c r="B1099" i="3" l="1"/>
  <c r="C1099" i="3"/>
  <c r="A1100" i="3"/>
  <c r="E1099" i="3"/>
  <c r="I1099" i="3"/>
  <c r="F1099" i="3"/>
  <c r="H1099" i="3"/>
  <c r="J1099" i="3" s="1"/>
  <c r="D1099" i="3"/>
  <c r="A1101" i="3" l="1"/>
  <c r="C1100" i="3"/>
  <c r="F1100" i="3"/>
  <c r="B1100" i="3"/>
  <c r="I1100" i="3"/>
  <c r="E1100" i="3"/>
  <c r="H1100" i="3"/>
  <c r="J1100" i="3" s="1"/>
  <c r="D1100" i="3"/>
  <c r="B1101" i="3" l="1"/>
  <c r="C1101" i="3"/>
  <c r="F1101" i="3"/>
  <c r="A1102" i="3"/>
  <c r="E1101" i="3"/>
  <c r="I1101" i="3"/>
  <c r="H1101" i="3"/>
  <c r="J1101" i="3" s="1"/>
  <c r="D1101" i="3"/>
  <c r="B1102" i="3" l="1"/>
  <c r="C1102" i="3"/>
  <c r="A1103" i="3"/>
  <c r="F1102" i="3"/>
  <c r="H1102" i="3"/>
  <c r="J1102" i="3" s="1"/>
  <c r="I1102" i="3"/>
  <c r="E1102" i="3"/>
  <c r="D1102" i="3"/>
  <c r="A1104" i="3" l="1"/>
  <c r="F1103" i="3"/>
  <c r="B1103" i="3"/>
  <c r="E1103" i="3"/>
  <c r="C1103" i="3"/>
  <c r="H1103" i="3"/>
  <c r="J1103" i="3" s="1"/>
  <c r="D1103" i="3"/>
  <c r="I1103" i="3"/>
  <c r="C1104" i="3" l="1"/>
  <c r="F1104" i="3"/>
  <c r="B1104" i="3"/>
  <c r="A1105" i="3"/>
  <c r="H1104" i="3"/>
  <c r="J1104" i="3" s="1"/>
  <c r="D1104" i="3"/>
  <c r="I1104" i="3"/>
  <c r="E1104" i="3"/>
  <c r="B1105" i="3" l="1"/>
  <c r="C1105" i="3"/>
  <c r="A1106" i="3"/>
  <c r="H1105" i="3"/>
  <c r="J1105" i="3" s="1"/>
  <c r="F1105" i="3"/>
  <c r="D1105" i="3"/>
  <c r="E1105" i="3"/>
  <c r="I1105" i="3"/>
  <c r="A1107" i="3" l="1"/>
  <c r="F1106" i="3"/>
  <c r="B1106" i="3"/>
  <c r="I1106" i="3"/>
  <c r="C1106" i="3"/>
  <c r="H1106" i="3"/>
  <c r="J1106" i="3" s="1"/>
  <c r="D1106" i="3"/>
  <c r="E1106" i="3"/>
  <c r="C1107" i="3" l="1"/>
  <c r="F1107" i="3"/>
  <c r="A1108" i="3"/>
  <c r="B1107" i="3"/>
  <c r="I1107" i="3"/>
  <c r="D1107" i="3"/>
  <c r="E1107" i="3"/>
  <c r="H1107" i="3"/>
  <c r="J1107" i="3" s="1"/>
  <c r="B1108" i="3" l="1"/>
  <c r="C1108" i="3"/>
  <c r="A1109" i="3"/>
  <c r="F1108" i="3"/>
  <c r="E1108" i="3"/>
  <c r="I1108" i="3"/>
  <c r="H1108" i="3"/>
  <c r="J1108" i="3" s="1"/>
  <c r="D1108" i="3"/>
  <c r="A1110" i="3" l="1"/>
  <c r="F1109" i="3"/>
  <c r="C1109" i="3"/>
  <c r="I1109" i="3"/>
  <c r="E1109" i="3"/>
  <c r="D1109" i="3"/>
  <c r="B1109" i="3"/>
  <c r="H1109" i="3"/>
  <c r="J1109" i="3" s="1"/>
  <c r="B1110" i="3" l="1"/>
  <c r="F1110" i="3"/>
  <c r="A1111" i="3"/>
  <c r="I1110" i="3"/>
  <c r="C1110" i="3"/>
  <c r="D1110" i="3"/>
  <c r="H1110" i="3"/>
  <c r="J1110" i="3" s="1"/>
  <c r="E1110" i="3"/>
  <c r="B1111" i="3" l="1"/>
  <c r="C1111" i="3"/>
  <c r="A1112" i="3"/>
  <c r="H1111" i="3"/>
  <c r="J1111" i="3" s="1"/>
  <c r="D1111" i="3"/>
  <c r="E1111" i="3"/>
  <c r="F1111" i="3"/>
  <c r="I1111" i="3"/>
  <c r="A1113" i="3" l="1"/>
  <c r="F1112" i="3"/>
  <c r="E1112" i="3"/>
  <c r="B1112" i="3"/>
  <c r="C1112" i="3"/>
  <c r="I1112" i="3"/>
  <c r="D1112" i="3"/>
  <c r="H1112" i="3"/>
  <c r="J1112" i="3" s="1"/>
  <c r="C1113" i="3" l="1"/>
  <c r="A1114" i="3"/>
  <c r="I1113" i="3"/>
  <c r="B1113" i="3"/>
  <c r="F1113" i="3"/>
  <c r="H1113" i="3"/>
  <c r="J1113" i="3" s="1"/>
  <c r="D1113" i="3"/>
  <c r="E1113" i="3"/>
  <c r="B1114" i="3" l="1"/>
  <c r="C1114" i="3"/>
  <c r="F1114" i="3"/>
  <c r="A1115" i="3"/>
  <c r="E1114" i="3"/>
  <c r="I1114" i="3"/>
  <c r="D1114" i="3"/>
  <c r="H1114" i="3"/>
  <c r="J1114" i="3" s="1"/>
  <c r="A1116" i="3" l="1"/>
  <c r="F1115" i="3"/>
  <c r="E1115" i="3"/>
  <c r="B1115" i="3"/>
  <c r="D1115" i="3"/>
  <c r="C1115" i="3"/>
  <c r="H1115" i="3"/>
  <c r="J1115" i="3" s="1"/>
  <c r="I1115" i="3"/>
  <c r="C1116" i="3" l="1"/>
  <c r="F1116" i="3"/>
  <c r="A1117" i="3"/>
  <c r="B1116" i="3"/>
  <c r="E1116" i="3"/>
  <c r="H1116" i="3"/>
  <c r="J1116" i="3" s="1"/>
  <c r="D1116" i="3"/>
  <c r="I1116" i="3"/>
  <c r="B1117" i="3" l="1"/>
  <c r="C1117" i="3"/>
  <c r="A1118" i="3"/>
  <c r="F1117" i="3"/>
  <c r="I1117" i="3"/>
  <c r="E1117" i="3"/>
  <c r="D1117" i="3"/>
  <c r="H1117" i="3"/>
  <c r="J1117" i="3" s="1"/>
  <c r="A1119" i="3" l="1"/>
  <c r="C1118" i="3"/>
  <c r="I1118" i="3"/>
  <c r="D1118" i="3"/>
  <c r="F1118" i="3"/>
  <c r="E1118" i="3"/>
  <c r="B1118" i="3"/>
  <c r="H1118" i="3"/>
  <c r="J1118" i="3" s="1"/>
  <c r="B1119" i="3" l="1"/>
  <c r="C1119" i="3"/>
  <c r="F1119" i="3"/>
  <c r="A1120" i="3"/>
  <c r="I1119" i="3"/>
  <c r="H1119" i="3"/>
  <c r="J1119" i="3" s="1"/>
  <c r="E1119" i="3"/>
  <c r="D1119" i="3"/>
  <c r="B1120" i="3" l="1"/>
  <c r="C1120" i="3"/>
  <c r="A1121" i="3"/>
  <c r="D1120" i="3"/>
  <c r="F1120" i="3"/>
  <c r="H1120" i="3"/>
  <c r="J1120" i="3" s="1"/>
  <c r="E1120" i="3"/>
  <c r="I1120" i="3"/>
  <c r="A1122" i="3" l="1"/>
  <c r="F1121" i="3"/>
  <c r="B1121" i="3"/>
  <c r="C1121" i="3"/>
  <c r="D1121" i="3"/>
  <c r="H1121" i="3"/>
  <c r="J1121" i="3" s="1"/>
  <c r="E1121" i="3"/>
  <c r="I1121" i="3"/>
  <c r="C1122" i="3" l="1"/>
  <c r="A1123" i="3"/>
  <c r="F1122" i="3"/>
  <c r="H1122" i="3"/>
  <c r="J1122" i="3" s="1"/>
  <c r="E1122" i="3"/>
  <c r="D1122" i="3"/>
  <c r="I1122" i="3"/>
  <c r="B1122" i="3"/>
  <c r="B1123" i="3" l="1"/>
  <c r="F1123" i="3"/>
  <c r="H1123" i="3"/>
  <c r="J1123" i="3" s="1"/>
  <c r="I1123" i="3"/>
  <c r="D1123" i="3"/>
  <c r="C1123" i="3"/>
  <c r="A1124" i="3"/>
  <c r="E1123" i="3"/>
  <c r="A1125" i="3" l="1"/>
  <c r="F1124" i="3"/>
  <c r="B1124" i="3"/>
  <c r="H1124" i="3"/>
  <c r="J1124" i="3" s="1"/>
  <c r="E1124" i="3"/>
  <c r="C1124" i="3"/>
  <c r="D1124" i="3"/>
  <c r="I1124" i="3"/>
  <c r="C1125" i="3" l="1"/>
  <c r="F1125" i="3"/>
  <c r="A1126" i="3"/>
  <c r="H1125" i="3"/>
  <c r="J1125" i="3" s="1"/>
  <c r="D1125" i="3"/>
  <c r="I1125" i="3"/>
  <c r="B1125" i="3"/>
  <c r="E1125" i="3"/>
  <c r="B1126" i="3" l="1"/>
  <c r="C1126" i="3"/>
  <c r="A1127" i="3"/>
  <c r="F1126" i="3"/>
  <c r="I1126" i="3"/>
  <c r="H1126" i="3"/>
  <c r="J1126" i="3" s="1"/>
  <c r="E1126" i="3"/>
  <c r="D1126" i="3"/>
  <c r="F1127" i="3" l="1"/>
  <c r="A1128" i="3"/>
  <c r="H1127" i="3"/>
  <c r="J1127" i="3" s="1"/>
  <c r="E1127" i="3"/>
  <c r="C1127" i="3"/>
  <c r="I1127" i="3"/>
  <c r="D1127" i="3"/>
  <c r="B1127" i="3"/>
  <c r="B1128" i="3" l="1"/>
  <c r="A1129" i="3"/>
  <c r="C1128" i="3"/>
  <c r="H1128" i="3"/>
  <c r="J1128" i="3" s="1"/>
  <c r="I1128" i="3"/>
  <c r="F1128" i="3"/>
  <c r="D1128" i="3"/>
  <c r="E1128" i="3"/>
  <c r="B1129" i="3" l="1"/>
  <c r="C1129" i="3"/>
  <c r="A1130" i="3"/>
  <c r="F1129" i="3"/>
  <c r="E1129" i="3"/>
  <c r="I1129" i="3"/>
  <c r="D1129" i="3"/>
  <c r="H1129" i="3"/>
  <c r="J1129" i="3" s="1"/>
  <c r="F1130" i="3" l="1"/>
  <c r="A1131" i="3"/>
  <c r="B1130" i="3"/>
  <c r="C1130" i="3"/>
  <c r="H1130" i="3"/>
  <c r="J1130" i="3" s="1"/>
  <c r="D1130" i="3"/>
  <c r="I1130" i="3"/>
  <c r="E1130" i="3"/>
  <c r="B1131" i="3" l="1"/>
  <c r="A1132" i="3"/>
  <c r="C1131" i="3"/>
  <c r="E1131" i="3"/>
  <c r="H1131" i="3"/>
  <c r="J1131" i="3" s="1"/>
  <c r="D1131" i="3"/>
  <c r="F1131" i="3"/>
  <c r="I1131" i="3"/>
  <c r="B1132" i="3" l="1"/>
  <c r="C1132" i="3"/>
  <c r="A1133" i="3"/>
  <c r="F1132" i="3"/>
  <c r="D1132" i="3"/>
  <c r="H1132" i="3"/>
  <c r="J1132" i="3" s="1"/>
  <c r="E1132" i="3"/>
  <c r="I1132" i="3"/>
  <c r="F1133" i="3" l="1"/>
  <c r="C1133" i="3"/>
  <c r="A1134" i="3"/>
  <c r="I1133" i="3"/>
  <c r="E1133" i="3"/>
  <c r="B1133" i="3"/>
  <c r="H1133" i="3"/>
  <c r="J1133" i="3" s="1"/>
  <c r="D1133" i="3"/>
  <c r="B1134" i="3" l="1"/>
  <c r="A1135" i="3"/>
  <c r="I1134" i="3"/>
  <c r="D1134" i="3"/>
  <c r="F1134" i="3"/>
  <c r="C1134" i="3"/>
  <c r="H1134" i="3"/>
  <c r="J1134" i="3" s="1"/>
  <c r="E1134" i="3"/>
  <c r="B1135" i="3" l="1"/>
  <c r="C1135" i="3"/>
  <c r="A1136" i="3"/>
  <c r="F1135" i="3"/>
  <c r="H1135" i="3"/>
  <c r="J1135" i="3" s="1"/>
  <c r="D1135" i="3"/>
  <c r="E1135" i="3"/>
  <c r="I1135" i="3"/>
  <c r="F1136" i="3" l="1"/>
  <c r="A1137" i="3"/>
  <c r="C1136" i="3"/>
  <c r="B1136" i="3"/>
  <c r="D1136" i="3"/>
  <c r="I1136" i="3"/>
  <c r="H1136" i="3"/>
  <c r="J1136" i="3" s="1"/>
  <c r="E1136" i="3"/>
  <c r="B1137" i="3" l="1"/>
  <c r="F1137" i="3"/>
  <c r="C1137" i="3"/>
  <c r="H1137" i="3"/>
  <c r="J1137" i="3" s="1"/>
  <c r="D1137" i="3"/>
  <c r="A1138" i="3"/>
  <c r="E1137" i="3"/>
  <c r="I1137" i="3"/>
  <c r="B1138" i="3" l="1"/>
  <c r="A1139" i="3"/>
  <c r="F1138" i="3"/>
  <c r="C1138" i="3"/>
  <c r="H1138" i="3"/>
  <c r="J1138" i="3" s="1"/>
  <c r="D1138" i="3"/>
  <c r="E1138" i="3"/>
  <c r="I1138" i="3"/>
  <c r="F1139" i="3" l="1"/>
  <c r="A1140" i="3"/>
  <c r="C1139" i="3"/>
  <c r="B1139" i="3"/>
  <c r="I1139" i="3"/>
  <c r="E1139" i="3"/>
  <c r="D1139" i="3"/>
  <c r="H1139" i="3"/>
  <c r="J1139" i="3" s="1"/>
  <c r="B1140" i="3" l="1"/>
  <c r="A1141" i="3"/>
  <c r="F1140" i="3"/>
  <c r="I1140" i="3"/>
  <c r="C1140" i="3"/>
  <c r="E1140" i="3"/>
  <c r="H1140" i="3"/>
  <c r="J1140" i="3" s="1"/>
  <c r="D1140" i="3"/>
  <c r="B1141" i="3" l="1"/>
  <c r="A1142" i="3"/>
  <c r="F1141" i="3"/>
  <c r="I1141" i="3"/>
  <c r="C1141" i="3"/>
  <c r="H1141" i="3"/>
  <c r="J1141" i="3" s="1"/>
  <c r="E1141" i="3"/>
  <c r="D1141" i="3"/>
  <c r="F1142" i="3" l="1"/>
  <c r="C1142" i="3"/>
  <c r="B1142" i="3"/>
  <c r="I1142" i="3"/>
  <c r="A1143" i="3"/>
  <c r="H1142" i="3"/>
  <c r="J1142" i="3" s="1"/>
  <c r="E1142" i="3"/>
  <c r="D1142" i="3"/>
  <c r="B1143" i="3" l="1"/>
  <c r="F1143" i="3"/>
  <c r="H1143" i="3"/>
  <c r="J1143" i="3" s="1"/>
  <c r="I1143" i="3"/>
  <c r="A1144" i="3"/>
  <c r="C1143" i="3"/>
  <c r="E1143" i="3"/>
  <c r="D1143" i="3"/>
  <c r="B1144" i="3" l="1"/>
  <c r="A1145" i="3"/>
  <c r="F1144" i="3"/>
  <c r="C1144" i="3"/>
  <c r="H1144" i="3"/>
  <c r="J1144" i="3" s="1"/>
  <c r="I1144" i="3"/>
  <c r="D1144" i="3"/>
  <c r="E1144" i="3"/>
  <c r="F1145" i="3" l="1"/>
  <c r="A1146" i="3"/>
  <c r="C1145" i="3"/>
  <c r="B1145" i="3"/>
  <c r="D1145" i="3"/>
  <c r="I1145" i="3"/>
  <c r="H1145" i="3"/>
  <c r="J1145" i="3" s="1"/>
  <c r="E1145" i="3"/>
  <c r="B1146" i="3" l="1"/>
  <c r="A1147" i="3"/>
  <c r="F1146" i="3"/>
  <c r="D1146" i="3"/>
  <c r="I1146" i="3"/>
  <c r="E1146" i="3"/>
  <c r="C1146" i="3"/>
  <c r="H1146" i="3"/>
  <c r="J1146" i="3" s="1"/>
  <c r="B1147" i="3" l="1"/>
  <c r="C1147" i="3"/>
  <c r="F1147" i="3"/>
  <c r="A1148" i="3"/>
  <c r="H1147" i="3"/>
  <c r="J1147" i="3" s="1"/>
  <c r="I1147" i="3"/>
  <c r="D1147" i="3"/>
  <c r="E1147" i="3"/>
  <c r="F1148" i="3" l="1"/>
  <c r="B1148" i="3"/>
  <c r="D1148" i="3"/>
  <c r="A1149" i="3"/>
  <c r="C1148" i="3"/>
  <c r="H1148" i="3"/>
  <c r="J1148" i="3" s="1"/>
  <c r="I1148" i="3"/>
  <c r="E1148" i="3"/>
  <c r="B1149" i="3" l="1"/>
  <c r="A1150" i="3"/>
  <c r="C1149" i="3"/>
  <c r="F1149" i="3"/>
  <c r="I1149" i="3"/>
  <c r="H1149" i="3"/>
  <c r="J1149" i="3" s="1"/>
  <c r="D1149" i="3"/>
  <c r="E1149" i="3"/>
  <c r="B1150" i="3" l="1"/>
  <c r="C1150" i="3"/>
  <c r="A1151" i="3"/>
  <c r="F1150" i="3"/>
  <c r="E1150" i="3"/>
  <c r="D1150" i="3"/>
  <c r="H1150" i="3"/>
  <c r="J1150" i="3" s="1"/>
  <c r="I1150" i="3"/>
  <c r="F1151" i="3" l="1"/>
  <c r="C1151" i="3"/>
  <c r="B1151" i="3"/>
  <c r="I1151" i="3"/>
  <c r="A1152" i="3"/>
  <c r="H1151" i="3"/>
  <c r="J1151" i="3" s="1"/>
  <c r="E1151" i="3"/>
  <c r="D1151" i="3"/>
  <c r="B1152" i="3" l="1"/>
  <c r="F1152" i="3"/>
  <c r="C1152" i="3"/>
  <c r="D1152" i="3"/>
  <c r="A1153" i="3"/>
  <c r="I1152" i="3"/>
  <c r="E1152" i="3"/>
  <c r="H1152" i="3"/>
  <c r="J1152" i="3" s="1"/>
  <c r="B1153" i="3" l="1"/>
  <c r="A1154" i="3"/>
  <c r="F1153" i="3"/>
  <c r="C1153" i="3"/>
  <c r="E1153" i="3"/>
  <c r="I1153" i="3"/>
  <c r="D1153" i="3"/>
  <c r="H1153" i="3"/>
  <c r="J1153" i="3" s="1"/>
  <c r="F1154" i="3" l="1"/>
  <c r="A1155" i="3"/>
  <c r="B1154" i="3"/>
  <c r="I1154" i="3"/>
  <c r="D1154" i="3"/>
  <c r="C1154" i="3"/>
  <c r="H1154" i="3"/>
  <c r="J1154" i="3" s="1"/>
  <c r="E1154" i="3"/>
  <c r="B1155" i="3" l="1"/>
  <c r="A1156" i="3"/>
  <c r="C1155" i="3"/>
  <c r="H1155" i="3"/>
  <c r="J1155" i="3" s="1"/>
  <c r="I1155" i="3"/>
  <c r="D1155" i="3"/>
  <c r="F1155" i="3"/>
  <c r="E1155" i="3"/>
  <c r="B1156" i="3" l="1"/>
  <c r="C1156" i="3"/>
  <c r="A1157" i="3"/>
  <c r="H1156" i="3"/>
  <c r="J1156" i="3" s="1"/>
  <c r="I1156" i="3"/>
  <c r="F1156" i="3"/>
  <c r="D1156" i="3"/>
  <c r="E1156" i="3"/>
  <c r="F1157" i="3" l="1"/>
  <c r="A1158" i="3"/>
  <c r="B1157" i="3"/>
  <c r="E1157" i="3"/>
  <c r="C1157" i="3"/>
  <c r="H1157" i="3"/>
  <c r="J1157" i="3" s="1"/>
  <c r="I1157" i="3"/>
  <c r="D1157" i="3"/>
  <c r="B1158" i="3" l="1"/>
  <c r="A1159" i="3"/>
  <c r="C1158" i="3"/>
  <c r="F1158" i="3"/>
  <c r="I1158" i="3"/>
  <c r="E1158" i="3"/>
  <c r="H1158" i="3"/>
  <c r="J1158" i="3" s="1"/>
  <c r="D1158" i="3"/>
  <c r="B1159" i="3" l="1"/>
  <c r="C1159" i="3"/>
  <c r="A1160" i="3"/>
  <c r="H1159" i="3"/>
  <c r="J1159" i="3" s="1"/>
  <c r="E1159" i="3"/>
  <c r="F1159" i="3"/>
  <c r="I1159" i="3"/>
  <c r="D1159" i="3"/>
  <c r="F1160" i="3" l="1"/>
  <c r="A1161" i="3"/>
  <c r="C1160" i="3"/>
  <c r="H1160" i="3"/>
  <c r="J1160" i="3" s="1"/>
  <c r="E1160" i="3"/>
  <c r="I1160" i="3"/>
  <c r="B1160" i="3"/>
  <c r="D1160" i="3"/>
  <c r="B1161" i="3" l="1"/>
  <c r="A1162" i="3"/>
  <c r="E1161" i="3"/>
  <c r="F1161" i="3"/>
  <c r="I1161" i="3"/>
  <c r="C1161" i="3"/>
  <c r="H1161" i="3"/>
  <c r="J1161" i="3" s="1"/>
  <c r="D1161" i="3"/>
  <c r="B1162" i="3" l="1"/>
  <c r="A1163" i="3"/>
  <c r="C1162" i="3"/>
  <c r="H1162" i="3"/>
  <c r="J1162" i="3" s="1"/>
  <c r="I1162" i="3"/>
  <c r="E1162" i="3"/>
  <c r="D1162" i="3"/>
  <c r="F1162" i="3"/>
  <c r="F1163" i="3" l="1"/>
  <c r="A1164" i="3"/>
  <c r="C1163" i="3"/>
  <c r="I1163" i="3"/>
  <c r="E1163" i="3"/>
  <c r="B1163" i="3"/>
  <c r="H1163" i="3"/>
  <c r="J1163" i="3" s="1"/>
  <c r="D1163" i="3"/>
  <c r="B1164" i="3" l="1"/>
  <c r="A1165" i="3"/>
  <c r="F1164" i="3"/>
  <c r="C1164" i="3"/>
  <c r="I1164" i="3"/>
  <c r="H1164" i="3"/>
  <c r="J1164" i="3" s="1"/>
  <c r="D1164" i="3"/>
  <c r="E1164" i="3"/>
  <c r="B1165" i="3" l="1"/>
  <c r="C1165" i="3"/>
  <c r="E1165" i="3"/>
  <c r="A1166" i="3"/>
  <c r="F1165" i="3"/>
  <c r="H1165" i="3"/>
  <c r="J1165" i="3" s="1"/>
  <c r="D1165" i="3"/>
  <c r="I1165" i="3"/>
  <c r="F1166" i="3" l="1"/>
  <c r="A1167" i="3"/>
  <c r="C1166" i="3"/>
  <c r="B1166" i="3"/>
  <c r="I1166" i="3"/>
  <c r="E1166" i="3"/>
  <c r="H1166" i="3"/>
  <c r="J1166" i="3" s="1"/>
  <c r="D1166" i="3"/>
  <c r="B1167" i="3" l="1"/>
  <c r="C1167" i="3"/>
  <c r="F1167" i="3"/>
  <c r="A1168" i="3"/>
  <c r="H1167" i="3"/>
  <c r="J1167" i="3" s="1"/>
  <c r="I1167" i="3"/>
  <c r="E1167" i="3"/>
  <c r="D1167" i="3"/>
  <c r="B1168" i="3" l="1"/>
  <c r="A1169" i="3"/>
  <c r="C1168" i="3"/>
  <c r="F1168" i="3"/>
  <c r="I1168" i="3"/>
  <c r="D1168" i="3"/>
  <c r="H1168" i="3"/>
  <c r="J1168" i="3" s="1"/>
  <c r="E1168" i="3"/>
  <c r="F1169" i="3" l="1"/>
  <c r="A1170" i="3"/>
  <c r="C1169" i="3"/>
  <c r="B1169" i="3"/>
  <c r="I1169" i="3"/>
  <c r="E1169" i="3"/>
  <c r="H1169" i="3"/>
  <c r="J1169" i="3" s="1"/>
  <c r="D1169" i="3"/>
  <c r="B1170" i="3" l="1"/>
  <c r="F1170" i="3"/>
  <c r="A1171" i="3"/>
  <c r="C1170" i="3"/>
  <c r="I1170" i="3"/>
  <c r="E1170" i="3"/>
  <c r="H1170" i="3"/>
  <c r="J1170" i="3" s="1"/>
  <c r="D1170" i="3"/>
  <c r="B1171" i="3" l="1"/>
  <c r="C1171" i="3"/>
  <c r="F1171" i="3"/>
  <c r="E1171" i="3"/>
  <c r="A1172" i="3"/>
  <c r="I1171" i="3"/>
  <c r="H1171" i="3"/>
  <c r="J1171" i="3" s="1"/>
  <c r="D1171" i="3"/>
  <c r="F1172" i="3" l="1"/>
  <c r="A1173" i="3"/>
  <c r="C1172" i="3"/>
  <c r="H1172" i="3"/>
  <c r="J1172" i="3" s="1"/>
  <c r="I1172" i="3"/>
  <c r="D1172" i="3"/>
  <c r="B1172" i="3"/>
  <c r="E1172" i="3"/>
  <c r="B1173" i="3" l="1"/>
  <c r="F1173" i="3"/>
  <c r="A1174" i="3"/>
  <c r="H1173" i="3"/>
  <c r="J1173" i="3" s="1"/>
  <c r="E1173" i="3"/>
  <c r="C1173" i="3"/>
  <c r="I1173" i="3"/>
  <c r="D1173" i="3"/>
  <c r="B1174" i="3" l="1"/>
  <c r="A1175" i="3"/>
  <c r="C1174" i="3"/>
  <c r="F1174" i="3"/>
  <c r="H1174" i="3"/>
  <c r="J1174" i="3" s="1"/>
  <c r="D1174" i="3"/>
  <c r="E1174" i="3"/>
  <c r="I1174" i="3"/>
  <c r="F1175" i="3" l="1"/>
  <c r="A1176" i="3"/>
  <c r="C1175" i="3"/>
  <c r="H1175" i="3"/>
  <c r="J1175" i="3" s="1"/>
  <c r="E1175" i="3"/>
  <c r="D1175" i="3"/>
  <c r="B1175" i="3"/>
  <c r="I1175" i="3"/>
  <c r="B1176" i="3" l="1"/>
  <c r="C1176" i="3"/>
  <c r="F1176" i="3"/>
  <c r="A1177" i="3"/>
  <c r="I1176" i="3"/>
  <c r="E1176" i="3"/>
  <c r="H1176" i="3"/>
  <c r="J1176" i="3" s="1"/>
  <c r="D1176" i="3"/>
  <c r="B1177" i="3" l="1"/>
  <c r="C1177" i="3"/>
  <c r="A1178" i="3"/>
  <c r="H1177" i="3"/>
  <c r="J1177" i="3" s="1"/>
  <c r="F1177" i="3"/>
  <c r="I1177" i="3"/>
  <c r="D1177" i="3"/>
  <c r="E1177" i="3"/>
  <c r="F1178" i="3" l="1"/>
  <c r="A1179" i="3"/>
  <c r="C1178" i="3"/>
  <c r="B1178" i="3"/>
  <c r="D1178" i="3"/>
  <c r="I1178" i="3"/>
  <c r="H1178" i="3"/>
  <c r="J1178" i="3" s="1"/>
  <c r="E1178" i="3"/>
  <c r="B1179" i="3" l="1"/>
  <c r="C1179" i="3"/>
  <c r="H1179" i="3"/>
  <c r="J1179" i="3" s="1"/>
  <c r="E1179" i="3"/>
  <c r="A1180" i="3"/>
  <c r="F1179" i="3"/>
  <c r="D1179" i="3"/>
  <c r="I1179" i="3"/>
  <c r="B1180" i="3" l="1"/>
  <c r="C1180" i="3"/>
  <c r="A1181" i="3"/>
  <c r="D1180" i="3"/>
  <c r="F1180" i="3"/>
  <c r="H1180" i="3"/>
  <c r="J1180" i="3" s="1"/>
  <c r="I1180" i="3"/>
  <c r="E1180" i="3"/>
  <c r="F1181" i="3" l="1"/>
  <c r="C1181" i="3"/>
  <c r="B1181" i="3"/>
  <c r="E1181" i="3"/>
  <c r="A1182" i="3"/>
  <c r="H1181" i="3"/>
  <c r="J1181" i="3" s="1"/>
  <c r="I1181" i="3"/>
  <c r="D1181" i="3"/>
  <c r="B1182" i="3" l="1"/>
  <c r="F1182" i="3"/>
  <c r="C1182" i="3"/>
  <c r="A1183" i="3"/>
  <c r="H1182" i="3"/>
  <c r="J1182" i="3" s="1"/>
  <c r="I1182" i="3"/>
  <c r="E1182" i="3"/>
  <c r="D1182" i="3"/>
  <c r="B1183" i="3" l="1"/>
  <c r="C1183" i="3"/>
  <c r="A1184" i="3"/>
  <c r="F1183" i="3"/>
  <c r="D1183" i="3"/>
  <c r="I1183" i="3"/>
  <c r="H1183" i="3"/>
  <c r="J1183" i="3" s="1"/>
  <c r="E1183" i="3"/>
  <c r="F1184" i="3" l="1"/>
  <c r="B1184" i="3"/>
  <c r="C1184" i="3"/>
  <c r="I1184" i="3"/>
  <c r="H1184" i="3"/>
  <c r="J1184" i="3" s="1"/>
  <c r="D1184" i="3"/>
  <c r="E1184" i="3"/>
  <c r="A1185" i="3"/>
  <c r="B1185" i="3" l="1"/>
  <c r="C1185" i="3"/>
  <c r="F1185" i="3"/>
  <c r="I1185" i="3"/>
  <c r="A1186" i="3"/>
  <c r="H1185" i="3"/>
  <c r="J1185" i="3" s="1"/>
  <c r="E1185" i="3"/>
  <c r="D1185" i="3"/>
  <c r="B1186" i="3" l="1"/>
  <c r="F1186" i="3"/>
  <c r="A1187" i="3"/>
  <c r="C1186" i="3"/>
  <c r="H1186" i="3"/>
  <c r="J1186" i="3" s="1"/>
  <c r="D1186" i="3"/>
  <c r="E1186" i="3"/>
  <c r="I1186" i="3"/>
  <c r="F1187" i="3" l="1"/>
  <c r="C1187" i="3"/>
  <c r="A1188" i="3"/>
  <c r="H1187" i="3"/>
  <c r="J1187" i="3" s="1"/>
  <c r="E1187" i="3"/>
  <c r="B1187" i="3"/>
  <c r="I1187" i="3"/>
  <c r="D1187" i="3"/>
  <c r="B1188" i="3" l="1"/>
  <c r="A1189" i="3"/>
  <c r="C1188" i="3"/>
  <c r="H1188" i="3"/>
  <c r="J1188" i="3" s="1"/>
  <c r="E1188" i="3"/>
  <c r="D1188" i="3"/>
  <c r="F1188" i="3"/>
  <c r="I1188" i="3"/>
  <c r="B1189" i="3" l="1"/>
  <c r="C1189" i="3"/>
  <c r="F1189" i="3"/>
  <c r="A1190" i="3"/>
  <c r="I1189" i="3"/>
  <c r="D1189" i="3"/>
  <c r="H1189" i="3"/>
  <c r="J1189" i="3" s="1"/>
  <c r="E1189" i="3"/>
  <c r="F1190" i="3" l="1"/>
  <c r="B1190" i="3"/>
  <c r="H1190" i="3"/>
  <c r="J1190" i="3" s="1"/>
  <c r="I1190" i="3"/>
  <c r="E1190" i="3"/>
  <c r="C1190" i="3"/>
  <c r="A1191" i="3"/>
  <c r="D1190" i="3"/>
  <c r="B1191" i="3" l="1"/>
  <c r="F1191" i="3"/>
  <c r="A1192" i="3"/>
  <c r="C1191" i="3"/>
  <c r="I1191" i="3"/>
  <c r="E1191" i="3"/>
  <c r="H1191" i="3"/>
  <c r="J1191" i="3" s="1"/>
  <c r="D1191" i="3"/>
  <c r="B1192" i="3" l="1"/>
  <c r="F1192" i="3"/>
  <c r="A1193" i="3"/>
  <c r="E1192" i="3"/>
  <c r="C1192" i="3"/>
  <c r="H1192" i="3"/>
  <c r="J1192" i="3" s="1"/>
  <c r="I1192" i="3"/>
  <c r="D1192" i="3"/>
  <c r="F1193" i="3" l="1"/>
  <c r="C1193" i="3"/>
  <c r="A1194" i="3"/>
  <c r="H1193" i="3"/>
  <c r="J1193" i="3" s="1"/>
  <c r="E1193" i="3"/>
  <c r="B1193" i="3"/>
  <c r="I1193" i="3"/>
  <c r="D1193" i="3"/>
  <c r="B1194" i="3" l="1"/>
  <c r="C1194" i="3"/>
  <c r="F1194" i="3"/>
  <c r="H1194" i="3"/>
  <c r="J1194" i="3" s="1"/>
  <c r="I1194" i="3"/>
  <c r="A1195" i="3"/>
  <c r="D1194" i="3"/>
  <c r="E1194" i="3"/>
  <c r="B1195" i="3" l="1"/>
  <c r="C1195" i="3"/>
  <c r="F1195" i="3"/>
  <c r="H1195" i="3"/>
  <c r="J1195" i="3" s="1"/>
  <c r="D1195" i="3"/>
  <c r="E1195" i="3"/>
  <c r="A1196" i="3"/>
  <c r="I1195" i="3"/>
  <c r="F1196" i="3" l="1"/>
  <c r="B1196" i="3"/>
  <c r="I1196" i="3"/>
  <c r="C1196" i="3"/>
  <c r="H1196" i="3"/>
  <c r="J1196" i="3" s="1"/>
  <c r="D1196" i="3"/>
  <c r="A1197" i="3"/>
  <c r="E1196" i="3"/>
  <c r="B1197" i="3" l="1"/>
  <c r="A1198" i="3"/>
  <c r="D1197" i="3"/>
  <c r="C1197" i="3"/>
  <c r="I1197" i="3"/>
  <c r="F1197" i="3"/>
  <c r="H1197" i="3"/>
  <c r="J1197" i="3" s="1"/>
  <c r="E1197" i="3"/>
  <c r="B1198" i="3" l="1"/>
  <c r="C1198" i="3"/>
  <c r="F1198" i="3"/>
  <c r="D1198" i="3"/>
  <c r="I1198" i="3"/>
  <c r="A1199" i="3"/>
  <c r="H1198" i="3"/>
  <c r="J1198" i="3" s="1"/>
  <c r="E1198" i="3"/>
  <c r="F1199" i="3" l="1"/>
  <c r="C1199" i="3"/>
  <c r="A1200" i="3"/>
  <c r="H1199" i="3"/>
  <c r="J1199" i="3" s="1"/>
  <c r="I1199" i="3"/>
  <c r="D1199" i="3"/>
  <c r="B1199" i="3"/>
  <c r="E1199" i="3"/>
  <c r="B1200" i="3" l="1"/>
  <c r="A1201" i="3"/>
  <c r="C1200" i="3"/>
  <c r="H1200" i="3"/>
  <c r="J1200" i="3" s="1"/>
  <c r="D1200" i="3"/>
  <c r="F1200" i="3"/>
  <c r="I1200" i="3"/>
  <c r="E1200" i="3"/>
  <c r="B1201" i="3" l="1"/>
  <c r="C1201" i="3"/>
  <c r="F1201" i="3"/>
  <c r="A1202" i="3"/>
  <c r="E1201" i="3"/>
  <c r="H1201" i="3"/>
  <c r="J1201" i="3" s="1"/>
  <c r="D1201" i="3"/>
  <c r="I1201" i="3"/>
  <c r="F1202" i="3" l="1"/>
  <c r="C1202" i="3"/>
  <c r="B1202" i="3"/>
  <c r="H1202" i="3"/>
  <c r="J1202" i="3" s="1"/>
  <c r="A1203" i="3"/>
  <c r="E1202" i="3"/>
  <c r="D1202" i="3"/>
  <c r="I1202" i="3"/>
  <c r="B1203" i="3" l="1"/>
  <c r="C1203" i="3"/>
  <c r="A1204" i="3"/>
  <c r="F1203" i="3"/>
  <c r="I1203" i="3"/>
  <c r="E1203" i="3"/>
  <c r="H1203" i="3"/>
  <c r="J1203" i="3" s="1"/>
  <c r="D1203" i="3"/>
  <c r="B1204" i="3" l="1"/>
  <c r="C1204" i="3"/>
  <c r="A1205" i="3"/>
  <c r="F1204" i="3"/>
  <c r="I1204" i="3"/>
  <c r="D1204" i="3"/>
  <c r="E1204" i="3"/>
  <c r="H1204" i="3"/>
  <c r="J1204" i="3" s="1"/>
  <c r="F1205" i="3" l="1"/>
  <c r="C1205" i="3"/>
  <c r="A1206" i="3"/>
  <c r="B1205" i="3"/>
  <c r="H1205" i="3"/>
  <c r="J1205" i="3" s="1"/>
  <c r="E1205" i="3"/>
  <c r="D1205" i="3"/>
  <c r="I1205" i="3"/>
  <c r="B1206" i="3" l="1"/>
  <c r="A1207" i="3"/>
  <c r="C1206" i="3"/>
  <c r="I1206" i="3"/>
  <c r="E1206" i="3"/>
  <c r="F1206" i="3"/>
  <c r="H1206" i="3"/>
  <c r="J1206" i="3" s="1"/>
  <c r="D1206" i="3"/>
  <c r="B1207" i="3" l="1"/>
  <c r="F1207" i="3"/>
  <c r="C1207" i="3"/>
  <c r="A1208" i="3"/>
  <c r="I1207" i="3"/>
  <c r="H1207" i="3"/>
  <c r="J1207" i="3" s="1"/>
  <c r="E1207" i="3"/>
  <c r="D1207" i="3"/>
  <c r="F1208" i="3" l="1"/>
  <c r="C1208" i="3"/>
  <c r="B1208" i="3"/>
  <c r="H1208" i="3"/>
  <c r="J1208" i="3" s="1"/>
  <c r="D1208" i="3"/>
  <c r="A1209" i="3"/>
  <c r="I1208" i="3"/>
  <c r="E1208" i="3"/>
  <c r="B1209" i="3" l="1"/>
  <c r="C1209" i="3"/>
  <c r="A1210" i="3"/>
  <c r="F1209" i="3"/>
  <c r="I1209" i="3"/>
  <c r="D1209" i="3"/>
  <c r="H1209" i="3"/>
  <c r="J1209" i="3" s="1"/>
  <c r="E1209" i="3"/>
  <c r="B1210" i="3" l="1"/>
  <c r="C1210" i="3"/>
  <c r="F1210" i="3"/>
  <c r="A1211" i="3"/>
  <c r="I1210" i="3"/>
  <c r="H1210" i="3"/>
  <c r="J1210" i="3" s="1"/>
  <c r="D1210" i="3"/>
  <c r="E1210" i="3"/>
  <c r="F1211" i="3" l="1"/>
  <c r="C1211" i="3"/>
  <c r="A1212" i="3"/>
  <c r="I1211" i="3"/>
  <c r="D1211" i="3"/>
  <c r="H1211" i="3"/>
  <c r="J1211" i="3" s="1"/>
  <c r="E1211" i="3"/>
  <c r="B1211" i="3"/>
  <c r="B1212" i="3" l="1"/>
  <c r="C1212" i="3"/>
  <c r="D1212" i="3"/>
  <c r="A1213" i="3"/>
  <c r="F1212" i="3"/>
  <c r="I1212" i="3"/>
  <c r="E1212" i="3"/>
  <c r="H1212" i="3"/>
  <c r="J1212" i="3" s="1"/>
  <c r="B1213" i="3" l="1"/>
  <c r="C1213" i="3"/>
  <c r="A1214" i="3"/>
  <c r="I1213" i="3"/>
  <c r="E1213" i="3"/>
  <c r="D1213" i="3"/>
  <c r="F1213" i="3"/>
  <c r="H1213" i="3"/>
  <c r="J1213" i="3" s="1"/>
  <c r="F1214" i="3" l="1"/>
  <c r="C1214" i="3"/>
  <c r="B1214" i="3"/>
  <c r="H1214" i="3"/>
  <c r="J1214" i="3" s="1"/>
  <c r="E1214" i="3"/>
  <c r="I1214" i="3"/>
  <c r="D1214" i="3"/>
  <c r="A1215" i="3"/>
  <c r="A1216" i="3" l="1"/>
  <c r="C1215" i="3"/>
  <c r="B1215" i="3"/>
  <c r="I1215" i="3"/>
  <c r="E1215" i="3"/>
  <c r="F1215" i="3"/>
  <c r="H1215" i="3"/>
  <c r="J1215" i="3" s="1"/>
  <c r="D1215" i="3"/>
  <c r="B1216" i="3" l="1"/>
  <c r="F1216" i="3"/>
  <c r="A1217" i="3"/>
  <c r="I1216" i="3"/>
  <c r="D1216" i="3"/>
  <c r="C1216" i="3"/>
  <c r="H1216" i="3"/>
  <c r="J1216" i="3" s="1"/>
  <c r="E1216" i="3"/>
  <c r="F1217" i="3" l="1"/>
  <c r="C1217" i="3"/>
  <c r="A1218" i="3"/>
  <c r="H1217" i="3"/>
  <c r="J1217" i="3" s="1"/>
  <c r="E1217" i="3"/>
  <c r="B1217" i="3"/>
  <c r="I1217" i="3"/>
  <c r="D1217" i="3"/>
  <c r="A1219" i="3" l="1"/>
  <c r="F1218" i="3"/>
  <c r="B1218" i="3"/>
  <c r="I1218" i="3"/>
  <c r="C1218" i="3"/>
  <c r="H1218" i="3"/>
  <c r="J1218" i="3" s="1"/>
  <c r="D1218" i="3"/>
  <c r="E1218" i="3"/>
  <c r="B1219" i="3" l="1"/>
  <c r="C1219" i="3"/>
  <c r="A1220" i="3"/>
  <c r="I1219" i="3"/>
  <c r="E1219" i="3"/>
  <c r="D1219" i="3"/>
  <c r="F1219" i="3"/>
  <c r="H1219" i="3"/>
  <c r="J1219" i="3" s="1"/>
  <c r="F1220" i="3" l="1"/>
  <c r="C1220" i="3"/>
  <c r="A1221" i="3"/>
  <c r="I1220" i="3"/>
  <c r="D1220" i="3"/>
  <c r="B1220" i="3"/>
  <c r="H1220" i="3"/>
  <c r="J1220" i="3" s="1"/>
  <c r="E1220" i="3"/>
  <c r="A1222" i="3" l="1"/>
  <c r="C1221" i="3"/>
  <c r="B1221" i="3"/>
  <c r="D1221" i="3"/>
  <c r="H1221" i="3"/>
  <c r="J1221" i="3" s="1"/>
  <c r="E1221" i="3"/>
  <c r="F1221" i="3"/>
  <c r="I1221" i="3"/>
  <c r="B1222" i="3" l="1"/>
  <c r="C1222" i="3"/>
  <c r="A1223" i="3"/>
  <c r="F1222" i="3"/>
  <c r="I1222" i="3"/>
  <c r="D1222" i="3"/>
  <c r="H1222" i="3"/>
  <c r="J1222" i="3" s="1"/>
  <c r="E1222" i="3"/>
  <c r="F1223" i="3" l="1"/>
  <c r="C1223" i="3"/>
  <c r="B1223" i="3"/>
  <c r="I1223" i="3"/>
  <c r="A1224" i="3"/>
  <c r="E1223" i="3"/>
  <c r="H1223" i="3"/>
  <c r="J1223" i="3" s="1"/>
  <c r="D1223" i="3"/>
  <c r="A1225" i="3" l="1"/>
  <c r="C1224" i="3"/>
  <c r="E1224" i="3"/>
  <c r="F1224" i="3"/>
  <c r="B1224" i="3"/>
  <c r="D1224" i="3"/>
  <c r="I1224" i="3"/>
  <c r="H1224" i="3"/>
  <c r="J1224" i="3" s="1"/>
  <c r="B1225" i="3" l="1"/>
  <c r="A1226" i="3"/>
  <c r="D1225" i="3"/>
  <c r="F1225" i="3"/>
  <c r="C1225" i="3"/>
  <c r="I1225" i="3"/>
  <c r="E1225" i="3"/>
  <c r="H1225" i="3"/>
  <c r="J1225" i="3" s="1"/>
  <c r="F1226" i="3" l="1"/>
  <c r="B1226" i="3"/>
  <c r="E1226" i="3"/>
  <c r="C1226" i="3"/>
  <c r="A1227" i="3"/>
  <c r="D1226" i="3"/>
  <c r="I1226" i="3"/>
  <c r="H1226" i="3"/>
  <c r="J1226" i="3" s="1"/>
  <c r="A1228" i="3" l="1"/>
  <c r="B1227" i="3"/>
  <c r="I1227" i="3"/>
  <c r="E1227" i="3"/>
  <c r="C1227" i="3"/>
  <c r="F1227" i="3"/>
  <c r="H1227" i="3"/>
  <c r="J1227" i="3" s="1"/>
  <c r="D1227" i="3"/>
  <c r="B1228" i="3" l="1"/>
  <c r="C1228" i="3"/>
  <c r="A1229" i="3"/>
  <c r="D1228" i="3"/>
  <c r="E1228" i="3"/>
  <c r="F1228" i="3"/>
  <c r="H1228" i="3"/>
  <c r="J1228" i="3" s="1"/>
  <c r="I1228" i="3"/>
  <c r="F1229" i="3" l="1"/>
  <c r="C1229" i="3"/>
  <c r="A1230" i="3"/>
  <c r="B1229" i="3"/>
  <c r="I1229" i="3"/>
  <c r="D1229" i="3"/>
  <c r="H1229" i="3"/>
  <c r="J1229" i="3" s="1"/>
  <c r="E1229" i="3"/>
  <c r="A1231" i="3" l="1"/>
  <c r="C1230" i="3"/>
  <c r="F1230" i="3"/>
  <c r="H1230" i="3"/>
  <c r="J1230" i="3" s="1"/>
  <c r="B1230" i="3"/>
  <c r="I1230" i="3"/>
  <c r="E1230" i="3"/>
  <c r="D1230" i="3"/>
  <c r="B1231" i="3" l="1"/>
  <c r="C1231" i="3"/>
  <c r="A1232" i="3"/>
  <c r="D1231" i="3"/>
  <c r="F1231" i="3"/>
  <c r="H1231" i="3"/>
  <c r="J1231" i="3" s="1"/>
  <c r="I1231" i="3"/>
  <c r="E1231" i="3"/>
  <c r="F1232" i="3" l="1"/>
  <c r="C1232" i="3"/>
  <c r="B1232" i="3"/>
  <c r="A1233" i="3"/>
  <c r="D1232" i="3"/>
  <c r="E1232" i="3"/>
  <c r="H1232" i="3"/>
  <c r="J1232" i="3" s="1"/>
  <c r="I1232" i="3"/>
  <c r="A1234" i="3" l="1"/>
  <c r="C1233" i="3"/>
  <c r="B1233" i="3"/>
  <c r="F1233" i="3"/>
  <c r="H1233" i="3"/>
  <c r="J1233" i="3" s="1"/>
  <c r="E1233" i="3"/>
  <c r="I1233" i="3"/>
  <c r="D1233" i="3"/>
  <c r="B1234" i="3" l="1"/>
  <c r="A1235" i="3"/>
  <c r="E1234" i="3"/>
  <c r="F1234" i="3"/>
  <c r="C1234" i="3"/>
  <c r="D1234" i="3"/>
  <c r="H1234" i="3"/>
  <c r="J1234" i="3" s="1"/>
  <c r="I1234" i="3"/>
  <c r="F1235" i="3" l="1"/>
  <c r="A1236" i="3"/>
  <c r="B1235" i="3"/>
  <c r="I1235" i="3"/>
  <c r="C1235" i="3"/>
  <c r="H1235" i="3"/>
  <c r="J1235" i="3" s="1"/>
  <c r="E1235" i="3"/>
  <c r="D1235" i="3"/>
  <c r="A1237" i="3" l="1"/>
  <c r="C1236" i="3"/>
  <c r="F1236" i="3"/>
  <c r="B1236" i="3"/>
  <c r="I1236" i="3"/>
  <c r="H1236" i="3"/>
  <c r="J1236" i="3" s="1"/>
  <c r="D1236" i="3"/>
  <c r="E1236" i="3"/>
  <c r="B1237" i="3" l="1"/>
  <c r="C1237" i="3"/>
  <c r="A1238" i="3"/>
  <c r="F1237" i="3"/>
  <c r="E1237" i="3"/>
  <c r="H1237" i="3"/>
  <c r="J1237" i="3" s="1"/>
  <c r="I1237" i="3"/>
  <c r="D1237" i="3"/>
  <c r="F1238" i="3" l="1"/>
  <c r="C1238" i="3"/>
  <c r="A1239" i="3"/>
  <c r="H1238" i="3"/>
  <c r="J1238" i="3" s="1"/>
  <c r="I1238" i="3"/>
  <c r="D1238" i="3"/>
  <c r="B1238" i="3"/>
  <c r="E1238" i="3"/>
  <c r="A1240" i="3" l="1"/>
  <c r="B1239" i="3"/>
  <c r="C1239" i="3"/>
  <c r="I1239" i="3"/>
  <c r="E1239" i="3"/>
  <c r="D1239" i="3"/>
  <c r="F1239" i="3"/>
  <c r="H1239" i="3"/>
  <c r="J1239" i="3" s="1"/>
  <c r="B1240" i="3" l="1"/>
  <c r="A1241" i="3"/>
  <c r="C1240" i="3"/>
  <c r="F1240" i="3"/>
  <c r="H1240" i="3"/>
  <c r="J1240" i="3" s="1"/>
  <c r="D1240" i="3"/>
  <c r="E1240" i="3"/>
  <c r="I1240" i="3"/>
  <c r="F1241" i="3" l="1"/>
  <c r="B1241" i="3"/>
  <c r="A1242" i="3"/>
  <c r="I1241" i="3"/>
  <c r="D1241" i="3"/>
  <c r="C1241" i="3"/>
  <c r="H1241" i="3"/>
  <c r="J1241" i="3" s="1"/>
  <c r="E1241" i="3"/>
  <c r="A1243" i="3" l="1"/>
  <c r="C1242" i="3"/>
  <c r="B1242" i="3"/>
  <c r="H1242" i="3"/>
  <c r="J1242" i="3" s="1"/>
  <c r="E1242" i="3"/>
  <c r="D1242" i="3"/>
  <c r="F1242" i="3"/>
  <c r="I1242" i="3"/>
  <c r="B1243" i="3" l="1"/>
  <c r="A1244" i="3"/>
  <c r="C1243" i="3"/>
  <c r="F1243" i="3"/>
  <c r="H1243" i="3"/>
  <c r="J1243" i="3" s="1"/>
  <c r="D1243" i="3"/>
  <c r="E1243" i="3"/>
  <c r="I1243" i="3"/>
  <c r="F1244" i="3" l="1"/>
  <c r="C1244" i="3"/>
  <c r="A1245" i="3"/>
  <c r="I1244" i="3"/>
  <c r="D1244" i="3"/>
  <c r="B1244" i="3"/>
  <c r="H1244" i="3"/>
  <c r="J1244" i="3" s="1"/>
  <c r="E1244" i="3"/>
  <c r="A1246" i="3" l="1"/>
  <c r="C1245" i="3"/>
  <c r="F1245" i="3"/>
  <c r="B1245" i="3"/>
  <c r="H1245" i="3"/>
  <c r="J1245" i="3" s="1"/>
  <c r="E1245" i="3"/>
  <c r="D1245" i="3"/>
  <c r="I1245" i="3"/>
  <c r="B1246" i="3" l="1"/>
  <c r="A1247" i="3"/>
  <c r="F1246" i="3"/>
  <c r="D1246" i="3"/>
  <c r="C1246" i="3"/>
  <c r="I1246" i="3"/>
  <c r="H1246" i="3"/>
  <c r="J1246" i="3" s="1"/>
  <c r="E1246" i="3"/>
  <c r="F1247" i="3" l="1"/>
  <c r="C1247" i="3"/>
  <c r="A1248" i="3"/>
  <c r="B1247" i="3"/>
  <c r="I1247" i="3"/>
  <c r="E1247" i="3"/>
  <c r="H1247" i="3"/>
  <c r="J1247" i="3" s="1"/>
  <c r="D1247" i="3"/>
  <c r="A1249" i="3" l="1"/>
  <c r="B1248" i="3"/>
  <c r="C1248" i="3"/>
  <c r="I1248" i="3"/>
  <c r="E1248" i="3"/>
  <c r="F1248" i="3"/>
  <c r="H1248" i="3"/>
  <c r="J1248" i="3" s="1"/>
  <c r="D1248" i="3"/>
  <c r="B1249" i="3" l="1"/>
  <c r="C1249" i="3"/>
  <c r="A1250" i="3"/>
  <c r="F1249" i="3"/>
  <c r="I1249" i="3"/>
  <c r="H1249" i="3"/>
  <c r="J1249" i="3" s="1"/>
  <c r="D1249" i="3"/>
  <c r="E1249" i="3"/>
  <c r="F1250" i="3" l="1"/>
  <c r="B1250" i="3"/>
  <c r="A1251" i="3"/>
  <c r="H1250" i="3"/>
  <c r="J1250" i="3" s="1"/>
  <c r="D1250" i="3"/>
  <c r="C1250" i="3"/>
  <c r="E1250" i="3"/>
  <c r="I1250" i="3"/>
  <c r="A1252" i="3" l="1"/>
  <c r="C1251" i="3"/>
  <c r="F1251" i="3"/>
  <c r="B1251" i="3"/>
  <c r="H1251" i="3"/>
  <c r="J1251" i="3" s="1"/>
  <c r="E1251" i="3"/>
  <c r="D1251" i="3"/>
  <c r="I1251" i="3"/>
  <c r="B1252" i="3" l="1"/>
  <c r="F1252" i="3"/>
  <c r="A1253" i="3"/>
  <c r="C1252" i="3"/>
  <c r="I1252" i="3"/>
  <c r="D1252" i="3"/>
  <c r="H1252" i="3"/>
  <c r="J1252" i="3" s="1"/>
  <c r="E1252" i="3"/>
  <c r="F1253" i="3" l="1"/>
  <c r="C1253" i="3"/>
  <c r="A1254" i="3"/>
  <c r="I1253" i="3"/>
  <c r="E1253" i="3"/>
  <c r="B1253" i="3"/>
  <c r="H1253" i="3"/>
  <c r="J1253" i="3" s="1"/>
  <c r="D1253" i="3"/>
  <c r="A1255" i="3" l="1"/>
  <c r="C1254" i="3"/>
  <c r="F1254" i="3"/>
  <c r="H1254" i="3"/>
  <c r="J1254" i="3" s="1"/>
  <c r="I1254" i="3"/>
  <c r="B1254" i="3"/>
  <c r="E1254" i="3"/>
  <c r="D1254" i="3"/>
  <c r="B1255" i="3" l="1"/>
  <c r="C1255" i="3"/>
  <c r="A1256" i="3"/>
  <c r="D1255" i="3"/>
  <c r="F1255" i="3"/>
  <c r="I1255" i="3"/>
  <c r="H1255" i="3"/>
  <c r="J1255" i="3" s="1"/>
  <c r="E1255" i="3"/>
  <c r="F1256" i="3" l="1"/>
  <c r="C1256" i="3"/>
  <c r="A1257" i="3"/>
  <c r="H1256" i="3"/>
  <c r="J1256" i="3" s="1"/>
  <c r="D1256" i="3"/>
  <c r="I1256" i="3"/>
  <c r="E1256" i="3"/>
  <c r="B1256" i="3"/>
  <c r="A1258" i="3" l="1"/>
  <c r="B1257" i="3"/>
  <c r="C1257" i="3"/>
  <c r="I1257" i="3"/>
  <c r="D1257" i="3"/>
  <c r="F1257" i="3"/>
  <c r="H1257" i="3"/>
  <c r="J1257" i="3" s="1"/>
  <c r="E1257" i="3"/>
  <c r="B1258" i="3" l="1"/>
  <c r="C1258" i="3"/>
  <c r="F1258" i="3"/>
  <c r="H1258" i="3"/>
  <c r="J1258" i="3" s="1"/>
  <c r="I1258" i="3"/>
  <c r="E1258" i="3"/>
  <c r="A1259" i="3"/>
  <c r="D1258" i="3"/>
  <c r="F1259" i="3" l="1"/>
  <c r="C1259" i="3"/>
  <c r="B1259" i="3"/>
  <c r="A1260" i="3"/>
  <c r="I1259" i="3"/>
  <c r="H1259" i="3"/>
  <c r="J1259" i="3" s="1"/>
  <c r="E1259" i="3"/>
  <c r="D1259" i="3"/>
  <c r="A1261" i="3" l="1"/>
  <c r="B1260" i="3"/>
  <c r="F1260" i="3"/>
  <c r="H1260" i="3"/>
  <c r="J1260" i="3" s="1"/>
  <c r="I1260" i="3"/>
  <c r="C1260" i="3"/>
  <c r="E1260" i="3"/>
  <c r="D1260" i="3"/>
  <c r="B1261" i="3" l="1"/>
  <c r="A1262" i="3"/>
  <c r="C1261" i="3"/>
  <c r="F1261" i="3"/>
  <c r="E1261" i="3"/>
  <c r="D1261" i="3"/>
  <c r="I1261" i="3"/>
  <c r="H1261" i="3"/>
  <c r="J1261" i="3" s="1"/>
  <c r="F1262" i="3" l="1"/>
  <c r="C1262" i="3"/>
  <c r="A1263" i="3"/>
  <c r="H1262" i="3"/>
  <c r="J1262" i="3" s="1"/>
  <c r="I1262" i="3"/>
  <c r="E1262" i="3"/>
  <c r="B1262" i="3"/>
  <c r="D1262" i="3"/>
  <c r="A1264" i="3" l="1"/>
  <c r="F1263" i="3"/>
  <c r="B1263" i="3"/>
  <c r="H1263" i="3"/>
  <c r="J1263" i="3" s="1"/>
  <c r="I1263" i="3"/>
  <c r="C1263" i="3"/>
  <c r="D1263" i="3"/>
  <c r="E1263" i="3"/>
  <c r="B1264" i="3" l="1"/>
  <c r="C1264" i="3"/>
  <c r="F1264" i="3"/>
  <c r="A1265" i="3"/>
  <c r="D1264" i="3"/>
  <c r="I1264" i="3"/>
  <c r="H1264" i="3"/>
  <c r="J1264" i="3" s="1"/>
  <c r="E1264" i="3"/>
  <c r="F1265" i="3" l="1"/>
  <c r="C1265" i="3"/>
  <c r="A1266" i="3"/>
  <c r="B1265" i="3"/>
  <c r="I1265" i="3"/>
  <c r="D1265" i="3"/>
  <c r="E1265" i="3"/>
  <c r="H1265" i="3"/>
  <c r="J1265" i="3" s="1"/>
  <c r="A1267" i="3" l="1"/>
  <c r="B1266" i="3"/>
  <c r="C1266" i="3"/>
  <c r="F1266" i="3"/>
  <c r="H1266" i="3"/>
  <c r="J1266" i="3" s="1"/>
  <c r="I1266" i="3"/>
  <c r="D1266" i="3"/>
  <c r="E1266" i="3"/>
  <c r="B1267" i="3" l="1"/>
  <c r="C1267" i="3"/>
  <c r="A1268" i="3"/>
  <c r="F1267" i="3"/>
  <c r="H1267" i="3"/>
  <c r="J1267" i="3" s="1"/>
  <c r="I1267" i="3"/>
  <c r="E1267" i="3"/>
  <c r="D1267" i="3"/>
  <c r="F1268" i="3" l="1"/>
  <c r="C1268" i="3"/>
  <c r="B1268" i="3"/>
  <c r="I1268" i="3"/>
  <c r="A1269" i="3"/>
  <c r="H1268" i="3"/>
  <c r="J1268" i="3" s="1"/>
  <c r="D1268" i="3"/>
  <c r="E1268" i="3"/>
  <c r="A1270" i="3" l="1"/>
  <c r="C1269" i="3"/>
  <c r="B1269" i="3"/>
  <c r="H1269" i="3"/>
  <c r="J1269" i="3" s="1"/>
  <c r="E1269" i="3"/>
  <c r="F1269" i="3"/>
  <c r="I1269" i="3"/>
  <c r="D1269" i="3"/>
  <c r="B1270" i="3" l="1"/>
  <c r="F1270" i="3"/>
  <c r="C1270" i="3"/>
  <c r="H1270" i="3"/>
  <c r="J1270" i="3" s="1"/>
  <c r="E1270" i="3"/>
  <c r="A1271" i="3"/>
  <c r="D1270" i="3"/>
  <c r="I1270" i="3"/>
  <c r="F1271" i="3" l="1"/>
  <c r="C1271" i="3"/>
  <c r="A1272" i="3"/>
  <c r="H1271" i="3"/>
  <c r="J1271" i="3" s="1"/>
  <c r="D1271" i="3"/>
  <c r="I1271" i="3"/>
  <c r="B1271" i="3"/>
  <c r="E1271" i="3"/>
  <c r="A1273" i="3" l="1"/>
  <c r="C1272" i="3"/>
  <c r="B1272" i="3"/>
  <c r="E1272" i="3"/>
  <c r="H1272" i="3"/>
  <c r="J1272" i="3" s="1"/>
  <c r="D1272" i="3"/>
  <c r="F1272" i="3"/>
  <c r="I1272" i="3"/>
  <c r="B1273" i="3" l="1"/>
  <c r="D1273" i="3"/>
  <c r="C1273" i="3"/>
  <c r="I1273" i="3"/>
  <c r="E1273" i="3"/>
  <c r="H1273" i="3"/>
  <c r="J1273" i="3" s="1"/>
  <c r="A1274" i="3"/>
  <c r="F1273" i="3"/>
  <c r="D1274" i="3" l="1"/>
  <c r="E1274" i="3"/>
  <c r="C1274" i="3"/>
  <c r="H1274" i="3"/>
  <c r="J1274" i="3" s="1"/>
  <c r="I1274" i="3"/>
  <c r="B1274" i="3"/>
  <c r="F1274" i="3"/>
  <c r="A1275" i="3"/>
  <c r="C1275" i="3" l="1"/>
  <c r="F1275" i="3"/>
  <c r="D1275" i="3"/>
  <c r="I1275" i="3"/>
  <c r="E1275" i="3"/>
  <c r="H1275" i="3"/>
  <c r="J1275" i="3" s="1"/>
  <c r="B1275" i="3"/>
  <c r="A1276" i="3"/>
  <c r="C1276" i="3" l="1"/>
  <c r="E1276" i="3"/>
  <c r="F1276" i="3"/>
  <c r="D1276" i="3"/>
  <c r="I1276" i="3"/>
  <c r="H1276" i="3"/>
  <c r="J1276" i="3" s="1"/>
  <c r="B1276" i="3"/>
  <c r="A1277" i="3"/>
  <c r="D1277" i="3" l="1"/>
  <c r="E1277" i="3"/>
  <c r="C1277" i="3"/>
  <c r="A1278" i="3"/>
  <c r="F1277" i="3"/>
  <c r="B1277" i="3"/>
  <c r="I1277" i="3"/>
  <c r="H1277" i="3"/>
  <c r="J1277" i="3" s="1"/>
  <c r="C1278" i="3" l="1"/>
  <c r="E1278" i="3"/>
  <c r="D1278" i="3"/>
  <c r="F1278" i="3"/>
  <c r="I1278" i="3"/>
  <c r="H1278" i="3"/>
  <c r="J1278" i="3" s="1"/>
  <c r="B1278" i="3"/>
  <c r="A1279" i="3"/>
  <c r="C1279" i="3" l="1"/>
  <c r="E1279" i="3"/>
  <c r="A1280" i="3"/>
  <c r="D1279" i="3"/>
  <c r="B1279" i="3"/>
  <c r="F1279" i="3"/>
  <c r="H1279" i="3"/>
  <c r="J1279" i="3" s="1"/>
  <c r="I1279" i="3"/>
  <c r="D1280" i="3" l="1"/>
  <c r="E1280" i="3"/>
  <c r="C1280" i="3"/>
  <c r="H1280" i="3"/>
  <c r="J1280" i="3" s="1"/>
  <c r="B1280" i="3"/>
  <c r="A1281" i="3"/>
  <c r="F1280" i="3"/>
  <c r="I1280" i="3"/>
  <c r="C1281" i="3" l="1"/>
  <c r="E1281" i="3"/>
  <c r="D1281" i="3"/>
  <c r="A1282" i="3"/>
  <c r="F1281" i="3"/>
  <c r="H1281" i="3"/>
  <c r="J1281" i="3" s="1"/>
  <c r="I1281" i="3"/>
  <c r="B1281" i="3"/>
  <c r="C1282" i="3" l="1"/>
  <c r="D1282" i="3"/>
  <c r="B1282" i="3"/>
  <c r="E1282" i="3"/>
  <c r="H1282" i="3"/>
  <c r="J1282" i="3" s="1"/>
  <c r="I1282" i="3"/>
  <c r="A1283" i="3"/>
  <c r="F1282" i="3"/>
  <c r="D1283" i="3" l="1"/>
  <c r="E1283" i="3"/>
  <c r="C1283" i="3"/>
  <c r="I1283" i="3"/>
  <c r="H1283" i="3"/>
  <c r="J1283" i="3" s="1"/>
  <c r="A1284" i="3"/>
  <c r="F1283" i="3"/>
  <c r="B1283" i="3"/>
  <c r="C1284" i="3" l="1"/>
  <c r="F1284" i="3"/>
  <c r="E1284" i="3"/>
  <c r="D1284" i="3"/>
  <c r="H1284" i="3"/>
  <c r="J1284" i="3" s="1"/>
  <c r="B1284" i="3"/>
  <c r="I1284" i="3"/>
  <c r="A1285" i="3"/>
  <c r="C1285" i="3" l="1"/>
  <c r="E1285" i="3"/>
  <c r="F1285" i="3"/>
  <c r="D1285" i="3"/>
  <c r="H1285" i="3"/>
  <c r="J1285" i="3" s="1"/>
  <c r="B1285" i="3"/>
  <c r="I1285" i="3"/>
  <c r="A1286" i="3"/>
  <c r="D1286" i="3" l="1"/>
  <c r="E1286" i="3"/>
  <c r="C1286" i="3"/>
  <c r="A1287" i="3"/>
  <c r="F1286" i="3"/>
  <c r="I1286" i="3"/>
  <c r="H1286" i="3"/>
  <c r="J1286" i="3" s="1"/>
  <c r="B1286" i="3"/>
  <c r="C1287" i="3" l="1"/>
  <c r="E1287" i="3"/>
  <c r="F1287" i="3"/>
  <c r="D1287" i="3"/>
  <c r="I1287" i="3"/>
  <c r="H1287" i="3"/>
  <c r="J1287" i="3" s="1"/>
  <c r="B1287" i="3"/>
  <c r="A1288" i="3"/>
  <c r="C1288" i="3" l="1"/>
  <c r="E1288" i="3"/>
  <c r="D1288" i="3"/>
  <c r="F1288" i="3"/>
  <c r="A1289" i="3"/>
  <c r="B1288" i="3"/>
  <c r="I1288" i="3"/>
  <c r="H1288" i="3"/>
  <c r="J1288" i="3" s="1"/>
  <c r="D1289" i="3" l="1"/>
  <c r="E1289" i="3"/>
  <c r="C1289" i="3"/>
  <c r="I1289" i="3"/>
  <c r="B1289" i="3"/>
  <c r="A1290" i="3"/>
  <c r="F1289" i="3"/>
  <c r="H1289" i="3"/>
  <c r="J1289" i="3" s="1"/>
  <c r="C1290" i="3" l="1"/>
  <c r="E1290" i="3"/>
  <c r="F1290" i="3"/>
  <c r="D1290" i="3"/>
  <c r="H1290" i="3"/>
  <c r="J1290" i="3" s="1"/>
  <c r="B1290" i="3"/>
  <c r="I1290" i="3"/>
  <c r="A1291" i="3"/>
  <c r="C1291" i="3" l="1"/>
  <c r="E1291" i="3"/>
  <c r="D1291" i="3"/>
  <c r="H1291" i="3"/>
  <c r="J1291" i="3" s="1"/>
  <c r="B1291" i="3"/>
  <c r="A1292" i="3"/>
  <c r="F1291" i="3"/>
  <c r="I1291" i="3"/>
  <c r="D1292" i="3" l="1"/>
  <c r="E1292" i="3"/>
  <c r="C1292" i="3"/>
  <c r="I1292" i="3"/>
  <c r="F1292" i="3"/>
  <c r="H1292" i="3"/>
  <c r="J1292" i="3" s="1"/>
  <c r="B1292" i="3"/>
  <c r="A1293" i="3"/>
  <c r="C1293" i="3" l="1"/>
  <c r="E1293" i="3"/>
  <c r="F1293" i="3"/>
  <c r="I1293" i="3"/>
  <c r="B1293" i="3"/>
  <c r="H1293" i="3"/>
  <c r="J1293" i="3" s="1"/>
  <c r="A1294" i="3"/>
  <c r="D1293" i="3"/>
  <c r="C1294" i="3" l="1"/>
  <c r="E1294" i="3"/>
  <c r="F1294" i="3"/>
  <c r="H1294" i="3"/>
  <c r="J1294" i="3" s="1"/>
  <c r="B1294" i="3"/>
  <c r="A1295" i="3"/>
  <c r="D1294" i="3"/>
  <c r="I1294" i="3"/>
  <c r="D1295" i="3" l="1"/>
  <c r="E1295" i="3"/>
  <c r="C1295" i="3"/>
  <c r="F1295" i="3"/>
  <c r="I1295" i="3"/>
  <c r="H1295" i="3"/>
  <c r="J1295" i="3" s="1"/>
  <c r="B1295" i="3"/>
  <c r="A1296" i="3"/>
  <c r="C1296" i="3" l="1"/>
  <c r="E1296" i="3"/>
  <c r="F1296" i="3"/>
  <c r="D1296" i="3"/>
  <c r="H1296" i="3"/>
  <c r="J1296" i="3" s="1"/>
  <c r="B1296" i="3"/>
  <c r="I1296" i="3"/>
  <c r="A1297" i="3"/>
  <c r="C1297" i="3" l="1"/>
  <c r="D1297" i="3"/>
  <c r="E1297" i="3"/>
  <c r="F1297" i="3"/>
  <c r="H1297" i="3"/>
  <c r="J1297" i="3" s="1"/>
  <c r="I1297" i="3"/>
  <c r="A1298" i="3"/>
  <c r="B1297" i="3"/>
  <c r="D1298" i="3" l="1"/>
  <c r="E1298" i="3"/>
  <c r="C1298" i="3"/>
  <c r="I1298" i="3"/>
  <c r="F1298" i="3"/>
  <c r="H1298" i="3"/>
  <c r="J1298" i="3" s="1"/>
  <c r="B1298" i="3"/>
  <c r="A1299" i="3"/>
  <c r="C1299" i="3" l="1"/>
  <c r="F1299" i="3"/>
  <c r="D1299" i="3"/>
  <c r="H1299" i="3"/>
  <c r="J1299" i="3" s="1"/>
  <c r="A1300" i="3"/>
  <c r="E1299" i="3"/>
  <c r="B1299" i="3"/>
  <c r="I1299" i="3"/>
  <c r="C1300" i="3" l="1"/>
  <c r="E1300" i="3"/>
  <c r="D1300" i="3"/>
  <c r="H1300" i="3"/>
  <c r="J1300" i="3" s="1"/>
  <c r="B1300" i="3"/>
  <c r="A1301" i="3"/>
  <c r="F1300" i="3"/>
  <c r="I1300" i="3"/>
  <c r="D1301" i="3" l="1"/>
  <c r="E1301" i="3"/>
  <c r="F1301" i="3"/>
  <c r="A1302" i="3"/>
  <c r="C1301" i="3"/>
  <c r="H1301" i="3"/>
  <c r="J1301" i="3" s="1"/>
  <c r="B1301" i="3"/>
  <c r="I1301" i="3"/>
  <c r="C1302" i="3" l="1"/>
  <c r="E1302" i="3"/>
  <c r="F1302" i="3"/>
  <c r="D1302" i="3"/>
  <c r="H1302" i="3"/>
  <c r="J1302" i="3" s="1"/>
  <c r="I1302" i="3"/>
  <c r="A1303" i="3"/>
  <c r="B1302" i="3"/>
  <c r="C1303" i="3" l="1"/>
  <c r="F1303" i="3"/>
  <c r="H1303" i="3"/>
  <c r="J1303" i="3" s="1"/>
  <c r="I1303" i="3"/>
  <c r="E1303" i="3"/>
  <c r="D1303" i="3"/>
  <c r="A1304" i="3"/>
  <c r="B1303" i="3"/>
  <c r="D1304" i="3" l="1"/>
  <c r="C1304" i="3"/>
  <c r="F1304" i="3"/>
  <c r="E1304" i="3"/>
  <c r="H1304" i="3"/>
  <c r="J1304" i="3" s="1"/>
  <c r="B1304" i="3"/>
  <c r="I1304" i="3"/>
  <c r="A1305" i="3"/>
  <c r="C1305" i="3" l="1"/>
  <c r="F1305" i="3"/>
  <c r="E1305" i="3"/>
  <c r="D1305" i="3"/>
  <c r="B1305" i="3"/>
  <c r="I1305" i="3"/>
  <c r="A1306" i="3"/>
  <c r="H1305" i="3"/>
  <c r="J1305" i="3" s="1"/>
  <c r="C1306" i="3" l="1"/>
  <c r="E1306" i="3"/>
  <c r="D1306" i="3"/>
  <c r="F1306" i="3"/>
  <c r="H1306" i="3"/>
  <c r="J1306" i="3" s="1"/>
  <c r="I1306" i="3"/>
  <c r="A1307" i="3"/>
  <c r="B1306" i="3"/>
  <c r="D1307" i="3" l="1"/>
  <c r="C1307" i="3"/>
  <c r="F1307" i="3"/>
  <c r="I1307" i="3"/>
  <c r="E1307" i="3"/>
  <c r="H1307" i="3"/>
  <c r="J1307" i="3" s="1"/>
  <c r="B1307" i="3"/>
  <c r="A1308" i="3"/>
  <c r="C1308" i="3" l="1"/>
  <c r="F1308" i="3"/>
  <c r="E1308" i="3"/>
  <c r="D1308" i="3"/>
  <c r="H1308" i="3"/>
  <c r="J1308" i="3" s="1"/>
  <c r="B1308" i="3"/>
  <c r="I1308" i="3"/>
  <c r="A1309" i="3"/>
  <c r="C1309" i="3" l="1"/>
  <c r="E1309" i="3"/>
  <c r="D1309" i="3"/>
  <c r="F1309" i="3"/>
  <c r="H1309" i="3"/>
  <c r="J1309" i="3" s="1"/>
  <c r="B1309" i="3"/>
  <c r="I1309" i="3"/>
  <c r="A1310" i="3"/>
  <c r="D1310" i="3" l="1"/>
  <c r="E1310" i="3"/>
  <c r="C1310" i="3"/>
  <c r="F1310" i="3"/>
  <c r="H1310" i="3"/>
  <c r="J1310" i="3" s="1"/>
  <c r="B1310" i="3"/>
  <c r="A1311" i="3"/>
  <c r="I1310" i="3"/>
  <c r="C1311" i="3" l="1"/>
  <c r="E1311" i="3"/>
  <c r="F1311" i="3"/>
  <c r="I1311" i="3"/>
  <c r="B1311" i="3"/>
  <c r="A1312" i="3"/>
  <c r="D1311" i="3"/>
  <c r="H1311" i="3"/>
  <c r="J1311" i="3" s="1"/>
  <c r="C1312" i="3" l="1"/>
  <c r="E1312" i="3"/>
  <c r="F1312" i="3"/>
  <c r="A1313" i="3"/>
  <c r="D1312" i="3"/>
  <c r="H1312" i="3"/>
  <c r="J1312" i="3" s="1"/>
  <c r="I1312" i="3"/>
  <c r="B1312" i="3"/>
  <c r="D1313" i="3" l="1"/>
  <c r="E1313" i="3"/>
  <c r="C1313" i="3"/>
  <c r="F1313" i="3"/>
  <c r="H1313" i="3"/>
  <c r="J1313" i="3" s="1"/>
  <c r="B1313" i="3"/>
  <c r="I1313" i="3"/>
  <c r="A1314" i="3"/>
  <c r="C1314" i="3" l="1"/>
  <c r="E1314" i="3"/>
  <c r="F1314" i="3"/>
  <c r="A1315" i="3"/>
  <c r="D1314" i="3"/>
  <c r="H1314" i="3"/>
  <c r="J1314" i="3" s="1"/>
  <c r="I1314" i="3"/>
  <c r="B1314" i="3"/>
  <c r="C1315" i="3" l="1"/>
  <c r="E1315" i="3"/>
  <c r="D1315" i="3"/>
  <c r="F1315" i="3"/>
  <c r="H1315" i="3"/>
  <c r="J1315" i="3" s="1"/>
  <c r="B1315" i="3"/>
  <c r="A1316" i="3"/>
  <c r="I1315" i="3"/>
  <c r="D1316" i="3" l="1"/>
  <c r="E1316" i="3"/>
  <c r="C1316" i="3"/>
  <c r="F1316" i="3"/>
  <c r="I1316" i="3"/>
  <c r="H1316" i="3"/>
  <c r="J1316" i="3" s="1"/>
  <c r="A1317" i="3"/>
  <c r="B1316" i="3"/>
  <c r="C1317" i="3" l="1"/>
  <c r="E1317" i="3"/>
  <c r="F1317" i="3"/>
  <c r="B1317" i="3"/>
  <c r="D1317" i="3"/>
  <c r="H1317" i="3"/>
  <c r="J1317" i="3" s="1"/>
  <c r="I1317" i="3"/>
  <c r="A1318" i="3"/>
  <c r="C1318" i="3" l="1"/>
  <c r="E1318" i="3"/>
  <c r="D1318" i="3"/>
  <c r="H1318" i="3"/>
  <c r="J1318" i="3" s="1"/>
  <c r="F1318" i="3"/>
  <c r="A1319" i="3"/>
  <c r="I1318" i="3"/>
  <c r="B1318" i="3"/>
  <c r="D1319" i="3" l="1"/>
  <c r="E1319" i="3"/>
  <c r="C1319" i="3"/>
  <c r="H1319" i="3"/>
  <c r="J1319" i="3" s="1"/>
  <c r="A1320" i="3"/>
  <c r="I1319" i="3"/>
  <c r="F1319" i="3"/>
  <c r="B1319" i="3"/>
  <c r="C1320" i="3" l="1"/>
  <c r="E1320" i="3"/>
  <c r="F1320" i="3"/>
  <c r="D1320" i="3"/>
  <c r="I1320" i="3"/>
  <c r="A1321" i="3"/>
  <c r="H1320" i="3"/>
  <c r="J1320" i="3" s="1"/>
  <c r="B1320" i="3"/>
  <c r="C1321" i="3" l="1"/>
  <c r="E1321" i="3"/>
  <c r="F1321" i="3"/>
  <c r="D1321" i="3"/>
  <c r="H1321" i="3"/>
  <c r="J1321" i="3" s="1"/>
  <c r="B1321" i="3"/>
  <c r="A1322" i="3"/>
  <c r="I1321" i="3"/>
  <c r="D1322" i="3" l="1"/>
  <c r="E1322" i="3"/>
  <c r="C1322" i="3"/>
  <c r="H1322" i="3"/>
  <c r="J1322" i="3" s="1"/>
  <c r="A1323" i="3"/>
  <c r="F1322" i="3"/>
  <c r="I1322" i="3"/>
  <c r="B1322" i="3"/>
  <c r="C1323" i="3" l="1"/>
  <c r="E1323" i="3"/>
  <c r="F1323" i="3"/>
  <c r="D1323" i="3"/>
  <c r="H1323" i="3"/>
  <c r="J1323" i="3" s="1"/>
  <c r="A1324" i="3"/>
  <c r="B1323" i="3"/>
  <c r="I1323" i="3"/>
  <c r="C1324" i="3" l="1"/>
  <c r="F1324" i="3"/>
  <c r="H1324" i="3"/>
  <c r="J1324" i="3" s="1"/>
  <c r="B1324" i="3"/>
  <c r="E1324" i="3"/>
  <c r="D1324" i="3"/>
  <c r="I1324" i="3"/>
  <c r="A1325" i="3"/>
  <c r="D1325" i="3" l="1"/>
  <c r="E1325" i="3"/>
  <c r="C1325" i="3"/>
  <c r="F1325" i="3"/>
  <c r="I1325" i="3"/>
  <c r="A1326" i="3"/>
  <c r="H1325" i="3"/>
  <c r="J1325" i="3" s="1"/>
  <c r="B1325" i="3"/>
  <c r="C1326" i="3" l="1"/>
  <c r="E1326" i="3"/>
  <c r="F1326" i="3"/>
  <c r="D1326" i="3"/>
  <c r="H1326" i="3"/>
  <c r="J1326" i="3" s="1"/>
  <c r="I1326" i="3"/>
  <c r="A1327" i="3"/>
  <c r="B1326" i="3"/>
  <c r="C1327" i="3" l="1"/>
  <c r="E1327" i="3"/>
  <c r="D1327" i="3"/>
  <c r="F1327" i="3"/>
  <c r="B1327" i="3"/>
  <c r="H1327" i="3"/>
  <c r="J1327" i="3" s="1"/>
  <c r="I1327" i="3"/>
  <c r="A1328" i="3"/>
  <c r="D1328" i="3" l="1"/>
  <c r="E1328" i="3"/>
  <c r="C1328" i="3"/>
  <c r="F1328" i="3"/>
  <c r="H1328" i="3"/>
  <c r="J1328" i="3" s="1"/>
  <c r="B1328" i="3"/>
  <c r="A1329" i="3"/>
  <c r="I1328" i="3"/>
  <c r="C1329" i="3" l="1"/>
  <c r="E1329" i="3"/>
  <c r="F1329" i="3"/>
  <c r="D1329" i="3"/>
  <c r="I1329" i="3"/>
  <c r="H1329" i="3"/>
  <c r="J1329" i="3" s="1"/>
  <c r="B1329" i="3"/>
  <c r="A1330" i="3"/>
  <c r="C1330" i="3" l="1"/>
  <c r="E1330" i="3"/>
  <c r="F1330" i="3"/>
  <c r="D1330" i="3"/>
  <c r="I1330" i="3"/>
  <c r="A1331" i="3"/>
  <c r="B1330" i="3"/>
  <c r="H1330" i="3"/>
  <c r="J1330" i="3" s="1"/>
  <c r="D1331" i="3" l="1"/>
  <c r="E1331" i="3"/>
  <c r="C1331" i="3"/>
  <c r="F1331" i="3"/>
  <c r="H1331" i="3"/>
  <c r="J1331" i="3" s="1"/>
  <c r="B1331" i="3"/>
  <c r="A1332" i="3"/>
  <c r="I1331" i="3"/>
  <c r="C1332" i="3" l="1"/>
  <c r="E1332" i="3"/>
  <c r="F1332" i="3"/>
  <c r="D1332" i="3"/>
  <c r="H1332" i="3"/>
  <c r="J1332" i="3" s="1"/>
  <c r="B1332" i="3"/>
  <c r="A1333" i="3"/>
  <c r="I1332" i="3"/>
  <c r="C1333" i="3" l="1"/>
  <c r="E1333" i="3"/>
  <c r="D1333" i="3"/>
  <c r="F1333" i="3"/>
  <c r="H1333" i="3"/>
  <c r="J1333" i="3" s="1"/>
  <c r="B1333" i="3"/>
  <c r="A1334" i="3"/>
  <c r="I1333" i="3"/>
  <c r="D1334" i="3" l="1"/>
  <c r="E1334" i="3"/>
  <c r="C1334" i="3"/>
  <c r="F1334" i="3"/>
  <c r="I1334" i="3"/>
  <c r="A1335" i="3"/>
  <c r="H1334" i="3"/>
  <c r="J1334" i="3" s="1"/>
  <c r="B1334" i="3"/>
  <c r="C1335" i="3" l="1"/>
  <c r="E1335" i="3"/>
  <c r="F1335" i="3"/>
  <c r="D1335" i="3"/>
  <c r="I1335" i="3"/>
  <c r="A1336" i="3"/>
  <c r="H1335" i="3"/>
  <c r="J1335" i="3" s="1"/>
  <c r="B1335" i="3"/>
  <c r="C1336" i="3" l="1"/>
  <c r="E1336" i="3"/>
  <c r="D1336" i="3"/>
  <c r="F1336" i="3"/>
  <c r="H1336" i="3"/>
  <c r="J1336" i="3" s="1"/>
  <c r="B1336" i="3"/>
  <c r="A1337" i="3"/>
  <c r="I1336" i="3"/>
  <c r="D1337" i="3" l="1"/>
  <c r="E1337" i="3"/>
  <c r="C1337" i="3"/>
  <c r="A1338" i="3"/>
  <c r="F1337" i="3"/>
  <c r="H1337" i="3"/>
  <c r="J1337" i="3" s="1"/>
  <c r="B1337" i="3"/>
  <c r="I1337" i="3"/>
  <c r="C1338" i="3" l="1"/>
  <c r="F1338" i="3"/>
  <c r="E1338" i="3"/>
  <c r="D1338" i="3"/>
  <c r="H1338" i="3"/>
  <c r="J1338" i="3" s="1"/>
  <c r="B1338" i="3"/>
  <c r="A1339" i="3"/>
  <c r="I1338" i="3"/>
  <c r="C1339" i="3" l="1"/>
  <c r="E1339" i="3"/>
  <c r="A1340" i="3"/>
  <c r="F1339" i="3"/>
  <c r="H1339" i="3"/>
  <c r="J1339" i="3" s="1"/>
  <c r="B1339" i="3"/>
  <c r="D1339" i="3"/>
  <c r="I1339" i="3"/>
  <c r="D1340" i="3" l="1"/>
  <c r="E1340" i="3"/>
  <c r="C1340" i="3"/>
  <c r="H1340" i="3"/>
  <c r="J1340" i="3" s="1"/>
  <c r="I1340" i="3"/>
  <c r="A1341" i="3"/>
  <c r="F1340" i="3"/>
  <c r="B1340" i="3"/>
  <c r="C1341" i="3" l="1"/>
  <c r="E1341" i="3"/>
  <c r="F1341" i="3"/>
  <c r="D1341" i="3"/>
  <c r="H1341" i="3"/>
  <c r="J1341" i="3" s="1"/>
  <c r="B1341" i="3"/>
  <c r="I1341" i="3"/>
  <c r="A1342" i="3"/>
  <c r="C1342" i="3" l="1"/>
  <c r="E1342" i="3"/>
  <c r="D1342" i="3"/>
  <c r="F1342" i="3"/>
  <c r="H1342" i="3"/>
  <c r="J1342" i="3" s="1"/>
  <c r="A1343" i="3"/>
  <c r="I1342" i="3"/>
  <c r="B1342" i="3"/>
  <c r="D1343" i="3" l="1"/>
  <c r="E1343" i="3"/>
  <c r="C1343" i="3"/>
  <c r="F1343" i="3"/>
  <c r="H1343" i="3"/>
  <c r="J1343" i="3" s="1"/>
  <c r="I1343" i="3"/>
  <c r="B1343" i="3"/>
  <c r="A1344" i="3"/>
  <c r="C1344" i="3" l="1"/>
  <c r="E1344" i="3"/>
  <c r="F1344" i="3"/>
  <c r="D1344" i="3"/>
  <c r="H1344" i="3"/>
  <c r="J1344" i="3" s="1"/>
  <c r="I1344" i="3"/>
  <c r="A1345" i="3"/>
  <c r="B1344" i="3"/>
  <c r="C1345" i="3" l="1"/>
  <c r="E1345" i="3"/>
  <c r="D1345" i="3"/>
  <c r="H1345" i="3"/>
  <c r="J1345" i="3" s="1"/>
  <c r="B1345" i="3"/>
  <c r="A1346" i="3"/>
  <c r="F1345" i="3"/>
  <c r="I1345" i="3"/>
  <c r="D1346" i="3" l="1"/>
  <c r="E1346" i="3"/>
  <c r="C1346" i="3"/>
  <c r="H1346" i="3"/>
  <c r="J1346" i="3" s="1"/>
  <c r="B1346" i="3"/>
  <c r="I1346" i="3"/>
  <c r="F1346" i="3"/>
  <c r="A1347" i="3"/>
  <c r="C1347" i="3" l="1"/>
  <c r="E1347" i="3"/>
  <c r="F1347" i="3"/>
  <c r="I1347" i="3"/>
  <c r="A1348" i="3"/>
  <c r="D1347" i="3"/>
  <c r="H1347" i="3"/>
  <c r="J1347" i="3" s="1"/>
  <c r="B1347" i="3"/>
  <c r="C1348" i="3" l="1"/>
  <c r="A1349" i="3"/>
  <c r="E1348" i="3"/>
  <c r="D1348" i="3"/>
  <c r="F1348" i="3"/>
  <c r="H1348" i="3"/>
  <c r="J1348" i="3" s="1"/>
  <c r="B1348" i="3"/>
  <c r="I1348" i="3"/>
  <c r="D1349" i="3" l="1"/>
  <c r="F1349" i="3"/>
  <c r="E1349" i="3"/>
  <c r="C1349" i="3"/>
  <c r="B1349" i="3"/>
  <c r="A1350" i="3"/>
  <c r="H1349" i="3"/>
  <c r="J1349" i="3" s="1"/>
  <c r="I1349" i="3"/>
  <c r="C1350" i="3" l="1"/>
  <c r="D1350" i="3"/>
  <c r="B1350" i="3"/>
  <c r="E1350" i="3"/>
  <c r="F1350" i="3"/>
  <c r="A1351" i="3"/>
  <c r="I1350" i="3"/>
  <c r="H1350" i="3"/>
  <c r="J1350" i="3" s="1"/>
  <c r="C1351" i="3" l="1"/>
  <c r="E1351" i="3"/>
  <c r="D1351" i="3"/>
  <c r="H1351" i="3"/>
  <c r="J1351" i="3" s="1"/>
  <c r="I1351" i="3"/>
  <c r="B1351" i="3"/>
  <c r="F1351" i="3"/>
  <c r="A1352" i="3"/>
  <c r="D1352" i="3" l="1"/>
  <c r="C1352" i="3"/>
  <c r="E1352" i="3"/>
  <c r="F1352" i="3"/>
  <c r="H1352" i="3"/>
  <c r="J1352" i="3" s="1"/>
  <c r="B1352" i="3"/>
  <c r="A1353" i="3"/>
  <c r="I1352" i="3"/>
  <c r="C1353" i="3" l="1"/>
  <c r="E1353" i="3"/>
  <c r="F1353" i="3"/>
  <c r="B1353" i="3"/>
  <c r="D1353" i="3"/>
  <c r="H1353" i="3"/>
  <c r="J1353" i="3" s="1"/>
  <c r="I1353" i="3"/>
  <c r="A1354" i="3"/>
  <c r="C1354" i="3" l="1"/>
  <c r="E1354" i="3"/>
  <c r="D1354" i="3"/>
  <c r="F1354" i="3"/>
  <c r="I1354" i="3"/>
  <c r="A1355" i="3"/>
  <c r="B1354" i="3"/>
  <c r="H1354" i="3"/>
  <c r="J1354" i="3" s="1"/>
  <c r="D1355" i="3" l="1"/>
  <c r="C1355" i="3"/>
  <c r="E1355" i="3"/>
  <c r="H1355" i="3"/>
  <c r="J1355" i="3" s="1"/>
  <c r="A1356" i="3"/>
  <c r="F1355" i="3"/>
  <c r="I1355" i="3"/>
  <c r="B1355" i="3"/>
  <c r="C1356" i="3" l="1"/>
  <c r="D1356" i="3"/>
  <c r="I1356" i="3"/>
  <c r="A1357" i="3"/>
  <c r="E1356" i="3"/>
  <c r="F1356" i="3"/>
  <c r="H1356" i="3"/>
  <c r="J1356" i="3" s="1"/>
  <c r="B1356" i="3"/>
  <c r="C1357" i="3" l="1"/>
  <c r="E1357" i="3"/>
  <c r="F1357" i="3"/>
  <c r="D1357" i="3"/>
  <c r="H1357" i="3"/>
  <c r="J1357" i="3" s="1"/>
  <c r="B1357" i="3"/>
  <c r="I1357" i="3"/>
  <c r="A1358" i="3"/>
  <c r="D1358" i="3" l="1"/>
  <c r="E1358" i="3"/>
  <c r="C1358" i="3"/>
  <c r="B1358" i="3"/>
  <c r="F1358" i="3"/>
  <c r="H1358" i="3"/>
  <c r="J1358" i="3" s="1"/>
  <c r="A1359" i="3"/>
  <c r="I1358" i="3"/>
  <c r="C1359" i="3" l="1"/>
  <c r="D1359" i="3"/>
  <c r="E1359" i="3"/>
  <c r="F1359" i="3"/>
  <c r="B1359" i="3"/>
  <c r="H1359" i="3"/>
  <c r="J1359" i="3" s="1"/>
  <c r="A1360" i="3"/>
  <c r="I1359" i="3"/>
  <c r="C1360" i="3" l="1"/>
  <c r="E1360" i="3"/>
  <c r="D1360" i="3"/>
  <c r="F1360" i="3"/>
  <c r="H1360" i="3"/>
  <c r="J1360" i="3" s="1"/>
  <c r="B1360" i="3"/>
  <c r="I1360" i="3"/>
  <c r="A1361" i="3"/>
  <c r="D1361" i="3" l="1"/>
  <c r="E1361" i="3"/>
  <c r="C1361" i="3"/>
  <c r="A1362" i="3"/>
  <c r="H1361" i="3"/>
  <c r="J1361" i="3" s="1"/>
  <c r="B1361" i="3"/>
  <c r="F1361" i="3"/>
  <c r="I1361" i="3"/>
  <c r="C1362" i="3" l="1"/>
  <c r="E1362" i="3"/>
  <c r="A1363" i="3"/>
  <c r="F1362" i="3"/>
  <c r="H1362" i="3"/>
  <c r="J1362" i="3" s="1"/>
  <c r="B1362" i="3"/>
  <c r="D1362" i="3"/>
  <c r="I1362" i="3"/>
  <c r="C1363" i="3" l="1"/>
  <c r="E1363" i="3"/>
  <c r="D1363" i="3"/>
  <c r="F1363" i="3"/>
  <c r="H1363" i="3"/>
  <c r="J1363" i="3" s="1"/>
  <c r="B1363" i="3"/>
  <c r="A1364" i="3"/>
  <c r="I1363" i="3"/>
  <c r="D1364" i="3" l="1"/>
  <c r="E1364" i="3"/>
  <c r="A1365" i="3"/>
  <c r="C1364" i="3"/>
  <c r="I1364" i="3"/>
  <c r="F1364" i="3"/>
  <c r="H1364" i="3"/>
  <c r="J1364" i="3" s="1"/>
  <c r="B1364" i="3"/>
  <c r="C1365" i="3" l="1"/>
  <c r="E1365" i="3"/>
  <c r="F1365" i="3"/>
  <c r="D1365" i="3"/>
  <c r="H1365" i="3"/>
  <c r="J1365" i="3" s="1"/>
  <c r="B1365" i="3"/>
  <c r="A1366" i="3"/>
  <c r="I1365" i="3"/>
  <c r="C1366" i="3" l="1"/>
  <c r="E1366" i="3"/>
  <c r="F1366" i="3"/>
  <c r="D1366" i="3"/>
  <c r="I1366" i="3"/>
  <c r="H1366" i="3"/>
  <c r="J1366" i="3" s="1"/>
  <c r="B1366" i="3"/>
  <c r="A1367" i="3"/>
  <c r="D1367" i="3" l="1"/>
  <c r="E1367" i="3"/>
  <c r="A1368" i="3"/>
  <c r="C1367" i="3"/>
  <c r="F1367" i="3"/>
  <c r="H1367" i="3"/>
  <c r="J1367" i="3" s="1"/>
  <c r="I1367" i="3"/>
  <c r="B1367" i="3"/>
  <c r="C1368" i="3" l="1"/>
  <c r="D1368" i="3"/>
  <c r="B1368" i="3"/>
  <c r="E1368" i="3"/>
  <c r="F1368" i="3"/>
  <c r="H1368" i="3"/>
  <c r="J1368" i="3" s="1"/>
  <c r="I1368" i="3"/>
  <c r="A1369" i="3"/>
  <c r="C1369" i="3" l="1"/>
  <c r="E1369" i="3"/>
  <c r="D1369" i="3"/>
  <c r="F1369" i="3"/>
  <c r="I1369" i="3"/>
  <c r="A1370" i="3"/>
  <c r="B1369" i="3"/>
  <c r="H1369" i="3"/>
  <c r="J1369" i="3" s="1"/>
  <c r="D1370" i="3" l="1"/>
  <c r="C1370" i="3"/>
  <c r="E1370" i="3"/>
  <c r="H1370" i="3"/>
  <c r="J1370" i="3" s="1"/>
  <c r="I1370" i="3"/>
  <c r="A1371" i="3"/>
  <c r="B1370" i="3"/>
  <c r="F1370" i="3"/>
  <c r="C1371" i="3" l="1"/>
  <c r="E1371" i="3"/>
  <c r="F1371" i="3"/>
  <c r="D1371" i="3"/>
  <c r="H1371" i="3"/>
  <c r="J1371" i="3" s="1"/>
  <c r="A1372" i="3"/>
  <c r="B1371" i="3"/>
  <c r="I1371" i="3"/>
  <c r="C1372" i="3" l="1"/>
  <c r="E1372" i="3"/>
  <c r="D1372" i="3"/>
  <c r="F1372" i="3"/>
  <c r="A1373" i="3"/>
  <c r="I1372" i="3"/>
  <c r="B1372" i="3"/>
  <c r="H1372" i="3"/>
  <c r="J1372" i="3" s="1"/>
  <c r="D1373" i="3" l="1"/>
  <c r="E1373" i="3"/>
  <c r="F1373" i="3"/>
  <c r="C1373" i="3"/>
  <c r="H1373" i="3"/>
  <c r="J1373" i="3" s="1"/>
  <c r="B1373" i="3"/>
  <c r="A1374" i="3"/>
  <c r="I1373" i="3"/>
  <c r="C1374" i="3" l="1"/>
  <c r="F1374" i="3"/>
  <c r="E1374" i="3"/>
  <c r="I1374" i="3"/>
  <c r="A1375" i="3"/>
  <c r="D1374" i="3"/>
  <c r="H1374" i="3"/>
  <c r="J1374" i="3" s="1"/>
  <c r="B1374" i="3"/>
  <c r="C1375" i="3" l="1"/>
  <c r="E1375" i="3"/>
  <c r="F1375" i="3"/>
  <c r="D1375" i="3"/>
  <c r="I1375" i="3"/>
  <c r="A1376" i="3"/>
  <c r="H1375" i="3"/>
  <c r="J1375" i="3" s="1"/>
  <c r="B1375" i="3"/>
  <c r="D1376" i="3" l="1"/>
  <c r="E1376" i="3"/>
  <c r="C1376" i="3"/>
  <c r="F1376" i="3"/>
  <c r="H1376" i="3"/>
  <c r="J1376" i="3" s="1"/>
  <c r="B1376" i="3"/>
  <c r="I1376" i="3"/>
  <c r="A1377" i="3"/>
  <c r="C1377" i="3" l="1"/>
  <c r="E1377" i="3"/>
  <c r="F1377" i="3"/>
  <c r="D1377" i="3"/>
  <c r="B1377" i="3"/>
  <c r="I1377" i="3"/>
  <c r="A1378" i="3"/>
  <c r="H1377" i="3"/>
  <c r="J1377" i="3" s="1"/>
  <c r="C1378" i="3" l="1"/>
  <c r="D1378" i="3"/>
  <c r="F1378" i="3"/>
  <c r="B1378" i="3"/>
  <c r="E1378" i="3"/>
  <c r="H1378" i="3"/>
  <c r="J1378" i="3" s="1"/>
  <c r="I1378" i="3"/>
  <c r="A1379" i="3"/>
  <c r="D1379" i="3" l="1"/>
  <c r="E1379" i="3"/>
  <c r="C1379" i="3"/>
  <c r="F1379" i="3"/>
  <c r="H1379" i="3"/>
  <c r="J1379" i="3" s="1"/>
  <c r="B1379" i="3"/>
  <c r="I1379" i="3"/>
  <c r="A1380" i="3"/>
  <c r="C1380" i="3" l="1"/>
  <c r="E1380" i="3"/>
  <c r="F1380" i="3"/>
  <c r="D1380" i="3"/>
  <c r="H1380" i="3"/>
  <c r="J1380" i="3" s="1"/>
  <c r="A1381" i="3"/>
  <c r="B1380" i="3"/>
  <c r="I1380" i="3"/>
  <c r="C1381" i="3" l="1"/>
  <c r="E1381" i="3"/>
  <c r="D1381" i="3"/>
  <c r="F1381" i="3"/>
  <c r="H1381" i="3"/>
  <c r="J1381" i="3" s="1"/>
  <c r="I1381" i="3"/>
  <c r="B1381" i="3"/>
  <c r="A1382" i="3"/>
  <c r="D1382" i="3" l="1"/>
  <c r="E1382" i="3"/>
  <c r="C1382" i="3"/>
  <c r="H1382" i="3"/>
  <c r="J1382" i="3" s="1"/>
  <c r="B1382" i="3"/>
  <c r="I1382" i="3"/>
  <c r="F1382" i="3"/>
  <c r="A1383" i="3"/>
  <c r="C1383" i="3" l="1"/>
  <c r="F1383" i="3"/>
  <c r="E1383" i="3"/>
  <c r="I1383" i="3"/>
  <c r="B1383" i="3"/>
  <c r="D1383" i="3"/>
  <c r="H1383" i="3"/>
  <c r="J1383" i="3" s="1"/>
  <c r="A1384" i="3"/>
  <c r="C1384" i="3" l="1"/>
  <c r="E1384" i="3"/>
  <c r="D1384" i="3"/>
  <c r="F1384" i="3"/>
  <c r="A1385" i="3"/>
  <c r="H1384" i="3"/>
  <c r="J1384" i="3" s="1"/>
  <c r="I1384" i="3"/>
  <c r="B1384" i="3"/>
  <c r="E1385" i="3" l="1"/>
  <c r="C1385" i="3"/>
  <c r="D1385" i="3"/>
  <c r="I1385" i="3"/>
  <c r="H1385" i="3"/>
  <c r="J1385" i="3" s="1"/>
  <c r="B1385" i="3"/>
  <c r="A1386" i="3"/>
  <c r="F1385" i="3"/>
  <c r="C1386" i="3" l="1"/>
  <c r="D1386" i="3"/>
  <c r="F1386" i="3"/>
  <c r="A1387" i="3"/>
  <c r="E1386" i="3"/>
  <c r="H1386" i="3"/>
  <c r="J1386" i="3" s="1"/>
  <c r="I1386" i="3"/>
  <c r="B1386" i="3"/>
  <c r="C1387" i="3" l="1"/>
  <c r="D1387" i="3"/>
  <c r="E1387" i="3"/>
  <c r="A1388" i="3"/>
  <c r="F1387" i="3"/>
  <c r="H1387" i="3"/>
  <c r="J1387" i="3" s="1"/>
  <c r="I1387" i="3"/>
  <c r="B1387" i="3"/>
  <c r="E1388" i="3" l="1"/>
  <c r="C1388" i="3"/>
  <c r="D1388" i="3"/>
  <c r="F1388" i="3"/>
  <c r="H1388" i="3"/>
  <c r="J1388" i="3" s="1"/>
  <c r="A1389" i="3"/>
  <c r="I1388" i="3"/>
  <c r="B1388" i="3"/>
  <c r="C1389" i="3" l="1"/>
  <c r="D1389" i="3"/>
  <c r="E1389" i="3"/>
  <c r="B1389" i="3"/>
  <c r="H1389" i="3"/>
  <c r="J1389" i="3" s="1"/>
  <c r="A1390" i="3"/>
  <c r="F1389" i="3"/>
  <c r="I1389" i="3"/>
  <c r="C1390" i="3" l="1"/>
  <c r="E1390" i="3"/>
  <c r="F1390" i="3"/>
  <c r="H1390" i="3"/>
  <c r="J1390" i="3" s="1"/>
  <c r="I1390" i="3"/>
  <c r="D1390" i="3"/>
  <c r="A1391" i="3"/>
  <c r="B1390" i="3"/>
  <c r="C1391" i="3" l="1"/>
  <c r="H1391" i="3"/>
  <c r="J1391" i="3" s="1"/>
  <c r="A1392" i="3"/>
  <c r="D1391" i="3"/>
  <c r="E1391" i="3"/>
  <c r="F1391" i="3"/>
  <c r="B1391" i="3"/>
  <c r="I1391" i="3"/>
  <c r="C1392" i="3" l="1"/>
  <c r="D1392" i="3"/>
  <c r="F1392" i="3"/>
  <c r="H1392" i="3"/>
  <c r="J1392" i="3" s="1"/>
  <c r="B1392" i="3"/>
  <c r="E1392" i="3"/>
  <c r="A1393" i="3"/>
  <c r="I1392" i="3"/>
  <c r="C1393" i="3" l="1"/>
  <c r="D1393" i="3"/>
  <c r="E1393" i="3"/>
  <c r="I1393" i="3"/>
  <c r="F1393" i="3"/>
  <c r="H1393" i="3"/>
  <c r="J1393" i="3" s="1"/>
  <c r="B1393" i="3"/>
  <c r="A1394" i="3"/>
  <c r="C1394" i="3" l="1"/>
  <c r="D1394" i="3"/>
  <c r="E1394" i="3"/>
  <c r="I1394" i="3"/>
  <c r="F1394" i="3"/>
  <c r="H1394" i="3"/>
  <c r="J1394" i="3" s="1"/>
  <c r="A1395" i="3"/>
  <c r="B1394" i="3"/>
  <c r="F1395" i="3" l="1"/>
  <c r="C1395" i="3"/>
  <c r="D1395" i="3"/>
  <c r="H1395" i="3"/>
  <c r="J1395" i="3" s="1"/>
  <c r="I1395" i="3"/>
  <c r="B1395" i="3"/>
  <c r="E1395" i="3"/>
  <c r="A1396" i="3"/>
  <c r="C1396" i="3" l="1"/>
  <c r="D1396" i="3"/>
  <c r="F1396" i="3"/>
  <c r="E1396" i="3"/>
  <c r="I1396" i="3"/>
  <c r="H1396" i="3"/>
  <c r="J1396" i="3" s="1"/>
  <c r="B1396" i="3"/>
  <c r="A1397" i="3"/>
  <c r="C1397" i="3" l="1"/>
  <c r="D1397" i="3"/>
  <c r="E1397" i="3"/>
  <c r="F1397" i="3"/>
  <c r="H1397" i="3"/>
  <c r="J1397" i="3" s="1"/>
  <c r="B1397" i="3"/>
  <c r="I1397" i="3"/>
  <c r="A1398" i="3"/>
  <c r="D1398" i="3" l="1"/>
  <c r="E1398" i="3"/>
  <c r="F1398" i="3"/>
  <c r="B1398" i="3"/>
  <c r="H1398" i="3"/>
  <c r="J1398" i="3" s="1"/>
  <c r="I1398" i="3"/>
  <c r="C1398" i="3"/>
  <c r="A1399" i="3"/>
  <c r="C1399" i="3" l="1"/>
  <c r="D1399" i="3"/>
  <c r="E1399" i="3"/>
  <c r="A1400" i="3"/>
  <c r="B1399" i="3"/>
  <c r="F1399" i="3"/>
  <c r="H1399" i="3"/>
  <c r="J1399" i="3" s="1"/>
  <c r="I1399" i="3"/>
  <c r="C1400" i="3" l="1"/>
  <c r="E1400" i="3"/>
  <c r="D1400" i="3"/>
  <c r="F1400" i="3"/>
  <c r="I1400" i="3"/>
  <c r="A1401" i="3"/>
  <c r="H1400" i="3"/>
  <c r="J1400" i="3" s="1"/>
  <c r="B1400" i="3"/>
  <c r="C1401" i="3" l="1"/>
  <c r="F1401" i="3"/>
  <c r="H1401" i="3"/>
  <c r="J1401" i="3" s="1"/>
  <c r="B1401" i="3"/>
  <c r="E1401" i="3"/>
  <c r="D1401" i="3"/>
  <c r="I1401" i="3"/>
  <c r="A1402" i="3"/>
  <c r="C1402" i="3" l="1"/>
  <c r="E1402" i="3"/>
  <c r="F1402" i="3"/>
  <c r="H1402" i="3"/>
  <c r="J1402" i="3" s="1"/>
  <c r="I1402" i="3"/>
  <c r="A1403" i="3"/>
  <c r="D1402" i="3"/>
  <c r="B1402" i="3"/>
  <c r="D1403" i="3" l="1"/>
  <c r="E1403" i="3"/>
  <c r="F1403" i="3"/>
  <c r="C1403" i="3"/>
  <c r="A1404" i="3"/>
  <c r="H1403" i="3"/>
  <c r="J1403" i="3" s="1"/>
  <c r="B1403" i="3"/>
  <c r="I1403" i="3"/>
  <c r="C1404" i="3" l="1"/>
  <c r="D1404" i="3"/>
  <c r="F1404" i="3"/>
  <c r="A1405" i="3"/>
  <c r="B1404" i="3"/>
  <c r="I1404" i="3"/>
  <c r="E1404" i="3"/>
  <c r="H1404" i="3"/>
  <c r="J1404" i="3" s="1"/>
  <c r="F1405" i="3" l="1"/>
  <c r="C1405" i="3"/>
  <c r="D1405" i="3"/>
  <c r="A1406" i="3"/>
  <c r="B1405" i="3"/>
  <c r="H1405" i="3"/>
  <c r="J1405" i="3" s="1"/>
  <c r="I1405" i="3"/>
  <c r="E1405" i="3"/>
  <c r="D1406" i="3" l="1"/>
  <c r="E1406" i="3"/>
  <c r="F1406" i="3"/>
  <c r="C1406" i="3"/>
  <c r="I1406" i="3"/>
  <c r="H1406" i="3"/>
  <c r="J1406" i="3" s="1"/>
  <c r="A1407" i="3"/>
  <c r="B1406" i="3"/>
  <c r="C1407" i="3" l="1"/>
  <c r="D1407" i="3"/>
  <c r="F1407" i="3"/>
  <c r="I1407" i="3"/>
  <c r="E1407" i="3"/>
  <c r="H1407" i="3"/>
  <c r="J1407" i="3" s="1"/>
  <c r="A1408" i="3"/>
  <c r="B1407" i="3"/>
  <c r="E1408" i="3" l="1"/>
  <c r="F1408" i="3"/>
  <c r="C1408" i="3"/>
  <c r="D1408" i="3"/>
  <c r="I1408" i="3"/>
  <c r="A1409" i="3"/>
  <c r="H1408" i="3"/>
  <c r="J1408" i="3" s="1"/>
  <c r="B1408" i="3"/>
  <c r="D1409" i="3" l="1"/>
  <c r="E1409" i="3"/>
  <c r="F1409" i="3"/>
  <c r="C1409" i="3"/>
  <c r="A1410" i="3"/>
  <c r="I1409" i="3"/>
  <c r="H1409" i="3"/>
  <c r="J1409" i="3" s="1"/>
  <c r="B1409" i="3"/>
  <c r="C1410" i="3" l="1"/>
  <c r="D1410" i="3"/>
  <c r="F1410" i="3"/>
  <c r="H1410" i="3"/>
  <c r="J1410" i="3" s="1"/>
  <c r="B1410" i="3"/>
  <c r="A1411" i="3"/>
  <c r="E1410" i="3"/>
  <c r="I1410" i="3"/>
  <c r="E1411" i="3" l="1"/>
  <c r="F1411" i="3"/>
  <c r="C1411" i="3"/>
  <c r="H1411" i="3"/>
  <c r="J1411" i="3" s="1"/>
  <c r="A1412" i="3"/>
  <c r="D1411" i="3"/>
  <c r="I1411" i="3"/>
  <c r="B1411" i="3"/>
  <c r="D1412" i="3" l="1"/>
  <c r="F1412" i="3"/>
  <c r="B1412" i="3"/>
  <c r="E1412" i="3"/>
  <c r="C1412" i="3"/>
  <c r="I1412" i="3"/>
  <c r="A1413" i="3"/>
  <c r="H1412" i="3"/>
  <c r="J1412" i="3" s="1"/>
  <c r="C1413" i="3" l="1"/>
  <c r="F1413" i="3"/>
  <c r="D1413" i="3"/>
  <c r="E1413" i="3"/>
  <c r="H1413" i="3"/>
  <c r="J1413" i="3" s="1"/>
  <c r="A1414" i="3"/>
  <c r="B1413" i="3"/>
  <c r="I1413" i="3"/>
  <c r="E1414" i="3" l="1"/>
  <c r="F1414" i="3"/>
  <c r="D1414" i="3"/>
  <c r="B1414" i="3"/>
  <c r="C1414" i="3"/>
  <c r="I1414" i="3"/>
  <c r="H1414" i="3"/>
  <c r="J1414" i="3" s="1"/>
  <c r="A1415" i="3"/>
  <c r="D1415" i="3" l="1"/>
  <c r="E1415" i="3"/>
  <c r="F1415" i="3"/>
  <c r="A1416" i="3"/>
  <c r="C1415" i="3"/>
  <c r="H1415" i="3"/>
  <c r="J1415" i="3" s="1"/>
  <c r="B1415" i="3"/>
  <c r="I1415" i="3"/>
  <c r="C1416" i="3" l="1"/>
  <c r="D1416" i="3"/>
  <c r="F1416" i="3"/>
  <c r="E1416" i="3"/>
  <c r="I1416" i="3"/>
  <c r="B1416" i="3"/>
  <c r="H1416" i="3"/>
  <c r="J1416" i="3" s="1"/>
  <c r="A1417" i="3"/>
  <c r="E1417" i="3" l="1"/>
  <c r="C1417" i="3"/>
  <c r="D1417" i="3"/>
  <c r="F1417" i="3"/>
  <c r="B1417" i="3"/>
  <c r="I1417" i="3"/>
  <c r="H1417" i="3"/>
  <c r="J1417" i="3" s="1"/>
  <c r="A1418" i="3"/>
  <c r="D1418" i="3" l="1"/>
  <c r="E1418" i="3"/>
  <c r="F1418" i="3"/>
  <c r="C1418" i="3"/>
  <c r="I1418" i="3"/>
  <c r="B1418" i="3"/>
  <c r="A1419" i="3"/>
  <c r="H1418" i="3"/>
  <c r="J1418" i="3" s="1"/>
  <c r="C1419" i="3" l="1"/>
  <c r="D1419" i="3"/>
  <c r="F1419" i="3"/>
  <c r="E1419" i="3"/>
  <c r="H1419" i="3"/>
  <c r="J1419" i="3" s="1"/>
  <c r="I1419" i="3"/>
  <c r="B1419" i="3"/>
  <c r="A1420" i="3"/>
  <c r="E1420" i="3" l="1"/>
  <c r="F1420" i="3"/>
  <c r="C1420" i="3"/>
  <c r="D1420" i="3"/>
  <c r="I1420" i="3"/>
  <c r="B1420" i="3"/>
  <c r="A1421" i="3"/>
  <c r="H1420" i="3"/>
  <c r="J1420" i="3" s="1"/>
  <c r="D1421" i="3" l="1"/>
  <c r="E1421" i="3"/>
  <c r="F1421" i="3"/>
  <c r="C1421" i="3"/>
  <c r="H1421" i="3"/>
  <c r="J1421" i="3" s="1"/>
  <c r="B1421" i="3"/>
  <c r="I1421" i="3"/>
  <c r="A1422" i="3"/>
  <c r="C1422" i="3" l="1"/>
  <c r="D1422" i="3"/>
  <c r="F1422" i="3"/>
  <c r="H1422" i="3"/>
  <c r="J1422" i="3" s="1"/>
  <c r="B1422" i="3"/>
  <c r="A1423" i="3"/>
  <c r="E1422" i="3"/>
  <c r="I1422" i="3"/>
  <c r="E1423" i="3" l="1"/>
  <c r="F1423" i="3"/>
  <c r="C1423" i="3"/>
  <c r="D1423" i="3"/>
  <c r="I1423" i="3"/>
  <c r="B1423" i="3"/>
  <c r="A1424" i="3"/>
  <c r="H1423" i="3"/>
  <c r="J1423" i="3" s="1"/>
  <c r="E1424" i="3" l="1"/>
  <c r="F1424" i="3"/>
  <c r="A1425" i="3"/>
  <c r="D1424" i="3"/>
  <c r="C1424" i="3"/>
  <c r="I1424" i="3"/>
  <c r="H1424" i="3"/>
  <c r="J1424" i="3" s="1"/>
  <c r="B1424" i="3"/>
  <c r="D1425" i="3" l="1"/>
  <c r="F1425" i="3"/>
  <c r="C1425" i="3"/>
  <c r="I1425" i="3"/>
  <c r="E1425" i="3"/>
  <c r="H1425" i="3"/>
  <c r="J1425" i="3" s="1"/>
  <c r="A1426" i="3"/>
  <c r="B1425" i="3"/>
  <c r="E1426" i="3" l="1"/>
  <c r="F1426" i="3"/>
  <c r="A1427" i="3"/>
  <c r="C1426" i="3"/>
  <c r="H1426" i="3"/>
  <c r="J1426" i="3" s="1"/>
  <c r="I1426" i="3"/>
  <c r="D1426" i="3"/>
  <c r="B1426" i="3"/>
  <c r="D1427" i="3" l="1"/>
  <c r="F1427" i="3"/>
  <c r="B1427" i="3"/>
  <c r="E1427" i="3"/>
  <c r="C1427" i="3"/>
  <c r="H1427" i="3"/>
  <c r="J1427" i="3" s="1"/>
  <c r="I1427" i="3"/>
  <c r="A1428" i="3"/>
  <c r="E1428" i="3" l="1"/>
  <c r="F1428" i="3"/>
  <c r="A1429" i="3"/>
  <c r="C1428" i="3"/>
  <c r="D1428" i="3"/>
  <c r="B1428" i="3"/>
  <c r="H1428" i="3"/>
  <c r="J1428" i="3" s="1"/>
  <c r="I1428" i="3"/>
  <c r="D1429" i="3" l="1"/>
  <c r="F1429" i="3"/>
  <c r="C1429" i="3"/>
  <c r="E1429" i="3"/>
  <c r="A1430" i="3"/>
  <c r="I1429" i="3"/>
  <c r="B1429" i="3"/>
  <c r="H1429" i="3"/>
  <c r="J1429" i="3" s="1"/>
  <c r="E1430" i="3" l="1"/>
  <c r="F1430" i="3"/>
  <c r="A1431" i="3"/>
  <c r="I1430" i="3"/>
  <c r="H1430" i="3"/>
  <c r="J1430" i="3" s="1"/>
  <c r="C1430" i="3"/>
  <c r="D1430" i="3"/>
  <c r="B1430" i="3"/>
  <c r="D1431" i="3" l="1"/>
  <c r="E1431" i="3"/>
  <c r="F1431" i="3"/>
  <c r="C1431" i="3"/>
  <c r="H1431" i="3"/>
  <c r="J1431" i="3" s="1"/>
  <c r="B1431" i="3"/>
  <c r="I1431" i="3"/>
  <c r="A1432" i="3"/>
  <c r="E1432" i="3" l="1"/>
  <c r="F1432" i="3"/>
  <c r="A1433" i="3"/>
  <c r="C1432" i="3"/>
  <c r="I1432" i="3"/>
  <c r="H1432" i="3"/>
  <c r="J1432" i="3" s="1"/>
  <c r="B1432" i="3"/>
  <c r="D1432" i="3"/>
  <c r="D1433" i="3" l="1"/>
  <c r="E1433" i="3"/>
  <c r="F1433" i="3"/>
  <c r="C1433" i="3"/>
  <c r="I1433" i="3"/>
  <c r="H1433" i="3"/>
  <c r="J1433" i="3" s="1"/>
  <c r="B1433" i="3"/>
  <c r="A1434" i="3"/>
  <c r="E1434" i="3" l="1"/>
  <c r="F1434" i="3"/>
  <c r="A1435" i="3"/>
  <c r="H1434" i="3"/>
  <c r="J1434" i="3" s="1"/>
  <c r="B1434" i="3"/>
  <c r="C1434" i="3"/>
  <c r="I1434" i="3"/>
  <c r="D1434" i="3"/>
  <c r="D1435" i="3" l="1"/>
  <c r="E1435" i="3"/>
  <c r="F1435" i="3"/>
  <c r="C1435" i="3"/>
  <c r="A1436" i="3"/>
  <c r="H1435" i="3"/>
  <c r="J1435" i="3" s="1"/>
  <c r="I1435" i="3"/>
  <c r="B1435" i="3"/>
  <c r="E1436" i="3" l="1"/>
  <c r="F1436" i="3"/>
  <c r="A1437" i="3"/>
  <c r="H1436" i="3"/>
  <c r="J1436" i="3" s="1"/>
  <c r="B1436" i="3"/>
  <c r="I1436" i="3"/>
  <c r="D1436" i="3"/>
  <c r="C1436" i="3"/>
  <c r="D1437" i="3" l="1"/>
  <c r="E1437" i="3"/>
  <c r="F1437" i="3"/>
  <c r="A1438" i="3"/>
  <c r="C1437" i="3"/>
  <c r="I1437" i="3"/>
  <c r="B1437" i="3"/>
  <c r="H1437" i="3"/>
  <c r="J1437" i="3" s="1"/>
  <c r="E1438" i="3" l="1"/>
  <c r="F1438" i="3"/>
  <c r="A1439" i="3"/>
  <c r="D1438" i="3"/>
  <c r="B1438" i="3"/>
  <c r="C1438" i="3"/>
  <c r="H1438" i="3"/>
  <c r="J1438" i="3" s="1"/>
  <c r="I1438" i="3"/>
  <c r="D1439" i="3" l="1"/>
  <c r="E1439" i="3"/>
  <c r="F1439" i="3"/>
  <c r="H1439" i="3"/>
  <c r="J1439" i="3" s="1"/>
  <c r="A1440" i="3"/>
  <c r="I1439" i="3"/>
  <c r="C1439" i="3"/>
  <c r="B1439" i="3"/>
  <c r="E1440" i="3" l="1"/>
  <c r="F1440" i="3"/>
  <c r="A1441" i="3"/>
  <c r="I1440" i="3"/>
  <c r="C1440" i="3"/>
  <c r="H1440" i="3"/>
  <c r="J1440" i="3" s="1"/>
  <c r="D1440" i="3"/>
  <c r="B1440" i="3"/>
  <c r="D1441" i="3" l="1"/>
  <c r="F1441" i="3"/>
  <c r="B1441" i="3"/>
  <c r="E1441" i="3"/>
  <c r="C1441" i="3"/>
  <c r="I1441" i="3"/>
  <c r="H1441" i="3"/>
  <c r="J1441" i="3" s="1"/>
  <c r="A1442" i="3"/>
  <c r="E1442" i="3" l="1"/>
  <c r="F1442" i="3"/>
  <c r="A1443" i="3"/>
  <c r="C1442" i="3"/>
  <c r="H1442" i="3"/>
  <c r="J1442" i="3" s="1"/>
  <c r="D1442" i="3"/>
  <c r="I1442" i="3"/>
  <c r="B1442" i="3"/>
  <c r="D1443" i="3" l="1"/>
  <c r="E1443" i="3"/>
  <c r="F1443" i="3"/>
  <c r="H1443" i="3"/>
  <c r="J1443" i="3" s="1"/>
  <c r="B1443" i="3"/>
  <c r="C1443" i="3"/>
  <c r="I1443" i="3"/>
  <c r="A1444" i="3"/>
  <c r="E1444" i="3" l="1"/>
  <c r="F1444" i="3"/>
  <c r="A1445" i="3"/>
  <c r="D1444" i="3"/>
  <c r="C1444" i="3"/>
  <c r="H1444" i="3"/>
  <c r="J1444" i="3" s="1"/>
  <c r="I1444" i="3"/>
  <c r="B1444" i="3"/>
  <c r="D1445" i="3" l="1"/>
  <c r="F1445" i="3"/>
  <c r="C1445" i="3"/>
  <c r="A1446" i="3"/>
  <c r="E1445" i="3"/>
  <c r="I1445" i="3"/>
  <c r="B1445" i="3"/>
  <c r="H1445" i="3"/>
  <c r="J1445" i="3" s="1"/>
  <c r="E1446" i="3" l="1"/>
  <c r="F1446" i="3"/>
  <c r="A1447" i="3"/>
  <c r="C1446" i="3"/>
  <c r="D1446" i="3"/>
  <c r="I1446" i="3"/>
  <c r="H1446" i="3"/>
  <c r="J1446" i="3" s="1"/>
  <c r="B1446" i="3"/>
  <c r="D1447" i="3" l="1"/>
  <c r="E1447" i="3"/>
  <c r="F1447" i="3"/>
  <c r="C1447" i="3"/>
  <c r="H1447" i="3"/>
  <c r="J1447" i="3" s="1"/>
  <c r="B1447" i="3"/>
  <c r="I1447" i="3"/>
  <c r="A1448" i="3"/>
  <c r="E1448" i="3" l="1"/>
  <c r="F1448" i="3"/>
  <c r="A1449" i="3"/>
  <c r="C1448" i="3"/>
  <c r="D1448" i="3"/>
  <c r="H1448" i="3"/>
  <c r="J1448" i="3" s="1"/>
  <c r="I1448" i="3"/>
  <c r="B1448" i="3"/>
  <c r="D1449" i="3" l="1"/>
  <c r="E1449" i="3"/>
  <c r="F1449" i="3"/>
  <c r="C1449" i="3"/>
  <c r="H1449" i="3"/>
  <c r="J1449" i="3" s="1"/>
  <c r="B1449" i="3"/>
  <c r="I1449" i="3"/>
  <c r="A1450" i="3"/>
  <c r="E1450" i="3" l="1"/>
  <c r="F1450" i="3"/>
  <c r="A1451" i="3"/>
  <c r="C1450" i="3"/>
  <c r="I1450" i="3"/>
  <c r="B1450" i="3"/>
  <c r="H1450" i="3"/>
  <c r="J1450" i="3" s="1"/>
  <c r="D1450" i="3"/>
  <c r="D1451" i="3" l="1"/>
  <c r="E1451" i="3"/>
  <c r="F1451" i="3"/>
  <c r="I1451" i="3"/>
  <c r="A1452" i="3"/>
  <c r="C1451" i="3"/>
  <c r="H1451" i="3"/>
  <c r="J1451" i="3" s="1"/>
  <c r="B1451" i="3"/>
  <c r="E1452" i="3" l="1"/>
  <c r="F1452" i="3"/>
  <c r="A1453" i="3"/>
  <c r="B1452" i="3"/>
  <c r="C1452" i="3"/>
  <c r="H1452" i="3"/>
  <c r="J1452" i="3" s="1"/>
  <c r="I1452" i="3"/>
  <c r="D1452" i="3"/>
  <c r="D1453" i="3" l="1"/>
  <c r="E1453" i="3"/>
  <c r="F1453" i="3"/>
  <c r="H1453" i="3"/>
  <c r="J1453" i="3" s="1"/>
  <c r="C1453" i="3"/>
  <c r="I1453" i="3"/>
  <c r="A1454" i="3"/>
  <c r="B1453" i="3"/>
  <c r="E1454" i="3" l="1"/>
  <c r="F1454" i="3"/>
  <c r="A1455" i="3"/>
  <c r="H1454" i="3"/>
  <c r="J1454" i="3" s="1"/>
  <c r="B1454" i="3"/>
  <c r="C1454" i="3"/>
  <c r="I1454" i="3"/>
  <c r="D1454" i="3"/>
  <c r="D1455" i="3" l="1"/>
  <c r="E1455" i="3"/>
  <c r="F1455" i="3"/>
  <c r="H1455" i="3"/>
  <c r="J1455" i="3" s="1"/>
  <c r="A1456" i="3"/>
  <c r="B1455" i="3"/>
  <c r="C1455" i="3"/>
  <c r="I1455" i="3"/>
  <c r="E1456" i="3" l="1"/>
  <c r="F1456" i="3"/>
  <c r="A1457" i="3"/>
  <c r="D1456" i="3"/>
  <c r="B1456" i="3"/>
  <c r="H1456" i="3"/>
  <c r="J1456" i="3" s="1"/>
  <c r="C1456" i="3"/>
  <c r="I1456" i="3"/>
  <c r="D1457" i="3" l="1"/>
  <c r="E1457" i="3"/>
  <c r="C1457" i="3"/>
  <c r="I1457" i="3"/>
  <c r="F1457" i="3"/>
  <c r="B1457" i="3"/>
  <c r="A1458" i="3"/>
  <c r="H1457" i="3"/>
  <c r="J1457" i="3" s="1"/>
  <c r="E1458" i="3" l="1"/>
  <c r="F1458" i="3"/>
  <c r="A1459" i="3"/>
  <c r="C1458" i="3"/>
  <c r="H1458" i="3"/>
  <c r="J1458" i="3" s="1"/>
  <c r="B1458" i="3"/>
  <c r="I1458" i="3"/>
  <c r="D1458" i="3"/>
  <c r="D1459" i="3" l="1"/>
  <c r="C1459" i="3"/>
  <c r="H1459" i="3"/>
  <c r="J1459" i="3" s="1"/>
  <c r="E1459" i="3"/>
  <c r="F1459" i="3"/>
  <c r="A1460" i="3"/>
  <c r="B1459" i="3"/>
  <c r="I1459" i="3"/>
  <c r="E1460" i="3" l="1"/>
  <c r="F1460" i="3"/>
  <c r="A1461" i="3"/>
  <c r="C1460" i="3"/>
  <c r="I1460" i="3"/>
  <c r="B1460" i="3"/>
  <c r="D1460" i="3"/>
  <c r="H1460" i="3"/>
  <c r="J1460" i="3" s="1"/>
  <c r="D1461" i="3" l="1"/>
  <c r="E1461" i="3"/>
  <c r="F1461" i="3"/>
  <c r="A1462" i="3"/>
  <c r="I1461" i="3"/>
  <c r="C1461" i="3"/>
  <c r="B1461" i="3"/>
  <c r="H1461" i="3"/>
  <c r="J1461" i="3" s="1"/>
  <c r="E1462" i="3" l="1"/>
  <c r="F1462" i="3"/>
  <c r="A1463" i="3"/>
  <c r="H1462" i="3"/>
  <c r="J1462" i="3" s="1"/>
  <c r="B1462" i="3"/>
  <c r="C1462" i="3"/>
  <c r="I1462" i="3"/>
  <c r="D1462" i="3"/>
  <c r="D1463" i="3" l="1"/>
  <c r="E1463" i="3"/>
  <c r="I1463" i="3"/>
  <c r="H1463" i="3"/>
  <c r="J1463" i="3" s="1"/>
  <c r="F1463" i="3"/>
  <c r="B1463" i="3"/>
  <c r="C1463" i="3"/>
  <c r="A1464" i="3"/>
  <c r="E1464" i="3" l="1"/>
  <c r="F1464" i="3"/>
  <c r="A1465" i="3"/>
  <c r="D1464" i="3"/>
  <c r="I1464" i="3"/>
  <c r="C1464" i="3"/>
  <c r="H1464" i="3"/>
  <c r="J1464" i="3" s="1"/>
  <c r="B1464" i="3"/>
  <c r="D1465" i="3" l="1"/>
  <c r="E1465" i="3"/>
  <c r="F1465" i="3"/>
  <c r="C1465" i="3"/>
  <c r="I1465" i="3"/>
  <c r="A1466" i="3"/>
  <c r="H1465" i="3"/>
  <c r="J1465" i="3" s="1"/>
  <c r="B1465" i="3"/>
  <c r="E1466" i="3" l="1"/>
  <c r="C1466" i="3"/>
  <c r="F1466" i="3"/>
  <c r="A1467" i="3"/>
  <c r="D1466" i="3"/>
  <c r="B1466" i="3"/>
  <c r="H1466" i="3"/>
  <c r="J1466" i="3" s="1"/>
  <c r="I1466" i="3"/>
  <c r="D1467" i="3" l="1"/>
  <c r="E1467" i="3"/>
  <c r="F1467" i="3"/>
  <c r="C1467" i="3"/>
  <c r="I1467" i="3"/>
  <c r="B1467" i="3"/>
  <c r="H1467" i="3"/>
  <c r="J1467" i="3" s="1"/>
  <c r="A1468" i="3"/>
  <c r="E1468" i="3" l="1"/>
  <c r="F1468" i="3"/>
  <c r="A1469" i="3"/>
  <c r="H1468" i="3"/>
  <c r="J1468" i="3" s="1"/>
  <c r="B1468" i="3"/>
  <c r="I1468" i="3"/>
  <c r="D1468" i="3"/>
  <c r="C1468" i="3"/>
  <c r="D1469" i="3" l="1"/>
  <c r="F1469" i="3"/>
  <c r="C1469" i="3"/>
  <c r="E1469" i="3"/>
  <c r="I1469" i="3"/>
  <c r="H1469" i="3"/>
  <c r="J1469" i="3" s="1"/>
  <c r="B1469" i="3"/>
  <c r="A1470" i="3"/>
  <c r="E1470" i="3" l="1"/>
  <c r="A1471" i="3"/>
  <c r="F1470" i="3"/>
  <c r="C1470" i="3"/>
  <c r="H1470" i="3"/>
  <c r="J1470" i="3" s="1"/>
  <c r="I1470" i="3"/>
  <c r="D1470" i="3"/>
  <c r="B1470" i="3"/>
  <c r="D1471" i="3" l="1"/>
  <c r="F1471" i="3"/>
  <c r="H1471" i="3"/>
  <c r="J1471" i="3" s="1"/>
  <c r="A1472" i="3"/>
  <c r="E1471" i="3"/>
  <c r="C1471" i="3"/>
  <c r="B1471" i="3"/>
  <c r="I1471" i="3"/>
  <c r="E1472" i="3" l="1"/>
  <c r="A1473" i="3"/>
  <c r="B1472" i="3"/>
  <c r="F1472" i="3"/>
  <c r="C1472" i="3"/>
  <c r="D1472" i="3"/>
  <c r="I1472" i="3"/>
  <c r="H1472" i="3"/>
  <c r="J1472" i="3" s="1"/>
  <c r="D1473" i="3" l="1"/>
  <c r="E1473" i="3"/>
  <c r="F1473" i="3"/>
  <c r="H1473" i="3"/>
  <c r="J1473" i="3" s="1"/>
  <c r="B1473" i="3"/>
  <c r="C1473" i="3"/>
  <c r="A1474" i="3"/>
  <c r="I1473" i="3"/>
  <c r="E1474" i="3" l="1"/>
  <c r="F1474" i="3"/>
  <c r="C1474" i="3"/>
  <c r="H1474" i="3"/>
  <c r="J1474" i="3" s="1"/>
  <c r="B1474" i="3"/>
  <c r="A1475" i="3"/>
  <c r="I1474" i="3"/>
  <c r="D1474" i="3"/>
  <c r="D1475" i="3" l="1"/>
  <c r="C1475" i="3"/>
  <c r="B1475" i="3"/>
  <c r="E1475" i="3"/>
  <c r="F1475" i="3"/>
  <c r="A1476" i="3"/>
  <c r="H1475" i="3"/>
  <c r="J1475" i="3" s="1"/>
  <c r="I1475" i="3"/>
  <c r="E1476" i="3" l="1"/>
  <c r="F1476" i="3"/>
  <c r="A1477" i="3"/>
  <c r="H1476" i="3"/>
  <c r="J1476" i="3" s="1"/>
  <c r="B1476" i="3"/>
  <c r="C1476" i="3"/>
  <c r="I1476" i="3"/>
  <c r="D1476" i="3"/>
  <c r="D1477" i="3" l="1"/>
  <c r="E1477" i="3"/>
  <c r="F1477" i="3"/>
  <c r="I1477" i="3"/>
  <c r="H1477" i="3"/>
  <c r="J1477" i="3" s="1"/>
  <c r="A1478" i="3"/>
  <c r="C1477" i="3"/>
  <c r="B1477" i="3"/>
  <c r="E1478" i="3" l="1"/>
  <c r="F1478" i="3"/>
  <c r="A1479" i="3"/>
  <c r="C1478" i="3"/>
  <c r="I1478" i="3"/>
  <c r="B1478" i="3"/>
  <c r="H1478" i="3"/>
  <c r="J1478" i="3" s="1"/>
  <c r="D1478" i="3"/>
  <c r="D1479" i="3" l="1"/>
  <c r="E1479" i="3"/>
  <c r="F1479" i="3"/>
  <c r="C1479" i="3"/>
  <c r="A1480" i="3"/>
  <c r="H1479" i="3"/>
  <c r="J1479" i="3" s="1"/>
  <c r="I1479" i="3"/>
  <c r="B1479" i="3"/>
  <c r="E1480" i="3" l="1"/>
  <c r="C1480" i="3"/>
  <c r="F1480" i="3"/>
  <c r="A1481" i="3"/>
  <c r="H1480" i="3"/>
  <c r="J1480" i="3" s="1"/>
  <c r="I1480" i="3"/>
  <c r="D1480" i="3"/>
  <c r="B1480" i="3"/>
  <c r="D1481" i="3" l="1"/>
  <c r="F1481" i="3"/>
  <c r="E1481" i="3"/>
  <c r="H1481" i="3"/>
  <c r="J1481" i="3" s="1"/>
  <c r="B1481" i="3"/>
  <c r="C1481" i="3"/>
  <c r="I1481" i="3"/>
  <c r="A1482" i="3"/>
  <c r="E1482" i="3" l="1"/>
  <c r="F1482" i="3"/>
  <c r="A1483" i="3"/>
  <c r="D1482" i="3"/>
  <c r="H1482" i="3"/>
  <c r="J1482" i="3" s="1"/>
  <c r="B1482" i="3"/>
  <c r="C1482" i="3"/>
  <c r="I1482" i="3"/>
  <c r="D1483" i="3" l="1"/>
  <c r="E1483" i="3"/>
  <c r="F1483" i="3"/>
  <c r="I1483" i="3"/>
  <c r="A1484" i="3"/>
  <c r="H1483" i="3"/>
  <c r="J1483" i="3" s="1"/>
  <c r="C1483" i="3"/>
  <c r="B1483" i="3"/>
  <c r="E1484" i="3" l="1"/>
  <c r="A1485" i="3"/>
  <c r="C1484" i="3"/>
  <c r="F1484" i="3"/>
  <c r="I1484" i="3"/>
  <c r="D1484" i="3"/>
  <c r="H1484" i="3"/>
  <c r="J1484" i="3" s="1"/>
  <c r="B1484" i="3"/>
  <c r="D1485" i="3" l="1"/>
  <c r="E1485" i="3"/>
  <c r="F1485" i="3"/>
  <c r="C1485" i="3"/>
  <c r="B1485" i="3"/>
  <c r="I1485" i="3"/>
  <c r="A1486" i="3"/>
  <c r="H1485" i="3"/>
  <c r="J1485" i="3" s="1"/>
  <c r="E1486" i="3" l="1"/>
  <c r="F1486" i="3"/>
  <c r="A1487" i="3"/>
  <c r="C1486" i="3"/>
  <c r="I1486" i="3"/>
  <c r="B1486" i="3"/>
  <c r="H1486" i="3"/>
  <c r="J1486" i="3" s="1"/>
  <c r="D1486" i="3"/>
  <c r="D1487" i="3" l="1"/>
  <c r="F1487" i="3"/>
  <c r="E1487" i="3"/>
  <c r="A1488" i="3"/>
  <c r="C1487" i="3"/>
  <c r="I1487" i="3"/>
  <c r="H1487" i="3"/>
  <c r="J1487" i="3" s="1"/>
  <c r="B1487" i="3"/>
  <c r="E1488" i="3" l="1"/>
  <c r="A1489" i="3"/>
  <c r="F1488" i="3"/>
  <c r="C1488" i="3"/>
  <c r="I1488" i="3"/>
  <c r="B1488" i="3"/>
  <c r="H1488" i="3"/>
  <c r="J1488" i="3" s="1"/>
  <c r="D1488" i="3"/>
  <c r="D1489" i="3" l="1"/>
  <c r="E1489" i="3"/>
  <c r="F1489" i="3"/>
  <c r="C1489" i="3"/>
  <c r="H1489" i="3"/>
  <c r="J1489" i="3" s="1"/>
  <c r="B1489" i="3"/>
  <c r="I1489" i="3"/>
  <c r="A1490" i="3"/>
  <c r="E1490" i="3" l="1"/>
  <c r="A1491" i="3"/>
  <c r="F1490" i="3"/>
  <c r="C1490" i="3"/>
  <c r="I1490" i="3"/>
  <c r="H1490" i="3"/>
  <c r="J1490" i="3" s="1"/>
  <c r="D1490" i="3"/>
  <c r="B1490" i="3"/>
  <c r="D1491" i="3" l="1"/>
  <c r="F1491" i="3"/>
  <c r="E1491" i="3"/>
  <c r="C1491" i="3"/>
  <c r="A1492" i="3"/>
  <c r="I1491" i="3"/>
  <c r="H1491" i="3"/>
  <c r="J1491" i="3" s="1"/>
  <c r="B1491" i="3"/>
  <c r="E1492" i="3" l="1"/>
  <c r="A1493" i="3"/>
  <c r="C1492" i="3"/>
  <c r="I1492" i="3"/>
  <c r="F1492" i="3"/>
  <c r="H1492" i="3"/>
  <c r="J1492" i="3" s="1"/>
  <c r="B1492" i="3"/>
  <c r="D1492" i="3"/>
  <c r="D1493" i="3" l="1"/>
  <c r="E1493" i="3"/>
  <c r="F1493" i="3"/>
  <c r="C1493" i="3"/>
  <c r="H1493" i="3"/>
  <c r="J1493" i="3" s="1"/>
  <c r="B1493" i="3"/>
  <c r="A1494" i="3"/>
  <c r="I1493" i="3"/>
  <c r="E1494" i="3" l="1"/>
  <c r="F1494" i="3"/>
  <c r="A1495" i="3"/>
  <c r="H1494" i="3"/>
  <c r="J1494" i="3" s="1"/>
  <c r="B1494" i="3"/>
  <c r="D1494" i="3"/>
  <c r="C1494" i="3"/>
  <c r="I1494" i="3"/>
  <c r="D1495" i="3" l="1"/>
  <c r="F1495" i="3"/>
  <c r="C1495" i="3"/>
  <c r="B1495" i="3"/>
  <c r="E1495" i="3"/>
  <c r="I1495" i="3"/>
  <c r="H1495" i="3"/>
  <c r="J1495" i="3" s="1"/>
  <c r="A1496" i="3"/>
  <c r="E1496" i="3" l="1"/>
  <c r="F1496" i="3"/>
  <c r="A1497" i="3"/>
  <c r="B1496" i="3"/>
  <c r="H1496" i="3"/>
  <c r="J1496" i="3" s="1"/>
  <c r="D1496" i="3"/>
  <c r="C1496" i="3"/>
  <c r="I1496" i="3"/>
  <c r="D1497" i="3" l="1"/>
  <c r="E1497" i="3"/>
  <c r="F1497" i="3"/>
  <c r="H1497" i="3"/>
  <c r="J1497" i="3" s="1"/>
  <c r="A1498" i="3"/>
  <c r="C1497" i="3"/>
  <c r="I1497" i="3"/>
  <c r="B1497" i="3"/>
  <c r="E1498" i="3" l="1"/>
  <c r="F1498" i="3"/>
  <c r="A1499" i="3"/>
  <c r="C1498" i="3"/>
  <c r="H1498" i="3"/>
  <c r="J1498" i="3" s="1"/>
  <c r="I1498" i="3"/>
  <c r="D1498" i="3"/>
  <c r="B1498" i="3"/>
  <c r="D1499" i="3" l="1"/>
  <c r="E1499" i="3"/>
  <c r="F1499" i="3"/>
  <c r="C1499" i="3"/>
  <c r="I1499" i="3"/>
  <c r="A1500" i="3"/>
  <c r="B1499" i="3"/>
  <c r="H1499" i="3"/>
  <c r="J1499" i="3" s="1"/>
  <c r="E1500" i="3" l="1"/>
  <c r="F1500" i="3"/>
  <c r="A1501" i="3"/>
  <c r="C1500" i="3"/>
  <c r="H1500" i="3"/>
  <c r="J1500" i="3" s="1"/>
  <c r="B1500" i="3"/>
  <c r="I1500" i="3"/>
  <c r="D1500" i="3"/>
  <c r="D1501" i="3" l="1"/>
  <c r="E1501" i="3"/>
  <c r="F1501" i="3"/>
  <c r="H1501" i="3"/>
  <c r="J1501" i="3" s="1"/>
  <c r="B1501" i="3"/>
  <c r="A1502" i="3"/>
  <c r="C1501" i="3"/>
  <c r="I1501" i="3"/>
  <c r="E1502" i="3" l="1"/>
  <c r="A1503" i="3"/>
  <c r="I1502" i="3"/>
  <c r="F1502" i="3"/>
  <c r="C1502" i="3"/>
  <c r="D1502" i="3"/>
  <c r="H1502" i="3"/>
  <c r="J1502" i="3" s="1"/>
  <c r="B1502" i="3"/>
  <c r="E1503" i="3" l="1"/>
  <c r="F1503" i="3"/>
  <c r="C1503" i="3"/>
  <c r="H1503" i="3"/>
  <c r="J1503" i="3" s="1"/>
  <c r="D1503" i="3"/>
  <c r="B1503" i="3"/>
  <c r="I1503" i="3"/>
  <c r="N4" i="3"/>
  <c r="O4" i="3" s="1"/>
  <c r="M6" i="3" l="1"/>
  <c r="M16" i="3"/>
  <c r="P32" i="4"/>
  <c r="P30" i="4"/>
  <c r="P31" i="4"/>
  <c r="M7" i="3" s="1"/>
  <c r="P28" i="4"/>
  <c r="P25" i="4"/>
  <c r="P26" i="4" s="1"/>
  <c r="M8" i="3" l="1"/>
  <c r="P29" i="4"/>
  <c r="M9" i="3" l="1"/>
  <c r="M10" i="3" s="1"/>
  <c r="M11" i="3" s="1"/>
  <c r="M12" i="3" s="1"/>
  <c r="M13" i="3" s="1"/>
  <c r="M14" i="3" s="1"/>
  <c r="M15" i="3" s="1"/>
  <c r="N7" i="3" l="1" a="1"/>
  <c r="N13" i="3" s="1"/>
  <c r="N16" i="3" l="1"/>
  <c r="N7" i="3"/>
  <c r="N14" i="3"/>
  <c r="N15" i="3"/>
  <c r="N9" i="3"/>
  <c r="N11" i="3"/>
  <c r="N12" i="3"/>
  <c r="N8" i="3"/>
  <c r="N10" i="3"/>
  <c r="N6" i="3"/>
  <c r="O14" i="3" s="1"/>
  <c r="P27" i="4" l="1"/>
  <c r="O13" i="3"/>
  <c r="O7" i="3"/>
  <c r="O10" i="3"/>
  <c r="O8" i="3"/>
  <c r="O12" i="3"/>
  <c r="O11" i="3"/>
  <c r="O9" i="3"/>
  <c r="O15" i="3"/>
</calcChain>
</file>

<file path=xl/sharedStrings.xml><?xml version="1.0" encoding="utf-8"?>
<sst xmlns="http://schemas.openxmlformats.org/spreadsheetml/2006/main" count="53" uniqueCount="47">
  <si>
    <t>中间值</t>
    <phoneticPr fontId="2" type="noConversion"/>
  </si>
  <si>
    <t>价差统计</t>
    <phoneticPr fontId="2" type="noConversion"/>
  </si>
  <si>
    <t>最高</t>
    <phoneticPr fontId="2" type="noConversion"/>
  </si>
  <si>
    <t>不复权</t>
  </si>
  <si>
    <t>最新</t>
    <phoneticPr fontId="2" type="noConversion"/>
  </si>
  <si>
    <t>平均值</t>
    <phoneticPr fontId="2" type="noConversion"/>
  </si>
  <si>
    <t>价差分析</t>
    <phoneticPr fontId="7" type="noConversion"/>
  </si>
  <si>
    <t>价差分析</t>
    <phoneticPr fontId="2" type="noConversion"/>
  </si>
  <si>
    <t>000002.SZ</t>
  </si>
  <si>
    <t>000002.SZ</t>
    <phoneticPr fontId="7" type="noConversion"/>
  </si>
  <si>
    <t>600048.SH</t>
    <phoneticPr fontId="7" type="noConversion"/>
  </si>
  <si>
    <t>日</t>
    <phoneticPr fontId="7" type="noConversion"/>
  </si>
  <si>
    <t>Wind代码1：</t>
    <phoneticPr fontId="2" type="noConversion"/>
  </si>
  <si>
    <t>公司简称：</t>
    <phoneticPr fontId="2" type="noConversion"/>
  </si>
  <si>
    <t>起始日期:</t>
    <phoneticPr fontId="2" type="noConversion"/>
  </si>
  <si>
    <t>截止日期:</t>
    <phoneticPr fontId="2" type="noConversion"/>
  </si>
  <si>
    <t>行情周期：</t>
    <phoneticPr fontId="2" type="noConversion"/>
  </si>
  <si>
    <t>复权选择：</t>
    <phoneticPr fontId="2" type="noConversion"/>
  </si>
  <si>
    <t>600895.SH</t>
    <phoneticPr fontId="7" type="noConversion"/>
  </si>
  <si>
    <t>600383.SH</t>
    <phoneticPr fontId="7" type="noConversion"/>
  </si>
  <si>
    <t>001979.SZ</t>
    <phoneticPr fontId="7" type="noConversion"/>
  </si>
  <si>
    <t>Wind代码2：</t>
    <phoneticPr fontId="2" type="noConversion"/>
  </si>
  <si>
    <t>Wind代码3：</t>
    <phoneticPr fontId="2" type="noConversion"/>
  </si>
  <si>
    <t>Wind代码4：</t>
    <phoneticPr fontId="2" type="noConversion"/>
  </si>
  <si>
    <t>Wind代码5：</t>
    <phoneticPr fontId="2" type="noConversion"/>
  </si>
  <si>
    <t>实时行情</t>
    <phoneticPr fontId="2" type="noConversion"/>
  </si>
  <si>
    <t>价格走势</t>
    <phoneticPr fontId="2" type="noConversion"/>
  </si>
  <si>
    <t>价差参数</t>
    <phoneticPr fontId="2" type="noConversion"/>
  </si>
  <si>
    <t>多头代码：</t>
    <phoneticPr fontId="2" type="noConversion"/>
  </si>
  <si>
    <t>价差走势</t>
    <phoneticPr fontId="2" type="noConversion"/>
  </si>
  <si>
    <t>空头代码：</t>
    <phoneticPr fontId="2" type="noConversion"/>
  </si>
  <si>
    <t>标准偏差</t>
    <phoneticPr fontId="2" type="noConversion"/>
  </si>
  <si>
    <r>
      <rPr>
        <sz val="10"/>
        <color indexed="8"/>
        <rFont val="微软雅黑"/>
        <family val="2"/>
        <charset val="134"/>
      </rPr>
      <t>与均值差/标准偏差</t>
    </r>
    <phoneticPr fontId="2" type="noConversion"/>
  </si>
  <si>
    <t>与均值差</t>
    <phoneticPr fontId="2" type="noConversion"/>
  </si>
  <si>
    <t>最新价差出现概率</t>
    <phoneticPr fontId="2" type="noConversion"/>
  </si>
  <si>
    <t>最低</t>
    <phoneticPr fontId="2" type="noConversion"/>
  </si>
  <si>
    <r>
      <rPr>
        <sz val="10"/>
        <color theme="1"/>
        <rFont val="宋体"/>
        <family val="3"/>
        <charset val="134"/>
      </rPr>
      <t>分布数</t>
    </r>
    <phoneticPr fontId="2" type="noConversion"/>
  </si>
  <si>
    <r>
      <rPr>
        <sz val="10"/>
        <color theme="1"/>
        <rFont val="宋体"/>
        <family val="3"/>
        <charset val="134"/>
      </rPr>
      <t>价差统计</t>
    </r>
    <phoneticPr fontId="2" type="noConversion"/>
  </si>
  <si>
    <r>
      <rPr>
        <sz val="10"/>
        <color indexed="8"/>
        <rFont val="宋体"/>
        <family val="3"/>
        <charset val="134"/>
      </rPr>
      <t>日期</t>
    </r>
    <phoneticPr fontId="2" type="noConversion"/>
  </si>
  <si>
    <r>
      <rPr>
        <sz val="10"/>
        <color theme="1"/>
        <rFont val="宋体"/>
        <family val="3"/>
        <charset val="134"/>
      </rPr>
      <t>价差</t>
    </r>
    <phoneticPr fontId="7" type="noConversion"/>
  </si>
  <si>
    <r>
      <rPr>
        <sz val="10"/>
        <color theme="1"/>
        <rFont val="宋体"/>
        <family val="3"/>
        <charset val="134"/>
      </rPr>
      <t>价差</t>
    </r>
    <phoneticPr fontId="2" type="noConversion"/>
  </si>
  <si>
    <t>001979.SZ</t>
  </si>
  <si>
    <t>Wind代码1</t>
    <phoneticPr fontId="2" type="noConversion"/>
  </si>
  <si>
    <t>Wind代码2</t>
    <phoneticPr fontId="7" type="noConversion"/>
  </si>
  <si>
    <t>Wind代码3</t>
    <phoneticPr fontId="7" type="noConversion"/>
  </si>
  <si>
    <t>Wind代码4</t>
    <phoneticPr fontId="7" type="noConversion"/>
  </si>
  <si>
    <t>Wind代码5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</si>
</sst>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_ * #,##0_ ;_ * \-#,##0_ ;_ * &quot;-&quot;??_ ;_ @_ "/>
    <numFmt numFmtId="177" formatCode="0.0%"/>
    <numFmt numFmtId="178" formatCode="_ * #,##0.000_ ;_ * \-#,##0.000_ ;_ * &quot;-&quot;??_ ;_ @_ "/>
    <numFmt numFmtId="179" formatCode="yyyy\-mm\-dd"/>
  </numFmts>
  <fonts count="19">
    <font>
      <sz val="11"/>
      <color theme="1"/>
      <name val="宋体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20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4"/>
      <color theme="1"/>
      <name val="Arial"/>
      <family val="2"/>
    </font>
    <font>
      <sz val="14"/>
      <color theme="1"/>
      <name val="Arial 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2" applyNumberFormat="1" applyFont="1">
      <alignment vertical="center"/>
    </xf>
    <xf numFmtId="0" fontId="5" fillId="2" borderId="0" xfId="0" applyFont="1" applyFill="1">
      <alignment vertical="center"/>
    </xf>
    <xf numFmtId="176" fontId="5" fillId="0" borderId="0" xfId="2" applyNumberFormat="1" applyFont="1">
      <alignment vertical="center"/>
    </xf>
    <xf numFmtId="43" fontId="5" fillId="0" borderId="0" xfId="2" applyFont="1">
      <alignment vertical="center"/>
    </xf>
    <xf numFmtId="43" fontId="5" fillId="0" borderId="0" xfId="0" applyNumberFormat="1" applyFont="1">
      <alignment vertical="center"/>
    </xf>
    <xf numFmtId="177" fontId="5" fillId="0" borderId="0" xfId="1" applyNumberFormat="1" applyFont="1">
      <alignment vertical="center"/>
    </xf>
    <xf numFmtId="178" fontId="5" fillId="0" borderId="0" xfId="2" applyNumberFormat="1" applyFont="1">
      <alignment vertical="center"/>
    </xf>
    <xf numFmtId="177" fontId="5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8" fillId="3" borderId="0" xfId="0" applyFont="1" applyFill="1" applyAlignment="1"/>
    <xf numFmtId="0" fontId="9" fillId="3" borderId="0" xfId="0" applyFont="1" applyFill="1" applyAlignment="1"/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NumberFormat="1" applyFont="1">
      <alignment vertical="center"/>
    </xf>
    <xf numFmtId="49" fontId="13" fillId="5" borderId="0" xfId="0" applyNumberFormat="1" applyFont="1" applyFill="1" applyAlignment="1">
      <alignment vertical="center"/>
    </xf>
    <xf numFmtId="43" fontId="14" fillId="4" borderId="0" xfId="2" applyFont="1" applyFill="1" applyAlignment="1"/>
    <xf numFmtId="0" fontId="0" fillId="6" borderId="0" xfId="0" applyFill="1" applyAlignment="1"/>
    <xf numFmtId="0" fontId="11" fillId="7" borderId="0" xfId="0" applyFont="1" applyFill="1" applyBorder="1" applyAlignment="1"/>
    <xf numFmtId="0" fontId="11" fillId="8" borderId="0" xfId="0" applyFont="1" applyFill="1" applyAlignment="1"/>
    <xf numFmtId="0" fontId="15" fillId="7" borderId="0" xfId="0" applyFont="1" applyFill="1" applyBorder="1" applyAlignment="1"/>
    <xf numFmtId="0" fontId="15" fillId="8" borderId="0" xfId="0" applyFont="1" applyFill="1" applyAlignment="1"/>
    <xf numFmtId="0" fontId="10" fillId="0" borderId="0" xfId="0" applyFont="1">
      <alignment vertical="center"/>
    </xf>
    <xf numFmtId="0" fontId="17" fillId="4" borderId="1" xfId="0" applyFont="1" applyFill="1" applyBorder="1" applyAlignment="1">
      <alignment vertical="top"/>
    </xf>
    <xf numFmtId="0" fontId="16" fillId="4" borderId="1" xfId="0" applyFont="1" applyFill="1" applyBorder="1" applyAlignment="1">
      <alignment vertical="center"/>
    </xf>
    <xf numFmtId="0" fontId="1" fillId="0" borderId="0" xfId="0" applyFont="1">
      <alignment vertical="center"/>
    </xf>
    <xf numFmtId="0" fontId="18" fillId="7" borderId="0" xfId="0" applyFont="1" applyFill="1" applyBorder="1" applyAlignment="1"/>
    <xf numFmtId="0" fontId="18" fillId="8" borderId="0" xfId="0" applyFont="1" applyFill="1" applyAlignment="1"/>
    <xf numFmtId="2" fontId="1" fillId="7" borderId="0" xfId="0" applyNumberFormat="1" applyFont="1" applyFill="1" applyBorder="1" applyAlignment="1"/>
    <xf numFmtId="2" fontId="1" fillId="8" borderId="0" xfId="0" applyNumberFormat="1" applyFont="1" applyFill="1" applyAlignment="1"/>
    <xf numFmtId="49" fontId="5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14" fontId="5" fillId="2" borderId="0" xfId="0" applyNumberFormat="1" applyFont="1" applyFill="1">
      <alignment vertical="center"/>
    </xf>
    <xf numFmtId="14" fontId="5" fillId="0" borderId="0" xfId="0" applyNumberFormat="1" applyFont="1">
      <alignment vertical="center"/>
    </xf>
    <xf numFmtId="179" fontId="13" fillId="5" borderId="0" xfId="0" applyNumberFormat="1" applyFont="1" applyFill="1" applyAlignment="1">
      <alignment horizontal="right" vertical="center"/>
    </xf>
    <xf numFmtId="0" fontId="11" fillId="7" borderId="0" xfId="0" applyFont="1" applyFill="1" applyBorder="1" applyAlignment="1">
      <alignment horizontal="left"/>
    </xf>
    <xf numFmtId="0" fontId="11" fillId="8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百分比" xfId="1" builtinId="5"/>
    <cellStyle name="常规" xfId="0" builtinId="0"/>
    <cellStyle name="千位分隔" xfId="2" builtinId="3"/>
  </cellStyles>
  <dxfs count="1">
    <dxf>
      <font>
        <color theme="0"/>
      </font>
    </dxf>
  </dxfs>
  <tableStyles count="0" defaultTableStyle="TableStyleMedium9" defaultPivotStyle="PivotStyleLight16"/>
  <colors>
    <mruColors>
      <color rgb="FF2276A1"/>
      <color rgb="FF63636D"/>
      <color rgb="FFF68616"/>
      <color rgb="FFB2B2B2"/>
      <color rgb="FFE8D0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-5.4</v>
        <stp/>
        <stp>600895.SH</stp>
        <stp>27</stp>
        <tr r="E10" s="4"/>
      </tp>
      <tp>
        <v>-1.24</v>
        <stp/>
        <stp>600895.SH</stp>
        <stp>26</stp>
        <tr r="E10" s="4"/>
        <tr r="E10" s="4"/>
      </tp>
      <tp>
        <v>1531027943</v>
        <stp/>
        <stp>600895.SH</stp>
        <stp>29</stp>
        <tr r="E10" s="4"/>
      </tp>
      <tp>
        <v>384136753</v>
        <stp/>
        <stp>600383.SH</stp>
        <stp>29</stp>
        <tr r="E11" s="4"/>
      </tp>
      <tp>
        <v>-0.15</v>
        <stp/>
        <stp>600383.SH</stp>
        <stp>26</stp>
        <tr r="E11" s="4"/>
        <tr r="E11" s="4"/>
      </tp>
      <tp>
        <v>-2.93</v>
        <stp/>
        <stp>600383.SH</stp>
        <stp>27</stp>
        <tr r="E11" s="4"/>
      </tp>
      <tp>
        <v>1038468876</v>
        <stp/>
        <stp>000002.SZ</stp>
        <stp>29</stp>
        <tr r="E8" s="4"/>
      </tp>
      <tp>
        <v>-3.49</v>
        <stp/>
        <stp>000002.SZ</stp>
        <stp>27</stp>
        <tr r="E8" s="4"/>
      </tp>
      <tp>
        <v>-0.39</v>
        <stp/>
        <stp>000002.SZ</stp>
        <stp>26</stp>
        <tr r="E8" s="4"/>
        <tr r="E8" s="4"/>
      </tp>
      <tp>
        <v>-0.35000000000000003</v>
        <stp/>
        <stp>001979.SZ</stp>
        <stp>26</stp>
        <tr r="E12" s="4"/>
        <tr r="E12" s="4"/>
      </tp>
      <tp>
        <v>-3.51</v>
        <stp/>
        <stp>001979.SZ</stp>
        <stp>27</stp>
        <tr r="E12" s="4"/>
      </tp>
      <tp>
        <v>539811799</v>
        <stp/>
        <stp>001979.SZ</stp>
        <stp>29</stp>
        <tr r="E12" s="4"/>
      </tp>
      <tp>
        <v>746107599</v>
        <stp/>
        <stp>600048.SH</stp>
        <stp>29</stp>
        <tr r="E9" s="4"/>
      </tp>
      <tp>
        <v>-3.0100000000000002</v>
        <stp/>
        <stp>600048.SH</stp>
        <stp>27</stp>
        <tr r="E9" s="4"/>
      </tp>
      <tp>
        <v>-0.3</v>
        <stp/>
        <stp>600048.SH</stp>
        <stp>26</stp>
        <tr r="E9" s="4"/>
        <tr r="E9" s="4"/>
      </tp>
      <tp>
        <v>10.790000000000001</v>
        <stp/>
        <stp>000002.SZ</stp>
        <stp>5</stp>
        <tr r="E8" s="4"/>
      </tp>
      <tp>
        <v>10.78</v>
        <stp/>
        <stp>000002.SZ</stp>
        <stp>4</stp>
        <tr r="E8" s="4"/>
      </tp>
      <tp>
        <v>11.16</v>
        <stp/>
        <stp>000002.SZ</stp>
        <stp>3</stp>
        <tr r="E8" s="4"/>
      </tp>
      <tp>
        <v>11.18</v>
        <stp/>
        <stp>000002.SZ</stp>
        <stp>1</stp>
        <tr r="E8" s="4"/>
      </tp>
      <tp>
        <v>9.6</v>
        <stp/>
        <stp>001979.SZ</stp>
        <stp>4</stp>
        <tr r="E12" s="4"/>
      </tp>
      <tp>
        <v>9.620000000000001</v>
        <stp/>
        <stp>001979.SZ</stp>
        <stp>5</stp>
        <tr r="E12" s="4"/>
      </tp>
      <tp>
        <v>9.9600000000000009</v>
        <stp/>
        <stp>001979.SZ</stp>
        <stp>3</stp>
        <tr r="E12" s="4"/>
      </tp>
      <tp>
        <v>9.9700000000000006</v>
        <stp/>
        <stp>001979.SZ</stp>
        <stp>1</stp>
        <tr r="E12" s="4"/>
      </tp>
      <tp>
        <v>4.97</v>
        <stp/>
        <stp>600383.SH</stp>
        <stp>5</stp>
        <tr r="E11" s="4"/>
      </tp>
      <tp>
        <v>4.97</v>
        <stp/>
        <stp>600383.SH</stp>
        <stp>4</stp>
        <tr r="E11" s="4"/>
      </tp>
      <tp>
        <v>5.1000000000000005</v>
        <stp/>
        <stp>600383.SH</stp>
        <stp>3</stp>
        <tr r="E11" s="4"/>
      </tp>
      <tp>
        <v>5.12</v>
        <stp/>
        <stp>600383.SH</stp>
        <stp>1</stp>
        <tr r="E11" s="4"/>
      </tp>
      <tp>
        <v>21.740000000000002</v>
        <stp/>
        <stp>600895.SH</stp>
        <stp>5</stp>
        <tr r="E10" s="4"/>
      </tp>
      <tp>
        <v>21.68</v>
        <stp/>
        <stp>600895.SH</stp>
        <stp>4</stp>
        <tr r="E10" s="4"/>
      </tp>
      <tp>
        <v>22.98</v>
        <stp/>
        <stp>600895.SH</stp>
        <stp>3</stp>
        <tr r="E10" s="4"/>
      </tp>
      <tp>
        <v>22.98</v>
        <stp/>
        <stp>600895.SH</stp>
        <stp>1</stp>
        <tr r="E10" s="4"/>
      </tp>
      <tp>
        <v>9.66</v>
        <stp/>
        <stp>600048.SH</stp>
        <stp>5</stp>
        <tr r="E9" s="4"/>
      </tp>
      <tp>
        <v>9.64</v>
        <stp/>
        <stp>600048.SH</stp>
        <stp>4</stp>
        <tr r="E9" s="4"/>
      </tp>
      <tp>
        <v>9.9700000000000006</v>
        <stp/>
        <stp>600048.SH</stp>
        <stp>3</stp>
        <tr r="E9" s="4"/>
      </tp>
      <tp>
        <v>9.9600000000000009</v>
        <stp/>
        <stp>600048.SH</stp>
        <stp>1</stp>
        <tr r="E9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Wind代码1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242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  <c:pt idx="150">
                  <c:v>2023/4/21</c:v>
                </c:pt>
                <c:pt idx="151">
                  <c:v>2023/4/20</c:v>
                </c:pt>
                <c:pt idx="152">
                  <c:v>2023/4/19</c:v>
                </c:pt>
                <c:pt idx="153">
                  <c:v>2023/4/18</c:v>
                </c:pt>
                <c:pt idx="154">
                  <c:v>2023/4/17</c:v>
                </c:pt>
                <c:pt idx="155">
                  <c:v>2023/4/14</c:v>
                </c:pt>
                <c:pt idx="156">
                  <c:v>2023/4/13</c:v>
                </c:pt>
                <c:pt idx="157">
                  <c:v>2023/4/12</c:v>
                </c:pt>
                <c:pt idx="158">
                  <c:v>2023/4/11</c:v>
                </c:pt>
                <c:pt idx="159">
                  <c:v>2023/4/10</c:v>
                </c:pt>
                <c:pt idx="160">
                  <c:v>2023/4/7</c:v>
                </c:pt>
                <c:pt idx="161">
                  <c:v>2023/4/6</c:v>
                </c:pt>
                <c:pt idx="162">
                  <c:v>2023/4/4</c:v>
                </c:pt>
                <c:pt idx="163">
                  <c:v>2023/4/3</c:v>
                </c:pt>
                <c:pt idx="164">
                  <c:v>2023/3/31</c:v>
                </c:pt>
                <c:pt idx="165">
                  <c:v>2023/3/30</c:v>
                </c:pt>
                <c:pt idx="166">
                  <c:v>2023/3/29</c:v>
                </c:pt>
                <c:pt idx="167">
                  <c:v>2023/3/28</c:v>
                </c:pt>
                <c:pt idx="168">
                  <c:v>2023/3/27</c:v>
                </c:pt>
                <c:pt idx="169">
                  <c:v>2023/3/24</c:v>
                </c:pt>
                <c:pt idx="170">
                  <c:v>2023/3/23</c:v>
                </c:pt>
                <c:pt idx="171">
                  <c:v>2023/3/22</c:v>
                </c:pt>
                <c:pt idx="172">
                  <c:v>2023/3/21</c:v>
                </c:pt>
                <c:pt idx="173">
                  <c:v>2023/3/20</c:v>
                </c:pt>
                <c:pt idx="174">
                  <c:v>2023/3/17</c:v>
                </c:pt>
                <c:pt idx="175">
                  <c:v>2023/3/16</c:v>
                </c:pt>
                <c:pt idx="176">
                  <c:v>2023/3/15</c:v>
                </c:pt>
                <c:pt idx="177">
                  <c:v>2023/3/14</c:v>
                </c:pt>
                <c:pt idx="178">
                  <c:v>2023/3/13</c:v>
                </c:pt>
                <c:pt idx="179">
                  <c:v>2023/3/10</c:v>
                </c:pt>
                <c:pt idx="180">
                  <c:v>2023/3/9</c:v>
                </c:pt>
                <c:pt idx="181">
                  <c:v>2023/3/8</c:v>
                </c:pt>
                <c:pt idx="182">
                  <c:v>2023/3/7</c:v>
                </c:pt>
                <c:pt idx="183">
                  <c:v>2023/3/6</c:v>
                </c:pt>
                <c:pt idx="184">
                  <c:v>2023/3/3</c:v>
                </c:pt>
                <c:pt idx="185">
                  <c:v>2023/3/2</c:v>
                </c:pt>
                <c:pt idx="186">
                  <c:v>2023/3/1</c:v>
                </c:pt>
                <c:pt idx="187">
                  <c:v>2023/2/28</c:v>
                </c:pt>
                <c:pt idx="188">
                  <c:v>2023/2/27</c:v>
                </c:pt>
                <c:pt idx="189">
                  <c:v>2023/2/24</c:v>
                </c:pt>
                <c:pt idx="190">
                  <c:v>2023/2/23</c:v>
                </c:pt>
                <c:pt idx="191">
                  <c:v>2023/2/22</c:v>
                </c:pt>
                <c:pt idx="192">
                  <c:v>2023/2/21</c:v>
                </c:pt>
                <c:pt idx="193">
                  <c:v>2023/2/20</c:v>
                </c:pt>
                <c:pt idx="194">
                  <c:v>2023/2/17</c:v>
                </c:pt>
                <c:pt idx="195">
                  <c:v>2023/2/16</c:v>
                </c:pt>
                <c:pt idx="196">
                  <c:v>2023/2/15</c:v>
                </c:pt>
                <c:pt idx="197">
                  <c:v>2023/2/14</c:v>
                </c:pt>
                <c:pt idx="198">
                  <c:v>2023/2/13</c:v>
                </c:pt>
                <c:pt idx="199">
                  <c:v>2023/2/10</c:v>
                </c:pt>
                <c:pt idx="200">
                  <c:v>2023/2/9</c:v>
                </c:pt>
                <c:pt idx="201">
                  <c:v>2023/2/8</c:v>
                </c:pt>
                <c:pt idx="202">
                  <c:v>2023/2/7</c:v>
                </c:pt>
                <c:pt idx="203">
                  <c:v>2023/2/6</c:v>
                </c:pt>
                <c:pt idx="204">
                  <c:v>2023/2/3</c:v>
                </c:pt>
                <c:pt idx="205">
                  <c:v>2023/2/2</c:v>
                </c:pt>
                <c:pt idx="206">
                  <c:v>2023/2/1</c:v>
                </c:pt>
                <c:pt idx="207">
                  <c:v>2023/1/31</c:v>
                </c:pt>
                <c:pt idx="208">
                  <c:v>2023/1/30</c:v>
                </c:pt>
                <c:pt idx="209">
                  <c:v>2023/1/20</c:v>
                </c:pt>
                <c:pt idx="210">
                  <c:v>2023/1/19</c:v>
                </c:pt>
                <c:pt idx="211">
                  <c:v>2023/1/18</c:v>
                </c:pt>
                <c:pt idx="212">
                  <c:v>2023/1/17</c:v>
                </c:pt>
                <c:pt idx="213">
                  <c:v>2023/1/16</c:v>
                </c:pt>
                <c:pt idx="214">
                  <c:v>2023/1/13</c:v>
                </c:pt>
                <c:pt idx="215">
                  <c:v>2023/1/12</c:v>
                </c:pt>
                <c:pt idx="216">
                  <c:v>2023/1/11</c:v>
                </c:pt>
                <c:pt idx="217">
                  <c:v>2023/1/10</c:v>
                </c:pt>
                <c:pt idx="218">
                  <c:v>2023/1/9</c:v>
                </c:pt>
                <c:pt idx="219">
                  <c:v>2023/1/6</c:v>
                </c:pt>
                <c:pt idx="220">
                  <c:v>2023/1/5</c:v>
                </c:pt>
                <c:pt idx="221">
                  <c:v>2023/1/4</c:v>
                </c:pt>
                <c:pt idx="222">
                  <c:v>2023/1/3</c:v>
                </c:pt>
                <c:pt idx="223">
                  <c:v>2022/12/30</c:v>
                </c:pt>
                <c:pt idx="224">
                  <c:v>2022/12/29</c:v>
                </c:pt>
                <c:pt idx="225">
                  <c:v>2022/12/28</c:v>
                </c:pt>
                <c:pt idx="226">
                  <c:v>2022/12/27</c:v>
                </c:pt>
                <c:pt idx="227">
                  <c:v>2022/12/26</c:v>
                </c:pt>
                <c:pt idx="228">
                  <c:v>2022/12/23</c:v>
                </c:pt>
                <c:pt idx="229">
                  <c:v>2022/12/22</c:v>
                </c:pt>
                <c:pt idx="230">
                  <c:v>2022/12/21</c:v>
                </c:pt>
                <c:pt idx="231">
                  <c:v>2022/12/20</c:v>
                </c:pt>
                <c:pt idx="232">
                  <c:v>2022/12/19</c:v>
                </c:pt>
                <c:pt idx="233">
                  <c:v>2022/12/16</c:v>
                </c:pt>
                <c:pt idx="234">
                  <c:v>2022/12/15</c:v>
                </c:pt>
                <c:pt idx="235">
                  <c:v>2022/12/14</c:v>
                </c:pt>
                <c:pt idx="236">
                  <c:v>2022/12/13</c:v>
                </c:pt>
                <c:pt idx="237">
                  <c:v>2022/12/12</c:v>
                </c:pt>
                <c:pt idx="238">
                  <c:v>2022/12/9</c:v>
                </c:pt>
                <c:pt idx="239">
                  <c:v>2022/12/8</c:v>
                </c:pt>
                <c:pt idx="240">
                  <c:v>2022/12/7</c:v>
                </c:pt>
                <c:pt idx="241">
                  <c:v>2022/12/6</c:v>
                </c:pt>
              </c:strCache>
            </c:strRef>
          </c:cat>
          <c:val>
            <c:numRef>
              <c:f>data!$B$4:$B$1001</c:f>
              <c:numCache>
                <c:formatCode>_(* #,##0.00_);_(* \(#,##0.00\);_(* "-"??_);_(@_)</c:formatCode>
                <c:ptCount val="998"/>
                <c:pt idx="0">
                  <c:v>11.18</c:v>
                </c:pt>
                <c:pt idx="1">
                  <c:v>11.4</c:v>
                </c:pt>
                <c:pt idx="2">
                  <c:v>11.44</c:v>
                </c:pt>
                <c:pt idx="3">
                  <c:v>11.46</c:v>
                </c:pt>
                <c:pt idx="4">
                  <c:v>11.75</c:v>
                </c:pt>
                <c:pt idx="5">
                  <c:v>11.8</c:v>
                </c:pt>
                <c:pt idx="6">
                  <c:v>12.12</c:v>
                </c:pt>
                <c:pt idx="7">
                  <c:v>12.17</c:v>
                </c:pt>
                <c:pt idx="8">
                  <c:v>11.84</c:v>
                </c:pt>
                <c:pt idx="9">
                  <c:v>11.92</c:v>
                </c:pt>
                <c:pt idx="10">
                  <c:v>11.57</c:v>
                </c:pt>
                <c:pt idx="11">
                  <c:v>11.62</c:v>
                </c:pt>
                <c:pt idx="12">
                  <c:v>11.8</c:v>
                </c:pt>
                <c:pt idx="13">
                  <c:v>11.89</c:v>
                </c:pt>
                <c:pt idx="14">
                  <c:v>11.78</c:v>
                </c:pt>
                <c:pt idx="15">
                  <c:v>11.72</c:v>
                </c:pt>
                <c:pt idx="16">
                  <c:v>11.89</c:v>
                </c:pt>
                <c:pt idx="17">
                  <c:v>11.96</c:v>
                </c:pt>
                <c:pt idx="18">
                  <c:v>12.13</c:v>
                </c:pt>
                <c:pt idx="19">
                  <c:v>11.93</c:v>
                </c:pt>
                <c:pt idx="20">
                  <c:v>11.97</c:v>
                </c:pt>
                <c:pt idx="21">
                  <c:v>11.27</c:v>
                </c:pt>
                <c:pt idx="22">
                  <c:v>11.22</c:v>
                </c:pt>
                <c:pt idx="23">
                  <c:v>11.34</c:v>
                </c:pt>
                <c:pt idx="24">
                  <c:v>11.33</c:v>
                </c:pt>
                <c:pt idx="25">
                  <c:v>11.6</c:v>
                </c:pt>
                <c:pt idx="26">
                  <c:v>11.63</c:v>
                </c:pt>
                <c:pt idx="27">
                  <c:v>11.57</c:v>
                </c:pt>
                <c:pt idx="28">
                  <c:v>11.7</c:v>
                </c:pt>
                <c:pt idx="29">
                  <c:v>11.66</c:v>
                </c:pt>
                <c:pt idx="30">
                  <c:v>11.62</c:v>
                </c:pt>
                <c:pt idx="31">
                  <c:v>11.66</c:v>
                </c:pt>
                <c:pt idx="32">
                  <c:v>11.46</c:v>
                </c:pt>
                <c:pt idx="33">
                  <c:v>11.71</c:v>
                </c:pt>
                <c:pt idx="34">
                  <c:v>11.98</c:v>
                </c:pt>
                <c:pt idx="35">
                  <c:v>12.21</c:v>
                </c:pt>
                <c:pt idx="36">
                  <c:v>12.59</c:v>
                </c:pt>
                <c:pt idx="37">
                  <c:v>12.84</c:v>
                </c:pt>
                <c:pt idx="38">
                  <c:v>12.77</c:v>
                </c:pt>
                <c:pt idx="39">
                  <c:v>12.82</c:v>
                </c:pt>
                <c:pt idx="40">
                  <c:v>12.89</c:v>
                </c:pt>
                <c:pt idx="41">
                  <c:v>13.08</c:v>
                </c:pt>
                <c:pt idx="42">
                  <c:v>13.05</c:v>
                </c:pt>
                <c:pt idx="43">
                  <c:v>13.07</c:v>
                </c:pt>
                <c:pt idx="44">
                  <c:v>13.14</c:v>
                </c:pt>
                <c:pt idx="45">
                  <c:v>13.39</c:v>
                </c:pt>
                <c:pt idx="46">
                  <c:v>13.26</c:v>
                </c:pt>
                <c:pt idx="47">
                  <c:v>13.29</c:v>
                </c:pt>
                <c:pt idx="48">
                  <c:v>13.3</c:v>
                </c:pt>
                <c:pt idx="49">
                  <c:v>13.31</c:v>
                </c:pt>
                <c:pt idx="50">
                  <c:v>13.42</c:v>
                </c:pt>
                <c:pt idx="51">
                  <c:v>13.51</c:v>
                </c:pt>
                <c:pt idx="52">
                  <c:v>13.62</c:v>
                </c:pt>
                <c:pt idx="53">
                  <c:v>13.65</c:v>
                </c:pt>
                <c:pt idx="54">
                  <c:v>13.7</c:v>
                </c:pt>
                <c:pt idx="55">
                  <c:v>13.91</c:v>
                </c:pt>
                <c:pt idx="56">
                  <c:v>14</c:v>
                </c:pt>
                <c:pt idx="57">
                  <c:v>14.17</c:v>
                </c:pt>
                <c:pt idx="58">
                  <c:v>13.88</c:v>
                </c:pt>
                <c:pt idx="59">
                  <c:v>14.04</c:v>
                </c:pt>
                <c:pt idx="60">
                  <c:v>14.05</c:v>
                </c:pt>
                <c:pt idx="61">
                  <c:v>13.64</c:v>
                </c:pt>
                <c:pt idx="62">
                  <c:v>14.2</c:v>
                </c:pt>
                <c:pt idx="63">
                  <c:v>14.2</c:v>
                </c:pt>
                <c:pt idx="64">
                  <c:v>14.05</c:v>
                </c:pt>
                <c:pt idx="65">
                  <c:v>13.44</c:v>
                </c:pt>
                <c:pt idx="66">
                  <c:v>13.71</c:v>
                </c:pt>
                <c:pt idx="67">
                  <c:v>13.82</c:v>
                </c:pt>
                <c:pt idx="68">
                  <c:v>14.02</c:v>
                </c:pt>
                <c:pt idx="69">
                  <c:v>13.98</c:v>
                </c:pt>
                <c:pt idx="70">
                  <c:v>14.31</c:v>
                </c:pt>
                <c:pt idx="71">
                  <c:v>14.53</c:v>
                </c:pt>
                <c:pt idx="72">
                  <c:v>14.54</c:v>
                </c:pt>
                <c:pt idx="73">
                  <c:v>14.29</c:v>
                </c:pt>
                <c:pt idx="74">
                  <c:v>14.4</c:v>
                </c:pt>
                <c:pt idx="75">
                  <c:v>14.6</c:v>
                </c:pt>
                <c:pt idx="76">
                  <c:v>14.75</c:v>
                </c:pt>
                <c:pt idx="77">
                  <c:v>14.7</c:v>
                </c:pt>
                <c:pt idx="78">
                  <c:v>14.58</c:v>
                </c:pt>
                <c:pt idx="79">
                  <c:v>14.73</c:v>
                </c:pt>
                <c:pt idx="80">
                  <c:v>15.24</c:v>
                </c:pt>
                <c:pt idx="81">
                  <c:v>15.35</c:v>
                </c:pt>
                <c:pt idx="82">
                  <c:v>15.06</c:v>
                </c:pt>
                <c:pt idx="83">
                  <c:v>15.09</c:v>
                </c:pt>
                <c:pt idx="84">
                  <c:v>15.25</c:v>
                </c:pt>
                <c:pt idx="85">
                  <c:v>15.23</c:v>
                </c:pt>
                <c:pt idx="86">
                  <c:v>14.73</c:v>
                </c:pt>
                <c:pt idx="87">
                  <c:v>14.87</c:v>
                </c:pt>
                <c:pt idx="88">
                  <c:v>14.92</c:v>
                </c:pt>
                <c:pt idx="89">
                  <c:v>13.8</c:v>
                </c:pt>
                <c:pt idx="90">
                  <c:v>13.98</c:v>
                </c:pt>
                <c:pt idx="91">
                  <c:v>13.88</c:v>
                </c:pt>
                <c:pt idx="92">
                  <c:v>13.9</c:v>
                </c:pt>
                <c:pt idx="93">
                  <c:v>13.7</c:v>
                </c:pt>
                <c:pt idx="94">
                  <c:v>13.71</c:v>
                </c:pt>
                <c:pt idx="95">
                  <c:v>13.78</c:v>
                </c:pt>
                <c:pt idx="96">
                  <c:v>13.8</c:v>
                </c:pt>
                <c:pt idx="97">
                  <c:v>13.68</c:v>
                </c:pt>
                <c:pt idx="98">
                  <c:v>13.86</c:v>
                </c:pt>
                <c:pt idx="99">
                  <c:v>13.91</c:v>
                </c:pt>
                <c:pt idx="100">
                  <c:v>13.87</c:v>
                </c:pt>
                <c:pt idx="101">
                  <c:v>13.97</c:v>
                </c:pt>
                <c:pt idx="102">
                  <c:v>13.97</c:v>
                </c:pt>
                <c:pt idx="103">
                  <c:v>14.02</c:v>
                </c:pt>
                <c:pt idx="104">
                  <c:v>14.15</c:v>
                </c:pt>
                <c:pt idx="105">
                  <c:v>14.02</c:v>
                </c:pt>
                <c:pt idx="106">
                  <c:v>14.01</c:v>
                </c:pt>
                <c:pt idx="107">
                  <c:v>14.22</c:v>
                </c:pt>
                <c:pt idx="108">
                  <c:v>14.33</c:v>
                </c:pt>
                <c:pt idx="109">
                  <c:v>13.75</c:v>
                </c:pt>
                <c:pt idx="110">
                  <c:v>13.94</c:v>
                </c:pt>
                <c:pt idx="111">
                  <c:v>14.01</c:v>
                </c:pt>
                <c:pt idx="112">
                  <c:v>14.19</c:v>
                </c:pt>
                <c:pt idx="113">
                  <c:v>14.54</c:v>
                </c:pt>
                <c:pt idx="114">
                  <c:v>14.72</c:v>
                </c:pt>
                <c:pt idx="115">
                  <c:v>14.4</c:v>
                </c:pt>
                <c:pt idx="116">
                  <c:v>14.62</c:v>
                </c:pt>
                <c:pt idx="117">
                  <c:v>14.57</c:v>
                </c:pt>
                <c:pt idx="118">
                  <c:v>14.67</c:v>
                </c:pt>
                <c:pt idx="119">
                  <c:v>14.89</c:v>
                </c:pt>
                <c:pt idx="120">
                  <c:v>14.62</c:v>
                </c:pt>
                <c:pt idx="121">
                  <c:v>14.46</c:v>
                </c:pt>
                <c:pt idx="122">
                  <c:v>14.36</c:v>
                </c:pt>
                <c:pt idx="123">
                  <c:v>14.52</c:v>
                </c:pt>
                <c:pt idx="124">
                  <c:v>14</c:v>
                </c:pt>
                <c:pt idx="125">
                  <c:v>14.24</c:v>
                </c:pt>
                <c:pt idx="126">
                  <c:v>14.36</c:v>
                </c:pt>
                <c:pt idx="127">
                  <c:v>14.03</c:v>
                </c:pt>
                <c:pt idx="128">
                  <c:v>14.21</c:v>
                </c:pt>
                <c:pt idx="129">
                  <c:v>14.19</c:v>
                </c:pt>
                <c:pt idx="130">
                  <c:v>14.11</c:v>
                </c:pt>
                <c:pt idx="131">
                  <c:v>14.52</c:v>
                </c:pt>
                <c:pt idx="132">
                  <c:v>14.67</c:v>
                </c:pt>
                <c:pt idx="133">
                  <c:v>14.54</c:v>
                </c:pt>
                <c:pt idx="134">
                  <c:v>14.62</c:v>
                </c:pt>
                <c:pt idx="135">
                  <c:v>14.78</c:v>
                </c:pt>
                <c:pt idx="136">
                  <c:v>14.91</c:v>
                </c:pt>
                <c:pt idx="137">
                  <c:v>15.06</c:v>
                </c:pt>
                <c:pt idx="138">
                  <c:v>15.06</c:v>
                </c:pt>
                <c:pt idx="139">
                  <c:v>15.3</c:v>
                </c:pt>
                <c:pt idx="140">
                  <c:v>15.3</c:v>
                </c:pt>
                <c:pt idx="141">
                  <c:v>15.47</c:v>
                </c:pt>
                <c:pt idx="142">
                  <c:v>15.58</c:v>
                </c:pt>
                <c:pt idx="143">
                  <c:v>15.54</c:v>
                </c:pt>
                <c:pt idx="144">
                  <c:v>14.95</c:v>
                </c:pt>
                <c:pt idx="145">
                  <c:v>15.14</c:v>
                </c:pt>
                <c:pt idx="146">
                  <c:v>14.92</c:v>
                </c:pt>
                <c:pt idx="147">
                  <c:v>14.8</c:v>
                </c:pt>
                <c:pt idx="148">
                  <c:v>14.88</c:v>
                </c:pt>
                <c:pt idx="149">
                  <c:v>14.9</c:v>
                </c:pt>
                <c:pt idx="150">
                  <c:v>15.3</c:v>
                </c:pt>
                <c:pt idx="151">
                  <c:v>15.43</c:v>
                </c:pt>
                <c:pt idx="152">
                  <c:v>15.48</c:v>
                </c:pt>
                <c:pt idx="153">
                  <c:v>15.9</c:v>
                </c:pt>
                <c:pt idx="154">
                  <c:v>15.93</c:v>
                </c:pt>
                <c:pt idx="155">
                  <c:v>15.81</c:v>
                </c:pt>
                <c:pt idx="156">
                  <c:v>15.85</c:v>
                </c:pt>
                <c:pt idx="157">
                  <c:v>16.05</c:v>
                </c:pt>
                <c:pt idx="158">
                  <c:v>16.04</c:v>
                </c:pt>
                <c:pt idx="159">
                  <c:v>15.7</c:v>
                </c:pt>
                <c:pt idx="160">
                  <c:v>15.82</c:v>
                </c:pt>
                <c:pt idx="161">
                  <c:v>15.04</c:v>
                </c:pt>
                <c:pt idx="162">
                  <c:v>15.15</c:v>
                </c:pt>
                <c:pt idx="163">
                  <c:v>15.41</c:v>
                </c:pt>
                <c:pt idx="164">
                  <c:v>15.24</c:v>
                </c:pt>
                <c:pt idx="165">
                  <c:v>15.6</c:v>
                </c:pt>
                <c:pt idx="166">
                  <c:v>15.39</c:v>
                </c:pt>
                <c:pt idx="167">
                  <c:v>15.35</c:v>
                </c:pt>
                <c:pt idx="168">
                  <c:v>15.47</c:v>
                </c:pt>
                <c:pt idx="169">
                  <c:v>15.81</c:v>
                </c:pt>
                <c:pt idx="170">
                  <c:v>15.86</c:v>
                </c:pt>
                <c:pt idx="171">
                  <c:v>15.9</c:v>
                </c:pt>
                <c:pt idx="172">
                  <c:v>15.74</c:v>
                </c:pt>
                <c:pt idx="173">
                  <c:v>15.72</c:v>
                </c:pt>
                <c:pt idx="174">
                  <c:v>15.9</c:v>
                </c:pt>
                <c:pt idx="175">
                  <c:v>15.75</c:v>
                </c:pt>
                <c:pt idx="176">
                  <c:v>15.86</c:v>
                </c:pt>
                <c:pt idx="177">
                  <c:v>15.75</c:v>
                </c:pt>
                <c:pt idx="178">
                  <c:v>15.84</c:v>
                </c:pt>
                <c:pt idx="179">
                  <c:v>15.83</c:v>
                </c:pt>
                <c:pt idx="180">
                  <c:v>16.12</c:v>
                </c:pt>
                <c:pt idx="181">
                  <c:v>16.09</c:v>
                </c:pt>
                <c:pt idx="182">
                  <c:v>16.13</c:v>
                </c:pt>
                <c:pt idx="183">
                  <c:v>16.45</c:v>
                </c:pt>
                <c:pt idx="184">
                  <c:v>16.809999999999999</c:v>
                </c:pt>
                <c:pt idx="185">
                  <c:v>16.73</c:v>
                </c:pt>
                <c:pt idx="186">
                  <c:v>17.22</c:v>
                </c:pt>
                <c:pt idx="187">
                  <c:v>17.14</c:v>
                </c:pt>
                <c:pt idx="188">
                  <c:v>17.18</c:v>
                </c:pt>
                <c:pt idx="189">
                  <c:v>17.22</c:v>
                </c:pt>
                <c:pt idx="190">
                  <c:v>17.47</c:v>
                </c:pt>
                <c:pt idx="191">
                  <c:v>17.43</c:v>
                </c:pt>
                <c:pt idx="192">
                  <c:v>17.63</c:v>
                </c:pt>
                <c:pt idx="193">
                  <c:v>17.559999999999999</c:v>
                </c:pt>
                <c:pt idx="194">
                  <c:v>17.09</c:v>
                </c:pt>
                <c:pt idx="195">
                  <c:v>17.329999999999998</c:v>
                </c:pt>
                <c:pt idx="196">
                  <c:v>17.34</c:v>
                </c:pt>
                <c:pt idx="197">
                  <c:v>17.71</c:v>
                </c:pt>
                <c:pt idx="198">
                  <c:v>17.66</c:v>
                </c:pt>
                <c:pt idx="199">
                  <c:v>17.670000000000002</c:v>
                </c:pt>
                <c:pt idx="200">
                  <c:v>17.670000000000002</c:v>
                </c:pt>
                <c:pt idx="201">
                  <c:v>17.5</c:v>
                </c:pt>
                <c:pt idx="202">
                  <c:v>17.559999999999999</c:v>
                </c:pt>
                <c:pt idx="203">
                  <c:v>17.28</c:v>
                </c:pt>
                <c:pt idx="204">
                  <c:v>17.97</c:v>
                </c:pt>
                <c:pt idx="205">
                  <c:v>18.18</c:v>
                </c:pt>
                <c:pt idx="206">
                  <c:v>18.190000000000001</c:v>
                </c:pt>
                <c:pt idx="207">
                  <c:v>18.29</c:v>
                </c:pt>
                <c:pt idx="208">
                  <c:v>18.09</c:v>
                </c:pt>
                <c:pt idx="209">
                  <c:v>18.579999999999998</c:v>
                </c:pt>
                <c:pt idx="210">
                  <c:v>18.55</c:v>
                </c:pt>
                <c:pt idx="211">
                  <c:v>18.48</c:v>
                </c:pt>
                <c:pt idx="212">
                  <c:v>18.739999999999998</c:v>
                </c:pt>
                <c:pt idx="213">
                  <c:v>18.7</c:v>
                </c:pt>
                <c:pt idx="214">
                  <c:v>18.78</c:v>
                </c:pt>
                <c:pt idx="215">
                  <c:v>18.600000000000001</c:v>
                </c:pt>
                <c:pt idx="216">
                  <c:v>18.989999999999998</c:v>
                </c:pt>
                <c:pt idx="217">
                  <c:v>18.8</c:v>
                </c:pt>
                <c:pt idx="218">
                  <c:v>18.78</c:v>
                </c:pt>
                <c:pt idx="219">
                  <c:v>19.22</c:v>
                </c:pt>
                <c:pt idx="220">
                  <c:v>19.329999999999998</c:v>
                </c:pt>
                <c:pt idx="221">
                  <c:v>19.07</c:v>
                </c:pt>
                <c:pt idx="222">
                  <c:v>18.23</c:v>
                </c:pt>
                <c:pt idx="223">
                  <c:v>18.2</c:v>
                </c:pt>
                <c:pt idx="224">
                  <c:v>18.16</c:v>
                </c:pt>
                <c:pt idx="225">
                  <c:v>18.579999999999998</c:v>
                </c:pt>
                <c:pt idx="226">
                  <c:v>18.510000000000002</c:v>
                </c:pt>
                <c:pt idx="227">
                  <c:v>18.37</c:v>
                </c:pt>
                <c:pt idx="228">
                  <c:v>18.78</c:v>
                </c:pt>
                <c:pt idx="229">
                  <c:v>18.73</c:v>
                </c:pt>
                <c:pt idx="230">
                  <c:v>18.7</c:v>
                </c:pt>
                <c:pt idx="231">
                  <c:v>18.71</c:v>
                </c:pt>
                <c:pt idx="232">
                  <c:v>19.350000000000001</c:v>
                </c:pt>
                <c:pt idx="233">
                  <c:v>19.38</c:v>
                </c:pt>
                <c:pt idx="234">
                  <c:v>19.12</c:v>
                </c:pt>
                <c:pt idx="235">
                  <c:v>19.25</c:v>
                </c:pt>
                <c:pt idx="236">
                  <c:v>19.48</c:v>
                </c:pt>
                <c:pt idx="237">
                  <c:v>19.45</c:v>
                </c:pt>
                <c:pt idx="238">
                  <c:v>20.46</c:v>
                </c:pt>
                <c:pt idx="239">
                  <c:v>19.38</c:v>
                </c:pt>
                <c:pt idx="240">
                  <c:v>18.5</c:v>
                </c:pt>
                <c:pt idx="241">
                  <c:v>19.18</c:v>
                </c:pt>
                <c:pt idx="242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 formatCode="General">
                  <c:v>0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 formatCode="General">
                  <c:v>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 formatCode="General">
                  <c:v>0</c:v>
                </c:pt>
                <c:pt idx="583" formatCode="General">
                  <c:v>0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0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 formatCode="General">
                  <c:v>0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 formatCode="General">
                  <c:v>0</c:v>
                </c:pt>
                <c:pt idx="617" formatCode="General">
                  <c:v>0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 formatCode="General">
                  <c:v>0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 formatCode="General">
                  <c:v>0</c:v>
                </c:pt>
                <c:pt idx="626" formatCode="General">
                  <c:v>0</c:v>
                </c:pt>
                <c:pt idx="627" formatCode="General">
                  <c:v>0</c:v>
                </c:pt>
                <c:pt idx="628" formatCode="General">
                  <c:v>0</c:v>
                </c:pt>
                <c:pt idx="629" formatCode="General">
                  <c:v>0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 formatCode="General">
                  <c:v>0</c:v>
                </c:pt>
                <c:pt idx="633" formatCode="General">
                  <c:v>0</c:v>
                </c:pt>
                <c:pt idx="634" formatCode="General">
                  <c:v>0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 formatCode="General">
                  <c:v>0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4" formatCode="General">
                  <c:v>0</c:v>
                </c:pt>
                <c:pt idx="655" formatCode="General">
                  <c:v>0</c:v>
                </c:pt>
                <c:pt idx="656" formatCode="General">
                  <c:v>0</c:v>
                </c:pt>
                <c:pt idx="657" formatCode="General">
                  <c:v>0</c:v>
                </c:pt>
                <c:pt idx="658" formatCode="General">
                  <c:v>0</c:v>
                </c:pt>
                <c:pt idx="659" formatCode="General">
                  <c:v>0</c:v>
                </c:pt>
                <c:pt idx="660" formatCode="General">
                  <c:v>0</c:v>
                </c:pt>
                <c:pt idx="661" formatCode="General">
                  <c:v>0</c:v>
                </c:pt>
                <c:pt idx="662" formatCode="General">
                  <c:v>0</c:v>
                </c:pt>
                <c:pt idx="663" formatCode="General">
                  <c:v>0</c:v>
                </c:pt>
                <c:pt idx="664" formatCode="General">
                  <c:v>0</c:v>
                </c:pt>
                <c:pt idx="665" formatCode="General">
                  <c:v>0</c:v>
                </c:pt>
                <c:pt idx="666" formatCode="General">
                  <c:v>0</c:v>
                </c:pt>
                <c:pt idx="667" formatCode="General">
                  <c:v>0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0</c:v>
                </c:pt>
                <c:pt idx="671" formatCode="General">
                  <c:v>0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0</c:v>
                </c:pt>
                <c:pt idx="677" formatCode="General">
                  <c:v>0</c:v>
                </c:pt>
                <c:pt idx="678" formatCode="General">
                  <c:v>0</c:v>
                </c:pt>
                <c:pt idx="679" formatCode="General">
                  <c:v>0</c:v>
                </c:pt>
                <c:pt idx="680" formatCode="General">
                  <c:v>0</c:v>
                </c:pt>
                <c:pt idx="681" formatCode="General">
                  <c:v>0</c:v>
                </c:pt>
                <c:pt idx="682" formatCode="General">
                  <c:v>0</c:v>
                </c:pt>
                <c:pt idx="683" formatCode="General">
                  <c:v>0</c:v>
                </c:pt>
                <c:pt idx="684" formatCode="General">
                  <c:v>0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 formatCode="General">
                  <c:v>0</c:v>
                </c:pt>
                <c:pt idx="689" formatCode="General">
                  <c:v>0</c:v>
                </c:pt>
                <c:pt idx="690" formatCode="General">
                  <c:v>0</c:v>
                </c:pt>
                <c:pt idx="691" formatCode="General">
                  <c:v>0</c:v>
                </c:pt>
                <c:pt idx="692" formatCode="General">
                  <c:v>0</c:v>
                </c:pt>
                <c:pt idx="693" formatCode="General">
                  <c:v>0</c:v>
                </c:pt>
                <c:pt idx="694" formatCode="General">
                  <c:v>0</c:v>
                </c:pt>
                <c:pt idx="695" formatCode="General">
                  <c:v>0</c:v>
                </c:pt>
                <c:pt idx="696" formatCode="General">
                  <c:v>0</c:v>
                </c:pt>
                <c:pt idx="697" formatCode="General">
                  <c:v>0</c:v>
                </c:pt>
                <c:pt idx="698" formatCode="General">
                  <c:v>0</c:v>
                </c:pt>
                <c:pt idx="699" formatCode="General">
                  <c:v>0</c:v>
                </c:pt>
                <c:pt idx="700" formatCode="General">
                  <c:v>0</c:v>
                </c:pt>
                <c:pt idx="701" formatCode="General">
                  <c:v>0</c:v>
                </c:pt>
                <c:pt idx="702" formatCode="General">
                  <c:v>0</c:v>
                </c:pt>
                <c:pt idx="703" formatCode="General">
                  <c:v>0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 formatCode="General">
                  <c:v>0</c:v>
                </c:pt>
                <c:pt idx="708" formatCode="General">
                  <c:v>0</c:v>
                </c:pt>
                <c:pt idx="709" formatCode="General">
                  <c:v>0</c:v>
                </c:pt>
                <c:pt idx="710" formatCode="General">
                  <c:v>0</c:v>
                </c:pt>
                <c:pt idx="711" formatCode="General">
                  <c:v>0</c:v>
                </c:pt>
                <c:pt idx="712" formatCode="General">
                  <c:v>0</c:v>
                </c:pt>
                <c:pt idx="713" formatCode="General">
                  <c:v>0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 formatCode="General">
                  <c:v>0</c:v>
                </c:pt>
                <c:pt idx="717" formatCode="General">
                  <c:v>0</c:v>
                </c:pt>
                <c:pt idx="718" formatCode="General">
                  <c:v>0</c:v>
                </c:pt>
                <c:pt idx="719" formatCode="General">
                  <c:v>0</c:v>
                </c:pt>
                <c:pt idx="720" formatCode="General">
                  <c:v>0</c:v>
                </c:pt>
                <c:pt idx="721" formatCode="General">
                  <c:v>0</c:v>
                </c:pt>
                <c:pt idx="722" formatCode="General">
                  <c:v>0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 formatCode="General">
                  <c:v>0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 formatCode="General">
                  <c:v>0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 formatCode="General">
                  <c:v>0</c:v>
                </c:pt>
                <c:pt idx="743" formatCode="General">
                  <c:v>0</c:v>
                </c:pt>
                <c:pt idx="744" formatCode="General">
                  <c:v>0</c:v>
                </c:pt>
                <c:pt idx="745" formatCode="General">
                  <c:v>0</c:v>
                </c:pt>
                <c:pt idx="746" formatCode="General">
                  <c:v>0</c:v>
                </c:pt>
                <c:pt idx="747" formatCode="General">
                  <c:v>0</c:v>
                </c:pt>
                <c:pt idx="748" formatCode="General">
                  <c:v>0</c:v>
                </c:pt>
                <c:pt idx="749" formatCode="General">
                  <c:v>0</c:v>
                </c:pt>
                <c:pt idx="750" formatCode="General">
                  <c:v>0</c:v>
                </c:pt>
                <c:pt idx="751" formatCode="General">
                  <c:v>0</c:v>
                </c:pt>
                <c:pt idx="752" formatCode="General">
                  <c:v>0</c:v>
                </c:pt>
                <c:pt idx="753" formatCode="General">
                  <c:v>0</c:v>
                </c:pt>
                <c:pt idx="754" formatCode="General">
                  <c:v>0</c:v>
                </c:pt>
                <c:pt idx="755" formatCode="General">
                  <c:v>0</c:v>
                </c:pt>
                <c:pt idx="756" formatCode="General">
                  <c:v>0</c:v>
                </c:pt>
                <c:pt idx="757" formatCode="General">
                  <c:v>0</c:v>
                </c:pt>
                <c:pt idx="758" formatCode="General">
                  <c:v>0</c:v>
                </c:pt>
                <c:pt idx="759" formatCode="General">
                  <c:v>0</c:v>
                </c:pt>
                <c:pt idx="760" formatCode="General">
                  <c:v>0</c:v>
                </c:pt>
                <c:pt idx="761" formatCode="General">
                  <c:v>0</c:v>
                </c:pt>
                <c:pt idx="762" formatCode="General">
                  <c:v>0</c:v>
                </c:pt>
                <c:pt idx="763" formatCode="General">
                  <c:v>0</c:v>
                </c:pt>
                <c:pt idx="764" formatCode="General">
                  <c:v>0</c:v>
                </c:pt>
                <c:pt idx="765" formatCode="General">
                  <c:v>0</c:v>
                </c:pt>
                <c:pt idx="766" formatCode="General">
                  <c:v>0</c:v>
                </c:pt>
                <c:pt idx="767" formatCode="General">
                  <c:v>0</c:v>
                </c:pt>
                <c:pt idx="768" formatCode="General">
                  <c:v>0</c:v>
                </c:pt>
                <c:pt idx="769" formatCode="General">
                  <c:v>0</c:v>
                </c:pt>
                <c:pt idx="770" formatCode="General">
                  <c:v>0</c:v>
                </c:pt>
                <c:pt idx="771" formatCode="General">
                  <c:v>0</c:v>
                </c:pt>
                <c:pt idx="772" formatCode="General">
                  <c:v>0</c:v>
                </c:pt>
                <c:pt idx="773" formatCode="General">
                  <c:v>0</c:v>
                </c:pt>
                <c:pt idx="774" formatCode="General">
                  <c:v>0</c:v>
                </c:pt>
                <c:pt idx="775" formatCode="General">
                  <c:v>0</c:v>
                </c:pt>
                <c:pt idx="776" formatCode="General">
                  <c:v>0</c:v>
                </c:pt>
                <c:pt idx="777" formatCode="General">
                  <c:v>0</c:v>
                </c:pt>
                <c:pt idx="778" formatCode="General">
                  <c:v>0</c:v>
                </c:pt>
                <c:pt idx="779" formatCode="General">
                  <c:v>0</c:v>
                </c:pt>
                <c:pt idx="780" formatCode="General">
                  <c:v>0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 formatCode="General">
                  <c:v>0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0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0</c:v>
                </c:pt>
                <c:pt idx="794" formatCode="General">
                  <c:v>0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 formatCode="General">
                  <c:v>0</c:v>
                </c:pt>
                <c:pt idx="799" formatCode="General">
                  <c:v>0</c:v>
                </c:pt>
                <c:pt idx="800" formatCode="General">
                  <c:v>0</c:v>
                </c:pt>
                <c:pt idx="801" formatCode="General">
                  <c:v>0</c:v>
                </c:pt>
                <c:pt idx="802" formatCode="General">
                  <c:v>0</c:v>
                </c:pt>
                <c:pt idx="803" formatCode="General">
                  <c:v>0</c:v>
                </c:pt>
                <c:pt idx="804" formatCode="General">
                  <c:v>0</c:v>
                </c:pt>
                <c:pt idx="805" formatCode="General">
                  <c:v>0</c:v>
                </c:pt>
                <c:pt idx="806" formatCode="General">
                  <c:v>0</c:v>
                </c:pt>
                <c:pt idx="807" formatCode="General">
                  <c:v>0</c:v>
                </c:pt>
                <c:pt idx="808" formatCode="General">
                  <c:v>0</c:v>
                </c:pt>
                <c:pt idx="809" formatCode="General">
                  <c:v>0</c:v>
                </c:pt>
                <c:pt idx="810" formatCode="General">
                  <c:v>0</c:v>
                </c:pt>
                <c:pt idx="811" formatCode="General">
                  <c:v>0</c:v>
                </c:pt>
                <c:pt idx="812" formatCode="General">
                  <c:v>0</c:v>
                </c:pt>
                <c:pt idx="813" formatCode="General">
                  <c:v>0</c:v>
                </c:pt>
                <c:pt idx="814" formatCode="General">
                  <c:v>0</c:v>
                </c:pt>
                <c:pt idx="815" formatCode="General">
                  <c:v>0</c:v>
                </c:pt>
                <c:pt idx="816" formatCode="General">
                  <c:v>0</c:v>
                </c:pt>
                <c:pt idx="817" formatCode="General">
                  <c:v>0</c:v>
                </c:pt>
                <c:pt idx="818" formatCode="General">
                  <c:v>0</c:v>
                </c:pt>
                <c:pt idx="819" formatCode="General">
                  <c:v>0</c:v>
                </c:pt>
                <c:pt idx="820" formatCode="General">
                  <c:v>0</c:v>
                </c:pt>
                <c:pt idx="821" formatCode="General">
                  <c:v>0</c:v>
                </c:pt>
                <c:pt idx="822" formatCode="General">
                  <c:v>0</c:v>
                </c:pt>
                <c:pt idx="823" formatCode="General">
                  <c:v>0</c:v>
                </c:pt>
                <c:pt idx="824" formatCode="General">
                  <c:v>0</c:v>
                </c:pt>
                <c:pt idx="825" formatCode="General">
                  <c:v>0</c:v>
                </c:pt>
                <c:pt idx="826" formatCode="General">
                  <c:v>0</c:v>
                </c:pt>
                <c:pt idx="827" formatCode="General">
                  <c:v>0</c:v>
                </c:pt>
                <c:pt idx="828" formatCode="General">
                  <c:v>0</c:v>
                </c:pt>
                <c:pt idx="829" formatCode="General">
                  <c:v>0</c:v>
                </c:pt>
                <c:pt idx="830" formatCode="General">
                  <c:v>0</c:v>
                </c:pt>
                <c:pt idx="831" formatCode="General">
                  <c:v>0</c:v>
                </c:pt>
                <c:pt idx="832" formatCode="General">
                  <c:v>0</c:v>
                </c:pt>
                <c:pt idx="833" formatCode="General">
                  <c:v>0</c:v>
                </c:pt>
                <c:pt idx="834" formatCode="General">
                  <c:v>0</c:v>
                </c:pt>
                <c:pt idx="835" formatCode="General">
                  <c:v>0</c:v>
                </c:pt>
                <c:pt idx="836" formatCode="General">
                  <c:v>0</c:v>
                </c:pt>
                <c:pt idx="837" formatCode="General">
                  <c:v>0</c:v>
                </c:pt>
                <c:pt idx="838" formatCode="General">
                  <c:v>0</c:v>
                </c:pt>
                <c:pt idx="839" formatCode="General">
                  <c:v>0</c:v>
                </c:pt>
                <c:pt idx="840" formatCode="General">
                  <c:v>0</c:v>
                </c:pt>
                <c:pt idx="841" formatCode="General">
                  <c:v>0</c:v>
                </c:pt>
                <c:pt idx="842" formatCode="General">
                  <c:v>0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 formatCode="General">
                  <c:v>0</c:v>
                </c:pt>
                <c:pt idx="848" formatCode="General">
                  <c:v>0</c:v>
                </c:pt>
                <c:pt idx="849" formatCode="General">
                  <c:v>0</c:v>
                </c:pt>
                <c:pt idx="850" formatCode="General">
                  <c:v>0</c:v>
                </c:pt>
                <c:pt idx="851" formatCode="General">
                  <c:v>0</c:v>
                </c:pt>
                <c:pt idx="852" formatCode="General">
                  <c:v>0</c:v>
                </c:pt>
                <c:pt idx="853" formatCode="General">
                  <c:v>0</c:v>
                </c:pt>
                <c:pt idx="854" formatCode="General">
                  <c:v>0</c:v>
                </c:pt>
                <c:pt idx="855" formatCode="General">
                  <c:v>0</c:v>
                </c:pt>
                <c:pt idx="856" formatCode="General">
                  <c:v>0</c:v>
                </c:pt>
                <c:pt idx="857" formatCode="General">
                  <c:v>0</c:v>
                </c:pt>
                <c:pt idx="858" formatCode="General">
                  <c:v>0</c:v>
                </c:pt>
                <c:pt idx="859" formatCode="General">
                  <c:v>0</c:v>
                </c:pt>
                <c:pt idx="860" formatCode="General">
                  <c:v>0</c:v>
                </c:pt>
                <c:pt idx="861" formatCode="General">
                  <c:v>0</c:v>
                </c:pt>
                <c:pt idx="862" formatCode="General">
                  <c:v>0</c:v>
                </c:pt>
                <c:pt idx="863" formatCode="General">
                  <c:v>0</c:v>
                </c:pt>
                <c:pt idx="864" formatCode="General">
                  <c:v>0</c:v>
                </c:pt>
                <c:pt idx="865" formatCode="General">
                  <c:v>0</c:v>
                </c:pt>
                <c:pt idx="866" formatCode="General">
                  <c:v>0</c:v>
                </c:pt>
                <c:pt idx="867" formatCode="General">
                  <c:v>0</c:v>
                </c:pt>
                <c:pt idx="868" formatCode="General">
                  <c:v>0</c:v>
                </c:pt>
                <c:pt idx="869" formatCode="General">
                  <c:v>0</c:v>
                </c:pt>
                <c:pt idx="870" formatCode="General">
                  <c:v>0</c:v>
                </c:pt>
                <c:pt idx="871" formatCode="General">
                  <c:v>0</c:v>
                </c:pt>
                <c:pt idx="872" formatCode="General">
                  <c:v>0</c:v>
                </c:pt>
                <c:pt idx="873" formatCode="General">
                  <c:v>0</c:v>
                </c:pt>
                <c:pt idx="874" formatCode="General">
                  <c:v>0</c:v>
                </c:pt>
                <c:pt idx="875" formatCode="General">
                  <c:v>0</c:v>
                </c:pt>
                <c:pt idx="876" formatCode="General">
                  <c:v>0</c:v>
                </c:pt>
                <c:pt idx="877" formatCode="General">
                  <c:v>0</c:v>
                </c:pt>
                <c:pt idx="878" formatCode="General">
                  <c:v>0</c:v>
                </c:pt>
                <c:pt idx="879" formatCode="General">
                  <c:v>0</c:v>
                </c:pt>
                <c:pt idx="880" formatCode="General">
                  <c:v>0</c:v>
                </c:pt>
                <c:pt idx="881" formatCode="General">
                  <c:v>0</c:v>
                </c:pt>
                <c:pt idx="882" formatCode="General">
                  <c:v>0</c:v>
                </c:pt>
                <c:pt idx="883" formatCode="General">
                  <c:v>0</c:v>
                </c:pt>
                <c:pt idx="884" formatCode="General">
                  <c:v>0</c:v>
                </c:pt>
                <c:pt idx="885" formatCode="General">
                  <c:v>0</c:v>
                </c:pt>
                <c:pt idx="886" formatCode="General">
                  <c:v>0</c:v>
                </c:pt>
                <c:pt idx="887" formatCode="General">
                  <c:v>0</c:v>
                </c:pt>
                <c:pt idx="888" formatCode="General">
                  <c:v>0</c:v>
                </c:pt>
                <c:pt idx="889" formatCode="General">
                  <c:v>0</c:v>
                </c:pt>
                <c:pt idx="890" formatCode="General">
                  <c:v>0</c:v>
                </c:pt>
                <c:pt idx="891" formatCode="General">
                  <c:v>0</c:v>
                </c:pt>
                <c:pt idx="892" formatCode="General">
                  <c:v>0</c:v>
                </c:pt>
                <c:pt idx="893" formatCode="General">
                  <c:v>0</c:v>
                </c:pt>
                <c:pt idx="894" formatCode="General">
                  <c:v>0</c:v>
                </c:pt>
                <c:pt idx="895" formatCode="General">
                  <c:v>0</c:v>
                </c:pt>
                <c:pt idx="896" formatCode="General">
                  <c:v>0</c:v>
                </c:pt>
                <c:pt idx="897" formatCode="General">
                  <c:v>0</c:v>
                </c:pt>
                <c:pt idx="898" formatCode="General">
                  <c:v>0</c:v>
                </c:pt>
                <c:pt idx="899" formatCode="General">
                  <c:v>0</c:v>
                </c:pt>
                <c:pt idx="900" formatCode="General">
                  <c:v>0</c:v>
                </c:pt>
                <c:pt idx="901" formatCode="General">
                  <c:v>0</c:v>
                </c:pt>
                <c:pt idx="902" formatCode="General">
                  <c:v>0</c:v>
                </c:pt>
                <c:pt idx="903" formatCode="General">
                  <c:v>0</c:v>
                </c:pt>
                <c:pt idx="904" formatCode="General">
                  <c:v>0</c:v>
                </c:pt>
                <c:pt idx="905" formatCode="General">
                  <c:v>0</c:v>
                </c:pt>
                <c:pt idx="906" formatCode="General">
                  <c:v>0</c:v>
                </c:pt>
                <c:pt idx="907" formatCode="General">
                  <c:v>0</c:v>
                </c:pt>
                <c:pt idx="908" formatCode="General">
                  <c:v>0</c:v>
                </c:pt>
                <c:pt idx="909" formatCode="General">
                  <c:v>0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 formatCode="General">
                  <c:v>0</c:v>
                </c:pt>
                <c:pt idx="915" formatCode="General">
                  <c:v>0</c:v>
                </c:pt>
                <c:pt idx="916" formatCode="General">
                  <c:v>0</c:v>
                </c:pt>
                <c:pt idx="917" formatCode="General">
                  <c:v>0</c:v>
                </c:pt>
                <c:pt idx="918" formatCode="General">
                  <c:v>0</c:v>
                </c:pt>
                <c:pt idx="919" formatCode="General">
                  <c:v>0</c:v>
                </c:pt>
                <c:pt idx="920" formatCode="General">
                  <c:v>0</c:v>
                </c:pt>
                <c:pt idx="921" formatCode="General">
                  <c:v>0</c:v>
                </c:pt>
                <c:pt idx="922" formatCode="General">
                  <c:v>0</c:v>
                </c:pt>
                <c:pt idx="923" formatCode="General">
                  <c:v>0</c:v>
                </c:pt>
                <c:pt idx="924" formatCode="General">
                  <c:v>0</c:v>
                </c:pt>
                <c:pt idx="925" formatCode="General">
                  <c:v>0</c:v>
                </c:pt>
                <c:pt idx="926" formatCode="General">
                  <c:v>0</c:v>
                </c:pt>
                <c:pt idx="927" formatCode="General">
                  <c:v>0</c:v>
                </c:pt>
                <c:pt idx="928" formatCode="General">
                  <c:v>0</c:v>
                </c:pt>
                <c:pt idx="929" formatCode="General">
                  <c:v>0</c:v>
                </c:pt>
                <c:pt idx="930" formatCode="General">
                  <c:v>0</c:v>
                </c:pt>
                <c:pt idx="931" formatCode="General">
                  <c:v>0</c:v>
                </c:pt>
                <c:pt idx="932" formatCode="General">
                  <c:v>0</c:v>
                </c:pt>
                <c:pt idx="933" formatCode="General">
                  <c:v>0</c:v>
                </c:pt>
                <c:pt idx="934" formatCode="General">
                  <c:v>0</c:v>
                </c:pt>
                <c:pt idx="935" formatCode="General">
                  <c:v>0</c:v>
                </c:pt>
                <c:pt idx="936" formatCode="General">
                  <c:v>0</c:v>
                </c:pt>
                <c:pt idx="937" formatCode="General">
                  <c:v>0</c:v>
                </c:pt>
                <c:pt idx="938" formatCode="General">
                  <c:v>0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 formatCode="General">
                  <c:v>0</c:v>
                </c:pt>
                <c:pt idx="942" formatCode="General">
                  <c:v>0</c:v>
                </c:pt>
                <c:pt idx="943" formatCode="General">
                  <c:v>0</c:v>
                </c:pt>
                <c:pt idx="944" formatCode="General">
                  <c:v>0</c:v>
                </c:pt>
                <c:pt idx="945" formatCode="General">
                  <c:v>0</c:v>
                </c:pt>
                <c:pt idx="946" formatCode="General">
                  <c:v>0</c:v>
                </c:pt>
                <c:pt idx="947" formatCode="General">
                  <c:v>0</c:v>
                </c:pt>
                <c:pt idx="948" formatCode="General">
                  <c:v>0</c:v>
                </c:pt>
                <c:pt idx="949" formatCode="General">
                  <c:v>0</c:v>
                </c:pt>
                <c:pt idx="950" formatCode="General">
                  <c:v>0</c:v>
                </c:pt>
                <c:pt idx="951" formatCode="General">
                  <c:v>0</c:v>
                </c:pt>
                <c:pt idx="952" formatCode="General">
                  <c:v>0</c:v>
                </c:pt>
                <c:pt idx="953" formatCode="General">
                  <c:v>0</c:v>
                </c:pt>
                <c:pt idx="954" formatCode="General">
                  <c:v>0</c:v>
                </c:pt>
                <c:pt idx="955" formatCode="General">
                  <c:v>0</c:v>
                </c:pt>
                <c:pt idx="956" formatCode="General">
                  <c:v>0</c:v>
                </c:pt>
                <c:pt idx="957" formatCode="General">
                  <c:v>0</c:v>
                </c:pt>
                <c:pt idx="958" formatCode="General">
                  <c:v>0</c:v>
                </c:pt>
                <c:pt idx="959" formatCode="General">
                  <c:v>0</c:v>
                </c:pt>
                <c:pt idx="960" formatCode="General">
                  <c:v>0</c:v>
                </c:pt>
                <c:pt idx="961" formatCode="General">
                  <c:v>0</c:v>
                </c:pt>
                <c:pt idx="962" formatCode="General">
                  <c:v>0</c:v>
                </c:pt>
                <c:pt idx="963" formatCode="General">
                  <c:v>0</c:v>
                </c:pt>
                <c:pt idx="964" formatCode="General">
                  <c:v>0</c:v>
                </c:pt>
                <c:pt idx="965" formatCode="General">
                  <c:v>0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 formatCode="General">
                  <c:v>0</c:v>
                </c:pt>
                <c:pt idx="969" formatCode="General">
                  <c:v>0</c:v>
                </c:pt>
                <c:pt idx="970" formatCode="General">
                  <c:v>0</c:v>
                </c:pt>
                <c:pt idx="971" formatCode="General">
                  <c:v>0</c:v>
                </c:pt>
                <c:pt idx="972" formatCode="General">
                  <c:v>0</c:v>
                </c:pt>
                <c:pt idx="973" formatCode="General">
                  <c:v>0</c:v>
                </c:pt>
                <c:pt idx="974" formatCode="General">
                  <c:v>0</c:v>
                </c:pt>
                <c:pt idx="975" formatCode="General">
                  <c:v>0</c:v>
                </c:pt>
                <c:pt idx="976" formatCode="General">
                  <c:v>0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 formatCode="General">
                  <c:v>0</c:v>
                </c:pt>
                <c:pt idx="982" formatCode="General">
                  <c:v>0</c:v>
                </c:pt>
                <c:pt idx="983" formatCode="General">
                  <c:v>0</c:v>
                </c:pt>
                <c:pt idx="984" formatCode="General">
                  <c:v>0</c:v>
                </c:pt>
                <c:pt idx="985" formatCode="General">
                  <c:v>0</c:v>
                </c:pt>
                <c:pt idx="986" formatCode="General">
                  <c:v>0</c:v>
                </c:pt>
                <c:pt idx="987" formatCode="General">
                  <c:v>0</c:v>
                </c:pt>
                <c:pt idx="988" formatCode="General">
                  <c:v>0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 formatCode="General">
                  <c:v>0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 formatCode="General">
                  <c:v>0</c:v>
                </c:pt>
                <c:pt idx="996" formatCode="General">
                  <c:v>0</c:v>
                </c:pt>
                <c:pt idx="997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D-4B31-AB80-32545399B17D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Wind代码2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242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  <c:pt idx="150">
                  <c:v>2023/4/21</c:v>
                </c:pt>
                <c:pt idx="151">
                  <c:v>2023/4/20</c:v>
                </c:pt>
                <c:pt idx="152">
                  <c:v>2023/4/19</c:v>
                </c:pt>
                <c:pt idx="153">
                  <c:v>2023/4/18</c:v>
                </c:pt>
                <c:pt idx="154">
                  <c:v>2023/4/17</c:v>
                </c:pt>
                <c:pt idx="155">
                  <c:v>2023/4/14</c:v>
                </c:pt>
                <c:pt idx="156">
                  <c:v>2023/4/13</c:v>
                </c:pt>
                <c:pt idx="157">
                  <c:v>2023/4/12</c:v>
                </c:pt>
                <c:pt idx="158">
                  <c:v>2023/4/11</c:v>
                </c:pt>
                <c:pt idx="159">
                  <c:v>2023/4/10</c:v>
                </c:pt>
                <c:pt idx="160">
                  <c:v>2023/4/7</c:v>
                </c:pt>
                <c:pt idx="161">
                  <c:v>2023/4/6</c:v>
                </c:pt>
                <c:pt idx="162">
                  <c:v>2023/4/4</c:v>
                </c:pt>
                <c:pt idx="163">
                  <c:v>2023/4/3</c:v>
                </c:pt>
                <c:pt idx="164">
                  <c:v>2023/3/31</c:v>
                </c:pt>
                <c:pt idx="165">
                  <c:v>2023/3/30</c:v>
                </c:pt>
                <c:pt idx="166">
                  <c:v>2023/3/29</c:v>
                </c:pt>
                <c:pt idx="167">
                  <c:v>2023/3/28</c:v>
                </c:pt>
                <c:pt idx="168">
                  <c:v>2023/3/27</c:v>
                </c:pt>
                <c:pt idx="169">
                  <c:v>2023/3/24</c:v>
                </c:pt>
                <c:pt idx="170">
                  <c:v>2023/3/23</c:v>
                </c:pt>
                <c:pt idx="171">
                  <c:v>2023/3/22</c:v>
                </c:pt>
                <c:pt idx="172">
                  <c:v>2023/3/21</c:v>
                </c:pt>
                <c:pt idx="173">
                  <c:v>2023/3/20</c:v>
                </c:pt>
                <c:pt idx="174">
                  <c:v>2023/3/17</c:v>
                </c:pt>
                <c:pt idx="175">
                  <c:v>2023/3/16</c:v>
                </c:pt>
                <c:pt idx="176">
                  <c:v>2023/3/15</c:v>
                </c:pt>
                <c:pt idx="177">
                  <c:v>2023/3/14</c:v>
                </c:pt>
                <c:pt idx="178">
                  <c:v>2023/3/13</c:v>
                </c:pt>
                <c:pt idx="179">
                  <c:v>2023/3/10</c:v>
                </c:pt>
                <c:pt idx="180">
                  <c:v>2023/3/9</c:v>
                </c:pt>
                <c:pt idx="181">
                  <c:v>2023/3/8</c:v>
                </c:pt>
                <c:pt idx="182">
                  <c:v>2023/3/7</c:v>
                </c:pt>
                <c:pt idx="183">
                  <c:v>2023/3/6</c:v>
                </c:pt>
                <c:pt idx="184">
                  <c:v>2023/3/3</c:v>
                </c:pt>
                <c:pt idx="185">
                  <c:v>2023/3/2</c:v>
                </c:pt>
                <c:pt idx="186">
                  <c:v>2023/3/1</c:v>
                </c:pt>
                <c:pt idx="187">
                  <c:v>2023/2/28</c:v>
                </c:pt>
                <c:pt idx="188">
                  <c:v>2023/2/27</c:v>
                </c:pt>
                <c:pt idx="189">
                  <c:v>2023/2/24</c:v>
                </c:pt>
                <c:pt idx="190">
                  <c:v>2023/2/23</c:v>
                </c:pt>
                <c:pt idx="191">
                  <c:v>2023/2/22</c:v>
                </c:pt>
                <c:pt idx="192">
                  <c:v>2023/2/21</c:v>
                </c:pt>
                <c:pt idx="193">
                  <c:v>2023/2/20</c:v>
                </c:pt>
                <c:pt idx="194">
                  <c:v>2023/2/17</c:v>
                </c:pt>
                <c:pt idx="195">
                  <c:v>2023/2/16</c:v>
                </c:pt>
                <c:pt idx="196">
                  <c:v>2023/2/15</c:v>
                </c:pt>
                <c:pt idx="197">
                  <c:v>2023/2/14</c:v>
                </c:pt>
                <c:pt idx="198">
                  <c:v>2023/2/13</c:v>
                </c:pt>
                <c:pt idx="199">
                  <c:v>2023/2/10</c:v>
                </c:pt>
                <c:pt idx="200">
                  <c:v>2023/2/9</c:v>
                </c:pt>
                <c:pt idx="201">
                  <c:v>2023/2/8</c:v>
                </c:pt>
                <c:pt idx="202">
                  <c:v>2023/2/7</c:v>
                </c:pt>
                <c:pt idx="203">
                  <c:v>2023/2/6</c:v>
                </c:pt>
                <c:pt idx="204">
                  <c:v>2023/2/3</c:v>
                </c:pt>
                <c:pt idx="205">
                  <c:v>2023/2/2</c:v>
                </c:pt>
                <c:pt idx="206">
                  <c:v>2023/2/1</c:v>
                </c:pt>
                <c:pt idx="207">
                  <c:v>2023/1/31</c:v>
                </c:pt>
                <c:pt idx="208">
                  <c:v>2023/1/30</c:v>
                </c:pt>
                <c:pt idx="209">
                  <c:v>2023/1/20</c:v>
                </c:pt>
                <c:pt idx="210">
                  <c:v>2023/1/19</c:v>
                </c:pt>
                <c:pt idx="211">
                  <c:v>2023/1/18</c:v>
                </c:pt>
                <c:pt idx="212">
                  <c:v>2023/1/17</c:v>
                </c:pt>
                <c:pt idx="213">
                  <c:v>2023/1/16</c:v>
                </c:pt>
                <c:pt idx="214">
                  <c:v>2023/1/13</c:v>
                </c:pt>
                <c:pt idx="215">
                  <c:v>2023/1/12</c:v>
                </c:pt>
                <c:pt idx="216">
                  <c:v>2023/1/11</c:v>
                </c:pt>
                <c:pt idx="217">
                  <c:v>2023/1/10</c:v>
                </c:pt>
                <c:pt idx="218">
                  <c:v>2023/1/9</c:v>
                </c:pt>
                <c:pt idx="219">
                  <c:v>2023/1/6</c:v>
                </c:pt>
                <c:pt idx="220">
                  <c:v>2023/1/5</c:v>
                </c:pt>
                <c:pt idx="221">
                  <c:v>2023/1/4</c:v>
                </c:pt>
                <c:pt idx="222">
                  <c:v>2023/1/3</c:v>
                </c:pt>
                <c:pt idx="223">
                  <c:v>2022/12/30</c:v>
                </c:pt>
                <c:pt idx="224">
                  <c:v>2022/12/29</c:v>
                </c:pt>
                <c:pt idx="225">
                  <c:v>2022/12/28</c:v>
                </c:pt>
                <c:pt idx="226">
                  <c:v>2022/12/27</c:v>
                </c:pt>
                <c:pt idx="227">
                  <c:v>2022/12/26</c:v>
                </c:pt>
                <c:pt idx="228">
                  <c:v>2022/12/23</c:v>
                </c:pt>
                <c:pt idx="229">
                  <c:v>2022/12/22</c:v>
                </c:pt>
                <c:pt idx="230">
                  <c:v>2022/12/21</c:v>
                </c:pt>
                <c:pt idx="231">
                  <c:v>2022/12/20</c:v>
                </c:pt>
                <c:pt idx="232">
                  <c:v>2022/12/19</c:v>
                </c:pt>
                <c:pt idx="233">
                  <c:v>2022/12/16</c:v>
                </c:pt>
                <c:pt idx="234">
                  <c:v>2022/12/15</c:v>
                </c:pt>
                <c:pt idx="235">
                  <c:v>2022/12/14</c:v>
                </c:pt>
                <c:pt idx="236">
                  <c:v>2022/12/13</c:v>
                </c:pt>
                <c:pt idx="237">
                  <c:v>2022/12/12</c:v>
                </c:pt>
                <c:pt idx="238">
                  <c:v>2022/12/9</c:v>
                </c:pt>
                <c:pt idx="239">
                  <c:v>2022/12/8</c:v>
                </c:pt>
                <c:pt idx="240">
                  <c:v>2022/12/7</c:v>
                </c:pt>
                <c:pt idx="241">
                  <c:v>2022/12/6</c:v>
                </c:pt>
              </c:strCache>
            </c:strRef>
          </c:cat>
          <c:val>
            <c:numRef>
              <c:f>data!$C$4:$C$1001</c:f>
              <c:numCache>
                <c:formatCode>_(* #,##0.00_);_(* \(#,##0.00\);_(* "-"??_);_(@_)</c:formatCode>
                <c:ptCount val="998"/>
                <c:pt idx="0">
                  <c:v>9.9600000000000009</c:v>
                </c:pt>
                <c:pt idx="1">
                  <c:v>10.25</c:v>
                </c:pt>
                <c:pt idx="2">
                  <c:v>10.26</c:v>
                </c:pt>
                <c:pt idx="3">
                  <c:v>10.35</c:v>
                </c:pt>
                <c:pt idx="4">
                  <c:v>10.77</c:v>
                </c:pt>
                <c:pt idx="5">
                  <c:v>10.91</c:v>
                </c:pt>
                <c:pt idx="6">
                  <c:v>11.19</c:v>
                </c:pt>
                <c:pt idx="7">
                  <c:v>11.2</c:v>
                </c:pt>
                <c:pt idx="8">
                  <c:v>10.85</c:v>
                </c:pt>
                <c:pt idx="9">
                  <c:v>10.97</c:v>
                </c:pt>
                <c:pt idx="10">
                  <c:v>10.78</c:v>
                </c:pt>
                <c:pt idx="11">
                  <c:v>10.84</c:v>
                </c:pt>
                <c:pt idx="12">
                  <c:v>10.94</c:v>
                </c:pt>
                <c:pt idx="13">
                  <c:v>11.03</c:v>
                </c:pt>
                <c:pt idx="14">
                  <c:v>11.11</c:v>
                </c:pt>
                <c:pt idx="15">
                  <c:v>11.03</c:v>
                </c:pt>
                <c:pt idx="16">
                  <c:v>11.1</c:v>
                </c:pt>
                <c:pt idx="17">
                  <c:v>11.2</c:v>
                </c:pt>
                <c:pt idx="18">
                  <c:v>11.16</c:v>
                </c:pt>
                <c:pt idx="19">
                  <c:v>11.11</c:v>
                </c:pt>
                <c:pt idx="20">
                  <c:v>11.12</c:v>
                </c:pt>
                <c:pt idx="21">
                  <c:v>10.8</c:v>
                </c:pt>
                <c:pt idx="22">
                  <c:v>10.89</c:v>
                </c:pt>
                <c:pt idx="23">
                  <c:v>10.94</c:v>
                </c:pt>
                <c:pt idx="24">
                  <c:v>11.02</c:v>
                </c:pt>
                <c:pt idx="25">
                  <c:v>10.9</c:v>
                </c:pt>
                <c:pt idx="26">
                  <c:v>11.23</c:v>
                </c:pt>
                <c:pt idx="27">
                  <c:v>11.24</c:v>
                </c:pt>
                <c:pt idx="28">
                  <c:v>11.39</c:v>
                </c:pt>
                <c:pt idx="29">
                  <c:v>11.45</c:v>
                </c:pt>
                <c:pt idx="30">
                  <c:v>11.41</c:v>
                </c:pt>
                <c:pt idx="31">
                  <c:v>11.53</c:v>
                </c:pt>
                <c:pt idx="32">
                  <c:v>11.63</c:v>
                </c:pt>
                <c:pt idx="33">
                  <c:v>11.98</c:v>
                </c:pt>
                <c:pt idx="34">
                  <c:v>12.02</c:v>
                </c:pt>
                <c:pt idx="35">
                  <c:v>12.1</c:v>
                </c:pt>
                <c:pt idx="36">
                  <c:v>12.45</c:v>
                </c:pt>
                <c:pt idx="37">
                  <c:v>12.56</c:v>
                </c:pt>
                <c:pt idx="38">
                  <c:v>12.42</c:v>
                </c:pt>
                <c:pt idx="39">
                  <c:v>12.49</c:v>
                </c:pt>
                <c:pt idx="40">
                  <c:v>12.57</c:v>
                </c:pt>
                <c:pt idx="41">
                  <c:v>12.74</c:v>
                </c:pt>
                <c:pt idx="42">
                  <c:v>12.78</c:v>
                </c:pt>
                <c:pt idx="43">
                  <c:v>12.84</c:v>
                </c:pt>
                <c:pt idx="44">
                  <c:v>12.9</c:v>
                </c:pt>
                <c:pt idx="45">
                  <c:v>13.35</c:v>
                </c:pt>
                <c:pt idx="46">
                  <c:v>13.26</c:v>
                </c:pt>
                <c:pt idx="47">
                  <c:v>13.2</c:v>
                </c:pt>
                <c:pt idx="48">
                  <c:v>13.09</c:v>
                </c:pt>
                <c:pt idx="49">
                  <c:v>13.13</c:v>
                </c:pt>
                <c:pt idx="50">
                  <c:v>13.36</c:v>
                </c:pt>
                <c:pt idx="51">
                  <c:v>13.55</c:v>
                </c:pt>
                <c:pt idx="52">
                  <c:v>13.61</c:v>
                </c:pt>
                <c:pt idx="53">
                  <c:v>13.6</c:v>
                </c:pt>
                <c:pt idx="54">
                  <c:v>13.74</c:v>
                </c:pt>
                <c:pt idx="55">
                  <c:v>13.97</c:v>
                </c:pt>
                <c:pt idx="56">
                  <c:v>14.04</c:v>
                </c:pt>
                <c:pt idx="57">
                  <c:v>14.09</c:v>
                </c:pt>
                <c:pt idx="58">
                  <c:v>13.81</c:v>
                </c:pt>
                <c:pt idx="59">
                  <c:v>14.14</c:v>
                </c:pt>
                <c:pt idx="60">
                  <c:v>14.25</c:v>
                </c:pt>
                <c:pt idx="61">
                  <c:v>13.98</c:v>
                </c:pt>
                <c:pt idx="62">
                  <c:v>14.75</c:v>
                </c:pt>
                <c:pt idx="63">
                  <c:v>14.5</c:v>
                </c:pt>
                <c:pt idx="64">
                  <c:v>14.36</c:v>
                </c:pt>
                <c:pt idx="65">
                  <c:v>13.98</c:v>
                </c:pt>
                <c:pt idx="66">
                  <c:v>13.57</c:v>
                </c:pt>
                <c:pt idx="67">
                  <c:v>13.7</c:v>
                </c:pt>
                <c:pt idx="68">
                  <c:v>13.89</c:v>
                </c:pt>
                <c:pt idx="69">
                  <c:v>13.9</c:v>
                </c:pt>
                <c:pt idx="70">
                  <c:v>14.16</c:v>
                </c:pt>
                <c:pt idx="71">
                  <c:v>14.25</c:v>
                </c:pt>
                <c:pt idx="72">
                  <c:v>14.25</c:v>
                </c:pt>
                <c:pt idx="73">
                  <c:v>13.98</c:v>
                </c:pt>
                <c:pt idx="74">
                  <c:v>14.01</c:v>
                </c:pt>
                <c:pt idx="75">
                  <c:v>13.96</c:v>
                </c:pt>
                <c:pt idx="76">
                  <c:v>14.13</c:v>
                </c:pt>
                <c:pt idx="77">
                  <c:v>14</c:v>
                </c:pt>
                <c:pt idx="78">
                  <c:v>13.76</c:v>
                </c:pt>
                <c:pt idx="79">
                  <c:v>13.92</c:v>
                </c:pt>
                <c:pt idx="80">
                  <c:v>14.4</c:v>
                </c:pt>
                <c:pt idx="81">
                  <c:v>14.44</c:v>
                </c:pt>
                <c:pt idx="82">
                  <c:v>14.18</c:v>
                </c:pt>
                <c:pt idx="83">
                  <c:v>14.21</c:v>
                </c:pt>
                <c:pt idx="84">
                  <c:v>14.23</c:v>
                </c:pt>
                <c:pt idx="85">
                  <c:v>14.39</c:v>
                </c:pt>
                <c:pt idx="86">
                  <c:v>13.71</c:v>
                </c:pt>
                <c:pt idx="87">
                  <c:v>13.74</c:v>
                </c:pt>
                <c:pt idx="88">
                  <c:v>13.71</c:v>
                </c:pt>
                <c:pt idx="89">
                  <c:v>12.61</c:v>
                </c:pt>
                <c:pt idx="90">
                  <c:v>12.88</c:v>
                </c:pt>
                <c:pt idx="91">
                  <c:v>12.76</c:v>
                </c:pt>
                <c:pt idx="92">
                  <c:v>12.75</c:v>
                </c:pt>
                <c:pt idx="93">
                  <c:v>12.58</c:v>
                </c:pt>
                <c:pt idx="94">
                  <c:v>12.46</c:v>
                </c:pt>
                <c:pt idx="95">
                  <c:v>12.6</c:v>
                </c:pt>
                <c:pt idx="96">
                  <c:v>12.57</c:v>
                </c:pt>
                <c:pt idx="97">
                  <c:v>12.44</c:v>
                </c:pt>
                <c:pt idx="98">
                  <c:v>12.74</c:v>
                </c:pt>
                <c:pt idx="99">
                  <c:v>12.7</c:v>
                </c:pt>
                <c:pt idx="100">
                  <c:v>12.8</c:v>
                </c:pt>
                <c:pt idx="101">
                  <c:v>12.84</c:v>
                </c:pt>
                <c:pt idx="102">
                  <c:v>12.64</c:v>
                </c:pt>
                <c:pt idx="103">
                  <c:v>12.72</c:v>
                </c:pt>
                <c:pt idx="104">
                  <c:v>13.12</c:v>
                </c:pt>
                <c:pt idx="105">
                  <c:v>13.03</c:v>
                </c:pt>
                <c:pt idx="106">
                  <c:v>13.19</c:v>
                </c:pt>
                <c:pt idx="107">
                  <c:v>13.4</c:v>
                </c:pt>
                <c:pt idx="108">
                  <c:v>13.43</c:v>
                </c:pt>
                <c:pt idx="109">
                  <c:v>13.02</c:v>
                </c:pt>
                <c:pt idx="110">
                  <c:v>13.12</c:v>
                </c:pt>
                <c:pt idx="111">
                  <c:v>13.15</c:v>
                </c:pt>
                <c:pt idx="112">
                  <c:v>13.43</c:v>
                </c:pt>
                <c:pt idx="113">
                  <c:v>13.55</c:v>
                </c:pt>
                <c:pt idx="114">
                  <c:v>13.49</c:v>
                </c:pt>
                <c:pt idx="115">
                  <c:v>13.41</c:v>
                </c:pt>
                <c:pt idx="116">
                  <c:v>13.57</c:v>
                </c:pt>
                <c:pt idx="117">
                  <c:v>13.44</c:v>
                </c:pt>
                <c:pt idx="118">
                  <c:v>13.39</c:v>
                </c:pt>
                <c:pt idx="119">
                  <c:v>14.01</c:v>
                </c:pt>
                <c:pt idx="120">
                  <c:v>13.66</c:v>
                </c:pt>
                <c:pt idx="121">
                  <c:v>13.53</c:v>
                </c:pt>
                <c:pt idx="122">
                  <c:v>13.52</c:v>
                </c:pt>
                <c:pt idx="123">
                  <c:v>13.58</c:v>
                </c:pt>
                <c:pt idx="124">
                  <c:v>12.81</c:v>
                </c:pt>
                <c:pt idx="125">
                  <c:v>12.74</c:v>
                </c:pt>
                <c:pt idx="126">
                  <c:v>12.95</c:v>
                </c:pt>
                <c:pt idx="127">
                  <c:v>12.94</c:v>
                </c:pt>
                <c:pt idx="128">
                  <c:v>13.1</c:v>
                </c:pt>
                <c:pt idx="129">
                  <c:v>12.83</c:v>
                </c:pt>
                <c:pt idx="130">
                  <c:v>12.88</c:v>
                </c:pt>
                <c:pt idx="131">
                  <c:v>13.38</c:v>
                </c:pt>
                <c:pt idx="132">
                  <c:v>13.53</c:v>
                </c:pt>
                <c:pt idx="133">
                  <c:v>13.55</c:v>
                </c:pt>
                <c:pt idx="134">
                  <c:v>13.79</c:v>
                </c:pt>
                <c:pt idx="135">
                  <c:v>13.86</c:v>
                </c:pt>
                <c:pt idx="136">
                  <c:v>13.96</c:v>
                </c:pt>
                <c:pt idx="137">
                  <c:v>14.08</c:v>
                </c:pt>
                <c:pt idx="138">
                  <c:v>14.15</c:v>
                </c:pt>
                <c:pt idx="139">
                  <c:v>14.3</c:v>
                </c:pt>
                <c:pt idx="140">
                  <c:v>14.48</c:v>
                </c:pt>
                <c:pt idx="141">
                  <c:v>14.76</c:v>
                </c:pt>
                <c:pt idx="142">
                  <c:v>14.53</c:v>
                </c:pt>
                <c:pt idx="143">
                  <c:v>14.26</c:v>
                </c:pt>
                <c:pt idx="144">
                  <c:v>13.71</c:v>
                </c:pt>
                <c:pt idx="145">
                  <c:v>13.91</c:v>
                </c:pt>
                <c:pt idx="146">
                  <c:v>13.88</c:v>
                </c:pt>
                <c:pt idx="147">
                  <c:v>13.89</c:v>
                </c:pt>
                <c:pt idx="148">
                  <c:v>14.04</c:v>
                </c:pt>
                <c:pt idx="149">
                  <c:v>14.1</c:v>
                </c:pt>
                <c:pt idx="150">
                  <c:v>14.37</c:v>
                </c:pt>
                <c:pt idx="151">
                  <c:v>14.27</c:v>
                </c:pt>
                <c:pt idx="152">
                  <c:v>14.38</c:v>
                </c:pt>
                <c:pt idx="153">
                  <c:v>14.72</c:v>
                </c:pt>
                <c:pt idx="154">
                  <c:v>14.86</c:v>
                </c:pt>
                <c:pt idx="155">
                  <c:v>15.07</c:v>
                </c:pt>
                <c:pt idx="156">
                  <c:v>15.17</c:v>
                </c:pt>
                <c:pt idx="157">
                  <c:v>15.19</c:v>
                </c:pt>
                <c:pt idx="158">
                  <c:v>15.26</c:v>
                </c:pt>
                <c:pt idx="159">
                  <c:v>15.15</c:v>
                </c:pt>
                <c:pt idx="160">
                  <c:v>15.11</c:v>
                </c:pt>
                <c:pt idx="161">
                  <c:v>14.61</c:v>
                </c:pt>
                <c:pt idx="162">
                  <c:v>14.65</c:v>
                </c:pt>
                <c:pt idx="163">
                  <c:v>14.62</c:v>
                </c:pt>
                <c:pt idx="164">
                  <c:v>14.13</c:v>
                </c:pt>
                <c:pt idx="165">
                  <c:v>14.41</c:v>
                </c:pt>
                <c:pt idx="166">
                  <c:v>14.12</c:v>
                </c:pt>
                <c:pt idx="167">
                  <c:v>13.97</c:v>
                </c:pt>
                <c:pt idx="168">
                  <c:v>14.15</c:v>
                </c:pt>
                <c:pt idx="169">
                  <c:v>14.34</c:v>
                </c:pt>
                <c:pt idx="170">
                  <c:v>14.43</c:v>
                </c:pt>
                <c:pt idx="171">
                  <c:v>14.49</c:v>
                </c:pt>
                <c:pt idx="172">
                  <c:v>14.17</c:v>
                </c:pt>
                <c:pt idx="173">
                  <c:v>14.33</c:v>
                </c:pt>
                <c:pt idx="174">
                  <c:v>14.41</c:v>
                </c:pt>
                <c:pt idx="175">
                  <c:v>14.32</c:v>
                </c:pt>
                <c:pt idx="176">
                  <c:v>14.34</c:v>
                </c:pt>
                <c:pt idx="177">
                  <c:v>14.15</c:v>
                </c:pt>
                <c:pt idx="178">
                  <c:v>14.12</c:v>
                </c:pt>
                <c:pt idx="179">
                  <c:v>14.29</c:v>
                </c:pt>
                <c:pt idx="180">
                  <c:v>14.44</c:v>
                </c:pt>
                <c:pt idx="181">
                  <c:v>14.6</c:v>
                </c:pt>
                <c:pt idx="182">
                  <c:v>14.54</c:v>
                </c:pt>
                <c:pt idx="183">
                  <c:v>14.76</c:v>
                </c:pt>
                <c:pt idx="184">
                  <c:v>15.06</c:v>
                </c:pt>
                <c:pt idx="185">
                  <c:v>14.92</c:v>
                </c:pt>
                <c:pt idx="186">
                  <c:v>15.13</c:v>
                </c:pt>
                <c:pt idx="187">
                  <c:v>15.09</c:v>
                </c:pt>
                <c:pt idx="188">
                  <c:v>15.02</c:v>
                </c:pt>
                <c:pt idx="189">
                  <c:v>14.92</c:v>
                </c:pt>
                <c:pt idx="190">
                  <c:v>15.23</c:v>
                </c:pt>
                <c:pt idx="191">
                  <c:v>15.19</c:v>
                </c:pt>
                <c:pt idx="192">
                  <c:v>15.35</c:v>
                </c:pt>
                <c:pt idx="193">
                  <c:v>15.26</c:v>
                </c:pt>
                <c:pt idx="194">
                  <c:v>15</c:v>
                </c:pt>
                <c:pt idx="195">
                  <c:v>15.05</c:v>
                </c:pt>
                <c:pt idx="196">
                  <c:v>15.12</c:v>
                </c:pt>
                <c:pt idx="197">
                  <c:v>15.6</c:v>
                </c:pt>
                <c:pt idx="198">
                  <c:v>15.57</c:v>
                </c:pt>
                <c:pt idx="199">
                  <c:v>15.78</c:v>
                </c:pt>
                <c:pt idx="200">
                  <c:v>15.68</c:v>
                </c:pt>
                <c:pt idx="201">
                  <c:v>15.54</c:v>
                </c:pt>
                <c:pt idx="202">
                  <c:v>15.28</c:v>
                </c:pt>
                <c:pt idx="203">
                  <c:v>15.02</c:v>
                </c:pt>
                <c:pt idx="204">
                  <c:v>15.33</c:v>
                </c:pt>
                <c:pt idx="205">
                  <c:v>15.65</c:v>
                </c:pt>
                <c:pt idx="206">
                  <c:v>15.59</c:v>
                </c:pt>
                <c:pt idx="207">
                  <c:v>15.73</c:v>
                </c:pt>
                <c:pt idx="208">
                  <c:v>15.52</c:v>
                </c:pt>
                <c:pt idx="209">
                  <c:v>15.8</c:v>
                </c:pt>
                <c:pt idx="210">
                  <c:v>15.7</c:v>
                </c:pt>
                <c:pt idx="211">
                  <c:v>15.74</c:v>
                </c:pt>
                <c:pt idx="212">
                  <c:v>16.05</c:v>
                </c:pt>
                <c:pt idx="213">
                  <c:v>15.96</c:v>
                </c:pt>
                <c:pt idx="214">
                  <c:v>15.83</c:v>
                </c:pt>
                <c:pt idx="215">
                  <c:v>15.9</c:v>
                </c:pt>
                <c:pt idx="216">
                  <c:v>16.29</c:v>
                </c:pt>
                <c:pt idx="217">
                  <c:v>15.9</c:v>
                </c:pt>
                <c:pt idx="218">
                  <c:v>15.84</c:v>
                </c:pt>
                <c:pt idx="219">
                  <c:v>16.13</c:v>
                </c:pt>
                <c:pt idx="220">
                  <c:v>16.36</c:v>
                </c:pt>
                <c:pt idx="221">
                  <c:v>16.02</c:v>
                </c:pt>
                <c:pt idx="222">
                  <c:v>15.42</c:v>
                </c:pt>
                <c:pt idx="223">
                  <c:v>15.13</c:v>
                </c:pt>
                <c:pt idx="224">
                  <c:v>15.01</c:v>
                </c:pt>
                <c:pt idx="225">
                  <c:v>15.37</c:v>
                </c:pt>
                <c:pt idx="226">
                  <c:v>15.26</c:v>
                </c:pt>
                <c:pt idx="227">
                  <c:v>15.13</c:v>
                </c:pt>
                <c:pt idx="228">
                  <c:v>15.66</c:v>
                </c:pt>
                <c:pt idx="229">
                  <c:v>15.46</c:v>
                </c:pt>
                <c:pt idx="230">
                  <c:v>15.38</c:v>
                </c:pt>
                <c:pt idx="231">
                  <c:v>15.39</c:v>
                </c:pt>
                <c:pt idx="232">
                  <c:v>15.77</c:v>
                </c:pt>
                <c:pt idx="233">
                  <c:v>16.02</c:v>
                </c:pt>
                <c:pt idx="234">
                  <c:v>15.72</c:v>
                </c:pt>
                <c:pt idx="235">
                  <c:v>15.77</c:v>
                </c:pt>
                <c:pt idx="236">
                  <c:v>15.96</c:v>
                </c:pt>
                <c:pt idx="237">
                  <c:v>15.75</c:v>
                </c:pt>
                <c:pt idx="238">
                  <c:v>16.45</c:v>
                </c:pt>
                <c:pt idx="239">
                  <c:v>15.95</c:v>
                </c:pt>
                <c:pt idx="240">
                  <c:v>15.7</c:v>
                </c:pt>
                <c:pt idx="241">
                  <c:v>16.09</c:v>
                </c:pt>
                <c:pt idx="242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 formatCode="General">
                  <c:v>0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 formatCode="General">
                  <c:v>0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 formatCode="General">
                  <c:v>0</c:v>
                </c:pt>
                <c:pt idx="339" formatCode="General">
                  <c:v>0</c:v>
                </c:pt>
                <c:pt idx="340" formatCode="General">
                  <c:v>0</c:v>
                </c:pt>
                <c:pt idx="341" formatCode="General">
                  <c:v>0</c:v>
                </c:pt>
                <c:pt idx="342" formatCode="General">
                  <c:v>0</c:v>
                </c:pt>
                <c:pt idx="343" formatCode="General">
                  <c:v>0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 formatCode="General">
                  <c:v>0</c:v>
                </c:pt>
                <c:pt idx="347" formatCode="General">
                  <c:v>0</c:v>
                </c:pt>
                <c:pt idx="348" formatCode="General">
                  <c:v>0</c:v>
                </c:pt>
                <c:pt idx="349" formatCode="General">
                  <c:v>0</c:v>
                </c:pt>
                <c:pt idx="350" formatCode="General">
                  <c:v>0</c:v>
                </c:pt>
                <c:pt idx="351" formatCode="General">
                  <c:v>0</c:v>
                </c:pt>
                <c:pt idx="352" formatCode="General">
                  <c:v>0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 formatCode="General">
                  <c:v>0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 formatCode="General">
                  <c:v>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 formatCode="General">
                  <c:v>0</c:v>
                </c:pt>
                <c:pt idx="583" formatCode="General">
                  <c:v>0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0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 formatCode="General">
                  <c:v>0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 formatCode="General">
                  <c:v>0</c:v>
                </c:pt>
                <c:pt idx="617" formatCode="General">
                  <c:v>0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 formatCode="General">
                  <c:v>0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 formatCode="General">
                  <c:v>0</c:v>
                </c:pt>
                <c:pt idx="626" formatCode="General">
                  <c:v>0</c:v>
                </c:pt>
                <c:pt idx="627" formatCode="General">
                  <c:v>0</c:v>
                </c:pt>
                <c:pt idx="628" formatCode="General">
                  <c:v>0</c:v>
                </c:pt>
                <c:pt idx="629" formatCode="General">
                  <c:v>0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 formatCode="General">
                  <c:v>0</c:v>
                </c:pt>
                <c:pt idx="633" formatCode="General">
                  <c:v>0</c:v>
                </c:pt>
                <c:pt idx="634" formatCode="General">
                  <c:v>0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 formatCode="General">
                  <c:v>0</c:v>
                </c:pt>
                <c:pt idx="638" formatCode="General">
                  <c:v>0</c:v>
                </c:pt>
                <c:pt idx="639" formatCode="General">
                  <c:v>0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 formatCode="General">
                  <c:v>0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 formatCode="General">
                  <c:v>0</c:v>
                </c:pt>
                <c:pt idx="650" formatCode="General">
                  <c:v>0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 formatCode="General">
                  <c:v>0</c:v>
                </c:pt>
                <c:pt idx="654" formatCode="General">
                  <c:v>0</c:v>
                </c:pt>
                <c:pt idx="655" formatCode="General">
                  <c:v>0</c:v>
                </c:pt>
                <c:pt idx="656" formatCode="General">
                  <c:v>0</c:v>
                </c:pt>
                <c:pt idx="657" formatCode="General">
                  <c:v>0</c:v>
                </c:pt>
                <c:pt idx="658" formatCode="General">
                  <c:v>0</c:v>
                </c:pt>
                <c:pt idx="659" formatCode="General">
                  <c:v>0</c:v>
                </c:pt>
                <c:pt idx="660" formatCode="General">
                  <c:v>0</c:v>
                </c:pt>
                <c:pt idx="661" formatCode="General">
                  <c:v>0</c:v>
                </c:pt>
                <c:pt idx="662" formatCode="General">
                  <c:v>0</c:v>
                </c:pt>
                <c:pt idx="663" formatCode="General">
                  <c:v>0</c:v>
                </c:pt>
                <c:pt idx="664" formatCode="General">
                  <c:v>0</c:v>
                </c:pt>
                <c:pt idx="665" formatCode="General">
                  <c:v>0</c:v>
                </c:pt>
                <c:pt idx="666" formatCode="General">
                  <c:v>0</c:v>
                </c:pt>
                <c:pt idx="667" formatCode="General">
                  <c:v>0</c:v>
                </c:pt>
                <c:pt idx="668" formatCode="General">
                  <c:v>0</c:v>
                </c:pt>
                <c:pt idx="669" formatCode="General">
                  <c:v>0</c:v>
                </c:pt>
                <c:pt idx="670" formatCode="General">
                  <c:v>0</c:v>
                </c:pt>
                <c:pt idx="671" formatCode="General">
                  <c:v>0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 formatCode="General">
                  <c:v>0</c:v>
                </c:pt>
                <c:pt idx="675" formatCode="General">
                  <c:v>0</c:v>
                </c:pt>
                <c:pt idx="676" formatCode="General">
                  <c:v>0</c:v>
                </c:pt>
                <c:pt idx="677" formatCode="General">
                  <c:v>0</c:v>
                </c:pt>
                <c:pt idx="678" formatCode="General">
                  <c:v>0</c:v>
                </c:pt>
                <c:pt idx="679" formatCode="General">
                  <c:v>0</c:v>
                </c:pt>
                <c:pt idx="680" formatCode="General">
                  <c:v>0</c:v>
                </c:pt>
                <c:pt idx="681" formatCode="General">
                  <c:v>0</c:v>
                </c:pt>
                <c:pt idx="682" formatCode="General">
                  <c:v>0</c:v>
                </c:pt>
                <c:pt idx="683" formatCode="General">
                  <c:v>0</c:v>
                </c:pt>
                <c:pt idx="684" formatCode="General">
                  <c:v>0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 formatCode="General">
                  <c:v>0</c:v>
                </c:pt>
                <c:pt idx="689" formatCode="General">
                  <c:v>0</c:v>
                </c:pt>
                <c:pt idx="690" formatCode="General">
                  <c:v>0</c:v>
                </c:pt>
                <c:pt idx="691" formatCode="General">
                  <c:v>0</c:v>
                </c:pt>
                <c:pt idx="692" formatCode="General">
                  <c:v>0</c:v>
                </c:pt>
                <c:pt idx="693" formatCode="General">
                  <c:v>0</c:v>
                </c:pt>
                <c:pt idx="694" formatCode="General">
                  <c:v>0</c:v>
                </c:pt>
                <c:pt idx="695" formatCode="General">
                  <c:v>0</c:v>
                </c:pt>
                <c:pt idx="696" formatCode="General">
                  <c:v>0</c:v>
                </c:pt>
                <c:pt idx="697" formatCode="General">
                  <c:v>0</c:v>
                </c:pt>
                <c:pt idx="698" formatCode="General">
                  <c:v>0</c:v>
                </c:pt>
                <c:pt idx="699" formatCode="General">
                  <c:v>0</c:v>
                </c:pt>
                <c:pt idx="700" formatCode="General">
                  <c:v>0</c:v>
                </c:pt>
                <c:pt idx="701" formatCode="General">
                  <c:v>0</c:v>
                </c:pt>
                <c:pt idx="702" formatCode="General">
                  <c:v>0</c:v>
                </c:pt>
                <c:pt idx="703" formatCode="General">
                  <c:v>0</c:v>
                </c:pt>
                <c:pt idx="704" formatCode="General">
                  <c:v>0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 formatCode="General">
                  <c:v>0</c:v>
                </c:pt>
                <c:pt idx="708" formatCode="General">
                  <c:v>0</c:v>
                </c:pt>
                <c:pt idx="709" formatCode="General">
                  <c:v>0</c:v>
                </c:pt>
                <c:pt idx="710" formatCode="General">
                  <c:v>0</c:v>
                </c:pt>
                <c:pt idx="711" formatCode="General">
                  <c:v>0</c:v>
                </c:pt>
                <c:pt idx="712" formatCode="General">
                  <c:v>0</c:v>
                </c:pt>
                <c:pt idx="713" formatCode="General">
                  <c:v>0</c:v>
                </c:pt>
                <c:pt idx="714" formatCode="General">
                  <c:v>0</c:v>
                </c:pt>
                <c:pt idx="715" formatCode="General">
                  <c:v>0</c:v>
                </c:pt>
                <c:pt idx="716" formatCode="General">
                  <c:v>0</c:v>
                </c:pt>
                <c:pt idx="717" formatCode="General">
                  <c:v>0</c:v>
                </c:pt>
                <c:pt idx="718" formatCode="General">
                  <c:v>0</c:v>
                </c:pt>
                <c:pt idx="719" formatCode="General">
                  <c:v>0</c:v>
                </c:pt>
                <c:pt idx="720" formatCode="General">
                  <c:v>0</c:v>
                </c:pt>
                <c:pt idx="721" formatCode="General">
                  <c:v>0</c:v>
                </c:pt>
                <c:pt idx="722" formatCode="General">
                  <c:v>0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 formatCode="General">
                  <c:v>0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 formatCode="General">
                  <c:v>0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 formatCode="General">
                  <c:v>0</c:v>
                </c:pt>
                <c:pt idx="743" formatCode="General">
                  <c:v>0</c:v>
                </c:pt>
                <c:pt idx="744" formatCode="General">
                  <c:v>0</c:v>
                </c:pt>
                <c:pt idx="745" formatCode="General">
                  <c:v>0</c:v>
                </c:pt>
                <c:pt idx="746" formatCode="General">
                  <c:v>0</c:v>
                </c:pt>
                <c:pt idx="747" formatCode="General">
                  <c:v>0</c:v>
                </c:pt>
                <c:pt idx="748" formatCode="General">
                  <c:v>0</c:v>
                </c:pt>
                <c:pt idx="749" formatCode="General">
                  <c:v>0</c:v>
                </c:pt>
                <c:pt idx="750" formatCode="General">
                  <c:v>0</c:v>
                </c:pt>
                <c:pt idx="751" formatCode="General">
                  <c:v>0</c:v>
                </c:pt>
                <c:pt idx="752" formatCode="General">
                  <c:v>0</c:v>
                </c:pt>
                <c:pt idx="753" formatCode="General">
                  <c:v>0</c:v>
                </c:pt>
                <c:pt idx="754" formatCode="General">
                  <c:v>0</c:v>
                </c:pt>
                <c:pt idx="755" formatCode="General">
                  <c:v>0</c:v>
                </c:pt>
                <c:pt idx="756" formatCode="General">
                  <c:v>0</c:v>
                </c:pt>
                <c:pt idx="757" formatCode="General">
                  <c:v>0</c:v>
                </c:pt>
                <c:pt idx="758" formatCode="General">
                  <c:v>0</c:v>
                </c:pt>
                <c:pt idx="759" formatCode="General">
                  <c:v>0</c:v>
                </c:pt>
                <c:pt idx="760" formatCode="General">
                  <c:v>0</c:v>
                </c:pt>
                <c:pt idx="761" formatCode="General">
                  <c:v>0</c:v>
                </c:pt>
                <c:pt idx="762" formatCode="General">
                  <c:v>0</c:v>
                </c:pt>
                <c:pt idx="763" formatCode="General">
                  <c:v>0</c:v>
                </c:pt>
                <c:pt idx="764" formatCode="General">
                  <c:v>0</c:v>
                </c:pt>
                <c:pt idx="765" formatCode="General">
                  <c:v>0</c:v>
                </c:pt>
                <c:pt idx="766" formatCode="General">
                  <c:v>0</c:v>
                </c:pt>
                <c:pt idx="767" formatCode="General">
                  <c:v>0</c:v>
                </c:pt>
                <c:pt idx="768" formatCode="General">
                  <c:v>0</c:v>
                </c:pt>
                <c:pt idx="769" formatCode="General">
                  <c:v>0</c:v>
                </c:pt>
                <c:pt idx="770" formatCode="General">
                  <c:v>0</c:v>
                </c:pt>
                <c:pt idx="771" formatCode="General">
                  <c:v>0</c:v>
                </c:pt>
                <c:pt idx="772" formatCode="General">
                  <c:v>0</c:v>
                </c:pt>
                <c:pt idx="773" formatCode="General">
                  <c:v>0</c:v>
                </c:pt>
                <c:pt idx="774" formatCode="General">
                  <c:v>0</c:v>
                </c:pt>
                <c:pt idx="775" formatCode="General">
                  <c:v>0</c:v>
                </c:pt>
                <c:pt idx="776" formatCode="General">
                  <c:v>0</c:v>
                </c:pt>
                <c:pt idx="777" formatCode="General">
                  <c:v>0</c:v>
                </c:pt>
                <c:pt idx="778" formatCode="General">
                  <c:v>0</c:v>
                </c:pt>
                <c:pt idx="779" formatCode="General">
                  <c:v>0</c:v>
                </c:pt>
                <c:pt idx="780" formatCode="General">
                  <c:v>0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 formatCode="General">
                  <c:v>0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0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0</c:v>
                </c:pt>
                <c:pt idx="794" formatCode="General">
                  <c:v>0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 formatCode="General">
                  <c:v>0</c:v>
                </c:pt>
                <c:pt idx="799" formatCode="General">
                  <c:v>0</c:v>
                </c:pt>
                <c:pt idx="800" formatCode="General">
                  <c:v>0</c:v>
                </c:pt>
                <c:pt idx="801" formatCode="General">
                  <c:v>0</c:v>
                </c:pt>
                <c:pt idx="802" formatCode="General">
                  <c:v>0</c:v>
                </c:pt>
                <c:pt idx="803" formatCode="General">
                  <c:v>0</c:v>
                </c:pt>
                <c:pt idx="804" formatCode="General">
                  <c:v>0</c:v>
                </c:pt>
                <c:pt idx="805" formatCode="General">
                  <c:v>0</c:v>
                </c:pt>
                <c:pt idx="806" formatCode="General">
                  <c:v>0</c:v>
                </c:pt>
                <c:pt idx="807" formatCode="General">
                  <c:v>0</c:v>
                </c:pt>
                <c:pt idx="808" formatCode="General">
                  <c:v>0</c:v>
                </c:pt>
                <c:pt idx="809" formatCode="General">
                  <c:v>0</c:v>
                </c:pt>
                <c:pt idx="810" formatCode="General">
                  <c:v>0</c:v>
                </c:pt>
                <c:pt idx="811" formatCode="General">
                  <c:v>0</c:v>
                </c:pt>
                <c:pt idx="812" formatCode="General">
                  <c:v>0</c:v>
                </c:pt>
                <c:pt idx="813" formatCode="General">
                  <c:v>0</c:v>
                </c:pt>
                <c:pt idx="814" formatCode="General">
                  <c:v>0</c:v>
                </c:pt>
                <c:pt idx="815" formatCode="General">
                  <c:v>0</c:v>
                </c:pt>
                <c:pt idx="816" formatCode="General">
                  <c:v>0</c:v>
                </c:pt>
                <c:pt idx="817" formatCode="General">
                  <c:v>0</c:v>
                </c:pt>
                <c:pt idx="818" formatCode="General">
                  <c:v>0</c:v>
                </c:pt>
                <c:pt idx="819" formatCode="General">
                  <c:v>0</c:v>
                </c:pt>
                <c:pt idx="820" formatCode="General">
                  <c:v>0</c:v>
                </c:pt>
                <c:pt idx="821" formatCode="General">
                  <c:v>0</c:v>
                </c:pt>
                <c:pt idx="822" formatCode="General">
                  <c:v>0</c:v>
                </c:pt>
                <c:pt idx="823" formatCode="General">
                  <c:v>0</c:v>
                </c:pt>
                <c:pt idx="824" formatCode="General">
                  <c:v>0</c:v>
                </c:pt>
                <c:pt idx="825" formatCode="General">
                  <c:v>0</c:v>
                </c:pt>
                <c:pt idx="826" formatCode="General">
                  <c:v>0</c:v>
                </c:pt>
                <c:pt idx="827" formatCode="General">
                  <c:v>0</c:v>
                </c:pt>
                <c:pt idx="828" formatCode="General">
                  <c:v>0</c:v>
                </c:pt>
                <c:pt idx="829" formatCode="General">
                  <c:v>0</c:v>
                </c:pt>
                <c:pt idx="830" formatCode="General">
                  <c:v>0</c:v>
                </c:pt>
                <c:pt idx="831" formatCode="General">
                  <c:v>0</c:v>
                </c:pt>
                <c:pt idx="832" formatCode="General">
                  <c:v>0</c:v>
                </c:pt>
                <c:pt idx="833" formatCode="General">
                  <c:v>0</c:v>
                </c:pt>
                <c:pt idx="834" formatCode="General">
                  <c:v>0</c:v>
                </c:pt>
                <c:pt idx="835" formatCode="General">
                  <c:v>0</c:v>
                </c:pt>
                <c:pt idx="836" formatCode="General">
                  <c:v>0</c:v>
                </c:pt>
                <c:pt idx="837" formatCode="General">
                  <c:v>0</c:v>
                </c:pt>
                <c:pt idx="838" formatCode="General">
                  <c:v>0</c:v>
                </c:pt>
                <c:pt idx="839" formatCode="General">
                  <c:v>0</c:v>
                </c:pt>
                <c:pt idx="840" formatCode="General">
                  <c:v>0</c:v>
                </c:pt>
                <c:pt idx="841" formatCode="General">
                  <c:v>0</c:v>
                </c:pt>
                <c:pt idx="842" formatCode="General">
                  <c:v>0</c:v>
                </c:pt>
                <c:pt idx="843" formatCode="General">
                  <c:v>0</c:v>
                </c:pt>
                <c:pt idx="844" formatCode="General">
                  <c:v>0</c:v>
                </c:pt>
                <c:pt idx="845" formatCode="General">
                  <c:v>0</c:v>
                </c:pt>
                <c:pt idx="846" formatCode="General">
                  <c:v>0</c:v>
                </c:pt>
                <c:pt idx="847" formatCode="General">
                  <c:v>0</c:v>
                </c:pt>
                <c:pt idx="848" formatCode="General">
                  <c:v>0</c:v>
                </c:pt>
                <c:pt idx="849" formatCode="General">
                  <c:v>0</c:v>
                </c:pt>
                <c:pt idx="850" formatCode="General">
                  <c:v>0</c:v>
                </c:pt>
                <c:pt idx="851" formatCode="General">
                  <c:v>0</c:v>
                </c:pt>
                <c:pt idx="852" formatCode="General">
                  <c:v>0</c:v>
                </c:pt>
                <c:pt idx="853" formatCode="General">
                  <c:v>0</c:v>
                </c:pt>
                <c:pt idx="854" formatCode="General">
                  <c:v>0</c:v>
                </c:pt>
                <c:pt idx="855" formatCode="General">
                  <c:v>0</c:v>
                </c:pt>
                <c:pt idx="856" formatCode="General">
                  <c:v>0</c:v>
                </c:pt>
                <c:pt idx="857" formatCode="General">
                  <c:v>0</c:v>
                </c:pt>
                <c:pt idx="858" formatCode="General">
                  <c:v>0</c:v>
                </c:pt>
                <c:pt idx="859" formatCode="General">
                  <c:v>0</c:v>
                </c:pt>
                <c:pt idx="860" formatCode="General">
                  <c:v>0</c:v>
                </c:pt>
                <c:pt idx="861" formatCode="General">
                  <c:v>0</c:v>
                </c:pt>
                <c:pt idx="862" formatCode="General">
                  <c:v>0</c:v>
                </c:pt>
                <c:pt idx="863" formatCode="General">
                  <c:v>0</c:v>
                </c:pt>
                <c:pt idx="864" formatCode="General">
                  <c:v>0</c:v>
                </c:pt>
                <c:pt idx="865" formatCode="General">
                  <c:v>0</c:v>
                </c:pt>
                <c:pt idx="866" formatCode="General">
                  <c:v>0</c:v>
                </c:pt>
                <c:pt idx="867" formatCode="General">
                  <c:v>0</c:v>
                </c:pt>
                <c:pt idx="868" formatCode="General">
                  <c:v>0</c:v>
                </c:pt>
                <c:pt idx="869" formatCode="General">
                  <c:v>0</c:v>
                </c:pt>
                <c:pt idx="870" formatCode="General">
                  <c:v>0</c:v>
                </c:pt>
                <c:pt idx="871" formatCode="General">
                  <c:v>0</c:v>
                </c:pt>
                <c:pt idx="872" formatCode="General">
                  <c:v>0</c:v>
                </c:pt>
                <c:pt idx="873" formatCode="General">
                  <c:v>0</c:v>
                </c:pt>
                <c:pt idx="874" formatCode="General">
                  <c:v>0</c:v>
                </c:pt>
                <c:pt idx="875" formatCode="General">
                  <c:v>0</c:v>
                </c:pt>
                <c:pt idx="876" formatCode="General">
                  <c:v>0</c:v>
                </c:pt>
                <c:pt idx="877" formatCode="General">
                  <c:v>0</c:v>
                </c:pt>
                <c:pt idx="878" formatCode="General">
                  <c:v>0</c:v>
                </c:pt>
                <c:pt idx="879" formatCode="General">
                  <c:v>0</c:v>
                </c:pt>
                <c:pt idx="880" formatCode="General">
                  <c:v>0</c:v>
                </c:pt>
                <c:pt idx="881" formatCode="General">
                  <c:v>0</c:v>
                </c:pt>
                <c:pt idx="882" formatCode="General">
                  <c:v>0</c:v>
                </c:pt>
                <c:pt idx="883" formatCode="General">
                  <c:v>0</c:v>
                </c:pt>
                <c:pt idx="884" formatCode="General">
                  <c:v>0</c:v>
                </c:pt>
                <c:pt idx="885" formatCode="General">
                  <c:v>0</c:v>
                </c:pt>
                <c:pt idx="886" formatCode="General">
                  <c:v>0</c:v>
                </c:pt>
                <c:pt idx="887" formatCode="General">
                  <c:v>0</c:v>
                </c:pt>
                <c:pt idx="888" formatCode="General">
                  <c:v>0</c:v>
                </c:pt>
                <c:pt idx="889" formatCode="General">
                  <c:v>0</c:v>
                </c:pt>
                <c:pt idx="890" formatCode="General">
                  <c:v>0</c:v>
                </c:pt>
                <c:pt idx="891" formatCode="General">
                  <c:v>0</c:v>
                </c:pt>
                <c:pt idx="892" formatCode="General">
                  <c:v>0</c:v>
                </c:pt>
                <c:pt idx="893" formatCode="General">
                  <c:v>0</c:v>
                </c:pt>
                <c:pt idx="894" formatCode="General">
                  <c:v>0</c:v>
                </c:pt>
                <c:pt idx="895" formatCode="General">
                  <c:v>0</c:v>
                </c:pt>
                <c:pt idx="896" formatCode="General">
                  <c:v>0</c:v>
                </c:pt>
                <c:pt idx="897" formatCode="General">
                  <c:v>0</c:v>
                </c:pt>
                <c:pt idx="898" formatCode="General">
                  <c:v>0</c:v>
                </c:pt>
                <c:pt idx="899" formatCode="General">
                  <c:v>0</c:v>
                </c:pt>
                <c:pt idx="900" formatCode="General">
                  <c:v>0</c:v>
                </c:pt>
                <c:pt idx="901" formatCode="General">
                  <c:v>0</c:v>
                </c:pt>
                <c:pt idx="902" formatCode="General">
                  <c:v>0</c:v>
                </c:pt>
                <c:pt idx="903" formatCode="General">
                  <c:v>0</c:v>
                </c:pt>
                <c:pt idx="904" formatCode="General">
                  <c:v>0</c:v>
                </c:pt>
                <c:pt idx="905" formatCode="General">
                  <c:v>0</c:v>
                </c:pt>
                <c:pt idx="906" formatCode="General">
                  <c:v>0</c:v>
                </c:pt>
                <c:pt idx="907" formatCode="General">
                  <c:v>0</c:v>
                </c:pt>
                <c:pt idx="908" formatCode="General">
                  <c:v>0</c:v>
                </c:pt>
                <c:pt idx="909" formatCode="General">
                  <c:v>0</c:v>
                </c:pt>
                <c:pt idx="910" formatCode="General">
                  <c:v>0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 formatCode="General">
                  <c:v>0</c:v>
                </c:pt>
                <c:pt idx="915" formatCode="General">
                  <c:v>0</c:v>
                </c:pt>
                <c:pt idx="916" formatCode="General">
                  <c:v>0</c:v>
                </c:pt>
                <c:pt idx="917" formatCode="General">
                  <c:v>0</c:v>
                </c:pt>
                <c:pt idx="918" formatCode="General">
                  <c:v>0</c:v>
                </c:pt>
                <c:pt idx="919" formatCode="General">
                  <c:v>0</c:v>
                </c:pt>
                <c:pt idx="920" formatCode="General">
                  <c:v>0</c:v>
                </c:pt>
                <c:pt idx="921" formatCode="General">
                  <c:v>0</c:v>
                </c:pt>
                <c:pt idx="922" formatCode="General">
                  <c:v>0</c:v>
                </c:pt>
                <c:pt idx="923" formatCode="General">
                  <c:v>0</c:v>
                </c:pt>
                <c:pt idx="924" formatCode="General">
                  <c:v>0</c:v>
                </c:pt>
                <c:pt idx="925" formatCode="General">
                  <c:v>0</c:v>
                </c:pt>
                <c:pt idx="926" formatCode="General">
                  <c:v>0</c:v>
                </c:pt>
                <c:pt idx="927" formatCode="General">
                  <c:v>0</c:v>
                </c:pt>
                <c:pt idx="928" formatCode="General">
                  <c:v>0</c:v>
                </c:pt>
                <c:pt idx="929" formatCode="General">
                  <c:v>0</c:v>
                </c:pt>
                <c:pt idx="930" formatCode="General">
                  <c:v>0</c:v>
                </c:pt>
                <c:pt idx="931" formatCode="General">
                  <c:v>0</c:v>
                </c:pt>
                <c:pt idx="932" formatCode="General">
                  <c:v>0</c:v>
                </c:pt>
                <c:pt idx="933" formatCode="General">
                  <c:v>0</c:v>
                </c:pt>
                <c:pt idx="934" formatCode="General">
                  <c:v>0</c:v>
                </c:pt>
                <c:pt idx="935" formatCode="General">
                  <c:v>0</c:v>
                </c:pt>
                <c:pt idx="936" formatCode="General">
                  <c:v>0</c:v>
                </c:pt>
                <c:pt idx="937" formatCode="General">
                  <c:v>0</c:v>
                </c:pt>
                <c:pt idx="938" formatCode="General">
                  <c:v>0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 formatCode="General">
                  <c:v>0</c:v>
                </c:pt>
                <c:pt idx="942" formatCode="General">
                  <c:v>0</c:v>
                </c:pt>
                <c:pt idx="943" formatCode="General">
                  <c:v>0</c:v>
                </c:pt>
                <c:pt idx="944" formatCode="General">
                  <c:v>0</c:v>
                </c:pt>
                <c:pt idx="945" formatCode="General">
                  <c:v>0</c:v>
                </c:pt>
                <c:pt idx="946" formatCode="General">
                  <c:v>0</c:v>
                </c:pt>
                <c:pt idx="947" formatCode="General">
                  <c:v>0</c:v>
                </c:pt>
                <c:pt idx="948" formatCode="General">
                  <c:v>0</c:v>
                </c:pt>
                <c:pt idx="949" formatCode="General">
                  <c:v>0</c:v>
                </c:pt>
                <c:pt idx="950" formatCode="General">
                  <c:v>0</c:v>
                </c:pt>
                <c:pt idx="951" formatCode="General">
                  <c:v>0</c:v>
                </c:pt>
                <c:pt idx="952" formatCode="General">
                  <c:v>0</c:v>
                </c:pt>
                <c:pt idx="953" formatCode="General">
                  <c:v>0</c:v>
                </c:pt>
                <c:pt idx="954" formatCode="General">
                  <c:v>0</c:v>
                </c:pt>
                <c:pt idx="955" formatCode="General">
                  <c:v>0</c:v>
                </c:pt>
                <c:pt idx="956" formatCode="General">
                  <c:v>0</c:v>
                </c:pt>
                <c:pt idx="957" formatCode="General">
                  <c:v>0</c:v>
                </c:pt>
                <c:pt idx="958" formatCode="General">
                  <c:v>0</c:v>
                </c:pt>
                <c:pt idx="959" formatCode="General">
                  <c:v>0</c:v>
                </c:pt>
                <c:pt idx="960" formatCode="General">
                  <c:v>0</c:v>
                </c:pt>
                <c:pt idx="961" formatCode="General">
                  <c:v>0</c:v>
                </c:pt>
                <c:pt idx="962" formatCode="General">
                  <c:v>0</c:v>
                </c:pt>
                <c:pt idx="963" formatCode="General">
                  <c:v>0</c:v>
                </c:pt>
                <c:pt idx="964" formatCode="General">
                  <c:v>0</c:v>
                </c:pt>
                <c:pt idx="965" formatCode="General">
                  <c:v>0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 formatCode="General">
                  <c:v>0</c:v>
                </c:pt>
                <c:pt idx="969" formatCode="General">
                  <c:v>0</c:v>
                </c:pt>
                <c:pt idx="970" formatCode="General">
                  <c:v>0</c:v>
                </c:pt>
                <c:pt idx="971" formatCode="General">
                  <c:v>0</c:v>
                </c:pt>
                <c:pt idx="972" formatCode="General">
                  <c:v>0</c:v>
                </c:pt>
                <c:pt idx="973" formatCode="General">
                  <c:v>0</c:v>
                </c:pt>
                <c:pt idx="974" formatCode="General">
                  <c:v>0</c:v>
                </c:pt>
                <c:pt idx="975" formatCode="General">
                  <c:v>0</c:v>
                </c:pt>
                <c:pt idx="976" formatCode="General">
                  <c:v>0</c:v>
                </c:pt>
                <c:pt idx="977" formatCode="General">
                  <c:v>0</c:v>
                </c:pt>
                <c:pt idx="978" formatCode="General">
                  <c:v>0</c:v>
                </c:pt>
                <c:pt idx="979" formatCode="General">
                  <c:v>0</c:v>
                </c:pt>
                <c:pt idx="980" formatCode="General">
                  <c:v>0</c:v>
                </c:pt>
                <c:pt idx="981" formatCode="General">
                  <c:v>0</c:v>
                </c:pt>
                <c:pt idx="982" formatCode="General">
                  <c:v>0</c:v>
                </c:pt>
                <c:pt idx="983" formatCode="General">
                  <c:v>0</c:v>
                </c:pt>
                <c:pt idx="984" formatCode="General">
                  <c:v>0</c:v>
                </c:pt>
                <c:pt idx="985" formatCode="General">
                  <c:v>0</c:v>
                </c:pt>
                <c:pt idx="986" formatCode="General">
                  <c:v>0</c:v>
                </c:pt>
                <c:pt idx="987" formatCode="General">
                  <c:v>0</c:v>
                </c:pt>
                <c:pt idx="988" formatCode="General">
                  <c:v>0</c:v>
                </c:pt>
                <c:pt idx="989" formatCode="General">
                  <c:v>0</c:v>
                </c:pt>
                <c:pt idx="990" formatCode="General">
                  <c:v>0</c:v>
                </c:pt>
                <c:pt idx="991" formatCode="General">
                  <c:v>0</c:v>
                </c:pt>
                <c:pt idx="992" formatCode="General">
                  <c:v>0</c:v>
                </c:pt>
                <c:pt idx="993" formatCode="General">
                  <c:v>0</c:v>
                </c:pt>
                <c:pt idx="994" formatCode="General">
                  <c:v>0</c:v>
                </c:pt>
                <c:pt idx="995" formatCode="General">
                  <c:v>0</c:v>
                </c:pt>
                <c:pt idx="996" formatCode="General">
                  <c:v>0</c:v>
                </c:pt>
                <c:pt idx="997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D-4B31-AB80-32545399B17D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Wind代码3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242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  <c:pt idx="150">
                  <c:v>2023/4/21</c:v>
                </c:pt>
                <c:pt idx="151">
                  <c:v>2023/4/20</c:v>
                </c:pt>
                <c:pt idx="152">
                  <c:v>2023/4/19</c:v>
                </c:pt>
                <c:pt idx="153">
                  <c:v>2023/4/18</c:v>
                </c:pt>
                <c:pt idx="154">
                  <c:v>2023/4/17</c:v>
                </c:pt>
                <c:pt idx="155">
                  <c:v>2023/4/14</c:v>
                </c:pt>
                <c:pt idx="156">
                  <c:v>2023/4/13</c:v>
                </c:pt>
                <c:pt idx="157">
                  <c:v>2023/4/12</c:v>
                </c:pt>
                <c:pt idx="158">
                  <c:v>2023/4/11</c:v>
                </c:pt>
                <c:pt idx="159">
                  <c:v>2023/4/10</c:v>
                </c:pt>
                <c:pt idx="160">
                  <c:v>2023/4/7</c:v>
                </c:pt>
                <c:pt idx="161">
                  <c:v>2023/4/6</c:v>
                </c:pt>
                <c:pt idx="162">
                  <c:v>2023/4/4</c:v>
                </c:pt>
                <c:pt idx="163">
                  <c:v>2023/4/3</c:v>
                </c:pt>
                <c:pt idx="164">
                  <c:v>2023/3/31</c:v>
                </c:pt>
                <c:pt idx="165">
                  <c:v>2023/3/30</c:v>
                </c:pt>
                <c:pt idx="166">
                  <c:v>2023/3/29</c:v>
                </c:pt>
                <c:pt idx="167">
                  <c:v>2023/3/28</c:v>
                </c:pt>
                <c:pt idx="168">
                  <c:v>2023/3/27</c:v>
                </c:pt>
                <c:pt idx="169">
                  <c:v>2023/3/24</c:v>
                </c:pt>
                <c:pt idx="170">
                  <c:v>2023/3/23</c:v>
                </c:pt>
                <c:pt idx="171">
                  <c:v>2023/3/22</c:v>
                </c:pt>
                <c:pt idx="172">
                  <c:v>2023/3/21</c:v>
                </c:pt>
                <c:pt idx="173">
                  <c:v>2023/3/20</c:v>
                </c:pt>
                <c:pt idx="174">
                  <c:v>2023/3/17</c:v>
                </c:pt>
                <c:pt idx="175">
                  <c:v>2023/3/16</c:v>
                </c:pt>
                <c:pt idx="176">
                  <c:v>2023/3/15</c:v>
                </c:pt>
                <c:pt idx="177">
                  <c:v>2023/3/14</c:v>
                </c:pt>
                <c:pt idx="178">
                  <c:v>2023/3/13</c:v>
                </c:pt>
                <c:pt idx="179">
                  <c:v>2023/3/10</c:v>
                </c:pt>
                <c:pt idx="180">
                  <c:v>2023/3/9</c:v>
                </c:pt>
                <c:pt idx="181">
                  <c:v>2023/3/8</c:v>
                </c:pt>
                <c:pt idx="182">
                  <c:v>2023/3/7</c:v>
                </c:pt>
                <c:pt idx="183">
                  <c:v>2023/3/6</c:v>
                </c:pt>
                <c:pt idx="184">
                  <c:v>2023/3/3</c:v>
                </c:pt>
                <c:pt idx="185">
                  <c:v>2023/3/2</c:v>
                </c:pt>
                <c:pt idx="186">
                  <c:v>2023/3/1</c:v>
                </c:pt>
                <c:pt idx="187">
                  <c:v>2023/2/28</c:v>
                </c:pt>
                <c:pt idx="188">
                  <c:v>2023/2/27</c:v>
                </c:pt>
                <c:pt idx="189">
                  <c:v>2023/2/24</c:v>
                </c:pt>
                <c:pt idx="190">
                  <c:v>2023/2/23</c:v>
                </c:pt>
                <c:pt idx="191">
                  <c:v>2023/2/22</c:v>
                </c:pt>
                <c:pt idx="192">
                  <c:v>2023/2/21</c:v>
                </c:pt>
                <c:pt idx="193">
                  <c:v>2023/2/20</c:v>
                </c:pt>
                <c:pt idx="194">
                  <c:v>2023/2/17</c:v>
                </c:pt>
                <c:pt idx="195">
                  <c:v>2023/2/16</c:v>
                </c:pt>
                <c:pt idx="196">
                  <c:v>2023/2/15</c:v>
                </c:pt>
                <c:pt idx="197">
                  <c:v>2023/2/14</c:v>
                </c:pt>
                <c:pt idx="198">
                  <c:v>2023/2/13</c:v>
                </c:pt>
                <c:pt idx="199">
                  <c:v>2023/2/10</c:v>
                </c:pt>
                <c:pt idx="200">
                  <c:v>2023/2/9</c:v>
                </c:pt>
                <c:pt idx="201">
                  <c:v>2023/2/8</c:v>
                </c:pt>
                <c:pt idx="202">
                  <c:v>2023/2/7</c:v>
                </c:pt>
                <c:pt idx="203">
                  <c:v>2023/2/6</c:v>
                </c:pt>
                <c:pt idx="204">
                  <c:v>2023/2/3</c:v>
                </c:pt>
                <c:pt idx="205">
                  <c:v>2023/2/2</c:v>
                </c:pt>
                <c:pt idx="206">
                  <c:v>2023/2/1</c:v>
                </c:pt>
                <c:pt idx="207">
                  <c:v>2023/1/31</c:v>
                </c:pt>
                <c:pt idx="208">
                  <c:v>2023/1/30</c:v>
                </c:pt>
                <c:pt idx="209">
                  <c:v>2023/1/20</c:v>
                </c:pt>
                <c:pt idx="210">
                  <c:v>2023/1/19</c:v>
                </c:pt>
                <c:pt idx="211">
                  <c:v>2023/1/18</c:v>
                </c:pt>
                <c:pt idx="212">
                  <c:v>2023/1/17</c:v>
                </c:pt>
                <c:pt idx="213">
                  <c:v>2023/1/16</c:v>
                </c:pt>
                <c:pt idx="214">
                  <c:v>2023/1/13</c:v>
                </c:pt>
                <c:pt idx="215">
                  <c:v>2023/1/12</c:v>
                </c:pt>
                <c:pt idx="216">
                  <c:v>2023/1/11</c:v>
                </c:pt>
                <c:pt idx="217">
                  <c:v>2023/1/10</c:v>
                </c:pt>
                <c:pt idx="218">
                  <c:v>2023/1/9</c:v>
                </c:pt>
                <c:pt idx="219">
                  <c:v>2023/1/6</c:v>
                </c:pt>
                <c:pt idx="220">
                  <c:v>2023/1/5</c:v>
                </c:pt>
                <c:pt idx="221">
                  <c:v>2023/1/4</c:v>
                </c:pt>
                <c:pt idx="222">
                  <c:v>2023/1/3</c:v>
                </c:pt>
                <c:pt idx="223">
                  <c:v>2022/12/30</c:v>
                </c:pt>
                <c:pt idx="224">
                  <c:v>2022/12/29</c:v>
                </c:pt>
                <c:pt idx="225">
                  <c:v>2022/12/28</c:v>
                </c:pt>
                <c:pt idx="226">
                  <c:v>2022/12/27</c:v>
                </c:pt>
                <c:pt idx="227">
                  <c:v>2022/12/26</c:v>
                </c:pt>
                <c:pt idx="228">
                  <c:v>2022/12/23</c:v>
                </c:pt>
                <c:pt idx="229">
                  <c:v>2022/12/22</c:v>
                </c:pt>
                <c:pt idx="230">
                  <c:v>2022/12/21</c:v>
                </c:pt>
                <c:pt idx="231">
                  <c:v>2022/12/20</c:v>
                </c:pt>
                <c:pt idx="232">
                  <c:v>2022/12/19</c:v>
                </c:pt>
                <c:pt idx="233">
                  <c:v>2022/12/16</c:v>
                </c:pt>
                <c:pt idx="234">
                  <c:v>2022/12/15</c:v>
                </c:pt>
                <c:pt idx="235">
                  <c:v>2022/12/14</c:v>
                </c:pt>
                <c:pt idx="236">
                  <c:v>2022/12/13</c:v>
                </c:pt>
                <c:pt idx="237">
                  <c:v>2022/12/12</c:v>
                </c:pt>
                <c:pt idx="238">
                  <c:v>2022/12/9</c:v>
                </c:pt>
                <c:pt idx="239">
                  <c:v>2022/12/8</c:v>
                </c:pt>
                <c:pt idx="240">
                  <c:v>2022/12/7</c:v>
                </c:pt>
                <c:pt idx="241">
                  <c:v>2022/12/6</c:v>
                </c:pt>
              </c:strCache>
            </c:strRef>
          </c:cat>
          <c:val>
            <c:numRef>
              <c:f>data!$D$4:$D$1001</c:f>
              <c:numCache>
                <c:formatCode>_(* #,##0.00_);_(* \(#,##0.00\);_(* "-"??_);_(@_)</c:formatCode>
                <c:ptCount val="998"/>
                <c:pt idx="0">
                  <c:v>22.98</c:v>
                </c:pt>
                <c:pt idx="1">
                  <c:v>22.92</c:v>
                </c:pt>
                <c:pt idx="2">
                  <c:v>22.75</c:v>
                </c:pt>
                <c:pt idx="3">
                  <c:v>23.32</c:v>
                </c:pt>
                <c:pt idx="4">
                  <c:v>23.7</c:v>
                </c:pt>
                <c:pt idx="5">
                  <c:v>25.31</c:v>
                </c:pt>
                <c:pt idx="6">
                  <c:v>23.41</c:v>
                </c:pt>
                <c:pt idx="7">
                  <c:v>22.73</c:v>
                </c:pt>
                <c:pt idx="8">
                  <c:v>22.37</c:v>
                </c:pt>
                <c:pt idx="9">
                  <c:v>23.19</c:v>
                </c:pt>
                <c:pt idx="10">
                  <c:v>23.86</c:v>
                </c:pt>
                <c:pt idx="11">
                  <c:v>23.97</c:v>
                </c:pt>
                <c:pt idx="12">
                  <c:v>24.53</c:v>
                </c:pt>
                <c:pt idx="13">
                  <c:v>23.37</c:v>
                </c:pt>
                <c:pt idx="14">
                  <c:v>23.98</c:v>
                </c:pt>
                <c:pt idx="15">
                  <c:v>23.15</c:v>
                </c:pt>
                <c:pt idx="16">
                  <c:v>22.5</c:v>
                </c:pt>
                <c:pt idx="17">
                  <c:v>24.23</c:v>
                </c:pt>
                <c:pt idx="18">
                  <c:v>24.51</c:v>
                </c:pt>
                <c:pt idx="19">
                  <c:v>23.66</c:v>
                </c:pt>
                <c:pt idx="20">
                  <c:v>22.68</c:v>
                </c:pt>
                <c:pt idx="21">
                  <c:v>22.3</c:v>
                </c:pt>
                <c:pt idx="22">
                  <c:v>22.24</c:v>
                </c:pt>
                <c:pt idx="23">
                  <c:v>22.47</c:v>
                </c:pt>
                <c:pt idx="24">
                  <c:v>23.95</c:v>
                </c:pt>
                <c:pt idx="25">
                  <c:v>23.33</c:v>
                </c:pt>
                <c:pt idx="26">
                  <c:v>23.69</c:v>
                </c:pt>
                <c:pt idx="27">
                  <c:v>21.54</c:v>
                </c:pt>
                <c:pt idx="28">
                  <c:v>22.36</c:v>
                </c:pt>
                <c:pt idx="29">
                  <c:v>22.27</c:v>
                </c:pt>
                <c:pt idx="30">
                  <c:v>21.92</c:v>
                </c:pt>
                <c:pt idx="31">
                  <c:v>24.35</c:v>
                </c:pt>
                <c:pt idx="32">
                  <c:v>27.05</c:v>
                </c:pt>
                <c:pt idx="33">
                  <c:v>26.51</c:v>
                </c:pt>
                <c:pt idx="34">
                  <c:v>26.68</c:v>
                </c:pt>
                <c:pt idx="35">
                  <c:v>25.59</c:v>
                </c:pt>
                <c:pt idx="36">
                  <c:v>26.71</c:v>
                </c:pt>
                <c:pt idx="37">
                  <c:v>25.1</c:v>
                </c:pt>
                <c:pt idx="38">
                  <c:v>26.26</c:v>
                </c:pt>
                <c:pt idx="39">
                  <c:v>23.87</c:v>
                </c:pt>
                <c:pt idx="40">
                  <c:v>22.79</c:v>
                </c:pt>
                <c:pt idx="41">
                  <c:v>23.5</c:v>
                </c:pt>
                <c:pt idx="42">
                  <c:v>23.3</c:v>
                </c:pt>
                <c:pt idx="43">
                  <c:v>23.71</c:v>
                </c:pt>
                <c:pt idx="44">
                  <c:v>22.76</c:v>
                </c:pt>
                <c:pt idx="45">
                  <c:v>21.88</c:v>
                </c:pt>
                <c:pt idx="46">
                  <c:v>21.93</c:v>
                </c:pt>
                <c:pt idx="47">
                  <c:v>21.8</c:v>
                </c:pt>
                <c:pt idx="48">
                  <c:v>22.59</c:v>
                </c:pt>
                <c:pt idx="49">
                  <c:v>23.85</c:v>
                </c:pt>
                <c:pt idx="50">
                  <c:v>26.22</c:v>
                </c:pt>
                <c:pt idx="51">
                  <c:v>23.84</c:v>
                </c:pt>
                <c:pt idx="52">
                  <c:v>24.75</c:v>
                </c:pt>
                <c:pt idx="53">
                  <c:v>24.58</c:v>
                </c:pt>
                <c:pt idx="54">
                  <c:v>23.74</c:v>
                </c:pt>
                <c:pt idx="55">
                  <c:v>21.58</c:v>
                </c:pt>
                <c:pt idx="56">
                  <c:v>19.62</c:v>
                </c:pt>
                <c:pt idx="57">
                  <c:v>17.84</c:v>
                </c:pt>
                <c:pt idx="58">
                  <c:v>16.22</c:v>
                </c:pt>
                <c:pt idx="59">
                  <c:v>15.95</c:v>
                </c:pt>
                <c:pt idx="60">
                  <c:v>15.68</c:v>
                </c:pt>
                <c:pt idx="61">
                  <c:v>16.690000000000001</c:v>
                </c:pt>
                <c:pt idx="62">
                  <c:v>16.68</c:v>
                </c:pt>
                <c:pt idx="63">
                  <c:v>15.74</c:v>
                </c:pt>
                <c:pt idx="64">
                  <c:v>14.57</c:v>
                </c:pt>
                <c:pt idx="65">
                  <c:v>14.18</c:v>
                </c:pt>
                <c:pt idx="66">
                  <c:v>14.35</c:v>
                </c:pt>
                <c:pt idx="67">
                  <c:v>14.24</c:v>
                </c:pt>
                <c:pt idx="68">
                  <c:v>14.97</c:v>
                </c:pt>
                <c:pt idx="69">
                  <c:v>14.81</c:v>
                </c:pt>
                <c:pt idx="70">
                  <c:v>14.82</c:v>
                </c:pt>
                <c:pt idx="71">
                  <c:v>15.13</c:v>
                </c:pt>
                <c:pt idx="72">
                  <c:v>15.09</c:v>
                </c:pt>
                <c:pt idx="73">
                  <c:v>15.04</c:v>
                </c:pt>
                <c:pt idx="74">
                  <c:v>15.24</c:v>
                </c:pt>
                <c:pt idx="75">
                  <c:v>15.51</c:v>
                </c:pt>
                <c:pt idx="76">
                  <c:v>15.88</c:v>
                </c:pt>
                <c:pt idx="77">
                  <c:v>16.07</c:v>
                </c:pt>
                <c:pt idx="78">
                  <c:v>15.97</c:v>
                </c:pt>
                <c:pt idx="79">
                  <c:v>16.18</c:v>
                </c:pt>
                <c:pt idx="80">
                  <c:v>17.12</c:v>
                </c:pt>
                <c:pt idx="81">
                  <c:v>16.899999999999999</c:v>
                </c:pt>
                <c:pt idx="82">
                  <c:v>17.260000000000002</c:v>
                </c:pt>
                <c:pt idx="83">
                  <c:v>16.350000000000001</c:v>
                </c:pt>
                <c:pt idx="84">
                  <c:v>15.59</c:v>
                </c:pt>
                <c:pt idx="85">
                  <c:v>15.34</c:v>
                </c:pt>
                <c:pt idx="86">
                  <c:v>15.17</c:v>
                </c:pt>
                <c:pt idx="87">
                  <c:v>15.85</c:v>
                </c:pt>
                <c:pt idx="88">
                  <c:v>15.46</c:v>
                </c:pt>
                <c:pt idx="89">
                  <c:v>15.18</c:v>
                </c:pt>
                <c:pt idx="90">
                  <c:v>15.37</c:v>
                </c:pt>
                <c:pt idx="91">
                  <c:v>15.42</c:v>
                </c:pt>
                <c:pt idx="92">
                  <c:v>15.9</c:v>
                </c:pt>
                <c:pt idx="93">
                  <c:v>15.57</c:v>
                </c:pt>
                <c:pt idx="94">
                  <c:v>15.53</c:v>
                </c:pt>
                <c:pt idx="95">
                  <c:v>14.12</c:v>
                </c:pt>
                <c:pt idx="96">
                  <c:v>14.42</c:v>
                </c:pt>
                <c:pt idx="97">
                  <c:v>13.5</c:v>
                </c:pt>
                <c:pt idx="98">
                  <c:v>14.15</c:v>
                </c:pt>
                <c:pt idx="99">
                  <c:v>14.23</c:v>
                </c:pt>
                <c:pt idx="100">
                  <c:v>14.43</c:v>
                </c:pt>
                <c:pt idx="101">
                  <c:v>14.22</c:v>
                </c:pt>
                <c:pt idx="102">
                  <c:v>13.99</c:v>
                </c:pt>
                <c:pt idx="103">
                  <c:v>14.26</c:v>
                </c:pt>
                <c:pt idx="104">
                  <c:v>14.34</c:v>
                </c:pt>
                <c:pt idx="105">
                  <c:v>13.92</c:v>
                </c:pt>
                <c:pt idx="106">
                  <c:v>13.4</c:v>
                </c:pt>
                <c:pt idx="107">
                  <c:v>13.53</c:v>
                </c:pt>
                <c:pt idx="108">
                  <c:v>13.69</c:v>
                </c:pt>
                <c:pt idx="109">
                  <c:v>13.26</c:v>
                </c:pt>
                <c:pt idx="110">
                  <c:v>13.82</c:v>
                </c:pt>
                <c:pt idx="111">
                  <c:v>14.53</c:v>
                </c:pt>
                <c:pt idx="112">
                  <c:v>15.03</c:v>
                </c:pt>
                <c:pt idx="113">
                  <c:v>14.65</c:v>
                </c:pt>
                <c:pt idx="114">
                  <c:v>14.43</c:v>
                </c:pt>
                <c:pt idx="115">
                  <c:v>14.82</c:v>
                </c:pt>
                <c:pt idx="116">
                  <c:v>14.5</c:v>
                </c:pt>
                <c:pt idx="117">
                  <c:v>14.32</c:v>
                </c:pt>
                <c:pt idx="118">
                  <c:v>14.31</c:v>
                </c:pt>
                <c:pt idx="119">
                  <c:v>14.5</c:v>
                </c:pt>
                <c:pt idx="120">
                  <c:v>14.55</c:v>
                </c:pt>
                <c:pt idx="121">
                  <c:v>14.24</c:v>
                </c:pt>
                <c:pt idx="122">
                  <c:v>14.56</c:v>
                </c:pt>
                <c:pt idx="123">
                  <c:v>14.79</c:v>
                </c:pt>
                <c:pt idx="124">
                  <c:v>15.01</c:v>
                </c:pt>
                <c:pt idx="125">
                  <c:v>14.52</c:v>
                </c:pt>
                <c:pt idx="126">
                  <c:v>14.51</c:v>
                </c:pt>
                <c:pt idx="127">
                  <c:v>14.12</c:v>
                </c:pt>
                <c:pt idx="128">
                  <c:v>14.11</c:v>
                </c:pt>
                <c:pt idx="129">
                  <c:v>14.07</c:v>
                </c:pt>
                <c:pt idx="130">
                  <c:v>14.23</c:v>
                </c:pt>
                <c:pt idx="131">
                  <c:v>14.21</c:v>
                </c:pt>
                <c:pt idx="132">
                  <c:v>14.44</c:v>
                </c:pt>
                <c:pt idx="133">
                  <c:v>14.64</c:v>
                </c:pt>
                <c:pt idx="134">
                  <c:v>14.71</c:v>
                </c:pt>
                <c:pt idx="135">
                  <c:v>14.57</c:v>
                </c:pt>
                <c:pt idx="136">
                  <c:v>14.49</c:v>
                </c:pt>
                <c:pt idx="137">
                  <c:v>14.79</c:v>
                </c:pt>
                <c:pt idx="138">
                  <c:v>14.74</c:v>
                </c:pt>
                <c:pt idx="139">
                  <c:v>14.91</c:v>
                </c:pt>
                <c:pt idx="140">
                  <c:v>14.94</c:v>
                </c:pt>
                <c:pt idx="141">
                  <c:v>15.16</c:v>
                </c:pt>
                <c:pt idx="142">
                  <c:v>15.17</c:v>
                </c:pt>
                <c:pt idx="143">
                  <c:v>15.31</c:v>
                </c:pt>
                <c:pt idx="144">
                  <c:v>15.17</c:v>
                </c:pt>
                <c:pt idx="145">
                  <c:v>15.62</c:v>
                </c:pt>
                <c:pt idx="146">
                  <c:v>15.17</c:v>
                </c:pt>
                <c:pt idx="147">
                  <c:v>15.08</c:v>
                </c:pt>
                <c:pt idx="148">
                  <c:v>15.36</c:v>
                </c:pt>
                <c:pt idx="149">
                  <c:v>15.78</c:v>
                </c:pt>
                <c:pt idx="150">
                  <c:v>15.75</c:v>
                </c:pt>
                <c:pt idx="151">
                  <c:v>16.91</c:v>
                </c:pt>
                <c:pt idx="152">
                  <c:v>16.36</c:v>
                </c:pt>
                <c:pt idx="153">
                  <c:v>16.46</c:v>
                </c:pt>
                <c:pt idx="154">
                  <c:v>16.170000000000002</c:v>
                </c:pt>
                <c:pt idx="155">
                  <c:v>16.61</c:v>
                </c:pt>
                <c:pt idx="156">
                  <c:v>15.95</c:v>
                </c:pt>
                <c:pt idx="157">
                  <c:v>16.399999999999999</c:v>
                </c:pt>
                <c:pt idx="158">
                  <c:v>16.41</c:v>
                </c:pt>
                <c:pt idx="159">
                  <c:v>16.399999999999999</c:v>
                </c:pt>
                <c:pt idx="160">
                  <c:v>17.37</c:v>
                </c:pt>
                <c:pt idx="161">
                  <c:v>17.3</c:v>
                </c:pt>
                <c:pt idx="162">
                  <c:v>16.809999999999999</c:v>
                </c:pt>
                <c:pt idx="163">
                  <c:v>16.91</c:v>
                </c:pt>
                <c:pt idx="164">
                  <c:v>16.45</c:v>
                </c:pt>
                <c:pt idx="165">
                  <c:v>16.32</c:v>
                </c:pt>
                <c:pt idx="166">
                  <c:v>17.2</c:v>
                </c:pt>
                <c:pt idx="167">
                  <c:v>18.39</c:v>
                </c:pt>
                <c:pt idx="168">
                  <c:v>17.829999999999998</c:v>
                </c:pt>
                <c:pt idx="169">
                  <c:v>18.45</c:v>
                </c:pt>
                <c:pt idx="170">
                  <c:v>17.93</c:v>
                </c:pt>
                <c:pt idx="171">
                  <c:v>17.84</c:v>
                </c:pt>
                <c:pt idx="172">
                  <c:v>18.079999999999998</c:v>
                </c:pt>
                <c:pt idx="173">
                  <c:v>18.23</c:v>
                </c:pt>
                <c:pt idx="174">
                  <c:v>16.57</c:v>
                </c:pt>
                <c:pt idx="175">
                  <c:v>15.06</c:v>
                </c:pt>
                <c:pt idx="176">
                  <c:v>14.14</c:v>
                </c:pt>
                <c:pt idx="177">
                  <c:v>12.85</c:v>
                </c:pt>
                <c:pt idx="178">
                  <c:v>13.14</c:v>
                </c:pt>
                <c:pt idx="179">
                  <c:v>13.41</c:v>
                </c:pt>
                <c:pt idx="180">
                  <c:v>13.65</c:v>
                </c:pt>
                <c:pt idx="181">
                  <c:v>12.41</c:v>
                </c:pt>
                <c:pt idx="182">
                  <c:v>12.24</c:v>
                </c:pt>
                <c:pt idx="183">
                  <c:v>12.49</c:v>
                </c:pt>
                <c:pt idx="184">
                  <c:v>12.6</c:v>
                </c:pt>
                <c:pt idx="185">
                  <c:v>12.59</c:v>
                </c:pt>
                <c:pt idx="186">
                  <c:v>12.66</c:v>
                </c:pt>
                <c:pt idx="187">
                  <c:v>12.58</c:v>
                </c:pt>
                <c:pt idx="188">
                  <c:v>12.55</c:v>
                </c:pt>
                <c:pt idx="189">
                  <c:v>12.66</c:v>
                </c:pt>
                <c:pt idx="190">
                  <c:v>12.7</c:v>
                </c:pt>
                <c:pt idx="191">
                  <c:v>12.7</c:v>
                </c:pt>
                <c:pt idx="192">
                  <c:v>12.82</c:v>
                </c:pt>
                <c:pt idx="193">
                  <c:v>12.69</c:v>
                </c:pt>
                <c:pt idx="194">
                  <c:v>12.46</c:v>
                </c:pt>
                <c:pt idx="195">
                  <c:v>12.45</c:v>
                </c:pt>
                <c:pt idx="196">
                  <c:v>12.68</c:v>
                </c:pt>
                <c:pt idx="197">
                  <c:v>12.71</c:v>
                </c:pt>
                <c:pt idx="198">
                  <c:v>12.71</c:v>
                </c:pt>
                <c:pt idx="199">
                  <c:v>12.72</c:v>
                </c:pt>
                <c:pt idx="200">
                  <c:v>12.6</c:v>
                </c:pt>
                <c:pt idx="201">
                  <c:v>12.49</c:v>
                </c:pt>
                <c:pt idx="202">
                  <c:v>12.6</c:v>
                </c:pt>
                <c:pt idx="203">
                  <c:v>12.44</c:v>
                </c:pt>
                <c:pt idx="204">
                  <c:v>12.67</c:v>
                </c:pt>
                <c:pt idx="205">
                  <c:v>12.79</c:v>
                </c:pt>
                <c:pt idx="206">
                  <c:v>12.58</c:v>
                </c:pt>
                <c:pt idx="207">
                  <c:v>12.67</c:v>
                </c:pt>
                <c:pt idx="208">
                  <c:v>12.38</c:v>
                </c:pt>
                <c:pt idx="209">
                  <c:v>12.36</c:v>
                </c:pt>
                <c:pt idx="210">
                  <c:v>12.28</c:v>
                </c:pt>
                <c:pt idx="211">
                  <c:v>12.19</c:v>
                </c:pt>
                <c:pt idx="212">
                  <c:v>12.26</c:v>
                </c:pt>
                <c:pt idx="213">
                  <c:v>12.19</c:v>
                </c:pt>
                <c:pt idx="214">
                  <c:v>12.04</c:v>
                </c:pt>
                <c:pt idx="215">
                  <c:v>11.85</c:v>
                </c:pt>
                <c:pt idx="216">
                  <c:v>11.95</c:v>
                </c:pt>
                <c:pt idx="217">
                  <c:v>11.9</c:v>
                </c:pt>
                <c:pt idx="218">
                  <c:v>12.06</c:v>
                </c:pt>
                <c:pt idx="219">
                  <c:v>11.74</c:v>
                </c:pt>
                <c:pt idx="220">
                  <c:v>11.89</c:v>
                </c:pt>
                <c:pt idx="221">
                  <c:v>11.85</c:v>
                </c:pt>
                <c:pt idx="222">
                  <c:v>11.65</c:v>
                </c:pt>
                <c:pt idx="223">
                  <c:v>11.34</c:v>
                </c:pt>
                <c:pt idx="224">
                  <c:v>11.28</c:v>
                </c:pt>
                <c:pt idx="225">
                  <c:v>11.54</c:v>
                </c:pt>
                <c:pt idx="226">
                  <c:v>11.68</c:v>
                </c:pt>
                <c:pt idx="227">
                  <c:v>11.59</c:v>
                </c:pt>
                <c:pt idx="228">
                  <c:v>11.94</c:v>
                </c:pt>
                <c:pt idx="229">
                  <c:v>11.94</c:v>
                </c:pt>
                <c:pt idx="230">
                  <c:v>11.9</c:v>
                </c:pt>
                <c:pt idx="231">
                  <c:v>11.93</c:v>
                </c:pt>
                <c:pt idx="232">
                  <c:v>12.25</c:v>
                </c:pt>
                <c:pt idx="233">
                  <c:v>12.56</c:v>
                </c:pt>
                <c:pt idx="234">
                  <c:v>12.39</c:v>
                </c:pt>
                <c:pt idx="235">
                  <c:v>12.57</c:v>
                </c:pt>
                <c:pt idx="236">
                  <c:v>12.4</c:v>
                </c:pt>
                <c:pt idx="237">
                  <c:v>12.35</c:v>
                </c:pt>
                <c:pt idx="238">
                  <c:v>12.4</c:v>
                </c:pt>
                <c:pt idx="239">
                  <c:v>12.44</c:v>
                </c:pt>
                <c:pt idx="240">
                  <c:v>12.35</c:v>
                </c:pt>
                <c:pt idx="241">
                  <c:v>12.55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D-4B31-AB80-32545399B17D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Wind代码4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242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  <c:pt idx="150">
                  <c:v>2023/4/21</c:v>
                </c:pt>
                <c:pt idx="151">
                  <c:v>2023/4/20</c:v>
                </c:pt>
                <c:pt idx="152">
                  <c:v>2023/4/19</c:v>
                </c:pt>
                <c:pt idx="153">
                  <c:v>2023/4/18</c:v>
                </c:pt>
                <c:pt idx="154">
                  <c:v>2023/4/17</c:v>
                </c:pt>
                <c:pt idx="155">
                  <c:v>2023/4/14</c:v>
                </c:pt>
                <c:pt idx="156">
                  <c:v>2023/4/13</c:v>
                </c:pt>
                <c:pt idx="157">
                  <c:v>2023/4/12</c:v>
                </c:pt>
                <c:pt idx="158">
                  <c:v>2023/4/11</c:v>
                </c:pt>
                <c:pt idx="159">
                  <c:v>2023/4/10</c:v>
                </c:pt>
                <c:pt idx="160">
                  <c:v>2023/4/7</c:v>
                </c:pt>
                <c:pt idx="161">
                  <c:v>2023/4/6</c:v>
                </c:pt>
                <c:pt idx="162">
                  <c:v>2023/4/4</c:v>
                </c:pt>
                <c:pt idx="163">
                  <c:v>2023/4/3</c:v>
                </c:pt>
                <c:pt idx="164">
                  <c:v>2023/3/31</c:v>
                </c:pt>
                <c:pt idx="165">
                  <c:v>2023/3/30</c:v>
                </c:pt>
                <c:pt idx="166">
                  <c:v>2023/3/29</c:v>
                </c:pt>
                <c:pt idx="167">
                  <c:v>2023/3/28</c:v>
                </c:pt>
                <c:pt idx="168">
                  <c:v>2023/3/27</c:v>
                </c:pt>
                <c:pt idx="169">
                  <c:v>2023/3/24</c:v>
                </c:pt>
                <c:pt idx="170">
                  <c:v>2023/3/23</c:v>
                </c:pt>
                <c:pt idx="171">
                  <c:v>2023/3/22</c:v>
                </c:pt>
                <c:pt idx="172">
                  <c:v>2023/3/21</c:v>
                </c:pt>
                <c:pt idx="173">
                  <c:v>2023/3/20</c:v>
                </c:pt>
                <c:pt idx="174">
                  <c:v>2023/3/17</c:v>
                </c:pt>
                <c:pt idx="175">
                  <c:v>2023/3/16</c:v>
                </c:pt>
                <c:pt idx="176">
                  <c:v>2023/3/15</c:v>
                </c:pt>
                <c:pt idx="177">
                  <c:v>2023/3/14</c:v>
                </c:pt>
                <c:pt idx="178">
                  <c:v>2023/3/13</c:v>
                </c:pt>
                <c:pt idx="179">
                  <c:v>2023/3/10</c:v>
                </c:pt>
                <c:pt idx="180">
                  <c:v>2023/3/9</c:v>
                </c:pt>
                <c:pt idx="181">
                  <c:v>2023/3/8</c:v>
                </c:pt>
                <c:pt idx="182">
                  <c:v>2023/3/7</c:v>
                </c:pt>
                <c:pt idx="183">
                  <c:v>2023/3/6</c:v>
                </c:pt>
                <c:pt idx="184">
                  <c:v>2023/3/3</c:v>
                </c:pt>
                <c:pt idx="185">
                  <c:v>2023/3/2</c:v>
                </c:pt>
                <c:pt idx="186">
                  <c:v>2023/3/1</c:v>
                </c:pt>
                <c:pt idx="187">
                  <c:v>2023/2/28</c:v>
                </c:pt>
                <c:pt idx="188">
                  <c:v>2023/2/27</c:v>
                </c:pt>
                <c:pt idx="189">
                  <c:v>2023/2/24</c:v>
                </c:pt>
                <c:pt idx="190">
                  <c:v>2023/2/23</c:v>
                </c:pt>
                <c:pt idx="191">
                  <c:v>2023/2/22</c:v>
                </c:pt>
                <c:pt idx="192">
                  <c:v>2023/2/21</c:v>
                </c:pt>
                <c:pt idx="193">
                  <c:v>2023/2/20</c:v>
                </c:pt>
                <c:pt idx="194">
                  <c:v>2023/2/17</c:v>
                </c:pt>
                <c:pt idx="195">
                  <c:v>2023/2/16</c:v>
                </c:pt>
                <c:pt idx="196">
                  <c:v>2023/2/15</c:v>
                </c:pt>
                <c:pt idx="197">
                  <c:v>2023/2/14</c:v>
                </c:pt>
                <c:pt idx="198">
                  <c:v>2023/2/13</c:v>
                </c:pt>
                <c:pt idx="199">
                  <c:v>2023/2/10</c:v>
                </c:pt>
                <c:pt idx="200">
                  <c:v>2023/2/9</c:v>
                </c:pt>
                <c:pt idx="201">
                  <c:v>2023/2/8</c:v>
                </c:pt>
                <c:pt idx="202">
                  <c:v>2023/2/7</c:v>
                </c:pt>
                <c:pt idx="203">
                  <c:v>2023/2/6</c:v>
                </c:pt>
                <c:pt idx="204">
                  <c:v>2023/2/3</c:v>
                </c:pt>
                <c:pt idx="205">
                  <c:v>2023/2/2</c:v>
                </c:pt>
                <c:pt idx="206">
                  <c:v>2023/2/1</c:v>
                </c:pt>
                <c:pt idx="207">
                  <c:v>2023/1/31</c:v>
                </c:pt>
                <c:pt idx="208">
                  <c:v>2023/1/30</c:v>
                </c:pt>
                <c:pt idx="209">
                  <c:v>2023/1/20</c:v>
                </c:pt>
                <c:pt idx="210">
                  <c:v>2023/1/19</c:v>
                </c:pt>
                <c:pt idx="211">
                  <c:v>2023/1/18</c:v>
                </c:pt>
                <c:pt idx="212">
                  <c:v>2023/1/17</c:v>
                </c:pt>
                <c:pt idx="213">
                  <c:v>2023/1/16</c:v>
                </c:pt>
                <c:pt idx="214">
                  <c:v>2023/1/13</c:v>
                </c:pt>
                <c:pt idx="215">
                  <c:v>2023/1/12</c:v>
                </c:pt>
                <c:pt idx="216">
                  <c:v>2023/1/11</c:v>
                </c:pt>
                <c:pt idx="217">
                  <c:v>2023/1/10</c:v>
                </c:pt>
                <c:pt idx="218">
                  <c:v>2023/1/9</c:v>
                </c:pt>
                <c:pt idx="219">
                  <c:v>2023/1/6</c:v>
                </c:pt>
                <c:pt idx="220">
                  <c:v>2023/1/5</c:v>
                </c:pt>
                <c:pt idx="221">
                  <c:v>2023/1/4</c:v>
                </c:pt>
                <c:pt idx="222">
                  <c:v>2023/1/3</c:v>
                </c:pt>
                <c:pt idx="223">
                  <c:v>2022/12/30</c:v>
                </c:pt>
                <c:pt idx="224">
                  <c:v>2022/12/29</c:v>
                </c:pt>
                <c:pt idx="225">
                  <c:v>2022/12/28</c:v>
                </c:pt>
                <c:pt idx="226">
                  <c:v>2022/12/27</c:v>
                </c:pt>
                <c:pt idx="227">
                  <c:v>2022/12/26</c:v>
                </c:pt>
                <c:pt idx="228">
                  <c:v>2022/12/23</c:v>
                </c:pt>
                <c:pt idx="229">
                  <c:v>2022/12/22</c:v>
                </c:pt>
                <c:pt idx="230">
                  <c:v>2022/12/21</c:v>
                </c:pt>
                <c:pt idx="231">
                  <c:v>2022/12/20</c:v>
                </c:pt>
                <c:pt idx="232">
                  <c:v>2022/12/19</c:v>
                </c:pt>
                <c:pt idx="233">
                  <c:v>2022/12/16</c:v>
                </c:pt>
                <c:pt idx="234">
                  <c:v>2022/12/15</c:v>
                </c:pt>
                <c:pt idx="235">
                  <c:v>2022/12/14</c:v>
                </c:pt>
                <c:pt idx="236">
                  <c:v>2022/12/13</c:v>
                </c:pt>
                <c:pt idx="237">
                  <c:v>2022/12/12</c:v>
                </c:pt>
                <c:pt idx="238">
                  <c:v>2022/12/9</c:v>
                </c:pt>
                <c:pt idx="239">
                  <c:v>2022/12/8</c:v>
                </c:pt>
                <c:pt idx="240">
                  <c:v>2022/12/7</c:v>
                </c:pt>
                <c:pt idx="241">
                  <c:v>2022/12/6</c:v>
                </c:pt>
              </c:strCache>
            </c:strRef>
          </c:cat>
          <c:val>
            <c:numRef>
              <c:f>data!$E$4:$E$1001</c:f>
              <c:numCache>
                <c:formatCode>_(* #,##0.00_);_(* \(#,##0.00\);_(* "-"??_);_(@_)</c:formatCode>
                <c:ptCount val="998"/>
                <c:pt idx="0">
                  <c:v>5.12</c:v>
                </c:pt>
                <c:pt idx="1">
                  <c:v>5.26</c:v>
                </c:pt>
                <c:pt idx="2">
                  <c:v>5.12</c:v>
                </c:pt>
                <c:pt idx="3">
                  <c:v>5.14</c:v>
                </c:pt>
                <c:pt idx="4">
                  <c:v>5.37</c:v>
                </c:pt>
                <c:pt idx="5">
                  <c:v>5.46</c:v>
                </c:pt>
                <c:pt idx="6">
                  <c:v>5.71</c:v>
                </c:pt>
                <c:pt idx="7">
                  <c:v>5.76</c:v>
                </c:pt>
                <c:pt idx="8">
                  <c:v>5.5</c:v>
                </c:pt>
                <c:pt idx="9">
                  <c:v>5.61</c:v>
                </c:pt>
                <c:pt idx="10">
                  <c:v>5.42</c:v>
                </c:pt>
                <c:pt idx="11">
                  <c:v>5.46</c:v>
                </c:pt>
                <c:pt idx="12">
                  <c:v>5.52</c:v>
                </c:pt>
                <c:pt idx="13">
                  <c:v>5.54</c:v>
                </c:pt>
                <c:pt idx="14">
                  <c:v>5.55</c:v>
                </c:pt>
                <c:pt idx="15">
                  <c:v>5.43</c:v>
                </c:pt>
                <c:pt idx="16">
                  <c:v>5.46</c:v>
                </c:pt>
                <c:pt idx="17">
                  <c:v>5.45</c:v>
                </c:pt>
                <c:pt idx="18">
                  <c:v>5.41</c:v>
                </c:pt>
                <c:pt idx="19">
                  <c:v>5.21</c:v>
                </c:pt>
                <c:pt idx="20">
                  <c:v>5.27</c:v>
                </c:pt>
                <c:pt idx="21">
                  <c:v>5.0199999999999996</c:v>
                </c:pt>
                <c:pt idx="22">
                  <c:v>5.0199999999999996</c:v>
                </c:pt>
                <c:pt idx="23">
                  <c:v>5.08</c:v>
                </c:pt>
                <c:pt idx="24">
                  <c:v>5.17</c:v>
                </c:pt>
                <c:pt idx="25">
                  <c:v>5.46</c:v>
                </c:pt>
                <c:pt idx="26">
                  <c:v>5.52</c:v>
                </c:pt>
                <c:pt idx="27">
                  <c:v>5.42</c:v>
                </c:pt>
                <c:pt idx="28">
                  <c:v>5.5</c:v>
                </c:pt>
                <c:pt idx="29">
                  <c:v>5.5</c:v>
                </c:pt>
                <c:pt idx="30">
                  <c:v>5.35</c:v>
                </c:pt>
                <c:pt idx="31">
                  <c:v>5.43</c:v>
                </c:pt>
                <c:pt idx="32">
                  <c:v>5.38</c:v>
                </c:pt>
                <c:pt idx="33">
                  <c:v>5.4</c:v>
                </c:pt>
                <c:pt idx="34">
                  <c:v>5.52</c:v>
                </c:pt>
                <c:pt idx="35">
                  <c:v>6.13</c:v>
                </c:pt>
                <c:pt idx="36">
                  <c:v>6.27</c:v>
                </c:pt>
                <c:pt idx="37">
                  <c:v>6.43</c:v>
                </c:pt>
                <c:pt idx="38">
                  <c:v>6.38</c:v>
                </c:pt>
                <c:pt idx="39">
                  <c:v>6.48</c:v>
                </c:pt>
                <c:pt idx="40">
                  <c:v>6.6</c:v>
                </c:pt>
                <c:pt idx="41">
                  <c:v>6.82</c:v>
                </c:pt>
                <c:pt idx="42">
                  <c:v>6.82</c:v>
                </c:pt>
                <c:pt idx="43">
                  <c:v>6.83</c:v>
                </c:pt>
                <c:pt idx="44">
                  <c:v>6.9</c:v>
                </c:pt>
                <c:pt idx="45">
                  <c:v>7.16</c:v>
                </c:pt>
                <c:pt idx="46">
                  <c:v>7.04</c:v>
                </c:pt>
                <c:pt idx="47">
                  <c:v>7.1</c:v>
                </c:pt>
                <c:pt idx="48">
                  <c:v>7.11</c:v>
                </c:pt>
                <c:pt idx="49">
                  <c:v>7.13</c:v>
                </c:pt>
                <c:pt idx="50">
                  <c:v>7.21</c:v>
                </c:pt>
                <c:pt idx="51">
                  <c:v>7.22</c:v>
                </c:pt>
                <c:pt idx="52">
                  <c:v>7.27</c:v>
                </c:pt>
                <c:pt idx="53">
                  <c:v>7.25</c:v>
                </c:pt>
                <c:pt idx="54">
                  <c:v>7.28</c:v>
                </c:pt>
                <c:pt idx="55">
                  <c:v>7.37</c:v>
                </c:pt>
                <c:pt idx="56">
                  <c:v>7.3</c:v>
                </c:pt>
                <c:pt idx="57">
                  <c:v>7.49</c:v>
                </c:pt>
                <c:pt idx="58">
                  <c:v>7.22</c:v>
                </c:pt>
                <c:pt idx="59">
                  <c:v>7.5</c:v>
                </c:pt>
                <c:pt idx="60">
                  <c:v>7.38</c:v>
                </c:pt>
                <c:pt idx="61">
                  <c:v>7.2</c:v>
                </c:pt>
                <c:pt idx="62">
                  <c:v>7.84</c:v>
                </c:pt>
                <c:pt idx="63">
                  <c:v>7.98</c:v>
                </c:pt>
                <c:pt idx="64">
                  <c:v>7.8</c:v>
                </c:pt>
                <c:pt idx="65">
                  <c:v>7.32</c:v>
                </c:pt>
                <c:pt idx="66">
                  <c:v>7.09</c:v>
                </c:pt>
                <c:pt idx="67">
                  <c:v>7.31</c:v>
                </c:pt>
                <c:pt idx="68">
                  <c:v>7.67</c:v>
                </c:pt>
                <c:pt idx="69">
                  <c:v>7.7</c:v>
                </c:pt>
                <c:pt idx="70">
                  <c:v>7.81</c:v>
                </c:pt>
                <c:pt idx="71">
                  <c:v>8.16</c:v>
                </c:pt>
                <c:pt idx="72">
                  <c:v>8.3000000000000007</c:v>
                </c:pt>
                <c:pt idx="73">
                  <c:v>8</c:v>
                </c:pt>
                <c:pt idx="74">
                  <c:v>8.0299999999999994</c:v>
                </c:pt>
                <c:pt idx="75">
                  <c:v>8.2100000000000009</c:v>
                </c:pt>
                <c:pt idx="76">
                  <c:v>8.26</c:v>
                </c:pt>
                <c:pt idx="77">
                  <c:v>8.1</c:v>
                </c:pt>
                <c:pt idx="78">
                  <c:v>7.99</c:v>
                </c:pt>
                <c:pt idx="79">
                  <c:v>8.26</c:v>
                </c:pt>
                <c:pt idx="80">
                  <c:v>8.6199999999999992</c:v>
                </c:pt>
                <c:pt idx="81">
                  <c:v>8.77</c:v>
                </c:pt>
                <c:pt idx="82">
                  <c:v>8.4</c:v>
                </c:pt>
                <c:pt idx="83">
                  <c:v>8.4</c:v>
                </c:pt>
                <c:pt idx="84">
                  <c:v>8.6300000000000008</c:v>
                </c:pt>
                <c:pt idx="85">
                  <c:v>8.4600000000000009</c:v>
                </c:pt>
                <c:pt idx="86">
                  <c:v>7.74</c:v>
                </c:pt>
                <c:pt idx="87">
                  <c:v>7.75</c:v>
                </c:pt>
                <c:pt idx="88">
                  <c:v>7.52</c:v>
                </c:pt>
                <c:pt idx="89">
                  <c:v>6.84</c:v>
                </c:pt>
                <c:pt idx="90">
                  <c:v>6.97</c:v>
                </c:pt>
                <c:pt idx="91">
                  <c:v>6.9</c:v>
                </c:pt>
                <c:pt idx="92">
                  <c:v>6.88</c:v>
                </c:pt>
                <c:pt idx="93">
                  <c:v>6.78</c:v>
                </c:pt>
                <c:pt idx="94">
                  <c:v>6.75</c:v>
                </c:pt>
                <c:pt idx="95">
                  <c:v>6.84</c:v>
                </c:pt>
                <c:pt idx="96">
                  <c:v>6.85</c:v>
                </c:pt>
                <c:pt idx="97">
                  <c:v>6.82</c:v>
                </c:pt>
                <c:pt idx="98">
                  <c:v>7</c:v>
                </c:pt>
                <c:pt idx="99">
                  <c:v>7</c:v>
                </c:pt>
                <c:pt idx="100">
                  <c:v>7.02</c:v>
                </c:pt>
                <c:pt idx="101">
                  <c:v>7.08</c:v>
                </c:pt>
                <c:pt idx="102">
                  <c:v>7.06</c:v>
                </c:pt>
                <c:pt idx="103">
                  <c:v>7.09</c:v>
                </c:pt>
                <c:pt idx="104">
                  <c:v>7.25</c:v>
                </c:pt>
                <c:pt idx="105">
                  <c:v>7.21</c:v>
                </c:pt>
                <c:pt idx="106">
                  <c:v>7.2</c:v>
                </c:pt>
                <c:pt idx="107">
                  <c:v>7.44</c:v>
                </c:pt>
                <c:pt idx="108">
                  <c:v>7.48</c:v>
                </c:pt>
                <c:pt idx="109">
                  <c:v>7.12</c:v>
                </c:pt>
                <c:pt idx="110">
                  <c:v>7.29</c:v>
                </c:pt>
                <c:pt idx="111">
                  <c:v>7.32</c:v>
                </c:pt>
                <c:pt idx="112">
                  <c:v>7.45</c:v>
                </c:pt>
                <c:pt idx="113">
                  <c:v>7.7</c:v>
                </c:pt>
                <c:pt idx="114">
                  <c:v>7.72</c:v>
                </c:pt>
                <c:pt idx="115">
                  <c:v>7.57</c:v>
                </c:pt>
                <c:pt idx="116">
                  <c:v>7.73</c:v>
                </c:pt>
                <c:pt idx="117">
                  <c:v>7.71</c:v>
                </c:pt>
                <c:pt idx="118">
                  <c:v>7.63</c:v>
                </c:pt>
                <c:pt idx="119">
                  <c:v>7.76</c:v>
                </c:pt>
                <c:pt idx="120">
                  <c:v>7.63</c:v>
                </c:pt>
                <c:pt idx="121">
                  <c:v>7.49</c:v>
                </c:pt>
                <c:pt idx="122">
                  <c:v>7.49</c:v>
                </c:pt>
                <c:pt idx="123">
                  <c:v>7.6</c:v>
                </c:pt>
                <c:pt idx="124">
                  <c:v>7.23</c:v>
                </c:pt>
                <c:pt idx="125">
                  <c:v>7.25</c:v>
                </c:pt>
                <c:pt idx="126">
                  <c:v>7.35</c:v>
                </c:pt>
                <c:pt idx="127">
                  <c:v>7.21</c:v>
                </c:pt>
                <c:pt idx="128">
                  <c:v>7.39</c:v>
                </c:pt>
                <c:pt idx="129">
                  <c:v>7.32</c:v>
                </c:pt>
                <c:pt idx="130">
                  <c:v>7.3</c:v>
                </c:pt>
                <c:pt idx="131">
                  <c:v>7.56</c:v>
                </c:pt>
                <c:pt idx="132">
                  <c:v>7.66</c:v>
                </c:pt>
                <c:pt idx="133">
                  <c:v>7.64</c:v>
                </c:pt>
                <c:pt idx="134">
                  <c:v>7.76</c:v>
                </c:pt>
                <c:pt idx="135">
                  <c:v>7.91</c:v>
                </c:pt>
                <c:pt idx="136">
                  <c:v>8</c:v>
                </c:pt>
                <c:pt idx="137">
                  <c:v>8.1199999999999992</c:v>
                </c:pt>
                <c:pt idx="138">
                  <c:v>8.0500000000000007</c:v>
                </c:pt>
                <c:pt idx="139">
                  <c:v>8.2200000000000006</c:v>
                </c:pt>
                <c:pt idx="140">
                  <c:v>8.24</c:v>
                </c:pt>
                <c:pt idx="141">
                  <c:v>8.42</c:v>
                </c:pt>
                <c:pt idx="142">
                  <c:v>8.4</c:v>
                </c:pt>
                <c:pt idx="143">
                  <c:v>8.4</c:v>
                </c:pt>
                <c:pt idx="144">
                  <c:v>7.92</c:v>
                </c:pt>
                <c:pt idx="145">
                  <c:v>8.16</c:v>
                </c:pt>
                <c:pt idx="146">
                  <c:v>8.1199999999999992</c:v>
                </c:pt>
                <c:pt idx="147">
                  <c:v>8.2100000000000009</c:v>
                </c:pt>
                <c:pt idx="148">
                  <c:v>8.16</c:v>
                </c:pt>
                <c:pt idx="149">
                  <c:v>8.17</c:v>
                </c:pt>
                <c:pt idx="150">
                  <c:v>8.39</c:v>
                </c:pt>
                <c:pt idx="151">
                  <c:v>8.51</c:v>
                </c:pt>
                <c:pt idx="152">
                  <c:v>8.51</c:v>
                </c:pt>
                <c:pt idx="153">
                  <c:v>8.89</c:v>
                </c:pt>
                <c:pt idx="154">
                  <c:v>8.89</c:v>
                </c:pt>
                <c:pt idx="155">
                  <c:v>8.85</c:v>
                </c:pt>
                <c:pt idx="156">
                  <c:v>8.8699999999999992</c:v>
                </c:pt>
                <c:pt idx="157">
                  <c:v>8.9700000000000006</c:v>
                </c:pt>
                <c:pt idx="158">
                  <c:v>8.9600000000000009</c:v>
                </c:pt>
                <c:pt idx="159">
                  <c:v>8.81</c:v>
                </c:pt>
                <c:pt idx="160">
                  <c:v>9.01</c:v>
                </c:pt>
                <c:pt idx="161">
                  <c:v>8.51</c:v>
                </c:pt>
                <c:pt idx="162">
                  <c:v>8.5299999999999994</c:v>
                </c:pt>
                <c:pt idx="163">
                  <c:v>8.6199999999999992</c:v>
                </c:pt>
                <c:pt idx="164">
                  <c:v>8.4</c:v>
                </c:pt>
                <c:pt idx="165">
                  <c:v>8.48</c:v>
                </c:pt>
                <c:pt idx="166">
                  <c:v>8.3800000000000008</c:v>
                </c:pt>
                <c:pt idx="167">
                  <c:v>8.4</c:v>
                </c:pt>
                <c:pt idx="168">
                  <c:v>8.5</c:v>
                </c:pt>
                <c:pt idx="169">
                  <c:v>8.67</c:v>
                </c:pt>
                <c:pt idx="170">
                  <c:v>8.73</c:v>
                </c:pt>
                <c:pt idx="171">
                  <c:v>8.76</c:v>
                </c:pt>
                <c:pt idx="172">
                  <c:v>8.64</c:v>
                </c:pt>
                <c:pt idx="173">
                  <c:v>8.65</c:v>
                </c:pt>
                <c:pt idx="174">
                  <c:v>8.73</c:v>
                </c:pt>
                <c:pt idx="175">
                  <c:v>8.6300000000000008</c:v>
                </c:pt>
                <c:pt idx="176">
                  <c:v>8.75</c:v>
                </c:pt>
                <c:pt idx="177">
                  <c:v>8.68</c:v>
                </c:pt>
                <c:pt idx="178">
                  <c:v>8.68</c:v>
                </c:pt>
                <c:pt idx="179">
                  <c:v>8.8000000000000007</c:v>
                </c:pt>
                <c:pt idx="180">
                  <c:v>8.9600000000000009</c:v>
                </c:pt>
                <c:pt idx="181">
                  <c:v>9.11</c:v>
                </c:pt>
                <c:pt idx="182">
                  <c:v>9.08</c:v>
                </c:pt>
                <c:pt idx="183">
                  <c:v>9.2899999999999991</c:v>
                </c:pt>
                <c:pt idx="184">
                  <c:v>9.6199999999999992</c:v>
                </c:pt>
                <c:pt idx="185">
                  <c:v>9.5500000000000007</c:v>
                </c:pt>
                <c:pt idx="186">
                  <c:v>9.83</c:v>
                </c:pt>
                <c:pt idx="187">
                  <c:v>9.67</c:v>
                </c:pt>
                <c:pt idx="188">
                  <c:v>9.76</c:v>
                </c:pt>
                <c:pt idx="189">
                  <c:v>9.67</c:v>
                </c:pt>
                <c:pt idx="190">
                  <c:v>9.86</c:v>
                </c:pt>
                <c:pt idx="191">
                  <c:v>9.7799999999999994</c:v>
                </c:pt>
                <c:pt idx="192">
                  <c:v>9.8800000000000008</c:v>
                </c:pt>
                <c:pt idx="193">
                  <c:v>9.8699999999999992</c:v>
                </c:pt>
                <c:pt idx="194">
                  <c:v>9.56</c:v>
                </c:pt>
                <c:pt idx="195">
                  <c:v>9.73</c:v>
                </c:pt>
                <c:pt idx="196">
                  <c:v>9.74</c:v>
                </c:pt>
                <c:pt idx="197">
                  <c:v>9.98</c:v>
                </c:pt>
                <c:pt idx="198">
                  <c:v>9.84</c:v>
                </c:pt>
                <c:pt idx="199">
                  <c:v>9.74</c:v>
                </c:pt>
                <c:pt idx="200">
                  <c:v>9.56</c:v>
                </c:pt>
                <c:pt idx="201">
                  <c:v>9.4499999999999993</c:v>
                </c:pt>
                <c:pt idx="202">
                  <c:v>9.57</c:v>
                </c:pt>
                <c:pt idx="203">
                  <c:v>9.26</c:v>
                </c:pt>
                <c:pt idx="204">
                  <c:v>9.5</c:v>
                </c:pt>
                <c:pt idx="205">
                  <c:v>9.73</c:v>
                </c:pt>
                <c:pt idx="206">
                  <c:v>9.82</c:v>
                </c:pt>
                <c:pt idx="207">
                  <c:v>9.8800000000000008</c:v>
                </c:pt>
                <c:pt idx="208">
                  <c:v>9.67</c:v>
                </c:pt>
                <c:pt idx="209">
                  <c:v>9.9499999999999993</c:v>
                </c:pt>
                <c:pt idx="210">
                  <c:v>9.86</c:v>
                </c:pt>
                <c:pt idx="211">
                  <c:v>9.84</c:v>
                </c:pt>
                <c:pt idx="212">
                  <c:v>9.93</c:v>
                </c:pt>
                <c:pt idx="213">
                  <c:v>9.9600000000000009</c:v>
                </c:pt>
                <c:pt idx="214">
                  <c:v>9.85</c:v>
                </c:pt>
                <c:pt idx="215">
                  <c:v>9.86</c:v>
                </c:pt>
                <c:pt idx="216">
                  <c:v>10.25</c:v>
                </c:pt>
                <c:pt idx="217">
                  <c:v>10.16</c:v>
                </c:pt>
                <c:pt idx="218">
                  <c:v>10.26</c:v>
                </c:pt>
                <c:pt idx="219">
                  <c:v>10.61</c:v>
                </c:pt>
                <c:pt idx="220">
                  <c:v>10.71</c:v>
                </c:pt>
                <c:pt idx="221">
                  <c:v>10.61</c:v>
                </c:pt>
                <c:pt idx="222">
                  <c:v>10</c:v>
                </c:pt>
                <c:pt idx="223">
                  <c:v>10.23</c:v>
                </c:pt>
                <c:pt idx="224">
                  <c:v>10.11</c:v>
                </c:pt>
                <c:pt idx="225">
                  <c:v>10.36</c:v>
                </c:pt>
                <c:pt idx="226">
                  <c:v>10.26</c:v>
                </c:pt>
                <c:pt idx="227">
                  <c:v>10.23</c:v>
                </c:pt>
                <c:pt idx="228">
                  <c:v>10.57</c:v>
                </c:pt>
                <c:pt idx="229">
                  <c:v>10.4</c:v>
                </c:pt>
                <c:pt idx="230">
                  <c:v>10.5</c:v>
                </c:pt>
                <c:pt idx="231">
                  <c:v>10.45</c:v>
                </c:pt>
                <c:pt idx="232">
                  <c:v>10.8</c:v>
                </c:pt>
                <c:pt idx="233">
                  <c:v>11</c:v>
                </c:pt>
                <c:pt idx="234">
                  <c:v>10.91</c:v>
                </c:pt>
                <c:pt idx="235">
                  <c:v>11</c:v>
                </c:pt>
                <c:pt idx="236">
                  <c:v>11.15</c:v>
                </c:pt>
                <c:pt idx="237">
                  <c:v>11.28</c:v>
                </c:pt>
                <c:pt idx="238">
                  <c:v>11.84</c:v>
                </c:pt>
                <c:pt idx="239">
                  <c:v>11.33</c:v>
                </c:pt>
                <c:pt idx="240">
                  <c:v>11.01</c:v>
                </c:pt>
                <c:pt idx="241">
                  <c:v>11.37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D-4B31-AB80-32545399B17D}"/>
            </c:ext>
          </c:extLst>
        </c:ser>
        <c:ser>
          <c:idx val="4"/>
          <c:order val="4"/>
          <c:tx>
            <c:strRef>
              <c:f>data!$F$2</c:f>
              <c:strCache>
                <c:ptCount val="1"/>
                <c:pt idx="0">
                  <c:v>Wind代码5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data!$A$4:$A$1001</c:f>
              <c:strCache>
                <c:ptCount val="242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  <c:pt idx="150">
                  <c:v>2023/4/21</c:v>
                </c:pt>
                <c:pt idx="151">
                  <c:v>2023/4/20</c:v>
                </c:pt>
                <c:pt idx="152">
                  <c:v>2023/4/19</c:v>
                </c:pt>
                <c:pt idx="153">
                  <c:v>2023/4/18</c:v>
                </c:pt>
                <c:pt idx="154">
                  <c:v>2023/4/17</c:v>
                </c:pt>
                <c:pt idx="155">
                  <c:v>2023/4/14</c:v>
                </c:pt>
                <c:pt idx="156">
                  <c:v>2023/4/13</c:v>
                </c:pt>
                <c:pt idx="157">
                  <c:v>2023/4/12</c:v>
                </c:pt>
                <c:pt idx="158">
                  <c:v>2023/4/11</c:v>
                </c:pt>
                <c:pt idx="159">
                  <c:v>2023/4/10</c:v>
                </c:pt>
                <c:pt idx="160">
                  <c:v>2023/4/7</c:v>
                </c:pt>
                <c:pt idx="161">
                  <c:v>2023/4/6</c:v>
                </c:pt>
                <c:pt idx="162">
                  <c:v>2023/4/4</c:v>
                </c:pt>
                <c:pt idx="163">
                  <c:v>2023/4/3</c:v>
                </c:pt>
                <c:pt idx="164">
                  <c:v>2023/3/31</c:v>
                </c:pt>
                <c:pt idx="165">
                  <c:v>2023/3/30</c:v>
                </c:pt>
                <c:pt idx="166">
                  <c:v>2023/3/29</c:v>
                </c:pt>
                <c:pt idx="167">
                  <c:v>2023/3/28</c:v>
                </c:pt>
                <c:pt idx="168">
                  <c:v>2023/3/27</c:v>
                </c:pt>
                <c:pt idx="169">
                  <c:v>2023/3/24</c:v>
                </c:pt>
                <c:pt idx="170">
                  <c:v>2023/3/23</c:v>
                </c:pt>
                <c:pt idx="171">
                  <c:v>2023/3/22</c:v>
                </c:pt>
                <c:pt idx="172">
                  <c:v>2023/3/21</c:v>
                </c:pt>
                <c:pt idx="173">
                  <c:v>2023/3/20</c:v>
                </c:pt>
                <c:pt idx="174">
                  <c:v>2023/3/17</c:v>
                </c:pt>
                <c:pt idx="175">
                  <c:v>2023/3/16</c:v>
                </c:pt>
                <c:pt idx="176">
                  <c:v>2023/3/15</c:v>
                </c:pt>
                <c:pt idx="177">
                  <c:v>2023/3/14</c:v>
                </c:pt>
                <c:pt idx="178">
                  <c:v>2023/3/13</c:v>
                </c:pt>
                <c:pt idx="179">
                  <c:v>2023/3/10</c:v>
                </c:pt>
                <c:pt idx="180">
                  <c:v>2023/3/9</c:v>
                </c:pt>
                <c:pt idx="181">
                  <c:v>2023/3/8</c:v>
                </c:pt>
                <c:pt idx="182">
                  <c:v>2023/3/7</c:v>
                </c:pt>
                <c:pt idx="183">
                  <c:v>2023/3/6</c:v>
                </c:pt>
                <c:pt idx="184">
                  <c:v>2023/3/3</c:v>
                </c:pt>
                <c:pt idx="185">
                  <c:v>2023/3/2</c:v>
                </c:pt>
                <c:pt idx="186">
                  <c:v>2023/3/1</c:v>
                </c:pt>
                <c:pt idx="187">
                  <c:v>2023/2/28</c:v>
                </c:pt>
                <c:pt idx="188">
                  <c:v>2023/2/27</c:v>
                </c:pt>
                <c:pt idx="189">
                  <c:v>2023/2/24</c:v>
                </c:pt>
                <c:pt idx="190">
                  <c:v>2023/2/23</c:v>
                </c:pt>
                <c:pt idx="191">
                  <c:v>2023/2/22</c:v>
                </c:pt>
                <c:pt idx="192">
                  <c:v>2023/2/21</c:v>
                </c:pt>
                <c:pt idx="193">
                  <c:v>2023/2/20</c:v>
                </c:pt>
                <c:pt idx="194">
                  <c:v>2023/2/17</c:v>
                </c:pt>
                <c:pt idx="195">
                  <c:v>2023/2/16</c:v>
                </c:pt>
                <c:pt idx="196">
                  <c:v>2023/2/15</c:v>
                </c:pt>
                <c:pt idx="197">
                  <c:v>2023/2/14</c:v>
                </c:pt>
                <c:pt idx="198">
                  <c:v>2023/2/13</c:v>
                </c:pt>
                <c:pt idx="199">
                  <c:v>2023/2/10</c:v>
                </c:pt>
                <c:pt idx="200">
                  <c:v>2023/2/9</c:v>
                </c:pt>
                <c:pt idx="201">
                  <c:v>2023/2/8</c:v>
                </c:pt>
                <c:pt idx="202">
                  <c:v>2023/2/7</c:v>
                </c:pt>
                <c:pt idx="203">
                  <c:v>2023/2/6</c:v>
                </c:pt>
                <c:pt idx="204">
                  <c:v>2023/2/3</c:v>
                </c:pt>
                <c:pt idx="205">
                  <c:v>2023/2/2</c:v>
                </c:pt>
                <c:pt idx="206">
                  <c:v>2023/2/1</c:v>
                </c:pt>
                <c:pt idx="207">
                  <c:v>2023/1/31</c:v>
                </c:pt>
                <c:pt idx="208">
                  <c:v>2023/1/30</c:v>
                </c:pt>
                <c:pt idx="209">
                  <c:v>2023/1/20</c:v>
                </c:pt>
                <c:pt idx="210">
                  <c:v>2023/1/19</c:v>
                </c:pt>
                <c:pt idx="211">
                  <c:v>2023/1/18</c:v>
                </c:pt>
                <c:pt idx="212">
                  <c:v>2023/1/17</c:v>
                </c:pt>
                <c:pt idx="213">
                  <c:v>2023/1/16</c:v>
                </c:pt>
                <c:pt idx="214">
                  <c:v>2023/1/13</c:v>
                </c:pt>
                <c:pt idx="215">
                  <c:v>2023/1/12</c:v>
                </c:pt>
                <c:pt idx="216">
                  <c:v>2023/1/11</c:v>
                </c:pt>
                <c:pt idx="217">
                  <c:v>2023/1/10</c:v>
                </c:pt>
                <c:pt idx="218">
                  <c:v>2023/1/9</c:v>
                </c:pt>
                <c:pt idx="219">
                  <c:v>2023/1/6</c:v>
                </c:pt>
                <c:pt idx="220">
                  <c:v>2023/1/5</c:v>
                </c:pt>
                <c:pt idx="221">
                  <c:v>2023/1/4</c:v>
                </c:pt>
                <c:pt idx="222">
                  <c:v>2023/1/3</c:v>
                </c:pt>
                <c:pt idx="223">
                  <c:v>2022/12/30</c:v>
                </c:pt>
                <c:pt idx="224">
                  <c:v>2022/12/29</c:v>
                </c:pt>
                <c:pt idx="225">
                  <c:v>2022/12/28</c:v>
                </c:pt>
                <c:pt idx="226">
                  <c:v>2022/12/27</c:v>
                </c:pt>
                <c:pt idx="227">
                  <c:v>2022/12/26</c:v>
                </c:pt>
                <c:pt idx="228">
                  <c:v>2022/12/23</c:v>
                </c:pt>
                <c:pt idx="229">
                  <c:v>2022/12/22</c:v>
                </c:pt>
                <c:pt idx="230">
                  <c:v>2022/12/21</c:v>
                </c:pt>
                <c:pt idx="231">
                  <c:v>2022/12/20</c:v>
                </c:pt>
                <c:pt idx="232">
                  <c:v>2022/12/19</c:v>
                </c:pt>
                <c:pt idx="233">
                  <c:v>2022/12/16</c:v>
                </c:pt>
                <c:pt idx="234">
                  <c:v>2022/12/15</c:v>
                </c:pt>
                <c:pt idx="235">
                  <c:v>2022/12/14</c:v>
                </c:pt>
                <c:pt idx="236">
                  <c:v>2022/12/13</c:v>
                </c:pt>
                <c:pt idx="237">
                  <c:v>2022/12/12</c:v>
                </c:pt>
                <c:pt idx="238">
                  <c:v>2022/12/9</c:v>
                </c:pt>
                <c:pt idx="239">
                  <c:v>2022/12/8</c:v>
                </c:pt>
                <c:pt idx="240">
                  <c:v>2022/12/7</c:v>
                </c:pt>
                <c:pt idx="241">
                  <c:v>2022/12/6</c:v>
                </c:pt>
              </c:strCache>
            </c:strRef>
          </c:cat>
          <c:val>
            <c:numRef>
              <c:f>data!$F$4:$F$1001</c:f>
              <c:numCache>
                <c:formatCode>_(* #,##0.00_);_(* \(#,##0.00\);_(* "-"??_);_(@_)</c:formatCode>
                <c:ptCount val="998"/>
                <c:pt idx="0">
                  <c:v>9.9700000000000006</c:v>
                </c:pt>
                <c:pt idx="1">
                  <c:v>10.26</c:v>
                </c:pt>
                <c:pt idx="2">
                  <c:v>10.42</c:v>
                </c:pt>
                <c:pt idx="3">
                  <c:v>10.48</c:v>
                </c:pt>
                <c:pt idx="4">
                  <c:v>10.88</c:v>
                </c:pt>
                <c:pt idx="5">
                  <c:v>11.04</c:v>
                </c:pt>
                <c:pt idx="6">
                  <c:v>11.13</c:v>
                </c:pt>
                <c:pt idx="7">
                  <c:v>11.1</c:v>
                </c:pt>
                <c:pt idx="8">
                  <c:v>10.67</c:v>
                </c:pt>
                <c:pt idx="9">
                  <c:v>10.86</c:v>
                </c:pt>
                <c:pt idx="10">
                  <c:v>10.65</c:v>
                </c:pt>
                <c:pt idx="11">
                  <c:v>10.8</c:v>
                </c:pt>
                <c:pt idx="12">
                  <c:v>10.78</c:v>
                </c:pt>
                <c:pt idx="13">
                  <c:v>10.81</c:v>
                </c:pt>
                <c:pt idx="14">
                  <c:v>10.98</c:v>
                </c:pt>
                <c:pt idx="15">
                  <c:v>10.88</c:v>
                </c:pt>
                <c:pt idx="16">
                  <c:v>10.88</c:v>
                </c:pt>
                <c:pt idx="17">
                  <c:v>11.08</c:v>
                </c:pt>
                <c:pt idx="18">
                  <c:v>11.08</c:v>
                </c:pt>
                <c:pt idx="19">
                  <c:v>10.98</c:v>
                </c:pt>
                <c:pt idx="20">
                  <c:v>11.05</c:v>
                </c:pt>
                <c:pt idx="21">
                  <c:v>10.77</c:v>
                </c:pt>
                <c:pt idx="22">
                  <c:v>10.86</c:v>
                </c:pt>
                <c:pt idx="23">
                  <c:v>11</c:v>
                </c:pt>
                <c:pt idx="24">
                  <c:v>11.04</c:v>
                </c:pt>
                <c:pt idx="25">
                  <c:v>10.88</c:v>
                </c:pt>
                <c:pt idx="26">
                  <c:v>11.23</c:v>
                </c:pt>
                <c:pt idx="27">
                  <c:v>11.42</c:v>
                </c:pt>
                <c:pt idx="28">
                  <c:v>11.59</c:v>
                </c:pt>
                <c:pt idx="29">
                  <c:v>11.97</c:v>
                </c:pt>
                <c:pt idx="30">
                  <c:v>11.64</c:v>
                </c:pt>
                <c:pt idx="31">
                  <c:v>11.78</c:v>
                </c:pt>
                <c:pt idx="32">
                  <c:v>11.67</c:v>
                </c:pt>
                <c:pt idx="33">
                  <c:v>11.97</c:v>
                </c:pt>
                <c:pt idx="34">
                  <c:v>12.02</c:v>
                </c:pt>
                <c:pt idx="35">
                  <c:v>12.03</c:v>
                </c:pt>
                <c:pt idx="36">
                  <c:v>12.23</c:v>
                </c:pt>
                <c:pt idx="37">
                  <c:v>12.13</c:v>
                </c:pt>
                <c:pt idx="38">
                  <c:v>11.95</c:v>
                </c:pt>
                <c:pt idx="39">
                  <c:v>12.02</c:v>
                </c:pt>
                <c:pt idx="40">
                  <c:v>12.16</c:v>
                </c:pt>
                <c:pt idx="41">
                  <c:v>12.39</c:v>
                </c:pt>
                <c:pt idx="42">
                  <c:v>12.33</c:v>
                </c:pt>
                <c:pt idx="43">
                  <c:v>12.43</c:v>
                </c:pt>
                <c:pt idx="44">
                  <c:v>12.58</c:v>
                </c:pt>
                <c:pt idx="45">
                  <c:v>12.76</c:v>
                </c:pt>
                <c:pt idx="46">
                  <c:v>12.75</c:v>
                </c:pt>
                <c:pt idx="47">
                  <c:v>12.76</c:v>
                </c:pt>
                <c:pt idx="48">
                  <c:v>12.83</c:v>
                </c:pt>
                <c:pt idx="49">
                  <c:v>12.71</c:v>
                </c:pt>
                <c:pt idx="50">
                  <c:v>12.8</c:v>
                </c:pt>
                <c:pt idx="51">
                  <c:v>12.97</c:v>
                </c:pt>
                <c:pt idx="52">
                  <c:v>13.01</c:v>
                </c:pt>
                <c:pt idx="53">
                  <c:v>12.99</c:v>
                </c:pt>
                <c:pt idx="54">
                  <c:v>13.38</c:v>
                </c:pt>
                <c:pt idx="55">
                  <c:v>13.78</c:v>
                </c:pt>
                <c:pt idx="56">
                  <c:v>13.72</c:v>
                </c:pt>
                <c:pt idx="57">
                  <c:v>13.85</c:v>
                </c:pt>
                <c:pt idx="58">
                  <c:v>13.57</c:v>
                </c:pt>
                <c:pt idx="59">
                  <c:v>13.95</c:v>
                </c:pt>
                <c:pt idx="60">
                  <c:v>14.12</c:v>
                </c:pt>
                <c:pt idx="61">
                  <c:v>13.66</c:v>
                </c:pt>
                <c:pt idx="62">
                  <c:v>14.81</c:v>
                </c:pt>
                <c:pt idx="63">
                  <c:v>14.68</c:v>
                </c:pt>
                <c:pt idx="64">
                  <c:v>14.3</c:v>
                </c:pt>
                <c:pt idx="65">
                  <c:v>13.78</c:v>
                </c:pt>
                <c:pt idx="66">
                  <c:v>13.32</c:v>
                </c:pt>
                <c:pt idx="67">
                  <c:v>13.51</c:v>
                </c:pt>
                <c:pt idx="68">
                  <c:v>13.56</c:v>
                </c:pt>
                <c:pt idx="69">
                  <c:v>13.47</c:v>
                </c:pt>
                <c:pt idx="70">
                  <c:v>13.9</c:v>
                </c:pt>
                <c:pt idx="71">
                  <c:v>13.95</c:v>
                </c:pt>
                <c:pt idx="72">
                  <c:v>13.98</c:v>
                </c:pt>
                <c:pt idx="73">
                  <c:v>13.82</c:v>
                </c:pt>
                <c:pt idx="74">
                  <c:v>13.72</c:v>
                </c:pt>
                <c:pt idx="75">
                  <c:v>13.5</c:v>
                </c:pt>
                <c:pt idx="76">
                  <c:v>13.62</c:v>
                </c:pt>
                <c:pt idx="77">
                  <c:v>13.72</c:v>
                </c:pt>
                <c:pt idx="78">
                  <c:v>13.63</c:v>
                </c:pt>
                <c:pt idx="79">
                  <c:v>13.96</c:v>
                </c:pt>
                <c:pt idx="80">
                  <c:v>14.47</c:v>
                </c:pt>
                <c:pt idx="81">
                  <c:v>14.4</c:v>
                </c:pt>
                <c:pt idx="82">
                  <c:v>14.11</c:v>
                </c:pt>
                <c:pt idx="83">
                  <c:v>14.04</c:v>
                </c:pt>
                <c:pt idx="84">
                  <c:v>14.25</c:v>
                </c:pt>
                <c:pt idx="85">
                  <c:v>13.99</c:v>
                </c:pt>
                <c:pt idx="86">
                  <c:v>13.42</c:v>
                </c:pt>
                <c:pt idx="87">
                  <c:v>13.41</c:v>
                </c:pt>
                <c:pt idx="88">
                  <c:v>13.35</c:v>
                </c:pt>
                <c:pt idx="89">
                  <c:v>12.43</c:v>
                </c:pt>
                <c:pt idx="90">
                  <c:v>12.53</c:v>
                </c:pt>
                <c:pt idx="91">
                  <c:v>12.57</c:v>
                </c:pt>
                <c:pt idx="92">
                  <c:v>12.46</c:v>
                </c:pt>
                <c:pt idx="93">
                  <c:v>12.18</c:v>
                </c:pt>
                <c:pt idx="94">
                  <c:v>12.03</c:v>
                </c:pt>
                <c:pt idx="95">
                  <c:v>11.98</c:v>
                </c:pt>
                <c:pt idx="96">
                  <c:v>12.02</c:v>
                </c:pt>
                <c:pt idx="97">
                  <c:v>11.95</c:v>
                </c:pt>
                <c:pt idx="98">
                  <c:v>12.34</c:v>
                </c:pt>
                <c:pt idx="99">
                  <c:v>12.52</c:v>
                </c:pt>
                <c:pt idx="100">
                  <c:v>12.62</c:v>
                </c:pt>
                <c:pt idx="101">
                  <c:v>12.71</c:v>
                </c:pt>
                <c:pt idx="102">
                  <c:v>12.72</c:v>
                </c:pt>
                <c:pt idx="103">
                  <c:v>12.7</c:v>
                </c:pt>
                <c:pt idx="104">
                  <c:v>12.93</c:v>
                </c:pt>
                <c:pt idx="105">
                  <c:v>13.03</c:v>
                </c:pt>
                <c:pt idx="106">
                  <c:v>13.16</c:v>
                </c:pt>
                <c:pt idx="107">
                  <c:v>13.41</c:v>
                </c:pt>
                <c:pt idx="108">
                  <c:v>13.55</c:v>
                </c:pt>
                <c:pt idx="109">
                  <c:v>12.67</c:v>
                </c:pt>
                <c:pt idx="110">
                  <c:v>12.89</c:v>
                </c:pt>
                <c:pt idx="111">
                  <c:v>13.17</c:v>
                </c:pt>
                <c:pt idx="112">
                  <c:v>13.34</c:v>
                </c:pt>
                <c:pt idx="113">
                  <c:v>13.44</c:v>
                </c:pt>
                <c:pt idx="114">
                  <c:v>13.65</c:v>
                </c:pt>
                <c:pt idx="115">
                  <c:v>13.55</c:v>
                </c:pt>
                <c:pt idx="116">
                  <c:v>13.68</c:v>
                </c:pt>
                <c:pt idx="117">
                  <c:v>13.44</c:v>
                </c:pt>
                <c:pt idx="118">
                  <c:v>13.33</c:v>
                </c:pt>
                <c:pt idx="119">
                  <c:v>13.51</c:v>
                </c:pt>
                <c:pt idx="120">
                  <c:v>13.07</c:v>
                </c:pt>
                <c:pt idx="121">
                  <c:v>12.95</c:v>
                </c:pt>
                <c:pt idx="122">
                  <c:v>12.74</c:v>
                </c:pt>
                <c:pt idx="123">
                  <c:v>13.06</c:v>
                </c:pt>
                <c:pt idx="124">
                  <c:v>12.47</c:v>
                </c:pt>
                <c:pt idx="125">
                  <c:v>12.68</c:v>
                </c:pt>
                <c:pt idx="126">
                  <c:v>12.83</c:v>
                </c:pt>
                <c:pt idx="127">
                  <c:v>12.62</c:v>
                </c:pt>
                <c:pt idx="128">
                  <c:v>12.53</c:v>
                </c:pt>
                <c:pt idx="129">
                  <c:v>12.35</c:v>
                </c:pt>
                <c:pt idx="130">
                  <c:v>12.32</c:v>
                </c:pt>
                <c:pt idx="131">
                  <c:v>12.87</c:v>
                </c:pt>
                <c:pt idx="132">
                  <c:v>12.86</c:v>
                </c:pt>
                <c:pt idx="133">
                  <c:v>12.87</c:v>
                </c:pt>
                <c:pt idx="134">
                  <c:v>13.12</c:v>
                </c:pt>
                <c:pt idx="135">
                  <c:v>13.35</c:v>
                </c:pt>
                <c:pt idx="136">
                  <c:v>13.38</c:v>
                </c:pt>
                <c:pt idx="137">
                  <c:v>13.53</c:v>
                </c:pt>
                <c:pt idx="138">
                  <c:v>13.57</c:v>
                </c:pt>
                <c:pt idx="139">
                  <c:v>13.77</c:v>
                </c:pt>
                <c:pt idx="140">
                  <c:v>13.97</c:v>
                </c:pt>
                <c:pt idx="141">
                  <c:v>14.37</c:v>
                </c:pt>
                <c:pt idx="142">
                  <c:v>14.17</c:v>
                </c:pt>
                <c:pt idx="143">
                  <c:v>13.98</c:v>
                </c:pt>
                <c:pt idx="144">
                  <c:v>13.37</c:v>
                </c:pt>
                <c:pt idx="145">
                  <c:v>13.66</c:v>
                </c:pt>
                <c:pt idx="146">
                  <c:v>13.83</c:v>
                </c:pt>
                <c:pt idx="147">
                  <c:v>13.49</c:v>
                </c:pt>
                <c:pt idx="148">
                  <c:v>13.77</c:v>
                </c:pt>
                <c:pt idx="149">
                  <c:v>14</c:v>
                </c:pt>
                <c:pt idx="150">
                  <c:v>14.56</c:v>
                </c:pt>
                <c:pt idx="151">
                  <c:v>14.67</c:v>
                </c:pt>
                <c:pt idx="152">
                  <c:v>14.75</c:v>
                </c:pt>
                <c:pt idx="153">
                  <c:v>15.16</c:v>
                </c:pt>
                <c:pt idx="154">
                  <c:v>15.1</c:v>
                </c:pt>
                <c:pt idx="155">
                  <c:v>14.99</c:v>
                </c:pt>
                <c:pt idx="156">
                  <c:v>15.21</c:v>
                </c:pt>
                <c:pt idx="157">
                  <c:v>15.2</c:v>
                </c:pt>
                <c:pt idx="158">
                  <c:v>15.16</c:v>
                </c:pt>
                <c:pt idx="159">
                  <c:v>15</c:v>
                </c:pt>
                <c:pt idx="160">
                  <c:v>14.87</c:v>
                </c:pt>
                <c:pt idx="161">
                  <c:v>14</c:v>
                </c:pt>
                <c:pt idx="162">
                  <c:v>13.99</c:v>
                </c:pt>
                <c:pt idx="163">
                  <c:v>14.05</c:v>
                </c:pt>
                <c:pt idx="164">
                  <c:v>13.62</c:v>
                </c:pt>
                <c:pt idx="165">
                  <c:v>13.54</c:v>
                </c:pt>
                <c:pt idx="166">
                  <c:v>13.24</c:v>
                </c:pt>
                <c:pt idx="167">
                  <c:v>13.1</c:v>
                </c:pt>
                <c:pt idx="168">
                  <c:v>13.23</c:v>
                </c:pt>
                <c:pt idx="169">
                  <c:v>13.48</c:v>
                </c:pt>
                <c:pt idx="170">
                  <c:v>13.82</c:v>
                </c:pt>
                <c:pt idx="171">
                  <c:v>13.92</c:v>
                </c:pt>
                <c:pt idx="172">
                  <c:v>13.49</c:v>
                </c:pt>
                <c:pt idx="173">
                  <c:v>13.62</c:v>
                </c:pt>
                <c:pt idx="174">
                  <c:v>13.85</c:v>
                </c:pt>
                <c:pt idx="175">
                  <c:v>13.6</c:v>
                </c:pt>
                <c:pt idx="176">
                  <c:v>13.84</c:v>
                </c:pt>
                <c:pt idx="177">
                  <c:v>13.83</c:v>
                </c:pt>
                <c:pt idx="178">
                  <c:v>14</c:v>
                </c:pt>
                <c:pt idx="179">
                  <c:v>14.17</c:v>
                </c:pt>
                <c:pt idx="180">
                  <c:v>14.53</c:v>
                </c:pt>
                <c:pt idx="181">
                  <c:v>14.37</c:v>
                </c:pt>
                <c:pt idx="182">
                  <c:v>14.37</c:v>
                </c:pt>
                <c:pt idx="183">
                  <c:v>14.7</c:v>
                </c:pt>
                <c:pt idx="184">
                  <c:v>14.87</c:v>
                </c:pt>
                <c:pt idx="185">
                  <c:v>15.08</c:v>
                </c:pt>
                <c:pt idx="186">
                  <c:v>15.17</c:v>
                </c:pt>
                <c:pt idx="187">
                  <c:v>14.83</c:v>
                </c:pt>
                <c:pt idx="188">
                  <c:v>14.65</c:v>
                </c:pt>
                <c:pt idx="189">
                  <c:v>14.45</c:v>
                </c:pt>
                <c:pt idx="190">
                  <c:v>14.52</c:v>
                </c:pt>
                <c:pt idx="191">
                  <c:v>14.58</c:v>
                </c:pt>
                <c:pt idx="192">
                  <c:v>14.79</c:v>
                </c:pt>
                <c:pt idx="193">
                  <c:v>14.98</c:v>
                </c:pt>
                <c:pt idx="194">
                  <c:v>14.5</c:v>
                </c:pt>
                <c:pt idx="195">
                  <c:v>14.45</c:v>
                </c:pt>
                <c:pt idx="196">
                  <c:v>14.6</c:v>
                </c:pt>
                <c:pt idx="197">
                  <c:v>14.89</c:v>
                </c:pt>
                <c:pt idx="198">
                  <c:v>14.78</c:v>
                </c:pt>
                <c:pt idx="199">
                  <c:v>14.81</c:v>
                </c:pt>
                <c:pt idx="200">
                  <c:v>14.75</c:v>
                </c:pt>
                <c:pt idx="201">
                  <c:v>14.23</c:v>
                </c:pt>
                <c:pt idx="202">
                  <c:v>13.96</c:v>
                </c:pt>
                <c:pt idx="203">
                  <c:v>13.66</c:v>
                </c:pt>
                <c:pt idx="204">
                  <c:v>13.95</c:v>
                </c:pt>
                <c:pt idx="205">
                  <c:v>14.24</c:v>
                </c:pt>
                <c:pt idx="206">
                  <c:v>14.42</c:v>
                </c:pt>
                <c:pt idx="207">
                  <c:v>14.85</c:v>
                </c:pt>
                <c:pt idx="208">
                  <c:v>14.4</c:v>
                </c:pt>
                <c:pt idx="209">
                  <c:v>14.45</c:v>
                </c:pt>
                <c:pt idx="210">
                  <c:v>14.67</c:v>
                </c:pt>
                <c:pt idx="211">
                  <c:v>14.33</c:v>
                </c:pt>
                <c:pt idx="212">
                  <c:v>14.29</c:v>
                </c:pt>
                <c:pt idx="213">
                  <c:v>14.37</c:v>
                </c:pt>
                <c:pt idx="214">
                  <c:v>14.21</c:v>
                </c:pt>
                <c:pt idx="215">
                  <c:v>14.23</c:v>
                </c:pt>
                <c:pt idx="216">
                  <c:v>14.59</c:v>
                </c:pt>
                <c:pt idx="217">
                  <c:v>13.88</c:v>
                </c:pt>
                <c:pt idx="218">
                  <c:v>13.7</c:v>
                </c:pt>
                <c:pt idx="219">
                  <c:v>13.52</c:v>
                </c:pt>
                <c:pt idx="220">
                  <c:v>13.65</c:v>
                </c:pt>
                <c:pt idx="221">
                  <c:v>13.55</c:v>
                </c:pt>
                <c:pt idx="222">
                  <c:v>12.82</c:v>
                </c:pt>
                <c:pt idx="223">
                  <c:v>12.63</c:v>
                </c:pt>
                <c:pt idx="224">
                  <c:v>12.7</c:v>
                </c:pt>
                <c:pt idx="225">
                  <c:v>13.04</c:v>
                </c:pt>
                <c:pt idx="226">
                  <c:v>12.75</c:v>
                </c:pt>
                <c:pt idx="227">
                  <c:v>12.72</c:v>
                </c:pt>
                <c:pt idx="228">
                  <c:v>13.06</c:v>
                </c:pt>
                <c:pt idx="229">
                  <c:v>13.11</c:v>
                </c:pt>
                <c:pt idx="230">
                  <c:v>13.36</c:v>
                </c:pt>
                <c:pt idx="231">
                  <c:v>13.73</c:v>
                </c:pt>
                <c:pt idx="232">
                  <c:v>13.95</c:v>
                </c:pt>
                <c:pt idx="233">
                  <c:v>14.62</c:v>
                </c:pt>
                <c:pt idx="234">
                  <c:v>14.62</c:v>
                </c:pt>
                <c:pt idx="235">
                  <c:v>14.62</c:v>
                </c:pt>
                <c:pt idx="236">
                  <c:v>14.62</c:v>
                </c:pt>
                <c:pt idx="237">
                  <c:v>14.62</c:v>
                </c:pt>
                <c:pt idx="238">
                  <c:v>14.62</c:v>
                </c:pt>
                <c:pt idx="239">
                  <c:v>14.62</c:v>
                </c:pt>
                <c:pt idx="240">
                  <c:v>14.62</c:v>
                </c:pt>
                <c:pt idx="241">
                  <c:v>14.62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D-4B31-AB80-32545399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878176"/>
        <c:axId val="2095885248"/>
      </c:lineChart>
      <c:dateAx>
        <c:axId val="2095878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5885248"/>
        <c:crosses val="autoZero"/>
        <c:auto val="1"/>
        <c:lblOffset val="100"/>
        <c:baseTimeUnit val="days"/>
        <c:majorUnit val="3"/>
        <c:majorTimeUnit val="months"/>
      </c:dateAx>
      <c:valAx>
        <c:axId val="20958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58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价差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data!$A$4:$A$1503</c:f>
              <c:strCache>
                <c:ptCount val="242"/>
                <c:pt idx="0">
                  <c:v>2023/12/4</c:v>
                </c:pt>
                <c:pt idx="1">
                  <c:v>2023/12/1</c:v>
                </c:pt>
                <c:pt idx="2">
                  <c:v>2023/11/30</c:v>
                </c:pt>
                <c:pt idx="3">
                  <c:v>2023/11/29</c:v>
                </c:pt>
                <c:pt idx="4">
                  <c:v>2023/11/28</c:v>
                </c:pt>
                <c:pt idx="5">
                  <c:v>2023/11/27</c:v>
                </c:pt>
                <c:pt idx="6">
                  <c:v>2023/11/24</c:v>
                </c:pt>
                <c:pt idx="7">
                  <c:v>2023/11/23</c:v>
                </c:pt>
                <c:pt idx="8">
                  <c:v>2023/11/22</c:v>
                </c:pt>
                <c:pt idx="9">
                  <c:v>2023/11/21</c:v>
                </c:pt>
                <c:pt idx="10">
                  <c:v>2023/11/20</c:v>
                </c:pt>
                <c:pt idx="11">
                  <c:v>2023/11/17</c:v>
                </c:pt>
                <c:pt idx="12">
                  <c:v>2023/11/16</c:v>
                </c:pt>
                <c:pt idx="13">
                  <c:v>2023/11/15</c:v>
                </c:pt>
                <c:pt idx="14">
                  <c:v>2023/11/14</c:v>
                </c:pt>
                <c:pt idx="15">
                  <c:v>2023/11/13</c:v>
                </c:pt>
                <c:pt idx="16">
                  <c:v>2023/11/10</c:v>
                </c:pt>
                <c:pt idx="17">
                  <c:v>2023/11/9</c:v>
                </c:pt>
                <c:pt idx="18">
                  <c:v>2023/11/8</c:v>
                </c:pt>
                <c:pt idx="19">
                  <c:v>2023/11/7</c:v>
                </c:pt>
                <c:pt idx="20">
                  <c:v>2023/11/6</c:v>
                </c:pt>
                <c:pt idx="21">
                  <c:v>2023/11/3</c:v>
                </c:pt>
                <c:pt idx="22">
                  <c:v>2023/11/2</c:v>
                </c:pt>
                <c:pt idx="23">
                  <c:v>2023/11/1</c:v>
                </c:pt>
                <c:pt idx="24">
                  <c:v>2023/10/31</c:v>
                </c:pt>
                <c:pt idx="25">
                  <c:v>2023/10/30</c:v>
                </c:pt>
                <c:pt idx="26">
                  <c:v>2023/10/27</c:v>
                </c:pt>
                <c:pt idx="27">
                  <c:v>2023/10/26</c:v>
                </c:pt>
                <c:pt idx="28">
                  <c:v>2023/10/25</c:v>
                </c:pt>
                <c:pt idx="29">
                  <c:v>2023/10/24</c:v>
                </c:pt>
                <c:pt idx="30">
                  <c:v>2023/10/23</c:v>
                </c:pt>
                <c:pt idx="31">
                  <c:v>2023/10/20</c:v>
                </c:pt>
                <c:pt idx="32">
                  <c:v>2023/10/19</c:v>
                </c:pt>
                <c:pt idx="33">
                  <c:v>2023/10/18</c:v>
                </c:pt>
                <c:pt idx="34">
                  <c:v>2023/10/17</c:v>
                </c:pt>
                <c:pt idx="35">
                  <c:v>2023/10/16</c:v>
                </c:pt>
                <c:pt idx="36">
                  <c:v>2023/10/13</c:v>
                </c:pt>
                <c:pt idx="37">
                  <c:v>2023/10/12</c:v>
                </c:pt>
                <c:pt idx="38">
                  <c:v>2023/10/11</c:v>
                </c:pt>
                <c:pt idx="39">
                  <c:v>2023/10/10</c:v>
                </c:pt>
                <c:pt idx="40">
                  <c:v>2023/10/9</c:v>
                </c:pt>
                <c:pt idx="41">
                  <c:v>2023/9/28</c:v>
                </c:pt>
                <c:pt idx="42">
                  <c:v>2023/9/27</c:v>
                </c:pt>
                <c:pt idx="43">
                  <c:v>2023/9/26</c:v>
                </c:pt>
                <c:pt idx="44">
                  <c:v>2023/9/25</c:v>
                </c:pt>
                <c:pt idx="45">
                  <c:v>2023/9/22</c:v>
                </c:pt>
                <c:pt idx="46">
                  <c:v>2023/9/21</c:v>
                </c:pt>
                <c:pt idx="47">
                  <c:v>2023/9/20</c:v>
                </c:pt>
                <c:pt idx="48">
                  <c:v>2023/9/19</c:v>
                </c:pt>
                <c:pt idx="49">
                  <c:v>2023/9/18</c:v>
                </c:pt>
                <c:pt idx="50">
                  <c:v>2023/9/15</c:v>
                </c:pt>
                <c:pt idx="51">
                  <c:v>2023/9/14</c:v>
                </c:pt>
                <c:pt idx="52">
                  <c:v>2023/9/13</c:v>
                </c:pt>
                <c:pt idx="53">
                  <c:v>2023/9/12</c:v>
                </c:pt>
                <c:pt idx="54">
                  <c:v>2023/9/11</c:v>
                </c:pt>
                <c:pt idx="55">
                  <c:v>2023/9/8</c:v>
                </c:pt>
                <c:pt idx="56">
                  <c:v>2023/9/7</c:v>
                </c:pt>
                <c:pt idx="57">
                  <c:v>2023/9/6</c:v>
                </c:pt>
                <c:pt idx="58">
                  <c:v>2023/9/5</c:v>
                </c:pt>
                <c:pt idx="59">
                  <c:v>2023/9/4</c:v>
                </c:pt>
                <c:pt idx="60">
                  <c:v>2023/9/1</c:v>
                </c:pt>
                <c:pt idx="61">
                  <c:v>2023/8/31</c:v>
                </c:pt>
                <c:pt idx="62">
                  <c:v>2023/8/30</c:v>
                </c:pt>
                <c:pt idx="63">
                  <c:v>2023/8/29</c:v>
                </c:pt>
                <c:pt idx="64">
                  <c:v>2023/8/28</c:v>
                </c:pt>
                <c:pt idx="65">
                  <c:v>2023/8/25</c:v>
                </c:pt>
                <c:pt idx="66">
                  <c:v>2023/8/24</c:v>
                </c:pt>
                <c:pt idx="67">
                  <c:v>2023/8/23</c:v>
                </c:pt>
                <c:pt idx="68">
                  <c:v>2023/8/22</c:v>
                </c:pt>
                <c:pt idx="69">
                  <c:v>2023/8/21</c:v>
                </c:pt>
                <c:pt idx="70">
                  <c:v>2023/8/18</c:v>
                </c:pt>
                <c:pt idx="71">
                  <c:v>2023/8/17</c:v>
                </c:pt>
                <c:pt idx="72">
                  <c:v>2023/8/16</c:v>
                </c:pt>
                <c:pt idx="73">
                  <c:v>2023/8/15</c:v>
                </c:pt>
                <c:pt idx="74">
                  <c:v>2023/8/14</c:v>
                </c:pt>
                <c:pt idx="75">
                  <c:v>2023/8/11</c:v>
                </c:pt>
                <c:pt idx="76">
                  <c:v>2023/8/10</c:v>
                </c:pt>
                <c:pt idx="77">
                  <c:v>2023/8/9</c:v>
                </c:pt>
                <c:pt idx="78">
                  <c:v>2023/8/8</c:v>
                </c:pt>
                <c:pt idx="79">
                  <c:v>2023/8/7</c:v>
                </c:pt>
                <c:pt idx="80">
                  <c:v>2023/8/4</c:v>
                </c:pt>
                <c:pt idx="81">
                  <c:v>2023/8/3</c:v>
                </c:pt>
                <c:pt idx="82">
                  <c:v>2023/8/2</c:v>
                </c:pt>
                <c:pt idx="83">
                  <c:v>2023/8/1</c:v>
                </c:pt>
                <c:pt idx="84">
                  <c:v>2023/7/31</c:v>
                </c:pt>
                <c:pt idx="85">
                  <c:v>2023/7/28</c:v>
                </c:pt>
                <c:pt idx="86">
                  <c:v>2023/7/27</c:v>
                </c:pt>
                <c:pt idx="87">
                  <c:v>2023/7/26</c:v>
                </c:pt>
                <c:pt idx="88">
                  <c:v>2023/7/25</c:v>
                </c:pt>
                <c:pt idx="89">
                  <c:v>2023/7/24</c:v>
                </c:pt>
                <c:pt idx="90">
                  <c:v>2023/7/21</c:v>
                </c:pt>
                <c:pt idx="91">
                  <c:v>2023/7/20</c:v>
                </c:pt>
                <c:pt idx="92">
                  <c:v>2023/7/19</c:v>
                </c:pt>
                <c:pt idx="93">
                  <c:v>2023/7/18</c:v>
                </c:pt>
                <c:pt idx="94">
                  <c:v>2023/7/17</c:v>
                </c:pt>
                <c:pt idx="95">
                  <c:v>2023/7/14</c:v>
                </c:pt>
                <c:pt idx="96">
                  <c:v>2023/7/13</c:v>
                </c:pt>
                <c:pt idx="97">
                  <c:v>2023/7/12</c:v>
                </c:pt>
                <c:pt idx="98">
                  <c:v>2023/7/11</c:v>
                </c:pt>
                <c:pt idx="99">
                  <c:v>2023/7/10</c:v>
                </c:pt>
                <c:pt idx="100">
                  <c:v>2023/7/7</c:v>
                </c:pt>
                <c:pt idx="101">
                  <c:v>2023/7/6</c:v>
                </c:pt>
                <c:pt idx="102">
                  <c:v>2023/7/5</c:v>
                </c:pt>
                <c:pt idx="103">
                  <c:v>2023/7/4</c:v>
                </c:pt>
                <c:pt idx="104">
                  <c:v>2023/7/3</c:v>
                </c:pt>
                <c:pt idx="105">
                  <c:v>2023/6/30</c:v>
                </c:pt>
                <c:pt idx="106">
                  <c:v>2023/6/29</c:v>
                </c:pt>
                <c:pt idx="107">
                  <c:v>2023/6/28</c:v>
                </c:pt>
                <c:pt idx="108">
                  <c:v>2023/6/27</c:v>
                </c:pt>
                <c:pt idx="109">
                  <c:v>2023/6/26</c:v>
                </c:pt>
                <c:pt idx="110">
                  <c:v>2023/6/21</c:v>
                </c:pt>
                <c:pt idx="111">
                  <c:v>2023/6/20</c:v>
                </c:pt>
                <c:pt idx="112">
                  <c:v>2023/6/19</c:v>
                </c:pt>
                <c:pt idx="113">
                  <c:v>2023/6/16</c:v>
                </c:pt>
                <c:pt idx="114">
                  <c:v>2023/6/15</c:v>
                </c:pt>
                <c:pt idx="115">
                  <c:v>2023/6/14</c:v>
                </c:pt>
                <c:pt idx="116">
                  <c:v>2023/6/13</c:v>
                </c:pt>
                <c:pt idx="117">
                  <c:v>2023/6/12</c:v>
                </c:pt>
                <c:pt idx="118">
                  <c:v>2023/6/9</c:v>
                </c:pt>
                <c:pt idx="119">
                  <c:v>2023/6/8</c:v>
                </c:pt>
                <c:pt idx="120">
                  <c:v>2023/6/7</c:v>
                </c:pt>
                <c:pt idx="121">
                  <c:v>2023/6/6</c:v>
                </c:pt>
                <c:pt idx="122">
                  <c:v>2023/6/5</c:v>
                </c:pt>
                <c:pt idx="123">
                  <c:v>2023/6/2</c:v>
                </c:pt>
                <c:pt idx="124">
                  <c:v>2023/6/1</c:v>
                </c:pt>
                <c:pt idx="125">
                  <c:v>2023/5/31</c:v>
                </c:pt>
                <c:pt idx="126">
                  <c:v>2023/5/30</c:v>
                </c:pt>
                <c:pt idx="127">
                  <c:v>2023/5/29</c:v>
                </c:pt>
                <c:pt idx="128">
                  <c:v>2023/5/26</c:v>
                </c:pt>
                <c:pt idx="129">
                  <c:v>2023/5/25</c:v>
                </c:pt>
                <c:pt idx="130">
                  <c:v>2023/5/24</c:v>
                </c:pt>
                <c:pt idx="131">
                  <c:v>2023/5/23</c:v>
                </c:pt>
                <c:pt idx="132">
                  <c:v>2023/5/22</c:v>
                </c:pt>
                <c:pt idx="133">
                  <c:v>2023/5/19</c:v>
                </c:pt>
                <c:pt idx="134">
                  <c:v>2023/5/18</c:v>
                </c:pt>
                <c:pt idx="135">
                  <c:v>2023/5/17</c:v>
                </c:pt>
                <c:pt idx="136">
                  <c:v>2023/5/16</c:v>
                </c:pt>
                <c:pt idx="137">
                  <c:v>2023/5/15</c:v>
                </c:pt>
                <c:pt idx="138">
                  <c:v>2023/5/12</c:v>
                </c:pt>
                <c:pt idx="139">
                  <c:v>2023/5/11</c:v>
                </c:pt>
                <c:pt idx="140">
                  <c:v>2023/5/10</c:v>
                </c:pt>
                <c:pt idx="141">
                  <c:v>2023/5/9</c:v>
                </c:pt>
                <c:pt idx="142">
                  <c:v>2023/5/8</c:v>
                </c:pt>
                <c:pt idx="143">
                  <c:v>2023/5/5</c:v>
                </c:pt>
                <c:pt idx="144">
                  <c:v>2023/5/4</c:v>
                </c:pt>
                <c:pt idx="145">
                  <c:v>2023/4/28</c:v>
                </c:pt>
                <c:pt idx="146">
                  <c:v>2023/4/27</c:v>
                </c:pt>
                <c:pt idx="147">
                  <c:v>2023/4/26</c:v>
                </c:pt>
                <c:pt idx="148">
                  <c:v>2023/4/25</c:v>
                </c:pt>
                <c:pt idx="149">
                  <c:v>2023/4/24</c:v>
                </c:pt>
                <c:pt idx="150">
                  <c:v>2023/4/21</c:v>
                </c:pt>
                <c:pt idx="151">
                  <c:v>2023/4/20</c:v>
                </c:pt>
                <c:pt idx="152">
                  <c:v>2023/4/19</c:v>
                </c:pt>
                <c:pt idx="153">
                  <c:v>2023/4/18</c:v>
                </c:pt>
                <c:pt idx="154">
                  <c:v>2023/4/17</c:v>
                </c:pt>
                <c:pt idx="155">
                  <c:v>2023/4/14</c:v>
                </c:pt>
                <c:pt idx="156">
                  <c:v>2023/4/13</c:v>
                </c:pt>
                <c:pt idx="157">
                  <c:v>2023/4/12</c:v>
                </c:pt>
                <c:pt idx="158">
                  <c:v>2023/4/11</c:v>
                </c:pt>
                <c:pt idx="159">
                  <c:v>2023/4/10</c:v>
                </c:pt>
                <c:pt idx="160">
                  <c:v>2023/4/7</c:v>
                </c:pt>
                <c:pt idx="161">
                  <c:v>2023/4/6</c:v>
                </c:pt>
                <c:pt idx="162">
                  <c:v>2023/4/4</c:v>
                </c:pt>
                <c:pt idx="163">
                  <c:v>2023/4/3</c:v>
                </c:pt>
                <c:pt idx="164">
                  <c:v>2023/3/31</c:v>
                </c:pt>
                <c:pt idx="165">
                  <c:v>2023/3/30</c:v>
                </c:pt>
                <c:pt idx="166">
                  <c:v>2023/3/29</c:v>
                </c:pt>
                <c:pt idx="167">
                  <c:v>2023/3/28</c:v>
                </c:pt>
                <c:pt idx="168">
                  <c:v>2023/3/27</c:v>
                </c:pt>
                <c:pt idx="169">
                  <c:v>2023/3/24</c:v>
                </c:pt>
                <c:pt idx="170">
                  <c:v>2023/3/23</c:v>
                </c:pt>
                <c:pt idx="171">
                  <c:v>2023/3/22</c:v>
                </c:pt>
                <c:pt idx="172">
                  <c:v>2023/3/21</c:v>
                </c:pt>
                <c:pt idx="173">
                  <c:v>2023/3/20</c:v>
                </c:pt>
                <c:pt idx="174">
                  <c:v>2023/3/17</c:v>
                </c:pt>
                <c:pt idx="175">
                  <c:v>2023/3/16</c:v>
                </c:pt>
                <c:pt idx="176">
                  <c:v>2023/3/15</c:v>
                </c:pt>
                <c:pt idx="177">
                  <c:v>2023/3/14</c:v>
                </c:pt>
                <c:pt idx="178">
                  <c:v>2023/3/13</c:v>
                </c:pt>
                <c:pt idx="179">
                  <c:v>2023/3/10</c:v>
                </c:pt>
                <c:pt idx="180">
                  <c:v>2023/3/9</c:v>
                </c:pt>
                <c:pt idx="181">
                  <c:v>2023/3/8</c:v>
                </c:pt>
                <c:pt idx="182">
                  <c:v>2023/3/7</c:v>
                </c:pt>
                <c:pt idx="183">
                  <c:v>2023/3/6</c:v>
                </c:pt>
                <c:pt idx="184">
                  <c:v>2023/3/3</c:v>
                </c:pt>
                <c:pt idx="185">
                  <c:v>2023/3/2</c:v>
                </c:pt>
                <c:pt idx="186">
                  <c:v>2023/3/1</c:v>
                </c:pt>
                <c:pt idx="187">
                  <c:v>2023/2/28</c:v>
                </c:pt>
                <c:pt idx="188">
                  <c:v>2023/2/27</c:v>
                </c:pt>
                <c:pt idx="189">
                  <c:v>2023/2/24</c:v>
                </c:pt>
                <c:pt idx="190">
                  <c:v>2023/2/23</c:v>
                </c:pt>
                <c:pt idx="191">
                  <c:v>2023/2/22</c:v>
                </c:pt>
                <c:pt idx="192">
                  <c:v>2023/2/21</c:v>
                </c:pt>
                <c:pt idx="193">
                  <c:v>2023/2/20</c:v>
                </c:pt>
                <c:pt idx="194">
                  <c:v>2023/2/17</c:v>
                </c:pt>
                <c:pt idx="195">
                  <c:v>2023/2/16</c:v>
                </c:pt>
                <c:pt idx="196">
                  <c:v>2023/2/15</c:v>
                </c:pt>
                <c:pt idx="197">
                  <c:v>2023/2/14</c:v>
                </c:pt>
                <c:pt idx="198">
                  <c:v>2023/2/13</c:v>
                </c:pt>
                <c:pt idx="199">
                  <c:v>2023/2/10</c:v>
                </c:pt>
                <c:pt idx="200">
                  <c:v>2023/2/9</c:v>
                </c:pt>
                <c:pt idx="201">
                  <c:v>2023/2/8</c:v>
                </c:pt>
                <c:pt idx="202">
                  <c:v>2023/2/7</c:v>
                </c:pt>
                <c:pt idx="203">
                  <c:v>2023/2/6</c:v>
                </c:pt>
                <c:pt idx="204">
                  <c:v>2023/2/3</c:v>
                </c:pt>
                <c:pt idx="205">
                  <c:v>2023/2/2</c:v>
                </c:pt>
                <c:pt idx="206">
                  <c:v>2023/2/1</c:v>
                </c:pt>
                <c:pt idx="207">
                  <c:v>2023/1/31</c:v>
                </c:pt>
                <c:pt idx="208">
                  <c:v>2023/1/30</c:v>
                </c:pt>
                <c:pt idx="209">
                  <c:v>2023/1/20</c:v>
                </c:pt>
                <c:pt idx="210">
                  <c:v>2023/1/19</c:v>
                </c:pt>
                <c:pt idx="211">
                  <c:v>2023/1/18</c:v>
                </c:pt>
                <c:pt idx="212">
                  <c:v>2023/1/17</c:v>
                </c:pt>
                <c:pt idx="213">
                  <c:v>2023/1/16</c:v>
                </c:pt>
                <c:pt idx="214">
                  <c:v>2023/1/13</c:v>
                </c:pt>
                <c:pt idx="215">
                  <c:v>2023/1/12</c:v>
                </c:pt>
                <c:pt idx="216">
                  <c:v>2023/1/11</c:v>
                </c:pt>
                <c:pt idx="217">
                  <c:v>2023/1/10</c:v>
                </c:pt>
                <c:pt idx="218">
                  <c:v>2023/1/9</c:v>
                </c:pt>
                <c:pt idx="219">
                  <c:v>2023/1/6</c:v>
                </c:pt>
                <c:pt idx="220">
                  <c:v>2023/1/5</c:v>
                </c:pt>
                <c:pt idx="221">
                  <c:v>2023/1/4</c:v>
                </c:pt>
                <c:pt idx="222">
                  <c:v>2023/1/3</c:v>
                </c:pt>
                <c:pt idx="223">
                  <c:v>2022/12/30</c:v>
                </c:pt>
                <c:pt idx="224">
                  <c:v>2022/12/29</c:v>
                </c:pt>
                <c:pt idx="225">
                  <c:v>2022/12/28</c:v>
                </c:pt>
                <c:pt idx="226">
                  <c:v>2022/12/27</c:v>
                </c:pt>
                <c:pt idx="227">
                  <c:v>2022/12/26</c:v>
                </c:pt>
                <c:pt idx="228">
                  <c:v>2022/12/23</c:v>
                </c:pt>
                <c:pt idx="229">
                  <c:v>2022/12/22</c:v>
                </c:pt>
                <c:pt idx="230">
                  <c:v>2022/12/21</c:v>
                </c:pt>
                <c:pt idx="231">
                  <c:v>2022/12/20</c:v>
                </c:pt>
                <c:pt idx="232">
                  <c:v>2022/12/19</c:v>
                </c:pt>
                <c:pt idx="233">
                  <c:v>2022/12/16</c:v>
                </c:pt>
                <c:pt idx="234">
                  <c:v>2022/12/15</c:v>
                </c:pt>
                <c:pt idx="235">
                  <c:v>2022/12/14</c:v>
                </c:pt>
                <c:pt idx="236">
                  <c:v>2022/12/13</c:v>
                </c:pt>
                <c:pt idx="237">
                  <c:v>2022/12/12</c:v>
                </c:pt>
                <c:pt idx="238">
                  <c:v>2022/12/9</c:v>
                </c:pt>
                <c:pt idx="239">
                  <c:v>2022/12/8</c:v>
                </c:pt>
                <c:pt idx="240">
                  <c:v>2022/12/7</c:v>
                </c:pt>
                <c:pt idx="241">
                  <c:v>2022/12/6</c:v>
                </c:pt>
              </c:strCache>
            </c:strRef>
          </c:cat>
          <c:val>
            <c:numRef>
              <c:f>data!$J$4:$J$1503</c:f>
              <c:numCache>
                <c:formatCode>_(* #,##0.00_);_(* \(#,##0.00\);_(* "-"??_);_(@_)</c:formatCode>
                <c:ptCount val="1500"/>
                <c:pt idx="0">
                  <c:v>1.2099999999999991</c:v>
                </c:pt>
                <c:pt idx="1">
                  <c:v>1.1400000000000006</c:v>
                </c:pt>
                <c:pt idx="2">
                  <c:v>1.0199999999999996</c:v>
                </c:pt>
                <c:pt idx="3">
                  <c:v>0.98000000000000043</c:v>
                </c:pt>
                <c:pt idx="4">
                  <c:v>0.86999999999999922</c:v>
                </c:pt>
                <c:pt idx="5">
                  <c:v>0.76000000000000156</c:v>
                </c:pt>
                <c:pt idx="6">
                  <c:v>0.98999999999999844</c:v>
                </c:pt>
                <c:pt idx="7">
                  <c:v>1.0700000000000003</c:v>
                </c:pt>
                <c:pt idx="8">
                  <c:v>1.17</c:v>
                </c:pt>
                <c:pt idx="9">
                  <c:v>1.0600000000000005</c:v>
                </c:pt>
                <c:pt idx="10">
                  <c:v>0.91999999999999993</c:v>
                </c:pt>
                <c:pt idx="11">
                  <c:v>0.81999999999999851</c:v>
                </c:pt>
                <c:pt idx="12">
                  <c:v>1.0200000000000014</c:v>
                </c:pt>
                <c:pt idx="13">
                  <c:v>1.08</c:v>
                </c:pt>
                <c:pt idx="14">
                  <c:v>0.79999999999999893</c:v>
                </c:pt>
                <c:pt idx="15">
                  <c:v>0.83999999999999986</c:v>
                </c:pt>
                <c:pt idx="16">
                  <c:v>1.0099999999999998</c:v>
                </c:pt>
                <c:pt idx="17">
                  <c:v>0.88000000000000078</c:v>
                </c:pt>
                <c:pt idx="18">
                  <c:v>1.0500000000000007</c:v>
                </c:pt>
                <c:pt idx="19">
                  <c:v>0.94999999999999929</c:v>
                </c:pt>
                <c:pt idx="20">
                  <c:v>0.91999999999999993</c:v>
                </c:pt>
                <c:pt idx="21">
                  <c:v>0.5</c:v>
                </c:pt>
                <c:pt idx="22">
                  <c:v>0.36000000000000121</c:v>
                </c:pt>
                <c:pt idx="23">
                  <c:v>0.33999999999999986</c:v>
                </c:pt>
                <c:pt idx="24">
                  <c:v>0.29000000000000092</c:v>
                </c:pt>
                <c:pt idx="25">
                  <c:v>0.71999999999999886</c:v>
                </c:pt>
                <c:pt idx="26">
                  <c:v>0.40000000000000036</c:v>
                </c:pt>
                <c:pt idx="27">
                  <c:v>0.15000000000000036</c:v>
                </c:pt>
                <c:pt idx="28">
                  <c:v>0.10999999999999943</c:v>
                </c:pt>
                <c:pt idx="29">
                  <c:v>-0.3100000000000005</c:v>
                </c:pt>
                <c:pt idx="30">
                  <c:v>-2.000000000000135E-2</c:v>
                </c:pt>
                <c:pt idx="31">
                  <c:v>-0.11999999999999922</c:v>
                </c:pt>
                <c:pt idx="32">
                  <c:v>-0.20999999999999908</c:v>
                </c:pt>
                <c:pt idx="33">
                  <c:v>-0.25999999999999979</c:v>
                </c:pt>
                <c:pt idx="34">
                  <c:v>-3.9999999999999147E-2</c:v>
                </c:pt>
                <c:pt idx="35">
                  <c:v>0.18000000000000149</c:v>
                </c:pt>
                <c:pt idx="36">
                  <c:v>0.35999999999999943</c:v>
                </c:pt>
                <c:pt idx="37">
                  <c:v>0.70999999999999908</c:v>
                </c:pt>
                <c:pt idx="38">
                  <c:v>0.82000000000000028</c:v>
                </c:pt>
                <c:pt idx="39">
                  <c:v>0.80000000000000071</c:v>
                </c:pt>
                <c:pt idx="40">
                  <c:v>0.73000000000000043</c:v>
                </c:pt>
                <c:pt idx="41">
                  <c:v>0.6899999999999995</c:v>
                </c:pt>
                <c:pt idx="42">
                  <c:v>0.72000000000000064</c:v>
                </c:pt>
                <c:pt idx="43">
                  <c:v>0.64000000000000057</c:v>
                </c:pt>
                <c:pt idx="44">
                  <c:v>0.5600000000000005</c:v>
                </c:pt>
                <c:pt idx="45">
                  <c:v>0.63000000000000078</c:v>
                </c:pt>
                <c:pt idx="46">
                  <c:v>0.50999999999999979</c:v>
                </c:pt>
                <c:pt idx="47">
                  <c:v>0.52999999999999936</c:v>
                </c:pt>
                <c:pt idx="48">
                  <c:v>0.47000000000000064</c:v>
                </c:pt>
                <c:pt idx="49">
                  <c:v>0.59999999999999964</c:v>
                </c:pt>
                <c:pt idx="50">
                  <c:v>0.61999999999999922</c:v>
                </c:pt>
                <c:pt idx="51">
                  <c:v>0.53999999999999915</c:v>
                </c:pt>
                <c:pt idx="52">
                  <c:v>0.60999999999999943</c:v>
                </c:pt>
                <c:pt idx="53">
                  <c:v>0.66000000000000014</c:v>
                </c:pt>
                <c:pt idx="54">
                  <c:v>0.31999999999999851</c:v>
                </c:pt>
                <c:pt idx="55">
                  <c:v>0.13000000000000078</c:v>
                </c:pt>
                <c:pt idx="56">
                  <c:v>0.27999999999999936</c:v>
                </c:pt>
                <c:pt idx="57">
                  <c:v>0.32000000000000028</c:v>
                </c:pt>
                <c:pt idx="58">
                  <c:v>0.3100000000000005</c:v>
                </c:pt>
                <c:pt idx="59">
                  <c:v>8.9999999999999858E-2</c:v>
                </c:pt>
                <c:pt idx="60">
                  <c:v>-6.9999999999998508E-2</c:v>
                </c:pt>
                <c:pt idx="61">
                  <c:v>-1.9999999999999574E-2</c:v>
                </c:pt>
                <c:pt idx="62">
                  <c:v>-0.61000000000000121</c:v>
                </c:pt>
                <c:pt idx="63">
                  <c:v>-0.48000000000000043</c:v>
                </c:pt>
                <c:pt idx="64">
                  <c:v>-0.25</c:v>
                </c:pt>
                <c:pt idx="65">
                  <c:v>-0.33999999999999986</c:v>
                </c:pt>
                <c:pt idx="66">
                  <c:v>0.39000000000000057</c:v>
                </c:pt>
                <c:pt idx="67">
                  <c:v>0.3100000000000005</c:v>
                </c:pt>
                <c:pt idx="68">
                  <c:v>0.45999999999999908</c:v>
                </c:pt>
                <c:pt idx="69">
                  <c:v>0.50999999999999979</c:v>
                </c:pt>
                <c:pt idx="70">
                  <c:v>0.41000000000000014</c:v>
                </c:pt>
                <c:pt idx="71">
                  <c:v>0.58000000000000007</c:v>
                </c:pt>
                <c:pt idx="72">
                  <c:v>0.55999999999999872</c:v>
                </c:pt>
                <c:pt idx="73">
                  <c:v>0.46999999999999886</c:v>
                </c:pt>
                <c:pt idx="74">
                  <c:v>0.67999999999999972</c:v>
                </c:pt>
                <c:pt idx="75">
                  <c:v>1.0999999999999996</c:v>
                </c:pt>
                <c:pt idx="76">
                  <c:v>1.1300000000000008</c:v>
                </c:pt>
                <c:pt idx="77">
                  <c:v>0.97999999999999865</c:v>
                </c:pt>
                <c:pt idx="78">
                  <c:v>0.94999999999999929</c:v>
                </c:pt>
                <c:pt idx="79">
                  <c:v>0.76999999999999957</c:v>
                </c:pt>
                <c:pt idx="80">
                  <c:v>0.76999999999999957</c:v>
                </c:pt>
                <c:pt idx="81">
                  <c:v>0.94999999999999929</c:v>
                </c:pt>
                <c:pt idx="82">
                  <c:v>0.95000000000000107</c:v>
                </c:pt>
                <c:pt idx="83">
                  <c:v>1.0500000000000007</c:v>
                </c:pt>
                <c:pt idx="84">
                  <c:v>1</c:v>
                </c:pt>
                <c:pt idx="85">
                  <c:v>1.2400000000000002</c:v>
                </c:pt>
                <c:pt idx="86">
                  <c:v>1.3100000000000005</c:v>
                </c:pt>
                <c:pt idx="87">
                  <c:v>1.4599999999999991</c:v>
                </c:pt>
                <c:pt idx="88">
                  <c:v>1.5700000000000003</c:v>
                </c:pt>
                <c:pt idx="89">
                  <c:v>1.370000000000001</c:v>
                </c:pt>
                <c:pt idx="90">
                  <c:v>1.4500000000000011</c:v>
                </c:pt>
                <c:pt idx="91">
                  <c:v>1.3100000000000005</c:v>
                </c:pt>
                <c:pt idx="92">
                  <c:v>1.4399999999999995</c:v>
                </c:pt>
                <c:pt idx="93">
                  <c:v>1.5199999999999996</c:v>
                </c:pt>
                <c:pt idx="94">
                  <c:v>1.6800000000000015</c:v>
                </c:pt>
                <c:pt idx="95">
                  <c:v>1.7999999999999989</c:v>
                </c:pt>
                <c:pt idx="96">
                  <c:v>1.7800000000000011</c:v>
                </c:pt>
                <c:pt idx="97">
                  <c:v>1.7300000000000004</c:v>
                </c:pt>
                <c:pt idx="98">
                  <c:v>1.5199999999999996</c:v>
                </c:pt>
                <c:pt idx="99">
                  <c:v>1.3900000000000006</c:v>
                </c:pt>
                <c:pt idx="100">
                  <c:v>1.25</c:v>
                </c:pt>
                <c:pt idx="101">
                  <c:v>1.2599999999999998</c:v>
                </c:pt>
                <c:pt idx="102">
                  <c:v>1.25</c:v>
                </c:pt>
                <c:pt idx="103">
                  <c:v>1.3200000000000003</c:v>
                </c:pt>
                <c:pt idx="104">
                  <c:v>1.2200000000000006</c:v>
                </c:pt>
                <c:pt idx="105">
                  <c:v>0.99000000000000021</c:v>
                </c:pt>
                <c:pt idx="106">
                  <c:v>0.84999999999999964</c:v>
                </c:pt>
                <c:pt idx="107">
                  <c:v>0.8100000000000005</c:v>
                </c:pt>
                <c:pt idx="108">
                  <c:v>0.77999999999999936</c:v>
                </c:pt>
                <c:pt idx="109">
                  <c:v>1.08</c:v>
                </c:pt>
                <c:pt idx="110">
                  <c:v>1.0499999999999989</c:v>
                </c:pt>
                <c:pt idx="111">
                  <c:v>0.83999999999999986</c:v>
                </c:pt>
                <c:pt idx="112">
                  <c:v>0.84999999999999964</c:v>
                </c:pt>
                <c:pt idx="113">
                  <c:v>1.0999999999999996</c:v>
                </c:pt>
                <c:pt idx="114">
                  <c:v>1.0700000000000003</c:v>
                </c:pt>
                <c:pt idx="115">
                  <c:v>0.84999999999999964</c:v>
                </c:pt>
                <c:pt idx="116">
                  <c:v>0.9399999999999995</c:v>
                </c:pt>
                <c:pt idx="117">
                  <c:v>1.1300000000000008</c:v>
                </c:pt>
                <c:pt idx="118">
                  <c:v>1.3399999999999999</c:v>
                </c:pt>
                <c:pt idx="119">
                  <c:v>1.3800000000000008</c:v>
                </c:pt>
                <c:pt idx="120">
                  <c:v>1.5499999999999989</c:v>
                </c:pt>
                <c:pt idx="121">
                  <c:v>1.5100000000000016</c:v>
                </c:pt>
                <c:pt idx="122">
                  <c:v>1.6199999999999992</c:v>
                </c:pt>
                <c:pt idx="123">
                  <c:v>1.4599999999999991</c:v>
                </c:pt>
                <c:pt idx="124">
                  <c:v>1.5299999999999994</c:v>
                </c:pt>
                <c:pt idx="125">
                  <c:v>1.5600000000000005</c:v>
                </c:pt>
                <c:pt idx="126">
                  <c:v>1.5299999999999994</c:v>
                </c:pt>
                <c:pt idx="127">
                  <c:v>1.4100000000000001</c:v>
                </c:pt>
                <c:pt idx="128">
                  <c:v>1.6800000000000015</c:v>
                </c:pt>
                <c:pt idx="129">
                  <c:v>1.8399999999999999</c:v>
                </c:pt>
                <c:pt idx="130">
                  <c:v>1.7899999999999991</c:v>
                </c:pt>
                <c:pt idx="131">
                  <c:v>1.6500000000000004</c:v>
                </c:pt>
                <c:pt idx="132">
                  <c:v>1.8100000000000005</c:v>
                </c:pt>
                <c:pt idx="133">
                  <c:v>1.67</c:v>
                </c:pt>
                <c:pt idx="134">
                  <c:v>1.5</c:v>
                </c:pt>
                <c:pt idx="135">
                  <c:v>1.4299999999999997</c:v>
                </c:pt>
                <c:pt idx="136">
                  <c:v>1.5299999999999994</c:v>
                </c:pt>
                <c:pt idx="137">
                  <c:v>1.5300000000000011</c:v>
                </c:pt>
                <c:pt idx="138">
                  <c:v>1.4900000000000002</c:v>
                </c:pt>
                <c:pt idx="139">
                  <c:v>1.5300000000000011</c:v>
                </c:pt>
                <c:pt idx="140">
                  <c:v>1.33</c:v>
                </c:pt>
                <c:pt idx="141">
                  <c:v>1.1000000000000014</c:v>
                </c:pt>
                <c:pt idx="142">
                  <c:v>1.4100000000000001</c:v>
                </c:pt>
                <c:pt idx="143">
                  <c:v>1.5599999999999987</c:v>
                </c:pt>
                <c:pt idx="144">
                  <c:v>1.58</c:v>
                </c:pt>
                <c:pt idx="145">
                  <c:v>1.4800000000000004</c:v>
                </c:pt>
                <c:pt idx="146">
                  <c:v>1.0899999999999999</c:v>
                </c:pt>
                <c:pt idx="147">
                  <c:v>1.3100000000000005</c:v>
                </c:pt>
                <c:pt idx="148">
                  <c:v>1.1100000000000012</c:v>
                </c:pt>
                <c:pt idx="149">
                  <c:v>0.90000000000000036</c:v>
                </c:pt>
                <c:pt idx="150">
                  <c:v>0.74000000000000021</c:v>
                </c:pt>
                <c:pt idx="151">
                  <c:v>0.75999999999999979</c:v>
                </c:pt>
                <c:pt idx="152">
                  <c:v>0.73000000000000043</c:v>
                </c:pt>
                <c:pt idx="153">
                  <c:v>0.74000000000000021</c:v>
                </c:pt>
                <c:pt idx="154">
                  <c:v>0.83000000000000007</c:v>
                </c:pt>
                <c:pt idx="155">
                  <c:v>0.82000000000000028</c:v>
                </c:pt>
                <c:pt idx="156">
                  <c:v>0.63999999999999879</c:v>
                </c:pt>
                <c:pt idx="157">
                  <c:v>0.85000000000000142</c:v>
                </c:pt>
                <c:pt idx="158">
                  <c:v>0.87999999999999901</c:v>
                </c:pt>
                <c:pt idx="159">
                  <c:v>0.69999999999999929</c:v>
                </c:pt>
                <c:pt idx="160">
                  <c:v>0.95000000000000107</c:v>
                </c:pt>
                <c:pt idx="161">
                  <c:v>1.0399999999999991</c:v>
                </c:pt>
                <c:pt idx="162">
                  <c:v>1.1600000000000001</c:v>
                </c:pt>
                <c:pt idx="163">
                  <c:v>1.3599999999999994</c:v>
                </c:pt>
                <c:pt idx="164">
                  <c:v>1.620000000000001</c:v>
                </c:pt>
                <c:pt idx="165">
                  <c:v>2.0600000000000005</c:v>
                </c:pt>
                <c:pt idx="166">
                  <c:v>2.1500000000000004</c:v>
                </c:pt>
                <c:pt idx="167">
                  <c:v>2.25</c:v>
                </c:pt>
                <c:pt idx="168">
                  <c:v>2.2400000000000002</c:v>
                </c:pt>
                <c:pt idx="169">
                  <c:v>2.33</c:v>
                </c:pt>
                <c:pt idx="170">
                  <c:v>2.0399999999999991</c:v>
                </c:pt>
                <c:pt idx="171">
                  <c:v>1.9800000000000004</c:v>
                </c:pt>
                <c:pt idx="172">
                  <c:v>2.25</c:v>
                </c:pt>
                <c:pt idx="173">
                  <c:v>2.1000000000000014</c:v>
                </c:pt>
                <c:pt idx="174">
                  <c:v>2.0500000000000007</c:v>
                </c:pt>
                <c:pt idx="175">
                  <c:v>2.1500000000000004</c:v>
                </c:pt>
                <c:pt idx="176">
                  <c:v>2.0199999999999996</c:v>
                </c:pt>
                <c:pt idx="177">
                  <c:v>1.92</c:v>
                </c:pt>
                <c:pt idx="178">
                  <c:v>1.8399999999999999</c:v>
                </c:pt>
                <c:pt idx="179">
                  <c:v>1.6600000000000001</c:v>
                </c:pt>
                <c:pt idx="180">
                  <c:v>1.5900000000000016</c:v>
                </c:pt>
                <c:pt idx="181">
                  <c:v>1.7200000000000006</c:v>
                </c:pt>
                <c:pt idx="182">
                  <c:v>1.7599999999999998</c:v>
                </c:pt>
                <c:pt idx="183">
                  <c:v>1.75</c:v>
                </c:pt>
                <c:pt idx="184">
                  <c:v>1.9399999999999995</c:v>
                </c:pt>
                <c:pt idx="185">
                  <c:v>1.6500000000000004</c:v>
                </c:pt>
                <c:pt idx="186">
                  <c:v>2.0499999999999989</c:v>
                </c:pt>
                <c:pt idx="187">
                  <c:v>2.3100000000000005</c:v>
                </c:pt>
                <c:pt idx="188">
                  <c:v>2.5299999999999994</c:v>
                </c:pt>
                <c:pt idx="189">
                  <c:v>2.7699999999999996</c:v>
                </c:pt>
                <c:pt idx="190">
                  <c:v>2.9499999999999993</c:v>
                </c:pt>
                <c:pt idx="191">
                  <c:v>2.8499999999999996</c:v>
                </c:pt>
                <c:pt idx="192">
                  <c:v>2.84</c:v>
                </c:pt>
                <c:pt idx="193">
                  <c:v>2.5799999999999983</c:v>
                </c:pt>
                <c:pt idx="194">
                  <c:v>2.59</c:v>
                </c:pt>
                <c:pt idx="195">
                  <c:v>2.879999999999999</c:v>
                </c:pt>
                <c:pt idx="196">
                  <c:v>2.74</c:v>
                </c:pt>
                <c:pt idx="197">
                  <c:v>2.8200000000000003</c:v>
                </c:pt>
                <c:pt idx="198">
                  <c:v>2.8800000000000008</c:v>
                </c:pt>
                <c:pt idx="199">
                  <c:v>2.8600000000000012</c:v>
                </c:pt>
                <c:pt idx="200">
                  <c:v>2.9200000000000017</c:v>
                </c:pt>
                <c:pt idx="201">
                  <c:v>3.2699999999999996</c:v>
                </c:pt>
                <c:pt idx="202">
                  <c:v>3.5999999999999979</c:v>
                </c:pt>
                <c:pt idx="203">
                  <c:v>3.620000000000001</c:v>
                </c:pt>
                <c:pt idx="204">
                  <c:v>4.0199999999999996</c:v>
                </c:pt>
                <c:pt idx="205">
                  <c:v>3.9399999999999995</c:v>
                </c:pt>
                <c:pt idx="206">
                  <c:v>3.7700000000000014</c:v>
                </c:pt>
                <c:pt idx="207">
                  <c:v>3.4399999999999995</c:v>
                </c:pt>
                <c:pt idx="208">
                  <c:v>3.6899999999999995</c:v>
                </c:pt>
                <c:pt idx="209">
                  <c:v>4.129999999999999</c:v>
                </c:pt>
                <c:pt idx="210">
                  <c:v>3.8800000000000008</c:v>
                </c:pt>
                <c:pt idx="211">
                  <c:v>4.1500000000000004</c:v>
                </c:pt>
                <c:pt idx="212">
                  <c:v>4.4499999999999993</c:v>
                </c:pt>
                <c:pt idx="213">
                  <c:v>4.33</c:v>
                </c:pt>
                <c:pt idx="214">
                  <c:v>4.57</c:v>
                </c:pt>
                <c:pt idx="215">
                  <c:v>4.370000000000001</c:v>
                </c:pt>
                <c:pt idx="216">
                  <c:v>4.3999999999999986</c:v>
                </c:pt>
                <c:pt idx="217">
                  <c:v>4.92</c:v>
                </c:pt>
                <c:pt idx="218">
                  <c:v>5.0800000000000018</c:v>
                </c:pt>
                <c:pt idx="219">
                  <c:v>5.6999999999999993</c:v>
                </c:pt>
                <c:pt idx="220">
                  <c:v>5.6799999999999979</c:v>
                </c:pt>
                <c:pt idx="221">
                  <c:v>5.52</c:v>
                </c:pt>
                <c:pt idx="222">
                  <c:v>5.41</c:v>
                </c:pt>
                <c:pt idx="223">
                  <c:v>5.5699999999999985</c:v>
                </c:pt>
                <c:pt idx="224">
                  <c:v>5.4600000000000009</c:v>
                </c:pt>
                <c:pt idx="225">
                  <c:v>5.5399999999999991</c:v>
                </c:pt>
                <c:pt idx="226">
                  <c:v>5.7600000000000016</c:v>
                </c:pt>
                <c:pt idx="227">
                  <c:v>5.65</c:v>
                </c:pt>
                <c:pt idx="228">
                  <c:v>5.7200000000000006</c:v>
                </c:pt>
                <c:pt idx="229">
                  <c:v>5.620000000000001</c:v>
                </c:pt>
                <c:pt idx="230">
                  <c:v>5.34</c:v>
                </c:pt>
                <c:pt idx="231">
                  <c:v>4.9800000000000004</c:v>
                </c:pt>
                <c:pt idx="232">
                  <c:v>5.4000000000000021</c:v>
                </c:pt>
                <c:pt idx="233">
                  <c:v>4.76</c:v>
                </c:pt>
                <c:pt idx="234">
                  <c:v>4.5000000000000018</c:v>
                </c:pt>
                <c:pt idx="235">
                  <c:v>4.6300000000000008</c:v>
                </c:pt>
                <c:pt idx="236">
                  <c:v>4.8600000000000012</c:v>
                </c:pt>
                <c:pt idx="237">
                  <c:v>4.83</c:v>
                </c:pt>
                <c:pt idx="238">
                  <c:v>5.8400000000000016</c:v>
                </c:pt>
                <c:pt idx="239">
                  <c:v>4.76</c:v>
                </c:pt>
                <c:pt idx="240">
                  <c:v>3.8800000000000008</c:v>
                </c:pt>
                <c:pt idx="241">
                  <c:v>4.5600000000000005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D48-8AF2-BBC54DD38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683568"/>
        <c:axId val="2096687312"/>
      </c:areaChart>
      <c:dateAx>
        <c:axId val="2096683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87312"/>
        <c:crosses val="autoZero"/>
        <c:auto val="1"/>
        <c:lblOffset val="100"/>
        <c:baseTimeUnit val="days"/>
        <c:majorUnit val="3"/>
        <c:majorTimeUnit val="months"/>
      </c:dateAx>
      <c:valAx>
        <c:axId val="20966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8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rich>
      </c:tx>
      <c:layout>
        <c:manualLayout>
          <c:xMode val="edge"/>
          <c:yMode val="edge"/>
          <c:x val="8.0548556430446186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330280143553484"/>
          <c:y val="6.3687150837988829E-2"/>
          <c:w val="0.83792792134749394"/>
          <c:h val="0.854450651769087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data!$O$5</c:f>
              <c:strCache>
                <c:ptCount val="1"/>
                <c:pt idx="0">
                  <c:v>价差统计</c:v>
                </c:pt>
              </c:strCache>
            </c:strRef>
          </c:tx>
          <c:spPr>
            <a:solidFill>
              <a:srgbClr val="2276A1"/>
            </a:solidFill>
            <a:ln>
              <a:noFill/>
            </a:ln>
            <a:effectLst/>
          </c:spPr>
          <c:invertIfNegative val="0"/>
          <c:trendline>
            <c:spPr>
              <a:ln w="19050" cap="rnd" cmpd="sng">
                <a:solidFill>
                  <a:schemeClr val="accent6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data!$M$6:$M$16</c:f>
              <c:numCache>
                <c:formatCode>_(* #,##0.00_);_(* \(#,##0.00\);_(* "-"??_);_(@_)</c:formatCode>
                <c:ptCount val="11"/>
                <c:pt idx="0">
                  <c:v>-0.61000000000000121</c:v>
                </c:pt>
                <c:pt idx="1">
                  <c:v>3.4999999999999032E-2</c:v>
                </c:pt>
                <c:pt idx="2">
                  <c:v>0.67999999999999927</c:v>
                </c:pt>
                <c:pt idx="3">
                  <c:v>1.3249999999999995</c:v>
                </c:pt>
                <c:pt idx="4">
                  <c:v>1.9699999999999998</c:v>
                </c:pt>
                <c:pt idx="5">
                  <c:v>2.6150000000000002</c:v>
                </c:pt>
                <c:pt idx="6">
                  <c:v>3.2600000000000007</c:v>
                </c:pt>
                <c:pt idx="7">
                  <c:v>3.9050000000000011</c:v>
                </c:pt>
                <c:pt idx="8">
                  <c:v>4.5500000000000016</c:v>
                </c:pt>
                <c:pt idx="9">
                  <c:v>5.1950000000000021</c:v>
                </c:pt>
                <c:pt idx="10">
                  <c:v>5.8400000000000016</c:v>
                </c:pt>
              </c:numCache>
            </c:numRef>
          </c:cat>
          <c:val>
            <c:numRef>
              <c:f>data!$O$6:$O$16</c:f>
              <c:numCache>
                <c:formatCode>0.0%</c:formatCode>
                <c:ptCount val="11"/>
                <c:pt idx="1">
                  <c:v>4.9586776859504134E-2</c:v>
                </c:pt>
                <c:pt idx="2">
                  <c:v>0.14462809917355371</c:v>
                </c:pt>
                <c:pt idx="3">
                  <c:v>0.31818181818181818</c:v>
                </c:pt>
                <c:pt idx="4">
                  <c:v>0.20661157024793389</c:v>
                </c:pt>
                <c:pt idx="5">
                  <c:v>7.0247933884297523E-2</c:v>
                </c:pt>
                <c:pt idx="6">
                  <c:v>4.1322314049586778E-2</c:v>
                </c:pt>
                <c:pt idx="7">
                  <c:v>3.3057851239669422E-2</c:v>
                </c:pt>
                <c:pt idx="8">
                  <c:v>3.71900826446281E-2</c:v>
                </c:pt>
                <c:pt idx="9">
                  <c:v>4.1322314049586778E-2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0-493F-9EBE-8A897AB3D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6692304"/>
        <c:axId val="2096679408"/>
      </c:barChart>
      <c:catAx>
        <c:axId val="20966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79408"/>
        <c:crosses val="autoZero"/>
        <c:auto val="1"/>
        <c:lblAlgn val="ctr"/>
        <c:lblOffset val="100"/>
        <c:noMultiLvlLbl val="0"/>
      </c:catAx>
      <c:valAx>
        <c:axId val="209667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0966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85725</xdr:rowOff>
    </xdr:from>
    <xdr:ext cx="608400" cy="219600"/>
    <xdr:pic>
      <xdr:nvPicPr>
        <xdr:cNvPr id="3" name="图片 2">
          <a:extLst>
            <a:ext uri="{FF2B5EF4-FFF2-40B4-BE49-F238E27FC236}">
              <a16:creationId xmlns:a16="http://schemas.microsoft.com/office/drawing/2014/main" id="{B0F568A2-BA70-4E92-B29F-BD74DDD3B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85725"/>
          <a:ext cx="608400" cy="219600"/>
        </a:xfrm>
        <a:prstGeom prst="rect">
          <a:avLst/>
        </a:prstGeom>
      </xdr:spPr>
    </xdr:pic>
    <xdr:clientData/>
  </xdr:oneCellAnchor>
  <xdr:oneCellAnchor>
    <xdr:from>
      <xdr:col>4</xdr:col>
      <xdr:colOff>295275</xdr:colOff>
      <xdr:row>0</xdr:row>
      <xdr:rowOff>19050</xdr:rowOff>
    </xdr:from>
    <xdr:ext cx="65" cy="308033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74A2A11F-9803-4DA4-BEE7-AA820C585B4B}"/>
            </a:ext>
          </a:extLst>
        </xdr:cNvPr>
        <xdr:cNvSpPr txBox="1"/>
      </xdr:nvSpPr>
      <xdr:spPr>
        <a:xfrm>
          <a:off x="1152525" y="19050"/>
          <a:ext cx="65" cy="3080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4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28575</xdr:colOff>
      <xdr:row>7</xdr:row>
      <xdr:rowOff>38099</xdr:rowOff>
    </xdr:from>
    <xdr:to>
      <xdr:col>22</xdr:col>
      <xdr:colOff>1104900</xdr:colOff>
      <xdr:row>18</xdr:row>
      <xdr:rowOff>133349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123824</xdr:colOff>
      <xdr:row>20</xdr:row>
      <xdr:rowOff>85724</xdr:rowOff>
    </xdr:from>
    <xdr:to>
      <xdr:col>12</xdr:col>
      <xdr:colOff>685799</xdr:colOff>
      <xdr:row>35</xdr:row>
      <xdr:rowOff>76199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20</xdr:row>
      <xdr:rowOff>104775</xdr:rowOff>
    </xdr:from>
    <xdr:to>
      <xdr:col>22</xdr:col>
      <xdr:colOff>1095374</xdr:colOff>
      <xdr:row>35</xdr:row>
      <xdr:rowOff>28575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lose"/>
      <definedName name="s_info_name"/>
      <definedName name="td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Z39"/>
  <sheetViews>
    <sheetView showGridLines="0" tabSelected="1" zoomScaleNormal="100" workbookViewId="0">
      <selection activeCell="E53" sqref="E53"/>
    </sheetView>
  </sheetViews>
  <sheetFormatPr defaultRowHeight="13.5"/>
  <cols>
    <col min="1" max="2" width="1.625" customWidth="1"/>
    <col min="3" max="3" width="0.25" hidden="1" customWidth="1"/>
    <col min="4" max="4" width="10.625" customWidth="1"/>
    <col min="5" max="5" width="14.625" customWidth="1"/>
    <col min="6" max="6" width="1.625" customWidth="1"/>
    <col min="7" max="7" width="10.625" customWidth="1"/>
    <col min="8" max="8" width="14.625" customWidth="1"/>
    <col min="9" max="9" width="1.625" customWidth="1"/>
    <col min="10" max="10" width="10.625" customWidth="1"/>
    <col min="11" max="11" width="14.625" customWidth="1"/>
    <col min="12" max="12" width="1.625" customWidth="1"/>
    <col min="13" max="13" width="10.625" customWidth="1"/>
    <col min="14" max="14" width="14.625" customWidth="1"/>
    <col min="15" max="15" width="1.625" customWidth="1"/>
    <col min="16" max="16" width="10.625" customWidth="1"/>
    <col min="17" max="17" width="14.625" customWidth="1"/>
    <col min="18" max="18" width="1.625" customWidth="1"/>
    <col min="19" max="19" width="10.625" customWidth="1"/>
    <col min="20" max="20" width="14.625" customWidth="1"/>
    <col min="21" max="21" width="1.625" customWidth="1"/>
    <col min="22" max="22" width="10.625" customWidth="1"/>
    <col min="23" max="23" width="14.625" customWidth="1"/>
    <col min="24" max="25" width="1.625" customWidth="1"/>
    <col min="27" max="27" width="11.625" bestFit="1" customWidth="1"/>
  </cols>
  <sheetData>
    <row r="1" spans="1:26" ht="27.75">
      <c r="A1" s="13"/>
      <c r="B1" s="13"/>
      <c r="C1" s="13"/>
      <c r="D1" s="13"/>
      <c r="E1" s="40" t="s">
        <v>7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14"/>
      <c r="X1" s="14"/>
      <c r="Y1" s="13"/>
      <c r="Z1" s="15"/>
    </row>
    <row r="2" spans="1:26" ht="12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16"/>
    </row>
    <row r="3" spans="1:26" ht="9.9499999999999993" customHeight="1">
      <c r="A3" s="20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0"/>
      <c r="Z3" s="16"/>
    </row>
    <row r="4" spans="1:26" ht="18">
      <c r="A4" s="20"/>
      <c r="B4" s="16"/>
      <c r="C4" s="16"/>
      <c r="D4" s="23" t="s">
        <v>12</v>
      </c>
      <c r="E4" s="18" t="s">
        <v>9</v>
      </c>
      <c r="G4" s="23" t="s">
        <v>21</v>
      </c>
      <c r="H4" s="18" t="s">
        <v>10</v>
      </c>
      <c r="I4" s="16"/>
      <c r="J4" s="23" t="s">
        <v>22</v>
      </c>
      <c r="K4" s="18" t="s">
        <v>18</v>
      </c>
      <c r="M4" s="23" t="s">
        <v>23</v>
      </c>
      <c r="N4" s="18" t="s">
        <v>19</v>
      </c>
      <c r="P4" s="23" t="s">
        <v>24</v>
      </c>
      <c r="Q4" s="18" t="s">
        <v>20</v>
      </c>
      <c r="S4" s="23" t="s">
        <v>14</v>
      </c>
      <c r="T4" s="37">
        <f ca="1">TODAY()-365</f>
        <v>44900</v>
      </c>
      <c r="V4" s="23" t="s">
        <v>16</v>
      </c>
      <c r="W4" s="18" t="s">
        <v>11</v>
      </c>
      <c r="X4" s="16"/>
      <c r="Y4" s="20"/>
      <c r="Z4" s="16"/>
    </row>
    <row r="5" spans="1:26" ht="19.5">
      <c r="A5" s="20"/>
      <c r="B5" s="16"/>
      <c r="C5" s="16"/>
      <c r="D5" s="22" t="s">
        <v>13</v>
      </c>
      <c r="E5" s="19" t="str">
        <f>[1]!s_info_name(E4)</f>
        <v>万科A</v>
      </c>
      <c r="G5" s="24" t="s">
        <v>13</v>
      </c>
      <c r="H5" s="19" t="str">
        <f>[1]!s_info_name(H4)</f>
        <v>保利发展</v>
      </c>
      <c r="I5" s="16"/>
      <c r="J5" s="24" t="s">
        <v>13</v>
      </c>
      <c r="K5" s="19" t="str">
        <f>[1]!s_info_name(K4)</f>
        <v>张江高科</v>
      </c>
      <c r="M5" s="24" t="s">
        <v>13</v>
      </c>
      <c r="N5" s="19" t="str">
        <f>[1]!s_info_name(N4)</f>
        <v>金地集团</v>
      </c>
      <c r="P5" s="24" t="s">
        <v>13</v>
      </c>
      <c r="Q5" s="19" t="str">
        <f>[1]!s_info_name(Q4)</f>
        <v>招商蛇口</v>
      </c>
      <c r="S5" s="24" t="s">
        <v>15</v>
      </c>
      <c r="T5" s="37">
        <f ca="1">[1]!TDaysOffset(TODAY(),"Offset=-1")</f>
        <v>45264</v>
      </c>
      <c r="V5" s="22" t="s">
        <v>17</v>
      </c>
      <c r="W5" s="18" t="s">
        <v>3</v>
      </c>
      <c r="X5" s="16"/>
      <c r="Y5" s="20"/>
      <c r="Z5" s="16"/>
    </row>
    <row r="6" spans="1:26" ht="9.9499999999999993" customHeight="1">
      <c r="A6" s="20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0"/>
      <c r="Z6" s="16"/>
    </row>
    <row r="7" spans="1:26" ht="18">
      <c r="A7" s="20"/>
      <c r="B7" s="16"/>
      <c r="C7" s="16"/>
      <c r="D7" s="27" t="s">
        <v>25</v>
      </c>
      <c r="E7" s="26"/>
      <c r="F7" s="26"/>
      <c r="G7" s="26"/>
      <c r="H7" s="26"/>
      <c r="I7" s="26"/>
      <c r="J7" s="26"/>
      <c r="K7" s="16"/>
      <c r="L7" s="16"/>
      <c r="M7" s="16"/>
      <c r="N7" s="27" t="s">
        <v>26</v>
      </c>
      <c r="O7" s="26"/>
      <c r="P7" s="26"/>
      <c r="Q7" s="26"/>
      <c r="R7" s="26"/>
      <c r="S7" s="26"/>
      <c r="T7" s="26"/>
      <c r="U7" s="26"/>
      <c r="V7" s="26"/>
      <c r="W7" s="26"/>
      <c r="X7" s="16"/>
      <c r="Y7" s="20"/>
      <c r="Z7" s="16"/>
    </row>
    <row r="8" spans="1:26" ht="18">
      <c r="A8" s="20"/>
      <c r="B8" s="16"/>
      <c r="C8" s="34" t="str">
        <f>E4</f>
        <v>000002.SZ</v>
      </c>
      <c r="D8" s="21" t="str">
        <f>E5</f>
        <v>万科A</v>
      </c>
      <c r="E8" s="29" t="str">
        <f>IF(RTD("wdf.rtq",,E4,26)&gt;0,"↑",IF(RTD("wdf.rtq",,E4,26)=0,"--","↓"))&amp;"     收盘:"&amp;RTD("wdf.rtq",,E4,5)&amp;"︱"&amp;"最高:"&amp;RTD("wdf.rtq",,E4,3)&amp;"︱"&amp;"最低:"&amp;RTD("wdf.rtq",,E4,4)&amp;"︱"&amp;"涨跌幅:"&amp;TRUNC(RTD("wdf.rtq",,E4,27),2)&amp;"%︱"&amp;"前收盘:"&amp;RTD("wdf.rtq",,E4,1)&amp;"︱"&amp;"成交额:"&amp;TRUNC(RTD("wdf.rtq",,E4,29)/100000000,2)&amp;"亿︱"</f>
        <v>↓     收盘:10.79︱最高:11.16︱最低:10.78︱涨跌幅:-3.49%︱前收盘:11.18︱成交额:10.38亿︱</v>
      </c>
      <c r="F8" s="29"/>
      <c r="G8" s="29"/>
      <c r="H8" s="29"/>
      <c r="I8" s="29"/>
      <c r="J8" s="29"/>
      <c r="K8" s="29"/>
      <c r="L8" s="29"/>
      <c r="M8" s="29"/>
      <c r="R8" s="16"/>
      <c r="S8" s="16"/>
      <c r="T8" s="16"/>
      <c r="U8" s="16"/>
      <c r="V8" s="16"/>
      <c r="W8" s="16"/>
      <c r="X8" s="16"/>
      <c r="Y8" s="20"/>
      <c r="Z8" s="16"/>
    </row>
    <row r="9" spans="1:26" ht="18">
      <c r="A9" s="20"/>
      <c r="B9" s="16"/>
      <c r="C9" s="34" t="str">
        <f>H4</f>
        <v>600048.SH</v>
      </c>
      <c r="D9" s="22" t="str">
        <f>H5</f>
        <v>保利发展</v>
      </c>
      <c r="E9" s="30" t="str">
        <f>IF(RTD("wdf.rtq",,H4,26)&gt;0,"↑",IF(RTD("wdf.rtq",,H4,26)=0,"--","↓"))&amp;"     收盘:"&amp;RTD("wdf.rtq",,H4,5)&amp;"︱"&amp;"最高:"&amp;RTD("wdf.rtq",,H4,3)&amp;"︱"&amp;"最低:"&amp;RTD("wdf.rtq",,H4,4)&amp;"︱"&amp;"涨跌幅:"&amp;TRUNC(RTD("wdf.rtq",,H4,27),2)&amp;"%︱"&amp;"前收盘:"&amp;RTD("wdf.rtq",,H4,1)&amp;"︱"&amp;"成交额:"&amp;TRUNC(RTD("wdf.rtq",,H4,29)/100000000,2)&amp;"亿︱"</f>
        <v>↓     收盘:9.66︱最高:9.97︱最低:9.64︱涨跌幅:-3.01%︱前收盘:9.96︱成交额:7.46亿︱</v>
      </c>
      <c r="F9" s="30"/>
      <c r="G9" s="30"/>
      <c r="H9" s="30"/>
      <c r="I9" s="30"/>
      <c r="J9" s="30"/>
      <c r="K9" s="30"/>
      <c r="L9" s="30"/>
      <c r="M9" s="30"/>
      <c r="V9" s="16"/>
      <c r="W9" s="16"/>
      <c r="X9" s="16"/>
      <c r="Y9" s="20"/>
      <c r="Z9" s="16"/>
    </row>
    <row r="10" spans="1:26" ht="18">
      <c r="A10" s="20"/>
      <c r="B10" s="16"/>
      <c r="C10" s="34" t="str">
        <f>K4</f>
        <v>600895.SH</v>
      </c>
      <c r="D10" s="21" t="str">
        <f>K5</f>
        <v>张江高科</v>
      </c>
      <c r="E10" s="29" t="str">
        <f>IF(RTD("wdf.rtq",,K4,26)&gt;0,"↑",IF(RTD("wdf.rtq",,K4,26)=0,"--","↓"))&amp;"     收盘:"&amp;RTD("wdf.rtq",,K4,5)&amp;"︱"&amp;"最高:"&amp;RTD("wdf.rtq",,K4,3)&amp;"︱"&amp;"最低:"&amp;RTD("wdf.rtq",,K4,4)&amp;"︱"&amp;"涨跌幅:"&amp;TRUNC(RTD("wdf.rtq",,K4,27),2)&amp;"%︱"&amp;"前收盘:"&amp;RTD("wdf.rtq",,K4,1)&amp;"︱"&amp;"成交额:"&amp;TRUNC(RTD("wdf.rtq",,K4,29)/100000000,2)&amp;"亿︱"</f>
        <v>↓     收盘:21.74︱最高:22.98︱最低:21.68︱涨跌幅:-5.4%︱前收盘:22.98︱成交额:15.31亿︱</v>
      </c>
      <c r="F10" s="29"/>
      <c r="G10" s="29"/>
      <c r="H10" s="29"/>
      <c r="I10" s="29"/>
      <c r="J10" s="29"/>
      <c r="K10" s="29"/>
      <c r="L10" s="29"/>
      <c r="M10" s="29"/>
      <c r="V10" s="16"/>
      <c r="W10" s="16"/>
      <c r="X10" s="16"/>
      <c r="Y10" s="20"/>
      <c r="Z10" s="16"/>
    </row>
    <row r="11" spans="1:26" ht="18">
      <c r="A11" s="20"/>
      <c r="B11" s="16"/>
      <c r="C11" s="17" t="str">
        <f>N4</f>
        <v>600383.SH</v>
      </c>
      <c r="D11" s="22" t="str">
        <f>N5</f>
        <v>金地集团</v>
      </c>
      <c r="E11" s="30" t="str">
        <f>IF(RTD("wdf.rtq",,N4,26)&gt;0,"↑",IF(RTD("wdf.rtq",,N4,26)=0,"--","↓"))&amp;"     收盘:"&amp;RTD("wdf.rtq",,N4,5)&amp;"︱"&amp;"最高:"&amp;RTD("wdf.rtq",,N4,3)&amp;"︱"&amp;"最低:"&amp;RTD("wdf.rtq",,N4,4)&amp;"︱"&amp;"涨跌幅:"&amp;TRUNC(RTD("wdf.rtq",,N4,27),2)&amp;"%︱"&amp;"前收盘:"&amp;RTD("wdf.rtq",,N4,1)&amp;"︱"&amp;"成交额:"&amp;TRUNC(RTD("wdf.rtq",,N4,29)/100000000,2)&amp;"亿︱"</f>
        <v>↓     收盘:4.97︱最高:5.1︱最低:4.97︱涨跌幅:-2.93%︱前收盘:5.12︱成交额:3.84亿︱</v>
      </c>
      <c r="F11" s="30"/>
      <c r="G11" s="30"/>
      <c r="H11" s="30"/>
      <c r="I11" s="30"/>
      <c r="J11" s="30"/>
      <c r="K11" s="30"/>
      <c r="L11" s="30"/>
      <c r="M11" s="30"/>
      <c r="V11" s="16"/>
      <c r="W11" s="16"/>
      <c r="X11" s="16"/>
      <c r="Y11" s="20"/>
      <c r="Z11" s="16"/>
    </row>
    <row r="12" spans="1:26" ht="18">
      <c r="A12" s="20"/>
      <c r="B12" s="16"/>
      <c r="C12" s="17" t="str">
        <f>Q4</f>
        <v>001979.SZ</v>
      </c>
      <c r="D12" s="21" t="str">
        <f>Q5</f>
        <v>招商蛇口</v>
      </c>
      <c r="E12" s="29" t="str">
        <f>IF(RTD("wdf.rtq",,Q4,26)&gt;0,"↑",IF(RTD("wdf.rtq",,Q4,26)=0,"--","↓"))&amp;"     收盘:"&amp;RTD("wdf.rtq",,Q4,5)&amp;"︱"&amp;"最高:"&amp;RTD("wdf.rtq",,Q4,3)&amp;"︱"&amp;"最低:"&amp;RTD("wdf.rtq",,Q4,4)&amp;"︱"&amp;"涨跌幅:"&amp;TRUNC(RTD("wdf.rtq",,Q4,27),2)&amp;"%︱"&amp;"前收盘:"&amp;RTD("wdf.rtq",,Q4,1)&amp;"︱"&amp;"成交额:"&amp;TRUNC(RTD("wdf.rtq",,Q4,29)/100000000,2)&amp;"亿︱"</f>
        <v>↓     收盘:9.62︱最高:9.96︱最低:9.6︱涨跌幅:-3.51%︱前收盘:9.97︱成交额:5.39亿︱</v>
      </c>
      <c r="F12" s="29"/>
      <c r="G12" s="29"/>
      <c r="H12" s="29"/>
      <c r="I12" s="29"/>
      <c r="J12" s="29"/>
      <c r="K12" s="29"/>
      <c r="L12" s="29"/>
      <c r="M12" s="29"/>
      <c r="V12" s="16"/>
      <c r="W12" s="16"/>
      <c r="X12" s="16"/>
      <c r="Y12" s="20"/>
      <c r="Z12" s="16"/>
    </row>
    <row r="13" spans="1:26" ht="16.5">
      <c r="A13" s="20"/>
      <c r="B13" s="16"/>
      <c r="C13" s="16"/>
      <c r="D13" s="22"/>
      <c r="E13" s="22"/>
      <c r="F13" s="22"/>
      <c r="G13" s="22"/>
      <c r="H13" s="22"/>
      <c r="I13" s="22"/>
      <c r="J13" s="22"/>
      <c r="K13" s="22"/>
      <c r="L13" s="22"/>
      <c r="M13" s="22"/>
      <c r="V13" s="16"/>
      <c r="W13" s="16"/>
      <c r="X13" s="16"/>
      <c r="Y13" s="20"/>
      <c r="Z13" s="16"/>
    </row>
    <row r="14" spans="1:26" ht="9.9499999999999993" customHeight="1">
      <c r="A14" s="20"/>
      <c r="B14" s="16"/>
      <c r="C14" s="16"/>
      <c r="V14" s="16"/>
      <c r="W14" s="16"/>
      <c r="X14" s="16"/>
      <c r="Y14" s="20"/>
      <c r="Z14" s="16"/>
    </row>
    <row r="15" spans="1:26" ht="16.5">
      <c r="A15" s="20"/>
      <c r="B15" s="16"/>
      <c r="C15" s="16"/>
      <c r="D15" s="27" t="s">
        <v>27</v>
      </c>
      <c r="E15" s="27"/>
      <c r="F15" s="27"/>
      <c r="G15" s="27"/>
      <c r="H15" s="27"/>
      <c r="I15" s="27"/>
      <c r="J15" s="27"/>
      <c r="K15" s="27"/>
      <c r="L15" s="27"/>
      <c r="M15" s="27"/>
      <c r="V15" s="16"/>
      <c r="W15" s="16"/>
      <c r="X15" s="16"/>
      <c r="Y15" s="20"/>
      <c r="Z15" s="16"/>
    </row>
    <row r="16" spans="1:26" ht="20.25">
      <c r="A16" s="20"/>
      <c r="B16" s="16"/>
      <c r="C16" s="16"/>
      <c r="D16" s="23" t="s">
        <v>28</v>
      </c>
      <c r="E16" s="28" t="s">
        <v>8</v>
      </c>
      <c r="F16" s="25"/>
      <c r="G16" s="23" t="s">
        <v>30</v>
      </c>
      <c r="H16" s="28" t="s">
        <v>41</v>
      </c>
      <c r="I16" s="25"/>
      <c r="J16" s="25"/>
      <c r="K16" s="16"/>
      <c r="L16" s="16"/>
      <c r="M16" s="16"/>
      <c r="V16" s="16"/>
      <c r="W16" s="16"/>
      <c r="X16" s="16"/>
      <c r="Y16" s="20"/>
      <c r="Z16" s="16"/>
    </row>
    <row r="17" spans="1:26" ht="19.5">
      <c r="A17" s="20"/>
      <c r="B17" s="16"/>
      <c r="C17" s="16"/>
      <c r="D17" s="22" t="s">
        <v>13</v>
      </c>
      <c r="E17" s="19" t="str">
        <f>[1]!s_info_name(E16)</f>
        <v>万科A</v>
      </c>
      <c r="G17" s="22" t="s">
        <v>13</v>
      </c>
      <c r="H17" s="19" t="str">
        <f>[1]!s_info_name(H16)</f>
        <v>招商蛇口</v>
      </c>
      <c r="M17" s="16"/>
      <c r="V17" s="16"/>
      <c r="W17" s="16"/>
      <c r="X17" s="16"/>
      <c r="Y17" s="20"/>
      <c r="Z17" s="16"/>
    </row>
    <row r="18" spans="1:26" ht="16.5">
      <c r="A18" s="20"/>
      <c r="B18" s="16"/>
      <c r="C18" s="16"/>
      <c r="M18" s="16"/>
      <c r="V18" s="16"/>
      <c r="W18" s="16"/>
      <c r="X18" s="16"/>
      <c r="Y18" s="20"/>
      <c r="Z18" s="16"/>
    </row>
    <row r="19" spans="1:26" ht="16.5">
      <c r="A19" s="20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V19" s="16"/>
      <c r="W19" s="16"/>
      <c r="X19" s="16"/>
      <c r="Y19" s="20"/>
      <c r="Z19" s="16"/>
    </row>
    <row r="20" spans="1:26" ht="16.5">
      <c r="A20" s="20"/>
      <c r="B20" s="16"/>
      <c r="C20" s="16"/>
      <c r="D20" s="27" t="s">
        <v>29</v>
      </c>
      <c r="E20" s="27"/>
      <c r="F20" s="27"/>
      <c r="G20" s="27"/>
      <c r="H20" s="27"/>
      <c r="I20" s="27"/>
      <c r="J20" s="27"/>
      <c r="K20" s="27"/>
      <c r="L20" s="27"/>
      <c r="M20" s="27"/>
      <c r="N20" s="27" t="s">
        <v>1</v>
      </c>
      <c r="O20" s="27"/>
      <c r="P20" s="27"/>
      <c r="Q20" s="27"/>
      <c r="R20" s="27"/>
      <c r="S20" s="27"/>
      <c r="T20" s="27"/>
      <c r="U20" s="27"/>
      <c r="V20" s="27"/>
      <c r="W20" s="27"/>
      <c r="X20" s="16"/>
      <c r="Y20" s="20"/>
      <c r="Z20" s="16"/>
    </row>
    <row r="21" spans="1:26" ht="9.9499999999999993" customHeight="1">
      <c r="A21" s="2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V21" s="16"/>
      <c r="W21" s="16"/>
      <c r="X21" s="16"/>
      <c r="Y21" s="20"/>
      <c r="Z21" s="16"/>
    </row>
    <row r="22" spans="1:26" ht="16.5">
      <c r="A22" s="20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X22" s="16"/>
      <c r="Y22" s="20"/>
      <c r="Z22" s="16"/>
    </row>
    <row r="23" spans="1:26" ht="16.5">
      <c r="A23" s="20"/>
      <c r="B23" s="16"/>
      <c r="C23" s="16"/>
      <c r="F23" s="16"/>
      <c r="G23" s="16"/>
      <c r="H23" s="16"/>
      <c r="I23" s="16"/>
      <c r="J23" s="16"/>
      <c r="K23" s="16"/>
      <c r="L23" s="16"/>
      <c r="N23" s="41"/>
      <c r="O23" s="41"/>
      <c r="R23" s="16"/>
      <c r="V23" s="16"/>
      <c r="W23" s="16"/>
      <c r="X23" s="16"/>
      <c r="Y23" s="20"/>
      <c r="Z23" s="16"/>
    </row>
    <row r="24" spans="1:26" ht="20.25">
      <c r="A24" s="20"/>
      <c r="B24" s="16"/>
      <c r="C24" s="16"/>
      <c r="F24" s="16"/>
      <c r="G24" s="16"/>
      <c r="H24" s="16"/>
      <c r="I24" s="16"/>
      <c r="J24" s="16"/>
      <c r="K24" s="16"/>
      <c r="L24" s="16"/>
      <c r="N24" s="38" t="s">
        <v>4</v>
      </c>
      <c r="O24" s="38"/>
      <c r="P24" s="31">
        <f ca="1">data!J4</f>
        <v>1.2099999999999991</v>
      </c>
      <c r="R24" s="16"/>
      <c r="S24" s="16"/>
      <c r="V24" s="16"/>
      <c r="W24" s="16"/>
      <c r="X24" s="16"/>
      <c r="Y24" s="20"/>
      <c r="Z24" s="16"/>
    </row>
    <row r="25" spans="1:26" ht="20.25">
      <c r="A25" s="20"/>
      <c r="B25" s="16"/>
      <c r="C25" s="16"/>
      <c r="F25" s="16"/>
      <c r="G25" s="16"/>
      <c r="H25" s="16"/>
      <c r="I25" s="16"/>
      <c r="J25" s="16"/>
      <c r="K25" s="16"/>
      <c r="L25" s="16"/>
      <c r="N25" s="39" t="s">
        <v>5</v>
      </c>
      <c r="O25" s="39"/>
      <c r="P25" s="32">
        <f ca="1">AVERAGE(pd)</f>
        <v>1.7578925619834704</v>
      </c>
      <c r="R25" s="16"/>
      <c r="S25" s="16"/>
      <c r="V25" s="16"/>
      <c r="W25" s="16"/>
      <c r="X25" s="16"/>
      <c r="Y25" s="20"/>
      <c r="Z25" s="16"/>
    </row>
    <row r="26" spans="1:26" ht="20.25">
      <c r="A26" s="20"/>
      <c r="B26" s="16"/>
      <c r="C26" s="16"/>
      <c r="F26" s="16"/>
      <c r="G26" s="16"/>
      <c r="H26" s="16"/>
      <c r="I26" s="16"/>
      <c r="J26" s="16"/>
      <c r="K26" s="16"/>
      <c r="L26" s="16"/>
      <c r="N26" s="38" t="s">
        <v>33</v>
      </c>
      <c r="O26" s="38"/>
      <c r="P26" s="31">
        <f ca="1">P24-P25</f>
        <v>-0.54789256198347136</v>
      </c>
      <c r="R26" s="16"/>
      <c r="S26" s="16"/>
      <c r="T26" s="16"/>
      <c r="U26" s="16"/>
      <c r="V26" s="16"/>
      <c r="W26" s="16"/>
      <c r="X26" s="16"/>
      <c r="Y26" s="20"/>
      <c r="Z26" s="16"/>
    </row>
    <row r="27" spans="1:26" ht="20.25">
      <c r="A27" s="20"/>
      <c r="B27" s="16"/>
      <c r="C27" s="16"/>
      <c r="F27" s="16"/>
      <c r="G27" s="16"/>
      <c r="H27" s="16"/>
      <c r="I27" s="16"/>
      <c r="J27" s="16"/>
      <c r="K27" s="16"/>
      <c r="L27" s="16"/>
      <c r="N27" s="39" t="s">
        <v>34</v>
      </c>
      <c r="O27" s="39"/>
      <c r="P27" s="32">
        <f ca="1">1-FREQUENCY(pd,P24)/data!N6</f>
        <v>0.52479338842975198</v>
      </c>
      <c r="R27" s="16"/>
      <c r="S27" s="16"/>
      <c r="T27" s="16"/>
      <c r="U27" s="16"/>
      <c r="V27" s="16"/>
      <c r="W27" s="16"/>
      <c r="X27" s="16"/>
      <c r="Y27" s="20"/>
      <c r="Z27" s="16"/>
    </row>
    <row r="28" spans="1:26" ht="20.25">
      <c r="A28" s="20"/>
      <c r="B28" s="16"/>
      <c r="C28" s="16"/>
      <c r="F28" s="16"/>
      <c r="G28" s="16"/>
      <c r="H28" s="16"/>
      <c r="I28" s="16"/>
      <c r="J28" s="16"/>
      <c r="K28" s="16"/>
      <c r="L28" s="16"/>
      <c r="N28" s="38" t="s">
        <v>31</v>
      </c>
      <c r="O28" s="38"/>
      <c r="P28" s="31">
        <f ca="1">STDEV(pd)</f>
        <v>1.5295108447127228</v>
      </c>
      <c r="R28" s="16"/>
      <c r="S28" s="16"/>
      <c r="T28" s="16"/>
      <c r="U28" s="16"/>
      <c r="V28" s="16"/>
      <c r="W28" s="16"/>
      <c r="X28" s="16"/>
      <c r="Y28" s="20"/>
      <c r="Z28" s="16"/>
    </row>
    <row r="29" spans="1:26" ht="20.25">
      <c r="A29" s="20"/>
      <c r="B29" s="16"/>
      <c r="C29" s="16"/>
      <c r="F29" s="16"/>
      <c r="G29" s="16"/>
      <c r="H29" s="16"/>
      <c r="I29" s="16"/>
      <c r="J29" s="16"/>
      <c r="K29" s="16"/>
      <c r="L29" s="16"/>
      <c r="N29" s="39" t="s">
        <v>32</v>
      </c>
      <c r="O29" s="39"/>
      <c r="P29" s="32">
        <f ca="1">P26/P28</f>
        <v>-0.35821423815166092</v>
      </c>
      <c r="R29" s="16"/>
      <c r="S29" s="16"/>
      <c r="T29" s="16"/>
      <c r="U29" s="16"/>
      <c r="V29" s="16"/>
      <c r="W29" s="16"/>
      <c r="X29" s="16"/>
      <c r="Y29" s="20"/>
      <c r="Z29" s="16"/>
    </row>
    <row r="30" spans="1:26" ht="20.25">
      <c r="A30" s="20"/>
      <c r="B30" s="16"/>
      <c r="C30" s="16"/>
      <c r="F30" s="16"/>
      <c r="G30" s="16"/>
      <c r="H30" s="16"/>
      <c r="I30" s="16"/>
      <c r="J30" s="16"/>
      <c r="K30" s="16"/>
      <c r="L30" s="16"/>
      <c r="N30" s="38" t="s">
        <v>0</v>
      </c>
      <c r="O30" s="38"/>
      <c r="P30" s="31">
        <f ca="1">MEDIAN(pd)</f>
        <v>1.3100000000000005</v>
      </c>
      <c r="R30" s="16"/>
      <c r="S30" s="16"/>
      <c r="T30" s="16"/>
      <c r="U30" s="16"/>
      <c r="V30" s="16"/>
      <c r="W30" s="16"/>
      <c r="X30" s="16"/>
      <c r="Y30" s="20"/>
      <c r="Z30" s="16"/>
    </row>
    <row r="31" spans="1:26" ht="20.25">
      <c r="A31" s="20"/>
      <c r="B31" s="16"/>
      <c r="C31" s="16"/>
      <c r="F31" s="16"/>
      <c r="G31" s="16"/>
      <c r="H31" s="16"/>
      <c r="I31" s="16"/>
      <c r="J31" s="16"/>
      <c r="K31" s="16"/>
      <c r="L31" s="16"/>
      <c r="N31" s="39" t="s">
        <v>2</v>
      </c>
      <c r="O31" s="39"/>
      <c r="P31" s="32">
        <f ca="1">MAX(pd)</f>
        <v>5.8400000000000016</v>
      </c>
      <c r="R31" s="16"/>
      <c r="S31" s="16"/>
      <c r="T31" s="16"/>
      <c r="U31" s="16"/>
      <c r="V31" s="16"/>
      <c r="W31" s="16"/>
      <c r="X31" s="16"/>
      <c r="Y31" s="20"/>
      <c r="Z31" s="16"/>
    </row>
    <row r="32" spans="1:26" ht="20.25">
      <c r="A32" s="20"/>
      <c r="B32" s="16"/>
      <c r="C32" s="16"/>
      <c r="F32" s="16"/>
      <c r="G32" s="16"/>
      <c r="H32" s="16"/>
      <c r="I32" s="16"/>
      <c r="J32" s="16"/>
      <c r="K32" s="16"/>
      <c r="L32" s="16"/>
      <c r="N32" s="38" t="s">
        <v>35</v>
      </c>
      <c r="O32" s="38"/>
      <c r="P32" s="31">
        <f ca="1">MIN(pd)</f>
        <v>-0.61000000000000121</v>
      </c>
      <c r="R32" s="16"/>
      <c r="S32" s="16"/>
      <c r="T32" s="16"/>
      <c r="U32" s="16"/>
      <c r="V32" s="16"/>
      <c r="W32" s="16"/>
      <c r="X32" s="16"/>
      <c r="Y32" s="20"/>
      <c r="Z32" s="16"/>
    </row>
    <row r="33" spans="1:26" ht="16.5">
      <c r="A33" s="20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0"/>
      <c r="Z33" s="16"/>
    </row>
    <row r="34" spans="1:26" ht="16.5">
      <c r="A34" s="20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0"/>
      <c r="Z34" s="16"/>
    </row>
    <row r="35" spans="1:26" ht="16.5">
      <c r="A35" s="20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0"/>
      <c r="Z35" s="16"/>
    </row>
    <row r="36" spans="1:26" ht="16.5">
      <c r="A36" s="20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0"/>
      <c r="Z36" s="16"/>
    </row>
    <row r="37" spans="1:26" ht="16.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16"/>
    </row>
    <row r="38" spans="1:26" ht="16.5">
      <c r="Z38" s="16"/>
    </row>
    <row r="39" spans="1:26" ht="16.5">
      <c r="Z39" s="16"/>
    </row>
  </sheetData>
  <mergeCells count="11">
    <mergeCell ref="N30:O30"/>
    <mergeCell ref="N27:O27"/>
    <mergeCell ref="N31:O31"/>
    <mergeCell ref="N32:O32"/>
    <mergeCell ref="E1:V1"/>
    <mergeCell ref="N23:O23"/>
    <mergeCell ref="N24:O24"/>
    <mergeCell ref="N25:O25"/>
    <mergeCell ref="N26:O26"/>
    <mergeCell ref="N28:O28"/>
    <mergeCell ref="N29:O29"/>
  </mergeCells>
  <phoneticPr fontId="2" type="noConversion"/>
  <dataValidations count="3">
    <dataValidation type="list" allowBlank="1" showInputMessage="1" showErrorMessage="1" sqref="W4">
      <formula1>"日,周,月"</formula1>
    </dataValidation>
    <dataValidation type="list" allowBlank="1" showInputMessage="1" showErrorMessage="1" sqref="W5">
      <formula1>"不复权,前复权,后复权"</formula1>
    </dataValidation>
    <dataValidation type="list" allowBlank="1" showInputMessage="1" showErrorMessage="1" sqref="E16 H16">
      <formula1>$C$8:$C$12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1504"/>
  <sheetViews>
    <sheetView zoomScale="115" zoomScaleNormal="115" workbookViewId="0">
      <selection activeCell="G3" sqref="G3"/>
    </sheetView>
  </sheetViews>
  <sheetFormatPr defaultRowHeight="12.75"/>
  <cols>
    <col min="1" max="1" width="13.75" style="36" bestFit="1" customWidth="1"/>
    <col min="2" max="2" width="9.5" style="1" bestFit="1" customWidth="1"/>
    <col min="3" max="16384" width="9" style="1"/>
  </cols>
  <sheetData>
    <row r="1" spans="1:19">
      <c r="B1" s="33" t="str">
        <f>价差分析!E4</f>
        <v>000002.SZ</v>
      </c>
      <c r="C1" s="33" t="str">
        <f>价差分析!H4</f>
        <v>600048.SH</v>
      </c>
      <c r="D1" s="33" t="str">
        <f>价差分析!$K$4</f>
        <v>600895.SH</v>
      </c>
      <c r="E1" s="33" t="str">
        <f>价差分析!$N$4</f>
        <v>600383.SH</v>
      </c>
      <c r="F1" s="33" t="str">
        <f>价差分析!$Q$4</f>
        <v>001979.SZ</v>
      </c>
      <c r="G1" s="33"/>
      <c r="H1" s="11" t="str">
        <f>价差分析!E16</f>
        <v>000002.SZ</v>
      </c>
      <c r="I1" s="11" t="str">
        <f>价差分析!H16</f>
        <v>001979.SZ</v>
      </c>
    </row>
    <row r="2" spans="1:19">
      <c r="B2" s="36" t="s">
        <v>42</v>
      </c>
      <c r="C2" s="36" t="s">
        <v>43</v>
      </c>
      <c r="D2" s="36" t="s">
        <v>44</v>
      </c>
      <c r="E2" s="36" t="s">
        <v>45</v>
      </c>
      <c r="F2" s="36" t="s">
        <v>46</v>
      </c>
      <c r="G2" s="36"/>
      <c r="H2" s="11"/>
      <c r="I2" s="11"/>
    </row>
    <row r="3" spans="1:19">
      <c r="A3" s="2" t="s">
        <v>38</v>
      </c>
      <c r="B3" s="1" t="str">
        <f>[1]!s_info_name(B1)</f>
        <v>万科A</v>
      </c>
      <c r="C3" s="1" t="str">
        <f>[1]!s_info_name(C1)</f>
        <v>保利发展</v>
      </c>
      <c r="D3" s="1" t="str">
        <f>[1]!s_info_name(D1)</f>
        <v>张江高科</v>
      </c>
      <c r="E3" s="1" t="str">
        <f>[1]!s_info_name(E1)</f>
        <v>金地集团</v>
      </c>
      <c r="F3" s="1" t="str">
        <f>[1]!s_info_name(F1)</f>
        <v>招商蛇口</v>
      </c>
      <c r="H3" s="1" t="str">
        <f>[1]!s_info_name(H1)</f>
        <v>万科A</v>
      </c>
      <c r="I3" s="1" t="str">
        <f>[1]!s_info_name(I1)</f>
        <v>招商蛇口</v>
      </c>
      <c r="J3" s="1" t="s">
        <v>39</v>
      </c>
    </row>
    <row r="4" spans="1:19">
      <c r="A4" s="2">
        <f ca="1">--[1]!td(价差分析!T5)</f>
        <v>45264</v>
      </c>
      <c r="B4" s="6">
        <f ca="1">IF($A4="","",[1]!s_dq_close(B$1,$A4,$M$4))</f>
        <v>11.18</v>
      </c>
      <c r="C4" s="6">
        <f ca="1">IF($A4="","",[1]!s_dq_close(C$1,$A4,$M$4))</f>
        <v>9.9600000000000009</v>
      </c>
      <c r="D4" s="6">
        <f ca="1">IF($A4="","",[1]!s_dq_close(D$1,$A4,$M$4))</f>
        <v>22.98</v>
      </c>
      <c r="E4" s="6">
        <f ca="1">IF($A4="","",[1]!s_dq_close(E$1,$A4,$M$4))</f>
        <v>5.12</v>
      </c>
      <c r="F4" s="6">
        <f ca="1">IF($A4="","",[1]!s_dq_close(F$1,$A4,$M$4))</f>
        <v>9.9700000000000006</v>
      </c>
      <c r="G4" s="6"/>
      <c r="H4" s="6">
        <f ca="1">IF($A4="","",[1]!s_dq_close(H$1,$A4,$M$4))</f>
        <v>11.18</v>
      </c>
      <c r="I4" s="6">
        <f ca="1">IF($A4="","",[1]!s_dq_close(I$1,$A4,$M$4))</f>
        <v>9.9700000000000006</v>
      </c>
      <c r="J4" s="6">
        <f ca="1">IF(H4="","",H4-I4)</f>
        <v>1.2099999999999991</v>
      </c>
      <c r="M4" s="11">
        <f>IF(价差分析!$W$5="不复权",1,IF(价差分析!$W$5="后复权",2,3))</f>
        <v>1</v>
      </c>
      <c r="N4" s="3">
        <f ca="1">MIN(A4:A1504)</f>
        <v>44901</v>
      </c>
      <c r="O4" s="5">
        <f ca="1">MATCH(N4,A3:A1503,-1)-1</f>
        <v>242</v>
      </c>
      <c r="S4" s="9"/>
    </row>
    <row r="5" spans="1:19">
      <c r="A5" s="2">
        <f ca="1">IF(A4="","",IF(IF(价差分析!$W$4="日",--[1]!td(A4-1),IF(价差分析!$W$4="周",--[1]!td(A4-7),--[1]!td(A4-30)))-价差分析!$T$4&gt;0,IF(价差分析!$W$4="日",--[1]!td(A4-1),IF(价差分析!$W$4="周",--[1]!td(A4-7),--[1]!td(A4-30))),""))</f>
        <v>45261</v>
      </c>
      <c r="B5" s="6">
        <f ca="1">IF($A5="","",[1]!s_dq_close(B$1,$A5,$M$4))</f>
        <v>11.4</v>
      </c>
      <c r="C5" s="6">
        <f ca="1">IF($A5="","",[1]!s_dq_close(C$1,$A5,$M$4))</f>
        <v>10.25</v>
      </c>
      <c r="D5" s="6">
        <f ca="1">IF($A5="","",[1]!s_dq_close(D$1,$A5,$M$4))</f>
        <v>22.92</v>
      </c>
      <c r="E5" s="6">
        <f ca="1">IF($A5="","",[1]!s_dq_close(E$1,$A5,$M$4))</f>
        <v>5.26</v>
      </c>
      <c r="F5" s="6">
        <f ca="1">IF($A5="","",[1]!s_dq_close(F$1,$A5,$M$4))</f>
        <v>10.26</v>
      </c>
      <c r="G5" s="6"/>
      <c r="H5" s="6">
        <f ca="1">IF($A5="","",[1]!s_dq_close(H$1,$A5,$M$4))</f>
        <v>11.4</v>
      </c>
      <c r="I5" s="6">
        <f ca="1">IF($A5="","",[1]!s_dq_close(I$1,$A5,$M$4))</f>
        <v>10.26</v>
      </c>
      <c r="J5" s="6">
        <f t="shared" ref="J5:J68" ca="1" si="0">IF(H5="","",H5-I5)</f>
        <v>1.1400000000000006</v>
      </c>
      <c r="M5" s="1" t="s">
        <v>40</v>
      </c>
      <c r="N5" s="1" t="s">
        <v>36</v>
      </c>
      <c r="O5" s="1" t="s">
        <v>37</v>
      </c>
      <c r="P5" s="10"/>
      <c r="S5" s="9"/>
    </row>
    <row r="6" spans="1:19">
      <c r="A6" s="2">
        <f ca="1">IF(A5="","",IF(IF(价差分析!$W$4="日",--[1]!td(A5-1),IF(价差分析!$W$4="周",--[1]!td(A5-7),--[1]!td(A5-30)))-价差分析!$T$4&gt;0,IF(价差分析!$W$4="日",--[1]!td(A5-1),IF(价差分析!$W$4="周",--[1]!td(A5-7),--[1]!td(A5-30))),""))</f>
        <v>45260</v>
      </c>
      <c r="B6" s="6">
        <f ca="1">IF($A6="","",[1]!s_dq_close(B$1,$A6,$M$4))</f>
        <v>11.44</v>
      </c>
      <c r="C6" s="6">
        <f ca="1">IF($A6="","",[1]!s_dq_close(C$1,$A6,$M$4))</f>
        <v>10.26</v>
      </c>
      <c r="D6" s="6">
        <f ca="1">IF($A6="","",[1]!s_dq_close(D$1,$A6,$M$4))</f>
        <v>22.75</v>
      </c>
      <c r="E6" s="6">
        <f ca="1">IF($A6="","",[1]!s_dq_close(E$1,$A6,$M$4))</f>
        <v>5.12</v>
      </c>
      <c r="F6" s="6">
        <f ca="1">IF($A6="","",[1]!s_dq_close(F$1,$A6,$M$4))</f>
        <v>10.42</v>
      </c>
      <c r="G6" s="6"/>
      <c r="H6" s="6">
        <f ca="1">IF($A6="","",[1]!s_dq_close(H$1,$A6,$M$4))</f>
        <v>11.44</v>
      </c>
      <c r="I6" s="6">
        <f ca="1">IF($A6="","",[1]!s_dq_close(I$1,$A6,$M$4))</f>
        <v>10.42</v>
      </c>
      <c r="J6" s="6">
        <f t="shared" ca="1" si="0"/>
        <v>1.0199999999999996</v>
      </c>
      <c r="M6" s="6">
        <f ca="1">MIN(pd)</f>
        <v>-0.61000000000000121</v>
      </c>
      <c r="N6" s="1">
        <f ca="1">SUM(N7:N16)</f>
        <v>242</v>
      </c>
      <c r="O6" s="8"/>
      <c r="P6" s="10"/>
      <c r="S6" s="9"/>
    </row>
    <row r="7" spans="1:19">
      <c r="A7" s="2">
        <f ca="1">IF(A6="","",IF(IF(价差分析!$W$4="日",--[1]!td(A6-1),IF(价差分析!$W$4="周",--[1]!td(A6-7),--[1]!td(A6-30)))-价差分析!$T$4&gt;0,IF(价差分析!$W$4="日",--[1]!td(A6-1),IF(价差分析!$W$4="周",--[1]!td(A6-7),--[1]!td(A6-30))),""))</f>
        <v>45259</v>
      </c>
      <c r="B7" s="6">
        <f ca="1">IF($A7="","",[1]!s_dq_close(B$1,$A7,$M$4))</f>
        <v>11.46</v>
      </c>
      <c r="C7" s="6">
        <f ca="1">IF($A7="","",[1]!s_dq_close(C$1,$A7,$M$4))</f>
        <v>10.35</v>
      </c>
      <c r="D7" s="6">
        <f ca="1">IF($A7="","",[1]!s_dq_close(D$1,$A7,$M$4))</f>
        <v>23.32</v>
      </c>
      <c r="E7" s="6">
        <f ca="1">IF($A7="","",[1]!s_dq_close(E$1,$A7,$M$4))</f>
        <v>5.14</v>
      </c>
      <c r="F7" s="6">
        <f ca="1">IF($A7="","",[1]!s_dq_close(F$1,$A7,$M$4))</f>
        <v>10.48</v>
      </c>
      <c r="G7" s="6"/>
      <c r="H7" s="6">
        <f ca="1">IF($A7="","",[1]!s_dq_close(H$1,$A7,$M$4))</f>
        <v>11.46</v>
      </c>
      <c r="I7" s="6">
        <f ca="1">IF($A7="","",[1]!s_dq_close(I$1,$A7,$M$4))</f>
        <v>10.48</v>
      </c>
      <c r="J7" s="6">
        <f t="shared" ca="1" si="0"/>
        <v>0.98000000000000043</v>
      </c>
      <c r="M7" s="6">
        <f ca="1">(价差分析!$P$31-价差分析!$P$32)/10+M6</f>
        <v>3.4999999999999032E-2</v>
      </c>
      <c r="N7" s="1">
        <f t="array" aca="1" ref="N7:N16" ca="1">FREQUENCY(pd,M7:M16)</f>
        <v>12</v>
      </c>
      <c r="O7" s="8">
        <f t="shared" ref="O7:O15" ca="1" si="1">N7/$N$6</f>
        <v>4.9586776859504134E-2</v>
      </c>
      <c r="P7" s="10"/>
      <c r="S7" s="9"/>
    </row>
    <row r="8" spans="1:19">
      <c r="A8" s="2">
        <f ca="1">IF(A7="","",IF(IF(价差分析!$W$4="日",--[1]!td(A7-1),IF(价差分析!$W$4="周",--[1]!td(A7-7),--[1]!td(A7-30)))-价差分析!$T$4&gt;0,IF(价差分析!$W$4="日",--[1]!td(A7-1),IF(价差分析!$W$4="周",--[1]!td(A7-7),--[1]!td(A7-30))),""))</f>
        <v>45258</v>
      </c>
      <c r="B8" s="6">
        <f ca="1">IF($A8="","",[1]!s_dq_close(B$1,$A8,$M$4))</f>
        <v>11.75</v>
      </c>
      <c r="C8" s="6">
        <f ca="1">IF($A8="","",[1]!s_dq_close(C$1,$A8,$M$4))</f>
        <v>10.77</v>
      </c>
      <c r="D8" s="6">
        <f ca="1">IF($A8="","",[1]!s_dq_close(D$1,$A8,$M$4))</f>
        <v>23.7</v>
      </c>
      <c r="E8" s="6">
        <f ca="1">IF($A8="","",[1]!s_dq_close(E$1,$A8,$M$4))</f>
        <v>5.37</v>
      </c>
      <c r="F8" s="6">
        <f ca="1">IF($A8="","",[1]!s_dq_close(F$1,$A8,$M$4))</f>
        <v>10.88</v>
      </c>
      <c r="G8" s="6"/>
      <c r="H8" s="6">
        <f ca="1">IF($A8="","",[1]!s_dq_close(H$1,$A8,$M$4))</f>
        <v>11.75</v>
      </c>
      <c r="I8" s="6">
        <f ca="1">IF($A8="","",[1]!s_dq_close(I$1,$A8,$M$4))</f>
        <v>10.88</v>
      </c>
      <c r="J8" s="6">
        <f t="shared" ca="1" si="0"/>
        <v>0.86999999999999922</v>
      </c>
      <c r="M8" s="6">
        <f ca="1">(价差分析!$P$31-价差分析!$P$32)/10+M7</f>
        <v>0.67999999999999927</v>
      </c>
      <c r="N8" s="1">
        <f ca="1"/>
        <v>35</v>
      </c>
      <c r="O8" s="8">
        <f t="shared" ca="1" si="1"/>
        <v>0.14462809917355371</v>
      </c>
      <c r="P8" s="10"/>
      <c r="S8" s="9"/>
    </row>
    <row r="9" spans="1:19">
      <c r="A9" s="2">
        <f ca="1">IF(A8="","",IF(IF(价差分析!$W$4="日",--[1]!td(A8-1),IF(价差分析!$W$4="周",--[1]!td(A8-7),--[1]!td(A8-30)))-价差分析!$T$4&gt;0,IF(价差分析!$W$4="日",--[1]!td(A8-1),IF(价差分析!$W$4="周",--[1]!td(A8-7),--[1]!td(A8-30))),""))</f>
        <v>45257</v>
      </c>
      <c r="B9" s="6">
        <f ca="1">IF($A9="","",[1]!s_dq_close(B$1,$A9,$M$4))</f>
        <v>11.8</v>
      </c>
      <c r="C9" s="6">
        <f ca="1">IF($A9="","",[1]!s_dq_close(C$1,$A9,$M$4))</f>
        <v>10.91</v>
      </c>
      <c r="D9" s="6">
        <f ca="1">IF($A9="","",[1]!s_dq_close(D$1,$A9,$M$4))</f>
        <v>25.31</v>
      </c>
      <c r="E9" s="6">
        <f ca="1">IF($A9="","",[1]!s_dq_close(E$1,$A9,$M$4))</f>
        <v>5.46</v>
      </c>
      <c r="F9" s="6">
        <f ca="1">IF($A9="","",[1]!s_dq_close(F$1,$A9,$M$4))</f>
        <v>11.04</v>
      </c>
      <c r="G9" s="6"/>
      <c r="H9" s="6">
        <f ca="1">IF($A9="","",[1]!s_dq_close(H$1,$A9,$M$4))</f>
        <v>11.8</v>
      </c>
      <c r="I9" s="6">
        <f ca="1">IF($A9="","",[1]!s_dq_close(I$1,$A9,$M$4))</f>
        <v>11.04</v>
      </c>
      <c r="J9" s="6">
        <f t="shared" ca="1" si="0"/>
        <v>0.76000000000000156</v>
      </c>
      <c r="M9" s="6">
        <f ca="1">(价差分析!$P$31-价差分析!$P$32)/10+M8</f>
        <v>1.3249999999999995</v>
      </c>
      <c r="N9" s="1">
        <f ca="1"/>
        <v>77</v>
      </c>
      <c r="O9" s="8">
        <f t="shared" ca="1" si="1"/>
        <v>0.31818181818181818</v>
      </c>
      <c r="P9" s="10"/>
      <c r="S9" s="9"/>
    </row>
    <row r="10" spans="1:19">
      <c r="A10" s="2">
        <f ca="1">IF(A9="","",IF(IF(价差分析!$W$4="日",--[1]!td(A9-1),IF(价差分析!$W$4="周",--[1]!td(A9-7),--[1]!td(A9-30)))-价差分析!$T$4&gt;0,IF(价差分析!$W$4="日",--[1]!td(A9-1),IF(价差分析!$W$4="周",--[1]!td(A9-7),--[1]!td(A9-30))),""))</f>
        <v>45254</v>
      </c>
      <c r="B10" s="6">
        <f ca="1">IF($A10="","",[1]!s_dq_close(B$1,$A10,$M$4))</f>
        <v>12.12</v>
      </c>
      <c r="C10" s="6">
        <f ca="1">IF($A10="","",[1]!s_dq_close(C$1,$A10,$M$4))</f>
        <v>11.19</v>
      </c>
      <c r="D10" s="6">
        <f ca="1">IF($A10="","",[1]!s_dq_close(D$1,$A10,$M$4))</f>
        <v>23.41</v>
      </c>
      <c r="E10" s="6">
        <f ca="1">IF($A10="","",[1]!s_dq_close(E$1,$A10,$M$4))</f>
        <v>5.71</v>
      </c>
      <c r="F10" s="6">
        <f ca="1">IF($A10="","",[1]!s_dq_close(F$1,$A10,$M$4))</f>
        <v>11.13</v>
      </c>
      <c r="G10" s="6"/>
      <c r="H10" s="6">
        <f ca="1">IF($A10="","",[1]!s_dq_close(H$1,$A10,$M$4))</f>
        <v>12.12</v>
      </c>
      <c r="I10" s="6">
        <f ca="1">IF($A10="","",[1]!s_dq_close(I$1,$A10,$M$4))</f>
        <v>11.13</v>
      </c>
      <c r="J10" s="6">
        <f t="shared" ca="1" si="0"/>
        <v>0.98999999999999844</v>
      </c>
      <c r="M10" s="6">
        <f ca="1">(价差分析!$P$31-价差分析!$P$32)/10+M9</f>
        <v>1.9699999999999998</v>
      </c>
      <c r="N10" s="1">
        <f ca="1"/>
        <v>50</v>
      </c>
      <c r="O10" s="8">
        <f t="shared" ca="1" si="1"/>
        <v>0.20661157024793389</v>
      </c>
      <c r="P10" s="10"/>
      <c r="S10" s="9"/>
    </row>
    <row r="11" spans="1:19">
      <c r="A11" s="2">
        <f ca="1">IF(A10="","",IF(IF(价差分析!$W$4="日",--[1]!td(A10-1),IF(价差分析!$W$4="周",--[1]!td(A10-7),--[1]!td(A10-30)))-价差分析!$T$4&gt;0,IF(价差分析!$W$4="日",--[1]!td(A10-1),IF(价差分析!$W$4="周",--[1]!td(A10-7),--[1]!td(A10-30))),""))</f>
        <v>45253</v>
      </c>
      <c r="B11" s="6">
        <f ca="1">IF($A11="","",[1]!s_dq_close(B$1,$A11,$M$4))</f>
        <v>12.17</v>
      </c>
      <c r="C11" s="6">
        <f ca="1">IF($A11="","",[1]!s_dq_close(C$1,$A11,$M$4))</f>
        <v>11.2</v>
      </c>
      <c r="D11" s="6">
        <f ca="1">IF($A11="","",[1]!s_dq_close(D$1,$A11,$M$4))</f>
        <v>22.73</v>
      </c>
      <c r="E11" s="6">
        <f ca="1">IF($A11="","",[1]!s_dq_close(E$1,$A11,$M$4))</f>
        <v>5.76</v>
      </c>
      <c r="F11" s="6">
        <f ca="1">IF($A11="","",[1]!s_dq_close(F$1,$A11,$M$4))</f>
        <v>11.1</v>
      </c>
      <c r="G11" s="6"/>
      <c r="H11" s="6">
        <f ca="1">IF($A11="","",[1]!s_dq_close(H$1,$A11,$M$4))</f>
        <v>12.17</v>
      </c>
      <c r="I11" s="6">
        <f ca="1">IF($A11="","",[1]!s_dq_close(I$1,$A11,$M$4))</f>
        <v>11.1</v>
      </c>
      <c r="J11" s="6">
        <f t="shared" ca="1" si="0"/>
        <v>1.0700000000000003</v>
      </c>
      <c r="M11" s="6">
        <f ca="1">(价差分析!$P$31-价差分析!$P$32)/10+M10</f>
        <v>2.6150000000000002</v>
      </c>
      <c r="N11" s="1">
        <f ca="1"/>
        <v>17</v>
      </c>
      <c r="O11" s="8">
        <f t="shared" ca="1" si="1"/>
        <v>7.0247933884297523E-2</v>
      </c>
      <c r="P11" s="10"/>
      <c r="S11" s="9"/>
    </row>
    <row r="12" spans="1:19">
      <c r="A12" s="2">
        <f ca="1">IF(A11="","",IF(IF(价差分析!$W$4="日",--[1]!td(A11-1),IF(价差分析!$W$4="周",--[1]!td(A11-7),--[1]!td(A11-30)))-价差分析!$T$4&gt;0,IF(价差分析!$W$4="日",--[1]!td(A11-1),IF(价差分析!$W$4="周",--[1]!td(A11-7),--[1]!td(A11-30))),""))</f>
        <v>45252</v>
      </c>
      <c r="B12" s="6">
        <f ca="1">IF($A12="","",[1]!s_dq_close(B$1,$A12,$M$4))</f>
        <v>11.84</v>
      </c>
      <c r="C12" s="6">
        <f ca="1">IF($A12="","",[1]!s_dq_close(C$1,$A12,$M$4))</f>
        <v>10.85</v>
      </c>
      <c r="D12" s="6">
        <f ca="1">IF($A12="","",[1]!s_dq_close(D$1,$A12,$M$4))</f>
        <v>22.37</v>
      </c>
      <c r="E12" s="6">
        <f ca="1">IF($A12="","",[1]!s_dq_close(E$1,$A12,$M$4))</f>
        <v>5.5</v>
      </c>
      <c r="F12" s="6">
        <f ca="1">IF($A12="","",[1]!s_dq_close(F$1,$A12,$M$4))</f>
        <v>10.67</v>
      </c>
      <c r="G12" s="6"/>
      <c r="H12" s="6">
        <f ca="1">IF($A12="","",[1]!s_dq_close(H$1,$A12,$M$4))</f>
        <v>11.84</v>
      </c>
      <c r="I12" s="6">
        <f ca="1">IF($A12="","",[1]!s_dq_close(I$1,$A12,$M$4))</f>
        <v>10.67</v>
      </c>
      <c r="J12" s="6">
        <f t="shared" ca="1" si="0"/>
        <v>1.17</v>
      </c>
      <c r="M12" s="6">
        <f ca="1">(价差分析!$P$31-价差分析!$P$32)/10+M11</f>
        <v>3.2600000000000007</v>
      </c>
      <c r="N12" s="1">
        <f ca="1"/>
        <v>10</v>
      </c>
      <c r="O12" s="8">
        <f t="shared" ca="1" si="1"/>
        <v>4.1322314049586778E-2</v>
      </c>
      <c r="P12" s="10"/>
      <c r="S12" s="9"/>
    </row>
    <row r="13" spans="1:19">
      <c r="A13" s="2">
        <f ca="1">IF(A12="","",IF(IF(价差分析!$W$4="日",--[1]!td(A12-1),IF(价差分析!$W$4="周",--[1]!td(A12-7),--[1]!td(A12-30)))-价差分析!$T$4&gt;0,IF(价差分析!$W$4="日",--[1]!td(A12-1),IF(价差分析!$W$4="周",--[1]!td(A12-7),--[1]!td(A12-30))),""))</f>
        <v>45251</v>
      </c>
      <c r="B13" s="6">
        <f ca="1">IF($A13="","",[1]!s_dq_close(B$1,$A13,$M$4))</f>
        <v>11.92</v>
      </c>
      <c r="C13" s="6">
        <f ca="1">IF($A13="","",[1]!s_dq_close(C$1,$A13,$M$4))</f>
        <v>10.97</v>
      </c>
      <c r="D13" s="6">
        <f ca="1">IF($A13="","",[1]!s_dq_close(D$1,$A13,$M$4))</f>
        <v>23.19</v>
      </c>
      <c r="E13" s="6">
        <f ca="1">IF($A13="","",[1]!s_dq_close(E$1,$A13,$M$4))</f>
        <v>5.61</v>
      </c>
      <c r="F13" s="6">
        <f ca="1">IF($A13="","",[1]!s_dq_close(F$1,$A13,$M$4))</f>
        <v>10.86</v>
      </c>
      <c r="G13" s="6"/>
      <c r="H13" s="6">
        <f ca="1">IF($A13="","",[1]!s_dq_close(H$1,$A13,$M$4))</f>
        <v>11.92</v>
      </c>
      <c r="I13" s="6">
        <f ca="1">IF($A13="","",[1]!s_dq_close(I$1,$A13,$M$4))</f>
        <v>10.86</v>
      </c>
      <c r="J13" s="6">
        <f t="shared" ca="1" si="0"/>
        <v>1.0600000000000005</v>
      </c>
      <c r="M13" s="6">
        <f ca="1">(价差分析!$P$31-价差分析!$P$32)/10+M12</f>
        <v>3.9050000000000011</v>
      </c>
      <c r="N13" s="1">
        <f ca="1"/>
        <v>8</v>
      </c>
      <c r="O13" s="8">
        <f t="shared" ca="1" si="1"/>
        <v>3.3057851239669422E-2</v>
      </c>
      <c r="P13" s="10"/>
      <c r="S13" s="9"/>
    </row>
    <row r="14" spans="1:19">
      <c r="A14" s="2">
        <f ca="1">IF(A13="","",IF(IF(价差分析!$W$4="日",--[1]!td(A13-1),IF(价差分析!$W$4="周",--[1]!td(A13-7),--[1]!td(A13-30)))-价差分析!$T$4&gt;0,IF(价差分析!$W$4="日",--[1]!td(A13-1),IF(价差分析!$W$4="周",--[1]!td(A13-7),--[1]!td(A13-30))),""))</f>
        <v>45250</v>
      </c>
      <c r="B14" s="6">
        <f ca="1">IF($A14="","",[1]!s_dq_close(B$1,$A14,$M$4))</f>
        <v>11.57</v>
      </c>
      <c r="C14" s="6">
        <f ca="1">IF($A14="","",[1]!s_dq_close(C$1,$A14,$M$4))</f>
        <v>10.78</v>
      </c>
      <c r="D14" s="6">
        <f ca="1">IF($A14="","",[1]!s_dq_close(D$1,$A14,$M$4))</f>
        <v>23.86</v>
      </c>
      <c r="E14" s="6">
        <f ca="1">IF($A14="","",[1]!s_dq_close(E$1,$A14,$M$4))</f>
        <v>5.42</v>
      </c>
      <c r="F14" s="6">
        <f ca="1">IF($A14="","",[1]!s_dq_close(F$1,$A14,$M$4))</f>
        <v>10.65</v>
      </c>
      <c r="G14" s="6"/>
      <c r="H14" s="6">
        <f ca="1">IF($A14="","",[1]!s_dq_close(H$1,$A14,$M$4))</f>
        <v>11.57</v>
      </c>
      <c r="I14" s="6">
        <f ca="1">IF($A14="","",[1]!s_dq_close(I$1,$A14,$M$4))</f>
        <v>10.65</v>
      </c>
      <c r="J14" s="6">
        <f t="shared" ca="1" si="0"/>
        <v>0.91999999999999993</v>
      </c>
      <c r="M14" s="6">
        <f ca="1">(价差分析!$P$31-价差分析!$P$32)/10+M13</f>
        <v>4.5500000000000016</v>
      </c>
      <c r="N14" s="1">
        <f ca="1"/>
        <v>9</v>
      </c>
      <c r="O14" s="8">
        <f t="shared" ca="1" si="1"/>
        <v>3.71900826446281E-2</v>
      </c>
      <c r="S14" s="9"/>
    </row>
    <row r="15" spans="1:19">
      <c r="A15" s="2">
        <f ca="1">IF(A14="","",IF(IF(价差分析!$W$4="日",--[1]!td(A14-1),IF(价差分析!$W$4="周",--[1]!td(A14-7),--[1]!td(A14-30)))-价差分析!$T$4&gt;0,IF(价差分析!$W$4="日",--[1]!td(A14-1),IF(价差分析!$W$4="周",--[1]!td(A14-7),--[1]!td(A14-30))),""))</f>
        <v>45247</v>
      </c>
      <c r="B15" s="6">
        <f ca="1">IF($A15="","",[1]!s_dq_close(B$1,$A15,$M$4))</f>
        <v>11.62</v>
      </c>
      <c r="C15" s="6">
        <f ca="1">IF($A15="","",[1]!s_dq_close(C$1,$A15,$M$4))</f>
        <v>10.84</v>
      </c>
      <c r="D15" s="6">
        <f ca="1">IF($A15="","",[1]!s_dq_close(D$1,$A15,$M$4))</f>
        <v>23.97</v>
      </c>
      <c r="E15" s="6">
        <f ca="1">IF($A15="","",[1]!s_dq_close(E$1,$A15,$M$4))</f>
        <v>5.46</v>
      </c>
      <c r="F15" s="6">
        <f ca="1">IF($A15="","",[1]!s_dq_close(F$1,$A15,$M$4))</f>
        <v>10.8</v>
      </c>
      <c r="G15" s="6"/>
      <c r="H15" s="6">
        <f ca="1">IF($A15="","",[1]!s_dq_close(H$1,$A15,$M$4))</f>
        <v>11.62</v>
      </c>
      <c r="I15" s="6">
        <f ca="1">IF($A15="","",[1]!s_dq_close(I$1,$A15,$M$4))</f>
        <v>10.8</v>
      </c>
      <c r="J15" s="6">
        <f t="shared" ca="1" si="0"/>
        <v>0.81999999999999851</v>
      </c>
      <c r="M15" s="6">
        <f ca="1">(价差分析!$P$31-价差分析!$P$32)/10+M14</f>
        <v>5.1950000000000021</v>
      </c>
      <c r="N15" s="1">
        <f ca="1"/>
        <v>10</v>
      </c>
      <c r="O15" s="8">
        <f t="shared" ca="1" si="1"/>
        <v>4.1322314049586778E-2</v>
      </c>
      <c r="P15" s="7"/>
      <c r="S15" s="9"/>
    </row>
    <row r="16" spans="1:19">
      <c r="A16" s="2">
        <f ca="1">IF(A15="","",IF(IF(价差分析!$W$4="日",--[1]!td(A15-1),IF(价差分析!$W$4="周",--[1]!td(A15-7),--[1]!td(A15-30)))-价差分析!$T$4&gt;0,IF(价差分析!$W$4="日",--[1]!td(A15-1),IF(价差分析!$W$4="周",--[1]!td(A15-7),--[1]!td(A15-30))),""))</f>
        <v>45246</v>
      </c>
      <c r="B16" s="6">
        <f ca="1">IF($A16="","",[1]!s_dq_close(B$1,$A16,$M$4))</f>
        <v>11.8</v>
      </c>
      <c r="C16" s="6">
        <f ca="1">IF($A16="","",[1]!s_dq_close(C$1,$A16,$M$4))</f>
        <v>10.94</v>
      </c>
      <c r="D16" s="6">
        <f ca="1">IF($A16="","",[1]!s_dq_close(D$1,$A16,$M$4))</f>
        <v>24.53</v>
      </c>
      <c r="E16" s="6">
        <f ca="1">IF($A16="","",[1]!s_dq_close(E$1,$A16,$M$4))</f>
        <v>5.52</v>
      </c>
      <c r="F16" s="6">
        <f ca="1">IF($A16="","",[1]!s_dq_close(F$1,$A16,$M$4))</f>
        <v>10.78</v>
      </c>
      <c r="G16" s="6"/>
      <c r="H16" s="6">
        <f ca="1">IF($A16="","",[1]!s_dq_close(H$1,$A16,$M$4))</f>
        <v>11.8</v>
      </c>
      <c r="I16" s="6">
        <f ca="1">IF($A16="","",[1]!s_dq_close(I$1,$A16,$M$4))</f>
        <v>10.78</v>
      </c>
      <c r="J16" s="6">
        <f t="shared" ca="1" si="0"/>
        <v>1.0200000000000014</v>
      </c>
      <c r="M16" s="6">
        <f ca="1">MAX(pd)</f>
        <v>5.8400000000000016</v>
      </c>
      <c r="N16" s="1">
        <f ca="1"/>
        <v>14</v>
      </c>
      <c r="S16" s="9"/>
    </row>
    <row r="17" spans="1:19">
      <c r="A17" s="2">
        <f ca="1">IF(A16="","",IF(IF(价差分析!$W$4="日",--[1]!td(A16-1),IF(价差分析!$W$4="周",--[1]!td(A16-7),--[1]!td(A16-30)))-价差分析!$T$4&gt;0,IF(价差分析!$W$4="日",--[1]!td(A16-1),IF(价差分析!$W$4="周",--[1]!td(A16-7),--[1]!td(A16-30))),""))</f>
        <v>45245</v>
      </c>
      <c r="B17" s="6">
        <f ca="1">IF($A17="","",[1]!s_dq_close(B$1,$A17,$M$4))</f>
        <v>11.89</v>
      </c>
      <c r="C17" s="6">
        <f ca="1">IF($A17="","",[1]!s_dq_close(C$1,$A17,$M$4))</f>
        <v>11.03</v>
      </c>
      <c r="D17" s="6">
        <f ca="1">IF($A17="","",[1]!s_dq_close(D$1,$A17,$M$4))</f>
        <v>23.37</v>
      </c>
      <c r="E17" s="6">
        <f ca="1">IF($A17="","",[1]!s_dq_close(E$1,$A17,$M$4))</f>
        <v>5.54</v>
      </c>
      <c r="F17" s="6">
        <f ca="1">IF($A17="","",[1]!s_dq_close(F$1,$A17,$M$4))</f>
        <v>10.81</v>
      </c>
      <c r="G17" s="6"/>
      <c r="H17" s="6">
        <f ca="1">IF($A17="","",[1]!s_dq_close(H$1,$A17,$M$4))</f>
        <v>11.89</v>
      </c>
      <c r="I17" s="6">
        <f ca="1">IF($A17="","",[1]!s_dq_close(I$1,$A17,$M$4))</f>
        <v>10.81</v>
      </c>
      <c r="J17" s="6">
        <f t="shared" ca="1" si="0"/>
        <v>1.08</v>
      </c>
      <c r="S17" s="9"/>
    </row>
    <row r="18" spans="1:19">
      <c r="A18" s="2">
        <f ca="1">IF(A17="","",IF(IF(价差分析!$W$4="日",--[1]!td(A17-1),IF(价差分析!$W$4="周",--[1]!td(A17-7),--[1]!td(A17-30)))-价差分析!$T$4&gt;0,IF(价差分析!$W$4="日",--[1]!td(A17-1),IF(价差分析!$W$4="周",--[1]!td(A17-7),--[1]!td(A17-30))),""))</f>
        <v>45244</v>
      </c>
      <c r="B18" s="6">
        <f ca="1">IF($A18="","",[1]!s_dq_close(B$1,$A18,$M$4))</f>
        <v>11.78</v>
      </c>
      <c r="C18" s="6">
        <f ca="1">IF($A18="","",[1]!s_dq_close(C$1,$A18,$M$4))</f>
        <v>11.11</v>
      </c>
      <c r="D18" s="6">
        <f ca="1">IF($A18="","",[1]!s_dq_close(D$1,$A18,$M$4))</f>
        <v>23.98</v>
      </c>
      <c r="E18" s="6">
        <f ca="1">IF($A18="","",[1]!s_dq_close(E$1,$A18,$M$4))</f>
        <v>5.55</v>
      </c>
      <c r="F18" s="6">
        <f ca="1">IF($A18="","",[1]!s_dq_close(F$1,$A18,$M$4))</f>
        <v>10.98</v>
      </c>
      <c r="G18" s="6"/>
      <c r="H18" s="6">
        <f ca="1">IF($A18="","",[1]!s_dq_close(H$1,$A18,$M$4))</f>
        <v>11.78</v>
      </c>
      <c r="I18" s="6">
        <f ca="1">IF($A18="","",[1]!s_dq_close(I$1,$A18,$M$4))</f>
        <v>10.98</v>
      </c>
      <c r="J18" s="6">
        <f t="shared" ca="1" si="0"/>
        <v>0.79999999999999893</v>
      </c>
      <c r="S18" s="9"/>
    </row>
    <row r="19" spans="1:19">
      <c r="A19" s="2">
        <f ca="1">IF(A18="","",IF(IF(价差分析!$W$4="日",--[1]!td(A18-1),IF(价差分析!$W$4="周",--[1]!td(A18-7),--[1]!td(A18-30)))-价差分析!$T$4&gt;0,IF(价差分析!$W$4="日",--[1]!td(A18-1),IF(价差分析!$W$4="周",--[1]!td(A18-7),--[1]!td(A18-30))),""))</f>
        <v>45243</v>
      </c>
      <c r="B19" s="6">
        <f ca="1">IF($A19="","",[1]!s_dq_close(B$1,$A19,$M$4))</f>
        <v>11.72</v>
      </c>
      <c r="C19" s="6">
        <f ca="1">IF($A19="","",[1]!s_dq_close(C$1,$A19,$M$4))</f>
        <v>11.03</v>
      </c>
      <c r="D19" s="6">
        <f ca="1">IF($A19="","",[1]!s_dq_close(D$1,$A19,$M$4))</f>
        <v>23.15</v>
      </c>
      <c r="E19" s="6">
        <f ca="1">IF($A19="","",[1]!s_dq_close(E$1,$A19,$M$4))</f>
        <v>5.43</v>
      </c>
      <c r="F19" s="6">
        <f ca="1">IF($A19="","",[1]!s_dq_close(F$1,$A19,$M$4))</f>
        <v>10.88</v>
      </c>
      <c r="G19" s="6"/>
      <c r="H19" s="6">
        <f ca="1">IF($A19="","",[1]!s_dq_close(H$1,$A19,$M$4))</f>
        <v>11.72</v>
      </c>
      <c r="I19" s="6">
        <f ca="1">IF($A19="","",[1]!s_dq_close(I$1,$A19,$M$4))</f>
        <v>10.88</v>
      </c>
      <c r="J19" s="6">
        <f t="shared" ca="1" si="0"/>
        <v>0.83999999999999986</v>
      </c>
      <c r="S19" s="9"/>
    </row>
    <row r="20" spans="1:19">
      <c r="A20" s="2">
        <f ca="1">IF(A19="","",IF(IF(价差分析!$W$4="日",--[1]!td(A19-1),IF(价差分析!$W$4="周",--[1]!td(A19-7),--[1]!td(A19-30)))-价差分析!$T$4&gt;0,IF(价差分析!$W$4="日",--[1]!td(A19-1),IF(价差分析!$W$4="周",--[1]!td(A19-7),--[1]!td(A19-30))),""))</f>
        <v>45240</v>
      </c>
      <c r="B20" s="6">
        <f ca="1">IF($A20="","",[1]!s_dq_close(B$1,$A20,$M$4))</f>
        <v>11.89</v>
      </c>
      <c r="C20" s="6">
        <f ca="1">IF($A20="","",[1]!s_dq_close(C$1,$A20,$M$4))</f>
        <v>11.1</v>
      </c>
      <c r="D20" s="6">
        <f ca="1">IF($A20="","",[1]!s_dq_close(D$1,$A20,$M$4))</f>
        <v>22.5</v>
      </c>
      <c r="E20" s="6">
        <f ca="1">IF($A20="","",[1]!s_dq_close(E$1,$A20,$M$4))</f>
        <v>5.46</v>
      </c>
      <c r="F20" s="6">
        <f ca="1">IF($A20="","",[1]!s_dq_close(F$1,$A20,$M$4))</f>
        <v>10.88</v>
      </c>
      <c r="G20" s="6"/>
      <c r="H20" s="6">
        <f ca="1">IF($A20="","",[1]!s_dq_close(H$1,$A20,$M$4))</f>
        <v>11.89</v>
      </c>
      <c r="I20" s="6">
        <f ca="1">IF($A20="","",[1]!s_dq_close(I$1,$A20,$M$4))</f>
        <v>10.88</v>
      </c>
      <c r="J20" s="6">
        <f t="shared" ca="1" si="0"/>
        <v>1.0099999999999998</v>
      </c>
      <c r="S20" s="9"/>
    </row>
    <row r="21" spans="1:19">
      <c r="A21" s="2">
        <f ca="1">IF(A20="","",IF(IF(价差分析!$W$4="日",--[1]!td(A20-1),IF(价差分析!$W$4="周",--[1]!td(A20-7),--[1]!td(A20-30)))-价差分析!$T$4&gt;0,IF(价差分析!$W$4="日",--[1]!td(A20-1),IF(价差分析!$W$4="周",--[1]!td(A20-7),--[1]!td(A20-30))),""))</f>
        <v>45239</v>
      </c>
      <c r="B21" s="6">
        <f ca="1">IF($A21="","",[1]!s_dq_close(B$1,$A21,$M$4))</f>
        <v>11.96</v>
      </c>
      <c r="C21" s="6">
        <f ca="1">IF($A21="","",[1]!s_dq_close(C$1,$A21,$M$4))</f>
        <v>11.2</v>
      </c>
      <c r="D21" s="6">
        <f ca="1">IF($A21="","",[1]!s_dq_close(D$1,$A21,$M$4))</f>
        <v>24.23</v>
      </c>
      <c r="E21" s="6">
        <f ca="1">IF($A21="","",[1]!s_dq_close(E$1,$A21,$M$4))</f>
        <v>5.45</v>
      </c>
      <c r="F21" s="6">
        <f ca="1">IF($A21="","",[1]!s_dq_close(F$1,$A21,$M$4))</f>
        <v>11.08</v>
      </c>
      <c r="G21" s="6"/>
      <c r="H21" s="6">
        <f ca="1">IF($A21="","",[1]!s_dq_close(H$1,$A21,$M$4))</f>
        <v>11.96</v>
      </c>
      <c r="I21" s="6">
        <f ca="1">IF($A21="","",[1]!s_dq_close(I$1,$A21,$M$4))</f>
        <v>11.08</v>
      </c>
      <c r="J21" s="6">
        <f t="shared" ca="1" si="0"/>
        <v>0.88000000000000078</v>
      </c>
      <c r="S21" s="9"/>
    </row>
    <row r="22" spans="1:19">
      <c r="A22" s="2">
        <f ca="1">IF(A21="","",IF(IF(价差分析!$W$4="日",--[1]!td(A21-1),IF(价差分析!$W$4="周",--[1]!td(A21-7),--[1]!td(A21-30)))-价差分析!$T$4&gt;0,IF(价差分析!$W$4="日",--[1]!td(A21-1),IF(价差分析!$W$4="周",--[1]!td(A21-7),--[1]!td(A21-30))),""))</f>
        <v>45238</v>
      </c>
      <c r="B22" s="6">
        <f ca="1">IF($A22="","",[1]!s_dq_close(B$1,$A22,$M$4))</f>
        <v>12.13</v>
      </c>
      <c r="C22" s="6">
        <f ca="1">IF($A22="","",[1]!s_dq_close(C$1,$A22,$M$4))</f>
        <v>11.16</v>
      </c>
      <c r="D22" s="6">
        <f ca="1">IF($A22="","",[1]!s_dq_close(D$1,$A22,$M$4))</f>
        <v>24.51</v>
      </c>
      <c r="E22" s="6">
        <f ca="1">IF($A22="","",[1]!s_dq_close(E$1,$A22,$M$4))</f>
        <v>5.41</v>
      </c>
      <c r="F22" s="6">
        <f ca="1">IF($A22="","",[1]!s_dq_close(F$1,$A22,$M$4))</f>
        <v>11.08</v>
      </c>
      <c r="G22" s="6"/>
      <c r="H22" s="6">
        <f ca="1">IF($A22="","",[1]!s_dq_close(H$1,$A22,$M$4))</f>
        <v>12.13</v>
      </c>
      <c r="I22" s="6">
        <f ca="1">IF($A22="","",[1]!s_dq_close(I$1,$A22,$M$4))</f>
        <v>11.08</v>
      </c>
      <c r="J22" s="6">
        <f t="shared" ca="1" si="0"/>
        <v>1.0500000000000007</v>
      </c>
      <c r="S22" s="9"/>
    </row>
    <row r="23" spans="1:19">
      <c r="A23" s="2">
        <f ca="1">IF(A22="","",IF(IF(价差分析!$W$4="日",--[1]!td(A22-1),IF(价差分析!$W$4="周",--[1]!td(A22-7),--[1]!td(A22-30)))-价差分析!$T$4&gt;0,IF(价差分析!$W$4="日",--[1]!td(A22-1),IF(价差分析!$W$4="周",--[1]!td(A22-7),--[1]!td(A22-30))),""))</f>
        <v>45237</v>
      </c>
      <c r="B23" s="6">
        <f ca="1">IF($A23="","",[1]!s_dq_close(B$1,$A23,$M$4))</f>
        <v>11.93</v>
      </c>
      <c r="C23" s="6">
        <f ca="1">IF($A23="","",[1]!s_dq_close(C$1,$A23,$M$4))</f>
        <v>11.11</v>
      </c>
      <c r="D23" s="6">
        <f ca="1">IF($A23="","",[1]!s_dq_close(D$1,$A23,$M$4))</f>
        <v>23.66</v>
      </c>
      <c r="E23" s="6">
        <f ca="1">IF($A23="","",[1]!s_dq_close(E$1,$A23,$M$4))</f>
        <v>5.21</v>
      </c>
      <c r="F23" s="6">
        <f ca="1">IF($A23="","",[1]!s_dq_close(F$1,$A23,$M$4))</f>
        <v>10.98</v>
      </c>
      <c r="G23" s="6"/>
      <c r="H23" s="6">
        <f ca="1">IF($A23="","",[1]!s_dq_close(H$1,$A23,$M$4))</f>
        <v>11.93</v>
      </c>
      <c r="I23" s="6">
        <f ca="1">IF($A23="","",[1]!s_dq_close(I$1,$A23,$M$4))</f>
        <v>10.98</v>
      </c>
      <c r="J23" s="6">
        <f t="shared" ca="1" si="0"/>
        <v>0.94999999999999929</v>
      </c>
      <c r="S23" s="9"/>
    </row>
    <row r="24" spans="1:19">
      <c r="A24" s="2">
        <f ca="1">IF(A23="","",IF(IF(价差分析!$W$4="日",--[1]!td(A23-1),IF(价差分析!$W$4="周",--[1]!td(A23-7),--[1]!td(A23-30)))-价差分析!$T$4&gt;0,IF(价差分析!$W$4="日",--[1]!td(A23-1),IF(价差分析!$W$4="周",--[1]!td(A23-7),--[1]!td(A23-30))),""))</f>
        <v>45236</v>
      </c>
      <c r="B24" s="6">
        <f ca="1">IF($A24="","",[1]!s_dq_close(B$1,$A24,$M$4))</f>
        <v>11.97</v>
      </c>
      <c r="C24" s="6">
        <f ca="1">IF($A24="","",[1]!s_dq_close(C$1,$A24,$M$4))</f>
        <v>11.12</v>
      </c>
      <c r="D24" s="6">
        <f ca="1">IF($A24="","",[1]!s_dq_close(D$1,$A24,$M$4))</f>
        <v>22.68</v>
      </c>
      <c r="E24" s="6">
        <f ca="1">IF($A24="","",[1]!s_dq_close(E$1,$A24,$M$4))</f>
        <v>5.27</v>
      </c>
      <c r="F24" s="6">
        <f ca="1">IF($A24="","",[1]!s_dq_close(F$1,$A24,$M$4))</f>
        <v>11.05</v>
      </c>
      <c r="G24" s="6"/>
      <c r="H24" s="6">
        <f ca="1">IF($A24="","",[1]!s_dq_close(H$1,$A24,$M$4))</f>
        <v>11.97</v>
      </c>
      <c r="I24" s="6">
        <f ca="1">IF($A24="","",[1]!s_dq_close(I$1,$A24,$M$4))</f>
        <v>11.05</v>
      </c>
      <c r="J24" s="6">
        <f t="shared" ca="1" si="0"/>
        <v>0.91999999999999993</v>
      </c>
      <c r="S24" s="9"/>
    </row>
    <row r="25" spans="1:19">
      <c r="A25" s="2">
        <f ca="1">IF(A24="","",IF(IF(价差分析!$W$4="日",--[1]!td(A24-1),IF(价差分析!$W$4="周",--[1]!td(A24-7),--[1]!td(A24-30)))-价差分析!$T$4&gt;0,IF(价差分析!$W$4="日",--[1]!td(A24-1),IF(价差分析!$W$4="周",--[1]!td(A24-7),--[1]!td(A24-30))),""))</f>
        <v>45233</v>
      </c>
      <c r="B25" s="6">
        <f ca="1">IF($A25="","",[1]!s_dq_close(B$1,$A25,$M$4))</f>
        <v>11.27</v>
      </c>
      <c r="C25" s="6">
        <f ca="1">IF($A25="","",[1]!s_dq_close(C$1,$A25,$M$4))</f>
        <v>10.8</v>
      </c>
      <c r="D25" s="6">
        <f ca="1">IF($A25="","",[1]!s_dq_close(D$1,$A25,$M$4))</f>
        <v>22.3</v>
      </c>
      <c r="E25" s="6">
        <f ca="1">IF($A25="","",[1]!s_dq_close(E$1,$A25,$M$4))</f>
        <v>5.0199999999999996</v>
      </c>
      <c r="F25" s="6">
        <f ca="1">IF($A25="","",[1]!s_dq_close(F$1,$A25,$M$4))</f>
        <v>10.77</v>
      </c>
      <c r="G25" s="6"/>
      <c r="H25" s="6">
        <f ca="1">IF($A25="","",[1]!s_dq_close(H$1,$A25,$M$4))</f>
        <v>11.27</v>
      </c>
      <c r="I25" s="6">
        <f ca="1">IF($A25="","",[1]!s_dq_close(I$1,$A25,$M$4))</f>
        <v>10.77</v>
      </c>
      <c r="J25" s="6">
        <f t="shared" ca="1" si="0"/>
        <v>0.5</v>
      </c>
      <c r="S25" s="9"/>
    </row>
    <row r="26" spans="1:19">
      <c r="A26" s="2">
        <f ca="1">IF(A25="","",IF(IF(价差分析!$W$4="日",--[1]!td(A25-1),IF(价差分析!$W$4="周",--[1]!td(A25-7),--[1]!td(A25-30)))-价差分析!$T$4&gt;0,IF(价差分析!$W$4="日",--[1]!td(A25-1),IF(价差分析!$W$4="周",--[1]!td(A25-7),--[1]!td(A25-30))),""))</f>
        <v>45232</v>
      </c>
      <c r="B26" s="6">
        <f ca="1">IF($A26="","",[1]!s_dq_close(B$1,$A26,$M$4))</f>
        <v>11.22</v>
      </c>
      <c r="C26" s="6">
        <f ca="1">IF($A26="","",[1]!s_dq_close(C$1,$A26,$M$4))</f>
        <v>10.89</v>
      </c>
      <c r="D26" s="6">
        <f ca="1">IF($A26="","",[1]!s_dq_close(D$1,$A26,$M$4))</f>
        <v>22.24</v>
      </c>
      <c r="E26" s="6">
        <f ca="1">IF($A26="","",[1]!s_dq_close(E$1,$A26,$M$4))</f>
        <v>5.0199999999999996</v>
      </c>
      <c r="F26" s="6">
        <f ca="1">IF($A26="","",[1]!s_dq_close(F$1,$A26,$M$4))</f>
        <v>10.86</v>
      </c>
      <c r="G26" s="6"/>
      <c r="H26" s="6">
        <f ca="1">IF($A26="","",[1]!s_dq_close(H$1,$A26,$M$4))</f>
        <v>11.22</v>
      </c>
      <c r="I26" s="6">
        <f ca="1">IF($A26="","",[1]!s_dq_close(I$1,$A26,$M$4))</f>
        <v>10.86</v>
      </c>
      <c r="J26" s="6">
        <f t="shared" ca="1" si="0"/>
        <v>0.36000000000000121</v>
      </c>
      <c r="S26" s="9"/>
    </row>
    <row r="27" spans="1:19">
      <c r="A27" s="2">
        <f ca="1">IF(A26="","",IF(IF(价差分析!$W$4="日",--[1]!td(A26-1),IF(价差分析!$W$4="周",--[1]!td(A26-7),--[1]!td(A26-30)))-价差分析!$T$4&gt;0,IF(价差分析!$W$4="日",--[1]!td(A26-1),IF(价差分析!$W$4="周",--[1]!td(A26-7),--[1]!td(A26-30))),""))</f>
        <v>45231</v>
      </c>
      <c r="B27" s="6">
        <f ca="1">IF($A27="","",[1]!s_dq_close(B$1,$A27,$M$4))</f>
        <v>11.34</v>
      </c>
      <c r="C27" s="6">
        <f ca="1">IF($A27="","",[1]!s_dq_close(C$1,$A27,$M$4))</f>
        <v>10.94</v>
      </c>
      <c r="D27" s="6">
        <f ca="1">IF($A27="","",[1]!s_dq_close(D$1,$A27,$M$4))</f>
        <v>22.47</v>
      </c>
      <c r="E27" s="6">
        <f ca="1">IF($A27="","",[1]!s_dq_close(E$1,$A27,$M$4))</f>
        <v>5.08</v>
      </c>
      <c r="F27" s="6">
        <f ca="1">IF($A27="","",[1]!s_dq_close(F$1,$A27,$M$4))</f>
        <v>11</v>
      </c>
      <c r="G27" s="6"/>
      <c r="H27" s="6">
        <f ca="1">IF($A27="","",[1]!s_dq_close(H$1,$A27,$M$4))</f>
        <v>11.34</v>
      </c>
      <c r="I27" s="6">
        <f ca="1">IF($A27="","",[1]!s_dq_close(I$1,$A27,$M$4))</f>
        <v>11</v>
      </c>
      <c r="J27" s="6">
        <f t="shared" ca="1" si="0"/>
        <v>0.33999999999999986</v>
      </c>
      <c r="S27" s="9"/>
    </row>
    <row r="28" spans="1:19">
      <c r="A28" s="2">
        <f ca="1">IF(A27="","",IF(IF(价差分析!$W$4="日",--[1]!td(A27-1),IF(价差分析!$W$4="周",--[1]!td(A27-7),--[1]!td(A27-30)))-价差分析!$T$4&gt;0,IF(价差分析!$W$4="日",--[1]!td(A27-1),IF(价差分析!$W$4="周",--[1]!td(A27-7),--[1]!td(A27-30))),""))</f>
        <v>45230</v>
      </c>
      <c r="B28" s="6">
        <f ca="1">IF($A28="","",[1]!s_dq_close(B$1,$A28,$M$4))</f>
        <v>11.33</v>
      </c>
      <c r="C28" s="6">
        <f ca="1">IF($A28="","",[1]!s_dq_close(C$1,$A28,$M$4))</f>
        <v>11.02</v>
      </c>
      <c r="D28" s="6">
        <f ca="1">IF($A28="","",[1]!s_dq_close(D$1,$A28,$M$4))</f>
        <v>23.95</v>
      </c>
      <c r="E28" s="6">
        <f ca="1">IF($A28="","",[1]!s_dq_close(E$1,$A28,$M$4))</f>
        <v>5.17</v>
      </c>
      <c r="F28" s="6">
        <f ca="1">IF($A28="","",[1]!s_dq_close(F$1,$A28,$M$4))</f>
        <v>11.04</v>
      </c>
      <c r="G28" s="6"/>
      <c r="H28" s="6">
        <f ca="1">IF($A28="","",[1]!s_dq_close(H$1,$A28,$M$4))</f>
        <v>11.33</v>
      </c>
      <c r="I28" s="6">
        <f ca="1">IF($A28="","",[1]!s_dq_close(I$1,$A28,$M$4))</f>
        <v>11.04</v>
      </c>
      <c r="J28" s="6">
        <f t="shared" ca="1" si="0"/>
        <v>0.29000000000000092</v>
      </c>
      <c r="S28" s="9"/>
    </row>
    <row r="29" spans="1:19">
      <c r="A29" s="2">
        <f ca="1">IF(A28="","",IF(IF(价差分析!$W$4="日",--[1]!td(A28-1),IF(价差分析!$W$4="周",--[1]!td(A28-7),--[1]!td(A28-30)))-价差分析!$T$4&gt;0,IF(价差分析!$W$4="日",--[1]!td(A28-1),IF(价差分析!$W$4="周",--[1]!td(A28-7),--[1]!td(A28-30))),""))</f>
        <v>45229</v>
      </c>
      <c r="B29" s="6">
        <f ca="1">IF($A29="","",[1]!s_dq_close(B$1,$A29,$M$4))</f>
        <v>11.6</v>
      </c>
      <c r="C29" s="6">
        <f ca="1">IF($A29="","",[1]!s_dq_close(C$1,$A29,$M$4))</f>
        <v>10.9</v>
      </c>
      <c r="D29" s="6">
        <f ca="1">IF($A29="","",[1]!s_dq_close(D$1,$A29,$M$4))</f>
        <v>23.33</v>
      </c>
      <c r="E29" s="6">
        <f ca="1">IF($A29="","",[1]!s_dq_close(E$1,$A29,$M$4))</f>
        <v>5.46</v>
      </c>
      <c r="F29" s="6">
        <f ca="1">IF($A29="","",[1]!s_dq_close(F$1,$A29,$M$4))</f>
        <v>10.88</v>
      </c>
      <c r="G29" s="6"/>
      <c r="H29" s="6">
        <f ca="1">IF($A29="","",[1]!s_dq_close(H$1,$A29,$M$4))</f>
        <v>11.6</v>
      </c>
      <c r="I29" s="6">
        <f ca="1">IF($A29="","",[1]!s_dq_close(I$1,$A29,$M$4))</f>
        <v>10.88</v>
      </c>
      <c r="J29" s="6">
        <f t="shared" ca="1" si="0"/>
        <v>0.71999999999999886</v>
      </c>
      <c r="S29" s="9"/>
    </row>
    <row r="30" spans="1:19">
      <c r="A30" s="2">
        <f ca="1">IF(A29="","",IF(IF(价差分析!$W$4="日",--[1]!td(A29-1),IF(价差分析!$W$4="周",--[1]!td(A29-7),--[1]!td(A29-30)))-价差分析!$T$4&gt;0,IF(价差分析!$W$4="日",--[1]!td(A29-1),IF(价差分析!$W$4="周",--[1]!td(A29-7),--[1]!td(A29-30))),""))</f>
        <v>45226</v>
      </c>
      <c r="B30" s="6">
        <f ca="1">IF($A30="","",[1]!s_dq_close(B$1,$A30,$M$4))</f>
        <v>11.63</v>
      </c>
      <c r="C30" s="6">
        <f ca="1">IF($A30="","",[1]!s_dq_close(C$1,$A30,$M$4))</f>
        <v>11.23</v>
      </c>
      <c r="D30" s="6">
        <f ca="1">IF($A30="","",[1]!s_dq_close(D$1,$A30,$M$4))</f>
        <v>23.69</v>
      </c>
      <c r="E30" s="6">
        <f ca="1">IF($A30="","",[1]!s_dq_close(E$1,$A30,$M$4))</f>
        <v>5.52</v>
      </c>
      <c r="F30" s="6">
        <f ca="1">IF($A30="","",[1]!s_dq_close(F$1,$A30,$M$4))</f>
        <v>11.23</v>
      </c>
      <c r="G30" s="6"/>
      <c r="H30" s="6">
        <f ca="1">IF($A30="","",[1]!s_dq_close(H$1,$A30,$M$4))</f>
        <v>11.63</v>
      </c>
      <c r="I30" s="6">
        <f ca="1">IF($A30="","",[1]!s_dq_close(I$1,$A30,$M$4))</f>
        <v>11.23</v>
      </c>
      <c r="J30" s="6">
        <f t="shared" ca="1" si="0"/>
        <v>0.40000000000000036</v>
      </c>
      <c r="S30" s="9"/>
    </row>
    <row r="31" spans="1:19">
      <c r="A31" s="2">
        <f ca="1">IF(A30="","",IF(IF(价差分析!$W$4="日",--[1]!td(A30-1),IF(价差分析!$W$4="周",--[1]!td(A30-7),--[1]!td(A30-30)))-价差分析!$T$4&gt;0,IF(价差分析!$W$4="日",--[1]!td(A30-1),IF(价差分析!$W$4="周",--[1]!td(A30-7),--[1]!td(A30-30))),""))</f>
        <v>45225</v>
      </c>
      <c r="B31" s="6">
        <f ca="1">IF($A31="","",[1]!s_dq_close(B$1,$A31,$M$4))</f>
        <v>11.57</v>
      </c>
      <c r="C31" s="6">
        <f ca="1">IF($A31="","",[1]!s_dq_close(C$1,$A31,$M$4))</f>
        <v>11.24</v>
      </c>
      <c r="D31" s="6">
        <f ca="1">IF($A31="","",[1]!s_dq_close(D$1,$A31,$M$4))</f>
        <v>21.54</v>
      </c>
      <c r="E31" s="6">
        <f ca="1">IF($A31="","",[1]!s_dq_close(E$1,$A31,$M$4))</f>
        <v>5.42</v>
      </c>
      <c r="F31" s="6">
        <f ca="1">IF($A31="","",[1]!s_dq_close(F$1,$A31,$M$4))</f>
        <v>11.42</v>
      </c>
      <c r="G31" s="6"/>
      <c r="H31" s="6">
        <f ca="1">IF($A31="","",[1]!s_dq_close(H$1,$A31,$M$4))</f>
        <v>11.57</v>
      </c>
      <c r="I31" s="6">
        <f ca="1">IF($A31="","",[1]!s_dq_close(I$1,$A31,$M$4))</f>
        <v>11.42</v>
      </c>
      <c r="J31" s="6">
        <f t="shared" ca="1" si="0"/>
        <v>0.15000000000000036</v>
      </c>
      <c r="S31" s="9"/>
    </row>
    <row r="32" spans="1:19">
      <c r="A32" s="2">
        <f ca="1">IF(A31="","",IF(IF(价差分析!$W$4="日",--[1]!td(A31-1),IF(价差分析!$W$4="周",--[1]!td(A31-7),--[1]!td(A31-30)))-价差分析!$T$4&gt;0,IF(价差分析!$W$4="日",--[1]!td(A31-1),IF(价差分析!$W$4="周",--[1]!td(A31-7),--[1]!td(A31-30))),""))</f>
        <v>45224</v>
      </c>
      <c r="B32" s="6">
        <f ca="1">IF($A32="","",[1]!s_dq_close(B$1,$A32,$M$4))</f>
        <v>11.7</v>
      </c>
      <c r="C32" s="6">
        <f ca="1">IF($A32="","",[1]!s_dq_close(C$1,$A32,$M$4))</f>
        <v>11.39</v>
      </c>
      <c r="D32" s="6">
        <f ca="1">IF($A32="","",[1]!s_dq_close(D$1,$A32,$M$4))</f>
        <v>22.36</v>
      </c>
      <c r="E32" s="6">
        <f ca="1">IF($A32="","",[1]!s_dq_close(E$1,$A32,$M$4))</f>
        <v>5.5</v>
      </c>
      <c r="F32" s="6">
        <f ca="1">IF($A32="","",[1]!s_dq_close(F$1,$A32,$M$4))</f>
        <v>11.59</v>
      </c>
      <c r="G32" s="6"/>
      <c r="H32" s="6">
        <f ca="1">IF($A32="","",[1]!s_dq_close(H$1,$A32,$M$4))</f>
        <v>11.7</v>
      </c>
      <c r="I32" s="6">
        <f ca="1">IF($A32="","",[1]!s_dq_close(I$1,$A32,$M$4))</f>
        <v>11.59</v>
      </c>
      <c r="J32" s="6">
        <f t="shared" ca="1" si="0"/>
        <v>0.10999999999999943</v>
      </c>
      <c r="S32" s="9"/>
    </row>
    <row r="33" spans="1:19">
      <c r="A33" s="2">
        <f ca="1">IF(A32="","",IF(IF(价差分析!$W$4="日",--[1]!td(A32-1),IF(价差分析!$W$4="周",--[1]!td(A32-7),--[1]!td(A32-30)))-价差分析!$T$4&gt;0,IF(价差分析!$W$4="日",--[1]!td(A32-1),IF(价差分析!$W$4="周",--[1]!td(A32-7),--[1]!td(A32-30))),""))</f>
        <v>45223</v>
      </c>
      <c r="B33" s="6">
        <f ca="1">IF($A33="","",[1]!s_dq_close(B$1,$A33,$M$4))</f>
        <v>11.66</v>
      </c>
      <c r="C33" s="6">
        <f ca="1">IF($A33="","",[1]!s_dq_close(C$1,$A33,$M$4))</f>
        <v>11.45</v>
      </c>
      <c r="D33" s="6">
        <f ca="1">IF($A33="","",[1]!s_dq_close(D$1,$A33,$M$4))</f>
        <v>22.27</v>
      </c>
      <c r="E33" s="6">
        <f ca="1">IF($A33="","",[1]!s_dq_close(E$1,$A33,$M$4))</f>
        <v>5.5</v>
      </c>
      <c r="F33" s="6">
        <f ca="1">IF($A33="","",[1]!s_dq_close(F$1,$A33,$M$4))</f>
        <v>11.97</v>
      </c>
      <c r="G33" s="6"/>
      <c r="H33" s="6">
        <f ca="1">IF($A33="","",[1]!s_dq_close(H$1,$A33,$M$4))</f>
        <v>11.66</v>
      </c>
      <c r="I33" s="6">
        <f ca="1">IF($A33="","",[1]!s_dq_close(I$1,$A33,$M$4))</f>
        <v>11.97</v>
      </c>
      <c r="J33" s="6">
        <f t="shared" ca="1" si="0"/>
        <v>-0.3100000000000005</v>
      </c>
      <c r="S33" s="9"/>
    </row>
    <row r="34" spans="1:19">
      <c r="A34" s="2">
        <f ca="1">IF(A33="","",IF(IF(价差分析!$W$4="日",--[1]!td(A33-1),IF(价差分析!$W$4="周",--[1]!td(A33-7),--[1]!td(A33-30)))-价差分析!$T$4&gt;0,IF(价差分析!$W$4="日",--[1]!td(A33-1),IF(价差分析!$W$4="周",--[1]!td(A33-7),--[1]!td(A33-30))),""))</f>
        <v>45222</v>
      </c>
      <c r="B34" s="6">
        <f ca="1">IF($A34="","",[1]!s_dq_close(B$1,$A34,$M$4))</f>
        <v>11.62</v>
      </c>
      <c r="C34" s="6">
        <f ca="1">IF($A34="","",[1]!s_dq_close(C$1,$A34,$M$4))</f>
        <v>11.41</v>
      </c>
      <c r="D34" s="6">
        <f ca="1">IF($A34="","",[1]!s_dq_close(D$1,$A34,$M$4))</f>
        <v>21.92</v>
      </c>
      <c r="E34" s="6">
        <f ca="1">IF($A34="","",[1]!s_dq_close(E$1,$A34,$M$4))</f>
        <v>5.35</v>
      </c>
      <c r="F34" s="6">
        <f ca="1">IF($A34="","",[1]!s_dq_close(F$1,$A34,$M$4))</f>
        <v>11.64</v>
      </c>
      <c r="G34" s="6"/>
      <c r="H34" s="6">
        <f ca="1">IF($A34="","",[1]!s_dq_close(H$1,$A34,$M$4))</f>
        <v>11.62</v>
      </c>
      <c r="I34" s="6">
        <f ca="1">IF($A34="","",[1]!s_dq_close(I$1,$A34,$M$4))</f>
        <v>11.64</v>
      </c>
      <c r="J34" s="6">
        <f t="shared" ca="1" si="0"/>
        <v>-2.000000000000135E-2</v>
      </c>
      <c r="S34" s="9"/>
    </row>
    <row r="35" spans="1:19">
      <c r="A35" s="2">
        <f ca="1">IF(A34="","",IF(IF(价差分析!$W$4="日",--[1]!td(A34-1),IF(价差分析!$W$4="周",--[1]!td(A34-7),--[1]!td(A34-30)))-价差分析!$T$4&gt;0,IF(价差分析!$W$4="日",--[1]!td(A34-1),IF(价差分析!$W$4="周",--[1]!td(A34-7),--[1]!td(A34-30))),""))</f>
        <v>45219</v>
      </c>
      <c r="B35" s="6">
        <f ca="1">IF($A35="","",[1]!s_dq_close(B$1,$A35,$M$4))</f>
        <v>11.66</v>
      </c>
      <c r="C35" s="6">
        <f ca="1">IF($A35="","",[1]!s_dq_close(C$1,$A35,$M$4))</f>
        <v>11.53</v>
      </c>
      <c r="D35" s="6">
        <f ca="1">IF($A35="","",[1]!s_dq_close(D$1,$A35,$M$4))</f>
        <v>24.35</v>
      </c>
      <c r="E35" s="6">
        <f ca="1">IF($A35="","",[1]!s_dq_close(E$1,$A35,$M$4))</f>
        <v>5.43</v>
      </c>
      <c r="F35" s="6">
        <f ca="1">IF($A35="","",[1]!s_dq_close(F$1,$A35,$M$4))</f>
        <v>11.78</v>
      </c>
      <c r="G35" s="6"/>
      <c r="H35" s="6">
        <f ca="1">IF($A35="","",[1]!s_dq_close(H$1,$A35,$M$4))</f>
        <v>11.66</v>
      </c>
      <c r="I35" s="6">
        <f ca="1">IF($A35="","",[1]!s_dq_close(I$1,$A35,$M$4))</f>
        <v>11.78</v>
      </c>
      <c r="J35" s="6">
        <f t="shared" ca="1" si="0"/>
        <v>-0.11999999999999922</v>
      </c>
      <c r="S35" s="9"/>
    </row>
    <row r="36" spans="1:19">
      <c r="A36" s="2">
        <f ca="1">IF(A35="","",IF(IF(价差分析!$W$4="日",--[1]!td(A35-1),IF(价差分析!$W$4="周",--[1]!td(A35-7),--[1]!td(A35-30)))-价差分析!$T$4&gt;0,IF(价差分析!$W$4="日",--[1]!td(A35-1),IF(价差分析!$W$4="周",--[1]!td(A35-7),--[1]!td(A35-30))),""))</f>
        <v>45218</v>
      </c>
      <c r="B36" s="6">
        <f ca="1">IF($A36="","",[1]!s_dq_close(B$1,$A36,$M$4))</f>
        <v>11.46</v>
      </c>
      <c r="C36" s="6">
        <f ca="1">IF($A36="","",[1]!s_dq_close(C$1,$A36,$M$4))</f>
        <v>11.63</v>
      </c>
      <c r="D36" s="6">
        <f ca="1">IF($A36="","",[1]!s_dq_close(D$1,$A36,$M$4))</f>
        <v>27.05</v>
      </c>
      <c r="E36" s="6">
        <f ca="1">IF($A36="","",[1]!s_dq_close(E$1,$A36,$M$4))</f>
        <v>5.38</v>
      </c>
      <c r="F36" s="6">
        <f ca="1">IF($A36="","",[1]!s_dq_close(F$1,$A36,$M$4))</f>
        <v>11.67</v>
      </c>
      <c r="G36" s="6"/>
      <c r="H36" s="6">
        <f ca="1">IF($A36="","",[1]!s_dq_close(H$1,$A36,$M$4))</f>
        <v>11.46</v>
      </c>
      <c r="I36" s="6">
        <f ca="1">IF($A36="","",[1]!s_dq_close(I$1,$A36,$M$4))</f>
        <v>11.67</v>
      </c>
      <c r="J36" s="6">
        <f t="shared" ca="1" si="0"/>
        <v>-0.20999999999999908</v>
      </c>
      <c r="S36" s="9"/>
    </row>
    <row r="37" spans="1:19">
      <c r="A37" s="2">
        <f ca="1">IF(A36="","",IF(IF(价差分析!$W$4="日",--[1]!td(A36-1),IF(价差分析!$W$4="周",--[1]!td(A36-7),--[1]!td(A36-30)))-价差分析!$T$4&gt;0,IF(价差分析!$W$4="日",--[1]!td(A36-1),IF(价差分析!$W$4="周",--[1]!td(A36-7),--[1]!td(A36-30))),""))</f>
        <v>45217</v>
      </c>
      <c r="B37" s="6">
        <f ca="1">IF($A37="","",[1]!s_dq_close(B$1,$A37,$M$4))</f>
        <v>11.71</v>
      </c>
      <c r="C37" s="6">
        <f ca="1">IF($A37="","",[1]!s_dq_close(C$1,$A37,$M$4))</f>
        <v>11.98</v>
      </c>
      <c r="D37" s="6">
        <f ca="1">IF($A37="","",[1]!s_dq_close(D$1,$A37,$M$4))</f>
        <v>26.51</v>
      </c>
      <c r="E37" s="6">
        <f ca="1">IF($A37="","",[1]!s_dq_close(E$1,$A37,$M$4))</f>
        <v>5.4</v>
      </c>
      <c r="F37" s="6">
        <f ca="1">IF($A37="","",[1]!s_dq_close(F$1,$A37,$M$4))</f>
        <v>11.97</v>
      </c>
      <c r="G37" s="6"/>
      <c r="H37" s="6">
        <f ca="1">IF($A37="","",[1]!s_dq_close(H$1,$A37,$M$4))</f>
        <v>11.71</v>
      </c>
      <c r="I37" s="6">
        <f ca="1">IF($A37="","",[1]!s_dq_close(I$1,$A37,$M$4))</f>
        <v>11.97</v>
      </c>
      <c r="J37" s="6">
        <f t="shared" ca="1" si="0"/>
        <v>-0.25999999999999979</v>
      </c>
      <c r="S37" s="9"/>
    </row>
    <row r="38" spans="1:19">
      <c r="A38" s="2">
        <f ca="1">IF(A37="","",IF(IF(价差分析!$W$4="日",--[1]!td(A37-1),IF(价差分析!$W$4="周",--[1]!td(A37-7),--[1]!td(A37-30)))-价差分析!$T$4&gt;0,IF(价差分析!$W$4="日",--[1]!td(A37-1),IF(价差分析!$W$4="周",--[1]!td(A37-7),--[1]!td(A37-30))),""))</f>
        <v>45216</v>
      </c>
      <c r="B38" s="6">
        <f ca="1">IF($A38="","",[1]!s_dq_close(B$1,$A38,$M$4))</f>
        <v>11.98</v>
      </c>
      <c r="C38" s="6">
        <f ca="1">IF($A38="","",[1]!s_dq_close(C$1,$A38,$M$4))</f>
        <v>12.02</v>
      </c>
      <c r="D38" s="6">
        <f ca="1">IF($A38="","",[1]!s_dq_close(D$1,$A38,$M$4))</f>
        <v>26.68</v>
      </c>
      <c r="E38" s="6">
        <f ca="1">IF($A38="","",[1]!s_dq_close(E$1,$A38,$M$4))</f>
        <v>5.52</v>
      </c>
      <c r="F38" s="6">
        <f ca="1">IF($A38="","",[1]!s_dq_close(F$1,$A38,$M$4))</f>
        <v>12.02</v>
      </c>
      <c r="G38" s="6"/>
      <c r="H38" s="6">
        <f ca="1">IF($A38="","",[1]!s_dq_close(H$1,$A38,$M$4))</f>
        <v>11.98</v>
      </c>
      <c r="I38" s="6">
        <f ca="1">IF($A38="","",[1]!s_dq_close(I$1,$A38,$M$4))</f>
        <v>12.02</v>
      </c>
      <c r="J38" s="6">
        <f t="shared" ca="1" si="0"/>
        <v>-3.9999999999999147E-2</v>
      </c>
      <c r="S38" s="9"/>
    </row>
    <row r="39" spans="1:19">
      <c r="A39" s="2">
        <f ca="1">IF(A38="","",IF(IF(价差分析!$W$4="日",--[1]!td(A38-1),IF(价差分析!$W$4="周",--[1]!td(A38-7),--[1]!td(A38-30)))-价差分析!$T$4&gt;0,IF(价差分析!$W$4="日",--[1]!td(A38-1),IF(价差分析!$W$4="周",--[1]!td(A38-7),--[1]!td(A38-30))),""))</f>
        <v>45215</v>
      </c>
      <c r="B39" s="6">
        <f ca="1">IF($A39="","",[1]!s_dq_close(B$1,$A39,$M$4))</f>
        <v>12.21</v>
      </c>
      <c r="C39" s="6">
        <f ca="1">IF($A39="","",[1]!s_dq_close(C$1,$A39,$M$4))</f>
        <v>12.1</v>
      </c>
      <c r="D39" s="6">
        <f ca="1">IF($A39="","",[1]!s_dq_close(D$1,$A39,$M$4))</f>
        <v>25.59</v>
      </c>
      <c r="E39" s="6">
        <f ca="1">IF($A39="","",[1]!s_dq_close(E$1,$A39,$M$4))</f>
        <v>6.13</v>
      </c>
      <c r="F39" s="6">
        <f ca="1">IF($A39="","",[1]!s_dq_close(F$1,$A39,$M$4))</f>
        <v>12.03</v>
      </c>
      <c r="G39" s="6"/>
      <c r="H39" s="6">
        <f ca="1">IF($A39="","",[1]!s_dq_close(H$1,$A39,$M$4))</f>
        <v>12.21</v>
      </c>
      <c r="I39" s="6">
        <f ca="1">IF($A39="","",[1]!s_dq_close(I$1,$A39,$M$4))</f>
        <v>12.03</v>
      </c>
      <c r="J39" s="6">
        <f t="shared" ca="1" si="0"/>
        <v>0.18000000000000149</v>
      </c>
      <c r="S39" s="9"/>
    </row>
    <row r="40" spans="1:19">
      <c r="A40" s="2">
        <f ca="1">IF(A39="","",IF(IF(价差分析!$W$4="日",--[1]!td(A39-1),IF(价差分析!$W$4="周",--[1]!td(A39-7),--[1]!td(A39-30)))-价差分析!$T$4&gt;0,IF(价差分析!$W$4="日",--[1]!td(A39-1),IF(价差分析!$W$4="周",--[1]!td(A39-7),--[1]!td(A39-30))),""))</f>
        <v>45212</v>
      </c>
      <c r="B40" s="6">
        <f ca="1">IF($A40="","",[1]!s_dq_close(B$1,$A40,$M$4))</f>
        <v>12.59</v>
      </c>
      <c r="C40" s="6">
        <f ca="1">IF($A40="","",[1]!s_dq_close(C$1,$A40,$M$4))</f>
        <v>12.45</v>
      </c>
      <c r="D40" s="6">
        <f ca="1">IF($A40="","",[1]!s_dq_close(D$1,$A40,$M$4))</f>
        <v>26.71</v>
      </c>
      <c r="E40" s="6">
        <f ca="1">IF($A40="","",[1]!s_dq_close(E$1,$A40,$M$4))</f>
        <v>6.27</v>
      </c>
      <c r="F40" s="6">
        <f ca="1">IF($A40="","",[1]!s_dq_close(F$1,$A40,$M$4))</f>
        <v>12.23</v>
      </c>
      <c r="G40" s="6"/>
      <c r="H40" s="6">
        <f ca="1">IF($A40="","",[1]!s_dq_close(H$1,$A40,$M$4))</f>
        <v>12.59</v>
      </c>
      <c r="I40" s="6">
        <f ca="1">IF($A40="","",[1]!s_dq_close(I$1,$A40,$M$4))</f>
        <v>12.23</v>
      </c>
      <c r="J40" s="6">
        <f t="shared" ca="1" si="0"/>
        <v>0.35999999999999943</v>
      </c>
      <c r="S40" s="9"/>
    </row>
    <row r="41" spans="1:19">
      <c r="A41" s="2">
        <f ca="1">IF(A40="","",IF(IF(价差分析!$W$4="日",--[1]!td(A40-1),IF(价差分析!$W$4="周",--[1]!td(A40-7),--[1]!td(A40-30)))-价差分析!$T$4&gt;0,IF(价差分析!$W$4="日",--[1]!td(A40-1),IF(价差分析!$W$4="周",--[1]!td(A40-7),--[1]!td(A40-30))),""))</f>
        <v>45211</v>
      </c>
      <c r="B41" s="6">
        <f ca="1">IF($A41="","",[1]!s_dq_close(B$1,$A41,$M$4))</f>
        <v>12.84</v>
      </c>
      <c r="C41" s="6">
        <f ca="1">IF($A41="","",[1]!s_dq_close(C$1,$A41,$M$4))</f>
        <v>12.56</v>
      </c>
      <c r="D41" s="6">
        <f ca="1">IF($A41="","",[1]!s_dq_close(D$1,$A41,$M$4))</f>
        <v>25.1</v>
      </c>
      <c r="E41" s="6">
        <f ca="1">IF($A41="","",[1]!s_dq_close(E$1,$A41,$M$4))</f>
        <v>6.43</v>
      </c>
      <c r="F41" s="6">
        <f ca="1">IF($A41="","",[1]!s_dq_close(F$1,$A41,$M$4))</f>
        <v>12.13</v>
      </c>
      <c r="G41" s="6"/>
      <c r="H41" s="6">
        <f ca="1">IF($A41="","",[1]!s_dq_close(H$1,$A41,$M$4))</f>
        <v>12.84</v>
      </c>
      <c r="I41" s="6">
        <f ca="1">IF($A41="","",[1]!s_dq_close(I$1,$A41,$M$4))</f>
        <v>12.13</v>
      </c>
      <c r="J41" s="6">
        <f t="shared" ca="1" si="0"/>
        <v>0.70999999999999908</v>
      </c>
      <c r="S41" s="9"/>
    </row>
    <row r="42" spans="1:19">
      <c r="A42" s="2">
        <f ca="1">IF(A41="","",IF(IF(价差分析!$W$4="日",--[1]!td(A41-1),IF(价差分析!$W$4="周",--[1]!td(A41-7),--[1]!td(A41-30)))-价差分析!$T$4&gt;0,IF(价差分析!$W$4="日",--[1]!td(A41-1),IF(价差分析!$W$4="周",--[1]!td(A41-7),--[1]!td(A41-30))),""))</f>
        <v>45210</v>
      </c>
      <c r="B42" s="6">
        <f ca="1">IF($A42="","",[1]!s_dq_close(B$1,$A42,$M$4))</f>
        <v>12.77</v>
      </c>
      <c r="C42" s="6">
        <f ca="1">IF($A42="","",[1]!s_dq_close(C$1,$A42,$M$4))</f>
        <v>12.42</v>
      </c>
      <c r="D42" s="6">
        <f ca="1">IF($A42="","",[1]!s_dq_close(D$1,$A42,$M$4))</f>
        <v>26.26</v>
      </c>
      <c r="E42" s="6">
        <f ca="1">IF($A42="","",[1]!s_dq_close(E$1,$A42,$M$4))</f>
        <v>6.38</v>
      </c>
      <c r="F42" s="6">
        <f ca="1">IF($A42="","",[1]!s_dq_close(F$1,$A42,$M$4))</f>
        <v>11.95</v>
      </c>
      <c r="G42" s="6"/>
      <c r="H42" s="6">
        <f ca="1">IF($A42="","",[1]!s_dq_close(H$1,$A42,$M$4))</f>
        <v>12.77</v>
      </c>
      <c r="I42" s="6">
        <f ca="1">IF($A42="","",[1]!s_dq_close(I$1,$A42,$M$4))</f>
        <v>11.95</v>
      </c>
      <c r="J42" s="6">
        <f t="shared" ca="1" si="0"/>
        <v>0.82000000000000028</v>
      </c>
      <c r="S42" s="9"/>
    </row>
    <row r="43" spans="1:19">
      <c r="A43" s="2">
        <f ca="1">IF(A42="","",IF(IF(价差分析!$W$4="日",--[1]!td(A42-1),IF(价差分析!$W$4="周",--[1]!td(A42-7),--[1]!td(A42-30)))-价差分析!$T$4&gt;0,IF(价差分析!$W$4="日",--[1]!td(A42-1),IF(价差分析!$W$4="周",--[1]!td(A42-7),--[1]!td(A42-30))),""))</f>
        <v>45209</v>
      </c>
      <c r="B43" s="6">
        <f ca="1">IF($A43="","",[1]!s_dq_close(B$1,$A43,$M$4))</f>
        <v>12.82</v>
      </c>
      <c r="C43" s="6">
        <f ca="1">IF($A43="","",[1]!s_dq_close(C$1,$A43,$M$4))</f>
        <v>12.49</v>
      </c>
      <c r="D43" s="6">
        <f ca="1">IF($A43="","",[1]!s_dq_close(D$1,$A43,$M$4))</f>
        <v>23.87</v>
      </c>
      <c r="E43" s="6">
        <f ca="1">IF($A43="","",[1]!s_dq_close(E$1,$A43,$M$4))</f>
        <v>6.48</v>
      </c>
      <c r="F43" s="6">
        <f ca="1">IF($A43="","",[1]!s_dq_close(F$1,$A43,$M$4))</f>
        <v>12.02</v>
      </c>
      <c r="G43" s="6"/>
      <c r="H43" s="6">
        <f ca="1">IF($A43="","",[1]!s_dq_close(H$1,$A43,$M$4))</f>
        <v>12.82</v>
      </c>
      <c r="I43" s="6">
        <f ca="1">IF($A43="","",[1]!s_dq_close(I$1,$A43,$M$4))</f>
        <v>12.02</v>
      </c>
      <c r="J43" s="6">
        <f t="shared" ca="1" si="0"/>
        <v>0.80000000000000071</v>
      </c>
      <c r="S43" s="9"/>
    </row>
    <row r="44" spans="1:19">
      <c r="A44" s="2">
        <f ca="1">IF(A43="","",IF(IF(价差分析!$W$4="日",--[1]!td(A43-1),IF(价差分析!$W$4="周",--[1]!td(A43-7),--[1]!td(A43-30)))-价差分析!$T$4&gt;0,IF(价差分析!$W$4="日",--[1]!td(A43-1),IF(价差分析!$W$4="周",--[1]!td(A43-7),--[1]!td(A43-30))),""))</f>
        <v>45208</v>
      </c>
      <c r="B44" s="6">
        <f ca="1">IF($A44="","",[1]!s_dq_close(B$1,$A44,$M$4))</f>
        <v>12.89</v>
      </c>
      <c r="C44" s="6">
        <f ca="1">IF($A44="","",[1]!s_dq_close(C$1,$A44,$M$4))</f>
        <v>12.57</v>
      </c>
      <c r="D44" s="6">
        <f ca="1">IF($A44="","",[1]!s_dq_close(D$1,$A44,$M$4))</f>
        <v>22.79</v>
      </c>
      <c r="E44" s="6">
        <f ca="1">IF($A44="","",[1]!s_dq_close(E$1,$A44,$M$4))</f>
        <v>6.6</v>
      </c>
      <c r="F44" s="6">
        <f ca="1">IF($A44="","",[1]!s_dq_close(F$1,$A44,$M$4))</f>
        <v>12.16</v>
      </c>
      <c r="G44" s="6"/>
      <c r="H44" s="6">
        <f ca="1">IF($A44="","",[1]!s_dq_close(H$1,$A44,$M$4))</f>
        <v>12.89</v>
      </c>
      <c r="I44" s="6">
        <f ca="1">IF($A44="","",[1]!s_dq_close(I$1,$A44,$M$4))</f>
        <v>12.16</v>
      </c>
      <c r="J44" s="6">
        <f t="shared" ca="1" si="0"/>
        <v>0.73000000000000043</v>
      </c>
      <c r="S44" s="9"/>
    </row>
    <row r="45" spans="1:19">
      <c r="A45" s="2">
        <f ca="1">IF(A44="","",IF(IF(价差分析!$W$4="日",--[1]!td(A44-1),IF(价差分析!$W$4="周",--[1]!td(A44-7),--[1]!td(A44-30)))-价差分析!$T$4&gt;0,IF(价差分析!$W$4="日",--[1]!td(A44-1),IF(价差分析!$W$4="周",--[1]!td(A44-7),--[1]!td(A44-30))),""))</f>
        <v>45197</v>
      </c>
      <c r="B45" s="6">
        <f ca="1">IF($A45="","",[1]!s_dq_close(B$1,$A45,$M$4))</f>
        <v>13.08</v>
      </c>
      <c r="C45" s="6">
        <f ca="1">IF($A45="","",[1]!s_dq_close(C$1,$A45,$M$4))</f>
        <v>12.74</v>
      </c>
      <c r="D45" s="6">
        <f ca="1">IF($A45="","",[1]!s_dq_close(D$1,$A45,$M$4))</f>
        <v>23.5</v>
      </c>
      <c r="E45" s="6">
        <f ca="1">IF($A45="","",[1]!s_dq_close(E$1,$A45,$M$4))</f>
        <v>6.82</v>
      </c>
      <c r="F45" s="6">
        <f ca="1">IF($A45="","",[1]!s_dq_close(F$1,$A45,$M$4))</f>
        <v>12.39</v>
      </c>
      <c r="G45" s="6"/>
      <c r="H45" s="6">
        <f ca="1">IF($A45="","",[1]!s_dq_close(H$1,$A45,$M$4))</f>
        <v>13.08</v>
      </c>
      <c r="I45" s="6">
        <f ca="1">IF($A45="","",[1]!s_dq_close(I$1,$A45,$M$4))</f>
        <v>12.39</v>
      </c>
      <c r="J45" s="6">
        <f t="shared" ca="1" si="0"/>
        <v>0.6899999999999995</v>
      </c>
      <c r="S45" s="9"/>
    </row>
    <row r="46" spans="1:19">
      <c r="A46" s="2">
        <f ca="1">IF(A45="","",IF(IF(价差分析!$W$4="日",--[1]!td(A45-1),IF(价差分析!$W$4="周",--[1]!td(A45-7),--[1]!td(A45-30)))-价差分析!$T$4&gt;0,IF(价差分析!$W$4="日",--[1]!td(A45-1),IF(价差分析!$W$4="周",--[1]!td(A45-7),--[1]!td(A45-30))),""))</f>
        <v>45196</v>
      </c>
      <c r="B46" s="6">
        <f ca="1">IF($A46="","",[1]!s_dq_close(B$1,$A46,$M$4))</f>
        <v>13.05</v>
      </c>
      <c r="C46" s="6">
        <f ca="1">IF($A46="","",[1]!s_dq_close(C$1,$A46,$M$4))</f>
        <v>12.78</v>
      </c>
      <c r="D46" s="6">
        <f ca="1">IF($A46="","",[1]!s_dq_close(D$1,$A46,$M$4))</f>
        <v>23.3</v>
      </c>
      <c r="E46" s="6">
        <f ca="1">IF($A46="","",[1]!s_dq_close(E$1,$A46,$M$4))</f>
        <v>6.82</v>
      </c>
      <c r="F46" s="6">
        <f ca="1">IF($A46="","",[1]!s_dq_close(F$1,$A46,$M$4))</f>
        <v>12.33</v>
      </c>
      <c r="G46" s="6"/>
      <c r="H46" s="6">
        <f ca="1">IF($A46="","",[1]!s_dq_close(H$1,$A46,$M$4))</f>
        <v>13.05</v>
      </c>
      <c r="I46" s="6">
        <f ca="1">IF($A46="","",[1]!s_dq_close(I$1,$A46,$M$4))</f>
        <v>12.33</v>
      </c>
      <c r="J46" s="6">
        <f t="shared" ca="1" si="0"/>
        <v>0.72000000000000064</v>
      </c>
      <c r="S46" s="9"/>
    </row>
    <row r="47" spans="1:19">
      <c r="A47" s="2">
        <f ca="1">IF(A46="","",IF(IF(价差分析!$W$4="日",--[1]!td(A46-1),IF(价差分析!$W$4="周",--[1]!td(A46-7),--[1]!td(A46-30)))-价差分析!$T$4&gt;0,IF(价差分析!$W$4="日",--[1]!td(A46-1),IF(价差分析!$W$4="周",--[1]!td(A46-7),--[1]!td(A46-30))),""))</f>
        <v>45195</v>
      </c>
      <c r="B47" s="6">
        <f ca="1">IF($A47="","",[1]!s_dq_close(B$1,$A47,$M$4))</f>
        <v>13.07</v>
      </c>
      <c r="C47" s="6">
        <f ca="1">IF($A47="","",[1]!s_dq_close(C$1,$A47,$M$4))</f>
        <v>12.84</v>
      </c>
      <c r="D47" s="6">
        <f ca="1">IF($A47="","",[1]!s_dq_close(D$1,$A47,$M$4))</f>
        <v>23.71</v>
      </c>
      <c r="E47" s="6">
        <f ca="1">IF($A47="","",[1]!s_dq_close(E$1,$A47,$M$4))</f>
        <v>6.83</v>
      </c>
      <c r="F47" s="6">
        <f ca="1">IF($A47="","",[1]!s_dq_close(F$1,$A47,$M$4))</f>
        <v>12.43</v>
      </c>
      <c r="G47" s="6"/>
      <c r="H47" s="6">
        <f ca="1">IF($A47="","",[1]!s_dq_close(H$1,$A47,$M$4))</f>
        <v>13.07</v>
      </c>
      <c r="I47" s="6">
        <f ca="1">IF($A47="","",[1]!s_dq_close(I$1,$A47,$M$4))</f>
        <v>12.43</v>
      </c>
      <c r="J47" s="6">
        <f t="shared" ca="1" si="0"/>
        <v>0.64000000000000057</v>
      </c>
      <c r="S47" s="9"/>
    </row>
    <row r="48" spans="1:19">
      <c r="A48" s="2">
        <f ca="1">IF(A47="","",IF(IF(价差分析!$W$4="日",--[1]!td(A47-1),IF(价差分析!$W$4="周",--[1]!td(A47-7),--[1]!td(A47-30)))-价差分析!$T$4&gt;0,IF(价差分析!$W$4="日",--[1]!td(A47-1),IF(价差分析!$W$4="周",--[1]!td(A47-7),--[1]!td(A47-30))),""))</f>
        <v>45194</v>
      </c>
      <c r="B48" s="6">
        <f ca="1">IF($A48="","",[1]!s_dq_close(B$1,$A48,$M$4))</f>
        <v>13.14</v>
      </c>
      <c r="C48" s="6">
        <f ca="1">IF($A48="","",[1]!s_dq_close(C$1,$A48,$M$4))</f>
        <v>12.9</v>
      </c>
      <c r="D48" s="6">
        <f ca="1">IF($A48="","",[1]!s_dq_close(D$1,$A48,$M$4))</f>
        <v>22.76</v>
      </c>
      <c r="E48" s="6">
        <f ca="1">IF($A48="","",[1]!s_dq_close(E$1,$A48,$M$4))</f>
        <v>6.9</v>
      </c>
      <c r="F48" s="6">
        <f ca="1">IF($A48="","",[1]!s_dq_close(F$1,$A48,$M$4))</f>
        <v>12.58</v>
      </c>
      <c r="G48" s="6"/>
      <c r="H48" s="6">
        <f ca="1">IF($A48="","",[1]!s_dq_close(H$1,$A48,$M$4))</f>
        <v>13.14</v>
      </c>
      <c r="I48" s="6">
        <f ca="1">IF($A48="","",[1]!s_dq_close(I$1,$A48,$M$4))</f>
        <v>12.58</v>
      </c>
      <c r="J48" s="6">
        <f t="shared" ca="1" si="0"/>
        <v>0.5600000000000005</v>
      </c>
      <c r="S48" s="9"/>
    </row>
    <row r="49" spans="1:19">
      <c r="A49" s="2">
        <f ca="1">IF(A48="","",IF(IF(价差分析!$W$4="日",--[1]!td(A48-1),IF(价差分析!$W$4="周",--[1]!td(A48-7),--[1]!td(A48-30)))-价差分析!$T$4&gt;0,IF(价差分析!$W$4="日",--[1]!td(A48-1),IF(价差分析!$W$4="周",--[1]!td(A48-7),--[1]!td(A48-30))),""))</f>
        <v>45191</v>
      </c>
      <c r="B49" s="6">
        <f ca="1">IF($A49="","",[1]!s_dq_close(B$1,$A49,$M$4))</f>
        <v>13.39</v>
      </c>
      <c r="C49" s="6">
        <f ca="1">IF($A49="","",[1]!s_dq_close(C$1,$A49,$M$4))</f>
        <v>13.35</v>
      </c>
      <c r="D49" s="6">
        <f ca="1">IF($A49="","",[1]!s_dq_close(D$1,$A49,$M$4))</f>
        <v>21.88</v>
      </c>
      <c r="E49" s="6">
        <f ca="1">IF($A49="","",[1]!s_dq_close(E$1,$A49,$M$4))</f>
        <v>7.16</v>
      </c>
      <c r="F49" s="6">
        <f ca="1">IF($A49="","",[1]!s_dq_close(F$1,$A49,$M$4))</f>
        <v>12.76</v>
      </c>
      <c r="G49" s="6"/>
      <c r="H49" s="6">
        <f ca="1">IF($A49="","",[1]!s_dq_close(H$1,$A49,$M$4))</f>
        <v>13.39</v>
      </c>
      <c r="I49" s="6">
        <f ca="1">IF($A49="","",[1]!s_dq_close(I$1,$A49,$M$4))</f>
        <v>12.76</v>
      </c>
      <c r="J49" s="6">
        <f t="shared" ca="1" si="0"/>
        <v>0.63000000000000078</v>
      </c>
      <c r="S49" s="9"/>
    </row>
    <row r="50" spans="1:19">
      <c r="A50" s="2">
        <f ca="1">IF(A49="","",IF(IF(价差分析!$W$4="日",--[1]!td(A49-1),IF(价差分析!$W$4="周",--[1]!td(A49-7),--[1]!td(A49-30)))-价差分析!$T$4&gt;0,IF(价差分析!$W$4="日",--[1]!td(A49-1),IF(价差分析!$W$4="周",--[1]!td(A49-7),--[1]!td(A49-30))),""))</f>
        <v>45190</v>
      </c>
      <c r="B50" s="6">
        <f ca="1">IF($A50="","",[1]!s_dq_close(B$1,$A50,$M$4))</f>
        <v>13.26</v>
      </c>
      <c r="C50" s="6">
        <f ca="1">IF($A50="","",[1]!s_dq_close(C$1,$A50,$M$4))</f>
        <v>13.26</v>
      </c>
      <c r="D50" s="6">
        <f ca="1">IF($A50="","",[1]!s_dq_close(D$1,$A50,$M$4))</f>
        <v>21.93</v>
      </c>
      <c r="E50" s="6">
        <f ca="1">IF($A50="","",[1]!s_dq_close(E$1,$A50,$M$4))</f>
        <v>7.04</v>
      </c>
      <c r="F50" s="6">
        <f ca="1">IF($A50="","",[1]!s_dq_close(F$1,$A50,$M$4))</f>
        <v>12.75</v>
      </c>
      <c r="G50" s="6"/>
      <c r="H50" s="6">
        <f ca="1">IF($A50="","",[1]!s_dq_close(H$1,$A50,$M$4))</f>
        <v>13.26</v>
      </c>
      <c r="I50" s="6">
        <f ca="1">IF($A50="","",[1]!s_dq_close(I$1,$A50,$M$4))</f>
        <v>12.75</v>
      </c>
      <c r="J50" s="6">
        <f t="shared" ca="1" si="0"/>
        <v>0.50999999999999979</v>
      </c>
      <c r="S50" s="9"/>
    </row>
    <row r="51" spans="1:19">
      <c r="A51" s="2">
        <f ca="1">IF(A50="","",IF(IF(价差分析!$W$4="日",--[1]!td(A50-1),IF(价差分析!$W$4="周",--[1]!td(A50-7),--[1]!td(A50-30)))-价差分析!$T$4&gt;0,IF(价差分析!$W$4="日",--[1]!td(A50-1),IF(价差分析!$W$4="周",--[1]!td(A50-7),--[1]!td(A50-30))),""))</f>
        <v>45189</v>
      </c>
      <c r="B51" s="6">
        <f ca="1">IF($A51="","",[1]!s_dq_close(B$1,$A51,$M$4))</f>
        <v>13.29</v>
      </c>
      <c r="C51" s="6">
        <f ca="1">IF($A51="","",[1]!s_dq_close(C$1,$A51,$M$4))</f>
        <v>13.2</v>
      </c>
      <c r="D51" s="6">
        <f ca="1">IF($A51="","",[1]!s_dq_close(D$1,$A51,$M$4))</f>
        <v>21.8</v>
      </c>
      <c r="E51" s="6">
        <f ca="1">IF($A51="","",[1]!s_dq_close(E$1,$A51,$M$4))</f>
        <v>7.1</v>
      </c>
      <c r="F51" s="6">
        <f ca="1">IF($A51="","",[1]!s_dq_close(F$1,$A51,$M$4))</f>
        <v>12.76</v>
      </c>
      <c r="G51" s="6"/>
      <c r="H51" s="6">
        <f ca="1">IF($A51="","",[1]!s_dq_close(H$1,$A51,$M$4))</f>
        <v>13.29</v>
      </c>
      <c r="I51" s="6">
        <f ca="1">IF($A51="","",[1]!s_dq_close(I$1,$A51,$M$4))</f>
        <v>12.76</v>
      </c>
      <c r="J51" s="6">
        <f t="shared" ca="1" si="0"/>
        <v>0.52999999999999936</v>
      </c>
      <c r="S51" s="9"/>
    </row>
    <row r="52" spans="1:19">
      <c r="A52" s="2">
        <f ca="1">IF(A51="","",IF(IF(价差分析!$W$4="日",--[1]!td(A51-1),IF(价差分析!$W$4="周",--[1]!td(A51-7),--[1]!td(A51-30)))-价差分析!$T$4&gt;0,IF(价差分析!$W$4="日",--[1]!td(A51-1),IF(价差分析!$W$4="周",--[1]!td(A51-7),--[1]!td(A51-30))),""))</f>
        <v>45188</v>
      </c>
      <c r="B52" s="6">
        <f ca="1">IF($A52="","",[1]!s_dq_close(B$1,$A52,$M$4))</f>
        <v>13.3</v>
      </c>
      <c r="C52" s="6">
        <f ca="1">IF($A52="","",[1]!s_dq_close(C$1,$A52,$M$4))</f>
        <v>13.09</v>
      </c>
      <c r="D52" s="6">
        <f ca="1">IF($A52="","",[1]!s_dq_close(D$1,$A52,$M$4))</f>
        <v>22.59</v>
      </c>
      <c r="E52" s="6">
        <f ca="1">IF($A52="","",[1]!s_dq_close(E$1,$A52,$M$4))</f>
        <v>7.11</v>
      </c>
      <c r="F52" s="6">
        <f ca="1">IF($A52="","",[1]!s_dq_close(F$1,$A52,$M$4))</f>
        <v>12.83</v>
      </c>
      <c r="G52" s="6"/>
      <c r="H52" s="6">
        <f ca="1">IF($A52="","",[1]!s_dq_close(H$1,$A52,$M$4))</f>
        <v>13.3</v>
      </c>
      <c r="I52" s="6">
        <f ca="1">IF($A52="","",[1]!s_dq_close(I$1,$A52,$M$4))</f>
        <v>12.83</v>
      </c>
      <c r="J52" s="6">
        <f t="shared" ca="1" si="0"/>
        <v>0.47000000000000064</v>
      </c>
      <c r="S52" s="9"/>
    </row>
    <row r="53" spans="1:19">
      <c r="A53" s="2">
        <f ca="1">IF(A52="","",IF(IF(价差分析!$W$4="日",--[1]!td(A52-1),IF(价差分析!$W$4="周",--[1]!td(A52-7),--[1]!td(A52-30)))-价差分析!$T$4&gt;0,IF(价差分析!$W$4="日",--[1]!td(A52-1),IF(价差分析!$W$4="周",--[1]!td(A52-7),--[1]!td(A52-30))),""))</f>
        <v>45187</v>
      </c>
      <c r="B53" s="6">
        <f ca="1">IF($A53="","",[1]!s_dq_close(B$1,$A53,$M$4))</f>
        <v>13.31</v>
      </c>
      <c r="C53" s="6">
        <f ca="1">IF($A53="","",[1]!s_dq_close(C$1,$A53,$M$4))</f>
        <v>13.13</v>
      </c>
      <c r="D53" s="6">
        <f ca="1">IF($A53="","",[1]!s_dq_close(D$1,$A53,$M$4))</f>
        <v>23.85</v>
      </c>
      <c r="E53" s="6">
        <f ca="1">IF($A53="","",[1]!s_dq_close(E$1,$A53,$M$4))</f>
        <v>7.13</v>
      </c>
      <c r="F53" s="6">
        <f ca="1">IF($A53="","",[1]!s_dq_close(F$1,$A53,$M$4))</f>
        <v>12.71</v>
      </c>
      <c r="G53" s="6"/>
      <c r="H53" s="6">
        <f ca="1">IF($A53="","",[1]!s_dq_close(H$1,$A53,$M$4))</f>
        <v>13.31</v>
      </c>
      <c r="I53" s="6">
        <f ca="1">IF($A53="","",[1]!s_dq_close(I$1,$A53,$M$4))</f>
        <v>12.71</v>
      </c>
      <c r="J53" s="6">
        <f t="shared" ca="1" si="0"/>
        <v>0.59999999999999964</v>
      </c>
      <c r="S53" s="9"/>
    </row>
    <row r="54" spans="1:19">
      <c r="A54" s="2">
        <f ca="1">IF(A53="","",IF(IF(价差分析!$W$4="日",--[1]!td(A53-1),IF(价差分析!$W$4="周",--[1]!td(A53-7),--[1]!td(A53-30)))-价差分析!$T$4&gt;0,IF(价差分析!$W$4="日",--[1]!td(A53-1),IF(价差分析!$W$4="周",--[1]!td(A53-7),--[1]!td(A53-30))),""))</f>
        <v>45184</v>
      </c>
      <c r="B54" s="6">
        <f ca="1">IF($A54="","",[1]!s_dq_close(B$1,$A54,$M$4))</f>
        <v>13.42</v>
      </c>
      <c r="C54" s="6">
        <f ca="1">IF($A54="","",[1]!s_dq_close(C$1,$A54,$M$4))</f>
        <v>13.36</v>
      </c>
      <c r="D54" s="6">
        <f ca="1">IF($A54="","",[1]!s_dq_close(D$1,$A54,$M$4))</f>
        <v>26.22</v>
      </c>
      <c r="E54" s="6">
        <f ca="1">IF($A54="","",[1]!s_dq_close(E$1,$A54,$M$4))</f>
        <v>7.21</v>
      </c>
      <c r="F54" s="6">
        <f ca="1">IF($A54="","",[1]!s_dq_close(F$1,$A54,$M$4))</f>
        <v>12.8</v>
      </c>
      <c r="G54" s="6"/>
      <c r="H54" s="6">
        <f ca="1">IF($A54="","",[1]!s_dq_close(H$1,$A54,$M$4))</f>
        <v>13.42</v>
      </c>
      <c r="I54" s="6">
        <f ca="1">IF($A54="","",[1]!s_dq_close(I$1,$A54,$M$4))</f>
        <v>12.8</v>
      </c>
      <c r="J54" s="6">
        <f t="shared" ca="1" si="0"/>
        <v>0.61999999999999922</v>
      </c>
      <c r="S54" s="9"/>
    </row>
    <row r="55" spans="1:19">
      <c r="A55" s="2">
        <f ca="1">IF(A54="","",IF(IF(价差分析!$W$4="日",--[1]!td(A54-1),IF(价差分析!$W$4="周",--[1]!td(A54-7),--[1]!td(A54-30)))-价差分析!$T$4&gt;0,IF(价差分析!$W$4="日",--[1]!td(A54-1),IF(价差分析!$W$4="周",--[1]!td(A54-7),--[1]!td(A54-30))),""))</f>
        <v>45183</v>
      </c>
      <c r="B55" s="6">
        <f ca="1">IF($A55="","",[1]!s_dq_close(B$1,$A55,$M$4))</f>
        <v>13.51</v>
      </c>
      <c r="C55" s="6">
        <f ca="1">IF($A55="","",[1]!s_dq_close(C$1,$A55,$M$4))</f>
        <v>13.55</v>
      </c>
      <c r="D55" s="6">
        <f ca="1">IF($A55="","",[1]!s_dq_close(D$1,$A55,$M$4))</f>
        <v>23.84</v>
      </c>
      <c r="E55" s="6">
        <f ca="1">IF($A55="","",[1]!s_dq_close(E$1,$A55,$M$4))</f>
        <v>7.22</v>
      </c>
      <c r="F55" s="6">
        <f ca="1">IF($A55="","",[1]!s_dq_close(F$1,$A55,$M$4))</f>
        <v>12.97</v>
      </c>
      <c r="G55" s="6"/>
      <c r="H55" s="6">
        <f ca="1">IF($A55="","",[1]!s_dq_close(H$1,$A55,$M$4))</f>
        <v>13.51</v>
      </c>
      <c r="I55" s="6">
        <f ca="1">IF($A55="","",[1]!s_dq_close(I$1,$A55,$M$4))</f>
        <v>12.97</v>
      </c>
      <c r="J55" s="6">
        <f t="shared" ca="1" si="0"/>
        <v>0.53999999999999915</v>
      </c>
      <c r="S55" s="9"/>
    </row>
    <row r="56" spans="1:19">
      <c r="A56" s="2">
        <f ca="1">IF(A55="","",IF(IF(价差分析!$W$4="日",--[1]!td(A55-1),IF(价差分析!$W$4="周",--[1]!td(A55-7),--[1]!td(A55-30)))-价差分析!$T$4&gt;0,IF(价差分析!$W$4="日",--[1]!td(A55-1),IF(价差分析!$W$4="周",--[1]!td(A55-7),--[1]!td(A55-30))),""))</f>
        <v>45182</v>
      </c>
      <c r="B56" s="6">
        <f ca="1">IF($A56="","",[1]!s_dq_close(B$1,$A56,$M$4))</f>
        <v>13.62</v>
      </c>
      <c r="C56" s="6">
        <f ca="1">IF($A56="","",[1]!s_dq_close(C$1,$A56,$M$4))</f>
        <v>13.61</v>
      </c>
      <c r="D56" s="6">
        <f ca="1">IF($A56="","",[1]!s_dq_close(D$1,$A56,$M$4))</f>
        <v>24.75</v>
      </c>
      <c r="E56" s="6">
        <f ca="1">IF($A56="","",[1]!s_dq_close(E$1,$A56,$M$4))</f>
        <v>7.27</v>
      </c>
      <c r="F56" s="6">
        <f ca="1">IF($A56="","",[1]!s_dq_close(F$1,$A56,$M$4))</f>
        <v>13.01</v>
      </c>
      <c r="G56" s="6"/>
      <c r="H56" s="6">
        <f ca="1">IF($A56="","",[1]!s_dq_close(H$1,$A56,$M$4))</f>
        <v>13.62</v>
      </c>
      <c r="I56" s="6">
        <f ca="1">IF($A56="","",[1]!s_dq_close(I$1,$A56,$M$4))</f>
        <v>13.01</v>
      </c>
      <c r="J56" s="6">
        <f t="shared" ca="1" si="0"/>
        <v>0.60999999999999943</v>
      </c>
      <c r="S56" s="9"/>
    </row>
    <row r="57" spans="1:19">
      <c r="A57" s="2">
        <f ca="1">IF(A56="","",IF(IF(价差分析!$W$4="日",--[1]!td(A56-1),IF(价差分析!$W$4="周",--[1]!td(A56-7),--[1]!td(A56-30)))-价差分析!$T$4&gt;0,IF(价差分析!$W$4="日",--[1]!td(A56-1),IF(价差分析!$W$4="周",--[1]!td(A56-7),--[1]!td(A56-30))),""))</f>
        <v>45181</v>
      </c>
      <c r="B57" s="6">
        <f ca="1">IF($A57="","",[1]!s_dq_close(B$1,$A57,$M$4))</f>
        <v>13.65</v>
      </c>
      <c r="C57" s="6">
        <f ca="1">IF($A57="","",[1]!s_dq_close(C$1,$A57,$M$4))</f>
        <v>13.6</v>
      </c>
      <c r="D57" s="6">
        <f ca="1">IF($A57="","",[1]!s_dq_close(D$1,$A57,$M$4))</f>
        <v>24.58</v>
      </c>
      <c r="E57" s="6">
        <f ca="1">IF($A57="","",[1]!s_dq_close(E$1,$A57,$M$4))</f>
        <v>7.25</v>
      </c>
      <c r="F57" s="6">
        <f ca="1">IF($A57="","",[1]!s_dq_close(F$1,$A57,$M$4))</f>
        <v>12.99</v>
      </c>
      <c r="G57" s="6"/>
      <c r="H57" s="6">
        <f ca="1">IF($A57="","",[1]!s_dq_close(H$1,$A57,$M$4))</f>
        <v>13.65</v>
      </c>
      <c r="I57" s="6">
        <f ca="1">IF($A57="","",[1]!s_dq_close(I$1,$A57,$M$4))</f>
        <v>12.99</v>
      </c>
      <c r="J57" s="6">
        <f t="shared" ca="1" si="0"/>
        <v>0.66000000000000014</v>
      </c>
      <c r="S57" s="9"/>
    </row>
    <row r="58" spans="1:19">
      <c r="A58" s="2">
        <f ca="1">IF(A57="","",IF(IF(价差分析!$W$4="日",--[1]!td(A57-1),IF(价差分析!$W$4="周",--[1]!td(A57-7),--[1]!td(A57-30)))-价差分析!$T$4&gt;0,IF(价差分析!$W$4="日",--[1]!td(A57-1),IF(价差分析!$W$4="周",--[1]!td(A57-7),--[1]!td(A57-30))),""))</f>
        <v>45180</v>
      </c>
      <c r="B58" s="6">
        <f ca="1">IF($A58="","",[1]!s_dq_close(B$1,$A58,$M$4))</f>
        <v>13.7</v>
      </c>
      <c r="C58" s="6">
        <f ca="1">IF($A58="","",[1]!s_dq_close(C$1,$A58,$M$4))</f>
        <v>13.74</v>
      </c>
      <c r="D58" s="6">
        <f ca="1">IF($A58="","",[1]!s_dq_close(D$1,$A58,$M$4))</f>
        <v>23.74</v>
      </c>
      <c r="E58" s="6">
        <f ca="1">IF($A58="","",[1]!s_dq_close(E$1,$A58,$M$4))</f>
        <v>7.28</v>
      </c>
      <c r="F58" s="6">
        <f ca="1">IF($A58="","",[1]!s_dq_close(F$1,$A58,$M$4))</f>
        <v>13.38</v>
      </c>
      <c r="G58" s="6"/>
      <c r="H58" s="6">
        <f ca="1">IF($A58="","",[1]!s_dq_close(H$1,$A58,$M$4))</f>
        <v>13.7</v>
      </c>
      <c r="I58" s="6">
        <f ca="1">IF($A58="","",[1]!s_dq_close(I$1,$A58,$M$4))</f>
        <v>13.38</v>
      </c>
      <c r="J58" s="6">
        <f t="shared" ca="1" si="0"/>
        <v>0.31999999999999851</v>
      </c>
      <c r="S58" s="9"/>
    </row>
    <row r="59" spans="1:19">
      <c r="A59" s="2">
        <f ca="1">IF(A58="","",IF(IF(价差分析!$W$4="日",--[1]!td(A58-1),IF(价差分析!$W$4="周",--[1]!td(A58-7),--[1]!td(A58-30)))-价差分析!$T$4&gt;0,IF(价差分析!$W$4="日",--[1]!td(A58-1),IF(价差分析!$W$4="周",--[1]!td(A58-7),--[1]!td(A58-30))),""))</f>
        <v>45177</v>
      </c>
      <c r="B59" s="6">
        <f ca="1">IF($A59="","",[1]!s_dq_close(B$1,$A59,$M$4))</f>
        <v>13.91</v>
      </c>
      <c r="C59" s="6">
        <f ca="1">IF($A59="","",[1]!s_dq_close(C$1,$A59,$M$4))</f>
        <v>13.97</v>
      </c>
      <c r="D59" s="6">
        <f ca="1">IF($A59="","",[1]!s_dq_close(D$1,$A59,$M$4))</f>
        <v>21.58</v>
      </c>
      <c r="E59" s="6">
        <f ca="1">IF($A59="","",[1]!s_dq_close(E$1,$A59,$M$4))</f>
        <v>7.37</v>
      </c>
      <c r="F59" s="6">
        <f ca="1">IF($A59="","",[1]!s_dq_close(F$1,$A59,$M$4))</f>
        <v>13.78</v>
      </c>
      <c r="G59" s="6"/>
      <c r="H59" s="6">
        <f ca="1">IF($A59="","",[1]!s_dq_close(H$1,$A59,$M$4))</f>
        <v>13.91</v>
      </c>
      <c r="I59" s="6">
        <f ca="1">IF($A59="","",[1]!s_dq_close(I$1,$A59,$M$4))</f>
        <v>13.78</v>
      </c>
      <c r="J59" s="6">
        <f t="shared" ca="1" si="0"/>
        <v>0.13000000000000078</v>
      </c>
      <c r="S59" s="9"/>
    </row>
    <row r="60" spans="1:19">
      <c r="A60" s="2">
        <f ca="1">IF(A59="","",IF(IF(价差分析!$W$4="日",--[1]!td(A59-1),IF(价差分析!$W$4="周",--[1]!td(A59-7),--[1]!td(A59-30)))-价差分析!$T$4&gt;0,IF(价差分析!$W$4="日",--[1]!td(A59-1),IF(价差分析!$W$4="周",--[1]!td(A59-7),--[1]!td(A59-30))),""))</f>
        <v>45176</v>
      </c>
      <c r="B60" s="6">
        <f ca="1">IF($A60="","",[1]!s_dq_close(B$1,$A60,$M$4))</f>
        <v>14</v>
      </c>
      <c r="C60" s="6">
        <f ca="1">IF($A60="","",[1]!s_dq_close(C$1,$A60,$M$4))</f>
        <v>14.04</v>
      </c>
      <c r="D60" s="6">
        <f ca="1">IF($A60="","",[1]!s_dq_close(D$1,$A60,$M$4))</f>
        <v>19.62</v>
      </c>
      <c r="E60" s="6">
        <f ca="1">IF($A60="","",[1]!s_dq_close(E$1,$A60,$M$4))</f>
        <v>7.3</v>
      </c>
      <c r="F60" s="6">
        <f ca="1">IF($A60="","",[1]!s_dq_close(F$1,$A60,$M$4))</f>
        <v>13.72</v>
      </c>
      <c r="G60" s="6"/>
      <c r="H60" s="6">
        <f ca="1">IF($A60="","",[1]!s_dq_close(H$1,$A60,$M$4))</f>
        <v>14</v>
      </c>
      <c r="I60" s="6">
        <f ca="1">IF($A60="","",[1]!s_dq_close(I$1,$A60,$M$4))</f>
        <v>13.72</v>
      </c>
      <c r="J60" s="6">
        <f t="shared" ca="1" si="0"/>
        <v>0.27999999999999936</v>
      </c>
      <c r="S60" s="9"/>
    </row>
    <row r="61" spans="1:19">
      <c r="A61" s="2">
        <f ca="1">IF(A60="","",IF(IF(价差分析!$W$4="日",--[1]!td(A60-1),IF(价差分析!$W$4="周",--[1]!td(A60-7),--[1]!td(A60-30)))-价差分析!$T$4&gt;0,IF(价差分析!$W$4="日",--[1]!td(A60-1),IF(价差分析!$W$4="周",--[1]!td(A60-7),--[1]!td(A60-30))),""))</f>
        <v>45175</v>
      </c>
      <c r="B61" s="6">
        <f ca="1">IF($A61="","",[1]!s_dq_close(B$1,$A61,$M$4))</f>
        <v>14.17</v>
      </c>
      <c r="C61" s="6">
        <f ca="1">IF($A61="","",[1]!s_dq_close(C$1,$A61,$M$4))</f>
        <v>14.09</v>
      </c>
      <c r="D61" s="6">
        <f ca="1">IF($A61="","",[1]!s_dq_close(D$1,$A61,$M$4))</f>
        <v>17.84</v>
      </c>
      <c r="E61" s="6">
        <f ca="1">IF($A61="","",[1]!s_dq_close(E$1,$A61,$M$4))</f>
        <v>7.49</v>
      </c>
      <c r="F61" s="6">
        <f ca="1">IF($A61="","",[1]!s_dq_close(F$1,$A61,$M$4))</f>
        <v>13.85</v>
      </c>
      <c r="G61" s="6"/>
      <c r="H61" s="6">
        <f ca="1">IF($A61="","",[1]!s_dq_close(H$1,$A61,$M$4))</f>
        <v>14.17</v>
      </c>
      <c r="I61" s="6">
        <f ca="1">IF($A61="","",[1]!s_dq_close(I$1,$A61,$M$4))</f>
        <v>13.85</v>
      </c>
      <c r="J61" s="6">
        <f t="shared" ca="1" si="0"/>
        <v>0.32000000000000028</v>
      </c>
      <c r="S61" s="9"/>
    </row>
    <row r="62" spans="1:19">
      <c r="A62" s="2">
        <f ca="1">IF(A61="","",IF(IF(价差分析!$W$4="日",--[1]!td(A61-1),IF(价差分析!$W$4="周",--[1]!td(A61-7),--[1]!td(A61-30)))-价差分析!$T$4&gt;0,IF(价差分析!$W$4="日",--[1]!td(A61-1),IF(价差分析!$W$4="周",--[1]!td(A61-7),--[1]!td(A61-30))),""))</f>
        <v>45174</v>
      </c>
      <c r="B62" s="6">
        <f ca="1">IF($A62="","",[1]!s_dq_close(B$1,$A62,$M$4))</f>
        <v>13.88</v>
      </c>
      <c r="C62" s="6">
        <f ca="1">IF($A62="","",[1]!s_dq_close(C$1,$A62,$M$4))</f>
        <v>13.81</v>
      </c>
      <c r="D62" s="6">
        <f ca="1">IF($A62="","",[1]!s_dq_close(D$1,$A62,$M$4))</f>
        <v>16.22</v>
      </c>
      <c r="E62" s="6">
        <f ca="1">IF($A62="","",[1]!s_dq_close(E$1,$A62,$M$4))</f>
        <v>7.22</v>
      </c>
      <c r="F62" s="6">
        <f ca="1">IF($A62="","",[1]!s_dq_close(F$1,$A62,$M$4))</f>
        <v>13.57</v>
      </c>
      <c r="G62" s="6"/>
      <c r="H62" s="6">
        <f ca="1">IF($A62="","",[1]!s_dq_close(H$1,$A62,$M$4))</f>
        <v>13.88</v>
      </c>
      <c r="I62" s="6">
        <f ca="1">IF($A62="","",[1]!s_dq_close(I$1,$A62,$M$4))</f>
        <v>13.57</v>
      </c>
      <c r="J62" s="6">
        <f t="shared" ca="1" si="0"/>
        <v>0.3100000000000005</v>
      </c>
      <c r="S62" s="9"/>
    </row>
    <row r="63" spans="1:19">
      <c r="A63" s="2">
        <f ca="1">IF(A62="","",IF(IF(价差分析!$W$4="日",--[1]!td(A62-1),IF(价差分析!$W$4="周",--[1]!td(A62-7),--[1]!td(A62-30)))-价差分析!$T$4&gt;0,IF(价差分析!$W$4="日",--[1]!td(A62-1),IF(价差分析!$W$4="周",--[1]!td(A62-7),--[1]!td(A62-30))),""))</f>
        <v>45173</v>
      </c>
      <c r="B63" s="6">
        <f ca="1">IF($A63="","",[1]!s_dq_close(B$1,$A63,$M$4))</f>
        <v>14.04</v>
      </c>
      <c r="C63" s="6">
        <f ca="1">IF($A63="","",[1]!s_dq_close(C$1,$A63,$M$4))</f>
        <v>14.14</v>
      </c>
      <c r="D63" s="6">
        <f ca="1">IF($A63="","",[1]!s_dq_close(D$1,$A63,$M$4))</f>
        <v>15.95</v>
      </c>
      <c r="E63" s="6">
        <f ca="1">IF($A63="","",[1]!s_dq_close(E$1,$A63,$M$4))</f>
        <v>7.5</v>
      </c>
      <c r="F63" s="6">
        <f ca="1">IF($A63="","",[1]!s_dq_close(F$1,$A63,$M$4))</f>
        <v>13.95</v>
      </c>
      <c r="G63" s="6"/>
      <c r="H63" s="6">
        <f ca="1">IF($A63="","",[1]!s_dq_close(H$1,$A63,$M$4))</f>
        <v>14.04</v>
      </c>
      <c r="I63" s="6">
        <f ca="1">IF($A63="","",[1]!s_dq_close(I$1,$A63,$M$4))</f>
        <v>13.95</v>
      </c>
      <c r="J63" s="6">
        <f t="shared" ca="1" si="0"/>
        <v>8.9999999999999858E-2</v>
      </c>
      <c r="S63" s="9"/>
    </row>
    <row r="64" spans="1:19">
      <c r="A64" s="2">
        <f ca="1">IF(A63="","",IF(IF(价差分析!$W$4="日",--[1]!td(A63-1),IF(价差分析!$W$4="周",--[1]!td(A63-7),--[1]!td(A63-30)))-价差分析!$T$4&gt;0,IF(价差分析!$W$4="日",--[1]!td(A63-1),IF(价差分析!$W$4="周",--[1]!td(A63-7),--[1]!td(A63-30))),""))</f>
        <v>45170</v>
      </c>
      <c r="B64" s="6">
        <f ca="1">IF($A64="","",[1]!s_dq_close(B$1,$A64,$M$4))</f>
        <v>14.05</v>
      </c>
      <c r="C64" s="6">
        <f ca="1">IF($A64="","",[1]!s_dq_close(C$1,$A64,$M$4))</f>
        <v>14.25</v>
      </c>
      <c r="D64" s="6">
        <f ca="1">IF($A64="","",[1]!s_dq_close(D$1,$A64,$M$4))</f>
        <v>15.68</v>
      </c>
      <c r="E64" s="6">
        <f ca="1">IF($A64="","",[1]!s_dq_close(E$1,$A64,$M$4))</f>
        <v>7.38</v>
      </c>
      <c r="F64" s="6">
        <f ca="1">IF($A64="","",[1]!s_dq_close(F$1,$A64,$M$4))</f>
        <v>14.12</v>
      </c>
      <c r="G64" s="6"/>
      <c r="H64" s="6">
        <f ca="1">IF($A64="","",[1]!s_dq_close(H$1,$A64,$M$4))</f>
        <v>14.05</v>
      </c>
      <c r="I64" s="6">
        <f ca="1">IF($A64="","",[1]!s_dq_close(I$1,$A64,$M$4))</f>
        <v>14.12</v>
      </c>
      <c r="J64" s="6">
        <f t="shared" ca="1" si="0"/>
        <v>-6.9999999999998508E-2</v>
      </c>
      <c r="S64" s="9"/>
    </row>
    <row r="65" spans="1:19">
      <c r="A65" s="2">
        <f ca="1">IF(A64="","",IF(IF(价差分析!$W$4="日",--[1]!td(A64-1),IF(价差分析!$W$4="周",--[1]!td(A64-7),--[1]!td(A64-30)))-价差分析!$T$4&gt;0,IF(价差分析!$W$4="日",--[1]!td(A64-1),IF(价差分析!$W$4="周",--[1]!td(A64-7),--[1]!td(A64-30))),""))</f>
        <v>45169</v>
      </c>
      <c r="B65" s="6">
        <f ca="1">IF($A65="","",[1]!s_dq_close(B$1,$A65,$M$4))</f>
        <v>13.64</v>
      </c>
      <c r="C65" s="6">
        <f ca="1">IF($A65="","",[1]!s_dq_close(C$1,$A65,$M$4))</f>
        <v>13.98</v>
      </c>
      <c r="D65" s="6">
        <f ca="1">IF($A65="","",[1]!s_dq_close(D$1,$A65,$M$4))</f>
        <v>16.690000000000001</v>
      </c>
      <c r="E65" s="6">
        <f ca="1">IF($A65="","",[1]!s_dq_close(E$1,$A65,$M$4))</f>
        <v>7.2</v>
      </c>
      <c r="F65" s="6">
        <f ca="1">IF($A65="","",[1]!s_dq_close(F$1,$A65,$M$4))</f>
        <v>13.66</v>
      </c>
      <c r="G65" s="6"/>
      <c r="H65" s="6">
        <f ca="1">IF($A65="","",[1]!s_dq_close(H$1,$A65,$M$4))</f>
        <v>13.64</v>
      </c>
      <c r="I65" s="6">
        <f ca="1">IF($A65="","",[1]!s_dq_close(I$1,$A65,$M$4))</f>
        <v>13.66</v>
      </c>
      <c r="J65" s="6">
        <f t="shared" ca="1" si="0"/>
        <v>-1.9999999999999574E-2</v>
      </c>
      <c r="S65" s="9"/>
    </row>
    <row r="66" spans="1:19">
      <c r="A66" s="2">
        <f ca="1">IF(A65="","",IF(IF(价差分析!$W$4="日",--[1]!td(A65-1),IF(价差分析!$W$4="周",--[1]!td(A65-7),--[1]!td(A65-30)))-价差分析!$T$4&gt;0,IF(价差分析!$W$4="日",--[1]!td(A65-1),IF(价差分析!$W$4="周",--[1]!td(A65-7),--[1]!td(A65-30))),""))</f>
        <v>45168</v>
      </c>
      <c r="B66" s="6">
        <f ca="1">IF($A66="","",[1]!s_dq_close(B$1,$A66,$M$4))</f>
        <v>14.2</v>
      </c>
      <c r="C66" s="6">
        <f ca="1">IF($A66="","",[1]!s_dq_close(C$1,$A66,$M$4))</f>
        <v>14.75</v>
      </c>
      <c r="D66" s="6">
        <f ca="1">IF($A66="","",[1]!s_dq_close(D$1,$A66,$M$4))</f>
        <v>16.68</v>
      </c>
      <c r="E66" s="6">
        <f ca="1">IF($A66="","",[1]!s_dq_close(E$1,$A66,$M$4))</f>
        <v>7.84</v>
      </c>
      <c r="F66" s="6">
        <f ca="1">IF($A66="","",[1]!s_dq_close(F$1,$A66,$M$4))</f>
        <v>14.81</v>
      </c>
      <c r="G66" s="6"/>
      <c r="H66" s="6">
        <f ca="1">IF($A66="","",[1]!s_dq_close(H$1,$A66,$M$4))</f>
        <v>14.2</v>
      </c>
      <c r="I66" s="6">
        <f ca="1">IF($A66="","",[1]!s_dq_close(I$1,$A66,$M$4))</f>
        <v>14.81</v>
      </c>
      <c r="J66" s="6">
        <f t="shared" ca="1" si="0"/>
        <v>-0.61000000000000121</v>
      </c>
      <c r="S66" s="9"/>
    </row>
    <row r="67" spans="1:19">
      <c r="A67" s="2">
        <f ca="1">IF(A66="","",IF(IF(价差分析!$W$4="日",--[1]!td(A66-1),IF(价差分析!$W$4="周",--[1]!td(A66-7),--[1]!td(A66-30)))-价差分析!$T$4&gt;0,IF(价差分析!$W$4="日",--[1]!td(A66-1),IF(价差分析!$W$4="周",--[1]!td(A66-7),--[1]!td(A66-30))),""))</f>
        <v>45167</v>
      </c>
      <c r="B67" s="6">
        <f ca="1">IF($A67="","",[1]!s_dq_close(B$1,$A67,$M$4))</f>
        <v>14.2</v>
      </c>
      <c r="C67" s="6">
        <f ca="1">IF($A67="","",[1]!s_dq_close(C$1,$A67,$M$4))</f>
        <v>14.5</v>
      </c>
      <c r="D67" s="6">
        <f ca="1">IF($A67="","",[1]!s_dq_close(D$1,$A67,$M$4))</f>
        <v>15.74</v>
      </c>
      <c r="E67" s="6">
        <f ca="1">IF($A67="","",[1]!s_dq_close(E$1,$A67,$M$4))</f>
        <v>7.98</v>
      </c>
      <c r="F67" s="6">
        <f ca="1">IF($A67="","",[1]!s_dq_close(F$1,$A67,$M$4))</f>
        <v>14.68</v>
      </c>
      <c r="G67" s="6"/>
      <c r="H67" s="6">
        <f ca="1">IF($A67="","",[1]!s_dq_close(H$1,$A67,$M$4))</f>
        <v>14.2</v>
      </c>
      <c r="I67" s="6">
        <f ca="1">IF($A67="","",[1]!s_dq_close(I$1,$A67,$M$4))</f>
        <v>14.68</v>
      </c>
      <c r="J67" s="6">
        <f t="shared" ca="1" si="0"/>
        <v>-0.48000000000000043</v>
      </c>
      <c r="S67" s="9"/>
    </row>
    <row r="68" spans="1:19">
      <c r="A68" s="2">
        <f ca="1">IF(A67="","",IF(IF(价差分析!$W$4="日",--[1]!td(A67-1),IF(价差分析!$W$4="周",--[1]!td(A67-7),--[1]!td(A67-30)))-价差分析!$T$4&gt;0,IF(价差分析!$W$4="日",--[1]!td(A67-1),IF(价差分析!$W$4="周",--[1]!td(A67-7),--[1]!td(A67-30))),""))</f>
        <v>45166</v>
      </c>
      <c r="B68" s="6">
        <f ca="1">IF($A68="","",[1]!s_dq_close(B$1,$A68,$M$4))</f>
        <v>14.05</v>
      </c>
      <c r="C68" s="6">
        <f ca="1">IF($A68="","",[1]!s_dq_close(C$1,$A68,$M$4))</f>
        <v>14.36</v>
      </c>
      <c r="D68" s="6">
        <f ca="1">IF($A68="","",[1]!s_dq_close(D$1,$A68,$M$4))</f>
        <v>14.57</v>
      </c>
      <c r="E68" s="6">
        <f ca="1">IF($A68="","",[1]!s_dq_close(E$1,$A68,$M$4))</f>
        <v>7.8</v>
      </c>
      <c r="F68" s="6">
        <f ca="1">IF($A68="","",[1]!s_dq_close(F$1,$A68,$M$4))</f>
        <v>14.3</v>
      </c>
      <c r="G68" s="6"/>
      <c r="H68" s="6">
        <f ca="1">IF($A68="","",[1]!s_dq_close(H$1,$A68,$M$4))</f>
        <v>14.05</v>
      </c>
      <c r="I68" s="6">
        <f ca="1">IF($A68="","",[1]!s_dq_close(I$1,$A68,$M$4))</f>
        <v>14.3</v>
      </c>
      <c r="J68" s="6">
        <f t="shared" ca="1" si="0"/>
        <v>-0.25</v>
      </c>
      <c r="S68" s="9"/>
    </row>
    <row r="69" spans="1:19">
      <c r="A69" s="2">
        <f ca="1">IF(A68="","",IF(IF(价差分析!$W$4="日",--[1]!td(A68-1),IF(价差分析!$W$4="周",--[1]!td(A68-7),--[1]!td(A68-30)))-价差分析!$T$4&gt;0,IF(价差分析!$W$4="日",--[1]!td(A68-1),IF(价差分析!$W$4="周",--[1]!td(A68-7),--[1]!td(A68-30))),""))</f>
        <v>45163</v>
      </c>
      <c r="B69" s="6">
        <f ca="1">IF($A69="","",[1]!s_dq_close(B$1,$A69,$M$4))</f>
        <v>13.44</v>
      </c>
      <c r="C69" s="6">
        <f ca="1">IF($A69="","",[1]!s_dq_close(C$1,$A69,$M$4))</f>
        <v>13.98</v>
      </c>
      <c r="D69" s="6">
        <f ca="1">IF($A69="","",[1]!s_dq_close(D$1,$A69,$M$4))</f>
        <v>14.18</v>
      </c>
      <c r="E69" s="6">
        <f ca="1">IF($A69="","",[1]!s_dq_close(E$1,$A69,$M$4))</f>
        <v>7.32</v>
      </c>
      <c r="F69" s="6">
        <f ca="1">IF($A69="","",[1]!s_dq_close(F$1,$A69,$M$4))</f>
        <v>13.78</v>
      </c>
      <c r="G69" s="6"/>
      <c r="H69" s="6">
        <f ca="1">IF($A69="","",[1]!s_dq_close(H$1,$A69,$M$4))</f>
        <v>13.44</v>
      </c>
      <c r="I69" s="6">
        <f ca="1">IF($A69="","",[1]!s_dq_close(I$1,$A69,$M$4))</f>
        <v>13.78</v>
      </c>
      <c r="J69" s="6">
        <f t="shared" ref="J69:J132" ca="1" si="2">IF(H69="","",H69-I69)</f>
        <v>-0.33999999999999986</v>
      </c>
      <c r="S69" s="9"/>
    </row>
    <row r="70" spans="1:19">
      <c r="A70" s="2">
        <f ca="1">IF(A69="","",IF(IF(价差分析!$W$4="日",--[1]!td(A69-1),IF(价差分析!$W$4="周",--[1]!td(A69-7),--[1]!td(A69-30)))-价差分析!$T$4&gt;0,IF(价差分析!$W$4="日",--[1]!td(A69-1),IF(价差分析!$W$4="周",--[1]!td(A69-7),--[1]!td(A69-30))),""))</f>
        <v>45162</v>
      </c>
      <c r="B70" s="6">
        <f ca="1">IF($A70="","",[1]!s_dq_close(B$1,$A70,$M$4))</f>
        <v>13.71</v>
      </c>
      <c r="C70" s="6">
        <f ca="1">IF($A70="","",[1]!s_dq_close(C$1,$A70,$M$4))</f>
        <v>13.57</v>
      </c>
      <c r="D70" s="6">
        <f ca="1">IF($A70="","",[1]!s_dq_close(D$1,$A70,$M$4))</f>
        <v>14.35</v>
      </c>
      <c r="E70" s="6">
        <f ca="1">IF($A70="","",[1]!s_dq_close(E$1,$A70,$M$4))</f>
        <v>7.09</v>
      </c>
      <c r="F70" s="6">
        <f ca="1">IF($A70="","",[1]!s_dq_close(F$1,$A70,$M$4))</f>
        <v>13.32</v>
      </c>
      <c r="G70" s="6"/>
      <c r="H70" s="6">
        <f ca="1">IF($A70="","",[1]!s_dq_close(H$1,$A70,$M$4))</f>
        <v>13.71</v>
      </c>
      <c r="I70" s="6">
        <f ca="1">IF($A70="","",[1]!s_dq_close(I$1,$A70,$M$4))</f>
        <v>13.32</v>
      </c>
      <c r="J70" s="6">
        <f t="shared" ca="1" si="2"/>
        <v>0.39000000000000057</v>
      </c>
      <c r="S70" s="9"/>
    </row>
    <row r="71" spans="1:19">
      <c r="A71" s="2">
        <f ca="1">IF(A70="","",IF(IF(价差分析!$W$4="日",--[1]!td(A70-1),IF(价差分析!$W$4="周",--[1]!td(A70-7),--[1]!td(A70-30)))-价差分析!$T$4&gt;0,IF(价差分析!$W$4="日",--[1]!td(A70-1),IF(价差分析!$W$4="周",--[1]!td(A70-7),--[1]!td(A70-30))),""))</f>
        <v>45161</v>
      </c>
      <c r="B71" s="6">
        <f ca="1">IF($A71="","",[1]!s_dq_close(B$1,$A71,$M$4))</f>
        <v>13.82</v>
      </c>
      <c r="C71" s="6">
        <f ca="1">IF($A71="","",[1]!s_dq_close(C$1,$A71,$M$4))</f>
        <v>13.7</v>
      </c>
      <c r="D71" s="6">
        <f ca="1">IF($A71="","",[1]!s_dq_close(D$1,$A71,$M$4))</f>
        <v>14.24</v>
      </c>
      <c r="E71" s="6">
        <f ca="1">IF($A71="","",[1]!s_dq_close(E$1,$A71,$M$4))</f>
        <v>7.31</v>
      </c>
      <c r="F71" s="6">
        <f ca="1">IF($A71="","",[1]!s_dq_close(F$1,$A71,$M$4))</f>
        <v>13.51</v>
      </c>
      <c r="G71" s="6"/>
      <c r="H71" s="6">
        <f ca="1">IF($A71="","",[1]!s_dq_close(H$1,$A71,$M$4))</f>
        <v>13.82</v>
      </c>
      <c r="I71" s="6">
        <f ca="1">IF($A71="","",[1]!s_dq_close(I$1,$A71,$M$4))</f>
        <v>13.51</v>
      </c>
      <c r="J71" s="6">
        <f t="shared" ca="1" si="2"/>
        <v>0.3100000000000005</v>
      </c>
      <c r="S71" s="9"/>
    </row>
    <row r="72" spans="1:19">
      <c r="A72" s="2">
        <f ca="1">IF(A71="","",IF(IF(价差分析!$W$4="日",--[1]!td(A71-1),IF(价差分析!$W$4="周",--[1]!td(A71-7),--[1]!td(A71-30)))-价差分析!$T$4&gt;0,IF(价差分析!$W$4="日",--[1]!td(A71-1),IF(价差分析!$W$4="周",--[1]!td(A71-7),--[1]!td(A71-30))),""))</f>
        <v>45160</v>
      </c>
      <c r="B72" s="6">
        <f ca="1">IF($A72="","",[1]!s_dq_close(B$1,$A72,$M$4))</f>
        <v>14.02</v>
      </c>
      <c r="C72" s="6">
        <f ca="1">IF($A72="","",[1]!s_dq_close(C$1,$A72,$M$4))</f>
        <v>13.89</v>
      </c>
      <c r="D72" s="6">
        <f ca="1">IF($A72="","",[1]!s_dq_close(D$1,$A72,$M$4))</f>
        <v>14.97</v>
      </c>
      <c r="E72" s="6">
        <f ca="1">IF($A72="","",[1]!s_dq_close(E$1,$A72,$M$4))</f>
        <v>7.67</v>
      </c>
      <c r="F72" s="6">
        <f ca="1">IF($A72="","",[1]!s_dq_close(F$1,$A72,$M$4))</f>
        <v>13.56</v>
      </c>
      <c r="G72" s="6"/>
      <c r="H72" s="6">
        <f ca="1">IF($A72="","",[1]!s_dq_close(H$1,$A72,$M$4))</f>
        <v>14.02</v>
      </c>
      <c r="I72" s="6">
        <f ca="1">IF($A72="","",[1]!s_dq_close(I$1,$A72,$M$4))</f>
        <v>13.56</v>
      </c>
      <c r="J72" s="6">
        <f t="shared" ca="1" si="2"/>
        <v>0.45999999999999908</v>
      </c>
      <c r="S72" s="9"/>
    </row>
    <row r="73" spans="1:19">
      <c r="A73" s="2">
        <f ca="1">IF(A72="","",IF(IF(价差分析!$W$4="日",--[1]!td(A72-1),IF(价差分析!$W$4="周",--[1]!td(A72-7),--[1]!td(A72-30)))-价差分析!$T$4&gt;0,IF(价差分析!$W$4="日",--[1]!td(A72-1),IF(价差分析!$W$4="周",--[1]!td(A72-7),--[1]!td(A72-30))),""))</f>
        <v>45159</v>
      </c>
      <c r="B73" s="6">
        <f ca="1">IF($A73="","",[1]!s_dq_close(B$1,$A73,$M$4))</f>
        <v>13.98</v>
      </c>
      <c r="C73" s="6">
        <f ca="1">IF($A73="","",[1]!s_dq_close(C$1,$A73,$M$4))</f>
        <v>13.9</v>
      </c>
      <c r="D73" s="6">
        <f ca="1">IF($A73="","",[1]!s_dq_close(D$1,$A73,$M$4))</f>
        <v>14.81</v>
      </c>
      <c r="E73" s="6">
        <f ca="1">IF($A73="","",[1]!s_dq_close(E$1,$A73,$M$4))</f>
        <v>7.7</v>
      </c>
      <c r="F73" s="6">
        <f ca="1">IF($A73="","",[1]!s_dq_close(F$1,$A73,$M$4))</f>
        <v>13.47</v>
      </c>
      <c r="G73" s="6"/>
      <c r="H73" s="6">
        <f ca="1">IF($A73="","",[1]!s_dq_close(H$1,$A73,$M$4))</f>
        <v>13.98</v>
      </c>
      <c r="I73" s="6">
        <f ca="1">IF($A73="","",[1]!s_dq_close(I$1,$A73,$M$4))</f>
        <v>13.47</v>
      </c>
      <c r="J73" s="6">
        <f t="shared" ca="1" si="2"/>
        <v>0.50999999999999979</v>
      </c>
      <c r="S73" s="9"/>
    </row>
    <row r="74" spans="1:19">
      <c r="A74" s="2">
        <f ca="1">IF(A73="","",IF(IF(价差分析!$W$4="日",--[1]!td(A73-1),IF(价差分析!$W$4="周",--[1]!td(A73-7),--[1]!td(A73-30)))-价差分析!$T$4&gt;0,IF(价差分析!$W$4="日",--[1]!td(A73-1),IF(价差分析!$W$4="周",--[1]!td(A73-7),--[1]!td(A73-30))),""))</f>
        <v>45156</v>
      </c>
      <c r="B74" s="6">
        <f ca="1">IF($A74="","",[1]!s_dq_close(B$1,$A74,$M$4))</f>
        <v>14.31</v>
      </c>
      <c r="C74" s="6">
        <f ca="1">IF($A74="","",[1]!s_dq_close(C$1,$A74,$M$4))</f>
        <v>14.16</v>
      </c>
      <c r="D74" s="6">
        <f ca="1">IF($A74="","",[1]!s_dq_close(D$1,$A74,$M$4))</f>
        <v>14.82</v>
      </c>
      <c r="E74" s="6">
        <f ca="1">IF($A74="","",[1]!s_dq_close(E$1,$A74,$M$4))</f>
        <v>7.81</v>
      </c>
      <c r="F74" s="6">
        <f ca="1">IF($A74="","",[1]!s_dq_close(F$1,$A74,$M$4))</f>
        <v>13.9</v>
      </c>
      <c r="G74" s="6"/>
      <c r="H74" s="6">
        <f ca="1">IF($A74="","",[1]!s_dq_close(H$1,$A74,$M$4))</f>
        <v>14.31</v>
      </c>
      <c r="I74" s="6">
        <f ca="1">IF($A74="","",[1]!s_dq_close(I$1,$A74,$M$4))</f>
        <v>13.9</v>
      </c>
      <c r="J74" s="6">
        <f t="shared" ca="1" si="2"/>
        <v>0.41000000000000014</v>
      </c>
      <c r="S74" s="9"/>
    </row>
    <row r="75" spans="1:19">
      <c r="A75" s="2">
        <f ca="1">IF(A74="","",IF(IF(价差分析!$W$4="日",--[1]!td(A74-1),IF(价差分析!$W$4="周",--[1]!td(A74-7),--[1]!td(A74-30)))-价差分析!$T$4&gt;0,IF(价差分析!$W$4="日",--[1]!td(A74-1),IF(价差分析!$W$4="周",--[1]!td(A74-7),--[1]!td(A74-30))),""))</f>
        <v>45155</v>
      </c>
      <c r="B75" s="6">
        <f ca="1">IF($A75="","",[1]!s_dq_close(B$1,$A75,$M$4))</f>
        <v>14.53</v>
      </c>
      <c r="C75" s="6">
        <f ca="1">IF($A75="","",[1]!s_dq_close(C$1,$A75,$M$4))</f>
        <v>14.25</v>
      </c>
      <c r="D75" s="6">
        <f ca="1">IF($A75="","",[1]!s_dq_close(D$1,$A75,$M$4))</f>
        <v>15.13</v>
      </c>
      <c r="E75" s="6">
        <f ca="1">IF($A75="","",[1]!s_dq_close(E$1,$A75,$M$4))</f>
        <v>8.16</v>
      </c>
      <c r="F75" s="6">
        <f ca="1">IF($A75="","",[1]!s_dq_close(F$1,$A75,$M$4))</f>
        <v>13.95</v>
      </c>
      <c r="G75" s="6"/>
      <c r="H75" s="6">
        <f ca="1">IF($A75="","",[1]!s_dq_close(H$1,$A75,$M$4))</f>
        <v>14.53</v>
      </c>
      <c r="I75" s="6">
        <f ca="1">IF($A75="","",[1]!s_dq_close(I$1,$A75,$M$4))</f>
        <v>13.95</v>
      </c>
      <c r="J75" s="6">
        <f t="shared" ca="1" si="2"/>
        <v>0.58000000000000007</v>
      </c>
      <c r="S75" s="9"/>
    </row>
    <row r="76" spans="1:19">
      <c r="A76" s="2">
        <f ca="1">IF(A75="","",IF(IF(价差分析!$W$4="日",--[1]!td(A75-1),IF(价差分析!$W$4="周",--[1]!td(A75-7),--[1]!td(A75-30)))-价差分析!$T$4&gt;0,IF(价差分析!$W$4="日",--[1]!td(A75-1),IF(价差分析!$W$4="周",--[1]!td(A75-7),--[1]!td(A75-30))),""))</f>
        <v>45154</v>
      </c>
      <c r="B76" s="6">
        <f ca="1">IF($A76="","",[1]!s_dq_close(B$1,$A76,$M$4))</f>
        <v>14.54</v>
      </c>
      <c r="C76" s="6">
        <f ca="1">IF($A76="","",[1]!s_dq_close(C$1,$A76,$M$4))</f>
        <v>14.25</v>
      </c>
      <c r="D76" s="6">
        <f ca="1">IF($A76="","",[1]!s_dq_close(D$1,$A76,$M$4))</f>
        <v>15.09</v>
      </c>
      <c r="E76" s="6">
        <f ca="1">IF($A76="","",[1]!s_dq_close(E$1,$A76,$M$4))</f>
        <v>8.3000000000000007</v>
      </c>
      <c r="F76" s="6">
        <f ca="1">IF($A76="","",[1]!s_dq_close(F$1,$A76,$M$4))</f>
        <v>13.98</v>
      </c>
      <c r="G76" s="6"/>
      <c r="H76" s="6">
        <f ca="1">IF($A76="","",[1]!s_dq_close(H$1,$A76,$M$4))</f>
        <v>14.54</v>
      </c>
      <c r="I76" s="6">
        <f ca="1">IF($A76="","",[1]!s_dq_close(I$1,$A76,$M$4))</f>
        <v>13.98</v>
      </c>
      <c r="J76" s="6">
        <f t="shared" ca="1" si="2"/>
        <v>0.55999999999999872</v>
      </c>
      <c r="S76" s="9"/>
    </row>
    <row r="77" spans="1:19">
      <c r="A77" s="2">
        <f ca="1">IF(A76="","",IF(IF(价差分析!$W$4="日",--[1]!td(A76-1),IF(价差分析!$W$4="周",--[1]!td(A76-7),--[1]!td(A76-30)))-价差分析!$T$4&gt;0,IF(价差分析!$W$4="日",--[1]!td(A76-1),IF(价差分析!$W$4="周",--[1]!td(A76-7),--[1]!td(A76-30))),""))</f>
        <v>45153</v>
      </c>
      <c r="B77" s="6">
        <f ca="1">IF($A77="","",[1]!s_dq_close(B$1,$A77,$M$4))</f>
        <v>14.29</v>
      </c>
      <c r="C77" s="6">
        <f ca="1">IF($A77="","",[1]!s_dq_close(C$1,$A77,$M$4))</f>
        <v>13.98</v>
      </c>
      <c r="D77" s="6">
        <f ca="1">IF($A77="","",[1]!s_dq_close(D$1,$A77,$M$4))</f>
        <v>15.04</v>
      </c>
      <c r="E77" s="6">
        <f ca="1">IF($A77="","",[1]!s_dq_close(E$1,$A77,$M$4))</f>
        <v>8</v>
      </c>
      <c r="F77" s="6">
        <f ca="1">IF($A77="","",[1]!s_dq_close(F$1,$A77,$M$4))</f>
        <v>13.82</v>
      </c>
      <c r="G77" s="6"/>
      <c r="H77" s="6">
        <f ca="1">IF($A77="","",[1]!s_dq_close(H$1,$A77,$M$4))</f>
        <v>14.29</v>
      </c>
      <c r="I77" s="6">
        <f ca="1">IF($A77="","",[1]!s_dq_close(I$1,$A77,$M$4))</f>
        <v>13.82</v>
      </c>
      <c r="J77" s="6">
        <f t="shared" ca="1" si="2"/>
        <v>0.46999999999999886</v>
      </c>
      <c r="S77" s="9"/>
    </row>
    <row r="78" spans="1:19">
      <c r="A78" s="2">
        <f ca="1">IF(A77="","",IF(IF(价差分析!$W$4="日",--[1]!td(A77-1),IF(价差分析!$W$4="周",--[1]!td(A77-7),--[1]!td(A77-30)))-价差分析!$T$4&gt;0,IF(价差分析!$W$4="日",--[1]!td(A77-1),IF(价差分析!$W$4="周",--[1]!td(A77-7),--[1]!td(A77-30))),""))</f>
        <v>45152</v>
      </c>
      <c r="B78" s="6">
        <f ca="1">IF($A78="","",[1]!s_dq_close(B$1,$A78,$M$4))</f>
        <v>14.4</v>
      </c>
      <c r="C78" s="6">
        <f ca="1">IF($A78="","",[1]!s_dq_close(C$1,$A78,$M$4))</f>
        <v>14.01</v>
      </c>
      <c r="D78" s="6">
        <f ca="1">IF($A78="","",[1]!s_dq_close(D$1,$A78,$M$4))</f>
        <v>15.24</v>
      </c>
      <c r="E78" s="6">
        <f ca="1">IF($A78="","",[1]!s_dq_close(E$1,$A78,$M$4))</f>
        <v>8.0299999999999994</v>
      </c>
      <c r="F78" s="6">
        <f ca="1">IF($A78="","",[1]!s_dq_close(F$1,$A78,$M$4))</f>
        <v>13.72</v>
      </c>
      <c r="G78" s="6"/>
      <c r="H78" s="6">
        <f ca="1">IF($A78="","",[1]!s_dq_close(H$1,$A78,$M$4))</f>
        <v>14.4</v>
      </c>
      <c r="I78" s="6">
        <f ca="1">IF($A78="","",[1]!s_dq_close(I$1,$A78,$M$4))</f>
        <v>13.72</v>
      </c>
      <c r="J78" s="6">
        <f t="shared" ca="1" si="2"/>
        <v>0.67999999999999972</v>
      </c>
      <c r="S78" s="9"/>
    </row>
    <row r="79" spans="1:19">
      <c r="A79" s="2">
        <f ca="1">IF(A78="","",IF(IF(价差分析!$W$4="日",--[1]!td(A78-1),IF(价差分析!$W$4="周",--[1]!td(A78-7),--[1]!td(A78-30)))-价差分析!$T$4&gt;0,IF(价差分析!$W$4="日",--[1]!td(A78-1),IF(价差分析!$W$4="周",--[1]!td(A78-7),--[1]!td(A78-30))),""))</f>
        <v>45149</v>
      </c>
      <c r="B79" s="6">
        <f ca="1">IF($A79="","",[1]!s_dq_close(B$1,$A79,$M$4))</f>
        <v>14.6</v>
      </c>
      <c r="C79" s="6">
        <f ca="1">IF($A79="","",[1]!s_dq_close(C$1,$A79,$M$4))</f>
        <v>13.96</v>
      </c>
      <c r="D79" s="6">
        <f ca="1">IF($A79="","",[1]!s_dq_close(D$1,$A79,$M$4))</f>
        <v>15.51</v>
      </c>
      <c r="E79" s="6">
        <f ca="1">IF($A79="","",[1]!s_dq_close(E$1,$A79,$M$4))</f>
        <v>8.2100000000000009</v>
      </c>
      <c r="F79" s="6">
        <f ca="1">IF($A79="","",[1]!s_dq_close(F$1,$A79,$M$4))</f>
        <v>13.5</v>
      </c>
      <c r="G79" s="6"/>
      <c r="H79" s="6">
        <f ca="1">IF($A79="","",[1]!s_dq_close(H$1,$A79,$M$4))</f>
        <v>14.6</v>
      </c>
      <c r="I79" s="6">
        <f ca="1">IF($A79="","",[1]!s_dq_close(I$1,$A79,$M$4))</f>
        <v>13.5</v>
      </c>
      <c r="J79" s="6">
        <f t="shared" ca="1" si="2"/>
        <v>1.0999999999999996</v>
      </c>
      <c r="S79" s="9"/>
    </row>
    <row r="80" spans="1:19">
      <c r="A80" s="2">
        <f ca="1">IF(A79="","",IF(IF(价差分析!$W$4="日",--[1]!td(A79-1),IF(价差分析!$W$4="周",--[1]!td(A79-7),--[1]!td(A79-30)))-价差分析!$T$4&gt;0,IF(价差分析!$W$4="日",--[1]!td(A79-1),IF(价差分析!$W$4="周",--[1]!td(A79-7),--[1]!td(A79-30))),""))</f>
        <v>45148</v>
      </c>
      <c r="B80" s="6">
        <f ca="1">IF($A80="","",[1]!s_dq_close(B$1,$A80,$M$4))</f>
        <v>14.75</v>
      </c>
      <c r="C80" s="6">
        <f ca="1">IF($A80="","",[1]!s_dq_close(C$1,$A80,$M$4))</f>
        <v>14.13</v>
      </c>
      <c r="D80" s="6">
        <f ca="1">IF($A80="","",[1]!s_dq_close(D$1,$A80,$M$4))</f>
        <v>15.88</v>
      </c>
      <c r="E80" s="6">
        <f ca="1">IF($A80="","",[1]!s_dq_close(E$1,$A80,$M$4))</f>
        <v>8.26</v>
      </c>
      <c r="F80" s="6">
        <f ca="1">IF($A80="","",[1]!s_dq_close(F$1,$A80,$M$4))</f>
        <v>13.62</v>
      </c>
      <c r="G80" s="6"/>
      <c r="H80" s="6">
        <f ca="1">IF($A80="","",[1]!s_dq_close(H$1,$A80,$M$4))</f>
        <v>14.75</v>
      </c>
      <c r="I80" s="6">
        <f ca="1">IF($A80="","",[1]!s_dq_close(I$1,$A80,$M$4))</f>
        <v>13.62</v>
      </c>
      <c r="J80" s="6">
        <f t="shared" ca="1" si="2"/>
        <v>1.1300000000000008</v>
      </c>
      <c r="S80" s="9"/>
    </row>
    <row r="81" spans="1:19">
      <c r="A81" s="2">
        <f ca="1">IF(A80="","",IF(IF(价差分析!$W$4="日",--[1]!td(A80-1),IF(价差分析!$W$4="周",--[1]!td(A80-7),--[1]!td(A80-30)))-价差分析!$T$4&gt;0,IF(价差分析!$W$4="日",--[1]!td(A80-1),IF(价差分析!$W$4="周",--[1]!td(A80-7),--[1]!td(A80-30))),""))</f>
        <v>45147</v>
      </c>
      <c r="B81" s="6">
        <f ca="1">IF($A81="","",[1]!s_dq_close(B$1,$A81,$M$4))</f>
        <v>14.7</v>
      </c>
      <c r="C81" s="6">
        <f ca="1">IF($A81="","",[1]!s_dq_close(C$1,$A81,$M$4))</f>
        <v>14</v>
      </c>
      <c r="D81" s="6">
        <f ca="1">IF($A81="","",[1]!s_dq_close(D$1,$A81,$M$4))</f>
        <v>16.07</v>
      </c>
      <c r="E81" s="6">
        <f ca="1">IF($A81="","",[1]!s_dq_close(E$1,$A81,$M$4))</f>
        <v>8.1</v>
      </c>
      <c r="F81" s="6">
        <f ca="1">IF($A81="","",[1]!s_dq_close(F$1,$A81,$M$4))</f>
        <v>13.72</v>
      </c>
      <c r="G81" s="6"/>
      <c r="H81" s="6">
        <f ca="1">IF($A81="","",[1]!s_dq_close(H$1,$A81,$M$4))</f>
        <v>14.7</v>
      </c>
      <c r="I81" s="6">
        <f ca="1">IF($A81="","",[1]!s_dq_close(I$1,$A81,$M$4))</f>
        <v>13.72</v>
      </c>
      <c r="J81" s="6">
        <f t="shared" ca="1" si="2"/>
        <v>0.97999999999999865</v>
      </c>
      <c r="S81" s="9"/>
    </row>
    <row r="82" spans="1:19">
      <c r="A82" s="2">
        <f ca="1">IF(A81="","",IF(IF(价差分析!$W$4="日",--[1]!td(A81-1),IF(价差分析!$W$4="周",--[1]!td(A81-7),--[1]!td(A81-30)))-价差分析!$T$4&gt;0,IF(价差分析!$W$4="日",--[1]!td(A81-1),IF(价差分析!$W$4="周",--[1]!td(A81-7),--[1]!td(A81-30))),""))</f>
        <v>45146</v>
      </c>
      <c r="B82" s="6">
        <f ca="1">IF($A82="","",[1]!s_dq_close(B$1,$A82,$M$4))</f>
        <v>14.58</v>
      </c>
      <c r="C82" s="6">
        <f ca="1">IF($A82="","",[1]!s_dq_close(C$1,$A82,$M$4))</f>
        <v>13.76</v>
      </c>
      <c r="D82" s="6">
        <f ca="1">IF($A82="","",[1]!s_dq_close(D$1,$A82,$M$4))</f>
        <v>15.97</v>
      </c>
      <c r="E82" s="6">
        <f ca="1">IF($A82="","",[1]!s_dq_close(E$1,$A82,$M$4))</f>
        <v>7.99</v>
      </c>
      <c r="F82" s="6">
        <f ca="1">IF($A82="","",[1]!s_dq_close(F$1,$A82,$M$4))</f>
        <v>13.63</v>
      </c>
      <c r="G82" s="6"/>
      <c r="H82" s="6">
        <f ca="1">IF($A82="","",[1]!s_dq_close(H$1,$A82,$M$4))</f>
        <v>14.58</v>
      </c>
      <c r="I82" s="6">
        <f ca="1">IF($A82="","",[1]!s_dq_close(I$1,$A82,$M$4))</f>
        <v>13.63</v>
      </c>
      <c r="J82" s="6">
        <f t="shared" ca="1" si="2"/>
        <v>0.94999999999999929</v>
      </c>
      <c r="S82" s="9"/>
    </row>
    <row r="83" spans="1:19">
      <c r="A83" s="2">
        <f ca="1">IF(A82="","",IF(IF(价差分析!$W$4="日",--[1]!td(A82-1),IF(价差分析!$W$4="周",--[1]!td(A82-7),--[1]!td(A82-30)))-价差分析!$T$4&gt;0,IF(价差分析!$W$4="日",--[1]!td(A82-1),IF(价差分析!$W$4="周",--[1]!td(A82-7),--[1]!td(A82-30))),""))</f>
        <v>45145</v>
      </c>
      <c r="B83" s="6">
        <f ca="1">IF($A83="","",[1]!s_dq_close(B$1,$A83,$M$4))</f>
        <v>14.73</v>
      </c>
      <c r="C83" s="6">
        <f ca="1">IF($A83="","",[1]!s_dq_close(C$1,$A83,$M$4))</f>
        <v>13.92</v>
      </c>
      <c r="D83" s="6">
        <f ca="1">IF($A83="","",[1]!s_dq_close(D$1,$A83,$M$4))</f>
        <v>16.18</v>
      </c>
      <c r="E83" s="6">
        <f ca="1">IF($A83="","",[1]!s_dq_close(E$1,$A83,$M$4))</f>
        <v>8.26</v>
      </c>
      <c r="F83" s="6">
        <f ca="1">IF($A83="","",[1]!s_dq_close(F$1,$A83,$M$4))</f>
        <v>13.96</v>
      </c>
      <c r="G83" s="6"/>
      <c r="H83" s="6">
        <f ca="1">IF($A83="","",[1]!s_dq_close(H$1,$A83,$M$4))</f>
        <v>14.73</v>
      </c>
      <c r="I83" s="6">
        <f ca="1">IF($A83="","",[1]!s_dq_close(I$1,$A83,$M$4))</f>
        <v>13.96</v>
      </c>
      <c r="J83" s="6">
        <f t="shared" ca="1" si="2"/>
        <v>0.76999999999999957</v>
      </c>
      <c r="S83" s="9"/>
    </row>
    <row r="84" spans="1:19">
      <c r="A84" s="2">
        <f ca="1">IF(A83="","",IF(IF(价差分析!$W$4="日",--[1]!td(A83-1),IF(价差分析!$W$4="周",--[1]!td(A83-7),--[1]!td(A83-30)))-价差分析!$T$4&gt;0,IF(价差分析!$W$4="日",--[1]!td(A83-1),IF(价差分析!$W$4="周",--[1]!td(A83-7),--[1]!td(A83-30))),""))</f>
        <v>45142</v>
      </c>
      <c r="B84" s="6">
        <f ca="1">IF($A84="","",[1]!s_dq_close(B$1,$A84,$M$4))</f>
        <v>15.24</v>
      </c>
      <c r="C84" s="6">
        <f ca="1">IF($A84="","",[1]!s_dq_close(C$1,$A84,$M$4))</f>
        <v>14.4</v>
      </c>
      <c r="D84" s="6">
        <f ca="1">IF($A84="","",[1]!s_dq_close(D$1,$A84,$M$4))</f>
        <v>17.12</v>
      </c>
      <c r="E84" s="6">
        <f ca="1">IF($A84="","",[1]!s_dq_close(E$1,$A84,$M$4))</f>
        <v>8.6199999999999992</v>
      </c>
      <c r="F84" s="6">
        <f ca="1">IF($A84="","",[1]!s_dq_close(F$1,$A84,$M$4))</f>
        <v>14.47</v>
      </c>
      <c r="G84" s="6"/>
      <c r="H84" s="6">
        <f ca="1">IF($A84="","",[1]!s_dq_close(H$1,$A84,$M$4))</f>
        <v>15.24</v>
      </c>
      <c r="I84" s="6">
        <f ca="1">IF($A84="","",[1]!s_dq_close(I$1,$A84,$M$4))</f>
        <v>14.47</v>
      </c>
      <c r="J84" s="6">
        <f t="shared" ca="1" si="2"/>
        <v>0.76999999999999957</v>
      </c>
      <c r="S84" s="9"/>
    </row>
    <row r="85" spans="1:19">
      <c r="A85" s="2">
        <f ca="1">IF(A84="","",IF(IF(价差分析!$W$4="日",--[1]!td(A84-1),IF(价差分析!$W$4="周",--[1]!td(A84-7),--[1]!td(A84-30)))-价差分析!$T$4&gt;0,IF(价差分析!$W$4="日",--[1]!td(A84-1),IF(价差分析!$W$4="周",--[1]!td(A84-7),--[1]!td(A84-30))),""))</f>
        <v>45141</v>
      </c>
      <c r="B85" s="6">
        <f ca="1">IF($A85="","",[1]!s_dq_close(B$1,$A85,$M$4))</f>
        <v>15.35</v>
      </c>
      <c r="C85" s="6">
        <f ca="1">IF($A85="","",[1]!s_dq_close(C$1,$A85,$M$4))</f>
        <v>14.44</v>
      </c>
      <c r="D85" s="6">
        <f ca="1">IF($A85="","",[1]!s_dq_close(D$1,$A85,$M$4))</f>
        <v>16.899999999999999</v>
      </c>
      <c r="E85" s="6">
        <f ca="1">IF($A85="","",[1]!s_dq_close(E$1,$A85,$M$4))</f>
        <v>8.77</v>
      </c>
      <c r="F85" s="6">
        <f ca="1">IF($A85="","",[1]!s_dq_close(F$1,$A85,$M$4))</f>
        <v>14.4</v>
      </c>
      <c r="G85" s="6"/>
      <c r="H85" s="6">
        <f ca="1">IF($A85="","",[1]!s_dq_close(H$1,$A85,$M$4))</f>
        <v>15.35</v>
      </c>
      <c r="I85" s="6">
        <f ca="1">IF($A85="","",[1]!s_dq_close(I$1,$A85,$M$4))</f>
        <v>14.4</v>
      </c>
      <c r="J85" s="6">
        <f t="shared" ca="1" si="2"/>
        <v>0.94999999999999929</v>
      </c>
      <c r="S85" s="9"/>
    </row>
    <row r="86" spans="1:19">
      <c r="A86" s="2">
        <f ca="1">IF(A85="","",IF(IF(价差分析!$W$4="日",--[1]!td(A85-1),IF(价差分析!$W$4="周",--[1]!td(A85-7),--[1]!td(A85-30)))-价差分析!$T$4&gt;0,IF(价差分析!$W$4="日",--[1]!td(A85-1),IF(价差分析!$W$4="周",--[1]!td(A85-7),--[1]!td(A85-30))),""))</f>
        <v>45140</v>
      </c>
      <c r="B86" s="6">
        <f ca="1">IF($A86="","",[1]!s_dq_close(B$1,$A86,$M$4))</f>
        <v>15.06</v>
      </c>
      <c r="C86" s="6">
        <f ca="1">IF($A86="","",[1]!s_dq_close(C$1,$A86,$M$4))</f>
        <v>14.18</v>
      </c>
      <c r="D86" s="6">
        <f ca="1">IF($A86="","",[1]!s_dq_close(D$1,$A86,$M$4))</f>
        <v>17.260000000000002</v>
      </c>
      <c r="E86" s="6">
        <f ca="1">IF($A86="","",[1]!s_dq_close(E$1,$A86,$M$4))</f>
        <v>8.4</v>
      </c>
      <c r="F86" s="6">
        <f ca="1">IF($A86="","",[1]!s_dq_close(F$1,$A86,$M$4))</f>
        <v>14.11</v>
      </c>
      <c r="G86" s="6"/>
      <c r="H86" s="6">
        <f ca="1">IF($A86="","",[1]!s_dq_close(H$1,$A86,$M$4))</f>
        <v>15.06</v>
      </c>
      <c r="I86" s="6">
        <f ca="1">IF($A86="","",[1]!s_dq_close(I$1,$A86,$M$4))</f>
        <v>14.11</v>
      </c>
      <c r="J86" s="6">
        <f t="shared" ca="1" si="2"/>
        <v>0.95000000000000107</v>
      </c>
      <c r="S86" s="9"/>
    </row>
    <row r="87" spans="1:19">
      <c r="A87" s="2">
        <f ca="1">IF(A86="","",IF(IF(价差分析!$W$4="日",--[1]!td(A86-1),IF(价差分析!$W$4="周",--[1]!td(A86-7),--[1]!td(A86-30)))-价差分析!$T$4&gt;0,IF(价差分析!$W$4="日",--[1]!td(A86-1),IF(价差分析!$W$4="周",--[1]!td(A86-7),--[1]!td(A86-30))),""))</f>
        <v>45139</v>
      </c>
      <c r="B87" s="6">
        <f ca="1">IF($A87="","",[1]!s_dq_close(B$1,$A87,$M$4))</f>
        <v>15.09</v>
      </c>
      <c r="C87" s="6">
        <f ca="1">IF($A87="","",[1]!s_dq_close(C$1,$A87,$M$4))</f>
        <v>14.21</v>
      </c>
      <c r="D87" s="6">
        <f ca="1">IF($A87="","",[1]!s_dq_close(D$1,$A87,$M$4))</f>
        <v>16.350000000000001</v>
      </c>
      <c r="E87" s="6">
        <f ca="1">IF($A87="","",[1]!s_dq_close(E$1,$A87,$M$4))</f>
        <v>8.4</v>
      </c>
      <c r="F87" s="6">
        <f ca="1">IF($A87="","",[1]!s_dq_close(F$1,$A87,$M$4))</f>
        <v>14.04</v>
      </c>
      <c r="G87" s="6"/>
      <c r="H87" s="6">
        <f ca="1">IF($A87="","",[1]!s_dq_close(H$1,$A87,$M$4))</f>
        <v>15.09</v>
      </c>
      <c r="I87" s="6">
        <f ca="1">IF($A87="","",[1]!s_dq_close(I$1,$A87,$M$4))</f>
        <v>14.04</v>
      </c>
      <c r="J87" s="6">
        <f t="shared" ca="1" si="2"/>
        <v>1.0500000000000007</v>
      </c>
      <c r="S87" s="9"/>
    </row>
    <row r="88" spans="1:19">
      <c r="A88" s="2">
        <f ca="1">IF(A87="","",IF(IF(价差分析!$W$4="日",--[1]!td(A87-1),IF(价差分析!$W$4="周",--[1]!td(A87-7),--[1]!td(A87-30)))-价差分析!$T$4&gt;0,IF(价差分析!$W$4="日",--[1]!td(A87-1),IF(价差分析!$W$4="周",--[1]!td(A87-7),--[1]!td(A87-30))),""))</f>
        <v>45138</v>
      </c>
      <c r="B88" s="6">
        <f ca="1">IF($A88="","",[1]!s_dq_close(B$1,$A88,$M$4))</f>
        <v>15.25</v>
      </c>
      <c r="C88" s="6">
        <f ca="1">IF($A88="","",[1]!s_dq_close(C$1,$A88,$M$4))</f>
        <v>14.23</v>
      </c>
      <c r="D88" s="6">
        <f ca="1">IF($A88="","",[1]!s_dq_close(D$1,$A88,$M$4))</f>
        <v>15.59</v>
      </c>
      <c r="E88" s="6">
        <f ca="1">IF($A88="","",[1]!s_dq_close(E$1,$A88,$M$4))</f>
        <v>8.6300000000000008</v>
      </c>
      <c r="F88" s="6">
        <f ca="1">IF($A88="","",[1]!s_dq_close(F$1,$A88,$M$4))</f>
        <v>14.25</v>
      </c>
      <c r="G88" s="6"/>
      <c r="H88" s="6">
        <f ca="1">IF($A88="","",[1]!s_dq_close(H$1,$A88,$M$4))</f>
        <v>15.25</v>
      </c>
      <c r="I88" s="6">
        <f ca="1">IF($A88="","",[1]!s_dq_close(I$1,$A88,$M$4))</f>
        <v>14.25</v>
      </c>
      <c r="J88" s="6">
        <f t="shared" ca="1" si="2"/>
        <v>1</v>
      </c>
      <c r="S88" s="9"/>
    </row>
    <row r="89" spans="1:19">
      <c r="A89" s="2">
        <f ca="1">IF(A88="","",IF(IF(价差分析!$W$4="日",--[1]!td(A88-1),IF(价差分析!$W$4="周",--[1]!td(A88-7),--[1]!td(A88-30)))-价差分析!$T$4&gt;0,IF(价差分析!$W$4="日",--[1]!td(A88-1),IF(价差分析!$W$4="周",--[1]!td(A88-7),--[1]!td(A88-30))),""))</f>
        <v>45135</v>
      </c>
      <c r="B89" s="6">
        <f ca="1">IF($A89="","",[1]!s_dq_close(B$1,$A89,$M$4))</f>
        <v>15.23</v>
      </c>
      <c r="C89" s="6">
        <f ca="1">IF($A89="","",[1]!s_dq_close(C$1,$A89,$M$4))</f>
        <v>14.39</v>
      </c>
      <c r="D89" s="6">
        <f ca="1">IF($A89="","",[1]!s_dq_close(D$1,$A89,$M$4))</f>
        <v>15.34</v>
      </c>
      <c r="E89" s="6">
        <f ca="1">IF($A89="","",[1]!s_dq_close(E$1,$A89,$M$4))</f>
        <v>8.4600000000000009</v>
      </c>
      <c r="F89" s="6">
        <f ca="1">IF($A89="","",[1]!s_dq_close(F$1,$A89,$M$4))</f>
        <v>13.99</v>
      </c>
      <c r="G89" s="6"/>
      <c r="H89" s="6">
        <f ca="1">IF($A89="","",[1]!s_dq_close(H$1,$A89,$M$4))</f>
        <v>15.23</v>
      </c>
      <c r="I89" s="6">
        <f ca="1">IF($A89="","",[1]!s_dq_close(I$1,$A89,$M$4))</f>
        <v>13.99</v>
      </c>
      <c r="J89" s="6">
        <f t="shared" ca="1" si="2"/>
        <v>1.2400000000000002</v>
      </c>
      <c r="S89" s="9"/>
    </row>
    <row r="90" spans="1:19">
      <c r="A90" s="2">
        <f ca="1">IF(A89="","",IF(IF(价差分析!$W$4="日",--[1]!td(A89-1),IF(价差分析!$W$4="周",--[1]!td(A89-7),--[1]!td(A89-30)))-价差分析!$T$4&gt;0,IF(价差分析!$W$4="日",--[1]!td(A89-1),IF(价差分析!$W$4="周",--[1]!td(A89-7),--[1]!td(A89-30))),""))</f>
        <v>45134</v>
      </c>
      <c r="B90" s="6">
        <f ca="1">IF($A90="","",[1]!s_dq_close(B$1,$A90,$M$4))</f>
        <v>14.73</v>
      </c>
      <c r="C90" s="6">
        <f ca="1">IF($A90="","",[1]!s_dq_close(C$1,$A90,$M$4))</f>
        <v>13.71</v>
      </c>
      <c r="D90" s="6">
        <f ca="1">IF($A90="","",[1]!s_dq_close(D$1,$A90,$M$4))</f>
        <v>15.17</v>
      </c>
      <c r="E90" s="6">
        <f ca="1">IF($A90="","",[1]!s_dq_close(E$1,$A90,$M$4))</f>
        <v>7.74</v>
      </c>
      <c r="F90" s="6">
        <f ca="1">IF($A90="","",[1]!s_dq_close(F$1,$A90,$M$4))</f>
        <v>13.42</v>
      </c>
      <c r="G90" s="6"/>
      <c r="H90" s="6">
        <f ca="1">IF($A90="","",[1]!s_dq_close(H$1,$A90,$M$4))</f>
        <v>14.73</v>
      </c>
      <c r="I90" s="6">
        <f ca="1">IF($A90="","",[1]!s_dq_close(I$1,$A90,$M$4))</f>
        <v>13.42</v>
      </c>
      <c r="J90" s="6">
        <f t="shared" ca="1" si="2"/>
        <v>1.3100000000000005</v>
      </c>
      <c r="S90" s="9"/>
    </row>
    <row r="91" spans="1:19">
      <c r="A91" s="2">
        <f ca="1">IF(A90="","",IF(IF(价差分析!$W$4="日",--[1]!td(A90-1),IF(价差分析!$W$4="周",--[1]!td(A90-7),--[1]!td(A90-30)))-价差分析!$T$4&gt;0,IF(价差分析!$W$4="日",--[1]!td(A90-1),IF(价差分析!$W$4="周",--[1]!td(A90-7),--[1]!td(A90-30))),""))</f>
        <v>45133</v>
      </c>
      <c r="B91" s="6">
        <f ca="1">IF($A91="","",[1]!s_dq_close(B$1,$A91,$M$4))</f>
        <v>14.87</v>
      </c>
      <c r="C91" s="6">
        <f ca="1">IF($A91="","",[1]!s_dq_close(C$1,$A91,$M$4))</f>
        <v>13.74</v>
      </c>
      <c r="D91" s="6">
        <f ca="1">IF($A91="","",[1]!s_dq_close(D$1,$A91,$M$4))</f>
        <v>15.85</v>
      </c>
      <c r="E91" s="6">
        <f ca="1">IF($A91="","",[1]!s_dq_close(E$1,$A91,$M$4))</f>
        <v>7.75</v>
      </c>
      <c r="F91" s="6">
        <f ca="1">IF($A91="","",[1]!s_dq_close(F$1,$A91,$M$4))</f>
        <v>13.41</v>
      </c>
      <c r="G91" s="6"/>
      <c r="H91" s="6">
        <f ca="1">IF($A91="","",[1]!s_dq_close(H$1,$A91,$M$4))</f>
        <v>14.87</v>
      </c>
      <c r="I91" s="6">
        <f ca="1">IF($A91="","",[1]!s_dq_close(I$1,$A91,$M$4))</f>
        <v>13.41</v>
      </c>
      <c r="J91" s="6">
        <f t="shared" ca="1" si="2"/>
        <v>1.4599999999999991</v>
      </c>
      <c r="S91" s="9"/>
    </row>
    <row r="92" spans="1:19">
      <c r="A92" s="2">
        <f ca="1">IF(A91="","",IF(IF(价差分析!$W$4="日",--[1]!td(A91-1),IF(价差分析!$W$4="周",--[1]!td(A91-7),--[1]!td(A91-30)))-价差分析!$T$4&gt;0,IF(价差分析!$W$4="日",--[1]!td(A91-1),IF(价差分析!$W$4="周",--[1]!td(A91-7),--[1]!td(A91-30))),""))</f>
        <v>45132</v>
      </c>
      <c r="B92" s="6">
        <f ca="1">IF($A92="","",[1]!s_dq_close(B$1,$A92,$M$4))</f>
        <v>14.92</v>
      </c>
      <c r="C92" s="6">
        <f ca="1">IF($A92="","",[1]!s_dq_close(C$1,$A92,$M$4))</f>
        <v>13.71</v>
      </c>
      <c r="D92" s="6">
        <f ca="1">IF($A92="","",[1]!s_dq_close(D$1,$A92,$M$4))</f>
        <v>15.46</v>
      </c>
      <c r="E92" s="6">
        <f ca="1">IF($A92="","",[1]!s_dq_close(E$1,$A92,$M$4))</f>
        <v>7.52</v>
      </c>
      <c r="F92" s="6">
        <f ca="1">IF($A92="","",[1]!s_dq_close(F$1,$A92,$M$4))</f>
        <v>13.35</v>
      </c>
      <c r="G92" s="6"/>
      <c r="H92" s="6">
        <f ca="1">IF($A92="","",[1]!s_dq_close(H$1,$A92,$M$4))</f>
        <v>14.92</v>
      </c>
      <c r="I92" s="6">
        <f ca="1">IF($A92="","",[1]!s_dq_close(I$1,$A92,$M$4))</f>
        <v>13.35</v>
      </c>
      <c r="J92" s="6">
        <f t="shared" ca="1" si="2"/>
        <v>1.5700000000000003</v>
      </c>
      <c r="S92" s="9"/>
    </row>
    <row r="93" spans="1:19">
      <c r="A93" s="2">
        <f ca="1">IF(A92="","",IF(IF(价差分析!$W$4="日",--[1]!td(A92-1),IF(价差分析!$W$4="周",--[1]!td(A92-7),--[1]!td(A92-30)))-价差分析!$T$4&gt;0,IF(价差分析!$W$4="日",--[1]!td(A92-1),IF(价差分析!$W$4="周",--[1]!td(A92-7),--[1]!td(A92-30))),""))</f>
        <v>45131</v>
      </c>
      <c r="B93" s="6">
        <f ca="1">IF($A93="","",[1]!s_dq_close(B$1,$A93,$M$4))</f>
        <v>13.8</v>
      </c>
      <c r="C93" s="6">
        <f ca="1">IF($A93="","",[1]!s_dq_close(C$1,$A93,$M$4))</f>
        <v>12.61</v>
      </c>
      <c r="D93" s="6">
        <f ca="1">IF($A93="","",[1]!s_dq_close(D$1,$A93,$M$4))</f>
        <v>15.18</v>
      </c>
      <c r="E93" s="6">
        <f ca="1">IF($A93="","",[1]!s_dq_close(E$1,$A93,$M$4))</f>
        <v>6.84</v>
      </c>
      <c r="F93" s="6">
        <f ca="1">IF($A93="","",[1]!s_dq_close(F$1,$A93,$M$4))</f>
        <v>12.43</v>
      </c>
      <c r="G93" s="6"/>
      <c r="H93" s="6">
        <f ca="1">IF($A93="","",[1]!s_dq_close(H$1,$A93,$M$4))</f>
        <v>13.8</v>
      </c>
      <c r="I93" s="6">
        <f ca="1">IF($A93="","",[1]!s_dq_close(I$1,$A93,$M$4))</f>
        <v>12.43</v>
      </c>
      <c r="J93" s="6">
        <f t="shared" ca="1" si="2"/>
        <v>1.370000000000001</v>
      </c>
      <c r="S93" s="9"/>
    </row>
    <row r="94" spans="1:19">
      <c r="A94" s="2">
        <f ca="1">IF(A93="","",IF(IF(价差分析!$W$4="日",--[1]!td(A93-1),IF(价差分析!$W$4="周",--[1]!td(A93-7),--[1]!td(A93-30)))-价差分析!$T$4&gt;0,IF(价差分析!$W$4="日",--[1]!td(A93-1),IF(价差分析!$W$4="周",--[1]!td(A93-7),--[1]!td(A93-30))),""))</f>
        <v>45128</v>
      </c>
      <c r="B94" s="6">
        <f ca="1">IF($A94="","",[1]!s_dq_close(B$1,$A94,$M$4))</f>
        <v>13.98</v>
      </c>
      <c r="C94" s="6">
        <f ca="1">IF($A94="","",[1]!s_dq_close(C$1,$A94,$M$4))</f>
        <v>12.88</v>
      </c>
      <c r="D94" s="6">
        <f ca="1">IF($A94="","",[1]!s_dq_close(D$1,$A94,$M$4))</f>
        <v>15.37</v>
      </c>
      <c r="E94" s="6">
        <f ca="1">IF($A94="","",[1]!s_dq_close(E$1,$A94,$M$4))</f>
        <v>6.97</v>
      </c>
      <c r="F94" s="6">
        <f ca="1">IF($A94="","",[1]!s_dq_close(F$1,$A94,$M$4))</f>
        <v>12.53</v>
      </c>
      <c r="G94" s="6"/>
      <c r="H94" s="6">
        <f ca="1">IF($A94="","",[1]!s_dq_close(H$1,$A94,$M$4))</f>
        <v>13.98</v>
      </c>
      <c r="I94" s="6">
        <f ca="1">IF($A94="","",[1]!s_dq_close(I$1,$A94,$M$4))</f>
        <v>12.53</v>
      </c>
      <c r="J94" s="6">
        <f t="shared" ca="1" si="2"/>
        <v>1.4500000000000011</v>
      </c>
      <c r="S94" s="9"/>
    </row>
    <row r="95" spans="1:19">
      <c r="A95" s="2">
        <f ca="1">IF(A94="","",IF(IF(价差分析!$W$4="日",--[1]!td(A94-1),IF(价差分析!$W$4="周",--[1]!td(A94-7),--[1]!td(A94-30)))-价差分析!$T$4&gt;0,IF(价差分析!$W$4="日",--[1]!td(A94-1),IF(价差分析!$W$4="周",--[1]!td(A94-7),--[1]!td(A94-30))),""))</f>
        <v>45127</v>
      </c>
      <c r="B95" s="6">
        <f ca="1">IF($A95="","",[1]!s_dq_close(B$1,$A95,$M$4))</f>
        <v>13.88</v>
      </c>
      <c r="C95" s="6">
        <f ca="1">IF($A95="","",[1]!s_dq_close(C$1,$A95,$M$4))</f>
        <v>12.76</v>
      </c>
      <c r="D95" s="6">
        <f ca="1">IF($A95="","",[1]!s_dq_close(D$1,$A95,$M$4))</f>
        <v>15.42</v>
      </c>
      <c r="E95" s="6">
        <f ca="1">IF($A95="","",[1]!s_dq_close(E$1,$A95,$M$4))</f>
        <v>6.9</v>
      </c>
      <c r="F95" s="6">
        <f ca="1">IF($A95="","",[1]!s_dq_close(F$1,$A95,$M$4))</f>
        <v>12.57</v>
      </c>
      <c r="G95" s="6"/>
      <c r="H95" s="6">
        <f ca="1">IF($A95="","",[1]!s_dq_close(H$1,$A95,$M$4))</f>
        <v>13.88</v>
      </c>
      <c r="I95" s="6">
        <f ca="1">IF($A95="","",[1]!s_dq_close(I$1,$A95,$M$4))</f>
        <v>12.57</v>
      </c>
      <c r="J95" s="6">
        <f t="shared" ca="1" si="2"/>
        <v>1.3100000000000005</v>
      </c>
      <c r="S95" s="9"/>
    </row>
    <row r="96" spans="1:19">
      <c r="A96" s="2">
        <f ca="1">IF(A95="","",IF(IF(价差分析!$W$4="日",--[1]!td(A95-1),IF(价差分析!$W$4="周",--[1]!td(A95-7),--[1]!td(A95-30)))-价差分析!$T$4&gt;0,IF(价差分析!$W$4="日",--[1]!td(A95-1),IF(价差分析!$W$4="周",--[1]!td(A95-7),--[1]!td(A95-30))),""))</f>
        <v>45126</v>
      </c>
      <c r="B96" s="6">
        <f ca="1">IF($A96="","",[1]!s_dq_close(B$1,$A96,$M$4))</f>
        <v>13.9</v>
      </c>
      <c r="C96" s="6">
        <f ca="1">IF($A96="","",[1]!s_dq_close(C$1,$A96,$M$4))</f>
        <v>12.75</v>
      </c>
      <c r="D96" s="6">
        <f ca="1">IF($A96="","",[1]!s_dq_close(D$1,$A96,$M$4))</f>
        <v>15.9</v>
      </c>
      <c r="E96" s="6">
        <f ca="1">IF($A96="","",[1]!s_dq_close(E$1,$A96,$M$4))</f>
        <v>6.88</v>
      </c>
      <c r="F96" s="6">
        <f ca="1">IF($A96="","",[1]!s_dq_close(F$1,$A96,$M$4))</f>
        <v>12.46</v>
      </c>
      <c r="G96" s="6"/>
      <c r="H96" s="6">
        <f ca="1">IF($A96="","",[1]!s_dq_close(H$1,$A96,$M$4))</f>
        <v>13.9</v>
      </c>
      <c r="I96" s="6">
        <f ca="1">IF($A96="","",[1]!s_dq_close(I$1,$A96,$M$4))</f>
        <v>12.46</v>
      </c>
      <c r="J96" s="6">
        <f t="shared" ca="1" si="2"/>
        <v>1.4399999999999995</v>
      </c>
      <c r="S96" s="9"/>
    </row>
    <row r="97" spans="1:19">
      <c r="A97" s="2">
        <f ca="1">IF(A96="","",IF(IF(价差分析!$W$4="日",--[1]!td(A96-1),IF(价差分析!$W$4="周",--[1]!td(A96-7),--[1]!td(A96-30)))-价差分析!$T$4&gt;0,IF(价差分析!$W$4="日",--[1]!td(A96-1),IF(价差分析!$W$4="周",--[1]!td(A96-7),--[1]!td(A96-30))),""))</f>
        <v>45125</v>
      </c>
      <c r="B97" s="6">
        <f ca="1">IF($A97="","",[1]!s_dq_close(B$1,$A97,$M$4))</f>
        <v>13.7</v>
      </c>
      <c r="C97" s="6">
        <f ca="1">IF($A97="","",[1]!s_dq_close(C$1,$A97,$M$4))</f>
        <v>12.58</v>
      </c>
      <c r="D97" s="6">
        <f ca="1">IF($A97="","",[1]!s_dq_close(D$1,$A97,$M$4))</f>
        <v>15.57</v>
      </c>
      <c r="E97" s="6">
        <f ca="1">IF($A97="","",[1]!s_dq_close(E$1,$A97,$M$4))</f>
        <v>6.78</v>
      </c>
      <c r="F97" s="6">
        <f ca="1">IF($A97="","",[1]!s_dq_close(F$1,$A97,$M$4))</f>
        <v>12.18</v>
      </c>
      <c r="G97" s="6"/>
      <c r="H97" s="6">
        <f ca="1">IF($A97="","",[1]!s_dq_close(H$1,$A97,$M$4))</f>
        <v>13.7</v>
      </c>
      <c r="I97" s="6">
        <f ca="1">IF($A97="","",[1]!s_dq_close(I$1,$A97,$M$4))</f>
        <v>12.18</v>
      </c>
      <c r="J97" s="6">
        <f t="shared" ca="1" si="2"/>
        <v>1.5199999999999996</v>
      </c>
      <c r="S97" s="9"/>
    </row>
    <row r="98" spans="1:19">
      <c r="A98" s="2">
        <f ca="1">IF(A97="","",IF(IF(价差分析!$W$4="日",--[1]!td(A97-1),IF(价差分析!$W$4="周",--[1]!td(A97-7),--[1]!td(A97-30)))-价差分析!$T$4&gt;0,IF(价差分析!$W$4="日",--[1]!td(A97-1),IF(价差分析!$W$4="周",--[1]!td(A97-7),--[1]!td(A97-30))),""))</f>
        <v>45124</v>
      </c>
      <c r="B98" s="6">
        <f ca="1">IF($A98="","",[1]!s_dq_close(B$1,$A98,$M$4))</f>
        <v>13.71</v>
      </c>
      <c r="C98" s="6">
        <f ca="1">IF($A98="","",[1]!s_dq_close(C$1,$A98,$M$4))</f>
        <v>12.46</v>
      </c>
      <c r="D98" s="6">
        <f ca="1">IF($A98="","",[1]!s_dq_close(D$1,$A98,$M$4))</f>
        <v>15.53</v>
      </c>
      <c r="E98" s="6">
        <f ca="1">IF($A98="","",[1]!s_dq_close(E$1,$A98,$M$4))</f>
        <v>6.75</v>
      </c>
      <c r="F98" s="6">
        <f ca="1">IF($A98="","",[1]!s_dq_close(F$1,$A98,$M$4))</f>
        <v>12.03</v>
      </c>
      <c r="G98" s="6"/>
      <c r="H98" s="6">
        <f ca="1">IF($A98="","",[1]!s_dq_close(H$1,$A98,$M$4))</f>
        <v>13.71</v>
      </c>
      <c r="I98" s="6">
        <f ca="1">IF($A98="","",[1]!s_dq_close(I$1,$A98,$M$4))</f>
        <v>12.03</v>
      </c>
      <c r="J98" s="6">
        <f t="shared" ca="1" si="2"/>
        <v>1.6800000000000015</v>
      </c>
      <c r="S98" s="9"/>
    </row>
    <row r="99" spans="1:19">
      <c r="A99" s="2">
        <f ca="1">IF(A98="","",IF(IF(价差分析!$W$4="日",--[1]!td(A98-1),IF(价差分析!$W$4="周",--[1]!td(A98-7),--[1]!td(A98-30)))-价差分析!$T$4&gt;0,IF(价差分析!$W$4="日",--[1]!td(A98-1),IF(价差分析!$W$4="周",--[1]!td(A98-7),--[1]!td(A98-30))),""))</f>
        <v>45121</v>
      </c>
      <c r="B99" s="6">
        <f ca="1">IF($A99="","",[1]!s_dq_close(B$1,$A99,$M$4))</f>
        <v>13.78</v>
      </c>
      <c r="C99" s="6">
        <f ca="1">IF($A99="","",[1]!s_dq_close(C$1,$A99,$M$4))</f>
        <v>12.6</v>
      </c>
      <c r="D99" s="6">
        <f ca="1">IF($A99="","",[1]!s_dq_close(D$1,$A99,$M$4))</f>
        <v>14.12</v>
      </c>
      <c r="E99" s="6">
        <f ca="1">IF($A99="","",[1]!s_dq_close(E$1,$A99,$M$4))</f>
        <v>6.84</v>
      </c>
      <c r="F99" s="6">
        <f ca="1">IF($A99="","",[1]!s_dq_close(F$1,$A99,$M$4))</f>
        <v>11.98</v>
      </c>
      <c r="G99" s="6"/>
      <c r="H99" s="6">
        <f ca="1">IF($A99="","",[1]!s_dq_close(H$1,$A99,$M$4))</f>
        <v>13.78</v>
      </c>
      <c r="I99" s="6">
        <f ca="1">IF($A99="","",[1]!s_dq_close(I$1,$A99,$M$4))</f>
        <v>11.98</v>
      </c>
      <c r="J99" s="6">
        <f t="shared" ca="1" si="2"/>
        <v>1.7999999999999989</v>
      </c>
      <c r="S99" s="9"/>
    </row>
    <row r="100" spans="1:19">
      <c r="A100" s="2">
        <f ca="1">IF(A99="","",IF(IF(价差分析!$W$4="日",--[1]!td(A99-1),IF(价差分析!$W$4="周",--[1]!td(A99-7),--[1]!td(A99-30)))-价差分析!$T$4&gt;0,IF(价差分析!$W$4="日",--[1]!td(A99-1),IF(价差分析!$W$4="周",--[1]!td(A99-7),--[1]!td(A99-30))),""))</f>
        <v>45120</v>
      </c>
      <c r="B100" s="6">
        <f ca="1">IF($A100="","",[1]!s_dq_close(B$1,$A100,$M$4))</f>
        <v>13.8</v>
      </c>
      <c r="C100" s="6">
        <f ca="1">IF($A100="","",[1]!s_dq_close(C$1,$A100,$M$4))</f>
        <v>12.57</v>
      </c>
      <c r="D100" s="6">
        <f ca="1">IF($A100="","",[1]!s_dq_close(D$1,$A100,$M$4))</f>
        <v>14.42</v>
      </c>
      <c r="E100" s="6">
        <f ca="1">IF($A100="","",[1]!s_dq_close(E$1,$A100,$M$4))</f>
        <v>6.85</v>
      </c>
      <c r="F100" s="6">
        <f ca="1">IF($A100="","",[1]!s_dq_close(F$1,$A100,$M$4))</f>
        <v>12.02</v>
      </c>
      <c r="G100" s="6"/>
      <c r="H100" s="6">
        <f ca="1">IF($A100="","",[1]!s_dq_close(H$1,$A100,$M$4))</f>
        <v>13.8</v>
      </c>
      <c r="I100" s="6">
        <f ca="1">IF($A100="","",[1]!s_dq_close(I$1,$A100,$M$4))</f>
        <v>12.02</v>
      </c>
      <c r="J100" s="6">
        <f t="shared" ca="1" si="2"/>
        <v>1.7800000000000011</v>
      </c>
      <c r="S100" s="9"/>
    </row>
    <row r="101" spans="1:19">
      <c r="A101" s="2">
        <f ca="1">IF(A100="","",IF(IF(价差分析!$W$4="日",--[1]!td(A100-1),IF(价差分析!$W$4="周",--[1]!td(A100-7),--[1]!td(A100-30)))-价差分析!$T$4&gt;0,IF(价差分析!$W$4="日",--[1]!td(A100-1),IF(价差分析!$W$4="周",--[1]!td(A100-7),--[1]!td(A100-30))),""))</f>
        <v>45119</v>
      </c>
      <c r="B101" s="6">
        <f ca="1">IF($A101="","",[1]!s_dq_close(B$1,$A101,$M$4))</f>
        <v>13.68</v>
      </c>
      <c r="C101" s="6">
        <f ca="1">IF($A101="","",[1]!s_dq_close(C$1,$A101,$M$4))</f>
        <v>12.44</v>
      </c>
      <c r="D101" s="6">
        <f ca="1">IF($A101="","",[1]!s_dq_close(D$1,$A101,$M$4))</f>
        <v>13.5</v>
      </c>
      <c r="E101" s="6">
        <f ca="1">IF($A101="","",[1]!s_dq_close(E$1,$A101,$M$4))</f>
        <v>6.82</v>
      </c>
      <c r="F101" s="6">
        <f ca="1">IF($A101="","",[1]!s_dq_close(F$1,$A101,$M$4))</f>
        <v>11.95</v>
      </c>
      <c r="G101" s="6"/>
      <c r="H101" s="6">
        <f ca="1">IF($A101="","",[1]!s_dq_close(H$1,$A101,$M$4))</f>
        <v>13.68</v>
      </c>
      <c r="I101" s="6">
        <f ca="1">IF($A101="","",[1]!s_dq_close(I$1,$A101,$M$4))</f>
        <v>11.95</v>
      </c>
      <c r="J101" s="6">
        <f t="shared" ca="1" si="2"/>
        <v>1.7300000000000004</v>
      </c>
      <c r="S101" s="9"/>
    </row>
    <row r="102" spans="1:19">
      <c r="A102" s="2">
        <f ca="1">IF(A101="","",IF(IF(价差分析!$W$4="日",--[1]!td(A101-1),IF(价差分析!$W$4="周",--[1]!td(A101-7),--[1]!td(A101-30)))-价差分析!$T$4&gt;0,IF(价差分析!$W$4="日",--[1]!td(A101-1),IF(价差分析!$W$4="周",--[1]!td(A101-7),--[1]!td(A101-30))),""))</f>
        <v>45118</v>
      </c>
      <c r="B102" s="6">
        <f ca="1">IF($A102="","",[1]!s_dq_close(B$1,$A102,$M$4))</f>
        <v>13.86</v>
      </c>
      <c r="C102" s="6">
        <f ca="1">IF($A102="","",[1]!s_dq_close(C$1,$A102,$M$4))</f>
        <v>12.74</v>
      </c>
      <c r="D102" s="6">
        <f ca="1">IF($A102="","",[1]!s_dq_close(D$1,$A102,$M$4))</f>
        <v>14.15</v>
      </c>
      <c r="E102" s="6">
        <f ca="1">IF($A102="","",[1]!s_dq_close(E$1,$A102,$M$4))</f>
        <v>7</v>
      </c>
      <c r="F102" s="6">
        <f ca="1">IF($A102="","",[1]!s_dq_close(F$1,$A102,$M$4))</f>
        <v>12.34</v>
      </c>
      <c r="G102" s="6"/>
      <c r="H102" s="6">
        <f ca="1">IF($A102="","",[1]!s_dq_close(H$1,$A102,$M$4))</f>
        <v>13.86</v>
      </c>
      <c r="I102" s="6">
        <f ca="1">IF($A102="","",[1]!s_dq_close(I$1,$A102,$M$4))</f>
        <v>12.34</v>
      </c>
      <c r="J102" s="6">
        <f t="shared" ca="1" si="2"/>
        <v>1.5199999999999996</v>
      </c>
      <c r="S102" s="9"/>
    </row>
    <row r="103" spans="1:19">
      <c r="A103" s="2">
        <f ca="1">IF(A102="","",IF(IF(价差分析!$W$4="日",--[1]!td(A102-1),IF(价差分析!$W$4="周",--[1]!td(A102-7),--[1]!td(A102-30)))-价差分析!$T$4&gt;0,IF(价差分析!$W$4="日",--[1]!td(A102-1),IF(价差分析!$W$4="周",--[1]!td(A102-7),--[1]!td(A102-30))),""))</f>
        <v>45117</v>
      </c>
      <c r="B103" s="6">
        <f ca="1">IF($A103="","",[1]!s_dq_close(B$1,$A103,$M$4))</f>
        <v>13.91</v>
      </c>
      <c r="C103" s="6">
        <f ca="1">IF($A103="","",[1]!s_dq_close(C$1,$A103,$M$4))</f>
        <v>12.7</v>
      </c>
      <c r="D103" s="6">
        <f ca="1">IF($A103="","",[1]!s_dq_close(D$1,$A103,$M$4))</f>
        <v>14.23</v>
      </c>
      <c r="E103" s="6">
        <f ca="1">IF($A103="","",[1]!s_dq_close(E$1,$A103,$M$4))</f>
        <v>7</v>
      </c>
      <c r="F103" s="6">
        <f ca="1">IF($A103="","",[1]!s_dq_close(F$1,$A103,$M$4))</f>
        <v>12.52</v>
      </c>
      <c r="G103" s="6"/>
      <c r="H103" s="6">
        <f ca="1">IF($A103="","",[1]!s_dq_close(H$1,$A103,$M$4))</f>
        <v>13.91</v>
      </c>
      <c r="I103" s="6">
        <f ca="1">IF($A103="","",[1]!s_dq_close(I$1,$A103,$M$4))</f>
        <v>12.52</v>
      </c>
      <c r="J103" s="6">
        <f t="shared" ca="1" si="2"/>
        <v>1.3900000000000006</v>
      </c>
      <c r="S103" s="9"/>
    </row>
    <row r="104" spans="1:19">
      <c r="A104" s="2">
        <f ca="1">IF(A103="","",IF(IF(价差分析!$W$4="日",--[1]!td(A103-1),IF(价差分析!$W$4="周",--[1]!td(A103-7),--[1]!td(A103-30)))-价差分析!$T$4&gt;0,IF(价差分析!$W$4="日",--[1]!td(A103-1),IF(价差分析!$W$4="周",--[1]!td(A103-7),--[1]!td(A103-30))),""))</f>
        <v>45114</v>
      </c>
      <c r="B104" s="6">
        <f ca="1">IF($A104="","",[1]!s_dq_close(B$1,$A104,$M$4))</f>
        <v>13.87</v>
      </c>
      <c r="C104" s="6">
        <f ca="1">IF($A104="","",[1]!s_dq_close(C$1,$A104,$M$4))</f>
        <v>12.8</v>
      </c>
      <c r="D104" s="6">
        <f ca="1">IF($A104="","",[1]!s_dq_close(D$1,$A104,$M$4))</f>
        <v>14.43</v>
      </c>
      <c r="E104" s="6">
        <f ca="1">IF($A104="","",[1]!s_dq_close(E$1,$A104,$M$4))</f>
        <v>7.02</v>
      </c>
      <c r="F104" s="6">
        <f ca="1">IF($A104="","",[1]!s_dq_close(F$1,$A104,$M$4))</f>
        <v>12.62</v>
      </c>
      <c r="G104" s="6"/>
      <c r="H104" s="6">
        <f ca="1">IF($A104="","",[1]!s_dq_close(H$1,$A104,$M$4))</f>
        <v>13.87</v>
      </c>
      <c r="I104" s="6">
        <f ca="1">IF($A104="","",[1]!s_dq_close(I$1,$A104,$M$4))</f>
        <v>12.62</v>
      </c>
      <c r="J104" s="6">
        <f t="shared" ca="1" si="2"/>
        <v>1.25</v>
      </c>
      <c r="S104" s="9"/>
    </row>
    <row r="105" spans="1:19">
      <c r="A105" s="2">
        <f ca="1">IF(A104="","",IF(IF(价差分析!$W$4="日",--[1]!td(A104-1),IF(价差分析!$W$4="周",--[1]!td(A104-7),--[1]!td(A104-30)))-价差分析!$T$4&gt;0,IF(价差分析!$W$4="日",--[1]!td(A104-1),IF(价差分析!$W$4="周",--[1]!td(A104-7),--[1]!td(A104-30))),""))</f>
        <v>45113</v>
      </c>
      <c r="B105" s="6">
        <f ca="1">IF($A105="","",[1]!s_dq_close(B$1,$A105,$M$4))</f>
        <v>13.97</v>
      </c>
      <c r="C105" s="6">
        <f ca="1">IF($A105="","",[1]!s_dq_close(C$1,$A105,$M$4))</f>
        <v>12.84</v>
      </c>
      <c r="D105" s="6">
        <f ca="1">IF($A105="","",[1]!s_dq_close(D$1,$A105,$M$4))</f>
        <v>14.22</v>
      </c>
      <c r="E105" s="6">
        <f ca="1">IF($A105="","",[1]!s_dq_close(E$1,$A105,$M$4))</f>
        <v>7.08</v>
      </c>
      <c r="F105" s="6">
        <f ca="1">IF($A105="","",[1]!s_dq_close(F$1,$A105,$M$4))</f>
        <v>12.71</v>
      </c>
      <c r="G105" s="6"/>
      <c r="H105" s="6">
        <f ca="1">IF($A105="","",[1]!s_dq_close(H$1,$A105,$M$4))</f>
        <v>13.97</v>
      </c>
      <c r="I105" s="6">
        <f ca="1">IF($A105="","",[1]!s_dq_close(I$1,$A105,$M$4))</f>
        <v>12.71</v>
      </c>
      <c r="J105" s="6">
        <f t="shared" ca="1" si="2"/>
        <v>1.2599999999999998</v>
      </c>
      <c r="S105" s="9"/>
    </row>
    <row r="106" spans="1:19">
      <c r="A106" s="2">
        <f ca="1">IF(A105="","",IF(IF(价差分析!$W$4="日",--[1]!td(A105-1),IF(价差分析!$W$4="周",--[1]!td(A105-7),--[1]!td(A105-30)))-价差分析!$T$4&gt;0,IF(价差分析!$W$4="日",--[1]!td(A105-1),IF(价差分析!$W$4="周",--[1]!td(A105-7),--[1]!td(A105-30))),""))</f>
        <v>45112</v>
      </c>
      <c r="B106" s="6">
        <f ca="1">IF($A106="","",[1]!s_dq_close(B$1,$A106,$M$4))</f>
        <v>13.97</v>
      </c>
      <c r="C106" s="6">
        <f ca="1">IF($A106="","",[1]!s_dq_close(C$1,$A106,$M$4))</f>
        <v>12.64</v>
      </c>
      <c r="D106" s="6">
        <f ca="1">IF($A106="","",[1]!s_dq_close(D$1,$A106,$M$4))</f>
        <v>13.99</v>
      </c>
      <c r="E106" s="6">
        <f ca="1">IF($A106="","",[1]!s_dq_close(E$1,$A106,$M$4))</f>
        <v>7.06</v>
      </c>
      <c r="F106" s="6">
        <f ca="1">IF($A106="","",[1]!s_dq_close(F$1,$A106,$M$4))</f>
        <v>12.72</v>
      </c>
      <c r="G106" s="6"/>
      <c r="H106" s="6">
        <f ca="1">IF($A106="","",[1]!s_dq_close(H$1,$A106,$M$4))</f>
        <v>13.97</v>
      </c>
      <c r="I106" s="6">
        <f ca="1">IF($A106="","",[1]!s_dq_close(I$1,$A106,$M$4))</f>
        <v>12.72</v>
      </c>
      <c r="J106" s="6">
        <f t="shared" ca="1" si="2"/>
        <v>1.25</v>
      </c>
      <c r="S106" s="9"/>
    </row>
    <row r="107" spans="1:19">
      <c r="A107" s="2">
        <f ca="1">IF(A106="","",IF(IF(价差分析!$W$4="日",--[1]!td(A106-1),IF(价差分析!$W$4="周",--[1]!td(A106-7),--[1]!td(A106-30)))-价差分析!$T$4&gt;0,IF(价差分析!$W$4="日",--[1]!td(A106-1),IF(价差分析!$W$4="周",--[1]!td(A106-7),--[1]!td(A106-30))),""))</f>
        <v>45111</v>
      </c>
      <c r="B107" s="6">
        <f ca="1">IF($A107="","",[1]!s_dq_close(B$1,$A107,$M$4))</f>
        <v>14.02</v>
      </c>
      <c r="C107" s="6">
        <f ca="1">IF($A107="","",[1]!s_dq_close(C$1,$A107,$M$4))</f>
        <v>12.72</v>
      </c>
      <c r="D107" s="6">
        <f ca="1">IF($A107="","",[1]!s_dq_close(D$1,$A107,$M$4))</f>
        <v>14.26</v>
      </c>
      <c r="E107" s="6">
        <f ca="1">IF($A107="","",[1]!s_dq_close(E$1,$A107,$M$4))</f>
        <v>7.09</v>
      </c>
      <c r="F107" s="6">
        <f ca="1">IF($A107="","",[1]!s_dq_close(F$1,$A107,$M$4))</f>
        <v>12.7</v>
      </c>
      <c r="G107" s="6"/>
      <c r="H107" s="6">
        <f ca="1">IF($A107="","",[1]!s_dq_close(H$1,$A107,$M$4))</f>
        <v>14.02</v>
      </c>
      <c r="I107" s="6">
        <f ca="1">IF($A107="","",[1]!s_dq_close(I$1,$A107,$M$4))</f>
        <v>12.7</v>
      </c>
      <c r="J107" s="6">
        <f t="shared" ca="1" si="2"/>
        <v>1.3200000000000003</v>
      </c>
      <c r="S107" s="9"/>
    </row>
    <row r="108" spans="1:19">
      <c r="A108" s="2">
        <f ca="1">IF(A107="","",IF(IF(价差分析!$W$4="日",--[1]!td(A107-1),IF(价差分析!$W$4="周",--[1]!td(A107-7),--[1]!td(A107-30)))-价差分析!$T$4&gt;0,IF(价差分析!$W$4="日",--[1]!td(A107-1),IF(价差分析!$W$4="周",--[1]!td(A107-7),--[1]!td(A107-30))),""))</f>
        <v>45110</v>
      </c>
      <c r="B108" s="6">
        <f ca="1">IF($A108="","",[1]!s_dq_close(B$1,$A108,$M$4))</f>
        <v>14.15</v>
      </c>
      <c r="C108" s="6">
        <f ca="1">IF($A108="","",[1]!s_dq_close(C$1,$A108,$M$4))</f>
        <v>13.12</v>
      </c>
      <c r="D108" s="6">
        <f ca="1">IF($A108="","",[1]!s_dq_close(D$1,$A108,$M$4))</f>
        <v>14.34</v>
      </c>
      <c r="E108" s="6">
        <f ca="1">IF($A108="","",[1]!s_dq_close(E$1,$A108,$M$4))</f>
        <v>7.25</v>
      </c>
      <c r="F108" s="6">
        <f ca="1">IF($A108="","",[1]!s_dq_close(F$1,$A108,$M$4))</f>
        <v>12.93</v>
      </c>
      <c r="G108" s="6"/>
      <c r="H108" s="6">
        <f ca="1">IF($A108="","",[1]!s_dq_close(H$1,$A108,$M$4))</f>
        <v>14.15</v>
      </c>
      <c r="I108" s="6">
        <f ca="1">IF($A108="","",[1]!s_dq_close(I$1,$A108,$M$4))</f>
        <v>12.93</v>
      </c>
      <c r="J108" s="6">
        <f t="shared" ca="1" si="2"/>
        <v>1.2200000000000006</v>
      </c>
      <c r="S108" s="9"/>
    </row>
    <row r="109" spans="1:19">
      <c r="A109" s="2">
        <f ca="1">IF(A108="","",IF(IF(价差分析!$W$4="日",--[1]!td(A108-1),IF(价差分析!$W$4="周",--[1]!td(A108-7),--[1]!td(A108-30)))-价差分析!$T$4&gt;0,IF(价差分析!$W$4="日",--[1]!td(A108-1),IF(价差分析!$W$4="周",--[1]!td(A108-7),--[1]!td(A108-30))),""))</f>
        <v>45107</v>
      </c>
      <c r="B109" s="6">
        <f ca="1">IF($A109="","",[1]!s_dq_close(B$1,$A109,$M$4))</f>
        <v>14.02</v>
      </c>
      <c r="C109" s="6">
        <f ca="1">IF($A109="","",[1]!s_dq_close(C$1,$A109,$M$4))</f>
        <v>13.03</v>
      </c>
      <c r="D109" s="6">
        <f ca="1">IF($A109="","",[1]!s_dq_close(D$1,$A109,$M$4))</f>
        <v>13.92</v>
      </c>
      <c r="E109" s="6">
        <f ca="1">IF($A109="","",[1]!s_dq_close(E$1,$A109,$M$4))</f>
        <v>7.21</v>
      </c>
      <c r="F109" s="6">
        <f ca="1">IF($A109="","",[1]!s_dq_close(F$1,$A109,$M$4))</f>
        <v>13.03</v>
      </c>
      <c r="G109" s="6"/>
      <c r="H109" s="6">
        <f ca="1">IF($A109="","",[1]!s_dq_close(H$1,$A109,$M$4))</f>
        <v>14.02</v>
      </c>
      <c r="I109" s="6">
        <f ca="1">IF($A109="","",[1]!s_dq_close(I$1,$A109,$M$4))</f>
        <v>13.03</v>
      </c>
      <c r="J109" s="6">
        <f t="shared" ca="1" si="2"/>
        <v>0.99000000000000021</v>
      </c>
      <c r="S109" s="9"/>
    </row>
    <row r="110" spans="1:19">
      <c r="A110" s="2">
        <f ca="1">IF(A109="","",IF(IF(价差分析!$W$4="日",--[1]!td(A109-1),IF(价差分析!$W$4="周",--[1]!td(A109-7),--[1]!td(A109-30)))-价差分析!$T$4&gt;0,IF(价差分析!$W$4="日",--[1]!td(A109-1),IF(价差分析!$W$4="周",--[1]!td(A109-7),--[1]!td(A109-30))),""))</f>
        <v>45106</v>
      </c>
      <c r="B110" s="6">
        <f ca="1">IF($A110="","",[1]!s_dq_close(B$1,$A110,$M$4))</f>
        <v>14.01</v>
      </c>
      <c r="C110" s="6">
        <f ca="1">IF($A110="","",[1]!s_dq_close(C$1,$A110,$M$4))</f>
        <v>13.19</v>
      </c>
      <c r="D110" s="6">
        <f ca="1">IF($A110="","",[1]!s_dq_close(D$1,$A110,$M$4))</f>
        <v>13.4</v>
      </c>
      <c r="E110" s="6">
        <f ca="1">IF($A110="","",[1]!s_dq_close(E$1,$A110,$M$4))</f>
        <v>7.2</v>
      </c>
      <c r="F110" s="6">
        <f ca="1">IF($A110="","",[1]!s_dq_close(F$1,$A110,$M$4))</f>
        <v>13.16</v>
      </c>
      <c r="G110" s="6"/>
      <c r="H110" s="6">
        <f ca="1">IF($A110="","",[1]!s_dq_close(H$1,$A110,$M$4))</f>
        <v>14.01</v>
      </c>
      <c r="I110" s="6">
        <f ca="1">IF($A110="","",[1]!s_dq_close(I$1,$A110,$M$4))</f>
        <v>13.16</v>
      </c>
      <c r="J110" s="6">
        <f t="shared" ca="1" si="2"/>
        <v>0.84999999999999964</v>
      </c>
      <c r="S110" s="9"/>
    </row>
    <row r="111" spans="1:19">
      <c r="A111" s="2">
        <f ca="1">IF(A110="","",IF(IF(价差分析!$W$4="日",--[1]!td(A110-1),IF(价差分析!$W$4="周",--[1]!td(A110-7),--[1]!td(A110-30)))-价差分析!$T$4&gt;0,IF(价差分析!$W$4="日",--[1]!td(A110-1),IF(价差分析!$W$4="周",--[1]!td(A110-7),--[1]!td(A110-30))),""))</f>
        <v>45105</v>
      </c>
      <c r="B111" s="6">
        <f ca="1">IF($A111="","",[1]!s_dq_close(B$1,$A111,$M$4))</f>
        <v>14.22</v>
      </c>
      <c r="C111" s="6">
        <f ca="1">IF($A111="","",[1]!s_dq_close(C$1,$A111,$M$4))</f>
        <v>13.4</v>
      </c>
      <c r="D111" s="6">
        <f ca="1">IF($A111="","",[1]!s_dq_close(D$1,$A111,$M$4))</f>
        <v>13.53</v>
      </c>
      <c r="E111" s="6">
        <f ca="1">IF($A111="","",[1]!s_dq_close(E$1,$A111,$M$4))</f>
        <v>7.44</v>
      </c>
      <c r="F111" s="6">
        <f ca="1">IF($A111="","",[1]!s_dq_close(F$1,$A111,$M$4))</f>
        <v>13.41</v>
      </c>
      <c r="G111" s="6"/>
      <c r="H111" s="6">
        <f ca="1">IF($A111="","",[1]!s_dq_close(H$1,$A111,$M$4))</f>
        <v>14.22</v>
      </c>
      <c r="I111" s="6">
        <f ca="1">IF($A111="","",[1]!s_dq_close(I$1,$A111,$M$4))</f>
        <v>13.41</v>
      </c>
      <c r="J111" s="6">
        <f t="shared" ca="1" si="2"/>
        <v>0.8100000000000005</v>
      </c>
      <c r="S111" s="9"/>
    </row>
    <row r="112" spans="1:19">
      <c r="A112" s="2">
        <f ca="1">IF(A111="","",IF(IF(价差分析!$W$4="日",--[1]!td(A111-1),IF(价差分析!$W$4="周",--[1]!td(A111-7),--[1]!td(A111-30)))-价差分析!$T$4&gt;0,IF(价差分析!$W$4="日",--[1]!td(A111-1),IF(价差分析!$W$4="周",--[1]!td(A111-7),--[1]!td(A111-30))),""))</f>
        <v>45104</v>
      </c>
      <c r="B112" s="6">
        <f ca="1">IF($A112="","",[1]!s_dq_close(B$1,$A112,$M$4))</f>
        <v>14.33</v>
      </c>
      <c r="C112" s="6">
        <f ca="1">IF($A112="","",[1]!s_dq_close(C$1,$A112,$M$4))</f>
        <v>13.43</v>
      </c>
      <c r="D112" s="6">
        <f ca="1">IF($A112="","",[1]!s_dq_close(D$1,$A112,$M$4))</f>
        <v>13.69</v>
      </c>
      <c r="E112" s="6">
        <f ca="1">IF($A112="","",[1]!s_dq_close(E$1,$A112,$M$4))</f>
        <v>7.48</v>
      </c>
      <c r="F112" s="6">
        <f ca="1">IF($A112="","",[1]!s_dq_close(F$1,$A112,$M$4))</f>
        <v>13.55</v>
      </c>
      <c r="G112" s="6"/>
      <c r="H112" s="6">
        <f ca="1">IF($A112="","",[1]!s_dq_close(H$1,$A112,$M$4))</f>
        <v>14.33</v>
      </c>
      <c r="I112" s="6">
        <f ca="1">IF($A112="","",[1]!s_dq_close(I$1,$A112,$M$4))</f>
        <v>13.55</v>
      </c>
      <c r="J112" s="6">
        <f t="shared" ca="1" si="2"/>
        <v>0.77999999999999936</v>
      </c>
      <c r="S112" s="9"/>
    </row>
    <row r="113" spans="1:19">
      <c r="A113" s="2">
        <f ca="1">IF(A112="","",IF(IF(价差分析!$W$4="日",--[1]!td(A112-1),IF(价差分析!$W$4="周",--[1]!td(A112-7),--[1]!td(A112-30)))-价差分析!$T$4&gt;0,IF(价差分析!$W$4="日",--[1]!td(A112-1),IF(价差分析!$W$4="周",--[1]!td(A112-7),--[1]!td(A112-30))),""))</f>
        <v>45103</v>
      </c>
      <c r="B113" s="6">
        <f ca="1">IF($A113="","",[1]!s_dq_close(B$1,$A113,$M$4))</f>
        <v>13.75</v>
      </c>
      <c r="C113" s="6">
        <f ca="1">IF($A113="","",[1]!s_dq_close(C$1,$A113,$M$4))</f>
        <v>13.02</v>
      </c>
      <c r="D113" s="6">
        <f ca="1">IF($A113="","",[1]!s_dq_close(D$1,$A113,$M$4))</f>
        <v>13.26</v>
      </c>
      <c r="E113" s="6">
        <f ca="1">IF($A113="","",[1]!s_dq_close(E$1,$A113,$M$4))</f>
        <v>7.12</v>
      </c>
      <c r="F113" s="6">
        <f ca="1">IF($A113="","",[1]!s_dq_close(F$1,$A113,$M$4))</f>
        <v>12.67</v>
      </c>
      <c r="G113" s="6"/>
      <c r="H113" s="6">
        <f ca="1">IF($A113="","",[1]!s_dq_close(H$1,$A113,$M$4))</f>
        <v>13.75</v>
      </c>
      <c r="I113" s="6">
        <f ca="1">IF($A113="","",[1]!s_dq_close(I$1,$A113,$M$4))</f>
        <v>12.67</v>
      </c>
      <c r="J113" s="6">
        <f t="shared" ca="1" si="2"/>
        <v>1.08</v>
      </c>
      <c r="S113" s="9"/>
    </row>
    <row r="114" spans="1:19">
      <c r="A114" s="2">
        <f ca="1">IF(A113="","",IF(IF(价差分析!$W$4="日",--[1]!td(A113-1),IF(价差分析!$W$4="周",--[1]!td(A113-7),--[1]!td(A113-30)))-价差分析!$T$4&gt;0,IF(价差分析!$W$4="日",--[1]!td(A113-1),IF(价差分析!$W$4="周",--[1]!td(A113-7),--[1]!td(A113-30))),""))</f>
        <v>45098</v>
      </c>
      <c r="B114" s="6">
        <f ca="1">IF($A114="","",[1]!s_dq_close(B$1,$A114,$M$4))</f>
        <v>13.94</v>
      </c>
      <c r="C114" s="6">
        <f ca="1">IF($A114="","",[1]!s_dq_close(C$1,$A114,$M$4))</f>
        <v>13.12</v>
      </c>
      <c r="D114" s="6">
        <f ca="1">IF($A114="","",[1]!s_dq_close(D$1,$A114,$M$4))</f>
        <v>13.82</v>
      </c>
      <c r="E114" s="6">
        <f ca="1">IF($A114="","",[1]!s_dq_close(E$1,$A114,$M$4))</f>
        <v>7.29</v>
      </c>
      <c r="F114" s="6">
        <f ca="1">IF($A114="","",[1]!s_dq_close(F$1,$A114,$M$4))</f>
        <v>12.89</v>
      </c>
      <c r="G114" s="6"/>
      <c r="H114" s="6">
        <f ca="1">IF($A114="","",[1]!s_dq_close(H$1,$A114,$M$4))</f>
        <v>13.94</v>
      </c>
      <c r="I114" s="6">
        <f ca="1">IF($A114="","",[1]!s_dq_close(I$1,$A114,$M$4))</f>
        <v>12.89</v>
      </c>
      <c r="J114" s="6">
        <f t="shared" ca="1" si="2"/>
        <v>1.0499999999999989</v>
      </c>
      <c r="S114" s="9"/>
    </row>
    <row r="115" spans="1:19">
      <c r="A115" s="2">
        <f ca="1">IF(A114="","",IF(IF(价差分析!$W$4="日",--[1]!td(A114-1),IF(价差分析!$W$4="周",--[1]!td(A114-7),--[1]!td(A114-30)))-价差分析!$T$4&gt;0,IF(价差分析!$W$4="日",--[1]!td(A114-1),IF(价差分析!$W$4="周",--[1]!td(A114-7),--[1]!td(A114-30))),""))</f>
        <v>45097</v>
      </c>
      <c r="B115" s="6">
        <f ca="1">IF($A115="","",[1]!s_dq_close(B$1,$A115,$M$4))</f>
        <v>14.01</v>
      </c>
      <c r="C115" s="6">
        <f ca="1">IF($A115="","",[1]!s_dq_close(C$1,$A115,$M$4))</f>
        <v>13.15</v>
      </c>
      <c r="D115" s="6">
        <f ca="1">IF($A115="","",[1]!s_dq_close(D$1,$A115,$M$4))</f>
        <v>14.53</v>
      </c>
      <c r="E115" s="6">
        <f ca="1">IF($A115="","",[1]!s_dq_close(E$1,$A115,$M$4))</f>
        <v>7.32</v>
      </c>
      <c r="F115" s="6">
        <f ca="1">IF($A115="","",[1]!s_dq_close(F$1,$A115,$M$4))</f>
        <v>13.17</v>
      </c>
      <c r="G115" s="6"/>
      <c r="H115" s="6">
        <f ca="1">IF($A115="","",[1]!s_dq_close(H$1,$A115,$M$4))</f>
        <v>14.01</v>
      </c>
      <c r="I115" s="6">
        <f ca="1">IF($A115="","",[1]!s_dq_close(I$1,$A115,$M$4))</f>
        <v>13.17</v>
      </c>
      <c r="J115" s="6">
        <f t="shared" ca="1" si="2"/>
        <v>0.83999999999999986</v>
      </c>
      <c r="S115" s="9"/>
    </row>
    <row r="116" spans="1:19">
      <c r="A116" s="2">
        <f ca="1">IF(A115="","",IF(IF(价差分析!$W$4="日",--[1]!td(A115-1),IF(价差分析!$W$4="周",--[1]!td(A115-7),--[1]!td(A115-30)))-价差分析!$T$4&gt;0,IF(价差分析!$W$4="日",--[1]!td(A115-1),IF(价差分析!$W$4="周",--[1]!td(A115-7),--[1]!td(A115-30))),""))</f>
        <v>45096</v>
      </c>
      <c r="B116" s="6">
        <f ca="1">IF($A116="","",[1]!s_dq_close(B$1,$A116,$M$4))</f>
        <v>14.19</v>
      </c>
      <c r="C116" s="6">
        <f ca="1">IF($A116="","",[1]!s_dq_close(C$1,$A116,$M$4))</f>
        <v>13.43</v>
      </c>
      <c r="D116" s="6">
        <f ca="1">IF($A116="","",[1]!s_dq_close(D$1,$A116,$M$4))</f>
        <v>15.03</v>
      </c>
      <c r="E116" s="6">
        <f ca="1">IF($A116="","",[1]!s_dq_close(E$1,$A116,$M$4))</f>
        <v>7.45</v>
      </c>
      <c r="F116" s="6">
        <f ca="1">IF($A116="","",[1]!s_dq_close(F$1,$A116,$M$4))</f>
        <v>13.34</v>
      </c>
      <c r="G116" s="6"/>
      <c r="H116" s="6">
        <f ca="1">IF($A116="","",[1]!s_dq_close(H$1,$A116,$M$4))</f>
        <v>14.19</v>
      </c>
      <c r="I116" s="6">
        <f ca="1">IF($A116="","",[1]!s_dq_close(I$1,$A116,$M$4))</f>
        <v>13.34</v>
      </c>
      <c r="J116" s="6">
        <f t="shared" ca="1" si="2"/>
        <v>0.84999999999999964</v>
      </c>
      <c r="S116" s="9"/>
    </row>
    <row r="117" spans="1:19">
      <c r="A117" s="2">
        <f ca="1">IF(A116="","",IF(IF(价差分析!$W$4="日",--[1]!td(A116-1),IF(价差分析!$W$4="周",--[1]!td(A116-7),--[1]!td(A116-30)))-价差分析!$T$4&gt;0,IF(价差分析!$W$4="日",--[1]!td(A116-1),IF(价差分析!$W$4="周",--[1]!td(A116-7),--[1]!td(A116-30))),""))</f>
        <v>45093</v>
      </c>
      <c r="B117" s="6">
        <f ca="1">IF($A117="","",[1]!s_dq_close(B$1,$A117,$M$4))</f>
        <v>14.54</v>
      </c>
      <c r="C117" s="6">
        <f ca="1">IF($A117="","",[1]!s_dq_close(C$1,$A117,$M$4))</f>
        <v>13.55</v>
      </c>
      <c r="D117" s="6">
        <f ca="1">IF($A117="","",[1]!s_dq_close(D$1,$A117,$M$4))</f>
        <v>14.65</v>
      </c>
      <c r="E117" s="6">
        <f ca="1">IF($A117="","",[1]!s_dq_close(E$1,$A117,$M$4))</f>
        <v>7.7</v>
      </c>
      <c r="F117" s="6">
        <f ca="1">IF($A117="","",[1]!s_dq_close(F$1,$A117,$M$4))</f>
        <v>13.44</v>
      </c>
      <c r="G117" s="6"/>
      <c r="H117" s="6">
        <f ca="1">IF($A117="","",[1]!s_dq_close(H$1,$A117,$M$4))</f>
        <v>14.54</v>
      </c>
      <c r="I117" s="6">
        <f ca="1">IF($A117="","",[1]!s_dq_close(I$1,$A117,$M$4))</f>
        <v>13.44</v>
      </c>
      <c r="J117" s="6">
        <f t="shared" ca="1" si="2"/>
        <v>1.0999999999999996</v>
      </c>
      <c r="S117" s="9"/>
    </row>
    <row r="118" spans="1:19">
      <c r="A118" s="2">
        <f ca="1">IF(A117="","",IF(IF(价差分析!$W$4="日",--[1]!td(A117-1),IF(价差分析!$W$4="周",--[1]!td(A117-7),--[1]!td(A117-30)))-价差分析!$T$4&gt;0,IF(价差分析!$W$4="日",--[1]!td(A117-1),IF(价差分析!$W$4="周",--[1]!td(A117-7),--[1]!td(A117-30))),""))</f>
        <v>45092</v>
      </c>
      <c r="B118" s="6">
        <f ca="1">IF($A118="","",[1]!s_dq_close(B$1,$A118,$M$4))</f>
        <v>14.72</v>
      </c>
      <c r="C118" s="6">
        <f ca="1">IF($A118="","",[1]!s_dq_close(C$1,$A118,$M$4))</f>
        <v>13.49</v>
      </c>
      <c r="D118" s="6">
        <f ca="1">IF($A118="","",[1]!s_dq_close(D$1,$A118,$M$4))</f>
        <v>14.43</v>
      </c>
      <c r="E118" s="6">
        <f ca="1">IF($A118="","",[1]!s_dq_close(E$1,$A118,$M$4))</f>
        <v>7.72</v>
      </c>
      <c r="F118" s="6">
        <f ca="1">IF($A118="","",[1]!s_dq_close(F$1,$A118,$M$4))</f>
        <v>13.65</v>
      </c>
      <c r="G118" s="6"/>
      <c r="H118" s="6">
        <f ca="1">IF($A118="","",[1]!s_dq_close(H$1,$A118,$M$4))</f>
        <v>14.72</v>
      </c>
      <c r="I118" s="6">
        <f ca="1">IF($A118="","",[1]!s_dq_close(I$1,$A118,$M$4))</f>
        <v>13.65</v>
      </c>
      <c r="J118" s="6">
        <f t="shared" ca="1" si="2"/>
        <v>1.0700000000000003</v>
      </c>
      <c r="S118" s="9"/>
    </row>
    <row r="119" spans="1:19">
      <c r="A119" s="2">
        <f ca="1">IF(A118="","",IF(IF(价差分析!$W$4="日",--[1]!td(A118-1),IF(价差分析!$W$4="周",--[1]!td(A118-7),--[1]!td(A118-30)))-价差分析!$T$4&gt;0,IF(价差分析!$W$4="日",--[1]!td(A118-1),IF(价差分析!$W$4="周",--[1]!td(A118-7),--[1]!td(A118-30))),""))</f>
        <v>45091</v>
      </c>
      <c r="B119" s="6">
        <f ca="1">IF($A119="","",[1]!s_dq_close(B$1,$A119,$M$4))</f>
        <v>14.4</v>
      </c>
      <c r="C119" s="6">
        <f ca="1">IF($A119="","",[1]!s_dq_close(C$1,$A119,$M$4))</f>
        <v>13.41</v>
      </c>
      <c r="D119" s="6">
        <f ca="1">IF($A119="","",[1]!s_dq_close(D$1,$A119,$M$4))</f>
        <v>14.82</v>
      </c>
      <c r="E119" s="6">
        <f ca="1">IF($A119="","",[1]!s_dq_close(E$1,$A119,$M$4))</f>
        <v>7.57</v>
      </c>
      <c r="F119" s="6">
        <f ca="1">IF($A119="","",[1]!s_dq_close(F$1,$A119,$M$4))</f>
        <v>13.55</v>
      </c>
      <c r="G119" s="6"/>
      <c r="H119" s="6">
        <f ca="1">IF($A119="","",[1]!s_dq_close(H$1,$A119,$M$4))</f>
        <v>14.4</v>
      </c>
      <c r="I119" s="6">
        <f ca="1">IF($A119="","",[1]!s_dq_close(I$1,$A119,$M$4))</f>
        <v>13.55</v>
      </c>
      <c r="J119" s="6">
        <f t="shared" ca="1" si="2"/>
        <v>0.84999999999999964</v>
      </c>
      <c r="S119" s="9"/>
    </row>
    <row r="120" spans="1:19">
      <c r="A120" s="2">
        <f ca="1">IF(A119="","",IF(IF(价差分析!$W$4="日",--[1]!td(A119-1),IF(价差分析!$W$4="周",--[1]!td(A119-7),--[1]!td(A119-30)))-价差分析!$T$4&gt;0,IF(价差分析!$W$4="日",--[1]!td(A119-1),IF(价差分析!$W$4="周",--[1]!td(A119-7),--[1]!td(A119-30))),""))</f>
        <v>45090</v>
      </c>
      <c r="B120" s="6">
        <f ca="1">IF($A120="","",[1]!s_dq_close(B$1,$A120,$M$4))</f>
        <v>14.62</v>
      </c>
      <c r="C120" s="6">
        <f ca="1">IF($A120="","",[1]!s_dq_close(C$1,$A120,$M$4))</f>
        <v>13.57</v>
      </c>
      <c r="D120" s="6">
        <f ca="1">IF($A120="","",[1]!s_dq_close(D$1,$A120,$M$4))</f>
        <v>14.5</v>
      </c>
      <c r="E120" s="6">
        <f ca="1">IF($A120="","",[1]!s_dq_close(E$1,$A120,$M$4))</f>
        <v>7.73</v>
      </c>
      <c r="F120" s="6">
        <f ca="1">IF($A120="","",[1]!s_dq_close(F$1,$A120,$M$4))</f>
        <v>13.68</v>
      </c>
      <c r="G120" s="6"/>
      <c r="H120" s="6">
        <f ca="1">IF($A120="","",[1]!s_dq_close(H$1,$A120,$M$4))</f>
        <v>14.62</v>
      </c>
      <c r="I120" s="6">
        <f ca="1">IF($A120="","",[1]!s_dq_close(I$1,$A120,$M$4))</f>
        <v>13.68</v>
      </c>
      <c r="J120" s="6">
        <f t="shared" ca="1" si="2"/>
        <v>0.9399999999999995</v>
      </c>
      <c r="S120" s="9"/>
    </row>
    <row r="121" spans="1:19">
      <c r="A121" s="2">
        <f ca="1">IF(A120="","",IF(IF(价差分析!$W$4="日",--[1]!td(A120-1),IF(价差分析!$W$4="周",--[1]!td(A120-7),--[1]!td(A120-30)))-价差分析!$T$4&gt;0,IF(价差分析!$W$4="日",--[1]!td(A120-1),IF(价差分析!$W$4="周",--[1]!td(A120-7),--[1]!td(A120-30))),""))</f>
        <v>45089</v>
      </c>
      <c r="B121" s="6">
        <f ca="1">IF($A121="","",[1]!s_dq_close(B$1,$A121,$M$4))</f>
        <v>14.57</v>
      </c>
      <c r="C121" s="6">
        <f ca="1">IF($A121="","",[1]!s_dq_close(C$1,$A121,$M$4))</f>
        <v>13.44</v>
      </c>
      <c r="D121" s="6">
        <f ca="1">IF($A121="","",[1]!s_dq_close(D$1,$A121,$M$4))</f>
        <v>14.32</v>
      </c>
      <c r="E121" s="6">
        <f ca="1">IF($A121="","",[1]!s_dq_close(E$1,$A121,$M$4))</f>
        <v>7.71</v>
      </c>
      <c r="F121" s="6">
        <f ca="1">IF($A121="","",[1]!s_dq_close(F$1,$A121,$M$4))</f>
        <v>13.44</v>
      </c>
      <c r="G121" s="6"/>
      <c r="H121" s="6">
        <f ca="1">IF($A121="","",[1]!s_dq_close(H$1,$A121,$M$4))</f>
        <v>14.57</v>
      </c>
      <c r="I121" s="6">
        <f ca="1">IF($A121="","",[1]!s_dq_close(I$1,$A121,$M$4))</f>
        <v>13.44</v>
      </c>
      <c r="J121" s="6">
        <f t="shared" ca="1" si="2"/>
        <v>1.1300000000000008</v>
      </c>
      <c r="S121" s="9"/>
    </row>
    <row r="122" spans="1:19">
      <c r="A122" s="2">
        <f ca="1">IF(A121="","",IF(IF(价差分析!$W$4="日",--[1]!td(A121-1),IF(价差分析!$W$4="周",--[1]!td(A121-7),--[1]!td(A121-30)))-价差分析!$T$4&gt;0,IF(价差分析!$W$4="日",--[1]!td(A121-1),IF(价差分析!$W$4="周",--[1]!td(A121-7),--[1]!td(A121-30))),""))</f>
        <v>45086</v>
      </c>
      <c r="B122" s="6">
        <f ca="1">IF($A122="","",[1]!s_dq_close(B$1,$A122,$M$4))</f>
        <v>14.67</v>
      </c>
      <c r="C122" s="6">
        <f ca="1">IF($A122="","",[1]!s_dq_close(C$1,$A122,$M$4))</f>
        <v>13.39</v>
      </c>
      <c r="D122" s="6">
        <f ca="1">IF($A122="","",[1]!s_dq_close(D$1,$A122,$M$4))</f>
        <v>14.31</v>
      </c>
      <c r="E122" s="6">
        <f ca="1">IF($A122="","",[1]!s_dq_close(E$1,$A122,$M$4))</f>
        <v>7.63</v>
      </c>
      <c r="F122" s="6">
        <f ca="1">IF($A122="","",[1]!s_dq_close(F$1,$A122,$M$4))</f>
        <v>13.33</v>
      </c>
      <c r="G122" s="6"/>
      <c r="H122" s="6">
        <f ca="1">IF($A122="","",[1]!s_dq_close(H$1,$A122,$M$4))</f>
        <v>14.67</v>
      </c>
      <c r="I122" s="6">
        <f ca="1">IF($A122="","",[1]!s_dq_close(I$1,$A122,$M$4))</f>
        <v>13.33</v>
      </c>
      <c r="J122" s="6">
        <f t="shared" ca="1" si="2"/>
        <v>1.3399999999999999</v>
      </c>
      <c r="S122" s="9"/>
    </row>
    <row r="123" spans="1:19">
      <c r="A123" s="2">
        <f ca="1">IF(A122="","",IF(IF(价差分析!$W$4="日",--[1]!td(A122-1),IF(价差分析!$W$4="周",--[1]!td(A122-7),--[1]!td(A122-30)))-价差分析!$T$4&gt;0,IF(价差分析!$W$4="日",--[1]!td(A122-1),IF(价差分析!$W$4="周",--[1]!td(A122-7),--[1]!td(A122-30))),""))</f>
        <v>45085</v>
      </c>
      <c r="B123" s="6">
        <f ca="1">IF($A123="","",[1]!s_dq_close(B$1,$A123,$M$4))</f>
        <v>14.89</v>
      </c>
      <c r="C123" s="6">
        <f ca="1">IF($A123="","",[1]!s_dq_close(C$1,$A123,$M$4))</f>
        <v>14.01</v>
      </c>
      <c r="D123" s="6">
        <f ca="1">IF($A123="","",[1]!s_dq_close(D$1,$A123,$M$4))</f>
        <v>14.5</v>
      </c>
      <c r="E123" s="6">
        <f ca="1">IF($A123="","",[1]!s_dq_close(E$1,$A123,$M$4))</f>
        <v>7.76</v>
      </c>
      <c r="F123" s="6">
        <f ca="1">IF($A123="","",[1]!s_dq_close(F$1,$A123,$M$4))</f>
        <v>13.51</v>
      </c>
      <c r="G123" s="6"/>
      <c r="H123" s="6">
        <f ca="1">IF($A123="","",[1]!s_dq_close(H$1,$A123,$M$4))</f>
        <v>14.89</v>
      </c>
      <c r="I123" s="6">
        <f ca="1">IF($A123="","",[1]!s_dq_close(I$1,$A123,$M$4))</f>
        <v>13.51</v>
      </c>
      <c r="J123" s="6">
        <f t="shared" ca="1" si="2"/>
        <v>1.3800000000000008</v>
      </c>
      <c r="S123" s="9"/>
    </row>
    <row r="124" spans="1:19">
      <c r="A124" s="2">
        <f ca="1">IF(A123="","",IF(IF(价差分析!$W$4="日",--[1]!td(A123-1),IF(价差分析!$W$4="周",--[1]!td(A123-7),--[1]!td(A123-30)))-价差分析!$T$4&gt;0,IF(价差分析!$W$4="日",--[1]!td(A123-1),IF(价差分析!$W$4="周",--[1]!td(A123-7),--[1]!td(A123-30))),""))</f>
        <v>45084</v>
      </c>
      <c r="B124" s="6">
        <f ca="1">IF($A124="","",[1]!s_dq_close(B$1,$A124,$M$4))</f>
        <v>14.62</v>
      </c>
      <c r="C124" s="6">
        <f ca="1">IF($A124="","",[1]!s_dq_close(C$1,$A124,$M$4))</f>
        <v>13.66</v>
      </c>
      <c r="D124" s="6">
        <f ca="1">IF($A124="","",[1]!s_dq_close(D$1,$A124,$M$4))</f>
        <v>14.55</v>
      </c>
      <c r="E124" s="6">
        <f ca="1">IF($A124="","",[1]!s_dq_close(E$1,$A124,$M$4))</f>
        <v>7.63</v>
      </c>
      <c r="F124" s="6">
        <f ca="1">IF($A124="","",[1]!s_dq_close(F$1,$A124,$M$4))</f>
        <v>13.07</v>
      </c>
      <c r="G124" s="6"/>
      <c r="H124" s="6">
        <f ca="1">IF($A124="","",[1]!s_dq_close(H$1,$A124,$M$4))</f>
        <v>14.62</v>
      </c>
      <c r="I124" s="6">
        <f ca="1">IF($A124="","",[1]!s_dq_close(I$1,$A124,$M$4))</f>
        <v>13.07</v>
      </c>
      <c r="J124" s="6">
        <f t="shared" ca="1" si="2"/>
        <v>1.5499999999999989</v>
      </c>
      <c r="S124" s="9"/>
    </row>
    <row r="125" spans="1:19">
      <c r="A125" s="2">
        <f ca="1">IF(A124="","",IF(IF(价差分析!$W$4="日",--[1]!td(A124-1),IF(价差分析!$W$4="周",--[1]!td(A124-7),--[1]!td(A124-30)))-价差分析!$T$4&gt;0,IF(价差分析!$W$4="日",--[1]!td(A124-1),IF(价差分析!$W$4="周",--[1]!td(A124-7),--[1]!td(A124-30))),""))</f>
        <v>45083</v>
      </c>
      <c r="B125" s="6">
        <f ca="1">IF($A125="","",[1]!s_dq_close(B$1,$A125,$M$4))</f>
        <v>14.46</v>
      </c>
      <c r="C125" s="6">
        <f ca="1">IF($A125="","",[1]!s_dq_close(C$1,$A125,$M$4))</f>
        <v>13.53</v>
      </c>
      <c r="D125" s="6">
        <f ca="1">IF($A125="","",[1]!s_dq_close(D$1,$A125,$M$4))</f>
        <v>14.24</v>
      </c>
      <c r="E125" s="6">
        <f ca="1">IF($A125="","",[1]!s_dq_close(E$1,$A125,$M$4))</f>
        <v>7.49</v>
      </c>
      <c r="F125" s="6">
        <f ca="1">IF($A125="","",[1]!s_dq_close(F$1,$A125,$M$4))</f>
        <v>12.95</v>
      </c>
      <c r="G125" s="6"/>
      <c r="H125" s="6">
        <f ca="1">IF($A125="","",[1]!s_dq_close(H$1,$A125,$M$4))</f>
        <v>14.46</v>
      </c>
      <c r="I125" s="6">
        <f ca="1">IF($A125="","",[1]!s_dq_close(I$1,$A125,$M$4))</f>
        <v>12.95</v>
      </c>
      <c r="J125" s="6">
        <f t="shared" ca="1" si="2"/>
        <v>1.5100000000000016</v>
      </c>
      <c r="S125" s="9"/>
    </row>
    <row r="126" spans="1:19">
      <c r="A126" s="2">
        <f ca="1">IF(A125="","",IF(IF(价差分析!$W$4="日",--[1]!td(A125-1),IF(价差分析!$W$4="周",--[1]!td(A125-7),--[1]!td(A125-30)))-价差分析!$T$4&gt;0,IF(价差分析!$W$4="日",--[1]!td(A125-1),IF(价差分析!$W$4="周",--[1]!td(A125-7),--[1]!td(A125-30))),""))</f>
        <v>45082</v>
      </c>
      <c r="B126" s="6">
        <f ca="1">IF($A126="","",[1]!s_dq_close(B$1,$A126,$M$4))</f>
        <v>14.36</v>
      </c>
      <c r="C126" s="6">
        <f ca="1">IF($A126="","",[1]!s_dq_close(C$1,$A126,$M$4))</f>
        <v>13.52</v>
      </c>
      <c r="D126" s="6">
        <f ca="1">IF($A126="","",[1]!s_dq_close(D$1,$A126,$M$4))</f>
        <v>14.56</v>
      </c>
      <c r="E126" s="6">
        <f ca="1">IF($A126="","",[1]!s_dq_close(E$1,$A126,$M$4))</f>
        <v>7.49</v>
      </c>
      <c r="F126" s="6">
        <f ca="1">IF($A126="","",[1]!s_dq_close(F$1,$A126,$M$4))</f>
        <v>12.74</v>
      </c>
      <c r="G126" s="6"/>
      <c r="H126" s="6">
        <f ca="1">IF($A126="","",[1]!s_dq_close(H$1,$A126,$M$4))</f>
        <v>14.36</v>
      </c>
      <c r="I126" s="6">
        <f ca="1">IF($A126="","",[1]!s_dq_close(I$1,$A126,$M$4))</f>
        <v>12.74</v>
      </c>
      <c r="J126" s="6">
        <f t="shared" ca="1" si="2"/>
        <v>1.6199999999999992</v>
      </c>
      <c r="S126" s="9"/>
    </row>
    <row r="127" spans="1:19">
      <c r="A127" s="2">
        <f ca="1">IF(A126="","",IF(IF(价差分析!$W$4="日",--[1]!td(A126-1),IF(价差分析!$W$4="周",--[1]!td(A126-7),--[1]!td(A126-30)))-价差分析!$T$4&gt;0,IF(价差分析!$W$4="日",--[1]!td(A126-1),IF(价差分析!$W$4="周",--[1]!td(A126-7),--[1]!td(A126-30))),""))</f>
        <v>45079</v>
      </c>
      <c r="B127" s="6">
        <f ca="1">IF($A127="","",[1]!s_dq_close(B$1,$A127,$M$4))</f>
        <v>14.52</v>
      </c>
      <c r="C127" s="6">
        <f ca="1">IF($A127="","",[1]!s_dq_close(C$1,$A127,$M$4))</f>
        <v>13.58</v>
      </c>
      <c r="D127" s="6">
        <f ca="1">IF($A127="","",[1]!s_dq_close(D$1,$A127,$M$4))</f>
        <v>14.79</v>
      </c>
      <c r="E127" s="6">
        <f ca="1">IF($A127="","",[1]!s_dq_close(E$1,$A127,$M$4))</f>
        <v>7.6</v>
      </c>
      <c r="F127" s="6">
        <f ca="1">IF($A127="","",[1]!s_dq_close(F$1,$A127,$M$4))</f>
        <v>13.06</v>
      </c>
      <c r="G127" s="6"/>
      <c r="H127" s="6">
        <f ca="1">IF($A127="","",[1]!s_dq_close(H$1,$A127,$M$4))</f>
        <v>14.52</v>
      </c>
      <c r="I127" s="6">
        <f ca="1">IF($A127="","",[1]!s_dq_close(I$1,$A127,$M$4))</f>
        <v>13.06</v>
      </c>
      <c r="J127" s="6">
        <f t="shared" ca="1" si="2"/>
        <v>1.4599999999999991</v>
      </c>
      <c r="S127" s="9"/>
    </row>
    <row r="128" spans="1:19">
      <c r="A128" s="2">
        <f ca="1">IF(A127="","",IF(IF(价差分析!$W$4="日",--[1]!td(A127-1),IF(价差分析!$W$4="周",--[1]!td(A127-7),--[1]!td(A127-30)))-价差分析!$T$4&gt;0,IF(价差分析!$W$4="日",--[1]!td(A127-1),IF(价差分析!$W$4="周",--[1]!td(A127-7),--[1]!td(A127-30))),""))</f>
        <v>45078</v>
      </c>
      <c r="B128" s="6">
        <f ca="1">IF($A128="","",[1]!s_dq_close(B$1,$A128,$M$4))</f>
        <v>14</v>
      </c>
      <c r="C128" s="6">
        <f ca="1">IF($A128="","",[1]!s_dq_close(C$1,$A128,$M$4))</f>
        <v>12.81</v>
      </c>
      <c r="D128" s="6">
        <f ca="1">IF($A128="","",[1]!s_dq_close(D$1,$A128,$M$4))</f>
        <v>15.01</v>
      </c>
      <c r="E128" s="6">
        <f ca="1">IF($A128="","",[1]!s_dq_close(E$1,$A128,$M$4))</f>
        <v>7.23</v>
      </c>
      <c r="F128" s="6">
        <f ca="1">IF($A128="","",[1]!s_dq_close(F$1,$A128,$M$4))</f>
        <v>12.47</v>
      </c>
      <c r="G128" s="6"/>
      <c r="H128" s="6">
        <f ca="1">IF($A128="","",[1]!s_dq_close(H$1,$A128,$M$4))</f>
        <v>14</v>
      </c>
      <c r="I128" s="6">
        <f ca="1">IF($A128="","",[1]!s_dq_close(I$1,$A128,$M$4))</f>
        <v>12.47</v>
      </c>
      <c r="J128" s="6">
        <f t="shared" ca="1" si="2"/>
        <v>1.5299999999999994</v>
      </c>
      <c r="S128" s="9"/>
    </row>
    <row r="129" spans="1:19">
      <c r="A129" s="2">
        <f ca="1">IF(A128="","",IF(IF(价差分析!$W$4="日",--[1]!td(A128-1),IF(价差分析!$W$4="周",--[1]!td(A128-7),--[1]!td(A128-30)))-价差分析!$T$4&gt;0,IF(价差分析!$W$4="日",--[1]!td(A128-1),IF(价差分析!$W$4="周",--[1]!td(A128-7),--[1]!td(A128-30))),""))</f>
        <v>45077</v>
      </c>
      <c r="B129" s="6">
        <f ca="1">IF($A129="","",[1]!s_dq_close(B$1,$A129,$M$4))</f>
        <v>14.24</v>
      </c>
      <c r="C129" s="6">
        <f ca="1">IF($A129="","",[1]!s_dq_close(C$1,$A129,$M$4))</f>
        <v>12.74</v>
      </c>
      <c r="D129" s="6">
        <f ca="1">IF($A129="","",[1]!s_dq_close(D$1,$A129,$M$4))</f>
        <v>14.52</v>
      </c>
      <c r="E129" s="6">
        <f ca="1">IF($A129="","",[1]!s_dq_close(E$1,$A129,$M$4))</f>
        <v>7.25</v>
      </c>
      <c r="F129" s="6">
        <f ca="1">IF($A129="","",[1]!s_dq_close(F$1,$A129,$M$4))</f>
        <v>12.68</v>
      </c>
      <c r="G129" s="6"/>
      <c r="H129" s="6">
        <f ca="1">IF($A129="","",[1]!s_dq_close(H$1,$A129,$M$4))</f>
        <v>14.24</v>
      </c>
      <c r="I129" s="6">
        <f ca="1">IF($A129="","",[1]!s_dq_close(I$1,$A129,$M$4))</f>
        <v>12.68</v>
      </c>
      <c r="J129" s="6">
        <f t="shared" ca="1" si="2"/>
        <v>1.5600000000000005</v>
      </c>
      <c r="S129" s="9"/>
    </row>
    <row r="130" spans="1:19">
      <c r="A130" s="2">
        <f ca="1">IF(A129="","",IF(IF(价差分析!$W$4="日",--[1]!td(A129-1),IF(价差分析!$W$4="周",--[1]!td(A129-7),--[1]!td(A129-30)))-价差分析!$T$4&gt;0,IF(价差分析!$W$4="日",--[1]!td(A129-1),IF(价差分析!$W$4="周",--[1]!td(A129-7),--[1]!td(A129-30))),""))</f>
        <v>45076</v>
      </c>
      <c r="B130" s="6">
        <f ca="1">IF($A130="","",[1]!s_dq_close(B$1,$A130,$M$4))</f>
        <v>14.36</v>
      </c>
      <c r="C130" s="6">
        <f ca="1">IF($A130="","",[1]!s_dq_close(C$1,$A130,$M$4))</f>
        <v>12.95</v>
      </c>
      <c r="D130" s="6">
        <f ca="1">IF($A130="","",[1]!s_dq_close(D$1,$A130,$M$4))</f>
        <v>14.51</v>
      </c>
      <c r="E130" s="6">
        <f ca="1">IF($A130="","",[1]!s_dq_close(E$1,$A130,$M$4))</f>
        <v>7.35</v>
      </c>
      <c r="F130" s="6">
        <f ca="1">IF($A130="","",[1]!s_dq_close(F$1,$A130,$M$4))</f>
        <v>12.83</v>
      </c>
      <c r="G130" s="6"/>
      <c r="H130" s="6">
        <f ca="1">IF($A130="","",[1]!s_dq_close(H$1,$A130,$M$4))</f>
        <v>14.36</v>
      </c>
      <c r="I130" s="6">
        <f ca="1">IF($A130="","",[1]!s_dq_close(I$1,$A130,$M$4))</f>
        <v>12.83</v>
      </c>
      <c r="J130" s="6">
        <f t="shared" ca="1" si="2"/>
        <v>1.5299999999999994</v>
      </c>
      <c r="S130" s="9"/>
    </row>
    <row r="131" spans="1:19">
      <c r="A131" s="2">
        <f ca="1">IF(A130="","",IF(IF(价差分析!$W$4="日",--[1]!td(A130-1),IF(价差分析!$W$4="周",--[1]!td(A130-7),--[1]!td(A130-30)))-价差分析!$T$4&gt;0,IF(价差分析!$W$4="日",--[1]!td(A130-1),IF(价差分析!$W$4="周",--[1]!td(A130-7),--[1]!td(A130-30))),""))</f>
        <v>45075</v>
      </c>
      <c r="B131" s="6">
        <f ca="1">IF($A131="","",[1]!s_dq_close(B$1,$A131,$M$4))</f>
        <v>14.03</v>
      </c>
      <c r="C131" s="6">
        <f ca="1">IF($A131="","",[1]!s_dq_close(C$1,$A131,$M$4))</f>
        <v>12.94</v>
      </c>
      <c r="D131" s="6">
        <f ca="1">IF($A131="","",[1]!s_dq_close(D$1,$A131,$M$4))</f>
        <v>14.12</v>
      </c>
      <c r="E131" s="6">
        <f ca="1">IF($A131="","",[1]!s_dq_close(E$1,$A131,$M$4))</f>
        <v>7.21</v>
      </c>
      <c r="F131" s="6">
        <f ca="1">IF($A131="","",[1]!s_dq_close(F$1,$A131,$M$4))</f>
        <v>12.62</v>
      </c>
      <c r="G131" s="6"/>
      <c r="H131" s="6">
        <f ca="1">IF($A131="","",[1]!s_dq_close(H$1,$A131,$M$4))</f>
        <v>14.03</v>
      </c>
      <c r="I131" s="6">
        <f ca="1">IF($A131="","",[1]!s_dq_close(I$1,$A131,$M$4))</f>
        <v>12.62</v>
      </c>
      <c r="J131" s="6">
        <f t="shared" ca="1" si="2"/>
        <v>1.4100000000000001</v>
      </c>
      <c r="S131" s="9"/>
    </row>
    <row r="132" spans="1:19">
      <c r="A132" s="2">
        <f ca="1">IF(A131="","",IF(IF(价差分析!$W$4="日",--[1]!td(A131-1),IF(价差分析!$W$4="周",--[1]!td(A131-7),--[1]!td(A131-30)))-价差分析!$T$4&gt;0,IF(价差分析!$W$4="日",--[1]!td(A131-1),IF(价差分析!$W$4="周",--[1]!td(A131-7),--[1]!td(A131-30))),""))</f>
        <v>45072</v>
      </c>
      <c r="B132" s="6">
        <f ca="1">IF($A132="","",[1]!s_dq_close(B$1,$A132,$M$4))</f>
        <v>14.21</v>
      </c>
      <c r="C132" s="6">
        <f ca="1">IF($A132="","",[1]!s_dq_close(C$1,$A132,$M$4))</f>
        <v>13.1</v>
      </c>
      <c r="D132" s="6">
        <f ca="1">IF($A132="","",[1]!s_dq_close(D$1,$A132,$M$4))</f>
        <v>14.11</v>
      </c>
      <c r="E132" s="6">
        <f ca="1">IF($A132="","",[1]!s_dq_close(E$1,$A132,$M$4))</f>
        <v>7.39</v>
      </c>
      <c r="F132" s="6">
        <f ca="1">IF($A132="","",[1]!s_dq_close(F$1,$A132,$M$4))</f>
        <v>12.53</v>
      </c>
      <c r="G132" s="6"/>
      <c r="H132" s="6">
        <f ca="1">IF($A132="","",[1]!s_dq_close(H$1,$A132,$M$4))</f>
        <v>14.21</v>
      </c>
      <c r="I132" s="6">
        <f ca="1">IF($A132="","",[1]!s_dq_close(I$1,$A132,$M$4))</f>
        <v>12.53</v>
      </c>
      <c r="J132" s="6">
        <f t="shared" ca="1" si="2"/>
        <v>1.6800000000000015</v>
      </c>
      <c r="S132" s="9"/>
    </row>
    <row r="133" spans="1:19">
      <c r="A133" s="2">
        <f ca="1">IF(A132="","",IF(IF(价差分析!$W$4="日",--[1]!td(A132-1),IF(价差分析!$W$4="周",--[1]!td(A132-7),--[1]!td(A132-30)))-价差分析!$T$4&gt;0,IF(价差分析!$W$4="日",--[1]!td(A132-1),IF(价差分析!$W$4="周",--[1]!td(A132-7),--[1]!td(A132-30))),""))</f>
        <v>45071</v>
      </c>
      <c r="B133" s="6">
        <f ca="1">IF($A133="","",[1]!s_dq_close(B$1,$A133,$M$4))</f>
        <v>14.19</v>
      </c>
      <c r="C133" s="6">
        <f ca="1">IF($A133="","",[1]!s_dq_close(C$1,$A133,$M$4))</f>
        <v>12.83</v>
      </c>
      <c r="D133" s="6">
        <f ca="1">IF($A133="","",[1]!s_dq_close(D$1,$A133,$M$4))</f>
        <v>14.07</v>
      </c>
      <c r="E133" s="6">
        <f ca="1">IF($A133="","",[1]!s_dq_close(E$1,$A133,$M$4))</f>
        <v>7.32</v>
      </c>
      <c r="F133" s="6">
        <f ca="1">IF($A133="","",[1]!s_dq_close(F$1,$A133,$M$4))</f>
        <v>12.35</v>
      </c>
      <c r="G133" s="6"/>
      <c r="H133" s="6">
        <f ca="1">IF($A133="","",[1]!s_dq_close(H$1,$A133,$M$4))</f>
        <v>14.19</v>
      </c>
      <c r="I133" s="6">
        <f ca="1">IF($A133="","",[1]!s_dq_close(I$1,$A133,$M$4))</f>
        <v>12.35</v>
      </c>
      <c r="J133" s="6">
        <f t="shared" ref="J133:J196" ca="1" si="3">IF(H133="","",H133-I133)</f>
        <v>1.8399999999999999</v>
      </c>
      <c r="S133" s="9"/>
    </row>
    <row r="134" spans="1:19">
      <c r="A134" s="2">
        <f ca="1">IF(A133="","",IF(IF(价差分析!$W$4="日",--[1]!td(A133-1),IF(价差分析!$W$4="周",--[1]!td(A133-7),--[1]!td(A133-30)))-价差分析!$T$4&gt;0,IF(价差分析!$W$4="日",--[1]!td(A133-1),IF(价差分析!$W$4="周",--[1]!td(A133-7),--[1]!td(A133-30))),""))</f>
        <v>45070</v>
      </c>
      <c r="B134" s="6">
        <f ca="1">IF($A134="","",[1]!s_dq_close(B$1,$A134,$M$4))</f>
        <v>14.11</v>
      </c>
      <c r="C134" s="6">
        <f ca="1">IF($A134="","",[1]!s_dq_close(C$1,$A134,$M$4))</f>
        <v>12.88</v>
      </c>
      <c r="D134" s="6">
        <f ca="1">IF($A134="","",[1]!s_dq_close(D$1,$A134,$M$4))</f>
        <v>14.23</v>
      </c>
      <c r="E134" s="6">
        <f ca="1">IF($A134="","",[1]!s_dq_close(E$1,$A134,$M$4))</f>
        <v>7.3</v>
      </c>
      <c r="F134" s="6">
        <f ca="1">IF($A134="","",[1]!s_dq_close(F$1,$A134,$M$4))</f>
        <v>12.32</v>
      </c>
      <c r="G134" s="6"/>
      <c r="H134" s="6">
        <f ca="1">IF($A134="","",[1]!s_dq_close(H$1,$A134,$M$4))</f>
        <v>14.11</v>
      </c>
      <c r="I134" s="6">
        <f ca="1">IF($A134="","",[1]!s_dq_close(I$1,$A134,$M$4))</f>
        <v>12.32</v>
      </c>
      <c r="J134" s="6">
        <f t="shared" ca="1" si="3"/>
        <v>1.7899999999999991</v>
      </c>
      <c r="S134" s="9"/>
    </row>
    <row r="135" spans="1:19">
      <c r="A135" s="2">
        <f ca="1">IF(A134="","",IF(IF(价差分析!$W$4="日",--[1]!td(A134-1),IF(价差分析!$W$4="周",--[1]!td(A134-7),--[1]!td(A134-30)))-价差分析!$T$4&gt;0,IF(价差分析!$W$4="日",--[1]!td(A134-1),IF(价差分析!$W$4="周",--[1]!td(A134-7),--[1]!td(A134-30))),""))</f>
        <v>45069</v>
      </c>
      <c r="B135" s="6">
        <f ca="1">IF($A135="","",[1]!s_dq_close(B$1,$A135,$M$4))</f>
        <v>14.52</v>
      </c>
      <c r="C135" s="6">
        <f ca="1">IF($A135="","",[1]!s_dq_close(C$1,$A135,$M$4))</f>
        <v>13.38</v>
      </c>
      <c r="D135" s="6">
        <f ca="1">IF($A135="","",[1]!s_dq_close(D$1,$A135,$M$4))</f>
        <v>14.21</v>
      </c>
      <c r="E135" s="6">
        <f ca="1">IF($A135="","",[1]!s_dq_close(E$1,$A135,$M$4))</f>
        <v>7.56</v>
      </c>
      <c r="F135" s="6">
        <f ca="1">IF($A135="","",[1]!s_dq_close(F$1,$A135,$M$4))</f>
        <v>12.87</v>
      </c>
      <c r="G135" s="6"/>
      <c r="H135" s="6">
        <f ca="1">IF($A135="","",[1]!s_dq_close(H$1,$A135,$M$4))</f>
        <v>14.52</v>
      </c>
      <c r="I135" s="6">
        <f ca="1">IF($A135="","",[1]!s_dq_close(I$1,$A135,$M$4))</f>
        <v>12.87</v>
      </c>
      <c r="J135" s="6">
        <f t="shared" ca="1" si="3"/>
        <v>1.6500000000000004</v>
      </c>
      <c r="S135" s="9"/>
    </row>
    <row r="136" spans="1:19">
      <c r="A136" s="2">
        <f ca="1">IF(A135="","",IF(IF(价差分析!$W$4="日",--[1]!td(A135-1),IF(价差分析!$W$4="周",--[1]!td(A135-7),--[1]!td(A135-30)))-价差分析!$T$4&gt;0,IF(价差分析!$W$4="日",--[1]!td(A135-1),IF(价差分析!$W$4="周",--[1]!td(A135-7),--[1]!td(A135-30))),""))</f>
        <v>45068</v>
      </c>
      <c r="B136" s="6">
        <f ca="1">IF($A136="","",[1]!s_dq_close(B$1,$A136,$M$4))</f>
        <v>14.67</v>
      </c>
      <c r="C136" s="6">
        <f ca="1">IF($A136="","",[1]!s_dq_close(C$1,$A136,$M$4))</f>
        <v>13.53</v>
      </c>
      <c r="D136" s="6">
        <f ca="1">IF($A136="","",[1]!s_dq_close(D$1,$A136,$M$4))</f>
        <v>14.44</v>
      </c>
      <c r="E136" s="6">
        <f ca="1">IF($A136="","",[1]!s_dq_close(E$1,$A136,$M$4))</f>
        <v>7.66</v>
      </c>
      <c r="F136" s="6">
        <f ca="1">IF($A136="","",[1]!s_dq_close(F$1,$A136,$M$4))</f>
        <v>12.86</v>
      </c>
      <c r="G136" s="6"/>
      <c r="H136" s="6">
        <f ca="1">IF($A136="","",[1]!s_dq_close(H$1,$A136,$M$4))</f>
        <v>14.67</v>
      </c>
      <c r="I136" s="6">
        <f ca="1">IF($A136="","",[1]!s_dq_close(I$1,$A136,$M$4))</f>
        <v>12.86</v>
      </c>
      <c r="J136" s="6">
        <f t="shared" ca="1" si="3"/>
        <v>1.8100000000000005</v>
      </c>
      <c r="S136" s="9"/>
    </row>
    <row r="137" spans="1:19">
      <c r="A137" s="2">
        <f ca="1">IF(A136="","",IF(IF(价差分析!$W$4="日",--[1]!td(A136-1),IF(价差分析!$W$4="周",--[1]!td(A136-7),--[1]!td(A136-30)))-价差分析!$T$4&gt;0,IF(价差分析!$W$4="日",--[1]!td(A136-1),IF(价差分析!$W$4="周",--[1]!td(A136-7),--[1]!td(A136-30))),""))</f>
        <v>45065</v>
      </c>
      <c r="B137" s="6">
        <f ca="1">IF($A137="","",[1]!s_dq_close(B$1,$A137,$M$4))</f>
        <v>14.54</v>
      </c>
      <c r="C137" s="6">
        <f ca="1">IF($A137="","",[1]!s_dq_close(C$1,$A137,$M$4))</f>
        <v>13.55</v>
      </c>
      <c r="D137" s="6">
        <f ca="1">IF($A137="","",[1]!s_dq_close(D$1,$A137,$M$4))</f>
        <v>14.64</v>
      </c>
      <c r="E137" s="6">
        <f ca="1">IF($A137="","",[1]!s_dq_close(E$1,$A137,$M$4))</f>
        <v>7.64</v>
      </c>
      <c r="F137" s="6">
        <f ca="1">IF($A137="","",[1]!s_dq_close(F$1,$A137,$M$4))</f>
        <v>12.87</v>
      </c>
      <c r="G137" s="6"/>
      <c r="H137" s="6">
        <f ca="1">IF($A137="","",[1]!s_dq_close(H$1,$A137,$M$4))</f>
        <v>14.54</v>
      </c>
      <c r="I137" s="6">
        <f ca="1">IF($A137="","",[1]!s_dq_close(I$1,$A137,$M$4))</f>
        <v>12.87</v>
      </c>
      <c r="J137" s="6">
        <f t="shared" ca="1" si="3"/>
        <v>1.67</v>
      </c>
      <c r="S137" s="9"/>
    </row>
    <row r="138" spans="1:19">
      <c r="A138" s="2">
        <f ca="1">IF(A137="","",IF(IF(价差分析!$W$4="日",--[1]!td(A137-1),IF(价差分析!$W$4="周",--[1]!td(A137-7),--[1]!td(A137-30)))-价差分析!$T$4&gt;0,IF(价差分析!$W$4="日",--[1]!td(A137-1),IF(价差分析!$W$4="周",--[1]!td(A137-7),--[1]!td(A137-30))),""))</f>
        <v>45064</v>
      </c>
      <c r="B138" s="6">
        <f ca="1">IF($A138="","",[1]!s_dq_close(B$1,$A138,$M$4))</f>
        <v>14.62</v>
      </c>
      <c r="C138" s="6">
        <f ca="1">IF($A138="","",[1]!s_dq_close(C$1,$A138,$M$4))</f>
        <v>13.79</v>
      </c>
      <c r="D138" s="6">
        <f ca="1">IF($A138="","",[1]!s_dq_close(D$1,$A138,$M$4))</f>
        <v>14.71</v>
      </c>
      <c r="E138" s="6">
        <f ca="1">IF($A138="","",[1]!s_dq_close(E$1,$A138,$M$4))</f>
        <v>7.76</v>
      </c>
      <c r="F138" s="6">
        <f ca="1">IF($A138="","",[1]!s_dq_close(F$1,$A138,$M$4))</f>
        <v>13.12</v>
      </c>
      <c r="G138" s="6"/>
      <c r="H138" s="6">
        <f ca="1">IF($A138="","",[1]!s_dq_close(H$1,$A138,$M$4))</f>
        <v>14.62</v>
      </c>
      <c r="I138" s="6">
        <f ca="1">IF($A138="","",[1]!s_dq_close(I$1,$A138,$M$4))</f>
        <v>13.12</v>
      </c>
      <c r="J138" s="6">
        <f t="shared" ca="1" si="3"/>
        <v>1.5</v>
      </c>
      <c r="S138" s="9"/>
    </row>
    <row r="139" spans="1:19">
      <c r="A139" s="2">
        <f ca="1">IF(A138="","",IF(IF(价差分析!$W$4="日",--[1]!td(A138-1),IF(价差分析!$W$4="周",--[1]!td(A138-7),--[1]!td(A138-30)))-价差分析!$T$4&gt;0,IF(价差分析!$W$4="日",--[1]!td(A138-1),IF(价差分析!$W$4="周",--[1]!td(A138-7),--[1]!td(A138-30))),""))</f>
        <v>45063</v>
      </c>
      <c r="B139" s="6">
        <f ca="1">IF($A139="","",[1]!s_dq_close(B$1,$A139,$M$4))</f>
        <v>14.78</v>
      </c>
      <c r="C139" s="6">
        <f ca="1">IF($A139="","",[1]!s_dq_close(C$1,$A139,$M$4))</f>
        <v>13.86</v>
      </c>
      <c r="D139" s="6">
        <f ca="1">IF($A139="","",[1]!s_dq_close(D$1,$A139,$M$4))</f>
        <v>14.57</v>
      </c>
      <c r="E139" s="6">
        <f ca="1">IF($A139="","",[1]!s_dq_close(E$1,$A139,$M$4))</f>
        <v>7.91</v>
      </c>
      <c r="F139" s="6">
        <f ca="1">IF($A139="","",[1]!s_dq_close(F$1,$A139,$M$4))</f>
        <v>13.35</v>
      </c>
      <c r="G139" s="6"/>
      <c r="H139" s="6">
        <f ca="1">IF($A139="","",[1]!s_dq_close(H$1,$A139,$M$4))</f>
        <v>14.78</v>
      </c>
      <c r="I139" s="6">
        <f ca="1">IF($A139="","",[1]!s_dq_close(I$1,$A139,$M$4))</f>
        <v>13.35</v>
      </c>
      <c r="J139" s="6">
        <f t="shared" ca="1" si="3"/>
        <v>1.4299999999999997</v>
      </c>
    </row>
    <row r="140" spans="1:19">
      <c r="A140" s="2">
        <f ca="1">IF(A139="","",IF(IF(价差分析!$W$4="日",--[1]!td(A139-1),IF(价差分析!$W$4="周",--[1]!td(A139-7),--[1]!td(A139-30)))-价差分析!$T$4&gt;0,IF(价差分析!$W$4="日",--[1]!td(A139-1),IF(价差分析!$W$4="周",--[1]!td(A139-7),--[1]!td(A139-30))),""))</f>
        <v>45062</v>
      </c>
      <c r="B140" s="6">
        <f ca="1">IF($A140="","",[1]!s_dq_close(B$1,$A140,$M$4))</f>
        <v>14.91</v>
      </c>
      <c r="C140" s="6">
        <f ca="1">IF($A140="","",[1]!s_dq_close(C$1,$A140,$M$4))</f>
        <v>13.96</v>
      </c>
      <c r="D140" s="6">
        <f ca="1">IF($A140="","",[1]!s_dq_close(D$1,$A140,$M$4))</f>
        <v>14.49</v>
      </c>
      <c r="E140" s="6">
        <f ca="1">IF($A140="","",[1]!s_dq_close(E$1,$A140,$M$4))</f>
        <v>8</v>
      </c>
      <c r="F140" s="6">
        <f ca="1">IF($A140="","",[1]!s_dq_close(F$1,$A140,$M$4))</f>
        <v>13.38</v>
      </c>
      <c r="G140" s="6"/>
      <c r="H140" s="6">
        <f ca="1">IF($A140="","",[1]!s_dq_close(H$1,$A140,$M$4))</f>
        <v>14.91</v>
      </c>
      <c r="I140" s="6">
        <f ca="1">IF($A140="","",[1]!s_dq_close(I$1,$A140,$M$4))</f>
        <v>13.38</v>
      </c>
      <c r="J140" s="6">
        <f t="shared" ca="1" si="3"/>
        <v>1.5299999999999994</v>
      </c>
    </row>
    <row r="141" spans="1:19">
      <c r="A141" s="2">
        <f ca="1">IF(A140="","",IF(IF(价差分析!$W$4="日",--[1]!td(A140-1),IF(价差分析!$W$4="周",--[1]!td(A140-7),--[1]!td(A140-30)))-价差分析!$T$4&gt;0,IF(价差分析!$W$4="日",--[1]!td(A140-1),IF(价差分析!$W$4="周",--[1]!td(A140-7),--[1]!td(A140-30))),""))</f>
        <v>45061</v>
      </c>
      <c r="B141" s="6">
        <f ca="1">IF($A141="","",[1]!s_dq_close(B$1,$A141,$M$4))</f>
        <v>15.06</v>
      </c>
      <c r="C141" s="6">
        <f ca="1">IF($A141="","",[1]!s_dq_close(C$1,$A141,$M$4))</f>
        <v>14.08</v>
      </c>
      <c r="D141" s="6">
        <f ca="1">IF($A141="","",[1]!s_dq_close(D$1,$A141,$M$4))</f>
        <v>14.79</v>
      </c>
      <c r="E141" s="6">
        <f ca="1">IF($A141="","",[1]!s_dq_close(E$1,$A141,$M$4))</f>
        <v>8.1199999999999992</v>
      </c>
      <c r="F141" s="6">
        <f ca="1">IF($A141="","",[1]!s_dq_close(F$1,$A141,$M$4))</f>
        <v>13.53</v>
      </c>
      <c r="G141" s="6"/>
      <c r="H141" s="6">
        <f ca="1">IF($A141="","",[1]!s_dq_close(H$1,$A141,$M$4))</f>
        <v>15.06</v>
      </c>
      <c r="I141" s="6">
        <f ca="1">IF($A141="","",[1]!s_dq_close(I$1,$A141,$M$4))</f>
        <v>13.53</v>
      </c>
      <c r="J141" s="6">
        <f t="shared" ca="1" si="3"/>
        <v>1.5300000000000011</v>
      </c>
    </row>
    <row r="142" spans="1:19">
      <c r="A142" s="2">
        <f ca="1">IF(A141="","",IF(IF(价差分析!$W$4="日",--[1]!td(A141-1),IF(价差分析!$W$4="周",--[1]!td(A141-7),--[1]!td(A141-30)))-价差分析!$T$4&gt;0,IF(价差分析!$W$4="日",--[1]!td(A141-1),IF(价差分析!$W$4="周",--[1]!td(A141-7),--[1]!td(A141-30))),""))</f>
        <v>45058</v>
      </c>
      <c r="B142" s="6">
        <f ca="1">IF($A142="","",[1]!s_dq_close(B$1,$A142,$M$4))</f>
        <v>15.06</v>
      </c>
      <c r="C142" s="6">
        <f ca="1">IF($A142="","",[1]!s_dq_close(C$1,$A142,$M$4))</f>
        <v>14.15</v>
      </c>
      <c r="D142" s="6">
        <f ca="1">IF($A142="","",[1]!s_dq_close(D$1,$A142,$M$4))</f>
        <v>14.74</v>
      </c>
      <c r="E142" s="6">
        <f ca="1">IF($A142="","",[1]!s_dq_close(E$1,$A142,$M$4))</f>
        <v>8.0500000000000007</v>
      </c>
      <c r="F142" s="6">
        <f ca="1">IF($A142="","",[1]!s_dq_close(F$1,$A142,$M$4))</f>
        <v>13.57</v>
      </c>
      <c r="G142" s="6"/>
      <c r="H142" s="6">
        <f ca="1">IF($A142="","",[1]!s_dq_close(H$1,$A142,$M$4))</f>
        <v>15.06</v>
      </c>
      <c r="I142" s="6">
        <f ca="1">IF($A142="","",[1]!s_dq_close(I$1,$A142,$M$4))</f>
        <v>13.57</v>
      </c>
      <c r="J142" s="6">
        <f t="shared" ca="1" si="3"/>
        <v>1.4900000000000002</v>
      </c>
    </row>
    <row r="143" spans="1:19">
      <c r="A143" s="2">
        <f ca="1">IF(A142="","",IF(IF(价差分析!$W$4="日",--[1]!td(A142-1),IF(价差分析!$W$4="周",--[1]!td(A142-7),--[1]!td(A142-30)))-价差分析!$T$4&gt;0,IF(价差分析!$W$4="日",--[1]!td(A142-1),IF(价差分析!$W$4="周",--[1]!td(A142-7),--[1]!td(A142-30))),""))</f>
        <v>45057</v>
      </c>
      <c r="B143" s="6">
        <f ca="1">IF($A143="","",[1]!s_dq_close(B$1,$A143,$M$4))</f>
        <v>15.3</v>
      </c>
      <c r="C143" s="6">
        <f ca="1">IF($A143="","",[1]!s_dq_close(C$1,$A143,$M$4))</f>
        <v>14.3</v>
      </c>
      <c r="D143" s="6">
        <f ca="1">IF($A143="","",[1]!s_dq_close(D$1,$A143,$M$4))</f>
        <v>14.91</v>
      </c>
      <c r="E143" s="6">
        <f ca="1">IF($A143="","",[1]!s_dq_close(E$1,$A143,$M$4))</f>
        <v>8.2200000000000006</v>
      </c>
      <c r="F143" s="6">
        <f ca="1">IF($A143="","",[1]!s_dq_close(F$1,$A143,$M$4))</f>
        <v>13.77</v>
      </c>
      <c r="G143" s="6"/>
      <c r="H143" s="6">
        <f ca="1">IF($A143="","",[1]!s_dq_close(H$1,$A143,$M$4))</f>
        <v>15.3</v>
      </c>
      <c r="I143" s="6">
        <f ca="1">IF($A143="","",[1]!s_dq_close(I$1,$A143,$M$4))</f>
        <v>13.77</v>
      </c>
      <c r="J143" s="6">
        <f t="shared" ca="1" si="3"/>
        <v>1.5300000000000011</v>
      </c>
    </row>
    <row r="144" spans="1:19">
      <c r="A144" s="2">
        <f ca="1">IF(A143="","",IF(IF(价差分析!$W$4="日",--[1]!td(A143-1),IF(价差分析!$W$4="周",--[1]!td(A143-7),--[1]!td(A143-30)))-价差分析!$T$4&gt;0,IF(价差分析!$W$4="日",--[1]!td(A143-1),IF(价差分析!$W$4="周",--[1]!td(A143-7),--[1]!td(A143-30))),""))</f>
        <v>45056</v>
      </c>
      <c r="B144" s="6">
        <f ca="1">IF($A144="","",[1]!s_dq_close(B$1,$A144,$M$4))</f>
        <v>15.3</v>
      </c>
      <c r="C144" s="6">
        <f ca="1">IF($A144="","",[1]!s_dq_close(C$1,$A144,$M$4))</f>
        <v>14.48</v>
      </c>
      <c r="D144" s="6">
        <f ca="1">IF($A144="","",[1]!s_dq_close(D$1,$A144,$M$4))</f>
        <v>14.94</v>
      </c>
      <c r="E144" s="6">
        <f ca="1">IF($A144="","",[1]!s_dq_close(E$1,$A144,$M$4))</f>
        <v>8.24</v>
      </c>
      <c r="F144" s="6">
        <f ca="1">IF($A144="","",[1]!s_dq_close(F$1,$A144,$M$4))</f>
        <v>13.97</v>
      </c>
      <c r="G144" s="6"/>
      <c r="H144" s="6">
        <f ca="1">IF($A144="","",[1]!s_dq_close(H$1,$A144,$M$4))</f>
        <v>15.3</v>
      </c>
      <c r="I144" s="6">
        <f ca="1">IF($A144="","",[1]!s_dq_close(I$1,$A144,$M$4))</f>
        <v>13.97</v>
      </c>
      <c r="J144" s="6">
        <f t="shared" ca="1" si="3"/>
        <v>1.33</v>
      </c>
    </row>
    <row r="145" spans="1:10">
      <c r="A145" s="2">
        <f ca="1">IF(A144="","",IF(IF(价差分析!$W$4="日",--[1]!td(A144-1),IF(价差分析!$W$4="周",--[1]!td(A144-7),--[1]!td(A144-30)))-价差分析!$T$4&gt;0,IF(价差分析!$W$4="日",--[1]!td(A144-1),IF(价差分析!$W$4="周",--[1]!td(A144-7),--[1]!td(A144-30))),""))</f>
        <v>45055</v>
      </c>
      <c r="B145" s="6">
        <f ca="1">IF($A145="","",[1]!s_dq_close(B$1,$A145,$M$4))</f>
        <v>15.47</v>
      </c>
      <c r="C145" s="6">
        <f ca="1">IF($A145="","",[1]!s_dq_close(C$1,$A145,$M$4))</f>
        <v>14.76</v>
      </c>
      <c r="D145" s="6">
        <f ca="1">IF($A145="","",[1]!s_dq_close(D$1,$A145,$M$4))</f>
        <v>15.16</v>
      </c>
      <c r="E145" s="6">
        <f ca="1">IF($A145="","",[1]!s_dq_close(E$1,$A145,$M$4))</f>
        <v>8.42</v>
      </c>
      <c r="F145" s="6">
        <f ca="1">IF($A145="","",[1]!s_dq_close(F$1,$A145,$M$4))</f>
        <v>14.37</v>
      </c>
      <c r="G145" s="6"/>
      <c r="H145" s="6">
        <f ca="1">IF($A145="","",[1]!s_dq_close(H$1,$A145,$M$4))</f>
        <v>15.47</v>
      </c>
      <c r="I145" s="6">
        <f ca="1">IF($A145="","",[1]!s_dq_close(I$1,$A145,$M$4))</f>
        <v>14.37</v>
      </c>
      <c r="J145" s="6">
        <f t="shared" ca="1" si="3"/>
        <v>1.1000000000000014</v>
      </c>
    </row>
    <row r="146" spans="1:10">
      <c r="A146" s="2">
        <f ca="1">IF(A145="","",IF(IF(价差分析!$W$4="日",--[1]!td(A145-1),IF(价差分析!$W$4="周",--[1]!td(A145-7),--[1]!td(A145-30)))-价差分析!$T$4&gt;0,IF(价差分析!$W$4="日",--[1]!td(A145-1),IF(价差分析!$W$4="周",--[1]!td(A145-7),--[1]!td(A145-30))),""))</f>
        <v>45054</v>
      </c>
      <c r="B146" s="6">
        <f ca="1">IF($A146="","",[1]!s_dq_close(B$1,$A146,$M$4))</f>
        <v>15.58</v>
      </c>
      <c r="C146" s="6">
        <f ca="1">IF($A146="","",[1]!s_dq_close(C$1,$A146,$M$4))</f>
        <v>14.53</v>
      </c>
      <c r="D146" s="6">
        <f ca="1">IF($A146="","",[1]!s_dq_close(D$1,$A146,$M$4))</f>
        <v>15.17</v>
      </c>
      <c r="E146" s="6">
        <f ca="1">IF($A146="","",[1]!s_dq_close(E$1,$A146,$M$4))</f>
        <v>8.4</v>
      </c>
      <c r="F146" s="6">
        <f ca="1">IF($A146="","",[1]!s_dq_close(F$1,$A146,$M$4))</f>
        <v>14.17</v>
      </c>
      <c r="G146" s="6"/>
      <c r="H146" s="6">
        <f ca="1">IF($A146="","",[1]!s_dq_close(H$1,$A146,$M$4))</f>
        <v>15.58</v>
      </c>
      <c r="I146" s="6">
        <f ca="1">IF($A146="","",[1]!s_dq_close(I$1,$A146,$M$4))</f>
        <v>14.17</v>
      </c>
      <c r="J146" s="6">
        <f t="shared" ca="1" si="3"/>
        <v>1.4100000000000001</v>
      </c>
    </row>
    <row r="147" spans="1:10">
      <c r="A147" s="2">
        <f ca="1">IF(A146="","",IF(IF(价差分析!$W$4="日",--[1]!td(A146-1),IF(价差分析!$W$4="周",--[1]!td(A146-7),--[1]!td(A146-30)))-价差分析!$T$4&gt;0,IF(价差分析!$W$4="日",--[1]!td(A146-1),IF(价差分析!$W$4="周",--[1]!td(A146-7),--[1]!td(A146-30))),""))</f>
        <v>45051</v>
      </c>
      <c r="B147" s="6">
        <f ca="1">IF($A147="","",[1]!s_dq_close(B$1,$A147,$M$4))</f>
        <v>15.54</v>
      </c>
      <c r="C147" s="6">
        <f ca="1">IF($A147="","",[1]!s_dq_close(C$1,$A147,$M$4))</f>
        <v>14.26</v>
      </c>
      <c r="D147" s="6">
        <f ca="1">IF($A147="","",[1]!s_dq_close(D$1,$A147,$M$4))</f>
        <v>15.31</v>
      </c>
      <c r="E147" s="6">
        <f ca="1">IF($A147="","",[1]!s_dq_close(E$1,$A147,$M$4))</f>
        <v>8.4</v>
      </c>
      <c r="F147" s="6">
        <f ca="1">IF($A147="","",[1]!s_dq_close(F$1,$A147,$M$4))</f>
        <v>13.98</v>
      </c>
      <c r="G147" s="6"/>
      <c r="H147" s="6">
        <f ca="1">IF($A147="","",[1]!s_dq_close(H$1,$A147,$M$4))</f>
        <v>15.54</v>
      </c>
      <c r="I147" s="6">
        <f ca="1">IF($A147="","",[1]!s_dq_close(I$1,$A147,$M$4))</f>
        <v>13.98</v>
      </c>
      <c r="J147" s="6">
        <f t="shared" ca="1" si="3"/>
        <v>1.5599999999999987</v>
      </c>
    </row>
    <row r="148" spans="1:10">
      <c r="A148" s="2">
        <f ca="1">IF(A147="","",IF(IF(价差分析!$W$4="日",--[1]!td(A147-1),IF(价差分析!$W$4="周",--[1]!td(A147-7),--[1]!td(A147-30)))-价差分析!$T$4&gt;0,IF(价差分析!$W$4="日",--[1]!td(A147-1),IF(价差分析!$W$4="周",--[1]!td(A147-7),--[1]!td(A147-30))),""))</f>
        <v>45050</v>
      </c>
      <c r="B148" s="6">
        <f ca="1">IF($A148="","",[1]!s_dq_close(B$1,$A148,$M$4))</f>
        <v>14.95</v>
      </c>
      <c r="C148" s="6">
        <f ca="1">IF($A148="","",[1]!s_dq_close(C$1,$A148,$M$4))</f>
        <v>13.71</v>
      </c>
      <c r="D148" s="6">
        <f ca="1">IF($A148="","",[1]!s_dq_close(D$1,$A148,$M$4))</f>
        <v>15.17</v>
      </c>
      <c r="E148" s="6">
        <f ca="1">IF($A148="","",[1]!s_dq_close(E$1,$A148,$M$4))</f>
        <v>7.92</v>
      </c>
      <c r="F148" s="6">
        <f ca="1">IF($A148="","",[1]!s_dq_close(F$1,$A148,$M$4))</f>
        <v>13.37</v>
      </c>
      <c r="G148" s="6"/>
      <c r="H148" s="6">
        <f ca="1">IF($A148="","",[1]!s_dq_close(H$1,$A148,$M$4))</f>
        <v>14.95</v>
      </c>
      <c r="I148" s="6">
        <f ca="1">IF($A148="","",[1]!s_dq_close(I$1,$A148,$M$4))</f>
        <v>13.37</v>
      </c>
      <c r="J148" s="6">
        <f t="shared" ca="1" si="3"/>
        <v>1.58</v>
      </c>
    </row>
    <row r="149" spans="1:10">
      <c r="A149" s="2">
        <f ca="1">IF(A148="","",IF(IF(价差分析!$W$4="日",--[1]!td(A148-1),IF(价差分析!$W$4="周",--[1]!td(A148-7),--[1]!td(A148-30)))-价差分析!$T$4&gt;0,IF(价差分析!$W$4="日",--[1]!td(A148-1),IF(价差分析!$W$4="周",--[1]!td(A148-7),--[1]!td(A148-30))),""))</f>
        <v>45044</v>
      </c>
      <c r="B149" s="6">
        <f ca="1">IF($A149="","",[1]!s_dq_close(B$1,$A149,$M$4))</f>
        <v>15.14</v>
      </c>
      <c r="C149" s="6">
        <f ca="1">IF($A149="","",[1]!s_dq_close(C$1,$A149,$M$4))</f>
        <v>13.91</v>
      </c>
      <c r="D149" s="6">
        <f ca="1">IF($A149="","",[1]!s_dq_close(D$1,$A149,$M$4))</f>
        <v>15.62</v>
      </c>
      <c r="E149" s="6">
        <f ca="1">IF($A149="","",[1]!s_dq_close(E$1,$A149,$M$4))</f>
        <v>8.16</v>
      </c>
      <c r="F149" s="6">
        <f ca="1">IF($A149="","",[1]!s_dq_close(F$1,$A149,$M$4))</f>
        <v>13.66</v>
      </c>
      <c r="G149" s="6"/>
      <c r="H149" s="6">
        <f ca="1">IF($A149="","",[1]!s_dq_close(H$1,$A149,$M$4))</f>
        <v>15.14</v>
      </c>
      <c r="I149" s="6">
        <f ca="1">IF($A149="","",[1]!s_dq_close(I$1,$A149,$M$4))</f>
        <v>13.66</v>
      </c>
      <c r="J149" s="6">
        <f t="shared" ca="1" si="3"/>
        <v>1.4800000000000004</v>
      </c>
    </row>
    <row r="150" spans="1:10">
      <c r="A150" s="2">
        <f ca="1">IF(A149="","",IF(IF(价差分析!$W$4="日",--[1]!td(A149-1),IF(价差分析!$W$4="周",--[1]!td(A149-7),--[1]!td(A149-30)))-价差分析!$T$4&gt;0,IF(价差分析!$W$4="日",--[1]!td(A149-1),IF(价差分析!$W$4="周",--[1]!td(A149-7),--[1]!td(A149-30))),""))</f>
        <v>45043</v>
      </c>
      <c r="B150" s="6">
        <f ca="1">IF($A150="","",[1]!s_dq_close(B$1,$A150,$M$4))</f>
        <v>14.92</v>
      </c>
      <c r="C150" s="6">
        <f ca="1">IF($A150="","",[1]!s_dq_close(C$1,$A150,$M$4))</f>
        <v>13.88</v>
      </c>
      <c r="D150" s="6">
        <f ca="1">IF($A150="","",[1]!s_dq_close(D$1,$A150,$M$4))</f>
        <v>15.17</v>
      </c>
      <c r="E150" s="6">
        <f ca="1">IF($A150="","",[1]!s_dq_close(E$1,$A150,$M$4))</f>
        <v>8.1199999999999992</v>
      </c>
      <c r="F150" s="6">
        <f ca="1">IF($A150="","",[1]!s_dq_close(F$1,$A150,$M$4))</f>
        <v>13.83</v>
      </c>
      <c r="G150" s="6"/>
      <c r="H150" s="6">
        <f ca="1">IF($A150="","",[1]!s_dq_close(H$1,$A150,$M$4))</f>
        <v>14.92</v>
      </c>
      <c r="I150" s="6">
        <f ca="1">IF($A150="","",[1]!s_dq_close(I$1,$A150,$M$4))</f>
        <v>13.83</v>
      </c>
      <c r="J150" s="6">
        <f t="shared" ca="1" si="3"/>
        <v>1.0899999999999999</v>
      </c>
    </row>
    <row r="151" spans="1:10">
      <c r="A151" s="2">
        <f ca="1">IF(A150="","",IF(IF(价差分析!$W$4="日",--[1]!td(A150-1),IF(价差分析!$W$4="周",--[1]!td(A150-7),--[1]!td(A150-30)))-价差分析!$T$4&gt;0,IF(价差分析!$W$4="日",--[1]!td(A150-1),IF(价差分析!$W$4="周",--[1]!td(A150-7),--[1]!td(A150-30))),""))</f>
        <v>45042</v>
      </c>
      <c r="B151" s="6">
        <f ca="1">IF($A151="","",[1]!s_dq_close(B$1,$A151,$M$4))</f>
        <v>14.8</v>
      </c>
      <c r="C151" s="6">
        <f ca="1">IF($A151="","",[1]!s_dq_close(C$1,$A151,$M$4))</f>
        <v>13.89</v>
      </c>
      <c r="D151" s="6">
        <f ca="1">IF($A151="","",[1]!s_dq_close(D$1,$A151,$M$4))</f>
        <v>15.08</v>
      </c>
      <c r="E151" s="6">
        <f ca="1">IF($A151="","",[1]!s_dq_close(E$1,$A151,$M$4))</f>
        <v>8.2100000000000009</v>
      </c>
      <c r="F151" s="6">
        <f ca="1">IF($A151="","",[1]!s_dq_close(F$1,$A151,$M$4))</f>
        <v>13.49</v>
      </c>
      <c r="G151" s="6"/>
      <c r="H151" s="6">
        <f ca="1">IF($A151="","",[1]!s_dq_close(H$1,$A151,$M$4))</f>
        <v>14.8</v>
      </c>
      <c r="I151" s="6">
        <f ca="1">IF($A151="","",[1]!s_dq_close(I$1,$A151,$M$4))</f>
        <v>13.49</v>
      </c>
      <c r="J151" s="6">
        <f t="shared" ca="1" si="3"/>
        <v>1.3100000000000005</v>
      </c>
    </row>
    <row r="152" spans="1:10">
      <c r="A152" s="2">
        <f ca="1">IF(A151="","",IF(IF(价差分析!$W$4="日",--[1]!td(A151-1),IF(价差分析!$W$4="周",--[1]!td(A151-7),--[1]!td(A151-30)))-价差分析!$T$4&gt;0,IF(价差分析!$W$4="日",--[1]!td(A151-1),IF(价差分析!$W$4="周",--[1]!td(A151-7),--[1]!td(A151-30))),""))</f>
        <v>45041</v>
      </c>
      <c r="B152" s="6">
        <f ca="1">IF($A152="","",[1]!s_dq_close(B$1,$A152,$M$4))</f>
        <v>14.88</v>
      </c>
      <c r="C152" s="6">
        <f ca="1">IF($A152="","",[1]!s_dq_close(C$1,$A152,$M$4))</f>
        <v>14.04</v>
      </c>
      <c r="D152" s="6">
        <f ca="1">IF($A152="","",[1]!s_dq_close(D$1,$A152,$M$4))</f>
        <v>15.36</v>
      </c>
      <c r="E152" s="6">
        <f ca="1">IF($A152="","",[1]!s_dq_close(E$1,$A152,$M$4))</f>
        <v>8.16</v>
      </c>
      <c r="F152" s="6">
        <f ca="1">IF($A152="","",[1]!s_dq_close(F$1,$A152,$M$4))</f>
        <v>13.77</v>
      </c>
      <c r="G152" s="6"/>
      <c r="H152" s="6">
        <f ca="1">IF($A152="","",[1]!s_dq_close(H$1,$A152,$M$4))</f>
        <v>14.88</v>
      </c>
      <c r="I152" s="6">
        <f ca="1">IF($A152="","",[1]!s_dq_close(I$1,$A152,$M$4))</f>
        <v>13.77</v>
      </c>
      <c r="J152" s="6">
        <f t="shared" ca="1" si="3"/>
        <v>1.1100000000000012</v>
      </c>
    </row>
    <row r="153" spans="1:10">
      <c r="A153" s="2">
        <f ca="1">IF(A152="","",IF(IF(价差分析!$W$4="日",--[1]!td(A152-1),IF(价差分析!$W$4="周",--[1]!td(A152-7),--[1]!td(A152-30)))-价差分析!$T$4&gt;0,IF(价差分析!$W$4="日",--[1]!td(A152-1),IF(价差分析!$W$4="周",--[1]!td(A152-7),--[1]!td(A152-30))),""))</f>
        <v>45040</v>
      </c>
      <c r="B153" s="6">
        <f ca="1">IF($A153="","",[1]!s_dq_close(B$1,$A153,$M$4))</f>
        <v>14.9</v>
      </c>
      <c r="C153" s="6">
        <f ca="1">IF($A153="","",[1]!s_dq_close(C$1,$A153,$M$4))</f>
        <v>14.1</v>
      </c>
      <c r="D153" s="6">
        <f ca="1">IF($A153="","",[1]!s_dq_close(D$1,$A153,$M$4))</f>
        <v>15.78</v>
      </c>
      <c r="E153" s="6">
        <f ca="1">IF($A153="","",[1]!s_dq_close(E$1,$A153,$M$4))</f>
        <v>8.17</v>
      </c>
      <c r="F153" s="6">
        <f ca="1">IF($A153="","",[1]!s_dq_close(F$1,$A153,$M$4))</f>
        <v>14</v>
      </c>
      <c r="G153" s="6"/>
      <c r="H153" s="6">
        <f ca="1">IF($A153="","",[1]!s_dq_close(H$1,$A153,$M$4))</f>
        <v>14.9</v>
      </c>
      <c r="I153" s="6">
        <f ca="1">IF($A153="","",[1]!s_dq_close(I$1,$A153,$M$4))</f>
        <v>14</v>
      </c>
      <c r="J153" s="6">
        <f t="shared" ca="1" si="3"/>
        <v>0.90000000000000036</v>
      </c>
    </row>
    <row r="154" spans="1:10">
      <c r="A154" s="2">
        <f ca="1">IF(A153="","",IF(IF(价差分析!$W$4="日",--[1]!td(A153-1),IF(价差分析!$W$4="周",--[1]!td(A153-7),--[1]!td(A153-30)))-价差分析!$T$4&gt;0,IF(价差分析!$W$4="日",--[1]!td(A153-1),IF(价差分析!$W$4="周",--[1]!td(A153-7),--[1]!td(A153-30))),""))</f>
        <v>45037</v>
      </c>
      <c r="B154" s="6">
        <f ca="1">IF($A154="","",[1]!s_dq_close(B$1,$A154,$M$4))</f>
        <v>15.3</v>
      </c>
      <c r="C154" s="6">
        <f ca="1">IF($A154="","",[1]!s_dq_close(C$1,$A154,$M$4))</f>
        <v>14.37</v>
      </c>
      <c r="D154" s="6">
        <f ca="1">IF($A154="","",[1]!s_dq_close(D$1,$A154,$M$4))</f>
        <v>15.75</v>
      </c>
      <c r="E154" s="6">
        <f ca="1">IF($A154="","",[1]!s_dq_close(E$1,$A154,$M$4))</f>
        <v>8.39</v>
      </c>
      <c r="F154" s="6">
        <f ca="1">IF($A154="","",[1]!s_dq_close(F$1,$A154,$M$4))</f>
        <v>14.56</v>
      </c>
      <c r="G154" s="6"/>
      <c r="H154" s="6">
        <f ca="1">IF($A154="","",[1]!s_dq_close(H$1,$A154,$M$4))</f>
        <v>15.3</v>
      </c>
      <c r="I154" s="6">
        <f ca="1">IF($A154="","",[1]!s_dq_close(I$1,$A154,$M$4))</f>
        <v>14.56</v>
      </c>
      <c r="J154" s="6">
        <f t="shared" ca="1" si="3"/>
        <v>0.74000000000000021</v>
      </c>
    </row>
    <row r="155" spans="1:10">
      <c r="A155" s="2">
        <f ca="1">IF(A154="","",IF(IF(价差分析!$W$4="日",--[1]!td(A154-1),IF(价差分析!$W$4="周",--[1]!td(A154-7),--[1]!td(A154-30)))-价差分析!$T$4&gt;0,IF(价差分析!$W$4="日",--[1]!td(A154-1),IF(价差分析!$W$4="周",--[1]!td(A154-7),--[1]!td(A154-30))),""))</f>
        <v>45036</v>
      </c>
      <c r="B155" s="6">
        <f ca="1">IF($A155="","",[1]!s_dq_close(B$1,$A155,$M$4))</f>
        <v>15.43</v>
      </c>
      <c r="C155" s="6">
        <f ca="1">IF($A155="","",[1]!s_dq_close(C$1,$A155,$M$4))</f>
        <v>14.27</v>
      </c>
      <c r="D155" s="6">
        <f ca="1">IF($A155="","",[1]!s_dq_close(D$1,$A155,$M$4))</f>
        <v>16.91</v>
      </c>
      <c r="E155" s="6">
        <f ca="1">IF($A155="","",[1]!s_dq_close(E$1,$A155,$M$4))</f>
        <v>8.51</v>
      </c>
      <c r="F155" s="6">
        <f ca="1">IF($A155="","",[1]!s_dq_close(F$1,$A155,$M$4))</f>
        <v>14.67</v>
      </c>
      <c r="G155" s="6"/>
      <c r="H155" s="6">
        <f ca="1">IF($A155="","",[1]!s_dq_close(H$1,$A155,$M$4))</f>
        <v>15.43</v>
      </c>
      <c r="I155" s="6">
        <f ca="1">IF($A155="","",[1]!s_dq_close(I$1,$A155,$M$4))</f>
        <v>14.67</v>
      </c>
      <c r="J155" s="6">
        <f t="shared" ca="1" si="3"/>
        <v>0.75999999999999979</v>
      </c>
    </row>
    <row r="156" spans="1:10">
      <c r="A156" s="2">
        <f ca="1">IF(A155="","",IF(IF(价差分析!$W$4="日",--[1]!td(A155-1),IF(价差分析!$W$4="周",--[1]!td(A155-7),--[1]!td(A155-30)))-价差分析!$T$4&gt;0,IF(价差分析!$W$4="日",--[1]!td(A155-1),IF(价差分析!$W$4="周",--[1]!td(A155-7),--[1]!td(A155-30))),""))</f>
        <v>45035</v>
      </c>
      <c r="B156" s="6">
        <f ca="1">IF($A156="","",[1]!s_dq_close(B$1,$A156,$M$4))</f>
        <v>15.48</v>
      </c>
      <c r="C156" s="6">
        <f ca="1">IF($A156="","",[1]!s_dq_close(C$1,$A156,$M$4))</f>
        <v>14.38</v>
      </c>
      <c r="D156" s="6">
        <f ca="1">IF($A156="","",[1]!s_dq_close(D$1,$A156,$M$4))</f>
        <v>16.36</v>
      </c>
      <c r="E156" s="6">
        <f ca="1">IF($A156="","",[1]!s_dq_close(E$1,$A156,$M$4))</f>
        <v>8.51</v>
      </c>
      <c r="F156" s="6">
        <f ca="1">IF($A156="","",[1]!s_dq_close(F$1,$A156,$M$4))</f>
        <v>14.75</v>
      </c>
      <c r="G156" s="6"/>
      <c r="H156" s="6">
        <f ca="1">IF($A156="","",[1]!s_dq_close(H$1,$A156,$M$4))</f>
        <v>15.48</v>
      </c>
      <c r="I156" s="6">
        <f ca="1">IF($A156="","",[1]!s_dq_close(I$1,$A156,$M$4))</f>
        <v>14.75</v>
      </c>
      <c r="J156" s="6">
        <f t="shared" ca="1" si="3"/>
        <v>0.73000000000000043</v>
      </c>
    </row>
    <row r="157" spans="1:10">
      <c r="A157" s="2">
        <f ca="1">IF(A156="","",IF(IF(价差分析!$W$4="日",--[1]!td(A156-1),IF(价差分析!$W$4="周",--[1]!td(A156-7),--[1]!td(A156-30)))-价差分析!$T$4&gt;0,IF(价差分析!$W$4="日",--[1]!td(A156-1),IF(价差分析!$W$4="周",--[1]!td(A156-7),--[1]!td(A156-30))),""))</f>
        <v>45034</v>
      </c>
      <c r="B157" s="6">
        <f ca="1">IF($A157="","",[1]!s_dq_close(B$1,$A157,$M$4))</f>
        <v>15.9</v>
      </c>
      <c r="C157" s="6">
        <f ca="1">IF($A157="","",[1]!s_dq_close(C$1,$A157,$M$4))</f>
        <v>14.72</v>
      </c>
      <c r="D157" s="6">
        <f ca="1">IF($A157="","",[1]!s_dq_close(D$1,$A157,$M$4))</f>
        <v>16.46</v>
      </c>
      <c r="E157" s="6">
        <f ca="1">IF($A157="","",[1]!s_dq_close(E$1,$A157,$M$4))</f>
        <v>8.89</v>
      </c>
      <c r="F157" s="6">
        <f ca="1">IF($A157="","",[1]!s_dq_close(F$1,$A157,$M$4))</f>
        <v>15.16</v>
      </c>
      <c r="G157" s="6"/>
      <c r="H157" s="6">
        <f ca="1">IF($A157="","",[1]!s_dq_close(H$1,$A157,$M$4))</f>
        <v>15.9</v>
      </c>
      <c r="I157" s="6">
        <f ca="1">IF($A157="","",[1]!s_dq_close(I$1,$A157,$M$4))</f>
        <v>15.16</v>
      </c>
      <c r="J157" s="6">
        <f t="shared" ca="1" si="3"/>
        <v>0.74000000000000021</v>
      </c>
    </row>
    <row r="158" spans="1:10">
      <c r="A158" s="2">
        <f ca="1">IF(A157="","",IF(IF(价差分析!$W$4="日",--[1]!td(A157-1),IF(价差分析!$W$4="周",--[1]!td(A157-7),--[1]!td(A157-30)))-价差分析!$T$4&gt;0,IF(价差分析!$W$4="日",--[1]!td(A157-1),IF(价差分析!$W$4="周",--[1]!td(A157-7),--[1]!td(A157-30))),""))</f>
        <v>45033</v>
      </c>
      <c r="B158" s="6">
        <f ca="1">IF($A158="","",[1]!s_dq_close(B$1,$A158,$M$4))</f>
        <v>15.93</v>
      </c>
      <c r="C158" s="6">
        <f ca="1">IF($A158="","",[1]!s_dq_close(C$1,$A158,$M$4))</f>
        <v>14.86</v>
      </c>
      <c r="D158" s="6">
        <f ca="1">IF($A158="","",[1]!s_dq_close(D$1,$A158,$M$4))</f>
        <v>16.170000000000002</v>
      </c>
      <c r="E158" s="6">
        <f ca="1">IF($A158="","",[1]!s_dq_close(E$1,$A158,$M$4))</f>
        <v>8.89</v>
      </c>
      <c r="F158" s="6">
        <f ca="1">IF($A158="","",[1]!s_dq_close(F$1,$A158,$M$4))</f>
        <v>15.1</v>
      </c>
      <c r="G158" s="6"/>
      <c r="H158" s="6">
        <f ca="1">IF($A158="","",[1]!s_dq_close(H$1,$A158,$M$4))</f>
        <v>15.93</v>
      </c>
      <c r="I158" s="6">
        <f ca="1">IF($A158="","",[1]!s_dq_close(I$1,$A158,$M$4))</f>
        <v>15.1</v>
      </c>
      <c r="J158" s="6">
        <f t="shared" ca="1" si="3"/>
        <v>0.83000000000000007</v>
      </c>
    </row>
    <row r="159" spans="1:10">
      <c r="A159" s="2">
        <f ca="1">IF(A158="","",IF(IF(价差分析!$W$4="日",--[1]!td(A158-1),IF(价差分析!$W$4="周",--[1]!td(A158-7),--[1]!td(A158-30)))-价差分析!$T$4&gt;0,IF(价差分析!$W$4="日",--[1]!td(A158-1),IF(价差分析!$W$4="周",--[1]!td(A158-7),--[1]!td(A158-30))),""))</f>
        <v>45030</v>
      </c>
      <c r="B159" s="6">
        <f ca="1">IF($A159="","",[1]!s_dq_close(B$1,$A159,$M$4))</f>
        <v>15.81</v>
      </c>
      <c r="C159" s="6">
        <f ca="1">IF($A159="","",[1]!s_dq_close(C$1,$A159,$M$4))</f>
        <v>15.07</v>
      </c>
      <c r="D159" s="6">
        <f ca="1">IF($A159="","",[1]!s_dq_close(D$1,$A159,$M$4))</f>
        <v>16.61</v>
      </c>
      <c r="E159" s="6">
        <f ca="1">IF($A159="","",[1]!s_dq_close(E$1,$A159,$M$4))</f>
        <v>8.85</v>
      </c>
      <c r="F159" s="6">
        <f ca="1">IF($A159="","",[1]!s_dq_close(F$1,$A159,$M$4))</f>
        <v>14.99</v>
      </c>
      <c r="G159" s="6"/>
      <c r="H159" s="6">
        <f ca="1">IF($A159="","",[1]!s_dq_close(H$1,$A159,$M$4))</f>
        <v>15.81</v>
      </c>
      <c r="I159" s="6">
        <f ca="1">IF($A159="","",[1]!s_dq_close(I$1,$A159,$M$4))</f>
        <v>14.99</v>
      </c>
      <c r="J159" s="6">
        <f t="shared" ca="1" si="3"/>
        <v>0.82000000000000028</v>
      </c>
    </row>
    <row r="160" spans="1:10">
      <c r="A160" s="2">
        <f ca="1">IF(A159="","",IF(IF(价差分析!$W$4="日",--[1]!td(A159-1),IF(价差分析!$W$4="周",--[1]!td(A159-7),--[1]!td(A159-30)))-价差分析!$T$4&gt;0,IF(价差分析!$W$4="日",--[1]!td(A159-1),IF(价差分析!$W$4="周",--[1]!td(A159-7),--[1]!td(A159-30))),""))</f>
        <v>45029</v>
      </c>
      <c r="B160" s="6">
        <f ca="1">IF($A160="","",[1]!s_dq_close(B$1,$A160,$M$4))</f>
        <v>15.85</v>
      </c>
      <c r="C160" s="6">
        <f ca="1">IF($A160="","",[1]!s_dq_close(C$1,$A160,$M$4))</f>
        <v>15.17</v>
      </c>
      <c r="D160" s="6">
        <f ca="1">IF($A160="","",[1]!s_dq_close(D$1,$A160,$M$4))</f>
        <v>15.95</v>
      </c>
      <c r="E160" s="6">
        <f ca="1">IF($A160="","",[1]!s_dq_close(E$1,$A160,$M$4))</f>
        <v>8.8699999999999992</v>
      </c>
      <c r="F160" s="6">
        <f ca="1">IF($A160="","",[1]!s_dq_close(F$1,$A160,$M$4))</f>
        <v>15.21</v>
      </c>
      <c r="G160" s="6"/>
      <c r="H160" s="6">
        <f ca="1">IF($A160="","",[1]!s_dq_close(H$1,$A160,$M$4))</f>
        <v>15.85</v>
      </c>
      <c r="I160" s="6">
        <f ca="1">IF($A160="","",[1]!s_dq_close(I$1,$A160,$M$4))</f>
        <v>15.21</v>
      </c>
      <c r="J160" s="6">
        <f t="shared" ca="1" si="3"/>
        <v>0.63999999999999879</v>
      </c>
    </row>
    <row r="161" spans="1:10">
      <c r="A161" s="2">
        <f ca="1">IF(A160="","",IF(IF(价差分析!$W$4="日",--[1]!td(A160-1),IF(价差分析!$W$4="周",--[1]!td(A160-7),--[1]!td(A160-30)))-价差分析!$T$4&gt;0,IF(价差分析!$W$4="日",--[1]!td(A160-1),IF(价差分析!$W$4="周",--[1]!td(A160-7),--[1]!td(A160-30))),""))</f>
        <v>45028</v>
      </c>
      <c r="B161" s="6">
        <f ca="1">IF($A161="","",[1]!s_dq_close(B$1,$A161,$M$4))</f>
        <v>16.05</v>
      </c>
      <c r="C161" s="6">
        <f ca="1">IF($A161="","",[1]!s_dq_close(C$1,$A161,$M$4))</f>
        <v>15.19</v>
      </c>
      <c r="D161" s="6">
        <f ca="1">IF($A161="","",[1]!s_dq_close(D$1,$A161,$M$4))</f>
        <v>16.399999999999999</v>
      </c>
      <c r="E161" s="6">
        <f ca="1">IF($A161="","",[1]!s_dq_close(E$1,$A161,$M$4))</f>
        <v>8.9700000000000006</v>
      </c>
      <c r="F161" s="6">
        <f ca="1">IF($A161="","",[1]!s_dq_close(F$1,$A161,$M$4))</f>
        <v>15.2</v>
      </c>
      <c r="G161" s="6"/>
      <c r="H161" s="6">
        <f ca="1">IF($A161="","",[1]!s_dq_close(H$1,$A161,$M$4))</f>
        <v>16.05</v>
      </c>
      <c r="I161" s="6">
        <f ca="1">IF($A161="","",[1]!s_dq_close(I$1,$A161,$M$4))</f>
        <v>15.2</v>
      </c>
      <c r="J161" s="6">
        <f t="shared" ca="1" si="3"/>
        <v>0.85000000000000142</v>
      </c>
    </row>
    <row r="162" spans="1:10">
      <c r="A162" s="2">
        <f ca="1">IF(A161="","",IF(IF(价差分析!$W$4="日",--[1]!td(A161-1),IF(价差分析!$W$4="周",--[1]!td(A161-7),--[1]!td(A161-30)))-价差分析!$T$4&gt;0,IF(价差分析!$W$4="日",--[1]!td(A161-1),IF(价差分析!$W$4="周",--[1]!td(A161-7),--[1]!td(A161-30))),""))</f>
        <v>45027</v>
      </c>
      <c r="B162" s="6">
        <f ca="1">IF($A162="","",[1]!s_dq_close(B$1,$A162,$M$4))</f>
        <v>16.04</v>
      </c>
      <c r="C162" s="6">
        <f ca="1">IF($A162="","",[1]!s_dq_close(C$1,$A162,$M$4))</f>
        <v>15.26</v>
      </c>
      <c r="D162" s="6">
        <f ca="1">IF($A162="","",[1]!s_dq_close(D$1,$A162,$M$4))</f>
        <v>16.41</v>
      </c>
      <c r="E162" s="6">
        <f ca="1">IF($A162="","",[1]!s_dq_close(E$1,$A162,$M$4))</f>
        <v>8.9600000000000009</v>
      </c>
      <c r="F162" s="6">
        <f ca="1">IF($A162="","",[1]!s_dq_close(F$1,$A162,$M$4))</f>
        <v>15.16</v>
      </c>
      <c r="G162" s="6"/>
      <c r="H162" s="6">
        <f ca="1">IF($A162="","",[1]!s_dq_close(H$1,$A162,$M$4))</f>
        <v>16.04</v>
      </c>
      <c r="I162" s="6">
        <f ca="1">IF($A162="","",[1]!s_dq_close(I$1,$A162,$M$4))</f>
        <v>15.16</v>
      </c>
      <c r="J162" s="6">
        <f t="shared" ca="1" si="3"/>
        <v>0.87999999999999901</v>
      </c>
    </row>
    <row r="163" spans="1:10">
      <c r="A163" s="2">
        <f ca="1">IF(A162="","",IF(IF(价差分析!$W$4="日",--[1]!td(A162-1),IF(价差分析!$W$4="周",--[1]!td(A162-7),--[1]!td(A162-30)))-价差分析!$T$4&gt;0,IF(价差分析!$W$4="日",--[1]!td(A162-1),IF(价差分析!$W$4="周",--[1]!td(A162-7),--[1]!td(A162-30))),""))</f>
        <v>45026</v>
      </c>
      <c r="B163" s="6">
        <f ca="1">IF($A163="","",[1]!s_dq_close(B$1,$A163,$M$4))</f>
        <v>15.7</v>
      </c>
      <c r="C163" s="6">
        <f ca="1">IF($A163="","",[1]!s_dq_close(C$1,$A163,$M$4))</f>
        <v>15.15</v>
      </c>
      <c r="D163" s="6">
        <f ca="1">IF($A163="","",[1]!s_dq_close(D$1,$A163,$M$4))</f>
        <v>16.399999999999999</v>
      </c>
      <c r="E163" s="6">
        <f ca="1">IF($A163="","",[1]!s_dq_close(E$1,$A163,$M$4))</f>
        <v>8.81</v>
      </c>
      <c r="F163" s="6">
        <f ca="1">IF($A163="","",[1]!s_dq_close(F$1,$A163,$M$4))</f>
        <v>15</v>
      </c>
      <c r="G163" s="6"/>
      <c r="H163" s="6">
        <f ca="1">IF($A163="","",[1]!s_dq_close(H$1,$A163,$M$4))</f>
        <v>15.7</v>
      </c>
      <c r="I163" s="6">
        <f ca="1">IF($A163="","",[1]!s_dq_close(I$1,$A163,$M$4))</f>
        <v>15</v>
      </c>
      <c r="J163" s="6">
        <f t="shared" ca="1" si="3"/>
        <v>0.69999999999999929</v>
      </c>
    </row>
    <row r="164" spans="1:10">
      <c r="A164" s="2">
        <f ca="1">IF(A163="","",IF(IF(价差分析!$W$4="日",--[1]!td(A163-1),IF(价差分析!$W$4="周",--[1]!td(A163-7),--[1]!td(A163-30)))-价差分析!$T$4&gt;0,IF(价差分析!$W$4="日",--[1]!td(A163-1),IF(价差分析!$W$4="周",--[1]!td(A163-7),--[1]!td(A163-30))),""))</f>
        <v>45023</v>
      </c>
      <c r="B164" s="6">
        <f ca="1">IF($A164="","",[1]!s_dq_close(B$1,$A164,$M$4))</f>
        <v>15.82</v>
      </c>
      <c r="C164" s="6">
        <f ca="1">IF($A164="","",[1]!s_dq_close(C$1,$A164,$M$4))</f>
        <v>15.11</v>
      </c>
      <c r="D164" s="6">
        <f ca="1">IF($A164="","",[1]!s_dq_close(D$1,$A164,$M$4))</f>
        <v>17.37</v>
      </c>
      <c r="E164" s="6">
        <f ca="1">IF($A164="","",[1]!s_dq_close(E$1,$A164,$M$4))</f>
        <v>9.01</v>
      </c>
      <c r="F164" s="6">
        <f ca="1">IF($A164="","",[1]!s_dq_close(F$1,$A164,$M$4))</f>
        <v>14.87</v>
      </c>
      <c r="G164" s="6"/>
      <c r="H164" s="6">
        <f ca="1">IF($A164="","",[1]!s_dq_close(H$1,$A164,$M$4))</f>
        <v>15.82</v>
      </c>
      <c r="I164" s="6">
        <f ca="1">IF($A164="","",[1]!s_dq_close(I$1,$A164,$M$4))</f>
        <v>14.87</v>
      </c>
      <c r="J164" s="6">
        <f t="shared" ca="1" si="3"/>
        <v>0.95000000000000107</v>
      </c>
    </row>
    <row r="165" spans="1:10">
      <c r="A165" s="2">
        <f ca="1">IF(A164="","",IF(IF(价差分析!$W$4="日",--[1]!td(A164-1),IF(价差分析!$W$4="周",--[1]!td(A164-7),--[1]!td(A164-30)))-价差分析!$T$4&gt;0,IF(价差分析!$W$4="日",--[1]!td(A164-1),IF(价差分析!$W$4="周",--[1]!td(A164-7),--[1]!td(A164-30))),""))</f>
        <v>45022</v>
      </c>
      <c r="B165" s="6">
        <f ca="1">IF($A165="","",[1]!s_dq_close(B$1,$A165,$M$4))</f>
        <v>15.04</v>
      </c>
      <c r="C165" s="6">
        <f ca="1">IF($A165="","",[1]!s_dq_close(C$1,$A165,$M$4))</f>
        <v>14.61</v>
      </c>
      <c r="D165" s="6">
        <f ca="1">IF($A165="","",[1]!s_dq_close(D$1,$A165,$M$4))</f>
        <v>17.3</v>
      </c>
      <c r="E165" s="6">
        <f ca="1">IF($A165="","",[1]!s_dq_close(E$1,$A165,$M$4))</f>
        <v>8.51</v>
      </c>
      <c r="F165" s="6">
        <f ca="1">IF($A165="","",[1]!s_dq_close(F$1,$A165,$M$4))</f>
        <v>14</v>
      </c>
      <c r="G165" s="6"/>
      <c r="H165" s="6">
        <f ca="1">IF($A165="","",[1]!s_dq_close(H$1,$A165,$M$4))</f>
        <v>15.04</v>
      </c>
      <c r="I165" s="6">
        <f ca="1">IF($A165="","",[1]!s_dq_close(I$1,$A165,$M$4))</f>
        <v>14</v>
      </c>
      <c r="J165" s="6">
        <f t="shared" ca="1" si="3"/>
        <v>1.0399999999999991</v>
      </c>
    </row>
    <row r="166" spans="1:10">
      <c r="A166" s="2">
        <f ca="1">IF(A165="","",IF(IF(价差分析!$W$4="日",--[1]!td(A165-1),IF(价差分析!$W$4="周",--[1]!td(A165-7),--[1]!td(A165-30)))-价差分析!$T$4&gt;0,IF(价差分析!$W$4="日",--[1]!td(A165-1),IF(价差分析!$W$4="周",--[1]!td(A165-7),--[1]!td(A165-30))),""))</f>
        <v>45020</v>
      </c>
      <c r="B166" s="6">
        <f ca="1">IF($A166="","",[1]!s_dq_close(B$1,$A166,$M$4))</f>
        <v>15.15</v>
      </c>
      <c r="C166" s="6">
        <f ca="1">IF($A166="","",[1]!s_dq_close(C$1,$A166,$M$4))</f>
        <v>14.65</v>
      </c>
      <c r="D166" s="6">
        <f ca="1">IF($A166="","",[1]!s_dq_close(D$1,$A166,$M$4))</f>
        <v>16.809999999999999</v>
      </c>
      <c r="E166" s="6">
        <f ca="1">IF($A166="","",[1]!s_dq_close(E$1,$A166,$M$4))</f>
        <v>8.5299999999999994</v>
      </c>
      <c r="F166" s="6">
        <f ca="1">IF($A166="","",[1]!s_dq_close(F$1,$A166,$M$4))</f>
        <v>13.99</v>
      </c>
      <c r="G166" s="6"/>
      <c r="H166" s="6">
        <f ca="1">IF($A166="","",[1]!s_dq_close(H$1,$A166,$M$4))</f>
        <v>15.15</v>
      </c>
      <c r="I166" s="6">
        <f ca="1">IF($A166="","",[1]!s_dq_close(I$1,$A166,$M$4))</f>
        <v>13.99</v>
      </c>
      <c r="J166" s="6">
        <f t="shared" ca="1" si="3"/>
        <v>1.1600000000000001</v>
      </c>
    </row>
    <row r="167" spans="1:10">
      <c r="A167" s="2">
        <f ca="1">IF(A166="","",IF(IF(价差分析!$W$4="日",--[1]!td(A166-1),IF(价差分析!$W$4="周",--[1]!td(A166-7),--[1]!td(A166-30)))-价差分析!$T$4&gt;0,IF(价差分析!$W$4="日",--[1]!td(A166-1),IF(价差分析!$W$4="周",--[1]!td(A166-7),--[1]!td(A166-30))),""))</f>
        <v>45019</v>
      </c>
      <c r="B167" s="6">
        <f ca="1">IF($A167="","",[1]!s_dq_close(B$1,$A167,$M$4))</f>
        <v>15.41</v>
      </c>
      <c r="C167" s="6">
        <f ca="1">IF($A167="","",[1]!s_dq_close(C$1,$A167,$M$4))</f>
        <v>14.62</v>
      </c>
      <c r="D167" s="6">
        <f ca="1">IF($A167="","",[1]!s_dq_close(D$1,$A167,$M$4))</f>
        <v>16.91</v>
      </c>
      <c r="E167" s="6">
        <f ca="1">IF($A167="","",[1]!s_dq_close(E$1,$A167,$M$4))</f>
        <v>8.6199999999999992</v>
      </c>
      <c r="F167" s="6">
        <f ca="1">IF($A167="","",[1]!s_dq_close(F$1,$A167,$M$4))</f>
        <v>14.05</v>
      </c>
      <c r="G167" s="6"/>
      <c r="H167" s="6">
        <f ca="1">IF($A167="","",[1]!s_dq_close(H$1,$A167,$M$4))</f>
        <v>15.41</v>
      </c>
      <c r="I167" s="6">
        <f ca="1">IF($A167="","",[1]!s_dq_close(I$1,$A167,$M$4))</f>
        <v>14.05</v>
      </c>
      <c r="J167" s="6">
        <f t="shared" ca="1" si="3"/>
        <v>1.3599999999999994</v>
      </c>
    </row>
    <row r="168" spans="1:10">
      <c r="A168" s="2">
        <f ca="1">IF(A167="","",IF(IF(价差分析!$W$4="日",--[1]!td(A167-1),IF(价差分析!$W$4="周",--[1]!td(A167-7),--[1]!td(A167-30)))-价差分析!$T$4&gt;0,IF(价差分析!$W$4="日",--[1]!td(A167-1),IF(价差分析!$W$4="周",--[1]!td(A167-7),--[1]!td(A167-30))),""))</f>
        <v>45016</v>
      </c>
      <c r="B168" s="6">
        <f ca="1">IF($A168="","",[1]!s_dq_close(B$1,$A168,$M$4))</f>
        <v>15.24</v>
      </c>
      <c r="C168" s="6">
        <f ca="1">IF($A168="","",[1]!s_dq_close(C$1,$A168,$M$4))</f>
        <v>14.13</v>
      </c>
      <c r="D168" s="6">
        <f ca="1">IF($A168="","",[1]!s_dq_close(D$1,$A168,$M$4))</f>
        <v>16.45</v>
      </c>
      <c r="E168" s="6">
        <f ca="1">IF($A168="","",[1]!s_dq_close(E$1,$A168,$M$4))</f>
        <v>8.4</v>
      </c>
      <c r="F168" s="6">
        <f ca="1">IF($A168="","",[1]!s_dq_close(F$1,$A168,$M$4))</f>
        <v>13.62</v>
      </c>
      <c r="G168" s="6"/>
      <c r="H168" s="6">
        <f ca="1">IF($A168="","",[1]!s_dq_close(H$1,$A168,$M$4))</f>
        <v>15.24</v>
      </c>
      <c r="I168" s="6">
        <f ca="1">IF($A168="","",[1]!s_dq_close(I$1,$A168,$M$4))</f>
        <v>13.62</v>
      </c>
      <c r="J168" s="6">
        <f t="shared" ca="1" si="3"/>
        <v>1.620000000000001</v>
      </c>
    </row>
    <row r="169" spans="1:10">
      <c r="A169" s="2">
        <f ca="1">IF(A168="","",IF(IF(价差分析!$W$4="日",--[1]!td(A168-1),IF(价差分析!$W$4="周",--[1]!td(A168-7),--[1]!td(A168-30)))-价差分析!$T$4&gt;0,IF(价差分析!$W$4="日",--[1]!td(A168-1),IF(价差分析!$W$4="周",--[1]!td(A168-7),--[1]!td(A168-30))),""))</f>
        <v>45015</v>
      </c>
      <c r="B169" s="6">
        <f ca="1">IF($A169="","",[1]!s_dq_close(B$1,$A169,$M$4))</f>
        <v>15.6</v>
      </c>
      <c r="C169" s="6">
        <f ca="1">IF($A169="","",[1]!s_dq_close(C$1,$A169,$M$4))</f>
        <v>14.41</v>
      </c>
      <c r="D169" s="6">
        <f ca="1">IF($A169="","",[1]!s_dq_close(D$1,$A169,$M$4))</f>
        <v>16.32</v>
      </c>
      <c r="E169" s="6">
        <f ca="1">IF($A169="","",[1]!s_dq_close(E$1,$A169,$M$4))</f>
        <v>8.48</v>
      </c>
      <c r="F169" s="6">
        <f ca="1">IF($A169="","",[1]!s_dq_close(F$1,$A169,$M$4))</f>
        <v>13.54</v>
      </c>
      <c r="G169" s="6"/>
      <c r="H169" s="6">
        <f ca="1">IF($A169="","",[1]!s_dq_close(H$1,$A169,$M$4))</f>
        <v>15.6</v>
      </c>
      <c r="I169" s="6">
        <f ca="1">IF($A169="","",[1]!s_dq_close(I$1,$A169,$M$4))</f>
        <v>13.54</v>
      </c>
      <c r="J169" s="6">
        <f t="shared" ca="1" si="3"/>
        <v>2.0600000000000005</v>
      </c>
    </row>
    <row r="170" spans="1:10">
      <c r="A170" s="2">
        <f ca="1">IF(A169="","",IF(IF(价差分析!$W$4="日",--[1]!td(A169-1),IF(价差分析!$W$4="周",--[1]!td(A169-7),--[1]!td(A169-30)))-价差分析!$T$4&gt;0,IF(价差分析!$W$4="日",--[1]!td(A169-1),IF(价差分析!$W$4="周",--[1]!td(A169-7),--[1]!td(A169-30))),""))</f>
        <v>45014</v>
      </c>
      <c r="B170" s="6">
        <f ca="1">IF($A170="","",[1]!s_dq_close(B$1,$A170,$M$4))</f>
        <v>15.39</v>
      </c>
      <c r="C170" s="6">
        <f ca="1">IF($A170="","",[1]!s_dq_close(C$1,$A170,$M$4))</f>
        <v>14.12</v>
      </c>
      <c r="D170" s="6">
        <f ca="1">IF($A170="","",[1]!s_dq_close(D$1,$A170,$M$4))</f>
        <v>17.2</v>
      </c>
      <c r="E170" s="6">
        <f ca="1">IF($A170="","",[1]!s_dq_close(E$1,$A170,$M$4))</f>
        <v>8.3800000000000008</v>
      </c>
      <c r="F170" s="6">
        <f ca="1">IF($A170="","",[1]!s_dq_close(F$1,$A170,$M$4))</f>
        <v>13.24</v>
      </c>
      <c r="G170" s="6"/>
      <c r="H170" s="6">
        <f ca="1">IF($A170="","",[1]!s_dq_close(H$1,$A170,$M$4))</f>
        <v>15.39</v>
      </c>
      <c r="I170" s="6">
        <f ca="1">IF($A170="","",[1]!s_dq_close(I$1,$A170,$M$4))</f>
        <v>13.24</v>
      </c>
      <c r="J170" s="6">
        <f t="shared" ca="1" si="3"/>
        <v>2.1500000000000004</v>
      </c>
    </row>
    <row r="171" spans="1:10">
      <c r="A171" s="2">
        <f ca="1">IF(A170="","",IF(IF(价差分析!$W$4="日",--[1]!td(A170-1),IF(价差分析!$W$4="周",--[1]!td(A170-7),--[1]!td(A170-30)))-价差分析!$T$4&gt;0,IF(价差分析!$W$4="日",--[1]!td(A170-1),IF(价差分析!$W$4="周",--[1]!td(A170-7),--[1]!td(A170-30))),""))</f>
        <v>45013</v>
      </c>
      <c r="B171" s="6">
        <f ca="1">IF($A171="","",[1]!s_dq_close(B$1,$A171,$M$4))</f>
        <v>15.35</v>
      </c>
      <c r="C171" s="6">
        <f ca="1">IF($A171="","",[1]!s_dq_close(C$1,$A171,$M$4))</f>
        <v>13.97</v>
      </c>
      <c r="D171" s="6">
        <f ca="1">IF($A171="","",[1]!s_dq_close(D$1,$A171,$M$4))</f>
        <v>18.39</v>
      </c>
      <c r="E171" s="6">
        <f ca="1">IF($A171="","",[1]!s_dq_close(E$1,$A171,$M$4))</f>
        <v>8.4</v>
      </c>
      <c r="F171" s="6">
        <f ca="1">IF($A171="","",[1]!s_dq_close(F$1,$A171,$M$4))</f>
        <v>13.1</v>
      </c>
      <c r="G171" s="6"/>
      <c r="H171" s="6">
        <f ca="1">IF($A171="","",[1]!s_dq_close(H$1,$A171,$M$4))</f>
        <v>15.35</v>
      </c>
      <c r="I171" s="6">
        <f ca="1">IF($A171="","",[1]!s_dq_close(I$1,$A171,$M$4))</f>
        <v>13.1</v>
      </c>
      <c r="J171" s="6">
        <f t="shared" ca="1" si="3"/>
        <v>2.25</v>
      </c>
    </row>
    <row r="172" spans="1:10">
      <c r="A172" s="2">
        <f ca="1">IF(A171="","",IF(IF(价差分析!$W$4="日",--[1]!td(A171-1),IF(价差分析!$W$4="周",--[1]!td(A171-7),--[1]!td(A171-30)))-价差分析!$T$4&gt;0,IF(价差分析!$W$4="日",--[1]!td(A171-1),IF(价差分析!$W$4="周",--[1]!td(A171-7),--[1]!td(A171-30))),""))</f>
        <v>45012</v>
      </c>
      <c r="B172" s="6">
        <f ca="1">IF($A172="","",[1]!s_dq_close(B$1,$A172,$M$4))</f>
        <v>15.47</v>
      </c>
      <c r="C172" s="6">
        <f ca="1">IF($A172="","",[1]!s_dq_close(C$1,$A172,$M$4))</f>
        <v>14.15</v>
      </c>
      <c r="D172" s="6">
        <f ca="1">IF($A172="","",[1]!s_dq_close(D$1,$A172,$M$4))</f>
        <v>17.829999999999998</v>
      </c>
      <c r="E172" s="6">
        <f ca="1">IF($A172="","",[1]!s_dq_close(E$1,$A172,$M$4))</f>
        <v>8.5</v>
      </c>
      <c r="F172" s="6">
        <f ca="1">IF($A172="","",[1]!s_dq_close(F$1,$A172,$M$4))</f>
        <v>13.23</v>
      </c>
      <c r="G172" s="6"/>
      <c r="H172" s="6">
        <f ca="1">IF($A172="","",[1]!s_dq_close(H$1,$A172,$M$4))</f>
        <v>15.47</v>
      </c>
      <c r="I172" s="6">
        <f ca="1">IF($A172="","",[1]!s_dq_close(I$1,$A172,$M$4))</f>
        <v>13.23</v>
      </c>
      <c r="J172" s="6">
        <f t="shared" ca="1" si="3"/>
        <v>2.2400000000000002</v>
      </c>
    </row>
    <row r="173" spans="1:10">
      <c r="A173" s="2">
        <f ca="1">IF(A172="","",IF(IF(价差分析!$W$4="日",--[1]!td(A172-1),IF(价差分析!$W$4="周",--[1]!td(A172-7),--[1]!td(A172-30)))-价差分析!$T$4&gt;0,IF(价差分析!$W$4="日",--[1]!td(A172-1),IF(价差分析!$W$4="周",--[1]!td(A172-7),--[1]!td(A172-30))),""))</f>
        <v>45009</v>
      </c>
      <c r="B173" s="6">
        <f ca="1">IF($A173="","",[1]!s_dq_close(B$1,$A173,$M$4))</f>
        <v>15.81</v>
      </c>
      <c r="C173" s="6">
        <f ca="1">IF($A173="","",[1]!s_dq_close(C$1,$A173,$M$4))</f>
        <v>14.34</v>
      </c>
      <c r="D173" s="6">
        <f ca="1">IF($A173="","",[1]!s_dq_close(D$1,$A173,$M$4))</f>
        <v>18.45</v>
      </c>
      <c r="E173" s="6">
        <f ca="1">IF($A173="","",[1]!s_dq_close(E$1,$A173,$M$4))</f>
        <v>8.67</v>
      </c>
      <c r="F173" s="6">
        <f ca="1">IF($A173="","",[1]!s_dq_close(F$1,$A173,$M$4))</f>
        <v>13.48</v>
      </c>
      <c r="G173" s="6"/>
      <c r="H173" s="6">
        <f ca="1">IF($A173="","",[1]!s_dq_close(H$1,$A173,$M$4))</f>
        <v>15.81</v>
      </c>
      <c r="I173" s="6">
        <f ca="1">IF($A173="","",[1]!s_dq_close(I$1,$A173,$M$4))</f>
        <v>13.48</v>
      </c>
      <c r="J173" s="6">
        <f t="shared" ca="1" si="3"/>
        <v>2.33</v>
      </c>
    </row>
    <row r="174" spans="1:10">
      <c r="A174" s="2">
        <f ca="1">IF(A173="","",IF(IF(价差分析!$W$4="日",--[1]!td(A173-1),IF(价差分析!$W$4="周",--[1]!td(A173-7),--[1]!td(A173-30)))-价差分析!$T$4&gt;0,IF(价差分析!$W$4="日",--[1]!td(A173-1),IF(价差分析!$W$4="周",--[1]!td(A173-7),--[1]!td(A173-30))),""))</f>
        <v>45008</v>
      </c>
      <c r="B174" s="6">
        <f ca="1">IF($A174="","",[1]!s_dq_close(B$1,$A174,$M$4))</f>
        <v>15.86</v>
      </c>
      <c r="C174" s="6">
        <f ca="1">IF($A174="","",[1]!s_dq_close(C$1,$A174,$M$4))</f>
        <v>14.43</v>
      </c>
      <c r="D174" s="6">
        <f ca="1">IF($A174="","",[1]!s_dq_close(D$1,$A174,$M$4))</f>
        <v>17.93</v>
      </c>
      <c r="E174" s="6">
        <f ca="1">IF($A174="","",[1]!s_dq_close(E$1,$A174,$M$4))</f>
        <v>8.73</v>
      </c>
      <c r="F174" s="6">
        <f ca="1">IF($A174="","",[1]!s_dq_close(F$1,$A174,$M$4))</f>
        <v>13.82</v>
      </c>
      <c r="G174" s="6"/>
      <c r="H174" s="6">
        <f ca="1">IF($A174="","",[1]!s_dq_close(H$1,$A174,$M$4))</f>
        <v>15.86</v>
      </c>
      <c r="I174" s="6">
        <f ca="1">IF($A174="","",[1]!s_dq_close(I$1,$A174,$M$4))</f>
        <v>13.82</v>
      </c>
      <c r="J174" s="6">
        <f t="shared" ca="1" si="3"/>
        <v>2.0399999999999991</v>
      </c>
    </row>
    <row r="175" spans="1:10">
      <c r="A175" s="2">
        <f ca="1">IF(A174="","",IF(IF(价差分析!$W$4="日",--[1]!td(A174-1),IF(价差分析!$W$4="周",--[1]!td(A174-7),--[1]!td(A174-30)))-价差分析!$T$4&gt;0,IF(价差分析!$W$4="日",--[1]!td(A174-1),IF(价差分析!$W$4="周",--[1]!td(A174-7),--[1]!td(A174-30))),""))</f>
        <v>45007</v>
      </c>
      <c r="B175" s="6">
        <f ca="1">IF($A175="","",[1]!s_dq_close(B$1,$A175,$M$4))</f>
        <v>15.9</v>
      </c>
      <c r="C175" s="6">
        <f ca="1">IF($A175="","",[1]!s_dq_close(C$1,$A175,$M$4))</f>
        <v>14.49</v>
      </c>
      <c r="D175" s="6">
        <f ca="1">IF($A175="","",[1]!s_dq_close(D$1,$A175,$M$4))</f>
        <v>17.84</v>
      </c>
      <c r="E175" s="6">
        <f ca="1">IF($A175="","",[1]!s_dq_close(E$1,$A175,$M$4))</f>
        <v>8.76</v>
      </c>
      <c r="F175" s="6">
        <f ca="1">IF($A175="","",[1]!s_dq_close(F$1,$A175,$M$4))</f>
        <v>13.92</v>
      </c>
      <c r="G175" s="6"/>
      <c r="H175" s="6">
        <f ca="1">IF($A175="","",[1]!s_dq_close(H$1,$A175,$M$4))</f>
        <v>15.9</v>
      </c>
      <c r="I175" s="6">
        <f ca="1">IF($A175="","",[1]!s_dq_close(I$1,$A175,$M$4))</f>
        <v>13.92</v>
      </c>
      <c r="J175" s="6">
        <f t="shared" ca="1" si="3"/>
        <v>1.9800000000000004</v>
      </c>
    </row>
    <row r="176" spans="1:10">
      <c r="A176" s="2">
        <f ca="1">IF(A175="","",IF(IF(价差分析!$W$4="日",--[1]!td(A175-1),IF(价差分析!$W$4="周",--[1]!td(A175-7),--[1]!td(A175-30)))-价差分析!$T$4&gt;0,IF(价差分析!$W$4="日",--[1]!td(A175-1),IF(价差分析!$W$4="周",--[1]!td(A175-7),--[1]!td(A175-30))),""))</f>
        <v>45006</v>
      </c>
      <c r="B176" s="6">
        <f ca="1">IF($A176="","",[1]!s_dq_close(B$1,$A176,$M$4))</f>
        <v>15.74</v>
      </c>
      <c r="C176" s="6">
        <f ca="1">IF($A176="","",[1]!s_dq_close(C$1,$A176,$M$4))</f>
        <v>14.17</v>
      </c>
      <c r="D176" s="6">
        <f ca="1">IF($A176="","",[1]!s_dq_close(D$1,$A176,$M$4))</f>
        <v>18.079999999999998</v>
      </c>
      <c r="E176" s="6">
        <f ca="1">IF($A176="","",[1]!s_dq_close(E$1,$A176,$M$4))</f>
        <v>8.64</v>
      </c>
      <c r="F176" s="6">
        <f ca="1">IF($A176="","",[1]!s_dq_close(F$1,$A176,$M$4))</f>
        <v>13.49</v>
      </c>
      <c r="G176" s="6"/>
      <c r="H176" s="6">
        <f ca="1">IF($A176="","",[1]!s_dq_close(H$1,$A176,$M$4))</f>
        <v>15.74</v>
      </c>
      <c r="I176" s="6">
        <f ca="1">IF($A176="","",[1]!s_dq_close(I$1,$A176,$M$4))</f>
        <v>13.49</v>
      </c>
      <c r="J176" s="6">
        <f t="shared" ca="1" si="3"/>
        <v>2.25</v>
      </c>
    </row>
    <row r="177" spans="1:10">
      <c r="A177" s="2">
        <f ca="1">IF(A176="","",IF(IF(价差分析!$W$4="日",--[1]!td(A176-1),IF(价差分析!$W$4="周",--[1]!td(A176-7),--[1]!td(A176-30)))-价差分析!$T$4&gt;0,IF(价差分析!$W$4="日",--[1]!td(A176-1),IF(价差分析!$W$4="周",--[1]!td(A176-7),--[1]!td(A176-30))),""))</f>
        <v>45005</v>
      </c>
      <c r="B177" s="6">
        <f ca="1">IF($A177="","",[1]!s_dq_close(B$1,$A177,$M$4))</f>
        <v>15.72</v>
      </c>
      <c r="C177" s="6">
        <f ca="1">IF($A177="","",[1]!s_dq_close(C$1,$A177,$M$4))</f>
        <v>14.33</v>
      </c>
      <c r="D177" s="6">
        <f ca="1">IF($A177="","",[1]!s_dq_close(D$1,$A177,$M$4))</f>
        <v>18.23</v>
      </c>
      <c r="E177" s="6">
        <f ca="1">IF($A177="","",[1]!s_dq_close(E$1,$A177,$M$4))</f>
        <v>8.65</v>
      </c>
      <c r="F177" s="6">
        <f ca="1">IF($A177="","",[1]!s_dq_close(F$1,$A177,$M$4))</f>
        <v>13.62</v>
      </c>
      <c r="G177" s="6"/>
      <c r="H177" s="6">
        <f ca="1">IF($A177="","",[1]!s_dq_close(H$1,$A177,$M$4))</f>
        <v>15.72</v>
      </c>
      <c r="I177" s="6">
        <f ca="1">IF($A177="","",[1]!s_dq_close(I$1,$A177,$M$4))</f>
        <v>13.62</v>
      </c>
      <c r="J177" s="6">
        <f t="shared" ca="1" si="3"/>
        <v>2.1000000000000014</v>
      </c>
    </row>
    <row r="178" spans="1:10">
      <c r="A178" s="2">
        <f ca="1">IF(A177="","",IF(IF(价差分析!$W$4="日",--[1]!td(A177-1),IF(价差分析!$W$4="周",--[1]!td(A177-7),--[1]!td(A177-30)))-价差分析!$T$4&gt;0,IF(价差分析!$W$4="日",--[1]!td(A177-1),IF(价差分析!$W$4="周",--[1]!td(A177-7),--[1]!td(A177-30))),""))</f>
        <v>45002</v>
      </c>
      <c r="B178" s="6">
        <f ca="1">IF($A178="","",[1]!s_dq_close(B$1,$A178,$M$4))</f>
        <v>15.9</v>
      </c>
      <c r="C178" s="6">
        <f ca="1">IF($A178="","",[1]!s_dq_close(C$1,$A178,$M$4))</f>
        <v>14.41</v>
      </c>
      <c r="D178" s="6">
        <f ca="1">IF($A178="","",[1]!s_dq_close(D$1,$A178,$M$4))</f>
        <v>16.57</v>
      </c>
      <c r="E178" s="6">
        <f ca="1">IF($A178="","",[1]!s_dq_close(E$1,$A178,$M$4))</f>
        <v>8.73</v>
      </c>
      <c r="F178" s="6">
        <f ca="1">IF($A178="","",[1]!s_dq_close(F$1,$A178,$M$4))</f>
        <v>13.85</v>
      </c>
      <c r="G178" s="6"/>
      <c r="H178" s="6">
        <f ca="1">IF($A178="","",[1]!s_dq_close(H$1,$A178,$M$4))</f>
        <v>15.9</v>
      </c>
      <c r="I178" s="6">
        <f ca="1">IF($A178="","",[1]!s_dq_close(I$1,$A178,$M$4))</f>
        <v>13.85</v>
      </c>
      <c r="J178" s="6">
        <f t="shared" ca="1" si="3"/>
        <v>2.0500000000000007</v>
      </c>
    </row>
    <row r="179" spans="1:10">
      <c r="A179" s="2">
        <f ca="1">IF(A178="","",IF(IF(价差分析!$W$4="日",--[1]!td(A178-1),IF(价差分析!$W$4="周",--[1]!td(A178-7),--[1]!td(A178-30)))-价差分析!$T$4&gt;0,IF(价差分析!$W$4="日",--[1]!td(A178-1),IF(价差分析!$W$4="周",--[1]!td(A178-7),--[1]!td(A178-30))),""))</f>
        <v>45001</v>
      </c>
      <c r="B179" s="6">
        <f ca="1">IF($A179="","",[1]!s_dq_close(B$1,$A179,$M$4))</f>
        <v>15.75</v>
      </c>
      <c r="C179" s="6">
        <f ca="1">IF($A179="","",[1]!s_dq_close(C$1,$A179,$M$4))</f>
        <v>14.32</v>
      </c>
      <c r="D179" s="6">
        <f ca="1">IF($A179="","",[1]!s_dq_close(D$1,$A179,$M$4))</f>
        <v>15.06</v>
      </c>
      <c r="E179" s="6">
        <f ca="1">IF($A179="","",[1]!s_dq_close(E$1,$A179,$M$4))</f>
        <v>8.6300000000000008</v>
      </c>
      <c r="F179" s="6">
        <f ca="1">IF($A179="","",[1]!s_dq_close(F$1,$A179,$M$4))</f>
        <v>13.6</v>
      </c>
      <c r="G179" s="6"/>
      <c r="H179" s="6">
        <f ca="1">IF($A179="","",[1]!s_dq_close(H$1,$A179,$M$4))</f>
        <v>15.75</v>
      </c>
      <c r="I179" s="6">
        <f ca="1">IF($A179="","",[1]!s_dq_close(I$1,$A179,$M$4))</f>
        <v>13.6</v>
      </c>
      <c r="J179" s="6">
        <f t="shared" ca="1" si="3"/>
        <v>2.1500000000000004</v>
      </c>
    </row>
    <row r="180" spans="1:10">
      <c r="A180" s="2">
        <f ca="1">IF(A179="","",IF(IF(价差分析!$W$4="日",--[1]!td(A179-1),IF(价差分析!$W$4="周",--[1]!td(A179-7),--[1]!td(A179-30)))-价差分析!$T$4&gt;0,IF(价差分析!$W$4="日",--[1]!td(A179-1),IF(价差分析!$W$4="周",--[1]!td(A179-7),--[1]!td(A179-30))),""))</f>
        <v>45000</v>
      </c>
      <c r="B180" s="6">
        <f ca="1">IF($A180="","",[1]!s_dq_close(B$1,$A180,$M$4))</f>
        <v>15.86</v>
      </c>
      <c r="C180" s="6">
        <f ca="1">IF($A180="","",[1]!s_dq_close(C$1,$A180,$M$4))</f>
        <v>14.34</v>
      </c>
      <c r="D180" s="6">
        <f ca="1">IF($A180="","",[1]!s_dq_close(D$1,$A180,$M$4))</f>
        <v>14.14</v>
      </c>
      <c r="E180" s="6">
        <f ca="1">IF($A180="","",[1]!s_dq_close(E$1,$A180,$M$4))</f>
        <v>8.75</v>
      </c>
      <c r="F180" s="6">
        <f ca="1">IF($A180="","",[1]!s_dq_close(F$1,$A180,$M$4))</f>
        <v>13.84</v>
      </c>
      <c r="G180" s="6"/>
      <c r="H180" s="6">
        <f ca="1">IF($A180="","",[1]!s_dq_close(H$1,$A180,$M$4))</f>
        <v>15.86</v>
      </c>
      <c r="I180" s="6">
        <f ca="1">IF($A180="","",[1]!s_dq_close(I$1,$A180,$M$4))</f>
        <v>13.84</v>
      </c>
      <c r="J180" s="6">
        <f t="shared" ca="1" si="3"/>
        <v>2.0199999999999996</v>
      </c>
    </row>
    <row r="181" spans="1:10">
      <c r="A181" s="2">
        <f ca="1">IF(A180="","",IF(IF(价差分析!$W$4="日",--[1]!td(A180-1),IF(价差分析!$W$4="周",--[1]!td(A180-7),--[1]!td(A180-30)))-价差分析!$T$4&gt;0,IF(价差分析!$W$4="日",--[1]!td(A180-1),IF(价差分析!$W$4="周",--[1]!td(A180-7),--[1]!td(A180-30))),""))</f>
        <v>44999</v>
      </c>
      <c r="B181" s="6">
        <f ca="1">IF($A181="","",[1]!s_dq_close(B$1,$A181,$M$4))</f>
        <v>15.75</v>
      </c>
      <c r="C181" s="6">
        <f ca="1">IF($A181="","",[1]!s_dq_close(C$1,$A181,$M$4))</f>
        <v>14.15</v>
      </c>
      <c r="D181" s="6">
        <f ca="1">IF($A181="","",[1]!s_dq_close(D$1,$A181,$M$4))</f>
        <v>12.85</v>
      </c>
      <c r="E181" s="6">
        <f ca="1">IF($A181="","",[1]!s_dq_close(E$1,$A181,$M$4))</f>
        <v>8.68</v>
      </c>
      <c r="F181" s="6">
        <f ca="1">IF($A181="","",[1]!s_dq_close(F$1,$A181,$M$4))</f>
        <v>13.83</v>
      </c>
      <c r="G181" s="6"/>
      <c r="H181" s="6">
        <f ca="1">IF($A181="","",[1]!s_dq_close(H$1,$A181,$M$4))</f>
        <v>15.75</v>
      </c>
      <c r="I181" s="6">
        <f ca="1">IF($A181="","",[1]!s_dq_close(I$1,$A181,$M$4))</f>
        <v>13.83</v>
      </c>
      <c r="J181" s="6">
        <f t="shared" ca="1" si="3"/>
        <v>1.92</v>
      </c>
    </row>
    <row r="182" spans="1:10">
      <c r="A182" s="2">
        <f ca="1">IF(A181="","",IF(IF(价差分析!$W$4="日",--[1]!td(A181-1),IF(价差分析!$W$4="周",--[1]!td(A181-7),--[1]!td(A181-30)))-价差分析!$T$4&gt;0,IF(价差分析!$W$4="日",--[1]!td(A181-1),IF(价差分析!$W$4="周",--[1]!td(A181-7),--[1]!td(A181-30))),""))</f>
        <v>44998</v>
      </c>
      <c r="B182" s="6">
        <f ca="1">IF($A182="","",[1]!s_dq_close(B$1,$A182,$M$4))</f>
        <v>15.84</v>
      </c>
      <c r="C182" s="6">
        <f ca="1">IF($A182="","",[1]!s_dq_close(C$1,$A182,$M$4))</f>
        <v>14.12</v>
      </c>
      <c r="D182" s="6">
        <f ca="1">IF($A182="","",[1]!s_dq_close(D$1,$A182,$M$4))</f>
        <v>13.14</v>
      </c>
      <c r="E182" s="6">
        <f ca="1">IF($A182="","",[1]!s_dq_close(E$1,$A182,$M$4))</f>
        <v>8.68</v>
      </c>
      <c r="F182" s="6">
        <f ca="1">IF($A182="","",[1]!s_dq_close(F$1,$A182,$M$4))</f>
        <v>14</v>
      </c>
      <c r="G182" s="6"/>
      <c r="H182" s="6">
        <f ca="1">IF($A182="","",[1]!s_dq_close(H$1,$A182,$M$4))</f>
        <v>15.84</v>
      </c>
      <c r="I182" s="6">
        <f ca="1">IF($A182="","",[1]!s_dq_close(I$1,$A182,$M$4))</f>
        <v>14</v>
      </c>
      <c r="J182" s="6">
        <f t="shared" ca="1" si="3"/>
        <v>1.8399999999999999</v>
      </c>
    </row>
    <row r="183" spans="1:10">
      <c r="A183" s="2">
        <f ca="1">IF(A182="","",IF(IF(价差分析!$W$4="日",--[1]!td(A182-1),IF(价差分析!$W$4="周",--[1]!td(A182-7),--[1]!td(A182-30)))-价差分析!$T$4&gt;0,IF(价差分析!$W$4="日",--[1]!td(A182-1),IF(价差分析!$W$4="周",--[1]!td(A182-7),--[1]!td(A182-30))),""))</f>
        <v>44995</v>
      </c>
      <c r="B183" s="6">
        <f ca="1">IF($A183="","",[1]!s_dq_close(B$1,$A183,$M$4))</f>
        <v>15.83</v>
      </c>
      <c r="C183" s="6">
        <f ca="1">IF($A183="","",[1]!s_dq_close(C$1,$A183,$M$4))</f>
        <v>14.29</v>
      </c>
      <c r="D183" s="6">
        <f ca="1">IF($A183="","",[1]!s_dq_close(D$1,$A183,$M$4))</f>
        <v>13.41</v>
      </c>
      <c r="E183" s="6">
        <f ca="1">IF($A183="","",[1]!s_dq_close(E$1,$A183,$M$4))</f>
        <v>8.8000000000000007</v>
      </c>
      <c r="F183" s="6">
        <f ca="1">IF($A183="","",[1]!s_dq_close(F$1,$A183,$M$4))</f>
        <v>14.17</v>
      </c>
      <c r="G183" s="6"/>
      <c r="H183" s="6">
        <f ca="1">IF($A183="","",[1]!s_dq_close(H$1,$A183,$M$4))</f>
        <v>15.83</v>
      </c>
      <c r="I183" s="6">
        <f ca="1">IF($A183="","",[1]!s_dq_close(I$1,$A183,$M$4))</f>
        <v>14.17</v>
      </c>
      <c r="J183" s="6">
        <f t="shared" ca="1" si="3"/>
        <v>1.6600000000000001</v>
      </c>
    </row>
    <row r="184" spans="1:10">
      <c r="A184" s="2">
        <f ca="1">IF(A183="","",IF(IF(价差分析!$W$4="日",--[1]!td(A183-1),IF(价差分析!$W$4="周",--[1]!td(A183-7),--[1]!td(A183-30)))-价差分析!$T$4&gt;0,IF(价差分析!$W$4="日",--[1]!td(A183-1),IF(价差分析!$W$4="周",--[1]!td(A183-7),--[1]!td(A183-30))),""))</f>
        <v>44994</v>
      </c>
      <c r="B184" s="6">
        <f ca="1">IF($A184="","",[1]!s_dq_close(B$1,$A184,$M$4))</f>
        <v>16.12</v>
      </c>
      <c r="C184" s="6">
        <f ca="1">IF($A184="","",[1]!s_dq_close(C$1,$A184,$M$4))</f>
        <v>14.44</v>
      </c>
      <c r="D184" s="6">
        <f ca="1">IF($A184="","",[1]!s_dq_close(D$1,$A184,$M$4))</f>
        <v>13.65</v>
      </c>
      <c r="E184" s="6">
        <f ca="1">IF($A184="","",[1]!s_dq_close(E$1,$A184,$M$4))</f>
        <v>8.9600000000000009</v>
      </c>
      <c r="F184" s="6">
        <f ca="1">IF($A184="","",[1]!s_dq_close(F$1,$A184,$M$4))</f>
        <v>14.53</v>
      </c>
      <c r="G184" s="6"/>
      <c r="H184" s="6">
        <f ca="1">IF($A184="","",[1]!s_dq_close(H$1,$A184,$M$4))</f>
        <v>16.12</v>
      </c>
      <c r="I184" s="6">
        <f ca="1">IF($A184="","",[1]!s_dq_close(I$1,$A184,$M$4))</f>
        <v>14.53</v>
      </c>
      <c r="J184" s="6">
        <f t="shared" ca="1" si="3"/>
        <v>1.5900000000000016</v>
      </c>
    </row>
    <row r="185" spans="1:10">
      <c r="A185" s="2">
        <f ca="1">IF(A184="","",IF(IF(价差分析!$W$4="日",--[1]!td(A184-1),IF(价差分析!$W$4="周",--[1]!td(A184-7),--[1]!td(A184-30)))-价差分析!$T$4&gt;0,IF(价差分析!$W$4="日",--[1]!td(A184-1),IF(价差分析!$W$4="周",--[1]!td(A184-7),--[1]!td(A184-30))),""))</f>
        <v>44993</v>
      </c>
      <c r="B185" s="6">
        <f ca="1">IF($A185="","",[1]!s_dq_close(B$1,$A185,$M$4))</f>
        <v>16.09</v>
      </c>
      <c r="C185" s="6">
        <f ca="1">IF($A185="","",[1]!s_dq_close(C$1,$A185,$M$4))</f>
        <v>14.6</v>
      </c>
      <c r="D185" s="6">
        <f ca="1">IF($A185="","",[1]!s_dq_close(D$1,$A185,$M$4))</f>
        <v>12.41</v>
      </c>
      <c r="E185" s="6">
        <f ca="1">IF($A185="","",[1]!s_dq_close(E$1,$A185,$M$4))</f>
        <v>9.11</v>
      </c>
      <c r="F185" s="6">
        <f ca="1">IF($A185="","",[1]!s_dq_close(F$1,$A185,$M$4))</f>
        <v>14.37</v>
      </c>
      <c r="G185" s="6"/>
      <c r="H185" s="6">
        <f ca="1">IF($A185="","",[1]!s_dq_close(H$1,$A185,$M$4))</f>
        <v>16.09</v>
      </c>
      <c r="I185" s="6">
        <f ca="1">IF($A185="","",[1]!s_dq_close(I$1,$A185,$M$4))</f>
        <v>14.37</v>
      </c>
      <c r="J185" s="6">
        <f t="shared" ca="1" si="3"/>
        <v>1.7200000000000006</v>
      </c>
    </row>
    <row r="186" spans="1:10">
      <c r="A186" s="2">
        <f ca="1">IF(A185="","",IF(IF(价差分析!$W$4="日",--[1]!td(A185-1),IF(价差分析!$W$4="周",--[1]!td(A185-7),--[1]!td(A185-30)))-价差分析!$T$4&gt;0,IF(价差分析!$W$4="日",--[1]!td(A185-1),IF(价差分析!$W$4="周",--[1]!td(A185-7),--[1]!td(A185-30))),""))</f>
        <v>44992</v>
      </c>
      <c r="B186" s="6">
        <f ca="1">IF($A186="","",[1]!s_dq_close(B$1,$A186,$M$4))</f>
        <v>16.13</v>
      </c>
      <c r="C186" s="6">
        <f ca="1">IF($A186="","",[1]!s_dq_close(C$1,$A186,$M$4))</f>
        <v>14.54</v>
      </c>
      <c r="D186" s="6">
        <f ca="1">IF($A186="","",[1]!s_dq_close(D$1,$A186,$M$4))</f>
        <v>12.24</v>
      </c>
      <c r="E186" s="6">
        <f ca="1">IF($A186="","",[1]!s_dq_close(E$1,$A186,$M$4))</f>
        <v>9.08</v>
      </c>
      <c r="F186" s="6">
        <f ca="1">IF($A186="","",[1]!s_dq_close(F$1,$A186,$M$4))</f>
        <v>14.37</v>
      </c>
      <c r="G186" s="6"/>
      <c r="H186" s="6">
        <f ca="1">IF($A186="","",[1]!s_dq_close(H$1,$A186,$M$4))</f>
        <v>16.13</v>
      </c>
      <c r="I186" s="6">
        <f ca="1">IF($A186="","",[1]!s_dq_close(I$1,$A186,$M$4))</f>
        <v>14.37</v>
      </c>
      <c r="J186" s="6">
        <f t="shared" ca="1" si="3"/>
        <v>1.7599999999999998</v>
      </c>
    </row>
    <row r="187" spans="1:10">
      <c r="A187" s="2">
        <f ca="1">IF(A186="","",IF(IF(价差分析!$W$4="日",--[1]!td(A186-1),IF(价差分析!$W$4="周",--[1]!td(A186-7),--[1]!td(A186-30)))-价差分析!$T$4&gt;0,IF(价差分析!$W$4="日",--[1]!td(A186-1),IF(价差分析!$W$4="周",--[1]!td(A186-7),--[1]!td(A186-30))),""))</f>
        <v>44991</v>
      </c>
      <c r="B187" s="6">
        <f ca="1">IF($A187="","",[1]!s_dq_close(B$1,$A187,$M$4))</f>
        <v>16.45</v>
      </c>
      <c r="C187" s="6">
        <f ca="1">IF($A187="","",[1]!s_dq_close(C$1,$A187,$M$4))</f>
        <v>14.76</v>
      </c>
      <c r="D187" s="6">
        <f ca="1">IF($A187="","",[1]!s_dq_close(D$1,$A187,$M$4))</f>
        <v>12.49</v>
      </c>
      <c r="E187" s="6">
        <f ca="1">IF($A187="","",[1]!s_dq_close(E$1,$A187,$M$4))</f>
        <v>9.2899999999999991</v>
      </c>
      <c r="F187" s="6">
        <f ca="1">IF($A187="","",[1]!s_dq_close(F$1,$A187,$M$4))</f>
        <v>14.7</v>
      </c>
      <c r="G187" s="6"/>
      <c r="H187" s="6">
        <f ca="1">IF($A187="","",[1]!s_dq_close(H$1,$A187,$M$4))</f>
        <v>16.45</v>
      </c>
      <c r="I187" s="6">
        <f ca="1">IF($A187="","",[1]!s_dq_close(I$1,$A187,$M$4))</f>
        <v>14.7</v>
      </c>
      <c r="J187" s="6">
        <f t="shared" ca="1" si="3"/>
        <v>1.75</v>
      </c>
    </row>
    <row r="188" spans="1:10">
      <c r="A188" s="2">
        <f ca="1">IF(A187="","",IF(IF(价差分析!$W$4="日",--[1]!td(A187-1),IF(价差分析!$W$4="周",--[1]!td(A187-7),--[1]!td(A187-30)))-价差分析!$T$4&gt;0,IF(价差分析!$W$4="日",--[1]!td(A187-1),IF(价差分析!$W$4="周",--[1]!td(A187-7),--[1]!td(A187-30))),""))</f>
        <v>44988</v>
      </c>
      <c r="B188" s="6">
        <f ca="1">IF($A188="","",[1]!s_dq_close(B$1,$A188,$M$4))</f>
        <v>16.809999999999999</v>
      </c>
      <c r="C188" s="6">
        <f ca="1">IF($A188="","",[1]!s_dq_close(C$1,$A188,$M$4))</f>
        <v>15.06</v>
      </c>
      <c r="D188" s="6">
        <f ca="1">IF($A188="","",[1]!s_dq_close(D$1,$A188,$M$4))</f>
        <v>12.6</v>
      </c>
      <c r="E188" s="6">
        <f ca="1">IF($A188="","",[1]!s_dq_close(E$1,$A188,$M$4))</f>
        <v>9.6199999999999992</v>
      </c>
      <c r="F188" s="6">
        <f ca="1">IF($A188="","",[1]!s_dq_close(F$1,$A188,$M$4))</f>
        <v>14.87</v>
      </c>
      <c r="G188" s="6"/>
      <c r="H188" s="6">
        <f ca="1">IF($A188="","",[1]!s_dq_close(H$1,$A188,$M$4))</f>
        <v>16.809999999999999</v>
      </c>
      <c r="I188" s="6">
        <f ca="1">IF($A188="","",[1]!s_dq_close(I$1,$A188,$M$4))</f>
        <v>14.87</v>
      </c>
      <c r="J188" s="6">
        <f t="shared" ca="1" si="3"/>
        <v>1.9399999999999995</v>
      </c>
    </row>
    <row r="189" spans="1:10">
      <c r="A189" s="2">
        <f ca="1">IF(A188="","",IF(IF(价差分析!$W$4="日",--[1]!td(A188-1),IF(价差分析!$W$4="周",--[1]!td(A188-7),--[1]!td(A188-30)))-价差分析!$T$4&gt;0,IF(价差分析!$W$4="日",--[1]!td(A188-1),IF(价差分析!$W$4="周",--[1]!td(A188-7),--[1]!td(A188-30))),""))</f>
        <v>44987</v>
      </c>
      <c r="B189" s="6">
        <f ca="1">IF($A189="","",[1]!s_dq_close(B$1,$A189,$M$4))</f>
        <v>16.73</v>
      </c>
      <c r="C189" s="6">
        <f ca="1">IF($A189="","",[1]!s_dq_close(C$1,$A189,$M$4))</f>
        <v>14.92</v>
      </c>
      <c r="D189" s="6">
        <f ca="1">IF($A189="","",[1]!s_dq_close(D$1,$A189,$M$4))</f>
        <v>12.59</v>
      </c>
      <c r="E189" s="6">
        <f ca="1">IF($A189="","",[1]!s_dq_close(E$1,$A189,$M$4))</f>
        <v>9.5500000000000007</v>
      </c>
      <c r="F189" s="6">
        <f ca="1">IF($A189="","",[1]!s_dq_close(F$1,$A189,$M$4))</f>
        <v>15.08</v>
      </c>
      <c r="G189" s="6"/>
      <c r="H189" s="6">
        <f ca="1">IF($A189="","",[1]!s_dq_close(H$1,$A189,$M$4))</f>
        <v>16.73</v>
      </c>
      <c r="I189" s="6">
        <f ca="1">IF($A189="","",[1]!s_dq_close(I$1,$A189,$M$4))</f>
        <v>15.08</v>
      </c>
      <c r="J189" s="6">
        <f t="shared" ca="1" si="3"/>
        <v>1.6500000000000004</v>
      </c>
    </row>
    <row r="190" spans="1:10">
      <c r="A190" s="2">
        <f ca="1">IF(A189="","",IF(IF(价差分析!$W$4="日",--[1]!td(A189-1),IF(价差分析!$W$4="周",--[1]!td(A189-7),--[1]!td(A189-30)))-价差分析!$T$4&gt;0,IF(价差分析!$W$4="日",--[1]!td(A189-1),IF(价差分析!$W$4="周",--[1]!td(A189-7),--[1]!td(A189-30))),""))</f>
        <v>44986</v>
      </c>
      <c r="B190" s="6">
        <f ca="1">IF($A190="","",[1]!s_dq_close(B$1,$A190,$M$4))</f>
        <v>17.22</v>
      </c>
      <c r="C190" s="6">
        <f ca="1">IF($A190="","",[1]!s_dq_close(C$1,$A190,$M$4))</f>
        <v>15.13</v>
      </c>
      <c r="D190" s="6">
        <f ca="1">IF($A190="","",[1]!s_dq_close(D$1,$A190,$M$4))</f>
        <v>12.66</v>
      </c>
      <c r="E190" s="6">
        <f ca="1">IF($A190="","",[1]!s_dq_close(E$1,$A190,$M$4))</f>
        <v>9.83</v>
      </c>
      <c r="F190" s="6">
        <f ca="1">IF($A190="","",[1]!s_dq_close(F$1,$A190,$M$4))</f>
        <v>15.17</v>
      </c>
      <c r="G190" s="6"/>
      <c r="H190" s="6">
        <f ca="1">IF($A190="","",[1]!s_dq_close(H$1,$A190,$M$4))</f>
        <v>17.22</v>
      </c>
      <c r="I190" s="6">
        <f ca="1">IF($A190="","",[1]!s_dq_close(I$1,$A190,$M$4))</f>
        <v>15.17</v>
      </c>
      <c r="J190" s="6">
        <f t="shared" ca="1" si="3"/>
        <v>2.0499999999999989</v>
      </c>
    </row>
    <row r="191" spans="1:10">
      <c r="A191" s="2">
        <f ca="1">IF(A190="","",IF(IF(价差分析!$W$4="日",--[1]!td(A190-1),IF(价差分析!$W$4="周",--[1]!td(A190-7),--[1]!td(A190-30)))-价差分析!$T$4&gt;0,IF(价差分析!$W$4="日",--[1]!td(A190-1),IF(价差分析!$W$4="周",--[1]!td(A190-7),--[1]!td(A190-30))),""))</f>
        <v>44985</v>
      </c>
      <c r="B191" s="6">
        <f ca="1">IF($A191="","",[1]!s_dq_close(B$1,$A191,$M$4))</f>
        <v>17.14</v>
      </c>
      <c r="C191" s="6">
        <f ca="1">IF($A191="","",[1]!s_dq_close(C$1,$A191,$M$4))</f>
        <v>15.09</v>
      </c>
      <c r="D191" s="6">
        <f ca="1">IF($A191="","",[1]!s_dq_close(D$1,$A191,$M$4))</f>
        <v>12.58</v>
      </c>
      <c r="E191" s="6">
        <f ca="1">IF($A191="","",[1]!s_dq_close(E$1,$A191,$M$4))</f>
        <v>9.67</v>
      </c>
      <c r="F191" s="6">
        <f ca="1">IF($A191="","",[1]!s_dq_close(F$1,$A191,$M$4))</f>
        <v>14.83</v>
      </c>
      <c r="G191" s="6"/>
      <c r="H191" s="6">
        <f ca="1">IF($A191="","",[1]!s_dq_close(H$1,$A191,$M$4))</f>
        <v>17.14</v>
      </c>
      <c r="I191" s="6">
        <f ca="1">IF($A191="","",[1]!s_dq_close(I$1,$A191,$M$4))</f>
        <v>14.83</v>
      </c>
      <c r="J191" s="6">
        <f t="shared" ca="1" si="3"/>
        <v>2.3100000000000005</v>
      </c>
    </row>
    <row r="192" spans="1:10">
      <c r="A192" s="2">
        <f ca="1">IF(A191="","",IF(IF(价差分析!$W$4="日",--[1]!td(A191-1),IF(价差分析!$W$4="周",--[1]!td(A191-7),--[1]!td(A191-30)))-价差分析!$T$4&gt;0,IF(价差分析!$W$4="日",--[1]!td(A191-1),IF(价差分析!$W$4="周",--[1]!td(A191-7),--[1]!td(A191-30))),""))</f>
        <v>44984</v>
      </c>
      <c r="B192" s="6">
        <f ca="1">IF($A192="","",[1]!s_dq_close(B$1,$A192,$M$4))</f>
        <v>17.18</v>
      </c>
      <c r="C192" s="6">
        <f ca="1">IF($A192="","",[1]!s_dq_close(C$1,$A192,$M$4))</f>
        <v>15.02</v>
      </c>
      <c r="D192" s="6">
        <f ca="1">IF($A192="","",[1]!s_dq_close(D$1,$A192,$M$4))</f>
        <v>12.55</v>
      </c>
      <c r="E192" s="6">
        <f ca="1">IF($A192="","",[1]!s_dq_close(E$1,$A192,$M$4))</f>
        <v>9.76</v>
      </c>
      <c r="F192" s="6">
        <f ca="1">IF($A192="","",[1]!s_dq_close(F$1,$A192,$M$4))</f>
        <v>14.65</v>
      </c>
      <c r="G192" s="6"/>
      <c r="H192" s="6">
        <f ca="1">IF($A192="","",[1]!s_dq_close(H$1,$A192,$M$4))</f>
        <v>17.18</v>
      </c>
      <c r="I192" s="6">
        <f ca="1">IF($A192="","",[1]!s_dq_close(I$1,$A192,$M$4))</f>
        <v>14.65</v>
      </c>
      <c r="J192" s="6">
        <f t="shared" ca="1" si="3"/>
        <v>2.5299999999999994</v>
      </c>
    </row>
    <row r="193" spans="1:10">
      <c r="A193" s="2">
        <f ca="1">IF(A192="","",IF(IF(价差分析!$W$4="日",--[1]!td(A192-1),IF(价差分析!$W$4="周",--[1]!td(A192-7),--[1]!td(A192-30)))-价差分析!$T$4&gt;0,IF(价差分析!$W$4="日",--[1]!td(A192-1),IF(价差分析!$W$4="周",--[1]!td(A192-7),--[1]!td(A192-30))),""))</f>
        <v>44981</v>
      </c>
      <c r="B193" s="6">
        <f ca="1">IF($A193="","",[1]!s_dq_close(B$1,$A193,$M$4))</f>
        <v>17.22</v>
      </c>
      <c r="C193" s="6">
        <f ca="1">IF($A193="","",[1]!s_dq_close(C$1,$A193,$M$4))</f>
        <v>14.92</v>
      </c>
      <c r="D193" s="6">
        <f ca="1">IF($A193="","",[1]!s_dq_close(D$1,$A193,$M$4))</f>
        <v>12.66</v>
      </c>
      <c r="E193" s="6">
        <f ca="1">IF($A193="","",[1]!s_dq_close(E$1,$A193,$M$4))</f>
        <v>9.67</v>
      </c>
      <c r="F193" s="6">
        <f ca="1">IF($A193="","",[1]!s_dq_close(F$1,$A193,$M$4))</f>
        <v>14.45</v>
      </c>
      <c r="G193" s="6"/>
      <c r="H193" s="6">
        <f ca="1">IF($A193="","",[1]!s_dq_close(H$1,$A193,$M$4))</f>
        <v>17.22</v>
      </c>
      <c r="I193" s="6">
        <f ca="1">IF($A193="","",[1]!s_dq_close(I$1,$A193,$M$4))</f>
        <v>14.45</v>
      </c>
      <c r="J193" s="6">
        <f t="shared" ca="1" si="3"/>
        <v>2.7699999999999996</v>
      </c>
    </row>
    <row r="194" spans="1:10">
      <c r="A194" s="2">
        <f ca="1">IF(A193="","",IF(IF(价差分析!$W$4="日",--[1]!td(A193-1),IF(价差分析!$W$4="周",--[1]!td(A193-7),--[1]!td(A193-30)))-价差分析!$T$4&gt;0,IF(价差分析!$W$4="日",--[1]!td(A193-1),IF(价差分析!$W$4="周",--[1]!td(A193-7),--[1]!td(A193-30))),""))</f>
        <v>44980</v>
      </c>
      <c r="B194" s="6">
        <f ca="1">IF($A194="","",[1]!s_dq_close(B$1,$A194,$M$4))</f>
        <v>17.47</v>
      </c>
      <c r="C194" s="6">
        <f ca="1">IF($A194="","",[1]!s_dq_close(C$1,$A194,$M$4))</f>
        <v>15.23</v>
      </c>
      <c r="D194" s="6">
        <f ca="1">IF($A194="","",[1]!s_dq_close(D$1,$A194,$M$4))</f>
        <v>12.7</v>
      </c>
      <c r="E194" s="6">
        <f ca="1">IF($A194="","",[1]!s_dq_close(E$1,$A194,$M$4))</f>
        <v>9.86</v>
      </c>
      <c r="F194" s="6">
        <f ca="1">IF($A194="","",[1]!s_dq_close(F$1,$A194,$M$4))</f>
        <v>14.52</v>
      </c>
      <c r="G194" s="6"/>
      <c r="H194" s="6">
        <f ca="1">IF($A194="","",[1]!s_dq_close(H$1,$A194,$M$4))</f>
        <v>17.47</v>
      </c>
      <c r="I194" s="6">
        <f ca="1">IF($A194="","",[1]!s_dq_close(I$1,$A194,$M$4))</f>
        <v>14.52</v>
      </c>
      <c r="J194" s="6">
        <f t="shared" ca="1" si="3"/>
        <v>2.9499999999999993</v>
      </c>
    </row>
    <row r="195" spans="1:10">
      <c r="A195" s="2">
        <f ca="1">IF(A194="","",IF(IF(价差分析!$W$4="日",--[1]!td(A194-1),IF(价差分析!$W$4="周",--[1]!td(A194-7),--[1]!td(A194-30)))-价差分析!$T$4&gt;0,IF(价差分析!$W$4="日",--[1]!td(A194-1),IF(价差分析!$W$4="周",--[1]!td(A194-7),--[1]!td(A194-30))),""))</f>
        <v>44979</v>
      </c>
      <c r="B195" s="6">
        <f ca="1">IF($A195="","",[1]!s_dq_close(B$1,$A195,$M$4))</f>
        <v>17.43</v>
      </c>
      <c r="C195" s="6">
        <f ca="1">IF($A195="","",[1]!s_dq_close(C$1,$A195,$M$4))</f>
        <v>15.19</v>
      </c>
      <c r="D195" s="6">
        <f ca="1">IF($A195="","",[1]!s_dq_close(D$1,$A195,$M$4))</f>
        <v>12.7</v>
      </c>
      <c r="E195" s="6">
        <f ca="1">IF($A195="","",[1]!s_dq_close(E$1,$A195,$M$4))</f>
        <v>9.7799999999999994</v>
      </c>
      <c r="F195" s="6">
        <f ca="1">IF($A195="","",[1]!s_dq_close(F$1,$A195,$M$4))</f>
        <v>14.58</v>
      </c>
      <c r="G195" s="6"/>
      <c r="H195" s="6">
        <f ca="1">IF($A195="","",[1]!s_dq_close(H$1,$A195,$M$4))</f>
        <v>17.43</v>
      </c>
      <c r="I195" s="6">
        <f ca="1">IF($A195="","",[1]!s_dq_close(I$1,$A195,$M$4))</f>
        <v>14.58</v>
      </c>
      <c r="J195" s="6">
        <f t="shared" ca="1" si="3"/>
        <v>2.8499999999999996</v>
      </c>
    </row>
    <row r="196" spans="1:10">
      <c r="A196" s="2">
        <f ca="1">IF(A195="","",IF(IF(价差分析!$W$4="日",--[1]!td(A195-1),IF(价差分析!$W$4="周",--[1]!td(A195-7),--[1]!td(A195-30)))-价差分析!$T$4&gt;0,IF(价差分析!$W$4="日",--[1]!td(A195-1),IF(价差分析!$W$4="周",--[1]!td(A195-7),--[1]!td(A195-30))),""))</f>
        <v>44978</v>
      </c>
      <c r="B196" s="6">
        <f ca="1">IF($A196="","",[1]!s_dq_close(B$1,$A196,$M$4))</f>
        <v>17.63</v>
      </c>
      <c r="C196" s="6">
        <f ca="1">IF($A196="","",[1]!s_dq_close(C$1,$A196,$M$4))</f>
        <v>15.35</v>
      </c>
      <c r="D196" s="6">
        <f ca="1">IF($A196="","",[1]!s_dq_close(D$1,$A196,$M$4))</f>
        <v>12.82</v>
      </c>
      <c r="E196" s="6">
        <f ca="1">IF($A196="","",[1]!s_dq_close(E$1,$A196,$M$4))</f>
        <v>9.8800000000000008</v>
      </c>
      <c r="F196" s="6">
        <f ca="1">IF($A196="","",[1]!s_dq_close(F$1,$A196,$M$4))</f>
        <v>14.79</v>
      </c>
      <c r="G196" s="6"/>
      <c r="H196" s="6">
        <f ca="1">IF($A196="","",[1]!s_dq_close(H$1,$A196,$M$4))</f>
        <v>17.63</v>
      </c>
      <c r="I196" s="6">
        <f ca="1">IF($A196="","",[1]!s_dq_close(I$1,$A196,$M$4))</f>
        <v>14.79</v>
      </c>
      <c r="J196" s="6">
        <f t="shared" ca="1" si="3"/>
        <v>2.84</v>
      </c>
    </row>
    <row r="197" spans="1:10">
      <c r="A197" s="2">
        <f ca="1">IF(A196="","",IF(IF(价差分析!$W$4="日",--[1]!td(A196-1),IF(价差分析!$W$4="周",--[1]!td(A196-7),--[1]!td(A196-30)))-价差分析!$T$4&gt;0,IF(价差分析!$W$4="日",--[1]!td(A196-1),IF(价差分析!$W$4="周",--[1]!td(A196-7),--[1]!td(A196-30))),""))</f>
        <v>44977</v>
      </c>
      <c r="B197" s="6">
        <f ca="1">IF($A197="","",[1]!s_dq_close(B$1,$A197,$M$4))</f>
        <v>17.559999999999999</v>
      </c>
      <c r="C197" s="6">
        <f ca="1">IF($A197="","",[1]!s_dq_close(C$1,$A197,$M$4))</f>
        <v>15.26</v>
      </c>
      <c r="D197" s="6">
        <f ca="1">IF($A197="","",[1]!s_dq_close(D$1,$A197,$M$4))</f>
        <v>12.69</v>
      </c>
      <c r="E197" s="6">
        <f ca="1">IF($A197="","",[1]!s_dq_close(E$1,$A197,$M$4))</f>
        <v>9.8699999999999992</v>
      </c>
      <c r="F197" s="6">
        <f ca="1">IF($A197="","",[1]!s_dq_close(F$1,$A197,$M$4))</f>
        <v>14.98</v>
      </c>
      <c r="G197" s="6"/>
      <c r="H197" s="6">
        <f ca="1">IF($A197="","",[1]!s_dq_close(H$1,$A197,$M$4))</f>
        <v>17.559999999999999</v>
      </c>
      <c r="I197" s="6">
        <f ca="1">IF($A197="","",[1]!s_dq_close(I$1,$A197,$M$4))</f>
        <v>14.98</v>
      </c>
      <c r="J197" s="6">
        <f t="shared" ref="J197:J260" ca="1" si="4">IF(H197="","",H197-I197)</f>
        <v>2.5799999999999983</v>
      </c>
    </row>
    <row r="198" spans="1:10">
      <c r="A198" s="2">
        <f ca="1">IF(A197="","",IF(IF(价差分析!$W$4="日",--[1]!td(A197-1),IF(价差分析!$W$4="周",--[1]!td(A197-7),--[1]!td(A197-30)))-价差分析!$T$4&gt;0,IF(价差分析!$W$4="日",--[1]!td(A197-1),IF(价差分析!$W$4="周",--[1]!td(A197-7),--[1]!td(A197-30))),""))</f>
        <v>44974</v>
      </c>
      <c r="B198" s="6">
        <f ca="1">IF($A198="","",[1]!s_dq_close(B$1,$A198,$M$4))</f>
        <v>17.09</v>
      </c>
      <c r="C198" s="6">
        <f ca="1">IF($A198="","",[1]!s_dq_close(C$1,$A198,$M$4))</f>
        <v>15</v>
      </c>
      <c r="D198" s="6">
        <f ca="1">IF($A198="","",[1]!s_dq_close(D$1,$A198,$M$4))</f>
        <v>12.46</v>
      </c>
      <c r="E198" s="6">
        <f ca="1">IF($A198="","",[1]!s_dq_close(E$1,$A198,$M$4))</f>
        <v>9.56</v>
      </c>
      <c r="F198" s="6">
        <f ca="1">IF($A198="","",[1]!s_dq_close(F$1,$A198,$M$4))</f>
        <v>14.5</v>
      </c>
      <c r="G198" s="6"/>
      <c r="H198" s="6">
        <f ca="1">IF($A198="","",[1]!s_dq_close(H$1,$A198,$M$4))</f>
        <v>17.09</v>
      </c>
      <c r="I198" s="6">
        <f ca="1">IF($A198="","",[1]!s_dq_close(I$1,$A198,$M$4))</f>
        <v>14.5</v>
      </c>
      <c r="J198" s="6">
        <f t="shared" ca="1" si="4"/>
        <v>2.59</v>
      </c>
    </row>
    <row r="199" spans="1:10">
      <c r="A199" s="2">
        <f ca="1">IF(A198="","",IF(IF(价差分析!$W$4="日",--[1]!td(A198-1),IF(价差分析!$W$4="周",--[1]!td(A198-7),--[1]!td(A198-30)))-价差分析!$T$4&gt;0,IF(价差分析!$W$4="日",--[1]!td(A198-1),IF(价差分析!$W$4="周",--[1]!td(A198-7),--[1]!td(A198-30))),""))</f>
        <v>44973</v>
      </c>
      <c r="B199" s="6">
        <f ca="1">IF($A199="","",[1]!s_dq_close(B$1,$A199,$M$4))</f>
        <v>17.329999999999998</v>
      </c>
      <c r="C199" s="6">
        <f ca="1">IF($A199="","",[1]!s_dq_close(C$1,$A199,$M$4))</f>
        <v>15.05</v>
      </c>
      <c r="D199" s="6">
        <f ca="1">IF($A199="","",[1]!s_dq_close(D$1,$A199,$M$4))</f>
        <v>12.45</v>
      </c>
      <c r="E199" s="6">
        <f ca="1">IF($A199="","",[1]!s_dq_close(E$1,$A199,$M$4))</f>
        <v>9.73</v>
      </c>
      <c r="F199" s="6">
        <f ca="1">IF($A199="","",[1]!s_dq_close(F$1,$A199,$M$4))</f>
        <v>14.45</v>
      </c>
      <c r="G199" s="6"/>
      <c r="H199" s="6">
        <f ca="1">IF($A199="","",[1]!s_dq_close(H$1,$A199,$M$4))</f>
        <v>17.329999999999998</v>
      </c>
      <c r="I199" s="6">
        <f ca="1">IF($A199="","",[1]!s_dq_close(I$1,$A199,$M$4))</f>
        <v>14.45</v>
      </c>
      <c r="J199" s="6">
        <f t="shared" ca="1" si="4"/>
        <v>2.879999999999999</v>
      </c>
    </row>
    <row r="200" spans="1:10">
      <c r="A200" s="2">
        <f ca="1">IF(A199="","",IF(IF(价差分析!$W$4="日",--[1]!td(A199-1),IF(价差分析!$W$4="周",--[1]!td(A199-7),--[1]!td(A199-30)))-价差分析!$T$4&gt;0,IF(价差分析!$W$4="日",--[1]!td(A199-1),IF(价差分析!$W$4="周",--[1]!td(A199-7),--[1]!td(A199-30))),""))</f>
        <v>44972</v>
      </c>
      <c r="B200" s="6">
        <f ca="1">IF($A200="","",[1]!s_dq_close(B$1,$A200,$M$4))</f>
        <v>17.34</v>
      </c>
      <c r="C200" s="6">
        <f ca="1">IF($A200="","",[1]!s_dq_close(C$1,$A200,$M$4))</f>
        <v>15.12</v>
      </c>
      <c r="D200" s="6">
        <f ca="1">IF($A200="","",[1]!s_dq_close(D$1,$A200,$M$4))</f>
        <v>12.68</v>
      </c>
      <c r="E200" s="6">
        <f ca="1">IF($A200="","",[1]!s_dq_close(E$1,$A200,$M$4))</f>
        <v>9.74</v>
      </c>
      <c r="F200" s="6">
        <f ca="1">IF($A200="","",[1]!s_dq_close(F$1,$A200,$M$4))</f>
        <v>14.6</v>
      </c>
      <c r="G200" s="6"/>
      <c r="H200" s="6">
        <f ca="1">IF($A200="","",[1]!s_dq_close(H$1,$A200,$M$4))</f>
        <v>17.34</v>
      </c>
      <c r="I200" s="6">
        <f ca="1">IF($A200="","",[1]!s_dq_close(I$1,$A200,$M$4))</f>
        <v>14.6</v>
      </c>
      <c r="J200" s="6">
        <f t="shared" ca="1" si="4"/>
        <v>2.74</v>
      </c>
    </row>
    <row r="201" spans="1:10">
      <c r="A201" s="2">
        <f ca="1">IF(A200="","",IF(IF(价差分析!$W$4="日",--[1]!td(A200-1),IF(价差分析!$W$4="周",--[1]!td(A200-7),--[1]!td(A200-30)))-价差分析!$T$4&gt;0,IF(价差分析!$W$4="日",--[1]!td(A200-1),IF(价差分析!$W$4="周",--[1]!td(A200-7),--[1]!td(A200-30))),""))</f>
        <v>44971</v>
      </c>
      <c r="B201" s="6">
        <f ca="1">IF($A201="","",[1]!s_dq_close(B$1,$A201,$M$4))</f>
        <v>17.71</v>
      </c>
      <c r="C201" s="6">
        <f ca="1">IF($A201="","",[1]!s_dq_close(C$1,$A201,$M$4))</f>
        <v>15.6</v>
      </c>
      <c r="D201" s="6">
        <f ca="1">IF($A201="","",[1]!s_dq_close(D$1,$A201,$M$4))</f>
        <v>12.71</v>
      </c>
      <c r="E201" s="6">
        <f ca="1">IF($A201="","",[1]!s_dq_close(E$1,$A201,$M$4))</f>
        <v>9.98</v>
      </c>
      <c r="F201" s="6">
        <f ca="1">IF($A201="","",[1]!s_dq_close(F$1,$A201,$M$4))</f>
        <v>14.89</v>
      </c>
      <c r="G201" s="6"/>
      <c r="H201" s="6">
        <f ca="1">IF($A201="","",[1]!s_dq_close(H$1,$A201,$M$4))</f>
        <v>17.71</v>
      </c>
      <c r="I201" s="6">
        <f ca="1">IF($A201="","",[1]!s_dq_close(I$1,$A201,$M$4))</f>
        <v>14.89</v>
      </c>
      <c r="J201" s="6">
        <f t="shared" ca="1" si="4"/>
        <v>2.8200000000000003</v>
      </c>
    </row>
    <row r="202" spans="1:10">
      <c r="A202" s="2">
        <f ca="1">IF(A201="","",IF(IF(价差分析!$W$4="日",--[1]!td(A201-1),IF(价差分析!$W$4="周",--[1]!td(A201-7),--[1]!td(A201-30)))-价差分析!$T$4&gt;0,IF(价差分析!$W$4="日",--[1]!td(A201-1),IF(价差分析!$W$4="周",--[1]!td(A201-7),--[1]!td(A201-30))),""))</f>
        <v>44970</v>
      </c>
      <c r="B202" s="6">
        <f ca="1">IF($A202="","",[1]!s_dq_close(B$1,$A202,$M$4))</f>
        <v>17.66</v>
      </c>
      <c r="C202" s="6">
        <f ca="1">IF($A202="","",[1]!s_dq_close(C$1,$A202,$M$4))</f>
        <v>15.57</v>
      </c>
      <c r="D202" s="6">
        <f ca="1">IF($A202="","",[1]!s_dq_close(D$1,$A202,$M$4))</f>
        <v>12.71</v>
      </c>
      <c r="E202" s="6">
        <f ca="1">IF($A202="","",[1]!s_dq_close(E$1,$A202,$M$4))</f>
        <v>9.84</v>
      </c>
      <c r="F202" s="6">
        <f ca="1">IF($A202="","",[1]!s_dq_close(F$1,$A202,$M$4))</f>
        <v>14.78</v>
      </c>
      <c r="G202" s="6"/>
      <c r="H202" s="6">
        <f ca="1">IF($A202="","",[1]!s_dq_close(H$1,$A202,$M$4))</f>
        <v>17.66</v>
      </c>
      <c r="I202" s="6">
        <f ca="1">IF($A202="","",[1]!s_dq_close(I$1,$A202,$M$4))</f>
        <v>14.78</v>
      </c>
      <c r="J202" s="6">
        <f t="shared" ca="1" si="4"/>
        <v>2.8800000000000008</v>
      </c>
    </row>
    <row r="203" spans="1:10">
      <c r="A203" s="2">
        <f ca="1">IF(A202="","",IF(IF(价差分析!$W$4="日",--[1]!td(A202-1),IF(价差分析!$W$4="周",--[1]!td(A202-7),--[1]!td(A202-30)))-价差分析!$T$4&gt;0,IF(价差分析!$W$4="日",--[1]!td(A202-1),IF(价差分析!$W$4="周",--[1]!td(A202-7),--[1]!td(A202-30))),""))</f>
        <v>44967</v>
      </c>
      <c r="B203" s="6">
        <f ca="1">IF($A203="","",[1]!s_dq_close(B$1,$A203,$M$4))</f>
        <v>17.670000000000002</v>
      </c>
      <c r="C203" s="6">
        <f ca="1">IF($A203="","",[1]!s_dq_close(C$1,$A203,$M$4))</f>
        <v>15.78</v>
      </c>
      <c r="D203" s="6">
        <f ca="1">IF($A203="","",[1]!s_dq_close(D$1,$A203,$M$4))</f>
        <v>12.72</v>
      </c>
      <c r="E203" s="6">
        <f ca="1">IF($A203="","",[1]!s_dq_close(E$1,$A203,$M$4))</f>
        <v>9.74</v>
      </c>
      <c r="F203" s="6">
        <f ca="1">IF($A203="","",[1]!s_dq_close(F$1,$A203,$M$4))</f>
        <v>14.81</v>
      </c>
      <c r="G203" s="6"/>
      <c r="H203" s="6">
        <f ca="1">IF($A203="","",[1]!s_dq_close(H$1,$A203,$M$4))</f>
        <v>17.670000000000002</v>
      </c>
      <c r="I203" s="6">
        <f ca="1">IF($A203="","",[1]!s_dq_close(I$1,$A203,$M$4))</f>
        <v>14.81</v>
      </c>
      <c r="J203" s="6">
        <f t="shared" ca="1" si="4"/>
        <v>2.8600000000000012</v>
      </c>
    </row>
    <row r="204" spans="1:10">
      <c r="A204" s="2">
        <f ca="1">IF(A203="","",IF(IF(价差分析!$W$4="日",--[1]!td(A203-1),IF(价差分析!$W$4="周",--[1]!td(A203-7),--[1]!td(A203-30)))-价差分析!$T$4&gt;0,IF(价差分析!$W$4="日",--[1]!td(A203-1),IF(价差分析!$W$4="周",--[1]!td(A203-7),--[1]!td(A203-30))),""))</f>
        <v>44966</v>
      </c>
      <c r="B204" s="6">
        <f ca="1">IF($A204="","",[1]!s_dq_close(B$1,$A204,$M$4))</f>
        <v>17.670000000000002</v>
      </c>
      <c r="C204" s="6">
        <f ca="1">IF($A204="","",[1]!s_dq_close(C$1,$A204,$M$4))</f>
        <v>15.68</v>
      </c>
      <c r="D204" s="6">
        <f ca="1">IF($A204="","",[1]!s_dq_close(D$1,$A204,$M$4))</f>
        <v>12.6</v>
      </c>
      <c r="E204" s="6">
        <f ca="1">IF($A204="","",[1]!s_dq_close(E$1,$A204,$M$4))</f>
        <v>9.56</v>
      </c>
      <c r="F204" s="6">
        <f ca="1">IF($A204="","",[1]!s_dq_close(F$1,$A204,$M$4))</f>
        <v>14.75</v>
      </c>
      <c r="G204" s="6"/>
      <c r="H204" s="6">
        <f ca="1">IF($A204="","",[1]!s_dq_close(H$1,$A204,$M$4))</f>
        <v>17.670000000000002</v>
      </c>
      <c r="I204" s="6">
        <f ca="1">IF($A204="","",[1]!s_dq_close(I$1,$A204,$M$4))</f>
        <v>14.75</v>
      </c>
      <c r="J204" s="6">
        <f t="shared" ca="1" si="4"/>
        <v>2.9200000000000017</v>
      </c>
    </row>
    <row r="205" spans="1:10">
      <c r="A205" s="2">
        <f ca="1">IF(A204="","",IF(IF(价差分析!$W$4="日",--[1]!td(A204-1),IF(价差分析!$W$4="周",--[1]!td(A204-7),--[1]!td(A204-30)))-价差分析!$T$4&gt;0,IF(价差分析!$W$4="日",--[1]!td(A204-1),IF(价差分析!$W$4="周",--[1]!td(A204-7),--[1]!td(A204-30))),""))</f>
        <v>44965</v>
      </c>
      <c r="B205" s="6">
        <f ca="1">IF($A205="","",[1]!s_dq_close(B$1,$A205,$M$4))</f>
        <v>17.5</v>
      </c>
      <c r="C205" s="6">
        <f ca="1">IF($A205="","",[1]!s_dq_close(C$1,$A205,$M$4))</f>
        <v>15.54</v>
      </c>
      <c r="D205" s="6">
        <f ca="1">IF($A205="","",[1]!s_dq_close(D$1,$A205,$M$4))</f>
        <v>12.49</v>
      </c>
      <c r="E205" s="6">
        <f ca="1">IF($A205="","",[1]!s_dq_close(E$1,$A205,$M$4))</f>
        <v>9.4499999999999993</v>
      </c>
      <c r="F205" s="6">
        <f ca="1">IF($A205="","",[1]!s_dq_close(F$1,$A205,$M$4))</f>
        <v>14.23</v>
      </c>
      <c r="G205" s="6"/>
      <c r="H205" s="6">
        <f ca="1">IF($A205="","",[1]!s_dq_close(H$1,$A205,$M$4))</f>
        <v>17.5</v>
      </c>
      <c r="I205" s="6">
        <f ca="1">IF($A205="","",[1]!s_dq_close(I$1,$A205,$M$4))</f>
        <v>14.23</v>
      </c>
      <c r="J205" s="6">
        <f t="shared" ca="1" si="4"/>
        <v>3.2699999999999996</v>
      </c>
    </row>
    <row r="206" spans="1:10">
      <c r="A206" s="2">
        <f ca="1">IF(A205="","",IF(IF(价差分析!$W$4="日",--[1]!td(A205-1),IF(价差分析!$W$4="周",--[1]!td(A205-7),--[1]!td(A205-30)))-价差分析!$T$4&gt;0,IF(价差分析!$W$4="日",--[1]!td(A205-1),IF(价差分析!$W$4="周",--[1]!td(A205-7),--[1]!td(A205-30))),""))</f>
        <v>44964</v>
      </c>
      <c r="B206" s="6">
        <f ca="1">IF($A206="","",[1]!s_dq_close(B$1,$A206,$M$4))</f>
        <v>17.559999999999999</v>
      </c>
      <c r="C206" s="6">
        <f ca="1">IF($A206="","",[1]!s_dq_close(C$1,$A206,$M$4))</f>
        <v>15.28</v>
      </c>
      <c r="D206" s="6">
        <f ca="1">IF($A206="","",[1]!s_dq_close(D$1,$A206,$M$4))</f>
        <v>12.6</v>
      </c>
      <c r="E206" s="6">
        <f ca="1">IF($A206="","",[1]!s_dq_close(E$1,$A206,$M$4))</f>
        <v>9.57</v>
      </c>
      <c r="F206" s="6">
        <f ca="1">IF($A206="","",[1]!s_dq_close(F$1,$A206,$M$4))</f>
        <v>13.96</v>
      </c>
      <c r="G206" s="6"/>
      <c r="H206" s="6">
        <f ca="1">IF($A206="","",[1]!s_dq_close(H$1,$A206,$M$4))</f>
        <v>17.559999999999999</v>
      </c>
      <c r="I206" s="6">
        <f ca="1">IF($A206="","",[1]!s_dq_close(I$1,$A206,$M$4))</f>
        <v>13.96</v>
      </c>
      <c r="J206" s="6">
        <f t="shared" ca="1" si="4"/>
        <v>3.5999999999999979</v>
      </c>
    </row>
    <row r="207" spans="1:10">
      <c r="A207" s="2">
        <f ca="1">IF(A206="","",IF(IF(价差分析!$W$4="日",--[1]!td(A206-1),IF(价差分析!$W$4="周",--[1]!td(A206-7),--[1]!td(A206-30)))-价差分析!$T$4&gt;0,IF(价差分析!$W$4="日",--[1]!td(A206-1),IF(价差分析!$W$4="周",--[1]!td(A206-7),--[1]!td(A206-30))),""))</f>
        <v>44963</v>
      </c>
      <c r="B207" s="6">
        <f ca="1">IF($A207="","",[1]!s_dq_close(B$1,$A207,$M$4))</f>
        <v>17.28</v>
      </c>
      <c r="C207" s="6">
        <f ca="1">IF($A207="","",[1]!s_dq_close(C$1,$A207,$M$4))</f>
        <v>15.02</v>
      </c>
      <c r="D207" s="6">
        <f ca="1">IF($A207="","",[1]!s_dq_close(D$1,$A207,$M$4))</f>
        <v>12.44</v>
      </c>
      <c r="E207" s="6">
        <f ca="1">IF($A207="","",[1]!s_dq_close(E$1,$A207,$M$4))</f>
        <v>9.26</v>
      </c>
      <c r="F207" s="6">
        <f ca="1">IF($A207="","",[1]!s_dq_close(F$1,$A207,$M$4))</f>
        <v>13.66</v>
      </c>
      <c r="G207" s="6"/>
      <c r="H207" s="6">
        <f ca="1">IF($A207="","",[1]!s_dq_close(H$1,$A207,$M$4))</f>
        <v>17.28</v>
      </c>
      <c r="I207" s="6">
        <f ca="1">IF($A207="","",[1]!s_dq_close(I$1,$A207,$M$4))</f>
        <v>13.66</v>
      </c>
      <c r="J207" s="6">
        <f t="shared" ca="1" si="4"/>
        <v>3.620000000000001</v>
      </c>
    </row>
    <row r="208" spans="1:10">
      <c r="A208" s="2">
        <f ca="1">IF(A207="","",IF(IF(价差分析!$W$4="日",--[1]!td(A207-1),IF(价差分析!$W$4="周",--[1]!td(A207-7),--[1]!td(A207-30)))-价差分析!$T$4&gt;0,IF(价差分析!$W$4="日",--[1]!td(A207-1),IF(价差分析!$W$4="周",--[1]!td(A207-7),--[1]!td(A207-30))),""))</f>
        <v>44960</v>
      </c>
      <c r="B208" s="6">
        <f ca="1">IF($A208="","",[1]!s_dq_close(B$1,$A208,$M$4))</f>
        <v>17.97</v>
      </c>
      <c r="C208" s="6">
        <f ca="1">IF($A208="","",[1]!s_dq_close(C$1,$A208,$M$4))</f>
        <v>15.33</v>
      </c>
      <c r="D208" s="6">
        <f ca="1">IF($A208="","",[1]!s_dq_close(D$1,$A208,$M$4))</f>
        <v>12.67</v>
      </c>
      <c r="E208" s="6">
        <f ca="1">IF($A208="","",[1]!s_dq_close(E$1,$A208,$M$4))</f>
        <v>9.5</v>
      </c>
      <c r="F208" s="6">
        <f ca="1">IF($A208="","",[1]!s_dq_close(F$1,$A208,$M$4))</f>
        <v>13.95</v>
      </c>
      <c r="G208" s="6"/>
      <c r="H208" s="6">
        <f ca="1">IF($A208="","",[1]!s_dq_close(H$1,$A208,$M$4))</f>
        <v>17.97</v>
      </c>
      <c r="I208" s="6">
        <f ca="1">IF($A208="","",[1]!s_dq_close(I$1,$A208,$M$4))</f>
        <v>13.95</v>
      </c>
      <c r="J208" s="6">
        <f t="shared" ca="1" si="4"/>
        <v>4.0199999999999996</v>
      </c>
    </row>
    <row r="209" spans="1:10">
      <c r="A209" s="2">
        <f ca="1">IF(A208="","",IF(IF(价差分析!$W$4="日",--[1]!td(A208-1),IF(价差分析!$W$4="周",--[1]!td(A208-7),--[1]!td(A208-30)))-价差分析!$T$4&gt;0,IF(价差分析!$W$4="日",--[1]!td(A208-1),IF(价差分析!$W$4="周",--[1]!td(A208-7),--[1]!td(A208-30))),""))</f>
        <v>44959</v>
      </c>
      <c r="B209" s="6">
        <f ca="1">IF($A209="","",[1]!s_dq_close(B$1,$A209,$M$4))</f>
        <v>18.18</v>
      </c>
      <c r="C209" s="6">
        <f ca="1">IF($A209="","",[1]!s_dq_close(C$1,$A209,$M$4))</f>
        <v>15.65</v>
      </c>
      <c r="D209" s="6">
        <f ca="1">IF($A209="","",[1]!s_dq_close(D$1,$A209,$M$4))</f>
        <v>12.79</v>
      </c>
      <c r="E209" s="6">
        <f ca="1">IF($A209="","",[1]!s_dq_close(E$1,$A209,$M$4))</f>
        <v>9.73</v>
      </c>
      <c r="F209" s="6">
        <f ca="1">IF($A209="","",[1]!s_dq_close(F$1,$A209,$M$4))</f>
        <v>14.24</v>
      </c>
      <c r="G209" s="6"/>
      <c r="H209" s="6">
        <f ca="1">IF($A209="","",[1]!s_dq_close(H$1,$A209,$M$4))</f>
        <v>18.18</v>
      </c>
      <c r="I209" s="6">
        <f ca="1">IF($A209="","",[1]!s_dq_close(I$1,$A209,$M$4))</f>
        <v>14.24</v>
      </c>
      <c r="J209" s="6">
        <f t="shared" ca="1" si="4"/>
        <v>3.9399999999999995</v>
      </c>
    </row>
    <row r="210" spans="1:10">
      <c r="A210" s="2">
        <f ca="1">IF(A209="","",IF(IF(价差分析!$W$4="日",--[1]!td(A209-1),IF(价差分析!$W$4="周",--[1]!td(A209-7),--[1]!td(A209-30)))-价差分析!$T$4&gt;0,IF(价差分析!$W$4="日",--[1]!td(A209-1),IF(价差分析!$W$4="周",--[1]!td(A209-7),--[1]!td(A209-30))),""))</f>
        <v>44958</v>
      </c>
      <c r="B210" s="6">
        <f ca="1">IF($A210="","",[1]!s_dq_close(B$1,$A210,$M$4))</f>
        <v>18.190000000000001</v>
      </c>
      <c r="C210" s="6">
        <f ca="1">IF($A210="","",[1]!s_dq_close(C$1,$A210,$M$4))</f>
        <v>15.59</v>
      </c>
      <c r="D210" s="6">
        <f ca="1">IF($A210="","",[1]!s_dq_close(D$1,$A210,$M$4))</f>
        <v>12.58</v>
      </c>
      <c r="E210" s="6">
        <f ca="1">IF($A210="","",[1]!s_dq_close(E$1,$A210,$M$4))</f>
        <v>9.82</v>
      </c>
      <c r="F210" s="6">
        <f ca="1">IF($A210="","",[1]!s_dq_close(F$1,$A210,$M$4))</f>
        <v>14.42</v>
      </c>
      <c r="G210" s="6"/>
      <c r="H210" s="6">
        <f ca="1">IF($A210="","",[1]!s_dq_close(H$1,$A210,$M$4))</f>
        <v>18.190000000000001</v>
      </c>
      <c r="I210" s="6">
        <f ca="1">IF($A210="","",[1]!s_dq_close(I$1,$A210,$M$4))</f>
        <v>14.42</v>
      </c>
      <c r="J210" s="6">
        <f t="shared" ca="1" si="4"/>
        <v>3.7700000000000014</v>
      </c>
    </row>
    <row r="211" spans="1:10">
      <c r="A211" s="2">
        <f ca="1">IF(A210="","",IF(IF(价差分析!$W$4="日",--[1]!td(A210-1),IF(价差分析!$W$4="周",--[1]!td(A210-7),--[1]!td(A210-30)))-价差分析!$T$4&gt;0,IF(价差分析!$W$4="日",--[1]!td(A210-1),IF(价差分析!$W$4="周",--[1]!td(A210-7),--[1]!td(A210-30))),""))</f>
        <v>44957</v>
      </c>
      <c r="B211" s="6">
        <f ca="1">IF($A211="","",[1]!s_dq_close(B$1,$A211,$M$4))</f>
        <v>18.29</v>
      </c>
      <c r="C211" s="6">
        <f ca="1">IF($A211="","",[1]!s_dq_close(C$1,$A211,$M$4))</f>
        <v>15.73</v>
      </c>
      <c r="D211" s="6">
        <f ca="1">IF($A211="","",[1]!s_dq_close(D$1,$A211,$M$4))</f>
        <v>12.67</v>
      </c>
      <c r="E211" s="6">
        <f ca="1">IF($A211="","",[1]!s_dq_close(E$1,$A211,$M$4))</f>
        <v>9.8800000000000008</v>
      </c>
      <c r="F211" s="6">
        <f ca="1">IF($A211="","",[1]!s_dq_close(F$1,$A211,$M$4))</f>
        <v>14.85</v>
      </c>
      <c r="G211" s="6"/>
      <c r="H211" s="6">
        <f ca="1">IF($A211="","",[1]!s_dq_close(H$1,$A211,$M$4))</f>
        <v>18.29</v>
      </c>
      <c r="I211" s="6">
        <f ca="1">IF($A211="","",[1]!s_dq_close(I$1,$A211,$M$4))</f>
        <v>14.85</v>
      </c>
      <c r="J211" s="6">
        <f t="shared" ca="1" si="4"/>
        <v>3.4399999999999995</v>
      </c>
    </row>
    <row r="212" spans="1:10">
      <c r="A212" s="2">
        <f ca="1">IF(A211="","",IF(IF(价差分析!$W$4="日",--[1]!td(A211-1),IF(价差分析!$W$4="周",--[1]!td(A211-7),--[1]!td(A211-30)))-价差分析!$T$4&gt;0,IF(价差分析!$W$4="日",--[1]!td(A211-1),IF(价差分析!$W$4="周",--[1]!td(A211-7),--[1]!td(A211-30))),""))</f>
        <v>44956</v>
      </c>
      <c r="B212" s="6">
        <f ca="1">IF($A212="","",[1]!s_dq_close(B$1,$A212,$M$4))</f>
        <v>18.09</v>
      </c>
      <c r="C212" s="6">
        <f ca="1">IF($A212="","",[1]!s_dq_close(C$1,$A212,$M$4))</f>
        <v>15.52</v>
      </c>
      <c r="D212" s="6">
        <f ca="1">IF($A212="","",[1]!s_dq_close(D$1,$A212,$M$4))</f>
        <v>12.38</v>
      </c>
      <c r="E212" s="6">
        <f ca="1">IF($A212="","",[1]!s_dq_close(E$1,$A212,$M$4))</f>
        <v>9.67</v>
      </c>
      <c r="F212" s="6">
        <f ca="1">IF($A212="","",[1]!s_dq_close(F$1,$A212,$M$4))</f>
        <v>14.4</v>
      </c>
      <c r="G212" s="6"/>
      <c r="H212" s="6">
        <f ca="1">IF($A212="","",[1]!s_dq_close(H$1,$A212,$M$4))</f>
        <v>18.09</v>
      </c>
      <c r="I212" s="6">
        <f ca="1">IF($A212="","",[1]!s_dq_close(I$1,$A212,$M$4))</f>
        <v>14.4</v>
      </c>
      <c r="J212" s="6">
        <f t="shared" ca="1" si="4"/>
        <v>3.6899999999999995</v>
      </c>
    </row>
    <row r="213" spans="1:10">
      <c r="A213" s="2">
        <f ca="1">IF(A212="","",IF(IF(价差分析!$W$4="日",--[1]!td(A212-1),IF(价差分析!$W$4="周",--[1]!td(A212-7),--[1]!td(A212-30)))-价差分析!$T$4&gt;0,IF(价差分析!$W$4="日",--[1]!td(A212-1),IF(价差分析!$W$4="周",--[1]!td(A212-7),--[1]!td(A212-30))),""))</f>
        <v>44946</v>
      </c>
      <c r="B213" s="6">
        <f ca="1">IF($A213="","",[1]!s_dq_close(B$1,$A213,$M$4))</f>
        <v>18.579999999999998</v>
      </c>
      <c r="C213" s="6">
        <f ca="1">IF($A213="","",[1]!s_dq_close(C$1,$A213,$M$4))</f>
        <v>15.8</v>
      </c>
      <c r="D213" s="6">
        <f ca="1">IF($A213="","",[1]!s_dq_close(D$1,$A213,$M$4))</f>
        <v>12.36</v>
      </c>
      <c r="E213" s="6">
        <f ca="1">IF($A213="","",[1]!s_dq_close(E$1,$A213,$M$4))</f>
        <v>9.9499999999999993</v>
      </c>
      <c r="F213" s="6">
        <f ca="1">IF($A213="","",[1]!s_dq_close(F$1,$A213,$M$4))</f>
        <v>14.45</v>
      </c>
      <c r="G213" s="6"/>
      <c r="H213" s="6">
        <f ca="1">IF($A213="","",[1]!s_dq_close(H$1,$A213,$M$4))</f>
        <v>18.579999999999998</v>
      </c>
      <c r="I213" s="6">
        <f ca="1">IF($A213="","",[1]!s_dq_close(I$1,$A213,$M$4))</f>
        <v>14.45</v>
      </c>
      <c r="J213" s="6">
        <f t="shared" ca="1" si="4"/>
        <v>4.129999999999999</v>
      </c>
    </row>
    <row r="214" spans="1:10">
      <c r="A214" s="2">
        <f ca="1">IF(A213="","",IF(IF(价差分析!$W$4="日",--[1]!td(A213-1),IF(价差分析!$W$4="周",--[1]!td(A213-7),--[1]!td(A213-30)))-价差分析!$T$4&gt;0,IF(价差分析!$W$4="日",--[1]!td(A213-1),IF(价差分析!$W$4="周",--[1]!td(A213-7),--[1]!td(A213-30))),""))</f>
        <v>44945</v>
      </c>
      <c r="B214" s="6">
        <f ca="1">IF($A214="","",[1]!s_dq_close(B$1,$A214,$M$4))</f>
        <v>18.55</v>
      </c>
      <c r="C214" s="6">
        <f ca="1">IF($A214="","",[1]!s_dq_close(C$1,$A214,$M$4))</f>
        <v>15.7</v>
      </c>
      <c r="D214" s="6">
        <f ca="1">IF($A214="","",[1]!s_dq_close(D$1,$A214,$M$4))</f>
        <v>12.28</v>
      </c>
      <c r="E214" s="6">
        <f ca="1">IF($A214="","",[1]!s_dq_close(E$1,$A214,$M$4))</f>
        <v>9.86</v>
      </c>
      <c r="F214" s="6">
        <f ca="1">IF($A214="","",[1]!s_dq_close(F$1,$A214,$M$4))</f>
        <v>14.67</v>
      </c>
      <c r="G214" s="6"/>
      <c r="H214" s="6">
        <f ca="1">IF($A214="","",[1]!s_dq_close(H$1,$A214,$M$4))</f>
        <v>18.55</v>
      </c>
      <c r="I214" s="6">
        <f ca="1">IF($A214="","",[1]!s_dq_close(I$1,$A214,$M$4))</f>
        <v>14.67</v>
      </c>
      <c r="J214" s="6">
        <f t="shared" ca="1" si="4"/>
        <v>3.8800000000000008</v>
      </c>
    </row>
    <row r="215" spans="1:10">
      <c r="A215" s="2">
        <f ca="1">IF(A214="","",IF(IF(价差分析!$W$4="日",--[1]!td(A214-1),IF(价差分析!$W$4="周",--[1]!td(A214-7),--[1]!td(A214-30)))-价差分析!$T$4&gt;0,IF(价差分析!$W$4="日",--[1]!td(A214-1),IF(价差分析!$W$4="周",--[1]!td(A214-7),--[1]!td(A214-30))),""))</f>
        <v>44944</v>
      </c>
      <c r="B215" s="6">
        <f ca="1">IF($A215="","",[1]!s_dq_close(B$1,$A215,$M$4))</f>
        <v>18.48</v>
      </c>
      <c r="C215" s="6">
        <f ca="1">IF($A215="","",[1]!s_dq_close(C$1,$A215,$M$4))</f>
        <v>15.74</v>
      </c>
      <c r="D215" s="6">
        <f ca="1">IF($A215="","",[1]!s_dq_close(D$1,$A215,$M$4))</f>
        <v>12.19</v>
      </c>
      <c r="E215" s="6">
        <f ca="1">IF($A215="","",[1]!s_dq_close(E$1,$A215,$M$4))</f>
        <v>9.84</v>
      </c>
      <c r="F215" s="6">
        <f ca="1">IF($A215="","",[1]!s_dq_close(F$1,$A215,$M$4))</f>
        <v>14.33</v>
      </c>
      <c r="G215" s="6"/>
      <c r="H215" s="6">
        <f ca="1">IF($A215="","",[1]!s_dq_close(H$1,$A215,$M$4))</f>
        <v>18.48</v>
      </c>
      <c r="I215" s="6">
        <f ca="1">IF($A215="","",[1]!s_dq_close(I$1,$A215,$M$4))</f>
        <v>14.33</v>
      </c>
      <c r="J215" s="6">
        <f t="shared" ca="1" si="4"/>
        <v>4.1500000000000004</v>
      </c>
    </row>
    <row r="216" spans="1:10">
      <c r="A216" s="2">
        <f ca="1">IF(A215="","",IF(IF(价差分析!$W$4="日",--[1]!td(A215-1),IF(价差分析!$W$4="周",--[1]!td(A215-7),--[1]!td(A215-30)))-价差分析!$T$4&gt;0,IF(价差分析!$W$4="日",--[1]!td(A215-1),IF(价差分析!$W$4="周",--[1]!td(A215-7),--[1]!td(A215-30))),""))</f>
        <v>44943</v>
      </c>
      <c r="B216" s="6">
        <f ca="1">IF($A216="","",[1]!s_dq_close(B$1,$A216,$M$4))</f>
        <v>18.739999999999998</v>
      </c>
      <c r="C216" s="6">
        <f ca="1">IF($A216="","",[1]!s_dq_close(C$1,$A216,$M$4))</f>
        <v>16.05</v>
      </c>
      <c r="D216" s="6">
        <f ca="1">IF($A216="","",[1]!s_dq_close(D$1,$A216,$M$4))</f>
        <v>12.26</v>
      </c>
      <c r="E216" s="6">
        <f ca="1">IF($A216="","",[1]!s_dq_close(E$1,$A216,$M$4))</f>
        <v>9.93</v>
      </c>
      <c r="F216" s="6">
        <f ca="1">IF($A216="","",[1]!s_dq_close(F$1,$A216,$M$4))</f>
        <v>14.29</v>
      </c>
      <c r="G216" s="6"/>
      <c r="H216" s="6">
        <f ca="1">IF($A216="","",[1]!s_dq_close(H$1,$A216,$M$4))</f>
        <v>18.739999999999998</v>
      </c>
      <c r="I216" s="6">
        <f ca="1">IF($A216="","",[1]!s_dq_close(I$1,$A216,$M$4))</f>
        <v>14.29</v>
      </c>
      <c r="J216" s="6">
        <f t="shared" ca="1" si="4"/>
        <v>4.4499999999999993</v>
      </c>
    </row>
    <row r="217" spans="1:10">
      <c r="A217" s="2">
        <f ca="1">IF(A216="","",IF(IF(价差分析!$W$4="日",--[1]!td(A216-1),IF(价差分析!$W$4="周",--[1]!td(A216-7),--[1]!td(A216-30)))-价差分析!$T$4&gt;0,IF(价差分析!$W$4="日",--[1]!td(A216-1),IF(价差分析!$W$4="周",--[1]!td(A216-7),--[1]!td(A216-30))),""))</f>
        <v>44942</v>
      </c>
      <c r="B217" s="6">
        <f ca="1">IF($A217="","",[1]!s_dq_close(B$1,$A217,$M$4))</f>
        <v>18.7</v>
      </c>
      <c r="C217" s="6">
        <f ca="1">IF($A217="","",[1]!s_dq_close(C$1,$A217,$M$4))</f>
        <v>15.96</v>
      </c>
      <c r="D217" s="6">
        <f ca="1">IF($A217="","",[1]!s_dq_close(D$1,$A217,$M$4))</f>
        <v>12.19</v>
      </c>
      <c r="E217" s="6">
        <f ca="1">IF($A217="","",[1]!s_dq_close(E$1,$A217,$M$4))</f>
        <v>9.9600000000000009</v>
      </c>
      <c r="F217" s="6">
        <f ca="1">IF($A217="","",[1]!s_dq_close(F$1,$A217,$M$4))</f>
        <v>14.37</v>
      </c>
      <c r="G217" s="6"/>
      <c r="H217" s="6">
        <f ca="1">IF($A217="","",[1]!s_dq_close(H$1,$A217,$M$4))</f>
        <v>18.7</v>
      </c>
      <c r="I217" s="6">
        <f ca="1">IF($A217="","",[1]!s_dq_close(I$1,$A217,$M$4))</f>
        <v>14.37</v>
      </c>
      <c r="J217" s="6">
        <f t="shared" ca="1" si="4"/>
        <v>4.33</v>
      </c>
    </row>
    <row r="218" spans="1:10">
      <c r="A218" s="2">
        <f ca="1">IF(A217="","",IF(IF(价差分析!$W$4="日",--[1]!td(A217-1),IF(价差分析!$W$4="周",--[1]!td(A217-7),--[1]!td(A217-30)))-价差分析!$T$4&gt;0,IF(价差分析!$W$4="日",--[1]!td(A217-1),IF(价差分析!$W$4="周",--[1]!td(A217-7),--[1]!td(A217-30))),""))</f>
        <v>44939</v>
      </c>
      <c r="B218" s="6">
        <f ca="1">IF($A218="","",[1]!s_dq_close(B$1,$A218,$M$4))</f>
        <v>18.78</v>
      </c>
      <c r="C218" s="6">
        <f ca="1">IF($A218="","",[1]!s_dq_close(C$1,$A218,$M$4))</f>
        <v>15.83</v>
      </c>
      <c r="D218" s="6">
        <f ca="1">IF($A218="","",[1]!s_dq_close(D$1,$A218,$M$4))</f>
        <v>12.04</v>
      </c>
      <c r="E218" s="6">
        <f ca="1">IF($A218="","",[1]!s_dq_close(E$1,$A218,$M$4))</f>
        <v>9.85</v>
      </c>
      <c r="F218" s="6">
        <f ca="1">IF($A218="","",[1]!s_dq_close(F$1,$A218,$M$4))</f>
        <v>14.21</v>
      </c>
      <c r="G218" s="6"/>
      <c r="H218" s="6">
        <f ca="1">IF($A218="","",[1]!s_dq_close(H$1,$A218,$M$4))</f>
        <v>18.78</v>
      </c>
      <c r="I218" s="6">
        <f ca="1">IF($A218="","",[1]!s_dq_close(I$1,$A218,$M$4))</f>
        <v>14.21</v>
      </c>
      <c r="J218" s="6">
        <f t="shared" ca="1" si="4"/>
        <v>4.57</v>
      </c>
    </row>
    <row r="219" spans="1:10">
      <c r="A219" s="2">
        <f ca="1">IF(A218="","",IF(IF(价差分析!$W$4="日",--[1]!td(A218-1),IF(价差分析!$W$4="周",--[1]!td(A218-7),--[1]!td(A218-30)))-价差分析!$T$4&gt;0,IF(价差分析!$W$4="日",--[1]!td(A218-1),IF(价差分析!$W$4="周",--[1]!td(A218-7),--[1]!td(A218-30))),""))</f>
        <v>44938</v>
      </c>
      <c r="B219" s="6">
        <f ca="1">IF($A219="","",[1]!s_dq_close(B$1,$A219,$M$4))</f>
        <v>18.600000000000001</v>
      </c>
      <c r="C219" s="6">
        <f ca="1">IF($A219="","",[1]!s_dq_close(C$1,$A219,$M$4))</f>
        <v>15.9</v>
      </c>
      <c r="D219" s="6">
        <f ca="1">IF($A219="","",[1]!s_dq_close(D$1,$A219,$M$4))</f>
        <v>11.85</v>
      </c>
      <c r="E219" s="6">
        <f ca="1">IF($A219="","",[1]!s_dq_close(E$1,$A219,$M$4))</f>
        <v>9.86</v>
      </c>
      <c r="F219" s="6">
        <f ca="1">IF($A219="","",[1]!s_dq_close(F$1,$A219,$M$4))</f>
        <v>14.23</v>
      </c>
      <c r="G219" s="6"/>
      <c r="H219" s="6">
        <f ca="1">IF($A219="","",[1]!s_dq_close(H$1,$A219,$M$4))</f>
        <v>18.600000000000001</v>
      </c>
      <c r="I219" s="6">
        <f ca="1">IF($A219="","",[1]!s_dq_close(I$1,$A219,$M$4))</f>
        <v>14.23</v>
      </c>
      <c r="J219" s="6">
        <f t="shared" ca="1" si="4"/>
        <v>4.370000000000001</v>
      </c>
    </row>
    <row r="220" spans="1:10">
      <c r="A220" s="2">
        <f ca="1">IF(A219="","",IF(IF(价差分析!$W$4="日",--[1]!td(A219-1),IF(价差分析!$W$4="周",--[1]!td(A219-7),--[1]!td(A219-30)))-价差分析!$T$4&gt;0,IF(价差分析!$W$4="日",--[1]!td(A219-1),IF(价差分析!$W$4="周",--[1]!td(A219-7),--[1]!td(A219-30))),""))</f>
        <v>44937</v>
      </c>
      <c r="B220" s="6">
        <f ca="1">IF($A220="","",[1]!s_dq_close(B$1,$A220,$M$4))</f>
        <v>18.989999999999998</v>
      </c>
      <c r="C220" s="6">
        <f ca="1">IF($A220="","",[1]!s_dq_close(C$1,$A220,$M$4))</f>
        <v>16.29</v>
      </c>
      <c r="D220" s="6">
        <f ca="1">IF($A220="","",[1]!s_dq_close(D$1,$A220,$M$4))</f>
        <v>11.95</v>
      </c>
      <c r="E220" s="6">
        <f ca="1">IF($A220="","",[1]!s_dq_close(E$1,$A220,$M$4))</f>
        <v>10.25</v>
      </c>
      <c r="F220" s="6">
        <f ca="1">IF($A220="","",[1]!s_dq_close(F$1,$A220,$M$4))</f>
        <v>14.59</v>
      </c>
      <c r="G220" s="6"/>
      <c r="H220" s="6">
        <f ca="1">IF($A220="","",[1]!s_dq_close(H$1,$A220,$M$4))</f>
        <v>18.989999999999998</v>
      </c>
      <c r="I220" s="6">
        <f ca="1">IF($A220="","",[1]!s_dq_close(I$1,$A220,$M$4))</f>
        <v>14.59</v>
      </c>
      <c r="J220" s="6">
        <f t="shared" ca="1" si="4"/>
        <v>4.3999999999999986</v>
      </c>
    </row>
    <row r="221" spans="1:10">
      <c r="A221" s="2">
        <f ca="1">IF(A220="","",IF(IF(价差分析!$W$4="日",--[1]!td(A220-1),IF(价差分析!$W$4="周",--[1]!td(A220-7),--[1]!td(A220-30)))-价差分析!$T$4&gt;0,IF(价差分析!$W$4="日",--[1]!td(A220-1),IF(价差分析!$W$4="周",--[1]!td(A220-7),--[1]!td(A220-30))),""))</f>
        <v>44936</v>
      </c>
      <c r="B221" s="6">
        <f ca="1">IF($A221="","",[1]!s_dq_close(B$1,$A221,$M$4))</f>
        <v>18.8</v>
      </c>
      <c r="C221" s="6">
        <f ca="1">IF($A221="","",[1]!s_dq_close(C$1,$A221,$M$4))</f>
        <v>15.9</v>
      </c>
      <c r="D221" s="6">
        <f ca="1">IF($A221="","",[1]!s_dq_close(D$1,$A221,$M$4))</f>
        <v>11.9</v>
      </c>
      <c r="E221" s="6">
        <f ca="1">IF($A221="","",[1]!s_dq_close(E$1,$A221,$M$4))</f>
        <v>10.16</v>
      </c>
      <c r="F221" s="6">
        <f ca="1">IF($A221="","",[1]!s_dq_close(F$1,$A221,$M$4))</f>
        <v>13.88</v>
      </c>
      <c r="G221" s="6"/>
      <c r="H221" s="6">
        <f ca="1">IF($A221="","",[1]!s_dq_close(H$1,$A221,$M$4))</f>
        <v>18.8</v>
      </c>
      <c r="I221" s="6">
        <f ca="1">IF($A221="","",[1]!s_dq_close(I$1,$A221,$M$4))</f>
        <v>13.88</v>
      </c>
      <c r="J221" s="6">
        <f t="shared" ca="1" si="4"/>
        <v>4.92</v>
      </c>
    </row>
    <row r="222" spans="1:10">
      <c r="A222" s="2">
        <f ca="1">IF(A221="","",IF(IF(价差分析!$W$4="日",--[1]!td(A221-1),IF(价差分析!$W$4="周",--[1]!td(A221-7),--[1]!td(A221-30)))-价差分析!$T$4&gt;0,IF(价差分析!$W$4="日",--[1]!td(A221-1),IF(价差分析!$W$4="周",--[1]!td(A221-7),--[1]!td(A221-30))),""))</f>
        <v>44935</v>
      </c>
      <c r="B222" s="6">
        <f ca="1">IF($A222="","",[1]!s_dq_close(B$1,$A222,$M$4))</f>
        <v>18.78</v>
      </c>
      <c r="C222" s="6">
        <f ca="1">IF($A222="","",[1]!s_dq_close(C$1,$A222,$M$4))</f>
        <v>15.84</v>
      </c>
      <c r="D222" s="6">
        <f ca="1">IF($A222="","",[1]!s_dq_close(D$1,$A222,$M$4))</f>
        <v>12.06</v>
      </c>
      <c r="E222" s="6">
        <f ca="1">IF($A222="","",[1]!s_dq_close(E$1,$A222,$M$4))</f>
        <v>10.26</v>
      </c>
      <c r="F222" s="6">
        <f ca="1">IF($A222="","",[1]!s_dq_close(F$1,$A222,$M$4))</f>
        <v>13.7</v>
      </c>
      <c r="G222" s="6"/>
      <c r="H222" s="6">
        <f ca="1">IF($A222="","",[1]!s_dq_close(H$1,$A222,$M$4))</f>
        <v>18.78</v>
      </c>
      <c r="I222" s="6">
        <f ca="1">IF($A222="","",[1]!s_dq_close(I$1,$A222,$M$4))</f>
        <v>13.7</v>
      </c>
      <c r="J222" s="6">
        <f t="shared" ca="1" si="4"/>
        <v>5.0800000000000018</v>
      </c>
    </row>
    <row r="223" spans="1:10">
      <c r="A223" s="2">
        <f ca="1">IF(A222="","",IF(IF(价差分析!$W$4="日",--[1]!td(A222-1),IF(价差分析!$W$4="周",--[1]!td(A222-7),--[1]!td(A222-30)))-价差分析!$T$4&gt;0,IF(价差分析!$W$4="日",--[1]!td(A222-1),IF(价差分析!$W$4="周",--[1]!td(A222-7),--[1]!td(A222-30))),""))</f>
        <v>44932</v>
      </c>
      <c r="B223" s="6">
        <f ca="1">IF($A223="","",[1]!s_dq_close(B$1,$A223,$M$4))</f>
        <v>19.22</v>
      </c>
      <c r="C223" s="6">
        <f ca="1">IF($A223="","",[1]!s_dq_close(C$1,$A223,$M$4))</f>
        <v>16.13</v>
      </c>
      <c r="D223" s="6">
        <f ca="1">IF($A223="","",[1]!s_dq_close(D$1,$A223,$M$4))</f>
        <v>11.74</v>
      </c>
      <c r="E223" s="6">
        <f ca="1">IF($A223="","",[1]!s_dq_close(E$1,$A223,$M$4))</f>
        <v>10.61</v>
      </c>
      <c r="F223" s="6">
        <f ca="1">IF($A223="","",[1]!s_dq_close(F$1,$A223,$M$4))</f>
        <v>13.52</v>
      </c>
      <c r="G223" s="6"/>
      <c r="H223" s="6">
        <f ca="1">IF($A223="","",[1]!s_dq_close(H$1,$A223,$M$4))</f>
        <v>19.22</v>
      </c>
      <c r="I223" s="6">
        <f ca="1">IF($A223="","",[1]!s_dq_close(I$1,$A223,$M$4))</f>
        <v>13.52</v>
      </c>
      <c r="J223" s="6">
        <f t="shared" ca="1" si="4"/>
        <v>5.6999999999999993</v>
      </c>
    </row>
    <row r="224" spans="1:10">
      <c r="A224" s="2">
        <f ca="1">IF(A223="","",IF(IF(价差分析!$W$4="日",--[1]!td(A223-1),IF(价差分析!$W$4="周",--[1]!td(A223-7),--[1]!td(A223-30)))-价差分析!$T$4&gt;0,IF(价差分析!$W$4="日",--[1]!td(A223-1),IF(价差分析!$W$4="周",--[1]!td(A223-7),--[1]!td(A223-30))),""))</f>
        <v>44931</v>
      </c>
      <c r="B224" s="6">
        <f ca="1">IF($A224="","",[1]!s_dq_close(B$1,$A224,$M$4))</f>
        <v>19.329999999999998</v>
      </c>
      <c r="C224" s="6">
        <f ca="1">IF($A224="","",[1]!s_dq_close(C$1,$A224,$M$4))</f>
        <v>16.36</v>
      </c>
      <c r="D224" s="6">
        <f ca="1">IF($A224="","",[1]!s_dq_close(D$1,$A224,$M$4))</f>
        <v>11.89</v>
      </c>
      <c r="E224" s="6">
        <f ca="1">IF($A224="","",[1]!s_dq_close(E$1,$A224,$M$4))</f>
        <v>10.71</v>
      </c>
      <c r="F224" s="6">
        <f ca="1">IF($A224="","",[1]!s_dq_close(F$1,$A224,$M$4))</f>
        <v>13.65</v>
      </c>
      <c r="G224" s="6"/>
      <c r="H224" s="6">
        <f ca="1">IF($A224="","",[1]!s_dq_close(H$1,$A224,$M$4))</f>
        <v>19.329999999999998</v>
      </c>
      <c r="I224" s="6">
        <f ca="1">IF($A224="","",[1]!s_dq_close(I$1,$A224,$M$4))</f>
        <v>13.65</v>
      </c>
      <c r="J224" s="6">
        <f t="shared" ca="1" si="4"/>
        <v>5.6799999999999979</v>
      </c>
    </row>
    <row r="225" spans="1:10">
      <c r="A225" s="2">
        <f ca="1">IF(A224="","",IF(IF(价差分析!$W$4="日",--[1]!td(A224-1),IF(价差分析!$W$4="周",--[1]!td(A224-7),--[1]!td(A224-30)))-价差分析!$T$4&gt;0,IF(价差分析!$W$4="日",--[1]!td(A224-1),IF(价差分析!$W$4="周",--[1]!td(A224-7),--[1]!td(A224-30))),""))</f>
        <v>44930</v>
      </c>
      <c r="B225" s="6">
        <f ca="1">IF($A225="","",[1]!s_dq_close(B$1,$A225,$M$4))</f>
        <v>19.07</v>
      </c>
      <c r="C225" s="6">
        <f ca="1">IF($A225="","",[1]!s_dq_close(C$1,$A225,$M$4))</f>
        <v>16.02</v>
      </c>
      <c r="D225" s="6">
        <f ca="1">IF($A225="","",[1]!s_dq_close(D$1,$A225,$M$4))</f>
        <v>11.85</v>
      </c>
      <c r="E225" s="6">
        <f ca="1">IF($A225="","",[1]!s_dq_close(E$1,$A225,$M$4))</f>
        <v>10.61</v>
      </c>
      <c r="F225" s="6">
        <f ca="1">IF($A225="","",[1]!s_dq_close(F$1,$A225,$M$4))</f>
        <v>13.55</v>
      </c>
      <c r="G225" s="6"/>
      <c r="H225" s="6">
        <f ca="1">IF($A225="","",[1]!s_dq_close(H$1,$A225,$M$4))</f>
        <v>19.07</v>
      </c>
      <c r="I225" s="6">
        <f ca="1">IF($A225="","",[1]!s_dq_close(I$1,$A225,$M$4))</f>
        <v>13.55</v>
      </c>
      <c r="J225" s="6">
        <f t="shared" ca="1" si="4"/>
        <v>5.52</v>
      </c>
    </row>
    <row r="226" spans="1:10">
      <c r="A226" s="2">
        <f ca="1">IF(A225="","",IF(IF(价差分析!$W$4="日",--[1]!td(A225-1),IF(价差分析!$W$4="周",--[1]!td(A225-7),--[1]!td(A225-30)))-价差分析!$T$4&gt;0,IF(价差分析!$W$4="日",--[1]!td(A225-1),IF(价差分析!$W$4="周",--[1]!td(A225-7),--[1]!td(A225-30))),""))</f>
        <v>44929</v>
      </c>
      <c r="B226" s="6">
        <f ca="1">IF($A226="","",[1]!s_dq_close(B$1,$A226,$M$4))</f>
        <v>18.23</v>
      </c>
      <c r="C226" s="6">
        <f ca="1">IF($A226="","",[1]!s_dq_close(C$1,$A226,$M$4))</f>
        <v>15.42</v>
      </c>
      <c r="D226" s="6">
        <f ca="1">IF($A226="","",[1]!s_dq_close(D$1,$A226,$M$4))</f>
        <v>11.65</v>
      </c>
      <c r="E226" s="6">
        <f ca="1">IF($A226="","",[1]!s_dq_close(E$1,$A226,$M$4))</f>
        <v>10</v>
      </c>
      <c r="F226" s="6">
        <f ca="1">IF($A226="","",[1]!s_dq_close(F$1,$A226,$M$4))</f>
        <v>12.82</v>
      </c>
      <c r="G226" s="6"/>
      <c r="H226" s="6">
        <f ca="1">IF($A226="","",[1]!s_dq_close(H$1,$A226,$M$4))</f>
        <v>18.23</v>
      </c>
      <c r="I226" s="6">
        <f ca="1">IF($A226="","",[1]!s_dq_close(I$1,$A226,$M$4))</f>
        <v>12.82</v>
      </c>
      <c r="J226" s="6">
        <f t="shared" ca="1" si="4"/>
        <v>5.41</v>
      </c>
    </row>
    <row r="227" spans="1:10">
      <c r="A227" s="2">
        <f ca="1">IF(A226="","",IF(IF(价差分析!$W$4="日",--[1]!td(A226-1),IF(价差分析!$W$4="周",--[1]!td(A226-7),--[1]!td(A226-30)))-价差分析!$T$4&gt;0,IF(价差分析!$W$4="日",--[1]!td(A226-1),IF(价差分析!$W$4="周",--[1]!td(A226-7),--[1]!td(A226-30))),""))</f>
        <v>44925</v>
      </c>
      <c r="B227" s="6">
        <f ca="1">IF($A227="","",[1]!s_dq_close(B$1,$A227,$M$4))</f>
        <v>18.2</v>
      </c>
      <c r="C227" s="6">
        <f ca="1">IF($A227="","",[1]!s_dq_close(C$1,$A227,$M$4))</f>
        <v>15.13</v>
      </c>
      <c r="D227" s="6">
        <f ca="1">IF($A227="","",[1]!s_dq_close(D$1,$A227,$M$4))</f>
        <v>11.34</v>
      </c>
      <c r="E227" s="6">
        <f ca="1">IF($A227="","",[1]!s_dq_close(E$1,$A227,$M$4))</f>
        <v>10.23</v>
      </c>
      <c r="F227" s="6">
        <f ca="1">IF($A227="","",[1]!s_dq_close(F$1,$A227,$M$4))</f>
        <v>12.63</v>
      </c>
      <c r="G227" s="6"/>
      <c r="H227" s="6">
        <f ca="1">IF($A227="","",[1]!s_dq_close(H$1,$A227,$M$4))</f>
        <v>18.2</v>
      </c>
      <c r="I227" s="6">
        <f ca="1">IF($A227="","",[1]!s_dq_close(I$1,$A227,$M$4))</f>
        <v>12.63</v>
      </c>
      <c r="J227" s="6">
        <f t="shared" ca="1" si="4"/>
        <v>5.5699999999999985</v>
      </c>
    </row>
    <row r="228" spans="1:10">
      <c r="A228" s="2">
        <f ca="1">IF(A227="","",IF(IF(价差分析!$W$4="日",--[1]!td(A227-1),IF(价差分析!$W$4="周",--[1]!td(A227-7),--[1]!td(A227-30)))-价差分析!$T$4&gt;0,IF(价差分析!$W$4="日",--[1]!td(A227-1),IF(价差分析!$W$4="周",--[1]!td(A227-7),--[1]!td(A227-30))),""))</f>
        <v>44924</v>
      </c>
      <c r="B228" s="6">
        <f ca="1">IF($A228="","",[1]!s_dq_close(B$1,$A228,$M$4))</f>
        <v>18.16</v>
      </c>
      <c r="C228" s="6">
        <f ca="1">IF($A228="","",[1]!s_dq_close(C$1,$A228,$M$4))</f>
        <v>15.01</v>
      </c>
      <c r="D228" s="6">
        <f ca="1">IF($A228="","",[1]!s_dq_close(D$1,$A228,$M$4))</f>
        <v>11.28</v>
      </c>
      <c r="E228" s="6">
        <f ca="1">IF($A228="","",[1]!s_dq_close(E$1,$A228,$M$4))</f>
        <v>10.11</v>
      </c>
      <c r="F228" s="6">
        <f ca="1">IF($A228="","",[1]!s_dq_close(F$1,$A228,$M$4))</f>
        <v>12.7</v>
      </c>
      <c r="G228" s="6"/>
      <c r="H228" s="6">
        <f ca="1">IF($A228="","",[1]!s_dq_close(H$1,$A228,$M$4))</f>
        <v>18.16</v>
      </c>
      <c r="I228" s="6">
        <f ca="1">IF($A228="","",[1]!s_dq_close(I$1,$A228,$M$4))</f>
        <v>12.7</v>
      </c>
      <c r="J228" s="6">
        <f t="shared" ca="1" si="4"/>
        <v>5.4600000000000009</v>
      </c>
    </row>
    <row r="229" spans="1:10">
      <c r="A229" s="2">
        <f ca="1">IF(A228="","",IF(IF(价差分析!$W$4="日",--[1]!td(A228-1),IF(价差分析!$W$4="周",--[1]!td(A228-7),--[1]!td(A228-30)))-价差分析!$T$4&gt;0,IF(价差分析!$W$4="日",--[1]!td(A228-1),IF(价差分析!$W$4="周",--[1]!td(A228-7),--[1]!td(A228-30))),""))</f>
        <v>44923</v>
      </c>
      <c r="B229" s="6">
        <f ca="1">IF($A229="","",[1]!s_dq_close(B$1,$A229,$M$4))</f>
        <v>18.579999999999998</v>
      </c>
      <c r="C229" s="6">
        <f ca="1">IF($A229="","",[1]!s_dq_close(C$1,$A229,$M$4))</f>
        <v>15.37</v>
      </c>
      <c r="D229" s="6">
        <f ca="1">IF($A229="","",[1]!s_dq_close(D$1,$A229,$M$4))</f>
        <v>11.54</v>
      </c>
      <c r="E229" s="6">
        <f ca="1">IF($A229="","",[1]!s_dq_close(E$1,$A229,$M$4))</f>
        <v>10.36</v>
      </c>
      <c r="F229" s="6">
        <f ca="1">IF($A229="","",[1]!s_dq_close(F$1,$A229,$M$4))</f>
        <v>13.04</v>
      </c>
      <c r="G229" s="6"/>
      <c r="H229" s="6">
        <f ca="1">IF($A229="","",[1]!s_dq_close(H$1,$A229,$M$4))</f>
        <v>18.579999999999998</v>
      </c>
      <c r="I229" s="6">
        <f ca="1">IF($A229="","",[1]!s_dq_close(I$1,$A229,$M$4))</f>
        <v>13.04</v>
      </c>
      <c r="J229" s="6">
        <f t="shared" ca="1" si="4"/>
        <v>5.5399999999999991</v>
      </c>
    </row>
    <row r="230" spans="1:10">
      <c r="A230" s="2">
        <f ca="1">IF(A229="","",IF(IF(价差分析!$W$4="日",--[1]!td(A229-1),IF(价差分析!$W$4="周",--[1]!td(A229-7),--[1]!td(A229-30)))-价差分析!$T$4&gt;0,IF(价差分析!$W$4="日",--[1]!td(A229-1),IF(价差分析!$W$4="周",--[1]!td(A229-7),--[1]!td(A229-30))),""))</f>
        <v>44922</v>
      </c>
      <c r="B230" s="6">
        <f ca="1">IF($A230="","",[1]!s_dq_close(B$1,$A230,$M$4))</f>
        <v>18.510000000000002</v>
      </c>
      <c r="C230" s="6">
        <f ca="1">IF($A230="","",[1]!s_dq_close(C$1,$A230,$M$4))</f>
        <v>15.26</v>
      </c>
      <c r="D230" s="6">
        <f ca="1">IF($A230="","",[1]!s_dq_close(D$1,$A230,$M$4))</f>
        <v>11.68</v>
      </c>
      <c r="E230" s="6">
        <f ca="1">IF($A230="","",[1]!s_dq_close(E$1,$A230,$M$4))</f>
        <v>10.26</v>
      </c>
      <c r="F230" s="6">
        <f ca="1">IF($A230="","",[1]!s_dq_close(F$1,$A230,$M$4))</f>
        <v>12.75</v>
      </c>
      <c r="G230" s="6"/>
      <c r="H230" s="6">
        <f ca="1">IF($A230="","",[1]!s_dq_close(H$1,$A230,$M$4))</f>
        <v>18.510000000000002</v>
      </c>
      <c r="I230" s="6">
        <f ca="1">IF($A230="","",[1]!s_dq_close(I$1,$A230,$M$4))</f>
        <v>12.75</v>
      </c>
      <c r="J230" s="6">
        <f t="shared" ca="1" si="4"/>
        <v>5.7600000000000016</v>
      </c>
    </row>
    <row r="231" spans="1:10">
      <c r="A231" s="2">
        <f ca="1">IF(A230="","",IF(IF(价差分析!$W$4="日",--[1]!td(A230-1),IF(价差分析!$W$4="周",--[1]!td(A230-7),--[1]!td(A230-30)))-价差分析!$T$4&gt;0,IF(价差分析!$W$4="日",--[1]!td(A230-1),IF(价差分析!$W$4="周",--[1]!td(A230-7),--[1]!td(A230-30))),""))</f>
        <v>44921</v>
      </c>
      <c r="B231" s="6">
        <f ca="1">IF($A231="","",[1]!s_dq_close(B$1,$A231,$M$4))</f>
        <v>18.37</v>
      </c>
      <c r="C231" s="6">
        <f ca="1">IF($A231="","",[1]!s_dq_close(C$1,$A231,$M$4))</f>
        <v>15.13</v>
      </c>
      <c r="D231" s="6">
        <f ca="1">IF($A231="","",[1]!s_dq_close(D$1,$A231,$M$4))</f>
        <v>11.59</v>
      </c>
      <c r="E231" s="6">
        <f ca="1">IF($A231="","",[1]!s_dq_close(E$1,$A231,$M$4))</f>
        <v>10.23</v>
      </c>
      <c r="F231" s="6">
        <f ca="1">IF($A231="","",[1]!s_dq_close(F$1,$A231,$M$4))</f>
        <v>12.72</v>
      </c>
      <c r="G231" s="6"/>
      <c r="H231" s="6">
        <f ca="1">IF($A231="","",[1]!s_dq_close(H$1,$A231,$M$4))</f>
        <v>18.37</v>
      </c>
      <c r="I231" s="6">
        <f ca="1">IF($A231="","",[1]!s_dq_close(I$1,$A231,$M$4))</f>
        <v>12.72</v>
      </c>
      <c r="J231" s="6">
        <f t="shared" ca="1" si="4"/>
        <v>5.65</v>
      </c>
    </row>
    <row r="232" spans="1:10">
      <c r="A232" s="2">
        <f ca="1">IF(A231="","",IF(IF(价差分析!$W$4="日",--[1]!td(A231-1),IF(价差分析!$W$4="周",--[1]!td(A231-7),--[1]!td(A231-30)))-价差分析!$T$4&gt;0,IF(价差分析!$W$4="日",--[1]!td(A231-1),IF(价差分析!$W$4="周",--[1]!td(A231-7),--[1]!td(A231-30))),""))</f>
        <v>44918</v>
      </c>
      <c r="B232" s="6">
        <f ca="1">IF($A232="","",[1]!s_dq_close(B$1,$A232,$M$4))</f>
        <v>18.78</v>
      </c>
      <c r="C232" s="6">
        <f ca="1">IF($A232="","",[1]!s_dq_close(C$1,$A232,$M$4))</f>
        <v>15.66</v>
      </c>
      <c r="D232" s="6">
        <f ca="1">IF($A232="","",[1]!s_dq_close(D$1,$A232,$M$4))</f>
        <v>11.94</v>
      </c>
      <c r="E232" s="6">
        <f ca="1">IF($A232="","",[1]!s_dq_close(E$1,$A232,$M$4))</f>
        <v>10.57</v>
      </c>
      <c r="F232" s="6">
        <f ca="1">IF($A232="","",[1]!s_dq_close(F$1,$A232,$M$4))</f>
        <v>13.06</v>
      </c>
      <c r="G232" s="6"/>
      <c r="H232" s="6">
        <f ca="1">IF($A232="","",[1]!s_dq_close(H$1,$A232,$M$4))</f>
        <v>18.78</v>
      </c>
      <c r="I232" s="6">
        <f ca="1">IF($A232="","",[1]!s_dq_close(I$1,$A232,$M$4))</f>
        <v>13.06</v>
      </c>
      <c r="J232" s="6">
        <f t="shared" ca="1" si="4"/>
        <v>5.7200000000000006</v>
      </c>
    </row>
    <row r="233" spans="1:10">
      <c r="A233" s="2">
        <f ca="1">IF(A232="","",IF(IF(价差分析!$W$4="日",--[1]!td(A232-1),IF(价差分析!$W$4="周",--[1]!td(A232-7),--[1]!td(A232-30)))-价差分析!$T$4&gt;0,IF(价差分析!$W$4="日",--[1]!td(A232-1),IF(价差分析!$W$4="周",--[1]!td(A232-7),--[1]!td(A232-30))),""))</f>
        <v>44917</v>
      </c>
      <c r="B233" s="6">
        <f ca="1">IF($A233="","",[1]!s_dq_close(B$1,$A233,$M$4))</f>
        <v>18.73</v>
      </c>
      <c r="C233" s="6">
        <f ca="1">IF($A233="","",[1]!s_dq_close(C$1,$A233,$M$4))</f>
        <v>15.46</v>
      </c>
      <c r="D233" s="6">
        <f ca="1">IF($A233="","",[1]!s_dq_close(D$1,$A233,$M$4))</f>
        <v>11.94</v>
      </c>
      <c r="E233" s="6">
        <f ca="1">IF($A233="","",[1]!s_dq_close(E$1,$A233,$M$4))</f>
        <v>10.4</v>
      </c>
      <c r="F233" s="6">
        <f ca="1">IF($A233="","",[1]!s_dq_close(F$1,$A233,$M$4))</f>
        <v>13.11</v>
      </c>
      <c r="G233" s="6"/>
      <c r="H233" s="6">
        <f ca="1">IF($A233="","",[1]!s_dq_close(H$1,$A233,$M$4))</f>
        <v>18.73</v>
      </c>
      <c r="I233" s="6">
        <f ca="1">IF($A233="","",[1]!s_dq_close(I$1,$A233,$M$4))</f>
        <v>13.11</v>
      </c>
      <c r="J233" s="6">
        <f t="shared" ca="1" si="4"/>
        <v>5.620000000000001</v>
      </c>
    </row>
    <row r="234" spans="1:10">
      <c r="A234" s="2">
        <f ca="1">IF(A233="","",IF(IF(价差分析!$W$4="日",--[1]!td(A233-1),IF(价差分析!$W$4="周",--[1]!td(A233-7),--[1]!td(A233-30)))-价差分析!$T$4&gt;0,IF(价差分析!$W$4="日",--[1]!td(A233-1),IF(价差分析!$W$4="周",--[1]!td(A233-7),--[1]!td(A233-30))),""))</f>
        <v>44916</v>
      </c>
      <c r="B234" s="6">
        <f ca="1">IF($A234="","",[1]!s_dq_close(B$1,$A234,$M$4))</f>
        <v>18.7</v>
      </c>
      <c r="C234" s="6">
        <f ca="1">IF($A234="","",[1]!s_dq_close(C$1,$A234,$M$4))</f>
        <v>15.38</v>
      </c>
      <c r="D234" s="6">
        <f ca="1">IF($A234="","",[1]!s_dq_close(D$1,$A234,$M$4))</f>
        <v>11.9</v>
      </c>
      <c r="E234" s="6">
        <f ca="1">IF($A234="","",[1]!s_dq_close(E$1,$A234,$M$4))</f>
        <v>10.5</v>
      </c>
      <c r="F234" s="6">
        <f ca="1">IF($A234="","",[1]!s_dq_close(F$1,$A234,$M$4))</f>
        <v>13.36</v>
      </c>
      <c r="G234" s="6"/>
      <c r="H234" s="6">
        <f ca="1">IF($A234="","",[1]!s_dq_close(H$1,$A234,$M$4))</f>
        <v>18.7</v>
      </c>
      <c r="I234" s="6">
        <f ca="1">IF($A234="","",[1]!s_dq_close(I$1,$A234,$M$4))</f>
        <v>13.36</v>
      </c>
      <c r="J234" s="6">
        <f t="shared" ca="1" si="4"/>
        <v>5.34</v>
      </c>
    </row>
    <row r="235" spans="1:10">
      <c r="A235" s="2">
        <f ca="1">IF(A234="","",IF(IF(价差分析!$W$4="日",--[1]!td(A234-1),IF(价差分析!$W$4="周",--[1]!td(A234-7),--[1]!td(A234-30)))-价差分析!$T$4&gt;0,IF(价差分析!$W$4="日",--[1]!td(A234-1),IF(价差分析!$W$4="周",--[1]!td(A234-7),--[1]!td(A234-30))),""))</f>
        <v>44915</v>
      </c>
      <c r="B235" s="6">
        <f ca="1">IF($A235="","",[1]!s_dq_close(B$1,$A235,$M$4))</f>
        <v>18.71</v>
      </c>
      <c r="C235" s="6">
        <f ca="1">IF($A235="","",[1]!s_dq_close(C$1,$A235,$M$4))</f>
        <v>15.39</v>
      </c>
      <c r="D235" s="6">
        <f ca="1">IF($A235="","",[1]!s_dq_close(D$1,$A235,$M$4))</f>
        <v>11.93</v>
      </c>
      <c r="E235" s="6">
        <f ca="1">IF($A235="","",[1]!s_dq_close(E$1,$A235,$M$4))</f>
        <v>10.45</v>
      </c>
      <c r="F235" s="6">
        <f ca="1">IF($A235="","",[1]!s_dq_close(F$1,$A235,$M$4))</f>
        <v>13.73</v>
      </c>
      <c r="G235" s="6"/>
      <c r="H235" s="6">
        <f ca="1">IF($A235="","",[1]!s_dq_close(H$1,$A235,$M$4))</f>
        <v>18.71</v>
      </c>
      <c r="I235" s="6">
        <f ca="1">IF($A235="","",[1]!s_dq_close(I$1,$A235,$M$4))</f>
        <v>13.73</v>
      </c>
      <c r="J235" s="6">
        <f t="shared" ca="1" si="4"/>
        <v>4.9800000000000004</v>
      </c>
    </row>
    <row r="236" spans="1:10">
      <c r="A236" s="2">
        <f ca="1">IF(A235="","",IF(IF(价差分析!$W$4="日",--[1]!td(A235-1),IF(价差分析!$W$4="周",--[1]!td(A235-7),--[1]!td(A235-30)))-价差分析!$T$4&gt;0,IF(价差分析!$W$4="日",--[1]!td(A235-1),IF(价差分析!$W$4="周",--[1]!td(A235-7),--[1]!td(A235-30))),""))</f>
        <v>44914</v>
      </c>
      <c r="B236" s="6">
        <f ca="1">IF($A236="","",[1]!s_dq_close(B$1,$A236,$M$4))</f>
        <v>19.350000000000001</v>
      </c>
      <c r="C236" s="6">
        <f ca="1">IF($A236="","",[1]!s_dq_close(C$1,$A236,$M$4))</f>
        <v>15.77</v>
      </c>
      <c r="D236" s="6">
        <f ca="1">IF($A236="","",[1]!s_dq_close(D$1,$A236,$M$4))</f>
        <v>12.25</v>
      </c>
      <c r="E236" s="6">
        <f ca="1">IF($A236="","",[1]!s_dq_close(E$1,$A236,$M$4))</f>
        <v>10.8</v>
      </c>
      <c r="F236" s="6">
        <f ca="1">IF($A236="","",[1]!s_dq_close(F$1,$A236,$M$4))</f>
        <v>13.95</v>
      </c>
      <c r="G236" s="6"/>
      <c r="H236" s="6">
        <f ca="1">IF($A236="","",[1]!s_dq_close(H$1,$A236,$M$4))</f>
        <v>19.350000000000001</v>
      </c>
      <c r="I236" s="6">
        <f ca="1">IF($A236="","",[1]!s_dq_close(I$1,$A236,$M$4))</f>
        <v>13.95</v>
      </c>
      <c r="J236" s="6">
        <f t="shared" ca="1" si="4"/>
        <v>5.4000000000000021</v>
      </c>
    </row>
    <row r="237" spans="1:10">
      <c r="A237" s="2">
        <f ca="1">IF(A236="","",IF(IF(价差分析!$W$4="日",--[1]!td(A236-1),IF(价差分析!$W$4="周",--[1]!td(A236-7),--[1]!td(A236-30)))-价差分析!$T$4&gt;0,IF(价差分析!$W$4="日",--[1]!td(A236-1),IF(价差分析!$W$4="周",--[1]!td(A236-7),--[1]!td(A236-30))),""))</f>
        <v>44911</v>
      </c>
      <c r="B237" s="6">
        <f ca="1">IF($A237="","",[1]!s_dq_close(B$1,$A237,$M$4))</f>
        <v>19.38</v>
      </c>
      <c r="C237" s="6">
        <f ca="1">IF($A237="","",[1]!s_dq_close(C$1,$A237,$M$4))</f>
        <v>16.02</v>
      </c>
      <c r="D237" s="6">
        <f ca="1">IF($A237="","",[1]!s_dq_close(D$1,$A237,$M$4))</f>
        <v>12.56</v>
      </c>
      <c r="E237" s="6">
        <f ca="1">IF($A237="","",[1]!s_dq_close(E$1,$A237,$M$4))</f>
        <v>11</v>
      </c>
      <c r="F237" s="6">
        <f ca="1">IF($A237="","",[1]!s_dq_close(F$1,$A237,$M$4))</f>
        <v>14.62</v>
      </c>
      <c r="G237" s="6"/>
      <c r="H237" s="6">
        <f ca="1">IF($A237="","",[1]!s_dq_close(H$1,$A237,$M$4))</f>
        <v>19.38</v>
      </c>
      <c r="I237" s="6">
        <f ca="1">IF($A237="","",[1]!s_dq_close(I$1,$A237,$M$4))</f>
        <v>14.62</v>
      </c>
      <c r="J237" s="6">
        <f t="shared" ca="1" si="4"/>
        <v>4.76</v>
      </c>
    </row>
    <row r="238" spans="1:10">
      <c r="A238" s="2">
        <f ca="1">IF(A237="","",IF(IF(价差分析!$W$4="日",--[1]!td(A237-1),IF(价差分析!$W$4="周",--[1]!td(A237-7),--[1]!td(A237-30)))-价差分析!$T$4&gt;0,IF(价差分析!$W$4="日",--[1]!td(A237-1),IF(价差分析!$W$4="周",--[1]!td(A237-7),--[1]!td(A237-30))),""))</f>
        <v>44910</v>
      </c>
      <c r="B238" s="6">
        <f ca="1">IF($A238="","",[1]!s_dq_close(B$1,$A238,$M$4))</f>
        <v>19.12</v>
      </c>
      <c r="C238" s="6">
        <f ca="1">IF($A238="","",[1]!s_dq_close(C$1,$A238,$M$4))</f>
        <v>15.72</v>
      </c>
      <c r="D238" s="6">
        <f ca="1">IF($A238="","",[1]!s_dq_close(D$1,$A238,$M$4))</f>
        <v>12.39</v>
      </c>
      <c r="E238" s="6">
        <f ca="1">IF($A238="","",[1]!s_dq_close(E$1,$A238,$M$4))</f>
        <v>10.91</v>
      </c>
      <c r="F238" s="6">
        <f ca="1">IF($A238="","",[1]!s_dq_close(F$1,$A238,$M$4))</f>
        <v>14.62</v>
      </c>
      <c r="G238" s="6"/>
      <c r="H238" s="6">
        <f ca="1">IF($A238="","",[1]!s_dq_close(H$1,$A238,$M$4))</f>
        <v>19.12</v>
      </c>
      <c r="I238" s="6">
        <f ca="1">IF($A238="","",[1]!s_dq_close(I$1,$A238,$M$4))</f>
        <v>14.62</v>
      </c>
      <c r="J238" s="6">
        <f t="shared" ca="1" si="4"/>
        <v>4.5000000000000018</v>
      </c>
    </row>
    <row r="239" spans="1:10">
      <c r="A239" s="2">
        <f ca="1">IF(A238="","",IF(IF(价差分析!$W$4="日",--[1]!td(A238-1),IF(价差分析!$W$4="周",--[1]!td(A238-7),--[1]!td(A238-30)))-价差分析!$T$4&gt;0,IF(价差分析!$W$4="日",--[1]!td(A238-1),IF(价差分析!$W$4="周",--[1]!td(A238-7),--[1]!td(A238-30))),""))</f>
        <v>44909</v>
      </c>
      <c r="B239" s="6">
        <f ca="1">IF($A239="","",[1]!s_dq_close(B$1,$A239,$M$4))</f>
        <v>19.25</v>
      </c>
      <c r="C239" s="6">
        <f ca="1">IF($A239="","",[1]!s_dq_close(C$1,$A239,$M$4))</f>
        <v>15.77</v>
      </c>
      <c r="D239" s="6">
        <f ca="1">IF($A239="","",[1]!s_dq_close(D$1,$A239,$M$4))</f>
        <v>12.57</v>
      </c>
      <c r="E239" s="6">
        <f ca="1">IF($A239="","",[1]!s_dq_close(E$1,$A239,$M$4))</f>
        <v>11</v>
      </c>
      <c r="F239" s="6">
        <f ca="1">IF($A239="","",[1]!s_dq_close(F$1,$A239,$M$4))</f>
        <v>14.62</v>
      </c>
      <c r="G239" s="6"/>
      <c r="H239" s="6">
        <f ca="1">IF($A239="","",[1]!s_dq_close(H$1,$A239,$M$4))</f>
        <v>19.25</v>
      </c>
      <c r="I239" s="6">
        <f ca="1">IF($A239="","",[1]!s_dq_close(I$1,$A239,$M$4))</f>
        <v>14.62</v>
      </c>
      <c r="J239" s="6">
        <f t="shared" ca="1" si="4"/>
        <v>4.6300000000000008</v>
      </c>
    </row>
    <row r="240" spans="1:10">
      <c r="A240" s="2">
        <f ca="1">IF(A239="","",IF(IF(价差分析!$W$4="日",--[1]!td(A239-1),IF(价差分析!$W$4="周",--[1]!td(A239-7),--[1]!td(A239-30)))-价差分析!$T$4&gt;0,IF(价差分析!$W$4="日",--[1]!td(A239-1),IF(价差分析!$W$4="周",--[1]!td(A239-7),--[1]!td(A239-30))),""))</f>
        <v>44908</v>
      </c>
      <c r="B240" s="6">
        <f ca="1">IF($A240="","",[1]!s_dq_close(B$1,$A240,$M$4))</f>
        <v>19.48</v>
      </c>
      <c r="C240" s="6">
        <f ca="1">IF($A240="","",[1]!s_dq_close(C$1,$A240,$M$4))</f>
        <v>15.96</v>
      </c>
      <c r="D240" s="6">
        <f ca="1">IF($A240="","",[1]!s_dq_close(D$1,$A240,$M$4))</f>
        <v>12.4</v>
      </c>
      <c r="E240" s="6">
        <f ca="1">IF($A240="","",[1]!s_dq_close(E$1,$A240,$M$4))</f>
        <v>11.15</v>
      </c>
      <c r="F240" s="6">
        <f ca="1">IF($A240="","",[1]!s_dq_close(F$1,$A240,$M$4))</f>
        <v>14.62</v>
      </c>
      <c r="G240" s="6"/>
      <c r="H240" s="6">
        <f ca="1">IF($A240="","",[1]!s_dq_close(H$1,$A240,$M$4))</f>
        <v>19.48</v>
      </c>
      <c r="I240" s="6">
        <f ca="1">IF($A240="","",[1]!s_dq_close(I$1,$A240,$M$4))</f>
        <v>14.62</v>
      </c>
      <c r="J240" s="6">
        <f t="shared" ca="1" si="4"/>
        <v>4.8600000000000012</v>
      </c>
    </row>
    <row r="241" spans="1:10">
      <c r="A241" s="2">
        <f ca="1">IF(A240="","",IF(IF(价差分析!$W$4="日",--[1]!td(A240-1),IF(价差分析!$W$4="周",--[1]!td(A240-7),--[1]!td(A240-30)))-价差分析!$T$4&gt;0,IF(价差分析!$W$4="日",--[1]!td(A240-1),IF(价差分析!$W$4="周",--[1]!td(A240-7),--[1]!td(A240-30))),""))</f>
        <v>44907</v>
      </c>
      <c r="B241" s="6">
        <f ca="1">IF($A241="","",[1]!s_dq_close(B$1,$A241,$M$4))</f>
        <v>19.45</v>
      </c>
      <c r="C241" s="6">
        <f ca="1">IF($A241="","",[1]!s_dq_close(C$1,$A241,$M$4))</f>
        <v>15.75</v>
      </c>
      <c r="D241" s="6">
        <f ca="1">IF($A241="","",[1]!s_dq_close(D$1,$A241,$M$4))</f>
        <v>12.35</v>
      </c>
      <c r="E241" s="6">
        <f ca="1">IF($A241="","",[1]!s_dq_close(E$1,$A241,$M$4))</f>
        <v>11.28</v>
      </c>
      <c r="F241" s="6">
        <f ca="1">IF($A241="","",[1]!s_dq_close(F$1,$A241,$M$4))</f>
        <v>14.62</v>
      </c>
      <c r="G241" s="6"/>
      <c r="H241" s="6">
        <f ca="1">IF($A241="","",[1]!s_dq_close(H$1,$A241,$M$4))</f>
        <v>19.45</v>
      </c>
      <c r="I241" s="6">
        <f ca="1">IF($A241="","",[1]!s_dq_close(I$1,$A241,$M$4))</f>
        <v>14.62</v>
      </c>
      <c r="J241" s="6">
        <f t="shared" ca="1" si="4"/>
        <v>4.83</v>
      </c>
    </row>
    <row r="242" spans="1:10">
      <c r="A242" s="2">
        <f ca="1">IF(A241="","",IF(IF(价差分析!$W$4="日",--[1]!td(A241-1),IF(价差分析!$W$4="周",--[1]!td(A241-7),--[1]!td(A241-30)))-价差分析!$T$4&gt;0,IF(价差分析!$W$4="日",--[1]!td(A241-1),IF(价差分析!$W$4="周",--[1]!td(A241-7),--[1]!td(A241-30))),""))</f>
        <v>44904</v>
      </c>
      <c r="B242" s="6">
        <f ca="1">IF($A242="","",[1]!s_dq_close(B$1,$A242,$M$4))</f>
        <v>20.46</v>
      </c>
      <c r="C242" s="6">
        <f ca="1">IF($A242="","",[1]!s_dq_close(C$1,$A242,$M$4))</f>
        <v>16.45</v>
      </c>
      <c r="D242" s="6">
        <f ca="1">IF($A242="","",[1]!s_dq_close(D$1,$A242,$M$4))</f>
        <v>12.4</v>
      </c>
      <c r="E242" s="6">
        <f ca="1">IF($A242="","",[1]!s_dq_close(E$1,$A242,$M$4))</f>
        <v>11.84</v>
      </c>
      <c r="F242" s="6">
        <f ca="1">IF($A242="","",[1]!s_dq_close(F$1,$A242,$M$4))</f>
        <v>14.62</v>
      </c>
      <c r="G242" s="6"/>
      <c r="H242" s="6">
        <f ca="1">IF($A242="","",[1]!s_dq_close(H$1,$A242,$M$4))</f>
        <v>20.46</v>
      </c>
      <c r="I242" s="6">
        <f ca="1">IF($A242="","",[1]!s_dq_close(I$1,$A242,$M$4))</f>
        <v>14.62</v>
      </c>
      <c r="J242" s="6">
        <f t="shared" ca="1" si="4"/>
        <v>5.8400000000000016</v>
      </c>
    </row>
    <row r="243" spans="1:10">
      <c r="A243" s="2">
        <f ca="1">IF(A242="","",IF(IF(价差分析!$W$4="日",--[1]!td(A242-1),IF(价差分析!$W$4="周",--[1]!td(A242-7),--[1]!td(A242-30)))-价差分析!$T$4&gt;0,IF(价差分析!$W$4="日",--[1]!td(A242-1),IF(价差分析!$W$4="周",--[1]!td(A242-7),--[1]!td(A242-30))),""))</f>
        <v>44903</v>
      </c>
      <c r="B243" s="6">
        <f ca="1">IF($A243="","",[1]!s_dq_close(B$1,$A243,$M$4))</f>
        <v>19.38</v>
      </c>
      <c r="C243" s="6">
        <f ca="1">IF($A243="","",[1]!s_dq_close(C$1,$A243,$M$4))</f>
        <v>15.95</v>
      </c>
      <c r="D243" s="6">
        <f ca="1">IF($A243="","",[1]!s_dq_close(D$1,$A243,$M$4))</f>
        <v>12.44</v>
      </c>
      <c r="E243" s="6">
        <f ca="1">IF($A243="","",[1]!s_dq_close(E$1,$A243,$M$4))</f>
        <v>11.33</v>
      </c>
      <c r="F243" s="6">
        <f ca="1">IF($A243="","",[1]!s_dq_close(F$1,$A243,$M$4))</f>
        <v>14.62</v>
      </c>
      <c r="G243" s="6"/>
      <c r="H243" s="6">
        <f ca="1">IF($A243="","",[1]!s_dq_close(H$1,$A243,$M$4))</f>
        <v>19.38</v>
      </c>
      <c r="I243" s="6">
        <f ca="1">IF($A243="","",[1]!s_dq_close(I$1,$A243,$M$4))</f>
        <v>14.62</v>
      </c>
      <c r="J243" s="6">
        <f t="shared" ca="1" si="4"/>
        <v>4.76</v>
      </c>
    </row>
    <row r="244" spans="1:10">
      <c r="A244" s="2">
        <f ca="1">IF(A243="","",IF(IF(价差分析!$W$4="日",--[1]!td(A243-1),IF(价差分析!$W$4="周",--[1]!td(A243-7),--[1]!td(A243-30)))-价差分析!$T$4&gt;0,IF(价差分析!$W$4="日",--[1]!td(A243-1),IF(价差分析!$W$4="周",--[1]!td(A243-7),--[1]!td(A243-30))),""))</f>
        <v>44902</v>
      </c>
      <c r="B244" s="6">
        <f ca="1">IF($A244="","",[1]!s_dq_close(B$1,$A244,$M$4))</f>
        <v>18.5</v>
      </c>
      <c r="C244" s="6">
        <f ca="1">IF($A244="","",[1]!s_dq_close(C$1,$A244,$M$4))</f>
        <v>15.7</v>
      </c>
      <c r="D244" s="6">
        <f ca="1">IF($A244="","",[1]!s_dq_close(D$1,$A244,$M$4))</f>
        <v>12.35</v>
      </c>
      <c r="E244" s="6">
        <f ca="1">IF($A244="","",[1]!s_dq_close(E$1,$A244,$M$4))</f>
        <v>11.01</v>
      </c>
      <c r="F244" s="6">
        <f ca="1">IF($A244="","",[1]!s_dq_close(F$1,$A244,$M$4))</f>
        <v>14.62</v>
      </c>
      <c r="G244" s="6"/>
      <c r="H244" s="6">
        <f ca="1">IF($A244="","",[1]!s_dq_close(H$1,$A244,$M$4))</f>
        <v>18.5</v>
      </c>
      <c r="I244" s="6">
        <f ca="1">IF($A244="","",[1]!s_dq_close(I$1,$A244,$M$4))</f>
        <v>14.62</v>
      </c>
      <c r="J244" s="6">
        <f t="shared" ca="1" si="4"/>
        <v>3.8800000000000008</v>
      </c>
    </row>
    <row r="245" spans="1:10">
      <c r="A245" s="2">
        <f ca="1">IF(A244="","",IF(IF(价差分析!$W$4="日",--[1]!td(A244-1),IF(价差分析!$W$4="周",--[1]!td(A244-7),--[1]!td(A244-30)))-价差分析!$T$4&gt;0,IF(价差分析!$W$4="日",--[1]!td(A244-1),IF(价差分析!$W$4="周",--[1]!td(A244-7),--[1]!td(A244-30))),""))</f>
        <v>44901</v>
      </c>
      <c r="B245" s="6">
        <f ca="1">IF($A245="","",[1]!s_dq_close(B$1,$A245,$M$4))</f>
        <v>19.18</v>
      </c>
      <c r="C245" s="6">
        <f ca="1">IF($A245="","",[1]!s_dq_close(C$1,$A245,$M$4))</f>
        <v>16.09</v>
      </c>
      <c r="D245" s="6">
        <f ca="1">IF($A245="","",[1]!s_dq_close(D$1,$A245,$M$4))</f>
        <v>12.55</v>
      </c>
      <c r="E245" s="6">
        <f ca="1">IF($A245="","",[1]!s_dq_close(E$1,$A245,$M$4))</f>
        <v>11.37</v>
      </c>
      <c r="F245" s="6">
        <f ca="1">IF($A245="","",[1]!s_dq_close(F$1,$A245,$M$4))</f>
        <v>14.62</v>
      </c>
      <c r="G245" s="6"/>
      <c r="H245" s="6">
        <f ca="1">IF($A245="","",[1]!s_dq_close(H$1,$A245,$M$4))</f>
        <v>19.18</v>
      </c>
      <c r="I245" s="6">
        <f ca="1">IF($A245="","",[1]!s_dq_close(I$1,$A245,$M$4))</f>
        <v>14.62</v>
      </c>
      <c r="J245" s="6">
        <f t="shared" ca="1" si="4"/>
        <v>4.5600000000000005</v>
      </c>
    </row>
    <row r="246" spans="1:10">
      <c r="A246" s="2" t="str">
        <f ca="1">IF(A245="","",IF(IF(价差分析!$W$4="日",--[1]!td(A245-1),IF(价差分析!$W$4="周",--[1]!td(A245-7),--[1]!td(A245-30)))-价差分析!$T$4&gt;0,IF(价差分析!$W$4="日",--[1]!td(A245-1),IF(价差分析!$W$4="周",--[1]!td(A245-7),--[1]!td(A245-30))),""))</f>
        <v/>
      </c>
      <c r="B246" s="6" t="str">
        <f ca="1">IF($A246="","",[1]!s_dq_close(B$1,$A246,$M$4))</f>
        <v/>
      </c>
      <c r="C246" s="6" t="str">
        <f ca="1">IF($A246="","",[1]!s_dq_close(C$1,$A246,$M$4))</f>
        <v/>
      </c>
      <c r="D246" s="6" t="str">
        <f ca="1">IF($A246="","",[1]!s_dq_close(D$1,$A246,$M$4))</f>
        <v/>
      </c>
      <c r="E246" s="6" t="str">
        <f ca="1">IF($A246="","",[1]!s_dq_close(E$1,$A246,$M$4))</f>
        <v/>
      </c>
      <c r="F246" s="6" t="str">
        <f ca="1">IF($A246="","",[1]!s_dq_close(F$1,$A246,$M$4))</f>
        <v/>
      </c>
      <c r="G246" s="6"/>
      <c r="H246" s="6" t="str">
        <f ca="1">IF($A246="","",[1]!s_dq_close(H$1,$A246,$M$4))</f>
        <v/>
      </c>
      <c r="I246" s="6" t="str">
        <f ca="1">IF($A246="","",[1]!s_dq_close(I$1,$A246,$M$4))</f>
        <v/>
      </c>
      <c r="J246" s="6" t="str">
        <f t="shared" ca="1" si="4"/>
        <v/>
      </c>
    </row>
    <row r="247" spans="1:10">
      <c r="A247" s="2" t="str">
        <f ca="1">IF(A246="","",IF(IF(价差分析!$W$4="日",--[1]!td(A246-1),IF(价差分析!$W$4="周",--[1]!td(A246-7),--[1]!td(A246-30)))-价差分析!$T$4&gt;0,IF(价差分析!$W$4="日",--[1]!td(A246-1),IF(价差分析!$W$4="周",--[1]!td(A246-7),--[1]!td(A246-30))),""))</f>
        <v/>
      </c>
      <c r="B247" s="1" t="str">
        <f ca="1">IF(A247="","",[1]!s_dq_close($B$1,A247,$M$4))</f>
        <v/>
      </c>
      <c r="C247" s="1" t="str">
        <f ca="1">IF(A247="","",[1]!s_dq_close($C$1,A247,$M$4))</f>
        <v/>
      </c>
      <c r="D247" s="6" t="str">
        <f ca="1">IF($A247="","",[1]!s_dq_close(D$1,$A247,$M$4))</f>
        <v/>
      </c>
      <c r="E247" s="6" t="str">
        <f ca="1">IF($A247="","",[1]!s_dq_close(E$1,$A247,$M$4))</f>
        <v/>
      </c>
      <c r="F247" s="6" t="str">
        <f ca="1">IF($A247="","",[1]!s_dq_close(F$1,$A247,$M$4))</f>
        <v/>
      </c>
      <c r="G247" s="6"/>
      <c r="H247" s="6" t="str">
        <f ca="1">IF($A247="","",[1]!s_dq_close(H$1,$A247,$M$4))</f>
        <v/>
      </c>
      <c r="I247" s="6" t="str">
        <f ca="1">IF($A247="","",[1]!s_dq_close(I$1,$A247,$M$4))</f>
        <v/>
      </c>
      <c r="J247" s="6" t="str">
        <f t="shared" ca="1" si="4"/>
        <v/>
      </c>
    </row>
    <row r="248" spans="1:10">
      <c r="A248" s="2" t="str">
        <f ca="1">IF(A247="","",IF(IF(价差分析!$W$4="日",--[1]!td(A247-1),IF(价差分析!$W$4="周",--[1]!td(A247-7),--[1]!td(A247-30)))-价差分析!$T$4&gt;0,IF(价差分析!$W$4="日",--[1]!td(A247-1),IF(价差分析!$W$4="周",--[1]!td(A247-7),--[1]!td(A247-30))),""))</f>
        <v/>
      </c>
      <c r="B248" s="1" t="str">
        <f ca="1">IF(A248="","",[1]!s_dq_close($B$1,A248,$M$4))</f>
        <v/>
      </c>
      <c r="C248" s="1" t="str">
        <f ca="1">IF(A248="","",[1]!s_dq_close($C$1,A248,$M$4))</f>
        <v/>
      </c>
      <c r="D248" s="6" t="str">
        <f ca="1">IF($A248="","",[1]!s_dq_close(D$1,$A248,$M$4))</f>
        <v/>
      </c>
      <c r="E248" s="6" t="str">
        <f ca="1">IF($A248="","",[1]!s_dq_close(E$1,$A248,$M$4))</f>
        <v/>
      </c>
      <c r="F248" s="6" t="str">
        <f ca="1">IF($A248="","",[1]!s_dq_close(F$1,$A248,$M$4))</f>
        <v/>
      </c>
      <c r="G248" s="6"/>
      <c r="H248" s="6" t="str">
        <f ca="1">IF($A248="","",[1]!s_dq_close(H$1,$A248,$M$4))</f>
        <v/>
      </c>
      <c r="I248" s="6" t="str">
        <f ca="1">IF($A248="","",[1]!s_dq_close(I$1,$A248,$M$4))</f>
        <v/>
      </c>
      <c r="J248" s="6" t="str">
        <f t="shared" ca="1" si="4"/>
        <v/>
      </c>
    </row>
    <row r="249" spans="1:10">
      <c r="A249" s="2" t="str">
        <f ca="1">IF(A248="","",IF(IF(价差分析!$W$4="日",--[1]!td(A248-1),IF(价差分析!$W$4="周",--[1]!td(A248-7),--[1]!td(A248-30)))-价差分析!$T$4&gt;0,IF(价差分析!$W$4="日",--[1]!td(A248-1),IF(价差分析!$W$4="周",--[1]!td(A248-7),--[1]!td(A248-30))),""))</f>
        <v/>
      </c>
      <c r="B249" s="1" t="str">
        <f ca="1">IF(A249="","",[1]!s_dq_close($B$1,A249,$M$4))</f>
        <v/>
      </c>
      <c r="C249" s="1" t="str">
        <f ca="1">IF(A249="","",[1]!s_dq_close($C$1,A249,$M$4))</f>
        <v/>
      </c>
      <c r="D249" s="6" t="str">
        <f ca="1">IF($A249="","",[1]!s_dq_close(D$1,$A249,$M$4))</f>
        <v/>
      </c>
      <c r="E249" s="6" t="str">
        <f ca="1">IF($A249="","",[1]!s_dq_close(E$1,$A249,$M$4))</f>
        <v/>
      </c>
      <c r="F249" s="6" t="str">
        <f ca="1">IF($A249="","",[1]!s_dq_close(F$1,$A249,$M$4))</f>
        <v/>
      </c>
      <c r="G249" s="6"/>
      <c r="H249" s="6" t="str">
        <f ca="1">IF($A249="","",[1]!s_dq_close(H$1,$A249,$M$4))</f>
        <v/>
      </c>
      <c r="I249" s="6" t="str">
        <f ca="1">IF($A249="","",[1]!s_dq_close(I$1,$A249,$M$4))</f>
        <v/>
      </c>
      <c r="J249" s="6" t="str">
        <f t="shared" ca="1" si="4"/>
        <v/>
      </c>
    </row>
    <row r="250" spans="1:10">
      <c r="A250" s="2" t="str">
        <f ca="1">IF(A249="","",IF(IF(价差分析!$W$4="日",--[1]!td(A249-1),IF(价差分析!$W$4="周",--[1]!td(A249-7),--[1]!td(A249-30)))-价差分析!$T$4&gt;0,IF(价差分析!$W$4="日",--[1]!td(A249-1),IF(价差分析!$W$4="周",--[1]!td(A249-7),--[1]!td(A249-30))),""))</f>
        <v/>
      </c>
      <c r="B250" s="1" t="str">
        <f ca="1">IF(A250="","",[1]!s_dq_close($B$1,A250,$M$4))</f>
        <v/>
      </c>
      <c r="C250" s="1" t="str">
        <f ca="1">IF(A250="","",[1]!s_dq_close($C$1,A250,$M$4))</f>
        <v/>
      </c>
      <c r="D250" s="6" t="str">
        <f ca="1">IF($A250="","",[1]!s_dq_close(D$1,$A250,$M$4))</f>
        <v/>
      </c>
      <c r="E250" s="6" t="str">
        <f ca="1">IF($A250="","",[1]!s_dq_close(E$1,$A250,$M$4))</f>
        <v/>
      </c>
      <c r="F250" s="6" t="str">
        <f ca="1">IF($A250="","",[1]!s_dq_close(F$1,$A250,$M$4))</f>
        <v/>
      </c>
      <c r="G250" s="6"/>
      <c r="H250" s="6" t="str">
        <f ca="1">IF($A250="","",[1]!s_dq_close(H$1,$A250,$M$4))</f>
        <v/>
      </c>
      <c r="I250" s="6" t="str">
        <f ca="1">IF($A250="","",[1]!s_dq_close(I$1,$A250,$M$4))</f>
        <v/>
      </c>
      <c r="J250" s="6" t="str">
        <f t="shared" ca="1" si="4"/>
        <v/>
      </c>
    </row>
    <row r="251" spans="1:10">
      <c r="A251" s="2" t="str">
        <f ca="1">IF(A250="","",IF(IF(价差分析!$W$4="日",--[1]!td(A250-1),IF(价差分析!$W$4="周",--[1]!td(A250-7),--[1]!td(A250-30)))-价差分析!$T$4&gt;0,IF(价差分析!$W$4="日",--[1]!td(A250-1),IF(价差分析!$W$4="周",--[1]!td(A250-7),--[1]!td(A250-30))),""))</f>
        <v/>
      </c>
      <c r="B251" s="1" t="str">
        <f ca="1">IF(A251="","",[1]!s_dq_close($B$1,A251,$M$4))</f>
        <v/>
      </c>
      <c r="C251" s="1" t="str">
        <f ca="1">IF(A251="","",[1]!s_dq_close($C$1,A251,$M$4))</f>
        <v/>
      </c>
      <c r="D251" s="6" t="str">
        <f ca="1">IF($A251="","",[1]!s_dq_close(D$1,$A251,$M$4))</f>
        <v/>
      </c>
      <c r="E251" s="6" t="str">
        <f ca="1">IF($A251="","",[1]!s_dq_close(E$1,$A251,$M$4))</f>
        <v/>
      </c>
      <c r="F251" s="6" t="str">
        <f ca="1">IF($A251="","",[1]!s_dq_close(F$1,$A251,$M$4))</f>
        <v/>
      </c>
      <c r="G251" s="6"/>
      <c r="H251" s="6" t="str">
        <f ca="1">IF($A251="","",[1]!s_dq_close(H$1,$A251,$M$4))</f>
        <v/>
      </c>
      <c r="I251" s="6" t="str">
        <f ca="1">IF($A251="","",[1]!s_dq_close(I$1,$A251,$M$4))</f>
        <v/>
      </c>
      <c r="J251" s="6" t="str">
        <f t="shared" ca="1" si="4"/>
        <v/>
      </c>
    </row>
    <row r="252" spans="1:10">
      <c r="A252" s="2" t="str">
        <f ca="1">IF(A251="","",IF(IF(价差分析!$W$4="日",--[1]!td(A251-1),IF(价差分析!$W$4="周",--[1]!td(A251-7),--[1]!td(A251-30)))-价差分析!$T$4&gt;0,IF(价差分析!$W$4="日",--[1]!td(A251-1),IF(价差分析!$W$4="周",--[1]!td(A251-7),--[1]!td(A251-30))),""))</f>
        <v/>
      </c>
      <c r="B252" s="1" t="str">
        <f ca="1">IF(A252="","",[1]!s_dq_close($B$1,A252,$M$4))</f>
        <v/>
      </c>
      <c r="C252" s="1" t="str">
        <f ca="1">IF(A252="","",[1]!s_dq_close($C$1,A252,$M$4))</f>
        <v/>
      </c>
      <c r="D252" s="6" t="str">
        <f ca="1">IF($A252="","",[1]!s_dq_close(D$1,$A252,$M$4))</f>
        <v/>
      </c>
      <c r="E252" s="6" t="str">
        <f ca="1">IF($A252="","",[1]!s_dq_close(E$1,$A252,$M$4))</f>
        <v/>
      </c>
      <c r="F252" s="6" t="str">
        <f ca="1">IF($A252="","",[1]!s_dq_close(F$1,$A252,$M$4))</f>
        <v/>
      </c>
      <c r="G252" s="6"/>
      <c r="H252" s="6" t="str">
        <f ca="1">IF($A252="","",[1]!s_dq_close(H$1,$A252,$M$4))</f>
        <v/>
      </c>
      <c r="I252" s="6" t="str">
        <f ca="1">IF($A252="","",[1]!s_dq_close(I$1,$A252,$M$4))</f>
        <v/>
      </c>
      <c r="J252" s="6" t="str">
        <f t="shared" ca="1" si="4"/>
        <v/>
      </c>
    </row>
    <row r="253" spans="1:10">
      <c r="A253" s="2" t="str">
        <f ca="1">IF(A252="","",IF(IF(价差分析!$W$4="日",--[1]!td(A252-1),IF(价差分析!$W$4="周",--[1]!td(A252-7),--[1]!td(A252-30)))-价差分析!$T$4&gt;0,IF(价差分析!$W$4="日",--[1]!td(A252-1),IF(价差分析!$W$4="周",--[1]!td(A252-7),--[1]!td(A252-30))),""))</f>
        <v/>
      </c>
      <c r="B253" s="1" t="str">
        <f ca="1">IF(A253="","",[1]!s_dq_close($B$1,A253,$M$4))</f>
        <v/>
      </c>
      <c r="C253" s="1" t="str">
        <f ca="1">IF(A253="","",[1]!s_dq_close($C$1,A253,$M$4))</f>
        <v/>
      </c>
      <c r="D253" s="6" t="str">
        <f ca="1">IF($A253="","",[1]!s_dq_close(D$1,$A253,$M$4))</f>
        <v/>
      </c>
      <c r="E253" s="6" t="str">
        <f ca="1">IF($A253="","",[1]!s_dq_close(E$1,$A253,$M$4))</f>
        <v/>
      </c>
      <c r="F253" s="6" t="str">
        <f ca="1">IF($A253="","",[1]!s_dq_close(F$1,$A253,$M$4))</f>
        <v/>
      </c>
      <c r="G253" s="6"/>
      <c r="H253" s="6" t="str">
        <f ca="1">IF($A253="","",[1]!s_dq_close(H$1,$A253,$M$4))</f>
        <v/>
      </c>
      <c r="I253" s="6" t="str">
        <f ca="1">IF($A253="","",[1]!s_dq_close(I$1,$A253,$M$4))</f>
        <v/>
      </c>
      <c r="J253" s="6" t="str">
        <f t="shared" ca="1" si="4"/>
        <v/>
      </c>
    </row>
    <row r="254" spans="1:10">
      <c r="A254" s="2" t="str">
        <f ca="1">IF(A253="","",IF(IF(价差分析!$W$4="日",--[1]!td(A253-1),IF(价差分析!$W$4="周",--[1]!td(A253-7),--[1]!td(A253-30)))-价差分析!$T$4&gt;0,IF(价差分析!$W$4="日",--[1]!td(A253-1),IF(价差分析!$W$4="周",--[1]!td(A253-7),--[1]!td(A253-30))),""))</f>
        <v/>
      </c>
      <c r="B254" s="1" t="str">
        <f ca="1">IF(A254="","",[1]!s_dq_close($B$1,A254,$M$4))</f>
        <v/>
      </c>
      <c r="C254" s="1" t="str">
        <f ca="1">IF(A254="","",[1]!s_dq_close($C$1,A254,$M$4))</f>
        <v/>
      </c>
      <c r="D254" s="6" t="str">
        <f ca="1">IF($A254="","",[1]!s_dq_close(D$1,$A254,$M$4))</f>
        <v/>
      </c>
      <c r="E254" s="6" t="str">
        <f ca="1">IF($A254="","",[1]!s_dq_close(E$1,$A254,$M$4))</f>
        <v/>
      </c>
      <c r="F254" s="6" t="str">
        <f ca="1">IF($A254="","",[1]!s_dq_close(F$1,$A254,$M$4))</f>
        <v/>
      </c>
      <c r="G254" s="6"/>
      <c r="H254" s="6" t="str">
        <f ca="1">IF($A254="","",[1]!s_dq_close(H$1,$A254,$M$4))</f>
        <v/>
      </c>
      <c r="I254" s="6" t="str">
        <f ca="1">IF($A254="","",[1]!s_dq_close(I$1,$A254,$M$4))</f>
        <v/>
      </c>
      <c r="J254" s="6" t="str">
        <f t="shared" ca="1" si="4"/>
        <v/>
      </c>
    </row>
    <row r="255" spans="1:10">
      <c r="A255" s="2" t="str">
        <f ca="1">IF(A254="","",IF(IF(价差分析!$W$4="日",--[1]!td(A254-1),IF(价差分析!$W$4="周",--[1]!td(A254-7),--[1]!td(A254-30)))-价差分析!$T$4&gt;0,IF(价差分析!$W$4="日",--[1]!td(A254-1),IF(价差分析!$W$4="周",--[1]!td(A254-7),--[1]!td(A254-30))),""))</f>
        <v/>
      </c>
      <c r="B255" s="1" t="str">
        <f ca="1">IF(A255="","",[1]!s_dq_close($B$1,A255,$M$4))</f>
        <v/>
      </c>
      <c r="C255" s="1" t="str">
        <f ca="1">IF(A255="","",[1]!s_dq_close($C$1,A255,$M$4))</f>
        <v/>
      </c>
      <c r="D255" s="6" t="str">
        <f ca="1">IF($A255="","",[1]!s_dq_close(D$1,$A255,$M$4))</f>
        <v/>
      </c>
      <c r="E255" s="6" t="str">
        <f ca="1">IF($A255="","",[1]!s_dq_close(E$1,$A255,$M$4))</f>
        <v/>
      </c>
      <c r="F255" s="6" t="str">
        <f ca="1">IF($A255="","",[1]!s_dq_close(F$1,$A255,$M$4))</f>
        <v/>
      </c>
      <c r="G255" s="6"/>
      <c r="H255" s="6" t="str">
        <f ca="1">IF($A255="","",[1]!s_dq_close(H$1,$A255,$M$4))</f>
        <v/>
      </c>
      <c r="I255" s="6" t="str">
        <f ca="1">IF($A255="","",[1]!s_dq_close(I$1,$A255,$M$4))</f>
        <v/>
      </c>
      <c r="J255" s="6" t="str">
        <f t="shared" ca="1" si="4"/>
        <v/>
      </c>
    </row>
    <row r="256" spans="1:10">
      <c r="A256" s="2" t="str">
        <f ca="1">IF(A255="","",IF(IF(价差分析!$W$4="日",--[1]!td(A255-1),IF(价差分析!$W$4="周",--[1]!td(A255-7),--[1]!td(A255-30)))-价差分析!$T$4&gt;0,IF(价差分析!$W$4="日",--[1]!td(A255-1),IF(价差分析!$W$4="周",--[1]!td(A255-7),--[1]!td(A255-30))),""))</f>
        <v/>
      </c>
      <c r="B256" s="1" t="str">
        <f ca="1">IF(A256="","",[1]!s_dq_close($B$1,A256,$M$4))</f>
        <v/>
      </c>
      <c r="C256" s="1" t="str">
        <f ca="1">IF(A256="","",[1]!s_dq_close($C$1,A256,$M$4))</f>
        <v/>
      </c>
      <c r="D256" s="6" t="str">
        <f ca="1">IF($A256="","",[1]!s_dq_close(D$1,$A256,$M$4))</f>
        <v/>
      </c>
      <c r="E256" s="6" t="str">
        <f ca="1">IF($A256="","",[1]!s_dq_close(E$1,$A256,$M$4))</f>
        <v/>
      </c>
      <c r="F256" s="6" t="str">
        <f ca="1">IF($A256="","",[1]!s_dq_close(F$1,$A256,$M$4))</f>
        <v/>
      </c>
      <c r="G256" s="6"/>
      <c r="H256" s="6" t="str">
        <f ca="1">IF($A256="","",[1]!s_dq_close(H$1,$A256,$M$4))</f>
        <v/>
      </c>
      <c r="I256" s="6" t="str">
        <f ca="1">IF($A256="","",[1]!s_dq_close(I$1,$A256,$M$4))</f>
        <v/>
      </c>
      <c r="J256" s="6" t="str">
        <f t="shared" ca="1" si="4"/>
        <v/>
      </c>
    </row>
    <row r="257" spans="1:10">
      <c r="A257" s="2" t="str">
        <f ca="1">IF(A256="","",IF(IF(价差分析!$W$4="日",--[1]!td(A256-1),IF(价差分析!$W$4="周",--[1]!td(A256-7),--[1]!td(A256-30)))-价差分析!$T$4&gt;0,IF(价差分析!$W$4="日",--[1]!td(A256-1),IF(价差分析!$W$4="周",--[1]!td(A256-7),--[1]!td(A256-30))),""))</f>
        <v/>
      </c>
      <c r="B257" s="1" t="str">
        <f ca="1">IF(A257="","",[1]!s_dq_close($B$1,A257,$M$4))</f>
        <v/>
      </c>
      <c r="C257" s="1" t="str">
        <f ca="1">IF(A257="","",[1]!s_dq_close($C$1,A257,$M$4))</f>
        <v/>
      </c>
      <c r="D257" s="6" t="str">
        <f ca="1">IF($A257="","",[1]!s_dq_close(D$1,$A257,$M$4))</f>
        <v/>
      </c>
      <c r="E257" s="6" t="str">
        <f ca="1">IF($A257="","",[1]!s_dq_close(E$1,$A257,$M$4))</f>
        <v/>
      </c>
      <c r="F257" s="6" t="str">
        <f ca="1">IF($A257="","",[1]!s_dq_close(F$1,$A257,$M$4))</f>
        <v/>
      </c>
      <c r="G257" s="6"/>
      <c r="H257" s="6" t="str">
        <f ca="1">IF($A257="","",[1]!s_dq_close(H$1,$A257,$M$4))</f>
        <v/>
      </c>
      <c r="I257" s="6" t="str">
        <f ca="1">IF($A257="","",[1]!s_dq_close(I$1,$A257,$M$4))</f>
        <v/>
      </c>
      <c r="J257" s="6" t="str">
        <f t="shared" ca="1" si="4"/>
        <v/>
      </c>
    </row>
    <row r="258" spans="1:10">
      <c r="A258" s="2" t="str">
        <f ca="1">IF(A257="","",IF(IF(价差分析!$W$4="日",--[1]!td(A257-1),IF(价差分析!$W$4="周",--[1]!td(A257-7),--[1]!td(A257-30)))-价差分析!$T$4&gt;0,IF(价差分析!$W$4="日",--[1]!td(A257-1),IF(价差分析!$W$4="周",--[1]!td(A257-7),--[1]!td(A257-30))),""))</f>
        <v/>
      </c>
      <c r="B258" s="1" t="str">
        <f ca="1">IF(A258="","",[1]!s_dq_close($B$1,A258,$M$4))</f>
        <v/>
      </c>
      <c r="C258" s="1" t="str">
        <f ca="1">IF(A258="","",[1]!s_dq_close($C$1,A258,$M$4))</f>
        <v/>
      </c>
      <c r="D258" s="6" t="str">
        <f ca="1">IF($A258="","",[1]!s_dq_close(D$1,$A258,$M$4))</f>
        <v/>
      </c>
      <c r="E258" s="6" t="str">
        <f ca="1">IF($A258="","",[1]!s_dq_close(E$1,$A258,$M$4))</f>
        <v/>
      </c>
      <c r="F258" s="6" t="str">
        <f ca="1">IF($A258="","",[1]!s_dq_close(F$1,$A258,$M$4))</f>
        <v/>
      </c>
      <c r="G258" s="6"/>
      <c r="H258" s="6" t="str">
        <f ca="1">IF($A258="","",[1]!s_dq_close(H$1,$A258,$M$4))</f>
        <v/>
      </c>
      <c r="I258" s="6" t="str">
        <f ca="1">IF($A258="","",[1]!s_dq_close(I$1,$A258,$M$4))</f>
        <v/>
      </c>
      <c r="J258" s="6" t="str">
        <f t="shared" ca="1" si="4"/>
        <v/>
      </c>
    </row>
    <row r="259" spans="1:10">
      <c r="A259" s="2" t="str">
        <f ca="1">IF(A258="","",IF(IF(价差分析!$W$4="日",--[1]!td(A258-1),IF(价差分析!$W$4="周",--[1]!td(A258-7),--[1]!td(A258-30)))-价差分析!$T$4&gt;0,IF(价差分析!$W$4="日",--[1]!td(A258-1),IF(价差分析!$W$4="周",--[1]!td(A258-7),--[1]!td(A258-30))),""))</f>
        <v/>
      </c>
      <c r="B259" s="1" t="str">
        <f ca="1">IF(A259="","",[1]!s_dq_close($B$1,A259,$M$4))</f>
        <v/>
      </c>
      <c r="C259" s="1" t="str">
        <f ca="1">IF(A259="","",[1]!s_dq_close($C$1,A259,$M$4))</f>
        <v/>
      </c>
      <c r="D259" s="6" t="str">
        <f ca="1">IF($A259="","",[1]!s_dq_close(D$1,$A259,$M$4))</f>
        <v/>
      </c>
      <c r="E259" s="6" t="str">
        <f ca="1">IF($A259="","",[1]!s_dq_close(E$1,$A259,$M$4))</f>
        <v/>
      </c>
      <c r="F259" s="6" t="str">
        <f ca="1">IF($A259="","",[1]!s_dq_close(F$1,$A259,$M$4))</f>
        <v/>
      </c>
      <c r="G259" s="6"/>
      <c r="H259" s="6" t="str">
        <f ca="1">IF($A259="","",[1]!s_dq_close(H$1,$A259,$M$4))</f>
        <v/>
      </c>
      <c r="I259" s="6" t="str">
        <f ca="1">IF($A259="","",[1]!s_dq_close(I$1,$A259,$M$4))</f>
        <v/>
      </c>
      <c r="J259" s="6" t="str">
        <f t="shared" ca="1" si="4"/>
        <v/>
      </c>
    </row>
    <row r="260" spans="1:10">
      <c r="A260" s="2" t="str">
        <f ca="1">IF(A259="","",IF(IF(价差分析!$W$4="日",--[1]!td(A259-1),IF(价差分析!$W$4="周",--[1]!td(A259-7),--[1]!td(A259-30)))-价差分析!$T$4&gt;0,IF(价差分析!$W$4="日",--[1]!td(A259-1),IF(价差分析!$W$4="周",--[1]!td(A259-7),--[1]!td(A259-30))),""))</f>
        <v/>
      </c>
      <c r="B260" s="1" t="str">
        <f ca="1">IF(A260="","",[1]!s_dq_close($B$1,A260,$M$4))</f>
        <v/>
      </c>
      <c r="C260" s="1" t="str">
        <f ca="1">IF(A260="","",[1]!s_dq_close($C$1,A260,$M$4))</f>
        <v/>
      </c>
      <c r="D260" s="6" t="str">
        <f ca="1">IF($A260="","",[1]!s_dq_close(D$1,$A260,$M$4))</f>
        <v/>
      </c>
      <c r="E260" s="6" t="str">
        <f ca="1">IF($A260="","",[1]!s_dq_close(E$1,$A260,$M$4))</f>
        <v/>
      </c>
      <c r="F260" s="6" t="str">
        <f ca="1">IF($A260="","",[1]!s_dq_close(F$1,$A260,$M$4))</f>
        <v/>
      </c>
      <c r="G260" s="6"/>
      <c r="H260" s="6" t="str">
        <f ca="1">IF($A260="","",[1]!s_dq_close(H$1,$A260,$M$4))</f>
        <v/>
      </c>
      <c r="I260" s="6" t="str">
        <f ca="1">IF($A260="","",[1]!s_dq_close(I$1,$A260,$M$4))</f>
        <v/>
      </c>
      <c r="J260" s="6" t="str">
        <f t="shared" ca="1" si="4"/>
        <v/>
      </c>
    </row>
    <row r="261" spans="1:10">
      <c r="A261" s="2" t="str">
        <f ca="1">IF(A260="","",IF(IF(价差分析!$W$4="日",--[1]!td(A260-1),IF(价差分析!$W$4="周",--[1]!td(A260-7),--[1]!td(A260-30)))-价差分析!$T$4&gt;0,IF(价差分析!$W$4="日",--[1]!td(A260-1),IF(价差分析!$W$4="周",--[1]!td(A260-7),--[1]!td(A260-30))),""))</f>
        <v/>
      </c>
      <c r="B261" s="1" t="str">
        <f ca="1">IF(A261="","",[1]!s_dq_close($B$1,A261,$M$4))</f>
        <v/>
      </c>
      <c r="C261" s="1" t="str">
        <f ca="1">IF(A261="","",[1]!s_dq_close($C$1,A261,$M$4))</f>
        <v/>
      </c>
      <c r="D261" s="6" t="str">
        <f ca="1">IF($A261="","",[1]!s_dq_close(D$1,$A261,$M$4))</f>
        <v/>
      </c>
      <c r="E261" s="6" t="str">
        <f ca="1">IF($A261="","",[1]!s_dq_close(E$1,$A261,$M$4))</f>
        <v/>
      </c>
      <c r="F261" s="6" t="str">
        <f ca="1">IF($A261="","",[1]!s_dq_close(F$1,$A261,$M$4))</f>
        <v/>
      </c>
      <c r="G261" s="6"/>
      <c r="H261" s="6" t="str">
        <f ca="1">IF($A261="","",[1]!s_dq_close(H$1,$A261,$M$4))</f>
        <v/>
      </c>
      <c r="I261" s="6" t="str">
        <f ca="1">IF($A261="","",[1]!s_dq_close(I$1,$A261,$M$4))</f>
        <v/>
      </c>
      <c r="J261" s="6" t="str">
        <f t="shared" ref="J261:J324" ca="1" si="5">IF(H261="","",H261-I261)</f>
        <v/>
      </c>
    </row>
    <row r="262" spans="1:10">
      <c r="A262" s="2" t="str">
        <f ca="1">IF(A261="","",IF(IF(价差分析!$W$4="日",--[1]!td(A261-1),IF(价差分析!$W$4="周",--[1]!td(A261-7),--[1]!td(A261-30)))-价差分析!$T$4&gt;0,IF(价差分析!$W$4="日",--[1]!td(A261-1),IF(价差分析!$W$4="周",--[1]!td(A261-7),--[1]!td(A261-30))),""))</f>
        <v/>
      </c>
      <c r="B262" s="1" t="str">
        <f ca="1">IF(A262="","",[1]!s_dq_close($B$1,A262,$M$4))</f>
        <v/>
      </c>
      <c r="C262" s="1" t="str">
        <f ca="1">IF(A262="","",[1]!s_dq_close($C$1,A262,$M$4))</f>
        <v/>
      </c>
      <c r="D262" s="6" t="str">
        <f ca="1">IF($A262="","",[1]!s_dq_close(D$1,$A262,$M$4))</f>
        <v/>
      </c>
      <c r="E262" s="6" t="str">
        <f ca="1">IF($A262="","",[1]!s_dq_close(E$1,$A262,$M$4))</f>
        <v/>
      </c>
      <c r="F262" s="6" t="str">
        <f ca="1">IF($A262="","",[1]!s_dq_close(F$1,$A262,$M$4))</f>
        <v/>
      </c>
      <c r="G262" s="6"/>
      <c r="H262" s="6" t="str">
        <f ca="1">IF($A262="","",[1]!s_dq_close(H$1,$A262,$M$4))</f>
        <v/>
      </c>
      <c r="I262" s="6" t="str">
        <f ca="1">IF($A262="","",[1]!s_dq_close(I$1,$A262,$M$4))</f>
        <v/>
      </c>
      <c r="J262" s="6" t="str">
        <f t="shared" ca="1" si="5"/>
        <v/>
      </c>
    </row>
    <row r="263" spans="1:10">
      <c r="A263" s="2" t="str">
        <f ca="1">IF(A262="","",IF(IF(价差分析!$W$4="日",--[1]!td(A262-1),IF(价差分析!$W$4="周",--[1]!td(A262-7),--[1]!td(A262-30)))-价差分析!$T$4&gt;0,IF(价差分析!$W$4="日",--[1]!td(A262-1),IF(价差分析!$W$4="周",--[1]!td(A262-7),--[1]!td(A262-30))),""))</f>
        <v/>
      </c>
      <c r="B263" s="1" t="str">
        <f ca="1">IF(A263="","",[1]!s_dq_close($B$1,A263,$M$4))</f>
        <v/>
      </c>
      <c r="C263" s="1" t="str">
        <f ca="1">IF(A263="","",[1]!s_dq_close($C$1,A263,$M$4))</f>
        <v/>
      </c>
      <c r="D263" s="6" t="str">
        <f ca="1">IF($A263="","",[1]!s_dq_close(D$1,$A263,$M$4))</f>
        <v/>
      </c>
      <c r="E263" s="6" t="str">
        <f ca="1">IF($A263="","",[1]!s_dq_close(E$1,$A263,$M$4))</f>
        <v/>
      </c>
      <c r="F263" s="6" t="str">
        <f ca="1">IF($A263="","",[1]!s_dq_close(F$1,$A263,$M$4))</f>
        <v/>
      </c>
      <c r="G263" s="6"/>
      <c r="H263" s="6" t="str">
        <f ca="1">IF($A263="","",[1]!s_dq_close(H$1,$A263,$M$4))</f>
        <v/>
      </c>
      <c r="I263" s="6" t="str">
        <f ca="1">IF($A263="","",[1]!s_dq_close(I$1,$A263,$M$4))</f>
        <v/>
      </c>
      <c r="J263" s="6" t="str">
        <f t="shared" ca="1" si="5"/>
        <v/>
      </c>
    </row>
    <row r="264" spans="1:10">
      <c r="A264" s="2" t="str">
        <f ca="1">IF(A263="","",IF(IF(价差分析!$W$4="日",--[1]!td(A263-1),IF(价差分析!$W$4="周",--[1]!td(A263-7),--[1]!td(A263-30)))-价差分析!$T$4&gt;0,IF(价差分析!$W$4="日",--[1]!td(A263-1),IF(价差分析!$W$4="周",--[1]!td(A263-7),--[1]!td(A263-30))),""))</f>
        <v/>
      </c>
      <c r="B264" s="1" t="str">
        <f ca="1">IF(A264="","",[1]!s_dq_close($B$1,A264,$M$4))</f>
        <v/>
      </c>
      <c r="C264" s="1" t="str">
        <f ca="1">IF(A264="","",[1]!s_dq_close($C$1,A264,$M$4))</f>
        <v/>
      </c>
      <c r="D264" s="6" t="str">
        <f ca="1">IF($A264="","",[1]!s_dq_close(D$1,$A264,$M$4))</f>
        <v/>
      </c>
      <c r="E264" s="6" t="str">
        <f ca="1">IF($A264="","",[1]!s_dq_close(E$1,$A264,$M$4))</f>
        <v/>
      </c>
      <c r="F264" s="6" t="str">
        <f ca="1">IF($A264="","",[1]!s_dq_close(F$1,$A264,$M$4))</f>
        <v/>
      </c>
      <c r="G264" s="6"/>
      <c r="H264" s="6" t="str">
        <f ca="1">IF($A264="","",[1]!s_dq_close(H$1,$A264,$M$4))</f>
        <v/>
      </c>
      <c r="I264" s="6" t="str">
        <f ca="1">IF($A264="","",[1]!s_dq_close(I$1,$A264,$M$4))</f>
        <v/>
      </c>
      <c r="J264" s="6" t="str">
        <f t="shared" ca="1" si="5"/>
        <v/>
      </c>
    </row>
    <row r="265" spans="1:10">
      <c r="A265" s="2" t="str">
        <f ca="1">IF(A264="","",IF(IF(价差分析!$W$4="日",--[1]!td(A264-1),IF(价差分析!$W$4="周",--[1]!td(A264-7),--[1]!td(A264-30)))-价差分析!$T$4&gt;0,IF(价差分析!$W$4="日",--[1]!td(A264-1),IF(价差分析!$W$4="周",--[1]!td(A264-7),--[1]!td(A264-30))),""))</f>
        <v/>
      </c>
      <c r="B265" s="1" t="str">
        <f ca="1">IF(A265="","",[1]!s_dq_close($B$1,A265,$M$4))</f>
        <v/>
      </c>
      <c r="C265" s="1" t="str">
        <f ca="1">IF(A265="","",[1]!s_dq_close($C$1,A265,$M$4))</f>
        <v/>
      </c>
      <c r="D265" s="6" t="str">
        <f ca="1">IF($A265="","",[1]!s_dq_close(D$1,$A265,$M$4))</f>
        <v/>
      </c>
      <c r="E265" s="6" t="str">
        <f ca="1">IF($A265="","",[1]!s_dq_close(E$1,$A265,$M$4))</f>
        <v/>
      </c>
      <c r="F265" s="6" t="str">
        <f ca="1">IF($A265="","",[1]!s_dq_close(F$1,$A265,$M$4))</f>
        <v/>
      </c>
      <c r="G265" s="6"/>
      <c r="H265" s="6" t="str">
        <f ca="1">IF($A265="","",[1]!s_dq_close(H$1,$A265,$M$4))</f>
        <v/>
      </c>
      <c r="I265" s="6" t="str">
        <f ca="1">IF($A265="","",[1]!s_dq_close(I$1,$A265,$M$4))</f>
        <v/>
      </c>
      <c r="J265" s="6" t="str">
        <f t="shared" ca="1" si="5"/>
        <v/>
      </c>
    </row>
    <row r="266" spans="1:10">
      <c r="A266" s="2" t="str">
        <f ca="1">IF(A265="","",IF(IF(价差分析!$W$4="日",--[1]!td(A265-1),IF(价差分析!$W$4="周",--[1]!td(A265-7),--[1]!td(A265-30)))-价差分析!$T$4&gt;0,IF(价差分析!$W$4="日",--[1]!td(A265-1),IF(价差分析!$W$4="周",--[1]!td(A265-7),--[1]!td(A265-30))),""))</f>
        <v/>
      </c>
      <c r="B266" s="1" t="str">
        <f ca="1">IF(A266="","",[1]!s_dq_close($B$1,A266,$M$4))</f>
        <v/>
      </c>
      <c r="C266" s="1" t="str">
        <f ca="1">IF(A266="","",[1]!s_dq_close($C$1,A266,$M$4))</f>
        <v/>
      </c>
      <c r="D266" s="6" t="str">
        <f ca="1">IF($A266="","",[1]!s_dq_close(D$1,$A266,$M$4))</f>
        <v/>
      </c>
      <c r="E266" s="6" t="str">
        <f ca="1">IF($A266="","",[1]!s_dq_close(E$1,$A266,$M$4))</f>
        <v/>
      </c>
      <c r="F266" s="6" t="str">
        <f ca="1">IF($A266="","",[1]!s_dq_close(F$1,$A266,$M$4))</f>
        <v/>
      </c>
      <c r="G266" s="6"/>
      <c r="H266" s="6" t="str">
        <f ca="1">IF($A266="","",[1]!s_dq_close(H$1,$A266,$M$4))</f>
        <v/>
      </c>
      <c r="I266" s="6" t="str">
        <f ca="1">IF($A266="","",[1]!s_dq_close(I$1,$A266,$M$4))</f>
        <v/>
      </c>
      <c r="J266" s="6" t="str">
        <f t="shared" ca="1" si="5"/>
        <v/>
      </c>
    </row>
    <row r="267" spans="1:10">
      <c r="A267" s="2" t="str">
        <f ca="1">IF(A266="","",IF(IF(价差分析!$W$4="日",--[1]!td(A266-1),IF(价差分析!$W$4="周",--[1]!td(A266-7),--[1]!td(A266-30)))-价差分析!$T$4&gt;0,IF(价差分析!$W$4="日",--[1]!td(A266-1),IF(价差分析!$W$4="周",--[1]!td(A266-7),--[1]!td(A266-30))),""))</f>
        <v/>
      </c>
      <c r="B267" s="1" t="str">
        <f ca="1">IF(A267="","",[1]!s_dq_close($B$1,A267,$M$4))</f>
        <v/>
      </c>
      <c r="C267" s="1" t="str">
        <f ca="1">IF(A267="","",[1]!s_dq_close($C$1,A267,$M$4))</f>
        <v/>
      </c>
      <c r="D267" s="6" t="str">
        <f ca="1">IF($A267="","",[1]!s_dq_close(D$1,$A267,$M$4))</f>
        <v/>
      </c>
      <c r="E267" s="6" t="str">
        <f ca="1">IF($A267="","",[1]!s_dq_close(E$1,$A267,$M$4))</f>
        <v/>
      </c>
      <c r="F267" s="6" t="str">
        <f ca="1">IF($A267="","",[1]!s_dq_close(F$1,$A267,$M$4))</f>
        <v/>
      </c>
      <c r="G267" s="6"/>
      <c r="H267" s="6" t="str">
        <f ca="1">IF($A267="","",[1]!s_dq_close(H$1,$A267,$M$4))</f>
        <v/>
      </c>
      <c r="I267" s="6" t="str">
        <f ca="1">IF($A267="","",[1]!s_dq_close(I$1,$A267,$M$4))</f>
        <v/>
      </c>
      <c r="J267" s="6" t="str">
        <f t="shared" ca="1" si="5"/>
        <v/>
      </c>
    </row>
    <row r="268" spans="1:10">
      <c r="A268" s="2" t="str">
        <f ca="1">IF(A267="","",IF(IF(价差分析!$W$4="日",--[1]!td(A267-1),IF(价差分析!$W$4="周",--[1]!td(A267-7),--[1]!td(A267-30)))-价差分析!$T$4&gt;0,IF(价差分析!$W$4="日",--[1]!td(A267-1),IF(价差分析!$W$4="周",--[1]!td(A267-7),--[1]!td(A267-30))),""))</f>
        <v/>
      </c>
      <c r="B268" s="1" t="str">
        <f ca="1">IF(A268="","",[1]!s_dq_close($B$1,A268,$M$4))</f>
        <v/>
      </c>
      <c r="C268" s="1" t="str">
        <f ca="1">IF(A268="","",[1]!s_dq_close($C$1,A268,$M$4))</f>
        <v/>
      </c>
      <c r="D268" s="6" t="str">
        <f ca="1">IF($A268="","",[1]!s_dq_close(D$1,$A268,$M$4))</f>
        <v/>
      </c>
      <c r="E268" s="6" t="str">
        <f ca="1">IF($A268="","",[1]!s_dq_close(E$1,$A268,$M$4))</f>
        <v/>
      </c>
      <c r="F268" s="6" t="str">
        <f ca="1">IF($A268="","",[1]!s_dq_close(F$1,$A268,$M$4))</f>
        <v/>
      </c>
      <c r="G268" s="6"/>
      <c r="H268" s="6" t="str">
        <f ca="1">IF($A268="","",[1]!s_dq_close(H$1,$A268,$M$4))</f>
        <v/>
      </c>
      <c r="I268" s="6" t="str">
        <f ca="1">IF($A268="","",[1]!s_dq_close(I$1,$A268,$M$4))</f>
        <v/>
      </c>
      <c r="J268" s="6" t="str">
        <f t="shared" ca="1" si="5"/>
        <v/>
      </c>
    </row>
    <row r="269" spans="1:10">
      <c r="A269" s="2" t="str">
        <f ca="1">IF(A268="","",IF(IF(价差分析!$W$4="日",--[1]!td(A268-1),IF(价差分析!$W$4="周",--[1]!td(A268-7),--[1]!td(A268-30)))-价差分析!$T$4&gt;0,IF(价差分析!$W$4="日",--[1]!td(A268-1),IF(价差分析!$W$4="周",--[1]!td(A268-7),--[1]!td(A268-30))),""))</f>
        <v/>
      </c>
      <c r="B269" s="1" t="str">
        <f ca="1">IF(A269="","",[1]!s_dq_close($B$1,A269,$M$4))</f>
        <v/>
      </c>
      <c r="C269" s="1" t="str">
        <f ca="1">IF(A269="","",[1]!s_dq_close($C$1,A269,$M$4))</f>
        <v/>
      </c>
      <c r="D269" s="6" t="str">
        <f ca="1">IF($A269="","",[1]!s_dq_close(D$1,$A269,$M$4))</f>
        <v/>
      </c>
      <c r="E269" s="6" t="str">
        <f ca="1">IF($A269="","",[1]!s_dq_close(E$1,$A269,$M$4))</f>
        <v/>
      </c>
      <c r="F269" s="6" t="str">
        <f ca="1">IF($A269="","",[1]!s_dq_close(F$1,$A269,$M$4))</f>
        <v/>
      </c>
      <c r="G269" s="6"/>
      <c r="H269" s="6" t="str">
        <f ca="1">IF($A269="","",[1]!s_dq_close(H$1,$A269,$M$4))</f>
        <v/>
      </c>
      <c r="I269" s="6" t="str">
        <f ca="1">IF($A269="","",[1]!s_dq_close(I$1,$A269,$M$4))</f>
        <v/>
      </c>
      <c r="J269" s="6" t="str">
        <f t="shared" ca="1" si="5"/>
        <v/>
      </c>
    </row>
    <row r="270" spans="1:10">
      <c r="A270" s="2" t="str">
        <f ca="1">IF(A269="","",IF(IF(价差分析!$W$4="日",--[1]!td(A269-1),IF(价差分析!$W$4="周",--[1]!td(A269-7),--[1]!td(A269-30)))-价差分析!$T$4&gt;0,IF(价差分析!$W$4="日",--[1]!td(A269-1),IF(价差分析!$W$4="周",--[1]!td(A269-7),--[1]!td(A269-30))),""))</f>
        <v/>
      </c>
      <c r="B270" s="1" t="str">
        <f ca="1">IF(A270="","",[1]!s_dq_close($B$1,A270,$M$4))</f>
        <v/>
      </c>
      <c r="C270" s="1" t="str">
        <f ca="1">IF(A270="","",[1]!s_dq_close($C$1,A270,$M$4))</f>
        <v/>
      </c>
      <c r="D270" s="6" t="str">
        <f ca="1">IF($A270="","",[1]!s_dq_close(D$1,$A270,$M$4))</f>
        <v/>
      </c>
      <c r="E270" s="6" t="str">
        <f ca="1">IF($A270="","",[1]!s_dq_close(E$1,$A270,$M$4))</f>
        <v/>
      </c>
      <c r="F270" s="6" t="str">
        <f ca="1">IF($A270="","",[1]!s_dq_close(F$1,$A270,$M$4))</f>
        <v/>
      </c>
      <c r="G270" s="6"/>
      <c r="H270" s="6" t="str">
        <f ca="1">IF($A270="","",[1]!s_dq_close(H$1,$A270,$M$4))</f>
        <v/>
      </c>
      <c r="I270" s="6" t="str">
        <f ca="1">IF($A270="","",[1]!s_dq_close(I$1,$A270,$M$4))</f>
        <v/>
      </c>
      <c r="J270" s="6" t="str">
        <f t="shared" ca="1" si="5"/>
        <v/>
      </c>
    </row>
    <row r="271" spans="1:10">
      <c r="A271" s="2" t="str">
        <f ca="1">IF(A270="","",IF(IF(价差分析!$W$4="日",--[1]!td(A270-1),IF(价差分析!$W$4="周",--[1]!td(A270-7),--[1]!td(A270-30)))-价差分析!$T$4&gt;0,IF(价差分析!$W$4="日",--[1]!td(A270-1),IF(价差分析!$W$4="周",--[1]!td(A270-7),--[1]!td(A270-30))),""))</f>
        <v/>
      </c>
      <c r="B271" s="1" t="str">
        <f ca="1">IF(A271="","",[1]!s_dq_close($B$1,A271,$M$4))</f>
        <v/>
      </c>
      <c r="C271" s="1" t="str">
        <f ca="1">IF(A271="","",[1]!s_dq_close($C$1,A271,$M$4))</f>
        <v/>
      </c>
      <c r="D271" s="6" t="str">
        <f ca="1">IF($A271="","",[1]!s_dq_close(D$1,$A271,$M$4))</f>
        <v/>
      </c>
      <c r="E271" s="6" t="str">
        <f ca="1">IF($A271="","",[1]!s_dq_close(E$1,$A271,$M$4))</f>
        <v/>
      </c>
      <c r="F271" s="6" t="str">
        <f ca="1">IF($A271="","",[1]!s_dq_close(F$1,$A271,$M$4))</f>
        <v/>
      </c>
      <c r="G271" s="6"/>
      <c r="H271" s="6" t="str">
        <f ca="1">IF($A271="","",[1]!s_dq_close(H$1,$A271,$M$4))</f>
        <v/>
      </c>
      <c r="I271" s="6" t="str">
        <f ca="1">IF($A271="","",[1]!s_dq_close(I$1,$A271,$M$4))</f>
        <v/>
      </c>
      <c r="J271" s="6" t="str">
        <f t="shared" ca="1" si="5"/>
        <v/>
      </c>
    </row>
    <row r="272" spans="1:10">
      <c r="A272" s="2" t="str">
        <f ca="1">IF(A271="","",IF(IF(价差分析!$W$4="日",--[1]!td(A271-1),IF(价差分析!$W$4="周",--[1]!td(A271-7),--[1]!td(A271-30)))-价差分析!$T$4&gt;0,IF(价差分析!$W$4="日",--[1]!td(A271-1),IF(价差分析!$W$4="周",--[1]!td(A271-7),--[1]!td(A271-30))),""))</f>
        <v/>
      </c>
      <c r="B272" s="1" t="str">
        <f ca="1">IF(A272="","",[1]!s_dq_close($B$1,A272,$M$4))</f>
        <v/>
      </c>
      <c r="C272" s="1" t="str">
        <f ca="1">IF(A272="","",[1]!s_dq_close($C$1,A272,$M$4))</f>
        <v/>
      </c>
      <c r="D272" s="6" t="str">
        <f ca="1">IF($A272="","",[1]!s_dq_close(D$1,$A272,$M$4))</f>
        <v/>
      </c>
      <c r="E272" s="6" t="str">
        <f ca="1">IF($A272="","",[1]!s_dq_close(E$1,$A272,$M$4))</f>
        <v/>
      </c>
      <c r="F272" s="6" t="str">
        <f ca="1">IF($A272="","",[1]!s_dq_close(F$1,$A272,$M$4))</f>
        <v/>
      </c>
      <c r="G272" s="6"/>
      <c r="H272" s="6" t="str">
        <f ca="1">IF($A272="","",[1]!s_dq_close(H$1,$A272,$M$4))</f>
        <v/>
      </c>
      <c r="I272" s="6" t="str">
        <f ca="1">IF($A272="","",[1]!s_dq_close(I$1,$A272,$M$4))</f>
        <v/>
      </c>
      <c r="J272" s="6" t="str">
        <f t="shared" ca="1" si="5"/>
        <v/>
      </c>
    </row>
    <row r="273" spans="1:10">
      <c r="A273" s="2" t="str">
        <f ca="1">IF(A272="","",IF(IF(价差分析!$W$4="日",--[1]!td(A272-1),IF(价差分析!$W$4="周",--[1]!td(A272-7),--[1]!td(A272-30)))-价差分析!$T$4&gt;0,IF(价差分析!$W$4="日",--[1]!td(A272-1),IF(价差分析!$W$4="周",--[1]!td(A272-7),--[1]!td(A272-30))),""))</f>
        <v/>
      </c>
      <c r="B273" s="1" t="str">
        <f ca="1">IF(A273="","",[1]!s_dq_close($B$1,A273,$M$4))</f>
        <v/>
      </c>
      <c r="C273" s="1" t="str">
        <f ca="1">IF(A273="","",[1]!s_dq_close($C$1,A273,$M$4))</f>
        <v/>
      </c>
      <c r="D273" s="6" t="str">
        <f ca="1">IF($A273="","",[1]!s_dq_close(D$1,$A273,$M$4))</f>
        <v/>
      </c>
      <c r="E273" s="6" t="str">
        <f ca="1">IF($A273="","",[1]!s_dq_close(E$1,$A273,$M$4))</f>
        <v/>
      </c>
      <c r="F273" s="6" t="str">
        <f ca="1">IF($A273="","",[1]!s_dq_close(F$1,$A273,$M$4))</f>
        <v/>
      </c>
      <c r="G273" s="6"/>
      <c r="H273" s="6" t="str">
        <f ca="1">IF($A273="","",[1]!s_dq_close(H$1,$A273,$M$4))</f>
        <v/>
      </c>
      <c r="I273" s="6" t="str">
        <f ca="1">IF($A273="","",[1]!s_dq_close(I$1,$A273,$M$4))</f>
        <v/>
      </c>
      <c r="J273" s="6" t="str">
        <f t="shared" ca="1" si="5"/>
        <v/>
      </c>
    </row>
    <row r="274" spans="1:10">
      <c r="A274" s="2" t="str">
        <f ca="1">IF(A273="","",IF(IF(价差分析!$W$4="日",--[1]!td(A273-1),IF(价差分析!$W$4="周",--[1]!td(A273-7),--[1]!td(A273-30)))-价差分析!$T$4&gt;0,IF(价差分析!$W$4="日",--[1]!td(A273-1),IF(价差分析!$W$4="周",--[1]!td(A273-7),--[1]!td(A273-30))),""))</f>
        <v/>
      </c>
      <c r="B274" s="1" t="str">
        <f ca="1">IF(A274="","",[1]!s_dq_close($B$1,A274,$M$4))</f>
        <v/>
      </c>
      <c r="C274" s="1" t="str">
        <f ca="1">IF(A274="","",[1]!s_dq_close($C$1,A274,$M$4))</f>
        <v/>
      </c>
      <c r="D274" s="6" t="str">
        <f ca="1">IF($A274="","",[1]!s_dq_close(D$1,$A274,$M$4))</f>
        <v/>
      </c>
      <c r="E274" s="6" t="str">
        <f ca="1">IF($A274="","",[1]!s_dq_close(E$1,$A274,$M$4))</f>
        <v/>
      </c>
      <c r="F274" s="6" t="str">
        <f ca="1">IF($A274="","",[1]!s_dq_close(F$1,$A274,$M$4))</f>
        <v/>
      </c>
      <c r="G274" s="6"/>
      <c r="H274" s="6" t="str">
        <f ca="1">IF($A274="","",[1]!s_dq_close(H$1,$A274,$M$4))</f>
        <v/>
      </c>
      <c r="I274" s="6" t="str">
        <f ca="1">IF($A274="","",[1]!s_dq_close(I$1,$A274,$M$4))</f>
        <v/>
      </c>
      <c r="J274" s="6" t="str">
        <f t="shared" ca="1" si="5"/>
        <v/>
      </c>
    </row>
    <row r="275" spans="1:10">
      <c r="A275" s="2" t="str">
        <f ca="1">IF(A274="","",IF(IF(价差分析!$W$4="日",--[1]!td(A274-1),IF(价差分析!$W$4="周",--[1]!td(A274-7),--[1]!td(A274-30)))-价差分析!$T$4&gt;0,IF(价差分析!$W$4="日",--[1]!td(A274-1),IF(价差分析!$W$4="周",--[1]!td(A274-7),--[1]!td(A274-30))),""))</f>
        <v/>
      </c>
      <c r="B275" s="1" t="str">
        <f ca="1">IF(A275="","",[1]!s_dq_close($B$1,A275,$M$4))</f>
        <v/>
      </c>
      <c r="C275" s="1" t="str">
        <f ca="1">IF(A275="","",[1]!s_dq_close($C$1,A275,$M$4))</f>
        <v/>
      </c>
      <c r="D275" s="6" t="str">
        <f ca="1">IF($A275="","",[1]!s_dq_close(D$1,$A275,$M$4))</f>
        <v/>
      </c>
      <c r="E275" s="6" t="str">
        <f ca="1">IF($A275="","",[1]!s_dq_close(E$1,$A275,$M$4))</f>
        <v/>
      </c>
      <c r="F275" s="6" t="str">
        <f ca="1">IF($A275="","",[1]!s_dq_close(F$1,$A275,$M$4))</f>
        <v/>
      </c>
      <c r="G275" s="6"/>
      <c r="H275" s="6" t="str">
        <f ca="1">IF($A275="","",[1]!s_dq_close(H$1,$A275,$M$4))</f>
        <v/>
      </c>
      <c r="I275" s="6" t="str">
        <f ca="1">IF($A275="","",[1]!s_dq_close(I$1,$A275,$M$4))</f>
        <v/>
      </c>
      <c r="J275" s="6" t="str">
        <f t="shared" ca="1" si="5"/>
        <v/>
      </c>
    </row>
    <row r="276" spans="1:10">
      <c r="A276" s="2" t="str">
        <f ca="1">IF(A275="","",IF(IF(价差分析!$W$4="日",--[1]!td(A275-1),IF(价差分析!$W$4="周",--[1]!td(A275-7),--[1]!td(A275-30)))-价差分析!$T$4&gt;0,IF(价差分析!$W$4="日",--[1]!td(A275-1),IF(价差分析!$W$4="周",--[1]!td(A275-7),--[1]!td(A275-30))),""))</f>
        <v/>
      </c>
      <c r="B276" s="1" t="str">
        <f ca="1">IF(A276="","",[1]!s_dq_close($B$1,A276,$M$4))</f>
        <v/>
      </c>
      <c r="C276" s="1" t="str">
        <f ca="1">IF(A276="","",[1]!s_dq_close($C$1,A276,$M$4))</f>
        <v/>
      </c>
      <c r="D276" s="6" t="str">
        <f ca="1">IF($A276="","",[1]!s_dq_close(D$1,$A276,$M$4))</f>
        <v/>
      </c>
      <c r="E276" s="6" t="str">
        <f ca="1">IF($A276="","",[1]!s_dq_close(E$1,$A276,$M$4))</f>
        <v/>
      </c>
      <c r="F276" s="6" t="str">
        <f ca="1">IF($A276="","",[1]!s_dq_close(F$1,$A276,$M$4))</f>
        <v/>
      </c>
      <c r="G276" s="6"/>
      <c r="H276" s="6" t="str">
        <f ca="1">IF($A276="","",[1]!s_dq_close(H$1,$A276,$M$4))</f>
        <v/>
      </c>
      <c r="I276" s="6" t="str">
        <f ca="1">IF($A276="","",[1]!s_dq_close(I$1,$A276,$M$4))</f>
        <v/>
      </c>
      <c r="J276" s="6" t="str">
        <f t="shared" ca="1" si="5"/>
        <v/>
      </c>
    </row>
    <row r="277" spans="1:10">
      <c r="A277" s="2" t="str">
        <f ca="1">IF(A276="","",IF(IF(价差分析!$W$4="日",--[1]!td(A276-1),IF(价差分析!$W$4="周",--[1]!td(A276-7),--[1]!td(A276-30)))-价差分析!$T$4&gt;0,IF(价差分析!$W$4="日",--[1]!td(A276-1),IF(价差分析!$W$4="周",--[1]!td(A276-7),--[1]!td(A276-30))),""))</f>
        <v/>
      </c>
      <c r="B277" s="1" t="str">
        <f ca="1">IF(A277="","",[1]!s_dq_close($B$1,A277,$M$4))</f>
        <v/>
      </c>
      <c r="C277" s="1" t="str">
        <f ca="1">IF(A277="","",[1]!s_dq_close($C$1,A277,$M$4))</f>
        <v/>
      </c>
      <c r="D277" s="6" t="str">
        <f ca="1">IF($A277="","",[1]!s_dq_close(D$1,$A277,$M$4))</f>
        <v/>
      </c>
      <c r="E277" s="6" t="str">
        <f ca="1">IF($A277="","",[1]!s_dq_close(E$1,$A277,$M$4))</f>
        <v/>
      </c>
      <c r="F277" s="6" t="str">
        <f ca="1">IF($A277="","",[1]!s_dq_close(F$1,$A277,$M$4))</f>
        <v/>
      </c>
      <c r="G277" s="6"/>
      <c r="H277" s="6" t="str">
        <f ca="1">IF($A277="","",[1]!s_dq_close(H$1,$A277,$M$4))</f>
        <v/>
      </c>
      <c r="I277" s="6" t="str">
        <f ca="1">IF($A277="","",[1]!s_dq_close(I$1,$A277,$M$4))</f>
        <v/>
      </c>
      <c r="J277" s="6" t="str">
        <f t="shared" ca="1" si="5"/>
        <v/>
      </c>
    </row>
    <row r="278" spans="1:10">
      <c r="A278" s="2" t="str">
        <f ca="1">IF(A277="","",IF(IF(价差分析!$W$4="日",--[1]!td(A277-1),IF(价差分析!$W$4="周",--[1]!td(A277-7),--[1]!td(A277-30)))-价差分析!$T$4&gt;0,IF(价差分析!$W$4="日",--[1]!td(A277-1),IF(价差分析!$W$4="周",--[1]!td(A277-7),--[1]!td(A277-30))),""))</f>
        <v/>
      </c>
      <c r="B278" s="1" t="str">
        <f ca="1">IF(A278="","",[1]!s_dq_close($B$1,A278,$M$4))</f>
        <v/>
      </c>
      <c r="C278" s="1" t="str">
        <f ca="1">IF(A278="","",[1]!s_dq_close($C$1,A278,$M$4))</f>
        <v/>
      </c>
      <c r="D278" s="6" t="str">
        <f ca="1">IF($A278="","",[1]!s_dq_close(D$1,$A278,$M$4))</f>
        <v/>
      </c>
      <c r="E278" s="6" t="str">
        <f ca="1">IF($A278="","",[1]!s_dq_close(E$1,$A278,$M$4))</f>
        <v/>
      </c>
      <c r="F278" s="6" t="str">
        <f ca="1">IF($A278="","",[1]!s_dq_close(F$1,$A278,$M$4))</f>
        <v/>
      </c>
      <c r="G278" s="6"/>
      <c r="H278" s="6" t="str">
        <f ca="1">IF($A278="","",[1]!s_dq_close(H$1,$A278,$M$4))</f>
        <v/>
      </c>
      <c r="I278" s="6" t="str">
        <f ca="1">IF($A278="","",[1]!s_dq_close(I$1,$A278,$M$4))</f>
        <v/>
      </c>
      <c r="J278" s="6" t="str">
        <f t="shared" ca="1" si="5"/>
        <v/>
      </c>
    </row>
    <row r="279" spans="1:10">
      <c r="A279" s="2" t="str">
        <f ca="1">IF(A278="","",IF(IF(价差分析!$W$4="日",--[1]!td(A278-1),IF(价差分析!$W$4="周",--[1]!td(A278-7),--[1]!td(A278-30)))-价差分析!$T$4&gt;0,IF(价差分析!$W$4="日",--[1]!td(A278-1),IF(价差分析!$W$4="周",--[1]!td(A278-7),--[1]!td(A278-30))),""))</f>
        <v/>
      </c>
      <c r="B279" s="1" t="str">
        <f ca="1">IF(A279="","",[1]!s_dq_close($B$1,A279,$M$4))</f>
        <v/>
      </c>
      <c r="C279" s="1" t="str">
        <f ca="1">IF(A279="","",[1]!s_dq_close($C$1,A279,$M$4))</f>
        <v/>
      </c>
      <c r="D279" s="6" t="str">
        <f ca="1">IF($A279="","",[1]!s_dq_close(D$1,$A279,$M$4))</f>
        <v/>
      </c>
      <c r="E279" s="6" t="str">
        <f ca="1">IF($A279="","",[1]!s_dq_close(E$1,$A279,$M$4))</f>
        <v/>
      </c>
      <c r="F279" s="6" t="str">
        <f ca="1">IF($A279="","",[1]!s_dq_close(F$1,$A279,$M$4))</f>
        <v/>
      </c>
      <c r="G279" s="6"/>
      <c r="H279" s="6" t="str">
        <f ca="1">IF($A279="","",[1]!s_dq_close(H$1,$A279,$M$4))</f>
        <v/>
      </c>
      <c r="I279" s="6" t="str">
        <f ca="1">IF($A279="","",[1]!s_dq_close(I$1,$A279,$M$4))</f>
        <v/>
      </c>
      <c r="J279" s="6" t="str">
        <f t="shared" ca="1" si="5"/>
        <v/>
      </c>
    </row>
    <row r="280" spans="1:10">
      <c r="A280" s="2" t="str">
        <f ca="1">IF(A279="","",IF(IF(价差分析!$W$4="日",--[1]!td(A279-1),IF(价差分析!$W$4="周",--[1]!td(A279-7),--[1]!td(A279-30)))-价差分析!$T$4&gt;0,IF(价差分析!$W$4="日",--[1]!td(A279-1),IF(价差分析!$W$4="周",--[1]!td(A279-7),--[1]!td(A279-30))),""))</f>
        <v/>
      </c>
      <c r="B280" s="1" t="str">
        <f ca="1">IF(A280="","",[1]!s_dq_close($B$1,A280,$M$4))</f>
        <v/>
      </c>
      <c r="C280" s="1" t="str">
        <f ca="1">IF(A280="","",[1]!s_dq_close($C$1,A280,$M$4))</f>
        <v/>
      </c>
      <c r="D280" s="6" t="str">
        <f ca="1">IF($A280="","",[1]!s_dq_close(D$1,$A280,$M$4))</f>
        <v/>
      </c>
      <c r="E280" s="6" t="str">
        <f ca="1">IF($A280="","",[1]!s_dq_close(E$1,$A280,$M$4))</f>
        <v/>
      </c>
      <c r="F280" s="6" t="str">
        <f ca="1">IF($A280="","",[1]!s_dq_close(F$1,$A280,$M$4))</f>
        <v/>
      </c>
      <c r="G280" s="6"/>
      <c r="H280" s="6" t="str">
        <f ca="1">IF($A280="","",[1]!s_dq_close(H$1,$A280,$M$4))</f>
        <v/>
      </c>
      <c r="I280" s="6" t="str">
        <f ca="1">IF($A280="","",[1]!s_dq_close(I$1,$A280,$M$4))</f>
        <v/>
      </c>
      <c r="J280" s="6" t="str">
        <f t="shared" ca="1" si="5"/>
        <v/>
      </c>
    </row>
    <row r="281" spans="1:10">
      <c r="A281" s="2" t="str">
        <f ca="1">IF(A280="","",IF(IF(价差分析!$W$4="日",--[1]!td(A280-1),IF(价差分析!$W$4="周",--[1]!td(A280-7),--[1]!td(A280-30)))-价差分析!$T$4&gt;0,IF(价差分析!$W$4="日",--[1]!td(A280-1),IF(价差分析!$W$4="周",--[1]!td(A280-7),--[1]!td(A280-30))),""))</f>
        <v/>
      </c>
      <c r="B281" s="1" t="str">
        <f ca="1">IF(A281="","",[1]!s_dq_close($B$1,A281,$M$4))</f>
        <v/>
      </c>
      <c r="C281" s="1" t="str">
        <f ca="1">IF(A281="","",[1]!s_dq_close($C$1,A281,$M$4))</f>
        <v/>
      </c>
      <c r="D281" s="6" t="str">
        <f ca="1">IF($A281="","",[1]!s_dq_close(D$1,$A281,$M$4))</f>
        <v/>
      </c>
      <c r="E281" s="6" t="str">
        <f ca="1">IF($A281="","",[1]!s_dq_close(E$1,$A281,$M$4))</f>
        <v/>
      </c>
      <c r="F281" s="6" t="str">
        <f ca="1">IF($A281="","",[1]!s_dq_close(F$1,$A281,$M$4))</f>
        <v/>
      </c>
      <c r="G281" s="6"/>
      <c r="H281" s="6" t="str">
        <f ca="1">IF($A281="","",[1]!s_dq_close(H$1,$A281,$M$4))</f>
        <v/>
      </c>
      <c r="I281" s="6" t="str">
        <f ca="1">IF($A281="","",[1]!s_dq_close(I$1,$A281,$M$4))</f>
        <v/>
      </c>
      <c r="J281" s="6" t="str">
        <f t="shared" ca="1" si="5"/>
        <v/>
      </c>
    </row>
    <row r="282" spans="1:10">
      <c r="A282" s="2" t="str">
        <f ca="1">IF(A281="","",IF(IF(价差分析!$W$4="日",--[1]!td(A281-1),IF(价差分析!$W$4="周",--[1]!td(A281-7),--[1]!td(A281-30)))-价差分析!$T$4&gt;0,IF(价差分析!$W$4="日",--[1]!td(A281-1),IF(价差分析!$W$4="周",--[1]!td(A281-7),--[1]!td(A281-30))),""))</f>
        <v/>
      </c>
      <c r="B282" s="1" t="str">
        <f ca="1">IF(A282="","",[1]!s_dq_close($B$1,A282,$M$4))</f>
        <v/>
      </c>
      <c r="C282" s="1" t="str">
        <f ca="1">IF(A282="","",[1]!s_dq_close($C$1,A282,$M$4))</f>
        <v/>
      </c>
      <c r="D282" s="6" t="str">
        <f ca="1">IF($A282="","",[1]!s_dq_close(D$1,$A282,$M$4))</f>
        <v/>
      </c>
      <c r="E282" s="6" t="str">
        <f ca="1">IF($A282="","",[1]!s_dq_close(E$1,$A282,$M$4))</f>
        <v/>
      </c>
      <c r="F282" s="6" t="str">
        <f ca="1">IF($A282="","",[1]!s_dq_close(F$1,$A282,$M$4))</f>
        <v/>
      </c>
      <c r="G282" s="6"/>
      <c r="H282" s="6" t="str">
        <f ca="1">IF($A282="","",[1]!s_dq_close(H$1,$A282,$M$4))</f>
        <v/>
      </c>
      <c r="I282" s="6" t="str">
        <f ca="1">IF($A282="","",[1]!s_dq_close(I$1,$A282,$M$4))</f>
        <v/>
      </c>
      <c r="J282" s="6" t="str">
        <f t="shared" ca="1" si="5"/>
        <v/>
      </c>
    </row>
    <row r="283" spans="1:10">
      <c r="A283" s="2" t="str">
        <f ca="1">IF(A282="","",IF(IF(价差分析!$W$4="日",--[1]!td(A282-1),IF(价差分析!$W$4="周",--[1]!td(A282-7),--[1]!td(A282-30)))-价差分析!$T$4&gt;0,IF(价差分析!$W$4="日",--[1]!td(A282-1),IF(价差分析!$W$4="周",--[1]!td(A282-7),--[1]!td(A282-30))),""))</f>
        <v/>
      </c>
      <c r="B283" s="1" t="str">
        <f ca="1">IF(A283="","",[1]!s_dq_close($B$1,A283,$M$4))</f>
        <v/>
      </c>
      <c r="C283" s="1" t="str">
        <f ca="1">IF(A283="","",[1]!s_dq_close($C$1,A283,$M$4))</f>
        <v/>
      </c>
      <c r="D283" s="6" t="str">
        <f ca="1">IF($A283="","",[1]!s_dq_close(D$1,$A283,$M$4))</f>
        <v/>
      </c>
      <c r="E283" s="6" t="str">
        <f ca="1">IF($A283="","",[1]!s_dq_close(E$1,$A283,$M$4))</f>
        <v/>
      </c>
      <c r="F283" s="6" t="str">
        <f ca="1">IF($A283="","",[1]!s_dq_close(F$1,$A283,$M$4))</f>
        <v/>
      </c>
      <c r="G283" s="6"/>
      <c r="H283" s="6" t="str">
        <f ca="1">IF($A283="","",[1]!s_dq_close(H$1,$A283,$M$4))</f>
        <v/>
      </c>
      <c r="I283" s="6" t="str">
        <f ca="1">IF($A283="","",[1]!s_dq_close(I$1,$A283,$M$4))</f>
        <v/>
      </c>
      <c r="J283" s="6" t="str">
        <f t="shared" ca="1" si="5"/>
        <v/>
      </c>
    </row>
    <row r="284" spans="1:10">
      <c r="A284" s="2" t="str">
        <f ca="1">IF(A283="","",IF(IF(价差分析!$W$4="日",--[1]!td(A283-1),IF(价差分析!$W$4="周",--[1]!td(A283-7),--[1]!td(A283-30)))-价差分析!$T$4&gt;0,IF(价差分析!$W$4="日",--[1]!td(A283-1),IF(价差分析!$W$4="周",--[1]!td(A283-7),--[1]!td(A283-30))),""))</f>
        <v/>
      </c>
      <c r="B284" s="1" t="str">
        <f ca="1">IF(A284="","",[1]!s_dq_close($B$1,A284,$M$4))</f>
        <v/>
      </c>
      <c r="C284" s="1" t="str">
        <f ca="1">IF(A284="","",[1]!s_dq_close($C$1,A284,$M$4))</f>
        <v/>
      </c>
      <c r="D284" s="6" t="str">
        <f ca="1">IF($A284="","",[1]!s_dq_close(D$1,$A284,$M$4))</f>
        <v/>
      </c>
      <c r="E284" s="6" t="str">
        <f ca="1">IF($A284="","",[1]!s_dq_close(E$1,$A284,$M$4))</f>
        <v/>
      </c>
      <c r="F284" s="6" t="str">
        <f ca="1">IF($A284="","",[1]!s_dq_close(F$1,$A284,$M$4))</f>
        <v/>
      </c>
      <c r="G284" s="6"/>
      <c r="H284" s="6" t="str">
        <f ca="1">IF($A284="","",[1]!s_dq_close(H$1,$A284,$M$4))</f>
        <v/>
      </c>
      <c r="I284" s="6" t="str">
        <f ca="1">IF($A284="","",[1]!s_dq_close(I$1,$A284,$M$4))</f>
        <v/>
      </c>
      <c r="J284" s="6" t="str">
        <f t="shared" ca="1" si="5"/>
        <v/>
      </c>
    </row>
    <row r="285" spans="1:10">
      <c r="A285" s="2" t="str">
        <f ca="1">IF(A284="","",IF(IF(价差分析!$W$4="日",--[1]!td(A284-1),IF(价差分析!$W$4="周",--[1]!td(A284-7),--[1]!td(A284-30)))-价差分析!$T$4&gt;0,IF(价差分析!$W$4="日",--[1]!td(A284-1),IF(价差分析!$W$4="周",--[1]!td(A284-7),--[1]!td(A284-30))),""))</f>
        <v/>
      </c>
      <c r="B285" s="1" t="str">
        <f ca="1">IF(A285="","",[1]!s_dq_close($B$1,A285,$M$4))</f>
        <v/>
      </c>
      <c r="C285" s="1" t="str">
        <f ca="1">IF(A285="","",[1]!s_dq_close($C$1,A285,$M$4))</f>
        <v/>
      </c>
      <c r="D285" s="6" t="str">
        <f ca="1">IF($A285="","",[1]!s_dq_close(D$1,$A285,$M$4))</f>
        <v/>
      </c>
      <c r="E285" s="6" t="str">
        <f ca="1">IF($A285="","",[1]!s_dq_close(E$1,$A285,$M$4))</f>
        <v/>
      </c>
      <c r="F285" s="6" t="str">
        <f ca="1">IF($A285="","",[1]!s_dq_close(F$1,$A285,$M$4))</f>
        <v/>
      </c>
      <c r="G285" s="6"/>
      <c r="H285" s="6" t="str">
        <f ca="1">IF($A285="","",[1]!s_dq_close(H$1,$A285,$M$4))</f>
        <v/>
      </c>
      <c r="I285" s="6" t="str">
        <f ca="1">IF($A285="","",[1]!s_dq_close(I$1,$A285,$M$4))</f>
        <v/>
      </c>
      <c r="J285" s="6" t="str">
        <f t="shared" ca="1" si="5"/>
        <v/>
      </c>
    </row>
    <row r="286" spans="1:10">
      <c r="A286" s="2" t="str">
        <f ca="1">IF(A285="","",IF(IF(价差分析!$W$4="日",--[1]!td(A285-1),IF(价差分析!$W$4="周",--[1]!td(A285-7),--[1]!td(A285-30)))-价差分析!$T$4&gt;0,IF(价差分析!$W$4="日",--[1]!td(A285-1),IF(价差分析!$W$4="周",--[1]!td(A285-7),--[1]!td(A285-30))),""))</f>
        <v/>
      </c>
      <c r="B286" s="1" t="str">
        <f ca="1">IF(A286="","",[1]!s_dq_close($B$1,A286,$M$4))</f>
        <v/>
      </c>
      <c r="C286" s="1" t="str">
        <f ca="1">IF(A286="","",[1]!s_dq_close($C$1,A286,$M$4))</f>
        <v/>
      </c>
      <c r="D286" s="6" t="str">
        <f ca="1">IF($A286="","",[1]!s_dq_close(D$1,$A286,$M$4))</f>
        <v/>
      </c>
      <c r="E286" s="6" t="str">
        <f ca="1">IF($A286="","",[1]!s_dq_close(E$1,$A286,$M$4))</f>
        <v/>
      </c>
      <c r="F286" s="6" t="str">
        <f ca="1">IF($A286="","",[1]!s_dq_close(F$1,$A286,$M$4))</f>
        <v/>
      </c>
      <c r="G286" s="6"/>
      <c r="H286" s="6" t="str">
        <f ca="1">IF($A286="","",[1]!s_dq_close(H$1,$A286,$M$4))</f>
        <v/>
      </c>
      <c r="I286" s="6" t="str">
        <f ca="1">IF($A286="","",[1]!s_dq_close(I$1,$A286,$M$4))</f>
        <v/>
      </c>
      <c r="J286" s="6" t="str">
        <f t="shared" ca="1" si="5"/>
        <v/>
      </c>
    </row>
    <row r="287" spans="1:10">
      <c r="A287" s="2" t="str">
        <f ca="1">IF(A286="","",IF(IF(价差分析!$W$4="日",--[1]!td(A286-1),IF(价差分析!$W$4="周",--[1]!td(A286-7),--[1]!td(A286-30)))-价差分析!$T$4&gt;0,IF(价差分析!$W$4="日",--[1]!td(A286-1),IF(价差分析!$W$4="周",--[1]!td(A286-7),--[1]!td(A286-30))),""))</f>
        <v/>
      </c>
      <c r="B287" s="1" t="str">
        <f ca="1">IF(A287="","",[1]!s_dq_close($B$1,A287,$M$4))</f>
        <v/>
      </c>
      <c r="C287" s="1" t="str">
        <f ca="1">IF(A287="","",[1]!s_dq_close($C$1,A287,$M$4))</f>
        <v/>
      </c>
      <c r="D287" s="6" t="str">
        <f ca="1">IF($A287="","",[1]!s_dq_close(D$1,$A287,$M$4))</f>
        <v/>
      </c>
      <c r="E287" s="6" t="str">
        <f ca="1">IF($A287="","",[1]!s_dq_close(E$1,$A287,$M$4))</f>
        <v/>
      </c>
      <c r="F287" s="6" t="str">
        <f ca="1">IF($A287="","",[1]!s_dq_close(F$1,$A287,$M$4))</f>
        <v/>
      </c>
      <c r="G287" s="6"/>
      <c r="H287" s="6" t="str">
        <f ca="1">IF($A287="","",[1]!s_dq_close(H$1,$A287,$M$4))</f>
        <v/>
      </c>
      <c r="I287" s="6" t="str">
        <f ca="1">IF($A287="","",[1]!s_dq_close(I$1,$A287,$M$4))</f>
        <v/>
      </c>
      <c r="J287" s="6" t="str">
        <f t="shared" ca="1" si="5"/>
        <v/>
      </c>
    </row>
    <row r="288" spans="1:10">
      <c r="A288" s="2" t="str">
        <f ca="1">IF(A287="","",IF(IF(价差分析!$W$4="日",--[1]!td(A287-1),IF(价差分析!$W$4="周",--[1]!td(A287-7),--[1]!td(A287-30)))-价差分析!$T$4&gt;0,IF(价差分析!$W$4="日",--[1]!td(A287-1),IF(价差分析!$W$4="周",--[1]!td(A287-7),--[1]!td(A287-30))),""))</f>
        <v/>
      </c>
      <c r="B288" s="1" t="str">
        <f ca="1">IF(A288="","",[1]!s_dq_close($B$1,A288,$M$4))</f>
        <v/>
      </c>
      <c r="C288" s="1" t="str">
        <f ca="1">IF(A288="","",[1]!s_dq_close($C$1,A288,$M$4))</f>
        <v/>
      </c>
      <c r="D288" s="6" t="str">
        <f ca="1">IF($A288="","",[1]!s_dq_close(D$1,$A288,$M$4))</f>
        <v/>
      </c>
      <c r="E288" s="6" t="str">
        <f ca="1">IF($A288="","",[1]!s_dq_close(E$1,$A288,$M$4))</f>
        <v/>
      </c>
      <c r="F288" s="6" t="str">
        <f ca="1">IF($A288="","",[1]!s_dq_close(F$1,$A288,$M$4))</f>
        <v/>
      </c>
      <c r="G288" s="6"/>
      <c r="H288" s="6" t="str">
        <f ca="1">IF($A288="","",[1]!s_dq_close(H$1,$A288,$M$4))</f>
        <v/>
      </c>
      <c r="I288" s="6" t="str">
        <f ca="1">IF($A288="","",[1]!s_dq_close(I$1,$A288,$M$4))</f>
        <v/>
      </c>
      <c r="J288" s="6" t="str">
        <f t="shared" ca="1" si="5"/>
        <v/>
      </c>
    </row>
    <row r="289" spans="1:10">
      <c r="A289" s="2" t="str">
        <f ca="1">IF(A288="","",IF(IF(价差分析!$W$4="日",--[1]!td(A288-1),IF(价差分析!$W$4="周",--[1]!td(A288-7),--[1]!td(A288-30)))-价差分析!$T$4&gt;0,IF(价差分析!$W$4="日",--[1]!td(A288-1),IF(价差分析!$W$4="周",--[1]!td(A288-7),--[1]!td(A288-30))),""))</f>
        <v/>
      </c>
      <c r="B289" s="1" t="str">
        <f ca="1">IF(A289="","",[1]!s_dq_close($B$1,A289,$M$4))</f>
        <v/>
      </c>
      <c r="C289" s="1" t="str">
        <f ca="1">IF(A289="","",[1]!s_dq_close($C$1,A289,$M$4))</f>
        <v/>
      </c>
      <c r="D289" s="6" t="str">
        <f ca="1">IF($A289="","",[1]!s_dq_close(D$1,$A289,$M$4))</f>
        <v/>
      </c>
      <c r="E289" s="6" t="str">
        <f ca="1">IF($A289="","",[1]!s_dq_close(E$1,$A289,$M$4))</f>
        <v/>
      </c>
      <c r="F289" s="6" t="str">
        <f ca="1">IF($A289="","",[1]!s_dq_close(F$1,$A289,$M$4))</f>
        <v/>
      </c>
      <c r="G289" s="6"/>
      <c r="H289" s="6" t="str">
        <f ca="1">IF($A289="","",[1]!s_dq_close(H$1,$A289,$M$4))</f>
        <v/>
      </c>
      <c r="I289" s="6" t="str">
        <f ca="1">IF($A289="","",[1]!s_dq_close(I$1,$A289,$M$4))</f>
        <v/>
      </c>
      <c r="J289" s="6" t="str">
        <f t="shared" ca="1" si="5"/>
        <v/>
      </c>
    </row>
    <row r="290" spans="1:10">
      <c r="A290" s="2" t="str">
        <f ca="1">IF(A289="","",IF(IF(价差分析!$W$4="日",--[1]!td(A289-1),IF(价差分析!$W$4="周",--[1]!td(A289-7),--[1]!td(A289-30)))-价差分析!$T$4&gt;0,IF(价差分析!$W$4="日",--[1]!td(A289-1),IF(价差分析!$W$4="周",--[1]!td(A289-7),--[1]!td(A289-30))),""))</f>
        <v/>
      </c>
      <c r="B290" s="1" t="str">
        <f ca="1">IF(A290="","",[1]!s_dq_close($B$1,A290,$M$4))</f>
        <v/>
      </c>
      <c r="C290" s="1" t="str">
        <f ca="1">IF(A290="","",[1]!s_dq_close($C$1,A290,$M$4))</f>
        <v/>
      </c>
      <c r="D290" s="6" t="str">
        <f ca="1">IF($A290="","",[1]!s_dq_close(D$1,$A290,$M$4))</f>
        <v/>
      </c>
      <c r="E290" s="6" t="str">
        <f ca="1">IF($A290="","",[1]!s_dq_close(E$1,$A290,$M$4))</f>
        <v/>
      </c>
      <c r="F290" s="6" t="str">
        <f ca="1">IF($A290="","",[1]!s_dq_close(F$1,$A290,$M$4))</f>
        <v/>
      </c>
      <c r="G290" s="6"/>
      <c r="H290" s="6" t="str">
        <f ca="1">IF($A290="","",[1]!s_dq_close(H$1,$A290,$M$4))</f>
        <v/>
      </c>
      <c r="I290" s="6" t="str">
        <f ca="1">IF($A290="","",[1]!s_dq_close(I$1,$A290,$M$4))</f>
        <v/>
      </c>
      <c r="J290" s="6" t="str">
        <f t="shared" ca="1" si="5"/>
        <v/>
      </c>
    </row>
    <row r="291" spans="1:10">
      <c r="A291" s="2" t="str">
        <f ca="1">IF(A290="","",IF(IF(价差分析!$W$4="日",--[1]!td(A290-1),IF(价差分析!$W$4="周",--[1]!td(A290-7),--[1]!td(A290-30)))-价差分析!$T$4&gt;0,IF(价差分析!$W$4="日",--[1]!td(A290-1),IF(价差分析!$W$4="周",--[1]!td(A290-7),--[1]!td(A290-30))),""))</f>
        <v/>
      </c>
      <c r="B291" s="1" t="str">
        <f ca="1">IF(A291="","",[1]!s_dq_close($B$1,A291,$M$4))</f>
        <v/>
      </c>
      <c r="C291" s="1" t="str">
        <f ca="1">IF(A291="","",[1]!s_dq_close($C$1,A291,$M$4))</f>
        <v/>
      </c>
      <c r="D291" s="6" t="str">
        <f ca="1">IF($A291="","",[1]!s_dq_close(D$1,$A291,$M$4))</f>
        <v/>
      </c>
      <c r="E291" s="6" t="str">
        <f ca="1">IF($A291="","",[1]!s_dq_close(E$1,$A291,$M$4))</f>
        <v/>
      </c>
      <c r="F291" s="6" t="str">
        <f ca="1">IF($A291="","",[1]!s_dq_close(F$1,$A291,$M$4))</f>
        <v/>
      </c>
      <c r="G291" s="6"/>
      <c r="H291" s="6" t="str">
        <f ca="1">IF($A291="","",[1]!s_dq_close(H$1,$A291,$M$4))</f>
        <v/>
      </c>
      <c r="I291" s="6" t="str">
        <f ca="1">IF($A291="","",[1]!s_dq_close(I$1,$A291,$M$4))</f>
        <v/>
      </c>
      <c r="J291" s="6" t="str">
        <f t="shared" ca="1" si="5"/>
        <v/>
      </c>
    </row>
    <row r="292" spans="1:10">
      <c r="A292" s="2" t="str">
        <f ca="1">IF(A291="","",IF(IF(价差分析!$W$4="日",--[1]!td(A291-1),IF(价差分析!$W$4="周",--[1]!td(A291-7),--[1]!td(A291-30)))-价差分析!$T$4&gt;0,IF(价差分析!$W$4="日",--[1]!td(A291-1),IF(价差分析!$W$4="周",--[1]!td(A291-7),--[1]!td(A291-30))),""))</f>
        <v/>
      </c>
      <c r="B292" s="1" t="str">
        <f ca="1">IF(A292="","",[1]!s_dq_close($B$1,A292,$M$4))</f>
        <v/>
      </c>
      <c r="C292" s="1" t="str">
        <f ca="1">IF(A292="","",[1]!s_dq_close($C$1,A292,$M$4))</f>
        <v/>
      </c>
      <c r="D292" s="6" t="str">
        <f ca="1">IF($A292="","",[1]!s_dq_close(D$1,$A292,$M$4))</f>
        <v/>
      </c>
      <c r="E292" s="6" t="str">
        <f ca="1">IF($A292="","",[1]!s_dq_close(E$1,$A292,$M$4))</f>
        <v/>
      </c>
      <c r="F292" s="6" t="str">
        <f ca="1">IF($A292="","",[1]!s_dq_close(F$1,$A292,$M$4))</f>
        <v/>
      </c>
      <c r="G292" s="6"/>
      <c r="H292" s="6" t="str">
        <f ca="1">IF($A292="","",[1]!s_dq_close(H$1,$A292,$M$4))</f>
        <v/>
      </c>
      <c r="I292" s="6" t="str">
        <f ca="1">IF($A292="","",[1]!s_dq_close(I$1,$A292,$M$4))</f>
        <v/>
      </c>
      <c r="J292" s="6" t="str">
        <f t="shared" ca="1" si="5"/>
        <v/>
      </c>
    </row>
    <row r="293" spans="1:10">
      <c r="A293" s="2" t="str">
        <f ca="1">IF(A292="","",IF(IF(价差分析!$W$4="日",--[1]!td(A292-1),IF(价差分析!$W$4="周",--[1]!td(A292-7),--[1]!td(A292-30)))-价差分析!$T$4&gt;0,IF(价差分析!$W$4="日",--[1]!td(A292-1),IF(价差分析!$W$4="周",--[1]!td(A292-7),--[1]!td(A292-30))),""))</f>
        <v/>
      </c>
      <c r="B293" s="1" t="str">
        <f ca="1">IF(A293="","",[1]!s_dq_close($B$1,A293,$M$4))</f>
        <v/>
      </c>
      <c r="C293" s="1" t="str">
        <f ca="1">IF(A293="","",[1]!s_dq_close($C$1,A293,$M$4))</f>
        <v/>
      </c>
      <c r="D293" s="6" t="str">
        <f ca="1">IF($A293="","",[1]!s_dq_close(D$1,$A293,$M$4))</f>
        <v/>
      </c>
      <c r="E293" s="6" t="str">
        <f ca="1">IF($A293="","",[1]!s_dq_close(E$1,$A293,$M$4))</f>
        <v/>
      </c>
      <c r="F293" s="6" t="str">
        <f ca="1">IF($A293="","",[1]!s_dq_close(F$1,$A293,$M$4))</f>
        <v/>
      </c>
      <c r="G293" s="6"/>
      <c r="H293" s="6" t="str">
        <f ca="1">IF($A293="","",[1]!s_dq_close(H$1,$A293,$M$4))</f>
        <v/>
      </c>
      <c r="I293" s="6" t="str">
        <f ca="1">IF($A293="","",[1]!s_dq_close(I$1,$A293,$M$4))</f>
        <v/>
      </c>
      <c r="J293" s="6" t="str">
        <f t="shared" ca="1" si="5"/>
        <v/>
      </c>
    </row>
    <row r="294" spans="1:10">
      <c r="A294" s="2" t="str">
        <f ca="1">IF(A293="","",IF(IF(价差分析!$W$4="日",--[1]!td(A293-1),IF(价差分析!$W$4="周",--[1]!td(A293-7),--[1]!td(A293-30)))-价差分析!$T$4&gt;0,IF(价差分析!$W$4="日",--[1]!td(A293-1),IF(价差分析!$W$4="周",--[1]!td(A293-7),--[1]!td(A293-30))),""))</f>
        <v/>
      </c>
      <c r="B294" s="1" t="str">
        <f ca="1">IF(A294="","",[1]!s_dq_close($B$1,A294,$M$4))</f>
        <v/>
      </c>
      <c r="C294" s="1" t="str">
        <f ca="1">IF(A294="","",[1]!s_dq_close($C$1,A294,$M$4))</f>
        <v/>
      </c>
      <c r="D294" s="6" t="str">
        <f ca="1">IF($A294="","",[1]!s_dq_close(D$1,$A294,$M$4))</f>
        <v/>
      </c>
      <c r="E294" s="6" t="str">
        <f ca="1">IF($A294="","",[1]!s_dq_close(E$1,$A294,$M$4))</f>
        <v/>
      </c>
      <c r="F294" s="6" t="str">
        <f ca="1">IF($A294="","",[1]!s_dq_close(F$1,$A294,$M$4))</f>
        <v/>
      </c>
      <c r="G294" s="6"/>
      <c r="H294" s="6" t="str">
        <f ca="1">IF($A294="","",[1]!s_dq_close(H$1,$A294,$M$4))</f>
        <v/>
      </c>
      <c r="I294" s="6" t="str">
        <f ca="1">IF($A294="","",[1]!s_dq_close(I$1,$A294,$M$4))</f>
        <v/>
      </c>
      <c r="J294" s="6" t="str">
        <f t="shared" ca="1" si="5"/>
        <v/>
      </c>
    </row>
    <row r="295" spans="1:10">
      <c r="A295" s="2" t="str">
        <f ca="1">IF(A294="","",IF(IF(价差分析!$W$4="日",--[1]!td(A294-1),IF(价差分析!$W$4="周",--[1]!td(A294-7),--[1]!td(A294-30)))-价差分析!$T$4&gt;0,IF(价差分析!$W$4="日",--[1]!td(A294-1),IF(价差分析!$W$4="周",--[1]!td(A294-7),--[1]!td(A294-30))),""))</f>
        <v/>
      </c>
      <c r="B295" s="1" t="str">
        <f ca="1">IF(A295="","",[1]!s_dq_close($B$1,A295,$M$4))</f>
        <v/>
      </c>
      <c r="C295" s="1" t="str">
        <f ca="1">IF(A295="","",[1]!s_dq_close($C$1,A295,$M$4))</f>
        <v/>
      </c>
      <c r="D295" s="6" t="str">
        <f ca="1">IF($A295="","",[1]!s_dq_close(D$1,$A295,$M$4))</f>
        <v/>
      </c>
      <c r="E295" s="6" t="str">
        <f ca="1">IF($A295="","",[1]!s_dq_close(E$1,$A295,$M$4))</f>
        <v/>
      </c>
      <c r="F295" s="6" t="str">
        <f ca="1">IF($A295="","",[1]!s_dq_close(F$1,$A295,$M$4))</f>
        <v/>
      </c>
      <c r="G295" s="6"/>
      <c r="H295" s="6" t="str">
        <f ca="1">IF($A295="","",[1]!s_dq_close(H$1,$A295,$M$4))</f>
        <v/>
      </c>
      <c r="I295" s="6" t="str">
        <f ca="1">IF($A295="","",[1]!s_dq_close(I$1,$A295,$M$4))</f>
        <v/>
      </c>
      <c r="J295" s="6" t="str">
        <f t="shared" ca="1" si="5"/>
        <v/>
      </c>
    </row>
    <row r="296" spans="1:10">
      <c r="A296" s="2" t="str">
        <f ca="1">IF(A295="","",IF(IF(价差分析!$W$4="日",--[1]!td(A295-1),IF(价差分析!$W$4="周",--[1]!td(A295-7),--[1]!td(A295-30)))-价差分析!$T$4&gt;0,IF(价差分析!$W$4="日",--[1]!td(A295-1),IF(价差分析!$W$4="周",--[1]!td(A295-7),--[1]!td(A295-30))),""))</f>
        <v/>
      </c>
      <c r="B296" s="1" t="str">
        <f ca="1">IF(A296="","",[1]!s_dq_close($B$1,A296,$M$4))</f>
        <v/>
      </c>
      <c r="C296" s="1" t="str">
        <f ca="1">IF(A296="","",[1]!s_dq_close($C$1,A296,$M$4))</f>
        <v/>
      </c>
      <c r="D296" s="6" t="str">
        <f ca="1">IF($A296="","",[1]!s_dq_close(D$1,$A296,$M$4))</f>
        <v/>
      </c>
      <c r="E296" s="6" t="str">
        <f ca="1">IF($A296="","",[1]!s_dq_close(E$1,$A296,$M$4))</f>
        <v/>
      </c>
      <c r="F296" s="6" t="str">
        <f ca="1">IF($A296="","",[1]!s_dq_close(F$1,$A296,$M$4))</f>
        <v/>
      </c>
      <c r="G296" s="6"/>
      <c r="H296" s="6" t="str">
        <f ca="1">IF($A296="","",[1]!s_dq_close(H$1,$A296,$M$4))</f>
        <v/>
      </c>
      <c r="I296" s="6" t="str">
        <f ca="1">IF($A296="","",[1]!s_dq_close(I$1,$A296,$M$4))</f>
        <v/>
      </c>
      <c r="J296" s="6" t="str">
        <f t="shared" ca="1" si="5"/>
        <v/>
      </c>
    </row>
    <row r="297" spans="1:10">
      <c r="A297" s="2" t="str">
        <f ca="1">IF(A296="","",IF(IF(价差分析!$W$4="日",--[1]!td(A296-1),IF(价差分析!$W$4="周",--[1]!td(A296-7),--[1]!td(A296-30)))-价差分析!$T$4&gt;0,IF(价差分析!$W$4="日",--[1]!td(A296-1),IF(价差分析!$W$4="周",--[1]!td(A296-7),--[1]!td(A296-30))),""))</f>
        <v/>
      </c>
      <c r="B297" s="1" t="str">
        <f ca="1">IF(A297="","",[1]!s_dq_close($B$1,A297,$M$4))</f>
        <v/>
      </c>
      <c r="C297" s="1" t="str">
        <f ca="1">IF(A297="","",[1]!s_dq_close($C$1,A297,$M$4))</f>
        <v/>
      </c>
      <c r="D297" s="6" t="str">
        <f ca="1">IF($A297="","",[1]!s_dq_close(D$1,$A297,$M$4))</f>
        <v/>
      </c>
      <c r="E297" s="6" t="str">
        <f ca="1">IF($A297="","",[1]!s_dq_close(E$1,$A297,$M$4))</f>
        <v/>
      </c>
      <c r="F297" s="6" t="str">
        <f ca="1">IF($A297="","",[1]!s_dq_close(F$1,$A297,$M$4))</f>
        <v/>
      </c>
      <c r="G297" s="6"/>
      <c r="H297" s="6" t="str">
        <f ca="1">IF($A297="","",[1]!s_dq_close(H$1,$A297,$M$4))</f>
        <v/>
      </c>
      <c r="I297" s="6" t="str">
        <f ca="1">IF($A297="","",[1]!s_dq_close(I$1,$A297,$M$4))</f>
        <v/>
      </c>
      <c r="J297" s="6" t="str">
        <f t="shared" ca="1" si="5"/>
        <v/>
      </c>
    </row>
    <row r="298" spans="1:10">
      <c r="A298" s="2" t="str">
        <f ca="1">IF(A297="","",IF(IF(价差分析!$W$4="日",--[1]!td(A297-1),IF(价差分析!$W$4="周",--[1]!td(A297-7),--[1]!td(A297-30)))-价差分析!$T$4&gt;0,IF(价差分析!$W$4="日",--[1]!td(A297-1),IF(价差分析!$W$4="周",--[1]!td(A297-7),--[1]!td(A297-30))),""))</f>
        <v/>
      </c>
      <c r="B298" s="1" t="str">
        <f ca="1">IF(A298="","",[1]!s_dq_close($B$1,A298,$M$4))</f>
        <v/>
      </c>
      <c r="C298" s="1" t="str">
        <f ca="1">IF(A298="","",[1]!s_dq_close($C$1,A298,$M$4))</f>
        <v/>
      </c>
      <c r="D298" s="6" t="str">
        <f ca="1">IF($A298="","",[1]!s_dq_close(D$1,$A298,$M$4))</f>
        <v/>
      </c>
      <c r="E298" s="6" t="str">
        <f ca="1">IF($A298="","",[1]!s_dq_close(E$1,$A298,$M$4))</f>
        <v/>
      </c>
      <c r="F298" s="6" t="str">
        <f ca="1">IF($A298="","",[1]!s_dq_close(F$1,$A298,$M$4))</f>
        <v/>
      </c>
      <c r="G298" s="6"/>
      <c r="H298" s="6" t="str">
        <f ca="1">IF($A298="","",[1]!s_dq_close(H$1,$A298,$M$4))</f>
        <v/>
      </c>
      <c r="I298" s="6" t="str">
        <f ca="1">IF($A298="","",[1]!s_dq_close(I$1,$A298,$M$4))</f>
        <v/>
      </c>
      <c r="J298" s="6" t="str">
        <f t="shared" ca="1" si="5"/>
        <v/>
      </c>
    </row>
    <row r="299" spans="1:10">
      <c r="A299" s="2" t="str">
        <f ca="1">IF(A298="","",IF(IF(价差分析!$W$4="日",--[1]!td(A298-1),IF(价差分析!$W$4="周",--[1]!td(A298-7),--[1]!td(A298-30)))-价差分析!$T$4&gt;0,IF(价差分析!$W$4="日",--[1]!td(A298-1),IF(价差分析!$W$4="周",--[1]!td(A298-7),--[1]!td(A298-30))),""))</f>
        <v/>
      </c>
      <c r="B299" s="1" t="str">
        <f ca="1">IF(A299="","",[1]!s_dq_close($B$1,A299,$M$4))</f>
        <v/>
      </c>
      <c r="C299" s="1" t="str">
        <f ca="1">IF(A299="","",[1]!s_dq_close($C$1,A299,$M$4))</f>
        <v/>
      </c>
      <c r="D299" s="6" t="str">
        <f ca="1">IF($A299="","",[1]!s_dq_close(D$1,$A299,$M$4))</f>
        <v/>
      </c>
      <c r="E299" s="6" t="str">
        <f ca="1">IF($A299="","",[1]!s_dq_close(E$1,$A299,$M$4))</f>
        <v/>
      </c>
      <c r="F299" s="6" t="str">
        <f ca="1">IF($A299="","",[1]!s_dq_close(F$1,$A299,$M$4))</f>
        <v/>
      </c>
      <c r="G299" s="6"/>
      <c r="H299" s="6" t="str">
        <f ca="1">IF($A299="","",[1]!s_dq_close(H$1,$A299,$M$4))</f>
        <v/>
      </c>
      <c r="I299" s="6" t="str">
        <f ca="1">IF($A299="","",[1]!s_dq_close(I$1,$A299,$M$4))</f>
        <v/>
      </c>
      <c r="J299" s="6" t="str">
        <f t="shared" ca="1" si="5"/>
        <v/>
      </c>
    </row>
    <row r="300" spans="1:10">
      <c r="A300" s="2" t="str">
        <f ca="1">IF(A299="","",IF(IF(价差分析!$W$4="日",--[1]!td(A299-1),IF(价差分析!$W$4="周",--[1]!td(A299-7),--[1]!td(A299-30)))-价差分析!$T$4&gt;0,IF(价差分析!$W$4="日",--[1]!td(A299-1),IF(价差分析!$W$4="周",--[1]!td(A299-7),--[1]!td(A299-30))),""))</f>
        <v/>
      </c>
      <c r="B300" s="1" t="str">
        <f ca="1">IF(A300="","",[1]!s_dq_close($B$1,A300,$M$4))</f>
        <v/>
      </c>
      <c r="C300" s="1" t="str">
        <f ca="1">IF(A300="","",[1]!s_dq_close($C$1,A300,$M$4))</f>
        <v/>
      </c>
      <c r="D300" s="6" t="str">
        <f ca="1">IF($A300="","",[1]!s_dq_close(D$1,$A300,$M$4))</f>
        <v/>
      </c>
      <c r="E300" s="6" t="str">
        <f ca="1">IF($A300="","",[1]!s_dq_close(E$1,$A300,$M$4))</f>
        <v/>
      </c>
      <c r="F300" s="6" t="str">
        <f ca="1">IF($A300="","",[1]!s_dq_close(F$1,$A300,$M$4))</f>
        <v/>
      </c>
      <c r="G300" s="6"/>
      <c r="H300" s="6" t="str">
        <f ca="1">IF($A300="","",[1]!s_dq_close(H$1,$A300,$M$4))</f>
        <v/>
      </c>
      <c r="I300" s="6" t="str">
        <f ca="1">IF($A300="","",[1]!s_dq_close(I$1,$A300,$M$4))</f>
        <v/>
      </c>
      <c r="J300" s="6" t="str">
        <f t="shared" ca="1" si="5"/>
        <v/>
      </c>
    </row>
    <row r="301" spans="1:10">
      <c r="A301" s="2" t="str">
        <f ca="1">IF(A300="","",IF(IF(价差分析!$W$4="日",--[1]!td(A300-1),IF(价差分析!$W$4="周",--[1]!td(A300-7),--[1]!td(A300-30)))-价差分析!$T$4&gt;0,IF(价差分析!$W$4="日",--[1]!td(A300-1),IF(价差分析!$W$4="周",--[1]!td(A300-7),--[1]!td(A300-30))),""))</f>
        <v/>
      </c>
      <c r="B301" s="1" t="str">
        <f ca="1">IF(A301="","",[1]!s_dq_close($B$1,A301,$M$4))</f>
        <v/>
      </c>
      <c r="C301" s="1" t="str">
        <f ca="1">IF(A301="","",[1]!s_dq_close($C$1,A301,$M$4))</f>
        <v/>
      </c>
      <c r="D301" s="6" t="str">
        <f ca="1">IF($A301="","",[1]!s_dq_close(D$1,$A301,$M$4))</f>
        <v/>
      </c>
      <c r="E301" s="6" t="str">
        <f ca="1">IF($A301="","",[1]!s_dq_close(E$1,$A301,$M$4))</f>
        <v/>
      </c>
      <c r="F301" s="6" t="str">
        <f ca="1">IF($A301="","",[1]!s_dq_close(F$1,$A301,$M$4))</f>
        <v/>
      </c>
      <c r="G301" s="6"/>
      <c r="H301" s="6" t="str">
        <f ca="1">IF($A301="","",[1]!s_dq_close(H$1,$A301,$M$4))</f>
        <v/>
      </c>
      <c r="I301" s="6" t="str">
        <f ca="1">IF($A301="","",[1]!s_dq_close(I$1,$A301,$M$4))</f>
        <v/>
      </c>
      <c r="J301" s="6" t="str">
        <f t="shared" ca="1" si="5"/>
        <v/>
      </c>
    </row>
    <row r="302" spans="1:10">
      <c r="A302" s="2" t="str">
        <f ca="1">IF(A301="","",IF(IF(价差分析!$W$4="日",--[1]!td(A301-1),IF(价差分析!$W$4="周",--[1]!td(A301-7),--[1]!td(A301-30)))-价差分析!$T$4&gt;0,IF(价差分析!$W$4="日",--[1]!td(A301-1),IF(价差分析!$W$4="周",--[1]!td(A301-7),--[1]!td(A301-30))),""))</f>
        <v/>
      </c>
      <c r="B302" s="1" t="str">
        <f ca="1">IF(A302="","",[1]!s_dq_close($B$1,A302,$M$4))</f>
        <v/>
      </c>
      <c r="C302" s="1" t="str">
        <f ca="1">IF(A302="","",[1]!s_dq_close($C$1,A302,$M$4))</f>
        <v/>
      </c>
      <c r="D302" s="6" t="str">
        <f ca="1">IF($A302="","",[1]!s_dq_close(D$1,$A302,$M$4))</f>
        <v/>
      </c>
      <c r="E302" s="6" t="str">
        <f ca="1">IF($A302="","",[1]!s_dq_close(E$1,$A302,$M$4))</f>
        <v/>
      </c>
      <c r="F302" s="6" t="str">
        <f ca="1">IF($A302="","",[1]!s_dq_close(F$1,$A302,$M$4))</f>
        <v/>
      </c>
      <c r="G302" s="6"/>
      <c r="H302" s="6" t="str">
        <f ca="1">IF($A302="","",[1]!s_dq_close(H$1,$A302,$M$4))</f>
        <v/>
      </c>
      <c r="I302" s="6" t="str">
        <f ca="1">IF($A302="","",[1]!s_dq_close(I$1,$A302,$M$4))</f>
        <v/>
      </c>
      <c r="J302" s="6" t="str">
        <f t="shared" ca="1" si="5"/>
        <v/>
      </c>
    </row>
    <row r="303" spans="1:10">
      <c r="A303" s="2" t="str">
        <f ca="1">IF(A302="","",IF(IF(价差分析!$W$4="日",--[1]!td(A302-1),IF(价差分析!$W$4="周",--[1]!td(A302-7),--[1]!td(A302-30)))-价差分析!$T$4&gt;0,IF(价差分析!$W$4="日",--[1]!td(A302-1),IF(价差分析!$W$4="周",--[1]!td(A302-7),--[1]!td(A302-30))),""))</f>
        <v/>
      </c>
      <c r="B303" s="1" t="str">
        <f ca="1">IF(A303="","",[1]!s_dq_close($B$1,A303,$M$4))</f>
        <v/>
      </c>
      <c r="C303" s="1" t="str">
        <f ca="1">IF(A303="","",[1]!s_dq_close($C$1,A303,$M$4))</f>
        <v/>
      </c>
      <c r="D303" s="6" t="str">
        <f ca="1">IF($A303="","",[1]!s_dq_close(D$1,$A303,$M$4))</f>
        <v/>
      </c>
      <c r="E303" s="6" t="str">
        <f ca="1">IF($A303="","",[1]!s_dq_close(E$1,$A303,$M$4))</f>
        <v/>
      </c>
      <c r="F303" s="6" t="str">
        <f ca="1">IF($A303="","",[1]!s_dq_close(F$1,$A303,$M$4))</f>
        <v/>
      </c>
      <c r="G303" s="6"/>
      <c r="H303" s="6" t="str">
        <f ca="1">IF($A303="","",[1]!s_dq_close(H$1,$A303,$M$4))</f>
        <v/>
      </c>
      <c r="I303" s="6" t="str">
        <f ca="1">IF($A303="","",[1]!s_dq_close(I$1,$A303,$M$4))</f>
        <v/>
      </c>
      <c r="J303" s="6" t="str">
        <f t="shared" ca="1" si="5"/>
        <v/>
      </c>
    </row>
    <row r="304" spans="1:10">
      <c r="A304" s="2" t="str">
        <f ca="1">IF(A303="","",IF(IF(价差分析!$W$4="日",--[1]!td(A303-1),IF(价差分析!$W$4="周",--[1]!td(A303-7),--[1]!td(A303-30)))-价差分析!$T$4&gt;0,IF(价差分析!$W$4="日",--[1]!td(A303-1),IF(价差分析!$W$4="周",--[1]!td(A303-7),--[1]!td(A303-30))),""))</f>
        <v/>
      </c>
      <c r="B304" s="1" t="str">
        <f ca="1">IF(A304="","",[1]!s_dq_close($B$1,A304,$M$4))</f>
        <v/>
      </c>
      <c r="C304" s="1" t="str">
        <f ca="1">IF(A304="","",[1]!s_dq_close($C$1,A304,$M$4))</f>
        <v/>
      </c>
      <c r="D304" s="6" t="str">
        <f ca="1">IF($A304="","",[1]!s_dq_close(D$1,$A304,$M$4))</f>
        <v/>
      </c>
      <c r="E304" s="6" t="str">
        <f ca="1">IF($A304="","",[1]!s_dq_close(E$1,$A304,$M$4))</f>
        <v/>
      </c>
      <c r="F304" s="6" t="str">
        <f ca="1">IF($A304="","",[1]!s_dq_close(F$1,$A304,$M$4))</f>
        <v/>
      </c>
      <c r="G304" s="6"/>
      <c r="H304" s="6" t="str">
        <f ca="1">IF($A304="","",[1]!s_dq_close(H$1,$A304,$M$4))</f>
        <v/>
      </c>
      <c r="I304" s="6" t="str">
        <f ca="1">IF($A304="","",[1]!s_dq_close(I$1,$A304,$M$4))</f>
        <v/>
      </c>
      <c r="J304" s="6" t="str">
        <f t="shared" ca="1" si="5"/>
        <v/>
      </c>
    </row>
    <row r="305" spans="1:10">
      <c r="A305" s="2" t="str">
        <f ca="1">IF(A304="","",IF(IF(价差分析!$W$4="日",--[1]!td(A304-1),IF(价差分析!$W$4="周",--[1]!td(A304-7),--[1]!td(A304-30)))-价差分析!$T$4&gt;0,IF(价差分析!$W$4="日",--[1]!td(A304-1),IF(价差分析!$W$4="周",--[1]!td(A304-7),--[1]!td(A304-30))),""))</f>
        <v/>
      </c>
      <c r="B305" s="1" t="str">
        <f ca="1">IF(A305="","",[1]!s_dq_close($B$1,A305,$M$4))</f>
        <v/>
      </c>
      <c r="C305" s="1" t="str">
        <f ca="1">IF(A305="","",[1]!s_dq_close($C$1,A305,$M$4))</f>
        <v/>
      </c>
      <c r="D305" s="6" t="str">
        <f ca="1">IF($A305="","",[1]!s_dq_close(D$1,$A305,$M$4))</f>
        <v/>
      </c>
      <c r="E305" s="6" t="str">
        <f ca="1">IF($A305="","",[1]!s_dq_close(E$1,$A305,$M$4))</f>
        <v/>
      </c>
      <c r="F305" s="6" t="str">
        <f ca="1">IF($A305="","",[1]!s_dq_close(F$1,$A305,$M$4))</f>
        <v/>
      </c>
      <c r="G305" s="6"/>
      <c r="H305" s="6" t="str">
        <f ca="1">IF($A305="","",[1]!s_dq_close(H$1,$A305,$M$4))</f>
        <v/>
      </c>
      <c r="I305" s="6" t="str">
        <f ca="1">IF($A305="","",[1]!s_dq_close(I$1,$A305,$M$4))</f>
        <v/>
      </c>
      <c r="J305" s="6" t="str">
        <f t="shared" ca="1" si="5"/>
        <v/>
      </c>
    </row>
    <row r="306" spans="1:10">
      <c r="A306" s="2" t="str">
        <f ca="1">IF(A305="","",IF(IF(价差分析!$W$4="日",--[1]!td(A305-1),IF(价差分析!$W$4="周",--[1]!td(A305-7),--[1]!td(A305-30)))-价差分析!$T$4&gt;0,IF(价差分析!$W$4="日",--[1]!td(A305-1),IF(价差分析!$W$4="周",--[1]!td(A305-7),--[1]!td(A305-30))),""))</f>
        <v/>
      </c>
      <c r="B306" s="1" t="str">
        <f ca="1">IF(A306="","",[1]!s_dq_close($B$1,A306,$M$4))</f>
        <v/>
      </c>
      <c r="C306" s="1" t="str">
        <f ca="1">IF(A306="","",[1]!s_dq_close($C$1,A306,$M$4))</f>
        <v/>
      </c>
      <c r="D306" s="6" t="str">
        <f ca="1">IF($A306="","",[1]!s_dq_close(D$1,$A306,$M$4))</f>
        <v/>
      </c>
      <c r="E306" s="6" t="str">
        <f ca="1">IF($A306="","",[1]!s_dq_close(E$1,$A306,$M$4))</f>
        <v/>
      </c>
      <c r="F306" s="6" t="str">
        <f ca="1">IF($A306="","",[1]!s_dq_close(F$1,$A306,$M$4))</f>
        <v/>
      </c>
      <c r="G306" s="6"/>
      <c r="H306" s="6" t="str">
        <f ca="1">IF($A306="","",[1]!s_dq_close(H$1,$A306,$M$4))</f>
        <v/>
      </c>
      <c r="I306" s="6" t="str">
        <f ca="1">IF($A306="","",[1]!s_dq_close(I$1,$A306,$M$4))</f>
        <v/>
      </c>
      <c r="J306" s="6" t="str">
        <f t="shared" ca="1" si="5"/>
        <v/>
      </c>
    </row>
    <row r="307" spans="1:10">
      <c r="A307" s="2" t="str">
        <f ca="1">IF(A306="","",IF(IF(价差分析!$W$4="日",--[1]!td(A306-1),IF(价差分析!$W$4="周",--[1]!td(A306-7),--[1]!td(A306-30)))-价差分析!$T$4&gt;0,IF(价差分析!$W$4="日",--[1]!td(A306-1),IF(价差分析!$W$4="周",--[1]!td(A306-7),--[1]!td(A306-30))),""))</f>
        <v/>
      </c>
      <c r="B307" s="1" t="str">
        <f ca="1">IF(A307="","",[1]!s_dq_close($B$1,A307,$M$4))</f>
        <v/>
      </c>
      <c r="C307" s="1" t="str">
        <f ca="1">IF(A307="","",[1]!s_dq_close($C$1,A307,$M$4))</f>
        <v/>
      </c>
      <c r="D307" s="6" t="str">
        <f ca="1">IF($A307="","",[1]!s_dq_close(D$1,$A307,$M$4))</f>
        <v/>
      </c>
      <c r="E307" s="6" t="str">
        <f ca="1">IF($A307="","",[1]!s_dq_close(E$1,$A307,$M$4))</f>
        <v/>
      </c>
      <c r="F307" s="6" t="str">
        <f ca="1">IF($A307="","",[1]!s_dq_close(F$1,$A307,$M$4))</f>
        <v/>
      </c>
      <c r="G307" s="6"/>
      <c r="H307" s="6" t="str">
        <f ca="1">IF($A307="","",[1]!s_dq_close(H$1,$A307,$M$4))</f>
        <v/>
      </c>
      <c r="I307" s="6" t="str">
        <f ca="1">IF($A307="","",[1]!s_dq_close(I$1,$A307,$M$4))</f>
        <v/>
      </c>
      <c r="J307" s="6" t="str">
        <f t="shared" ca="1" si="5"/>
        <v/>
      </c>
    </row>
    <row r="308" spans="1:10">
      <c r="A308" s="2" t="str">
        <f ca="1">IF(A307="","",IF(IF(价差分析!$W$4="日",--[1]!td(A307-1),IF(价差分析!$W$4="周",--[1]!td(A307-7),--[1]!td(A307-30)))-价差分析!$T$4&gt;0,IF(价差分析!$W$4="日",--[1]!td(A307-1),IF(价差分析!$W$4="周",--[1]!td(A307-7),--[1]!td(A307-30))),""))</f>
        <v/>
      </c>
      <c r="B308" s="1" t="str">
        <f ca="1">IF(A308="","",[1]!s_dq_close($B$1,A308,$M$4))</f>
        <v/>
      </c>
      <c r="C308" s="1" t="str">
        <f ca="1">IF(A308="","",[1]!s_dq_close($C$1,A308,$M$4))</f>
        <v/>
      </c>
      <c r="D308" s="6" t="str">
        <f ca="1">IF($A308="","",[1]!s_dq_close(D$1,$A308,$M$4))</f>
        <v/>
      </c>
      <c r="E308" s="6" t="str">
        <f ca="1">IF($A308="","",[1]!s_dq_close(E$1,$A308,$M$4))</f>
        <v/>
      </c>
      <c r="F308" s="6" t="str">
        <f ca="1">IF($A308="","",[1]!s_dq_close(F$1,$A308,$M$4))</f>
        <v/>
      </c>
      <c r="G308" s="6"/>
      <c r="H308" s="6" t="str">
        <f ca="1">IF($A308="","",[1]!s_dq_close(H$1,$A308,$M$4))</f>
        <v/>
      </c>
      <c r="I308" s="6" t="str">
        <f ca="1">IF($A308="","",[1]!s_dq_close(I$1,$A308,$M$4))</f>
        <v/>
      </c>
      <c r="J308" s="6" t="str">
        <f t="shared" ca="1" si="5"/>
        <v/>
      </c>
    </row>
    <row r="309" spans="1:10">
      <c r="A309" s="2" t="str">
        <f ca="1">IF(A308="","",IF(IF(价差分析!$W$4="日",--[1]!td(A308-1),IF(价差分析!$W$4="周",--[1]!td(A308-7),--[1]!td(A308-30)))-价差分析!$T$4&gt;0,IF(价差分析!$W$4="日",--[1]!td(A308-1),IF(价差分析!$W$4="周",--[1]!td(A308-7),--[1]!td(A308-30))),""))</f>
        <v/>
      </c>
      <c r="B309" s="1" t="str">
        <f ca="1">IF(A309="","",[1]!s_dq_close($B$1,A309,$M$4))</f>
        <v/>
      </c>
      <c r="C309" s="1" t="str">
        <f ca="1">IF(A309="","",[1]!s_dq_close($C$1,A309,$M$4))</f>
        <v/>
      </c>
      <c r="D309" s="6" t="str">
        <f ca="1">IF($A309="","",[1]!s_dq_close(D$1,$A309,$M$4))</f>
        <v/>
      </c>
      <c r="E309" s="6" t="str">
        <f ca="1">IF($A309="","",[1]!s_dq_close(E$1,$A309,$M$4))</f>
        <v/>
      </c>
      <c r="F309" s="6" t="str">
        <f ca="1">IF($A309="","",[1]!s_dq_close(F$1,$A309,$M$4))</f>
        <v/>
      </c>
      <c r="G309" s="6"/>
      <c r="H309" s="6" t="str">
        <f ca="1">IF($A309="","",[1]!s_dq_close(H$1,$A309,$M$4))</f>
        <v/>
      </c>
      <c r="I309" s="6" t="str">
        <f ca="1">IF($A309="","",[1]!s_dq_close(I$1,$A309,$M$4))</f>
        <v/>
      </c>
      <c r="J309" s="6" t="str">
        <f t="shared" ca="1" si="5"/>
        <v/>
      </c>
    </row>
    <row r="310" spans="1:10">
      <c r="A310" s="2" t="str">
        <f ca="1">IF(A309="","",IF(IF(价差分析!$W$4="日",--[1]!td(A309-1),IF(价差分析!$W$4="周",--[1]!td(A309-7),--[1]!td(A309-30)))-价差分析!$T$4&gt;0,IF(价差分析!$W$4="日",--[1]!td(A309-1),IF(价差分析!$W$4="周",--[1]!td(A309-7),--[1]!td(A309-30))),""))</f>
        <v/>
      </c>
      <c r="B310" s="1" t="str">
        <f ca="1">IF(A310="","",[1]!s_dq_close($B$1,A310,$M$4))</f>
        <v/>
      </c>
      <c r="C310" s="1" t="str">
        <f ca="1">IF(A310="","",[1]!s_dq_close($C$1,A310,$M$4))</f>
        <v/>
      </c>
      <c r="D310" s="6" t="str">
        <f ca="1">IF($A310="","",[1]!s_dq_close(D$1,$A310,$M$4))</f>
        <v/>
      </c>
      <c r="E310" s="6" t="str">
        <f ca="1">IF($A310="","",[1]!s_dq_close(E$1,$A310,$M$4))</f>
        <v/>
      </c>
      <c r="F310" s="6" t="str">
        <f ca="1">IF($A310="","",[1]!s_dq_close(F$1,$A310,$M$4))</f>
        <v/>
      </c>
      <c r="G310" s="6"/>
      <c r="H310" s="6" t="str">
        <f ca="1">IF($A310="","",[1]!s_dq_close(H$1,$A310,$M$4))</f>
        <v/>
      </c>
      <c r="I310" s="6" t="str">
        <f ca="1">IF($A310="","",[1]!s_dq_close(I$1,$A310,$M$4))</f>
        <v/>
      </c>
      <c r="J310" s="6" t="str">
        <f t="shared" ca="1" si="5"/>
        <v/>
      </c>
    </row>
    <row r="311" spans="1:10">
      <c r="A311" s="2" t="str">
        <f ca="1">IF(A310="","",IF(IF(价差分析!$W$4="日",--[1]!td(A310-1),IF(价差分析!$W$4="周",--[1]!td(A310-7),--[1]!td(A310-30)))-价差分析!$T$4&gt;0,IF(价差分析!$W$4="日",--[1]!td(A310-1),IF(价差分析!$W$4="周",--[1]!td(A310-7),--[1]!td(A310-30))),""))</f>
        <v/>
      </c>
      <c r="B311" s="1" t="str">
        <f ca="1">IF(A311="","",[1]!s_dq_close($B$1,A311,$M$4))</f>
        <v/>
      </c>
      <c r="C311" s="1" t="str">
        <f ca="1">IF(A311="","",[1]!s_dq_close($C$1,A311,$M$4))</f>
        <v/>
      </c>
      <c r="D311" s="6" t="str">
        <f ca="1">IF($A311="","",[1]!s_dq_close(D$1,$A311,$M$4))</f>
        <v/>
      </c>
      <c r="E311" s="6" t="str">
        <f ca="1">IF($A311="","",[1]!s_dq_close(E$1,$A311,$M$4))</f>
        <v/>
      </c>
      <c r="F311" s="6" t="str">
        <f ca="1">IF($A311="","",[1]!s_dq_close(F$1,$A311,$M$4))</f>
        <v/>
      </c>
      <c r="G311" s="6"/>
      <c r="H311" s="6" t="str">
        <f ca="1">IF($A311="","",[1]!s_dq_close(H$1,$A311,$M$4))</f>
        <v/>
      </c>
      <c r="I311" s="6" t="str">
        <f ca="1">IF($A311="","",[1]!s_dq_close(I$1,$A311,$M$4))</f>
        <v/>
      </c>
      <c r="J311" s="6" t="str">
        <f t="shared" ca="1" si="5"/>
        <v/>
      </c>
    </row>
    <row r="312" spans="1:10">
      <c r="A312" s="2" t="str">
        <f ca="1">IF(A311="","",IF(IF(价差分析!$W$4="日",--[1]!td(A311-1),IF(价差分析!$W$4="周",--[1]!td(A311-7),--[1]!td(A311-30)))-价差分析!$T$4&gt;0,IF(价差分析!$W$4="日",--[1]!td(A311-1),IF(价差分析!$W$4="周",--[1]!td(A311-7),--[1]!td(A311-30))),""))</f>
        <v/>
      </c>
      <c r="B312" s="1" t="str">
        <f ca="1">IF(A312="","",[1]!s_dq_close($B$1,A312,$M$4))</f>
        <v/>
      </c>
      <c r="C312" s="1" t="str">
        <f ca="1">IF(A312="","",[1]!s_dq_close($C$1,A312,$M$4))</f>
        <v/>
      </c>
      <c r="D312" s="6" t="str">
        <f ca="1">IF($A312="","",[1]!s_dq_close(D$1,$A312,$M$4))</f>
        <v/>
      </c>
      <c r="E312" s="6" t="str">
        <f ca="1">IF($A312="","",[1]!s_dq_close(E$1,$A312,$M$4))</f>
        <v/>
      </c>
      <c r="F312" s="6" t="str">
        <f ca="1">IF($A312="","",[1]!s_dq_close(F$1,$A312,$M$4))</f>
        <v/>
      </c>
      <c r="G312" s="6"/>
      <c r="H312" s="6" t="str">
        <f ca="1">IF($A312="","",[1]!s_dq_close(H$1,$A312,$M$4))</f>
        <v/>
      </c>
      <c r="I312" s="6" t="str">
        <f ca="1">IF($A312="","",[1]!s_dq_close(I$1,$A312,$M$4))</f>
        <v/>
      </c>
      <c r="J312" s="6" t="str">
        <f t="shared" ca="1" si="5"/>
        <v/>
      </c>
    </row>
    <row r="313" spans="1:10">
      <c r="A313" s="2" t="str">
        <f ca="1">IF(A312="","",IF(IF(价差分析!$W$4="日",--[1]!td(A312-1),IF(价差分析!$W$4="周",--[1]!td(A312-7),--[1]!td(A312-30)))-价差分析!$T$4&gt;0,IF(价差分析!$W$4="日",--[1]!td(A312-1),IF(价差分析!$W$4="周",--[1]!td(A312-7),--[1]!td(A312-30))),""))</f>
        <v/>
      </c>
      <c r="B313" s="1" t="str">
        <f ca="1">IF(A313="","",[1]!s_dq_close($B$1,A313,$M$4))</f>
        <v/>
      </c>
      <c r="C313" s="1" t="str">
        <f ca="1">IF(A313="","",[1]!s_dq_close($C$1,A313,$M$4))</f>
        <v/>
      </c>
      <c r="D313" s="6" t="str">
        <f ca="1">IF($A313="","",[1]!s_dq_close(D$1,$A313,$M$4))</f>
        <v/>
      </c>
      <c r="E313" s="6" t="str">
        <f ca="1">IF($A313="","",[1]!s_dq_close(E$1,$A313,$M$4))</f>
        <v/>
      </c>
      <c r="F313" s="6" t="str">
        <f ca="1">IF($A313="","",[1]!s_dq_close(F$1,$A313,$M$4))</f>
        <v/>
      </c>
      <c r="G313" s="6"/>
      <c r="H313" s="6" t="str">
        <f ca="1">IF($A313="","",[1]!s_dq_close(H$1,$A313,$M$4))</f>
        <v/>
      </c>
      <c r="I313" s="6" t="str">
        <f ca="1">IF($A313="","",[1]!s_dq_close(I$1,$A313,$M$4))</f>
        <v/>
      </c>
      <c r="J313" s="6" t="str">
        <f t="shared" ca="1" si="5"/>
        <v/>
      </c>
    </row>
    <row r="314" spans="1:10">
      <c r="A314" s="2" t="str">
        <f ca="1">IF(A313="","",IF(IF(价差分析!$W$4="日",--[1]!td(A313-1),IF(价差分析!$W$4="周",--[1]!td(A313-7),--[1]!td(A313-30)))-价差分析!$T$4&gt;0,IF(价差分析!$W$4="日",--[1]!td(A313-1),IF(价差分析!$W$4="周",--[1]!td(A313-7),--[1]!td(A313-30))),""))</f>
        <v/>
      </c>
      <c r="B314" s="1" t="str">
        <f ca="1">IF(A314="","",[1]!s_dq_close($B$1,A314,$M$4))</f>
        <v/>
      </c>
      <c r="C314" s="1" t="str">
        <f ca="1">IF(A314="","",[1]!s_dq_close($C$1,A314,$M$4))</f>
        <v/>
      </c>
      <c r="D314" s="6" t="str">
        <f ca="1">IF($A314="","",[1]!s_dq_close(D$1,$A314,$M$4))</f>
        <v/>
      </c>
      <c r="E314" s="6" t="str">
        <f ca="1">IF($A314="","",[1]!s_dq_close(E$1,$A314,$M$4))</f>
        <v/>
      </c>
      <c r="F314" s="6" t="str">
        <f ca="1">IF($A314="","",[1]!s_dq_close(F$1,$A314,$M$4))</f>
        <v/>
      </c>
      <c r="G314" s="6"/>
      <c r="H314" s="6" t="str">
        <f ca="1">IF($A314="","",[1]!s_dq_close(H$1,$A314,$M$4))</f>
        <v/>
      </c>
      <c r="I314" s="6" t="str">
        <f ca="1">IF($A314="","",[1]!s_dq_close(I$1,$A314,$M$4))</f>
        <v/>
      </c>
      <c r="J314" s="6" t="str">
        <f t="shared" ca="1" si="5"/>
        <v/>
      </c>
    </row>
    <row r="315" spans="1:10">
      <c r="A315" s="2" t="str">
        <f ca="1">IF(A314="","",IF(IF(价差分析!$W$4="日",--[1]!td(A314-1),IF(价差分析!$W$4="周",--[1]!td(A314-7),--[1]!td(A314-30)))-价差分析!$T$4&gt;0,IF(价差分析!$W$4="日",--[1]!td(A314-1),IF(价差分析!$W$4="周",--[1]!td(A314-7),--[1]!td(A314-30))),""))</f>
        <v/>
      </c>
      <c r="B315" s="1" t="str">
        <f ca="1">IF(A315="","",[1]!s_dq_close($B$1,A315,$M$4))</f>
        <v/>
      </c>
      <c r="C315" s="1" t="str">
        <f ca="1">IF(A315="","",[1]!s_dq_close($C$1,A315,$M$4))</f>
        <v/>
      </c>
      <c r="D315" s="6" t="str">
        <f ca="1">IF($A315="","",[1]!s_dq_close(D$1,$A315,$M$4))</f>
        <v/>
      </c>
      <c r="E315" s="6" t="str">
        <f ca="1">IF($A315="","",[1]!s_dq_close(E$1,$A315,$M$4))</f>
        <v/>
      </c>
      <c r="F315" s="6" t="str">
        <f ca="1">IF($A315="","",[1]!s_dq_close(F$1,$A315,$M$4))</f>
        <v/>
      </c>
      <c r="G315" s="6"/>
      <c r="H315" s="6" t="str">
        <f ca="1">IF($A315="","",[1]!s_dq_close(H$1,$A315,$M$4))</f>
        <v/>
      </c>
      <c r="I315" s="6" t="str">
        <f ca="1">IF($A315="","",[1]!s_dq_close(I$1,$A315,$M$4))</f>
        <v/>
      </c>
      <c r="J315" s="6" t="str">
        <f t="shared" ca="1" si="5"/>
        <v/>
      </c>
    </row>
    <row r="316" spans="1:10">
      <c r="A316" s="2" t="str">
        <f ca="1">IF(A315="","",IF(IF(价差分析!$W$4="日",--[1]!td(A315-1),IF(价差分析!$W$4="周",--[1]!td(A315-7),--[1]!td(A315-30)))-价差分析!$T$4&gt;0,IF(价差分析!$W$4="日",--[1]!td(A315-1),IF(价差分析!$W$4="周",--[1]!td(A315-7),--[1]!td(A315-30))),""))</f>
        <v/>
      </c>
      <c r="B316" s="1" t="str">
        <f ca="1">IF(A316="","",[1]!s_dq_close($B$1,A316,$M$4))</f>
        <v/>
      </c>
      <c r="C316" s="1" t="str">
        <f ca="1">IF(A316="","",[1]!s_dq_close($C$1,A316,$M$4))</f>
        <v/>
      </c>
      <c r="D316" s="6" t="str">
        <f ca="1">IF($A316="","",[1]!s_dq_close(D$1,$A316,$M$4))</f>
        <v/>
      </c>
      <c r="E316" s="6" t="str">
        <f ca="1">IF($A316="","",[1]!s_dq_close(E$1,$A316,$M$4))</f>
        <v/>
      </c>
      <c r="F316" s="6" t="str">
        <f ca="1">IF($A316="","",[1]!s_dq_close(F$1,$A316,$M$4))</f>
        <v/>
      </c>
      <c r="G316" s="6"/>
      <c r="H316" s="6" t="str">
        <f ca="1">IF($A316="","",[1]!s_dq_close(H$1,$A316,$M$4))</f>
        <v/>
      </c>
      <c r="I316" s="6" t="str">
        <f ca="1">IF($A316="","",[1]!s_dq_close(I$1,$A316,$M$4))</f>
        <v/>
      </c>
      <c r="J316" s="6" t="str">
        <f t="shared" ca="1" si="5"/>
        <v/>
      </c>
    </row>
    <row r="317" spans="1:10">
      <c r="A317" s="2" t="str">
        <f ca="1">IF(A316="","",IF(IF(价差分析!$W$4="日",--[1]!td(A316-1),IF(价差分析!$W$4="周",--[1]!td(A316-7),--[1]!td(A316-30)))-价差分析!$T$4&gt;0,IF(价差分析!$W$4="日",--[1]!td(A316-1),IF(价差分析!$W$4="周",--[1]!td(A316-7),--[1]!td(A316-30))),""))</f>
        <v/>
      </c>
      <c r="B317" s="1" t="str">
        <f ca="1">IF(A317="","",[1]!s_dq_close($B$1,A317,$M$4))</f>
        <v/>
      </c>
      <c r="C317" s="1" t="str">
        <f ca="1">IF(A317="","",[1]!s_dq_close($C$1,A317,$M$4))</f>
        <v/>
      </c>
      <c r="D317" s="6" t="str">
        <f ca="1">IF($A317="","",[1]!s_dq_close(D$1,$A317,$M$4))</f>
        <v/>
      </c>
      <c r="E317" s="6" t="str">
        <f ca="1">IF($A317="","",[1]!s_dq_close(E$1,$A317,$M$4))</f>
        <v/>
      </c>
      <c r="F317" s="6" t="str">
        <f ca="1">IF($A317="","",[1]!s_dq_close(F$1,$A317,$M$4))</f>
        <v/>
      </c>
      <c r="G317" s="6"/>
      <c r="H317" s="6" t="str">
        <f ca="1">IF($A317="","",[1]!s_dq_close(H$1,$A317,$M$4))</f>
        <v/>
      </c>
      <c r="I317" s="6" t="str">
        <f ca="1">IF($A317="","",[1]!s_dq_close(I$1,$A317,$M$4))</f>
        <v/>
      </c>
      <c r="J317" s="6" t="str">
        <f t="shared" ca="1" si="5"/>
        <v/>
      </c>
    </row>
    <row r="318" spans="1:10">
      <c r="A318" s="2" t="str">
        <f ca="1">IF(A317="","",IF(IF(价差分析!$W$4="日",--[1]!td(A317-1),IF(价差分析!$W$4="周",--[1]!td(A317-7),--[1]!td(A317-30)))-价差分析!$T$4&gt;0,IF(价差分析!$W$4="日",--[1]!td(A317-1),IF(价差分析!$W$4="周",--[1]!td(A317-7),--[1]!td(A317-30))),""))</f>
        <v/>
      </c>
      <c r="B318" s="1" t="str">
        <f ca="1">IF(A318="","",[1]!s_dq_close($B$1,A318,$M$4))</f>
        <v/>
      </c>
      <c r="C318" s="1" t="str">
        <f ca="1">IF(A318="","",[1]!s_dq_close($C$1,A318,$M$4))</f>
        <v/>
      </c>
      <c r="D318" s="6" t="str">
        <f ca="1">IF($A318="","",[1]!s_dq_close(D$1,$A318,$M$4))</f>
        <v/>
      </c>
      <c r="E318" s="6" t="str">
        <f ca="1">IF($A318="","",[1]!s_dq_close(E$1,$A318,$M$4))</f>
        <v/>
      </c>
      <c r="F318" s="6" t="str">
        <f ca="1">IF($A318="","",[1]!s_dq_close(F$1,$A318,$M$4))</f>
        <v/>
      </c>
      <c r="G318" s="6"/>
      <c r="H318" s="6" t="str">
        <f ca="1">IF($A318="","",[1]!s_dq_close(H$1,$A318,$M$4))</f>
        <v/>
      </c>
      <c r="I318" s="6" t="str">
        <f ca="1">IF($A318="","",[1]!s_dq_close(I$1,$A318,$M$4))</f>
        <v/>
      </c>
      <c r="J318" s="6" t="str">
        <f t="shared" ca="1" si="5"/>
        <v/>
      </c>
    </row>
    <row r="319" spans="1:10">
      <c r="A319" s="2" t="str">
        <f ca="1">IF(A318="","",IF(IF(价差分析!$W$4="日",--[1]!td(A318-1),IF(价差分析!$W$4="周",--[1]!td(A318-7),--[1]!td(A318-30)))-价差分析!$T$4&gt;0,IF(价差分析!$W$4="日",--[1]!td(A318-1),IF(价差分析!$W$4="周",--[1]!td(A318-7),--[1]!td(A318-30))),""))</f>
        <v/>
      </c>
      <c r="B319" s="1" t="str">
        <f ca="1">IF(A319="","",[1]!s_dq_close($B$1,A319,$M$4))</f>
        <v/>
      </c>
      <c r="C319" s="1" t="str">
        <f ca="1">IF(A319="","",[1]!s_dq_close($C$1,A319,$M$4))</f>
        <v/>
      </c>
      <c r="D319" s="6" t="str">
        <f ca="1">IF($A319="","",[1]!s_dq_close(D$1,$A319,$M$4))</f>
        <v/>
      </c>
      <c r="E319" s="6" t="str">
        <f ca="1">IF($A319="","",[1]!s_dq_close(E$1,$A319,$M$4))</f>
        <v/>
      </c>
      <c r="F319" s="6" t="str">
        <f ca="1">IF($A319="","",[1]!s_dq_close(F$1,$A319,$M$4))</f>
        <v/>
      </c>
      <c r="G319" s="6"/>
      <c r="H319" s="6" t="str">
        <f ca="1">IF($A319="","",[1]!s_dq_close(H$1,$A319,$M$4))</f>
        <v/>
      </c>
      <c r="I319" s="6" t="str">
        <f ca="1">IF($A319="","",[1]!s_dq_close(I$1,$A319,$M$4))</f>
        <v/>
      </c>
      <c r="J319" s="6" t="str">
        <f t="shared" ca="1" si="5"/>
        <v/>
      </c>
    </row>
    <row r="320" spans="1:10">
      <c r="A320" s="2" t="str">
        <f ca="1">IF(A319="","",IF(IF(价差分析!$W$4="日",--[1]!td(A319-1),IF(价差分析!$W$4="周",--[1]!td(A319-7),--[1]!td(A319-30)))-价差分析!$T$4&gt;0,IF(价差分析!$W$4="日",--[1]!td(A319-1),IF(价差分析!$W$4="周",--[1]!td(A319-7),--[1]!td(A319-30))),""))</f>
        <v/>
      </c>
      <c r="B320" s="1" t="str">
        <f ca="1">IF(A320="","",[1]!s_dq_close($B$1,A320,$M$4))</f>
        <v/>
      </c>
      <c r="C320" s="1" t="str">
        <f ca="1">IF(A320="","",[1]!s_dq_close($C$1,A320,$M$4))</f>
        <v/>
      </c>
      <c r="D320" s="6" t="str">
        <f ca="1">IF($A320="","",[1]!s_dq_close(D$1,$A320,$M$4))</f>
        <v/>
      </c>
      <c r="E320" s="6" t="str">
        <f ca="1">IF($A320="","",[1]!s_dq_close(E$1,$A320,$M$4))</f>
        <v/>
      </c>
      <c r="F320" s="6" t="str">
        <f ca="1">IF($A320="","",[1]!s_dq_close(F$1,$A320,$M$4))</f>
        <v/>
      </c>
      <c r="G320" s="6"/>
      <c r="H320" s="6" t="str">
        <f ca="1">IF($A320="","",[1]!s_dq_close(H$1,$A320,$M$4))</f>
        <v/>
      </c>
      <c r="I320" s="6" t="str">
        <f ca="1">IF($A320="","",[1]!s_dq_close(I$1,$A320,$M$4))</f>
        <v/>
      </c>
      <c r="J320" s="6" t="str">
        <f t="shared" ca="1" si="5"/>
        <v/>
      </c>
    </row>
    <row r="321" spans="1:10">
      <c r="A321" s="2" t="str">
        <f ca="1">IF(A320="","",IF(IF(价差分析!$W$4="日",--[1]!td(A320-1),IF(价差分析!$W$4="周",--[1]!td(A320-7),--[1]!td(A320-30)))-价差分析!$T$4&gt;0,IF(价差分析!$W$4="日",--[1]!td(A320-1),IF(价差分析!$W$4="周",--[1]!td(A320-7),--[1]!td(A320-30))),""))</f>
        <v/>
      </c>
      <c r="B321" s="1" t="str">
        <f ca="1">IF(A321="","",[1]!s_dq_close($B$1,A321,$M$4))</f>
        <v/>
      </c>
      <c r="C321" s="1" t="str">
        <f ca="1">IF(A321="","",[1]!s_dq_close($C$1,A321,$M$4))</f>
        <v/>
      </c>
      <c r="D321" s="6" t="str">
        <f ca="1">IF($A321="","",[1]!s_dq_close(D$1,$A321,$M$4))</f>
        <v/>
      </c>
      <c r="E321" s="6" t="str">
        <f ca="1">IF($A321="","",[1]!s_dq_close(E$1,$A321,$M$4))</f>
        <v/>
      </c>
      <c r="F321" s="6" t="str">
        <f ca="1">IF($A321="","",[1]!s_dq_close(F$1,$A321,$M$4))</f>
        <v/>
      </c>
      <c r="G321" s="6"/>
      <c r="H321" s="6" t="str">
        <f ca="1">IF($A321="","",[1]!s_dq_close(H$1,$A321,$M$4))</f>
        <v/>
      </c>
      <c r="I321" s="6" t="str">
        <f ca="1">IF($A321="","",[1]!s_dq_close(I$1,$A321,$M$4))</f>
        <v/>
      </c>
      <c r="J321" s="6" t="str">
        <f t="shared" ca="1" si="5"/>
        <v/>
      </c>
    </row>
    <row r="322" spans="1:10">
      <c r="A322" s="2" t="str">
        <f ca="1">IF(A321="","",IF(IF(价差分析!$W$4="日",--[1]!td(A321-1),IF(价差分析!$W$4="周",--[1]!td(A321-7),--[1]!td(A321-30)))-价差分析!$T$4&gt;0,IF(价差分析!$W$4="日",--[1]!td(A321-1),IF(价差分析!$W$4="周",--[1]!td(A321-7),--[1]!td(A321-30))),""))</f>
        <v/>
      </c>
      <c r="B322" s="1" t="str">
        <f ca="1">IF(A322="","",[1]!s_dq_close($B$1,A322,$M$4))</f>
        <v/>
      </c>
      <c r="C322" s="1" t="str">
        <f ca="1">IF(A322="","",[1]!s_dq_close($C$1,A322,$M$4))</f>
        <v/>
      </c>
      <c r="D322" s="6" t="str">
        <f ca="1">IF($A322="","",[1]!s_dq_close(D$1,$A322,$M$4))</f>
        <v/>
      </c>
      <c r="E322" s="6" t="str">
        <f ca="1">IF($A322="","",[1]!s_dq_close(E$1,$A322,$M$4))</f>
        <v/>
      </c>
      <c r="F322" s="6" t="str">
        <f ca="1">IF($A322="","",[1]!s_dq_close(F$1,$A322,$M$4))</f>
        <v/>
      </c>
      <c r="G322" s="6"/>
      <c r="H322" s="6" t="str">
        <f ca="1">IF($A322="","",[1]!s_dq_close(H$1,$A322,$M$4))</f>
        <v/>
      </c>
      <c r="I322" s="6" t="str">
        <f ca="1">IF($A322="","",[1]!s_dq_close(I$1,$A322,$M$4))</f>
        <v/>
      </c>
      <c r="J322" s="6" t="str">
        <f t="shared" ca="1" si="5"/>
        <v/>
      </c>
    </row>
    <row r="323" spans="1:10">
      <c r="A323" s="2" t="str">
        <f ca="1">IF(A322="","",IF(IF(价差分析!$W$4="日",--[1]!td(A322-1),IF(价差分析!$W$4="周",--[1]!td(A322-7),--[1]!td(A322-30)))-价差分析!$T$4&gt;0,IF(价差分析!$W$4="日",--[1]!td(A322-1),IF(价差分析!$W$4="周",--[1]!td(A322-7),--[1]!td(A322-30))),""))</f>
        <v/>
      </c>
      <c r="B323" s="1" t="str">
        <f ca="1">IF(A323="","",[1]!s_dq_close($B$1,A323,$M$4))</f>
        <v/>
      </c>
      <c r="C323" s="1" t="str">
        <f ca="1">IF(A323="","",[1]!s_dq_close($C$1,A323,$M$4))</f>
        <v/>
      </c>
      <c r="D323" s="6" t="str">
        <f ca="1">IF($A323="","",[1]!s_dq_close(D$1,$A323,$M$4))</f>
        <v/>
      </c>
      <c r="E323" s="6" t="str">
        <f ca="1">IF($A323="","",[1]!s_dq_close(E$1,$A323,$M$4))</f>
        <v/>
      </c>
      <c r="F323" s="6" t="str">
        <f ca="1">IF($A323="","",[1]!s_dq_close(F$1,$A323,$M$4))</f>
        <v/>
      </c>
      <c r="G323" s="6"/>
      <c r="H323" s="6" t="str">
        <f ca="1">IF($A323="","",[1]!s_dq_close(H$1,$A323,$M$4))</f>
        <v/>
      </c>
      <c r="I323" s="6" t="str">
        <f ca="1">IF($A323="","",[1]!s_dq_close(I$1,$A323,$M$4))</f>
        <v/>
      </c>
      <c r="J323" s="6" t="str">
        <f t="shared" ca="1" si="5"/>
        <v/>
      </c>
    </row>
    <row r="324" spans="1:10">
      <c r="A324" s="2" t="str">
        <f ca="1">IF(A323="","",IF(IF(价差分析!$W$4="日",--[1]!td(A323-1),IF(价差分析!$W$4="周",--[1]!td(A323-7),--[1]!td(A323-30)))-价差分析!$T$4&gt;0,IF(价差分析!$W$4="日",--[1]!td(A323-1),IF(价差分析!$W$4="周",--[1]!td(A323-7),--[1]!td(A323-30))),""))</f>
        <v/>
      </c>
      <c r="B324" s="1" t="str">
        <f ca="1">IF(A324="","",[1]!s_dq_close($B$1,A324,$M$4))</f>
        <v/>
      </c>
      <c r="C324" s="1" t="str">
        <f ca="1">IF(A324="","",[1]!s_dq_close($C$1,A324,$M$4))</f>
        <v/>
      </c>
      <c r="D324" s="6" t="str">
        <f ca="1">IF($A324="","",[1]!s_dq_close(D$1,$A324,$M$4))</f>
        <v/>
      </c>
      <c r="E324" s="6" t="str">
        <f ca="1">IF($A324="","",[1]!s_dq_close(E$1,$A324,$M$4))</f>
        <v/>
      </c>
      <c r="F324" s="6" t="str">
        <f ca="1">IF($A324="","",[1]!s_dq_close(F$1,$A324,$M$4))</f>
        <v/>
      </c>
      <c r="G324" s="6"/>
      <c r="H324" s="6" t="str">
        <f ca="1">IF($A324="","",[1]!s_dq_close(H$1,$A324,$M$4))</f>
        <v/>
      </c>
      <c r="I324" s="6" t="str">
        <f ca="1">IF($A324="","",[1]!s_dq_close(I$1,$A324,$M$4))</f>
        <v/>
      </c>
      <c r="J324" s="6" t="str">
        <f t="shared" ca="1" si="5"/>
        <v/>
      </c>
    </row>
    <row r="325" spans="1:10">
      <c r="A325" s="2" t="str">
        <f ca="1">IF(A324="","",IF(IF(价差分析!$W$4="日",--[1]!td(A324-1),IF(价差分析!$W$4="周",--[1]!td(A324-7),--[1]!td(A324-30)))-价差分析!$T$4&gt;0,IF(价差分析!$W$4="日",--[1]!td(A324-1),IF(价差分析!$W$4="周",--[1]!td(A324-7),--[1]!td(A324-30))),""))</f>
        <v/>
      </c>
      <c r="B325" s="1" t="str">
        <f ca="1">IF(A325="","",[1]!s_dq_close($B$1,A325,$M$4))</f>
        <v/>
      </c>
      <c r="C325" s="1" t="str">
        <f ca="1">IF(A325="","",[1]!s_dq_close($C$1,A325,$M$4))</f>
        <v/>
      </c>
      <c r="D325" s="6" t="str">
        <f ca="1">IF($A325="","",[1]!s_dq_close(D$1,$A325,$M$4))</f>
        <v/>
      </c>
      <c r="E325" s="6" t="str">
        <f ca="1">IF($A325="","",[1]!s_dq_close(E$1,$A325,$M$4))</f>
        <v/>
      </c>
      <c r="F325" s="6" t="str">
        <f ca="1">IF($A325="","",[1]!s_dq_close(F$1,$A325,$M$4))</f>
        <v/>
      </c>
      <c r="G325" s="6"/>
      <c r="H325" s="6" t="str">
        <f ca="1">IF($A325="","",[1]!s_dq_close(H$1,$A325,$M$4))</f>
        <v/>
      </c>
      <c r="I325" s="6" t="str">
        <f ca="1">IF($A325="","",[1]!s_dq_close(I$1,$A325,$M$4))</f>
        <v/>
      </c>
      <c r="J325" s="6" t="str">
        <f t="shared" ref="J325:J388" ca="1" si="6">IF(H325="","",H325-I325)</f>
        <v/>
      </c>
    </row>
    <row r="326" spans="1:10">
      <c r="A326" s="2" t="str">
        <f ca="1">IF(A325="","",IF(IF(价差分析!$W$4="日",--[1]!td(A325-1),IF(价差分析!$W$4="周",--[1]!td(A325-7),--[1]!td(A325-30)))-价差分析!$T$4&gt;0,IF(价差分析!$W$4="日",--[1]!td(A325-1),IF(价差分析!$W$4="周",--[1]!td(A325-7),--[1]!td(A325-30))),""))</f>
        <v/>
      </c>
      <c r="B326" s="1" t="str">
        <f ca="1">IF(A326="","",[1]!s_dq_close($B$1,A326,$M$4))</f>
        <v/>
      </c>
      <c r="C326" s="1" t="str">
        <f ca="1">IF(A326="","",[1]!s_dq_close($C$1,A326,$M$4))</f>
        <v/>
      </c>
      <c r="D326" s="6" t="str">
        <f ca="1">IF($A326="","",[1]!s_dq_close(D$1,$A326,$M$4))</f>
        <v/>
      </c>
      <c r="E326" s="6" t="str">
        <f ca="1">IF($A326="","",[1]!s_dq_close(E$1,$A326,$M$4))</f>
        <v/>
      </c>
      <c r="F326" s="6" t="str">
        <f ca="1">IF($A326="","",[1]!s_dq_close(F$1,$A326,$M$4))</f>
        <v/>
      </c>
      <c r="G326" s="6"/>
      <c r="H326" s="6" t="str">
        <f ca="1">IF($A326="","",[1]!s_dq_close(H$1,$A326,$M$4))</f>
        <v/>
      </c>
      <c r="I326" s="6" t="str">
        <f ca="1">IF($A326="","",[1]!s_dq_close(I$1,$A326,$M$4))</f>
        <v/>
      </c>
      <c r="J326" s="6" t="str">
        <f t="shared" ca="1" si="6"/>
        <v/>
      </c>
    </row>
    <row r="327" spans="1:10">
      <c r="A327" s="2" t="str">
        <f ca="1">IF(A326="","",IF(IF(价差分析!$W$4="日",--[1]!td(A326-1),IF(价差分析!$W$4="周",--[1]!td(A326-7),--[1]!td(A326-30)))-价差分析!$T$4&gt;0,IF(价差分析!$W$4="日",--[1]!td(A326-1),IF(价差分析!$W$4="周",--[1]!td(A326-7),--[1]!td(A326-30))),""))</f>
        <v/>
      </c>
      <c r="B327" s="1" t="str">
        <f ca="1">IF(A327="","",[1]!s_dq_close($B$1,A327,$M$4))</f>
        <v/>
      </c>
      <c r="C327" s="1" t="str">
        <f ca="1">IF(A327="","",[1]!s_dq_close($C$1,A327,$M$4))</f>
        <v/>
      </c>
      <c r="D327" s="6" t="str">
        <f ca="1">IF($A327="","",[1]!s_dq_close(D$1,$A327,$M$4))</f>
        <v/>
      </c>
      <c r="E327" s="6" t="str">
        <f ca="1">IF($A327="","",[1]!s_dq_close(E$1,$A327,$M$4))</f>
        <v/>
      </c>
      <c r="F327" s="6" t="str">
        <f ca="1">IF($A327="","",[1]!s_dq_close(F$1,$A327,$M$4))</f>
        <v/>
      </c>
      <c r="G327" s="6"/>
      <c r="H327" s="6" t="str">
        <f ca="1">IF($A327="","",[1]!s_dq_close(H$1,$A327,$M$4))</f>
        <v/>
      </c>
      <c r="I327" s="6" t="str">
        <f ca="1">IF($A327="","",[1]!s_dq_close(I$1,$A327,$M$4))</f>
        <v/>
      </c>
      <c r="J327" s="6" t="str">
        <f t="shared" ca="1" si="6"/>
        <v/>
      </c>
    </row>
    <row r="328" spans="1:10">
      <c r="A328" s="2" t="str">
        <f ca="1">IF(A327="","",IF(IF(价差分析!$W$4="日",--[1]!td(A327-1),IF(价差分析!$W$4="周",--[1]!td(A327-7),--[1]!td(A327-30)))-价差分析!$T$4&gt;0,IF(价差分析!$W$4="日",--[1]!td(A327-1),IF(价差分析!$W$4="周",--[1]!td(A327-7),--[1]!td(A327-30))),""))</f>
        <v/>
      </c>
      <c r="B328" s="1" t="str">
        <f ca="1">IF(A328="","",[1]!s_dq_close($B$1,A328,$M$4))</f>
        <v/>
      </c>
      <c r="C328" s="1" t="str">
        <f ca="1">IF(A328="","",[1]!s_dq_close($C$1,A328,$M$4))</f>
        <v/>
      </c>
      <c r="D328" s="6" t="str">
        <f ca="1">IF($A328="","",[1]!s_dq_close(D$1,$A328,$M$4))</f>
        <v/>
      </c>
      <c r="E328" s="6" t="str">
        <f ca="1">IF($A328="","",[1]!s_dq_close(E$1,$A328,$M$4))</f>
        <v/>
      </c>
      <c r="F328" s="6" t="str">
        <f ca="1">IF($A328="","",[1]!s_dq_close(F$1,$A328,$M$4))</f>
        <v/>
      </c>
      <c r="G328" s="6"/>
      <c r="H328" s="6" t="str">
        <f ca="1">IF($A328="","",[1]!s_dq_close(H$1,$A328,$M$4))</f>
        <v/>
      </c>
      <c r="I328" s="6" t="str">
        <f ca="1">IF($A328="","",[1]!s_dq_close(I$1,$A328,$M$4))</f>
        <v/>
      </c>
      <c r="J328" s="6" t="str">
        <f t="shared" ca="1" si="6"/>
        <v/>
      </c>
    </row>
    <row r="329" spans="1:10">
      <c r="A329" s="2" t="str">
        <f ca="1">IF(A328="","",IF(IF(价差分析!$W$4="日",--[1]!td(A328-1),IF(价差分析!$W$4="周",--[1]!td(A328-7),--[1]!td(A328-30)))-价差分析!$T$4&gt;0,IF(价差分析!$W$4="日",--[1]!td(A328-1),IF(价差分析!$W$4="周",--[1]!td(A328-7),--[1]!td(A328-30))),""))</f>
        <v/>
      </c>
      <c r="B329" s="1" t="str">
        <f ca="1">IF(A329="","",[1]!s_dq_close($B$1,A329,$M$4))</f>
        <v/>
      </c>
      <c r="C329" s="1" t="str">
        <f ca="1">IF(A329="","",[1]!s_dq_close($C$1,A329,$M$4))</f>
        <v/>
      </c>
      <c r="D329" s="6" t="str">
        <f ca="1">IF($A329="","",[1]!s_dq_close(D$1,$A329,$M$4))</f>
        <v/>
      </c>
      <c r="E329" s="6" t="str">
        <f ca="1">IF($A329="","",[1]!s_dq_close(E$1,$A329,$M$4))</f>
        <v/>
      </c>
      <c r="F329" s="6" t="str">
        <f ca="1">IF($A329="","",[1]!s_dq_close(F$1,$A329,$M$4))</f>
        <v/>
      </c>
      <c r="G329" s="6"/>
      <c r="H329" s="6" t="str">
        <f ca="1">IF($A329="","",[1]!s_dq_close(H$1,$A329,$M$4))</f>
        <v/>
      </c>
      <c r="I329" s="6" t="str">
        <f ca="1">IF($A329="","",[1]!s_dq_close(I$1,$A329,$M$4))</f>
        <v/>
      </c>
      <c r="J329" s="6" t="str">
        <f t="shared" ca="1" si="6"/>
        <v/>
      </c>
    </row>
    <row r="330" spans="1:10">
      <c r="A330" s="2" t="str">
        <f ca="1">IF(A329="","",IF(IF(价差分析!$W$4="日",--[1]!td(A329-1),IF(价差分析!$W$4="周",--[1]!td(A329-7),--[1]!td(A329-30)))-价差分析!$T$4&gt;0,IF(价差分析!$W$4="日",--[1]!td(A329-1),IF(价差分析!$W$4="周",--[1]!td(A329-7),--[1]!td(A329-30))),""))</f>
        <v/>
      </c>
      <c r="B330" s="1" t="str">
        <f ca="1">IF(A330="","",[1]!s_dq_close($B$1,A330,$M$4))</f>
        <v/>
      </c>
      <c r="C330" s="1" t="str">
        <f ca="1">IF(A330="","",[1]!s_dq_close($C$1,A330,$M$4))</f>
        <v/>
      </c>
      <c r="D330" s="6" t="str">
        <f ca="1">IF($A330="","",[1]!s_dq_close(D$1,$A330,$M$4))</f>
        <v/>
      </c>
      <c r="E330" s="6" t="str">
        <f ca="1">IF($A330="","",[1]!s_dq_close(E$1,$A330,$M$4))</f>
        <v/>
      </c>
      <c r="F330" s="6" t="str">
        <f ca="1">IF($A330="","",[1]!s_dq_close(F$1,$A330,$M$4))</f>
        <v/>
      </c>
      <c r="G330" s="6"/>
      <c r="H330" s="6" t="str">
        <f ca="1">IF($A330="","",[1]!s_dq_close(H$1,$A330,$M$4))</f>
        <v/>
      </c>
      <c r="I330" s="6" t="str">
        <f ca="1">IF($A330="","",[1]!s_dq_close(I$1,$A330,$M$4))</f>
        <v/>
      </c>
      <c r="J330" s="6" t="str">
        <f t="shared" ca="1" si="6"/>
        <v/>
      </c>
    </row>
    <row r="331" spans="1:10">
      <c r="A331" s="2" t="str">
        <f ca="1">IF(A330="","",IF(IF(价差分析!$W$4="日",--[1]!td(A330-1),IF(价差分析!$W$4="周",--[1]!td(A330-7),--[1]!td(A330-30)))-价差分析!$T$4&gt;0,IF(价差分析!$W$4="日",--[1]!td(A330-1),IF(价差分析!$W$4="周",--[1]!td(A330-7),--[1]!td(A330-30))),""))</f>
        <v/>
      </c>
      <c r="B331" s="1" t="str">
        <f ca="1">IF(A331="","",[1]!s_dq_close($B$1,A331,$M$4))</f>
        <v/>
      </c>
      <c r="C331" s="1" t="str">
        <f ca="1">IF(A331="","",[1]!s_dq_close($C$1,A331,$M$4))</f>
        <v/>
      </c>
      <c r="D331" s="6" t="str">
        <f ca="1">IF($A331="","",[1]!s_dq_close(D$1,$A331,$M$4))</f>
        <v/>
      </c>
      <c r="E331" s="6" t="str">
        <f ca="1">IF($A331="","",[1]!s_dq_close(E$1,$A331,$M$4))</f>
        <v/>
      </c>
      <c r="F331" s="6" t="str">
        <f ca="1">IF($A331="","",[1]!s_dq_close(F$1,$A331,$M$4))</f>
        <v/>
      </c>
      <c r="G331" s="6"/>
      <c r="H331" s="6" t="str">
        <f ca="1">IF($A331="","",[1]!s_dq_close(H$1,$A331,$M$4))</f>
        <v/>
      </c>
      <c r="I331" s="6" t="str">
        <f ca="1">IF($A331="","",[1]!s_dq_close(I$1,$A331,$M$4))</f>
        <v/>
      </c>
      <c r="J331" s="6" t="str">
        <f t="shared" ca="1" si="6"/>
        <v/>
      </c>
    </row>
    <row r="332" spans="1:10">
      <c r="A332" s="2" t="str">
        <f ca="1">IF(A331="","",IF(IF(价差分析!$W$4="日",--[1]!td(A331-1),IF(价差分析!$W$4="周",--[1]!td(A331-7),--[1]!td(A331-30)))-价差分析!$T$4&gt;0,IF(价差分析!$W$4="日",--[1]!td(A331-1),IF(价差分析!$W$4="周",--[1]!td(A331-7),--[1]!td(A331-30))),""))</f>
        <v/>
      </c>
      <c r="B332" s="1" t="str">
        <f ca="1">IF(A332="","",[1]!s_dq_close($B$1,A332,$M$4))</f>
        <v/>
      </c>
      <c r="C332" s="1" t="str">
        <f ca="1">IF(A332="","",[1]!s_dq_close($C$1,A332,$M$4))</f>
        <v/>
      </c>
      <c r="D332" s="6" t="str">
        <f ca="1">IF($A332="","",[1]!s_dq_close(D$1,$A332,$M$4))</f>
        <v/>
      </c>
      <c r="E332" s="6" t="str">
        <f ca="1">IF($A332="","",[1]!s_dq_close(E$1,$A332,$M$4))</f>
        <v/>
      </c>
      <c r="F332" s="6" t="str">
        <f ca="1">IF($A332="","",[1]!s_dq_close(F$1,$A332,$M$4))</f>
        <v/>
      </c>
      <c r="G332" s="6"/>
      <c r="H332" s="6" t="str">
        <f ca="1">IF($A332="","",[1]!s_dq_close(H$1,$A332,$M$4))</f>
        <v/>
      </c>
      <c r="I332" s="6" t="str">
        <f ca="1">IF($A332="","",[1]!s_dq_close(I$1,$A332,$M$4))</f>
        <v/>
      </c>
      <c r="J332" s="6" t="str">
        <f t="shared" ca="1" si="6"/>
        <v/>
      </c>
    </row>
    <row r="333" spans="1:10">
      <c r="A333" s="2" t="str">
        <f ca="1">IF(A332="","",IF(IF(价差分析!$W$4="日",--[1]!td(A332-1),IF(价差分析!$W$4="周",--[1]!td(A332-7),--[1]!td(A332-30)))-价差分析!$T$4&gt;0,IF(价差分析!$W$4="日",--[1]!td(A332-1),IF(价差分析!$W$4="周",--[1]!td(A332-7),--[1]!td(A332-30))),""))</f>
        <v/>
      </c>
      <c r="B333" s="1" t="str">
        <f ca="1">IF(A333="","",[1]!s_dq_close($B$1,A333,$M$4))</f>
        <v/>
      </c>
      <c r="C333" s="1" t="str">
        <f ca="1">IF(A333="","",[1]!s_dq_close($C$1,A333,$M$4))</f>
        <v/>
      </c>
      <c r="D333" s="6" t="str">
        <f ca="1">IF($A333="","",[1]!s_dq_close(D$1,$A333,$M$4))</f>
        <v/>
      </c>
      <c r="E333" s="6" t="str">
        <f ca="1">IF($A333="","",[1]!s_dq_close(E$1,$A333,$M$4))</f>
        <v/>
      </c>
      <c r="F333" s="6" t="str">
        <f ca="1">IF($A333="","",[1]!s_dq_close(F$1,$A333,$M$4))</f>
        <v/>
      </c>
      <c r="G333" s="6"/>
      <c r="H333" s="6" t="str">
        <f ca="1">IF($A333="","",[1]!s_dq_close(H$1,$A333,$M$4))</f>
        <v/>
      </c>
      <c r="I333" s="6" t="str">
        <f ca="1">IF($A333="","",[1]!s_dq_close(I$1,$A333,$M$4))</f>
        <v/>
      </c>
      <c r="J333" s="6" t="str">
        <f t="shared" ca="1" si="6"/>
        <v/>
      </c>
    </row>
    <row r="334" spans="1:10">
      <c r="A334" s="2" t="str">
        <f ca="1">IF(A333="","",IF(IF(价差分析!$W$4="日",--[1]!td(A333-1),IF(价差分析!$W$4="周",--[1]!td(A333-7),--[1]!td(A333-30)))-价差分析!$T$4&gt;0,IF(价差分析!$W$4="日",--[1]!td(A333-1),IF(价差分析!$W$4="周",--[1]!td(A333-7),--[1]!td(A333-30))),""))</f>
        <v/>
      </c>
      <c r="B334" s="1" t="str">
        <f ca="1">IF(A334="","",[1]!s_dq_close($B$1,A334,$M$4))</f>
        <v/>
      </c>
      <c r="C334" s="1" t="str">
        <f ca="1">IF(A334="","",[1]!s_dq_close($C$1,A334,$M$4))</f>
        <v/>
      </c>
      <c r="D334" s="6" t="str">
        <f ca="1">IF($A334="","",[1]!s_dq_close(D$1,$A334,$M$4))</f>
        <v/>
      </c>
      <c r="E334" s="6" t="str">
        <f ca="1">IF($A334="","",[1]!s_dq_close(E$1,$A334,$M$4))</f>
        <v/>
      </c>
      <c r="F334" s="6" t="str">
        <f ca="1">IF($A334="","",[1]!s_dq_close(F$1,$A334,$M$4))</f>
        <v/>
      </c>
      <c r="G334" s="6"/>
      <c r="H334" s="6" t="str">
        <f ca="1">IF($A334="","",[1]!s_dq_close(H$1,$A334,$M$4))</f>
        <v/>
      </c>
      <c r="I334" s="6" t="str">
        <f ca="1">IF($A334="","",[1]!s_dq_close(I$1,$A334,$M$4))</f>
        <v/>
      </c>
      <c r="J334" s="6" t="str">
        <f t="shared" ca="1" si="6"/>
        <v/>
      </c>
    </row>
    <row r="335" spans="1:10">
      <c r="A335" s="2" t="str">
        <f ca="1">IF(A334="","",IF(IF(价差分析!$W$4="日",--[1]!td(A334-1),IF(价差分析!$W$4="周",--[1]!td(A334-7),--[1]!td(A334-30)))-价差分析!$T$4&gt;0,IF(价差分析!$W$4="日",--[1]!td(A334-1),IF(价差分析!$W$4="周",--[1]!td(A334-7),--[1]!td(A334-30))),""))</f>
        <v/>
      </c>
      <c r="B335" s="1" t="str">
        <f ca="1">IF(A335="","",[1]!s_dq_close($B$1,A335,$M$4))</f>
        <v/>
      </c>
      <c r="C335" s="1" t="str">
        <f ca="1">IF(A335="","",[1]!s_dq_close($C$1,A335,$M$4))</f>
        <v/>
      </c>
      <c r="D335" s="6" t="str">
        <f ca="1">IF($A335="","",[1]!s_dq_close(D$1,$A335,$M$4))</f>
        <v/>
      </c>
      <c r="E335" s="6" t="str">
        <f ca="1">IF($A335="","",[1]!s_dq_close(E$1,$A335,$M$4))</f>
        <v/>
      </c>
      <c r="F335" s="6" t="str">
        <f ca="1">IF($A335="","",[1]!s_dq_close(F$1,$A335,$M$4))</f>
        <v/>
      </c>
      <c r="G335" s="6"/>
      <c r="H335" s="6" t="str">
        <f ca="1">IF($A335="","",[1]!s_dq_close(H$1,$A335,$M$4))</f>
        <v/>
      </c>
      <c r="I335" s="6" t="str">
        <f ca="1">IF($A335="","",[1]!s_dq_close(I$1,$A335,$M$4))</f>
        <v/>
      </c>
      <c r="J335" s="6" t="str">
        <f t="shared" ca="1" si="6"/>
        <v/>
      </c>
    </row>
    <row r="336" spans="1:10">
      <c r="A336" s="2" t="str">
        <f ca="1">IF(A335="","",IF(IF(价差分析!$W$4="日",--[1]!td(A335-1),IF(价差分析!$W$4="周",--[1]!td(A335-7),--[1]!td(A335-30)))-价差分析!$T$4&gt;0,IF(价差分析!$W$4="日",--[1]!td(A335-1),IF(价差分析!$W$4="周",--[1]!td(A335-7),--[1]!td(A335-30))),""))</f>
        <v/>
      </c>
      <c r="B336" s="1" t="str">
        <f ca="1">IF(A336="","",[1]!s_dq_close($B$1,A336,$M$4))</f>
        <v/>
      </c>
      <c r="C336" s="1" t="str">
        <f ca="1">IF(A336="","",[1]!s_dq_close($C$1,A336,$M$4))</f>
        <v/>
      </c>
      <c r="D336" s="6" t="str">
        <f ca="1">IF($A336="","",[1]!s_dq_close(D$1,$A336,$M$4))</f>
        <v/>
      </c>
      <c r="E336" s="6" t="str">
        <f ca="1">IF($A336="","",[1]!s_dq_close(E$1,$A336,$M$4))</f>
        <v/>
      </c>
      <c r="F336" s="6" t="str">
        <f ca="1">IF($A336="","",[1]!s_dq_close(F$1,$A336,$M$4))</f>
        <v/>
      </c>
      <c r="G336" s="6"/>
      <c r="H336" s="6" t="str">
        <f ca="1">IF($A336="","",[1]!s_dq_close(H$1,$A336,$M$4))</f>
        <v/>
      </c>
      <c r="I336" s="6" t="str">
        <f ca="1">IF($A336="","",[1]!s_dq_close(I$1,$A336,$M$4))</f>
        <v/>
      </c>
      <c r="J336" s="6" t="str">
        <f t="shared" ca="1" si="6"/>
        <v/>
      </c>
    </row>
    <row r="337" spans="1:10">
      <c r="A337" s="2" t="str">
        <f ca="1">IF(A336="","",IF(IF(价差分析!$W$4="日",--[1]!td(A336-1),IF(价差分析!$W$4="周",--[1]!td(A336-7),--[1]!td(A336-30)))-价差分析!$T$4&gt;0,IF(价差分析!$W$4="日",--[1]!td(A336-1),IF(价差分析!$W$4="周",--[1]!td(A336-7),--[1]!td(A336-30))),""))</f>
        <v/>
      </c>
      <c r="B337" s="1" t="str">
        <f ca="1">IF(A337="","",[1]!s_dq_close($B$1,A337,$M$4))</f>
        <v/>
      </c>
      <c r="C337" s="1" t="str">
        <f ca="1">IF(A337="","",[1]!s_dq_close($C$1,A337,$M$4))</f>
        <v/>
      </c>
      <c r="D337" s="6" t="str">
        <f ca="1">IF($A337="","",[1]!s_dq_close(D$1,$A337,$M$4))</f>
        <v/>
      </c>
      <c r="E337" s="6" t="str">
        <f ca="1">IF($A337="","",[1]!s_dq_close(E$1,$A337,$M$4))</f>
        <v/>
      </c>
      <c r="F337" s="6" t="str">
        <f ca="1">IF($A337="","",[1]!s_dq_close(F$1,$A337,$M$4))</f>
        <v/>
      </c>
      <c r="G337" s="6"/>
      <c r="H337" s="6" t="str">
        <f ca="1">IF($A337="","",[1]!s_dq_close(H$1,$A337,$M$4))</f>
        <v/>
      </c>
      <c r="I337" s="6" t="str">
        <f ca="1">IF($A337="","",[1]!s_dq_close(I$1,$A337,$M$4))</f>
        <v/>
      </c>
      <c r="J337" s="6" t="str">
        <f t="shared" ca="1" si="6"/>
        <v/>
      </c>
    </row>
    <row r="338" spans="1:10">
      <c r="A338" s="2" t="str">
        <f ca="1">IF(A337="","",IF(IF(价差分析!$W$4="日",--[1]!td(A337-1),IF(价差分析!$W$4="周",--[1]!td(A337-7),--[1]!td(A337-30)))-价差分析!$T$4&gt;0,IF(价差分析!$W$4="日",--[1]!td(A337-1),IF(价差分析!$W$4="周",--[1]!td(A337-7),--[1]!td(A337-30))),""))</f>
        <v/>
      </c>
      <c r="B338" s="1" t="str">
        <f ca="1">IF(A338="","",[1]!s_dq_close($B$1,A338,$M$4))</f>
        <v/>
      </c>
      <c r="C338" s="1" t="str">
        <f ca="1">IF(A338="","",[1]!s_dq_close($C$1,A338,$M$4))</f>
        <v/>
      </c>
      <c r="D338" s="6" t="str">
        <f ca="1">IF($A338="","",[1]!s_dq_close(D$1,$A338,$M$4))</f>
        <v/>
      </c>
      <c r="E338" s="6" t="str">
        <f ca="1">IF($A338="","",[1]!s_dq_close(E$1,$A338,$M$4))</f>
        <v/>
      </c>
      <c r="F338" s="6" t="str">
        <f ca="1">IF($A338="","",[1]!s_dq_close(F$1,$A338,$M$4))</f>
        <v/>
      </c>
      <c r="G338" s="6"/>
      <c r="H338" s="6" t="str">
        <f ca="1">IF($A338="","",[1]!s_dq_close(H$1,$A338,$M$4))</f>
        <v/>
      </c>
      <c r="I338" s="6" t="str">
        <f ca="1">IF($A338="","",[1]!s_dq_close(I$1,$A338,$M$4))</f>
        <v/>
      </c>
      <c r="J338" s="6" t="str">
        <f t="shared" ca="1" si="6"/>
        <v/>
      </c>
    </row>
    <row r="339" spans="1:10">
      <c r="A339" s="2" t="str">
        <f ca="1">IF(A338="","",IF(IF(价差分析!$W$4="日",--[1]!td(A338-1),IF(价差分析!$W$4="周",--[1]!td(A338-7),--[1]!td(A338-30)))-价差分析!$T$4&gt;0,IF(价差分析!$W$4="日",--[1]!td(A338-1),IF(价差分析!$W$4="周",--[1]!td(A338-7),--[1]!td(A338-30))),""))</f>
        <v/>
      </c>
      <c r="B339" s="1" t="str">
        <f ca="1">IF(A339="","",[1]!s_dq_close($B$1,A339,$M$4))</f>
        <v/>
      </c>
      <c r="C339" s="1" t="str">
        <f ca="1">IF(A339="","",[1]!s_dq_close($C$1,A339,$M$4))</f>
        <v/>
      </c>
      <c r="D339" s="6" t="str">
        <f ca="1">IF($A339="","",[1]!s_dq_close(D$1,$A339,$M$4))</f>
        <v/>
      </c>
      <c r="E339" s="6" t="str">
        <f ca="1">IF($A339="","",[1]!s_dq_close(E$1,$A339,$M$4))</f>
        <v/>
      </c>
      <c r="F339" s="6" t="str">
        <f ca="1">IF($A339="","",[1]!s_dq_close(F$1,$A339,$M$4))</f>
        <v/>
      </c>
      <c r="G339" s="6"/>
      <c r="H339" s="6" t="str">
        <f ca="1">IF($A339="","",[1]!s_dq_close(H$1,$A339,$M$4))</f>
        <v/>
      </c>
      <c r="I339" s="6" t="str">
        <f ca="1">IF($A339="","",[1]!s_dq_close(I$1,$A339,$M$4))</f>
        <v/>
      </c>
      <c r="J339" s="6" t="str">
        <f t="shared" ca="1" si="6"/>
        <v/>
      </c>
    </row>
    <row r="340" spans="1:10">
      <c r="A340" s="2" t="str">
        <f ca="1">IF(A339="","",IF(IF(价差分析!$W$4="日",--[1]!td(A339-1),IF(价差分析!$W$4="周",--[1]!td(A339-7),--[1]!td(A339-30)))-价差分析!$T$4&gt;0,IF(价差分析!$W$4="日",--[1]!td(A339-1),IF(价差分析!$W$4="周",--[1]!td(A339-7),--[1]!td(A339-30))),""))</f>
        <v/>
      </c>
      <c r="B340" s="1" t="str">
        <f ca="1">IF(A340="","",[1]!s_dq_close($B$1,A340,$M$4))</f>
        <v/>
      </c>
      <c r="C340" s="1" t="str">
        <f ca="1">IF(A340="","",[1]!s_dq_close($C$1,A340,$M$4))</f>
        <v/>
      </c>
      <c r="D340" s="6" t="str">
        <f ca="1">IF($A340="","",[1]!s_dq_close(D$1,$A340,$M$4))</f>
        <v/>
      </c>
      <c r="E340" s="6" t="str">
        <f ca="1">IF($A340="","",[1]!s_dq_close(E$1,$A340,$M$4))</f>
        <v/>
      </c>
      <c r="F340" s="6" t="str">
        <f ca="1">IF($A340="","",[1]!s_dq_close(F$1,$A340,$M$4))</f>
        <v/>
      </c>
      <c r="G340" s="6"/>
      <c r="H340" s="6" t="str">
        <f ca="1">IF($A340="","",[1]!s_dq_close(H$1,$A340,$M$4))</f>
        <v/>
      </c>
      <c r="I340" s="6" t="str">
        <f ca="1">IF($A340="","",[1]!s_dq_close(I$1,$A340,$M$4))</f>
        <v/>
      </c>
      <c r="J340" s="6" t="str">
        <f t="shared" ca="1" si="6"/>
        <v/>
      </c>
    </row>
    <row r="341" spans="1:10">
      <c r="A341" s="2" t="str">
        <f ca="1">IF(A340="","",IF(IF(价差分析!$W$4="日",--[1]!td(A340-1),IF(价差分析!$W$4="周",--[1]!td(A340-7),--[1]!td(A340-30)))-价差分析!$T$4&gt;0,IF(价差分析!$W$4="日",--[1]!td(A340-1),IF(价差分析!$W$4="周",--[1]!td(A340-7),--[1]!td(A340-30))),""))</f>
        <v/>
      </c>
      <c r="B341" s="1" t="str">
        <f ca="1">IF(A341="","",[1]!s_dq_close($B$1,A341,$M$4))</f>
        <v/>
      </c>
      <c r="C341" s="1" t="str">
        <f ca="1">IF(A341="","",[1]!s_dq_close($C$1,A341,$M$4))</f>
        <v/>
      </c>
      <c r="D341" s="6" t="str">
        <f ca="1">IF($A341="","",[1]!s_dq_close(D$1,$A341,$M$4))</f>
        <v/>
      </c>
      <c r="E341" s="6" t="str">
        <f ca="1">IF($A341="","",[1]!s_dq_close(E$1,$A341,$M$4))</f>
        <v/>
      </c>
      <c r="F341" s="6" t="str">
        <f ca="1">IF($A341="","",[1]!s_dq_close(F$1,$A341,$M$4))</f>
        <v/>
      </c>
      <c r="G341" s="6"/>
      <c r="H341" s="6" t="str">
        <f ca="1">IF($A341="","",[1]!s_dq_close(H$1,$A341,$M$4))</f>
        <v/>
      </c>
      <c r="I341" s="6" t="str">
        <f ca="1">IF($A341="","",[1]!s_dq_close(I$1,$A341,$M$4))</f>
        <v/>
      </c>
      <c r="J341" s="6" t="str">
        <f t="shared" ca="1" si="6"/>
        <v/>
      </c>
    </row>
    <row r="342" spans="1:10">
      <c r="A342" s="2" t="str">
        <f ca="1">IF(A341="","",IF(IF(价差分析!$W$4="日",--[1]!td(A341-1),IF(价差分析!$W$4="周",--[1]!td(A341-7),--[1]!td(A341-30)))-价差分析!$T$4&gt;0,IF(价差分析!$W$4="日",--[1]!td(A341-1),IF(价差分析!$W$4="周",--[1]!td(A341-7),--[1]!td(A341-30))),""))</f>
        <v/>
      </c>
      <c r="B342" s="1" t="str">
        <f ca="1">IF(A342="","",[1]!s_dq_close($B$1,A342,$M$4))</f>
        <v/>
      </c>
      <c r="C342" s="1" t="str">
        <f ca="1">IF(A342="","",[1]!s_dq_close($C$1,A342,$M$4))</f>
        <v/>
      </c>
      <c r="D342" s="6" t="str">
        <f ca="1">IF($A342="","",[1]!s_dq_close(D$1,$A342,$M$4))</f>
        <v/>
      </c>
      <c r="E342" s="6" t="str">
        <f ca="1">IF($A342="","",[1]!s_dq_close(E$1,$A342,$M$4))</f>
        <v/>
      </c>
      <c r="F342" s="6" t="str">
        <f ca="1">IF($A342="","",[1]!s_dq_close(F$1,$A342,$M$4))</f>
        <v/>
      </c>
      <c r="G342" s="6"/>
      <c r="H342" s="6" t="str">
        <f ca="1">IF($A342="","",[1]!s_dq_close(H$1,$A342,$M$4))</f>
        <v/>
      </c>
      <c r="I342" s="6" t="str">
        <f ca="1">IF($A342="","",[1]!s_dq_close(I$1,$A342,$M$4))</f>
        <v/>
      </c>
      <c r="J342" s="6" t="str">
        <f t="shared" ca="1" si="6"/>
        <v/>
      </c>
    </row>
    <row r="343" spans="1:10">
      <c r="A343" s="2" t="str">
        <f ca="1">IF(A342="","",IF(IF(价差分析!$W$4="日",--[1]!td(A342-1),IF(价差分析!$W$4="周",--[1]!td(A342-7),--[1]!td(A342-30)))-价差分析!$T$4&gt;0,IF(价差分析!$W$4="日",--[1]!td(A342-1),IF(价差分析!$W$4="周",--[1]!td(A342-7),--[1]!td(A342-30))),""))</f>
        <v/>
      </c>
      <c r="B343" s="1" t="str">
        <f ca="1">IF(A343="","",[1]!s_dq_close($B$1,A343,$M$4))</f>
        <v/>
      </c>
      <c r="C343" s="1" t="str">
        <f ca="1">IF(A343="","",[1]!s_dq_close($C$1,A343,$M$4))</f>
        <v/>
      </c>
      <c r="D343" s="6" t="str">
        <f ca="1">IF($A343="","",[1]!s_dq_close(D$1,$A343,$M$4))</f>
        <v/>
      </c>
      <c r="E343" s="6" t="str">
        <f ca="1">IF($A343="","",[1]!s_dq_close(E$1,$A343,$M$4))</f>
        <v/>
      </c>
      <c r="F343" s="6" t="str">
        <f ca="1">IF($A343="","",[1]!s_dq_close(F$1,$A343,$M$4))</f>
        <v/>
      </c>
      <c r="G343" s="6"/>
      <c r="H343" s="6" t="str">
        <f ca="1">IF($A343="","",[1]!s_dq_close(H$1,$A343,$M$4))</f>
        <v/>
      </c>
      <c r="I343" s="6" t="str">
        <f ca="1">IF($A343="","",[1]!s_dq_close(I$1,$A343,$M$4))</f>
        <v/>
      </c>
      <c r="J343" s="6" t="str">
        <f t="shared" ca="1" si="6"/>
        <v/>
      </c>
    </row>
    <row r="344" spans="1:10">
      <c r="A344" s="2" t="str">
        <f ca="1">IF(A343="","",IF(IF(价差分析!$W$4="日",--[1]!td(A343-1),IF(价差分析!$W$4="周",--[1]!td(A343-7),--[1]!td(A343-30)))-价差分析!$T$4&gt;0,IF(价差分析!$W$4="日",--[1]!td(A343-1),IF(价差分析!$W$4="周",--[1]!td(A343-7),--[1]!td(A343-30))),""))</f>
        <v/>
      </c>
      <c r="B344" s="1" t="str">
        <f ca="1">IF(A344="","",[1]!s_dq_close($B$1,A344,$M$4))</f>
        <v/>
      </c>
      <c r="C344" s="1" t="str">
        <f ca="1">IF(A344="","",[1]!s_dq_close($C$1,A344,$M$4))</f>
        <v/>
      </c>
      <c r="D344" s="6" t="str">
        <f ca="1">IF($A344="","",[1]!s_dq_close(D$1,$A344,$M$4))</f>
        <v/>
      </c>
      <c r="E344" s="6" t="str">
        <f ca="1">IF($A344="","",[1]!s_dq_close(E$1,$A344,$M$4))</f>
        <v/>
      </c>
      <c r="F344" s="6" t="str">
        <f ca="1">IF($A344="","",[1]!s_dq_close(F$1,$A344,$M$4))</f>
        <v/>
      </c>
      <c r="G344" s="6"/>
      <c r="H344" s="6" t="str">
        <f ca="1">IF($A344="","",[1]!s_dq_close(H$1,$A344,$M$4))</f>
        <v/>
      </c>
      <c r="I344" s="6" t="str">
        <f ca="1">IF($A344="","",[1]!s_dq_close(I$1,$A344,$M$4))</f>
        <v/>
      </c>
      <c r="J344" s="6" t="str">
        <f t="shared" ca="1" si="6"/>
        <v/>
      </c>
    </row>
    <row r="345" spans="1:10">
      <c r="A345" s="2" t="str">
        <f ca="1">IF(A344="","",IF(IF(价差分析!$W$4="日",--[1]!td(A344-1),IF(价差分析!$W$4="周",--[1]!td(A344-7),--[1]!td(A344-30)))-价差分析!$T$4&gt;0,IF(价差分析!$W$4="日",--[1]!td(A344-1),IF(价差分析!$W$4="周",--[1]!td(A344-7),--[1]!td(A344-30))),""))</f>
        <v/>
      </c>
      <c r="B345" s="1" t="str">
        <f ca="1">IF(A345="","",[1]!s_dq_close($B$1,A345,$M$4))</f>
        <v/>
      </c>
      <c r="C345" s="1" t="str">
        <f ca="1">IF(A345="","",[1]!s_dq_close($C$1,A345,$M$4))</f>
        <v/>
      </c>
      <c r="D345" s="6" t="str">
        <f ca="1">IF($A345="","",[1]!s_dq_close(D$1,$A345,$M$4))</f>
        <v/>
      </c>
      <c r="E345" s="6" t="str">
        <f ca="1">IF($A345="","",[1]!s_dq_close(E$1,$A345,$M$4))</f>
        <v/>
      </c>
      <c r="F345" s="6" t="str">
        <f ca="1">IF($A345="","",[1]!s_dq_close(F$1,$A345,$M$4))</f>
        <v/>
      </c>
      <c r="G345" s="6"/>
      <c r="H345" s="6" t="str">
        <f ca="1">IF($A345="","",[1]!s_dq_close(H$1,$A345,$M$4))</f>
        <v/>
      </c>
      <c r="I345" s="6" t="str">
        <f ca="1">IF($A345="","",[1]!s_dq_close(I$1,$A345,$M$4))</f>
        <v/>
      </c>
      <c r="J345" s="6" t="str">
        <f t="shared" ca="1" si="6"/>
        <v/>
      </c>
    </row>
    <row r="346" spans="1:10">
      <c r="A346" s="2" t="str">
        <f ca="1">IF(A345="","",IF(IF(价差分析!$W$4="日",--[1]!td(A345-1),IF(价差分析!$W$4="周",--[1]!td(A345-7),--[1]!td(A345-30)))-价差分析!$T$4&gt;0,IF(价差分析!$W$4="日",--[1]!td(A345-1),IF(价差分析!$W$4="周",--[1]!td(A345-7),--[1]!td(A345-30))),""))</f>
        <v/>
      </c>
      <c r="B346" s="1" t="str">
        <f ca="1">IF(A346="","",[1]!s_dq_close($B$1,A346,$M$4))</f>
        <v/>
      </c>
      <c r="C346" s="1" t="str">
        <f ca="1">IF(A346="","",[1]!s_dq_close($C$1,A346,$M$4))</f>
        <v/>
      </c>
      <c r="D346" s="6" t="str">
        <f ca="1">IF($A346="","",[1]!s_dq_close(D$1,$A346,$M$4))</f>
        <v/>
      </c>
      <c r="E346" s="6" t="str">
        <f ca="1">IF($A346="","",[1]!s_dq_close(E$1,$A346,$M$4))</f>
        <v/>
      </c>
      <c r="F346" s="6" t="str">
        <f ca="1">IF($A346="","",[1]!s_dq_close(F$1,$A346,$M$4))</f>
        <v/>
      </c>
      <c r="G346" s="6"/>
      <c r="H346" s="6" t="str">
        <f ca="1">IF($A346="","",[1]!s_dq_close(H$1,$A346,$M$4))</f>
        <v/>
      </c>
      <c r="I346" s="6" t="str">
        <f ca="1">IF($A346="","",[1]!s_dq_close(I$1,$A346,$M$4))</f>
        <v/>
      </c>
      <c r="J346" s="6" t="str">
        <f t="shared" ca="1" si="6"/>
        <v/>
      </c>
    </row>
    <row r="347" spans="1:10">
      <c r="A347" s="2" t="str">
        <f ca="1">IF(A346="","",IF(IF(价差分析!$W$4="日",--[1]!td(A346-1),IF(价差分析!$W$4="周",--[1]!td(A346-7),--[1]!td(A346-30)))-价差分析!$T$4&gt;0,IF(价差分析!$W$4="日",--[1]!td(A346-1),IF(价差分析!$W$4="周",--[1]!td(A346-7),--[1]!td(A346-30))),""))</f>
        <v/>
      </c>
      <c r="B347" s="1" t="str">
        <f ca="1">IF(A347="","",[1]!s_dq_close($B$1,A347,$M$4))</f>
        <v/>
      </c>
      <c r="C347" s="1" t="str">
        <f ca="1">IF(A347="","",[1]!s_dq_close($C$1,A347,$M$4))</f>
        <v/>
      </c>
      <c r="D347" s="6" t="str">
        <f ca="1">IF($A347="","",[1]!s_dq_close(D$1,$A347,$M$4))</f>
        <v/>
      </c>
      <c r="E347" s="6" t="str">
        <f ca="1">IF($A347="","",[1]!s_dq_close(E$1,$A347,$M$4))</f>
        <v/>
      </c>
      <c r="F347" s="6" t="str">
        <f ca="1">IF($A347="","",[1]!s_dq_close(F$1,$A347,$M$4))</f>
        <v/>
      </c>
      <c r="G347" s="6"/>
      <c r="H347" s="6" t="str">
        <f ca="1">IF($A347="","",[1]!s_dq_close(H$1,$A347,$M$4))</f>
        <v/>
      </c>
      <c r="I347" s="6" t="str">
        <f ca="1">IF($A347="","",[1]!s_dq_close(I$1,$A347,$M$4))</f>
        <v/>
      </c>
      <c r="J347" s="6" t="str">
        <f t="shared" ca="1" si="6"/>
        <v/>
      </c>
    </row>
    <row r="348" spans="1:10">
      <c r="A348" s="2" t="str">
        <f ca="1">IF(A347="","",IF(IF(价差分析!$W$4="日",--[1]!td(A347-1),IF(价差分析!$W$4="周",--[1]!td(A347-7),--[1]!td(A347-30)))-价差分析!$T$4&gt;0,IF(价差分析!$W$4="日",--[1]!td(A347-1),IF(价差分析!$W$4="周",--[1]!td(A347-7),--[1]!td(A347-30))),""))</f>
        <v/>
      </c>
      <c r="B348" s="1" t="str">
        <f ca="1">IF(A348="","",[1]!s_dq_close($B$1,A348,$M$4))</f>
        <v/>
      </c>
      <c r="C348" s="1" t="str">
        <f ca="1">IF(A348="","",[1]!s_dq_close($C$1,A348,$M$4))</f>
        <v/>
      </c>
      <c r="D348" s="6" t="str">
        <f ca="1">IF($A348="","",[1]!s_dq_close(D$1,$A348,$M$4))</f>
        <v/>
      </c>
      <c r="E348" s="6" t="str">
        <f ca="1">IF($A348="","",[1]!s_dq_close(E$1,$A348,$M$4))</f>
        <v/>
      </c>
      <c r="F348" s="6" t="str">
        <f ca="1">IF($A348="","",[1]!s_dq_close(F$1,$A348,$M$4))</f>
        <v/>
      </c>
      <c r="G348" s="6"/>
      <c r="H348" s="6" t="str">
        <f ca="1">IF($A348="","",[1]!s_dq_close(H$1,$A348,$M$4))</f>
        <v/>
      </c>
      <c r="I348" s="6" t="str">
        <f ca="1">IF($A348="","",[1]!s_dq_close(I$1,$A348,$M$4))</f>
        <v/>
      </c>
      <c r="J348" s="6" t="str">
        <f t="shared" ca="1" si="6"/>
        <v/>
      </c>
    </row>
    <row r="349" spans="1:10">
      <c r="A349" s="2" t="str">
        <f ca="1">IF(A348="","",IF(IF(价差分析!$W$4="日",--[1]!td(A348-1),IF(价差分析!$W$4="周",--[1]!td(A348-7),--[1]!td(A348-30)))-价差分析!$T$4&gt;0,IF(价差分析!$W$4="日",--[1]!td(A348-1),IF(价差分析!$W$4="周",--[1]!td(A348-7),--[1]!td(A348-30))),""))</f>
        <v/>
      </c>
      <c r="B349" s="1" t="str">
        <f ca="1">IF(A349="","",[1]!s_dq_close($B$1,A349,$M$4))</f>
        <v/>
      </c>
      <c r="C349" s="1" t="str">
        <f ca="1">IF(A349="","",[1]!s_dq_close($C$1,A349,$M$4))</f>
        <v/>
      </c>
      <c r="D349" s="6" t="str">
        <f ca="1">IF($A349="","",[1]!s_dq_close(D$1,$A349,$M$4))</f>
        <v/>
      </c>
      <c r="E349" s="6" t="str">
        <f ca="1">IF($A349="","",[1]!s_dq_close(E$1,$A349,$M$4))</f>
        <v/>
      </c>
      <c r="F349" s="6" t="str">
        <f ca="1">IF($A349="","",[1]!s_dq_close(F$1,$A349,$M$4))</f>
        <v/>
      </c>
      <c r="G349" s="6"/>
      <c r="H349" s="6" t="str">
        <f ca="1">IF($A349="","",[1]!s_dq_close(H$1,$A349,$M$4))</f>
        <v/>
      </c>
      <c r="I349" s="6" t="str">
        <f ca="1">IF($A349="","",[1]!s_dq_close(I$1,$A349,$M$4))</f>
        <v/>
      </c>
      <c r="J349" s="6" t="str">
        <f t="shared" ca="1" si="6"/>
        <v/>
      </c>
    </row>
    <row r="350" spans="1:10">
      <c r="A350" s="2" t="str">
        <f ca="1">IF(A349="","",IF(IF(价差分析!$W$4="日",--[1]!td(A349-1),IF(价差分析!$W$4="周",--[1]!td(A349-7),--[1]!td(A349-30)))-价差分析!$T$4&gt;0,IF(价差分析!$W$4="日",--[1]!td(A349-1),IF(价差分析!$W$4="周",--[1]!td(A349-7),--[1]!td(A349-30))),""))</f>
        <v/>
      </c>
      <c r="B350" s="1" t="str">
        <f ca="1">IF(A350="","",[1]!s_dq_close($B$1,A350,$M$4))</f>
        <v/>
      </c>
      <c r="C350" s="1" t="str">
        <f ca="1">IF(A350="","",[1]!s_dq_close($C$1,A350,$M$4))</f>
        <v/>
      </c>
      <c r="D350" s="6" t="str">
        <f ca="1">IF($A350="","",[1]!s_dq_close(D$1,$A350,$M$4))</f>
        <v/>
      </c>
      <c r="E350" s="6" t="str">
        <f ca="1">IF($A350="","",[1]!s_dq_close(E$1,$A350,$M$4))</f>
        <v/>
      </c>
      <c r="F350" s="6" t="str">
        <f ca="1">IF($A350="","",[1]!s_dq_close(F$1,$A350,$M$4))</f>
        <v/>
      </c>
      <c r="G350" s="6"/>
      <c r="H350" s="6" t="str">
        <f ca="1">IF($A350="","",[1]!s_dq_close(H$1,$A350,$M$4))</f>
        <v/>
      </c>
      <c r="I350" s="6" t="str">
        <f ca="1">IF($A350="","",[1]!s_dq_close(I$1,$A350,$M$4))</f>
        <v/>
      </c>
      <c r="J350" s="6" t="str">
        <f t="shared" ca="1" si="6"/>
        <v/>
      </c>
    </row>
    <row r="351" spans="1:10">
      <c r="A351" s="2" t="str">
        <f ca="1">IF(A350="","",IF(IF(价差分析!$W$4="日",--[1]!td(A350-1),IF(价差分析!$W$4="周",--[1]!td(A350-7),--[1]!td(A350-30)))-价差分析!$T$4&gt;0,IF(价差分析!$W$4="日",--[1]!td(A350-1),IF(价差分析!$W$4="周",--[1]!td(A350-7),--[1]!td(A350-30))),""))</f>
        <v/>
      </c>
      <c r="B351" s="1" t="str">
        <f ca="1">IF(A351="","",[1]!s_dq_close($B$1,A351,$M$4))</f>
        <v/>
      </c>
      <c r="C351" s="1" t="str">
        <f ca="1">IF(A351="","",[1]!s_dq_close($C$1,A351,$M$4))</f>
        <v/>
      </c>
      <c r="D351" s="6" t="str">
        <f ca="1">IF($A351="","",[1]!s_dq_close(D$1,$A351,$M$4))</f>
        <v/>
      </c>
      <c r="E351" s="6" t="str">
        <f ca="1">IF($A351="","",[1]!s_dq_close(E$1,$A351,$M$4))</f>
        <v/>
      </c>
      <c r="F351" s="6" t="str">
        <f ca="1">IF($A351="","",[1]!s_dq_close(F$1,$A351,$M$4))</f>
        <v/>
      </c>
      <c r="G351" s="6"/>
      <c r="H351" s="6" t="str">
        <f ca="1">IF($A351="","",[1]!s_dq_close(H$1,$A351,$M$4))</f>
        <v/>
      </c>
      <c r="I351" s="6" t="str">
        <f ca="1">IF($A351="","",[1]!s_dq_close(I$1,$A351,$M$4))</f>
        <v/>
      </c>
      <c r="J351" s="6" t="str">
        <f t="shared" ca="1" si="6"/>
        <v/>
      </c>
    </row>
    <row r="352" spans="1:10">
      <c r="A352" s="2" t="str">
        <f ca="1">IF(A351="","",IF(IF(价差分析!$W$4="日",--[1]!td(A351-1),IF(价差分析!$W$4="周",--[1]!td(A351-7),--[1]!td(A351-30)))-价差分析!$T$4&gt;0,IF(价差分析!$W$4="日",--[1]!td(A351-1),IF(价差分析!$W$4="周",--[1]!td(A351-7),--[1]!td(A351-30))),""))</f>
        <v/>
      </c>
      <c r="B352" s="1" t="str">
        <f ca="1">IF(A352="","",[1]!s_dq_close($B$1,A352,$M$4))</f>
        <v/>
      </c>
      <c r="C352" s="1" t="str">
        <f ca="1">IF(A352="","",[1]!s_dq_close($C$1,A352,$M$4))</f>
        <v/>
      </c>
      <c r="D352" s="6" t="str">
        <f ca="1">IF($A352="","",[1]!s_dq_close(D$1,$A352,$M$4))</f>
        <v/>
      </c>
      <c r="E352" s="6" t="str">
        <f ca="1">IF($A352="","",[1]!s_dq_close(E$1,$A352,$M$4))</f>
        <v/>
      </c>
      <c r="F352" s="6" t="str">
        <f ca="1">IF($A352="","",[1]!s_dq_close(F$1,$A352,$M$4))</f>
        <v/>
      </c>
      <c r="G352" s="6"/>
      <c r="H352" s="6" t="str">
        <f ca="1">IF($A352="","",[1]!s_dq_close(H$1,$A352,$M$4))</f>
        <v/>
      </c>
      <c r="I352" s="6" t="str">
        <f ca="1">IF($A352="","",[1]!s_dq_close(I$1,$A352,$M$4))</f>
        <v/>
      </c>
      <c r="J352" s="6" t="str">
        <f t="shared" ca="1" si="6"/>
        <v/>
      </c>
    </row>
    <row r="353" spans="1:10">
      <c r="A353" s="2" t="str">
        <f ca="1">IF(A352="","",IF(IF(价差分析!$W$4="日",--[1]!td(A352-1),IF(价差分析!$W$4="周",--[1]!td(A352-7),--[1]!td(A352-30)))-价差分析!$T$4&gt;0,IF(价差分析!$W$4="日",--[1]!td(A352-1),IF(价差分析!$W$4="周",--[1]!td(A352-7),--[1]!td(A352-30))),""))</f>
        <v/>
      </c>
      <c r="B353" s="1" t="str">
        <f ca="1">IF(A353="","",[1]!s_dq_close($B$1,A353,$M$4))</f>
        <v/>
      </c>
      <c r="C353" s="1" t="str">
        <f ca="1">IF(A353="","",[1]!s_dq_close($C$1,A353,$M$4))</f>
        <v/>
      </c>
      <c r="D353" s="6" t="str">
        <f ca="1">IF($A353="","",[1]!s_dq_close(D$1,$A353,$M$4))</f>
        <v/>
      </c>
      <c r="E353" s="6" t="str">
        <f ca="1">IF($A353="","",[1]!s_dq_close(E$1,$A353,$M$4))</f>
        <v/>
      </c>
      <c r="F353" s="6" t="str">
        <f ca="1">IF($A353="","",[1]!s_dq_close(F$1,$A353,$M$4))</f>
        <v/>
      </c>
      <c r="G353" s="6"/>
      <c r="H353" s="6" t="str">
        <f ca="1">IF($A353="","",[1]!s_dq_close(H$1,$A353,$M$4))</f>
        <v/>
      </c>
      <c r="I353" s="6" t="str">
        <f ca="1">IF($A353="","",[1]!s_dq_close(I$1,$A353,$M$4))</f>
        <v/>
      </c>
      <c r="J353" s="6" t="str">
        <f t="shared" ca="1" si="6"/>
        <v/>
      </c>
    </row>
    <row r="354" spans="1:10">
      <c r="A354" s="2" t="str">
        <f ca="1">IF(A353="","",IF(IF(价差分析!$W$4="日",--[1]!td(A353-1),IF(价差分析!$W$4="周",--[1]!td(A353-7),--[1]!td(A353-30)))-价差分析!$T$4&gt;0,IF(价差分析!$W$4="日",--[1]!td(A353-1),IF(价差分析!$W$4="周",--[1]!td(A353-7),--[1]!td(A353-30))),""))</f>
        <v/>
      </c>
      <c r="B354" s="1" t="str">
        <f ca="1">IF(A354="","",[1]!s_dq_close($B$1,A354,$M$4))</f>
        <v/>
      </c>
      <c r="C354" s="1" t="str">
        <f ca="1">IF(A354="","",[1]!s_dq_close($C$1,A354,$M$4))</f>
        <v/>
      </c>
      <c r="D354" s="6" t="str">
        <f ca="1">IF($A354="","",[1]!s_dq_close(D$1,$A354,$M$4))</f>
        <v/>
      </c>
      <c r="E354" s="6" t="str">
        <f ca="1">IF($A354="","",[1]!s_dq_close(E$1,$A354,$M$4))</f>
        <v/>
      </c>
      <c r="F354" s="6" t="str">
        <f ca="1">IF($A354="","",[1]!s_dq_close(F$1,$A354,$M$4))</f>
        <v/>
      </c>
      <c r="G354" s="6"/>
      <c r="H354" s="6" t="str">
        <f ca="1">IF($A354="","",[1]!s_dq_close(H$1,$A354,$M$4))</f>
        <v/>
      </c>
      <c r="I354" s="6" t="str">
        <f ca="1">IF($A354="","",[1]!s_dq_close(I$1,$A354,$M$4))</f>
        <v/>
      </c>
      <c r="J354" s="6" t="str">
        <f t="shared" ca="1" si="6"/>
        <v/>
      </c>
    </row>
    <row r="355" spans="1:10">
      <c r="A355" s="2" t="str">
        <f ca="1">IF(A354="","",IF(IF(价差分析!$W$4="日",--[1]!td(A354-1),IF(价差分析!$W$4="周",--[1]!td(A354-7),--[1]!td(A354-30)))-价差分析!$T$4&gt;0,IF(价差分析!$W$4="日",--[1]!td(A354-1),IF(价差分析!$W$4="周",--[1]!td(A354-7),--[1]!td(A354-30))),""))</f>
        <v/>
      </c>
      <c r="B355" s="1" t="str">
        <f ca="1">IF(A355="","",[1]!s_dq_close($B$1,A355,$M$4))</f>
        <v/>
      </c>
      <c r="C355" s="1" t="str">
        <f ca="1">IF(A355="","",[1]!s_dq_close($C$1,A355,$M$4))</f>
        <v/>
      </c>
      <c r="D355" s="6" t="str">
        <f ca="1">IF($A355="","",[1]!s_dq_close(D$1,$A355,$M$4))</f>
        <v/>
      </c>
      <c r="E355" s="6" t="str">
        <f ca="1">IF($A355="","",[1]!s_dq_close(E$1,$A355,$M$4))</f>
        <v/>
      </c>
      <c r="F355" s="6" t="str">
        <f ca="1">IF($A355="","",[1]!s_dq_close(F$1,$A355,$M$4))</f>
        <v/>
      </c>
      <c r="G355" s="6"/>
      <c r="H355" s="6" t="str">
        <f ca="1">IF($A355="","",[1]!s_dq_close(H$1,$A355,$M$4))</f>
        <v/>
      </c>
      <c r="I355" s="6" t="str">
        <f ca="1">IF($A355="","",[1]!s_dq_close(I$1,$A355,$M$4))</f>
        <v/>
      </c>
      <c r="J355" s="6" t="str">
        <f t="shared" ca="1" si="6"/>
        <v/>
      </c>
    </row>
    <row r="356" spans="1:10">
      <c r="A356" s="2" t="str">
        <f ca="1">IF(A355="","",IF(IF(价差分析!$W$4="日",--[1]!td(A355-1),IF(价差分析!$W$4="周",--[1]!td(A355-7),--[1]!td(A355-30)))-价差分析!$T$4&gt;0,IF(价差分析!$W$4="日",--[1]!td(A355-1),IF(价差分析!$W$4="周",--[1]!td(A355-7),--[1]!td(A355-30))),""))</f>
        <v/>
      </c>
      <c r="B356" s="1" t="str">
        <f ca="1">IF(A356="","",[1]!s_dq_close($B$1,A356,$M$4))</f>
        <v/>
      </c>
      <c r="C356" s="1" t="str">
        <f ca="1">IF(A356="","",[1]!s_dq_close($C$1,A356,$M$4))</f>
        <v/>
      </c>
      <c r="D356" s="6" t="str">
        <f ca="1">IF($A356="","",[1]!s_dq_close(D$1,$A356,$M$4))</f>
        <v/>
      </c>
      <c r="E356" s="6" t="str">
        <f ca="1">IF($A356="","",[1]!s_dq_close(E$1,$A356,$M$4))</f>
        <v/>
      </c>
      <c r="F356" s="6" t="str">
        <f ca="1">IF($A356="","",[1]!s_dq_close(F$1,$A356,$M$4))</f>
        <v/>
      </c>
      <c r="G356" s="6"/>
      <c r="H356" s="6" t="str">
        <f ca="1">IF($A356="","",[1]!s_dq_close(H$1,$A356,$M$4))</f>
        <v/>
      </c>
      <c r="I356" s="6" t="str">
        <f ca="1">IF($A356="","",[1]!s_dq_close(I$1,$A356,$M$4))</f>
        <v/>
      </c>
      <c r="J356" s="6" t="str">
        <f t="shared" ca="1" si="6"/>
        <v/>
      </c>
    </row>
    <row r="357" spans="1:10">
      <c r="A357" s="2" t="str">
        <f ca="1">IF(A356="","",IF(IF(价差分析!$W$4="日",--[1]!td(A356-1),IF(价差分析!$W$4="周",--[1]!td(A356-7),--[1]!td(A356-30)))-价差分析!$T$4&gt;0,IF(价差分析!$W$4="日",--[1]!td(A356-1),IF(价差分析!$W$4="周",--[1]!td(A356-7),--[1]!td(A356-30))),""))</f>
        <v/>
      </c>
      <c r="B357" s="1" t="str">
        <f ca="1">IF(A357="","",[1]!s_dq_close($B$1,A357,$M$4))</f>
        <v/>
      </c>
      <c r="C357" s="1" t="str">
        <f ca="1">IF(A357="","",[1]!s_dq_close($C$1,A357,$M$4))</f>
        <v/>
      </c>
      <c r="D357" s="6" t="str">
        <f ca="1">IF($A357="","",[1]!s_dq_close(D$1,$A357,$M$4))</f>
        <v/>
      </c>
      <c r="E357" s="6" t="str">
        <f ca="1">IF($A357="","",[1]!s_dq_close(E$1,$A357,$M$4))</f>
        <v/>
      </c>
      <c r="F357" s="6" t="str">
        <f ca="1">IF($A357="","",[1]!s_dq_close(F$1,$A357,$M$4))</f>
        <v/>
      </c>
      <c r="G357" s="6"/>
      <c r="H357" s="6" t="str">
        <f ca="1">IF($A357="","",[1]!s_dq_close(H$1,$A357,$M$4))</f>
        <v/>
      </c>
      <c r="I357" s="6" t="str">
        <f ca="1">IF($A357="","",[1]!s_dq_close(I$1,$A357,$M$4))</f>
        <v/>
      </c>
      <c r="J357" s="6" t="str">
        <f t="shared" ca="1" si="6"/>
        <v/>
      </c>
    </row>
    <row r="358" spans="1:10">
      <c r="A358" s="2" t="str">
        <f ca="1">IF(A357="","",IF(IF(价差分析!$W$4="日",--[1]!td(A357-1),IF(价差分析!$W$4="周",--[1]!td(A357-7),--[1]!td(A357-30)))-价差分析!$T$4&gt;0,IF(价差分析!$W$4="日",--[1]!td(A357-1),IF(价差分析!$W$4="周",--[1]!td(A357-7),--[1]!td(A357-30))),""))</f>
        <v/>
      </c>
      <c r="B358" s="1" t="str">
        <f ca="1">IF(A358="","",[1]!s_dq_close($B$1,A358,$M$4))</f>
        <v/>
      </c>
      <c r="C358" s="1" t="str">
        <f ca="1">IF(A358="","",[1]!s_dq_close($C$1,A358,$M$4))</f>
        <v/>
      </c>
      <c r="D358" s="6" t="str">
        <f ca="1">IF($A358="","",[1]!s_dq_close(D$1,$A358,$M$4))</f>
        <v/>
      </c>
      <c r="E358" s="6" t="str">
        <f ca="1">IF($A358="","",[1]!s_dq_close(E$1,$A358,$M$4))</f>
        <v/>
      </c>
      <c r="F358" s="6" t="str">
        <f ca="1">IF($A358="","",[1]!s_dq_close(F$1,$A358,$M$4))</f>
        <v/>
      </c>
      <c r="G358" s="6"/>
      <c r="H358" s="6" t="str">
        <f ca="1">IF($A358="","",[1]!s_dq_close(H$1,$A358,$M$4))</f>
        <v/>
      </c>
      <c r="I358" s="6" t="str">
        <f ca="1">IF($A358="","",[1]!s_dq_close(I$1,$A358,$M$4))</f>
        <v/>
      </c>
      <c r="J358" s="6" t="str">
        <f t="shared" ca="1" si="6"/>
        <v/>
      </c>
    </row>
    <row r="359" spans="1:10">
      <c r="A359" s="2" t="str">
        <f ca="1">IF(A358="","",IF(IF(价差分析!$W$4="日",--[1]!td(A358-1),IF(价差分析!$W$4="周",--[1]!td(A358-7),--[1]!td(A358-30)))-价差分析!$T$4&gt;0,IF(价差分析!$W$4="日",--[1]!td(A358-1),IF(价差分析!$W$4="周",--[1]!td(A358-7),--[1]!td(A358-30))),""))</f>
        <v/>
      </c>
      <c r="B359" s="1" t="str">
        <f ca="1">IF(A359="","",[1]!s_dq_close($B$1,A359,$M$4))</f>
        <v/>
      </c>
      <c r="C359" s="1" t="str">
        <f ca="1">IF(A359="","",[1]!s_dq_close($C$1,A359,$M$4))</f>
        <v/>
      </c>
      <c r="D359" s="6" t="str">
        <f ca="1">IF($A359="","",[1]!s_dq_close(D$1,$A359,$M$4))</f>
        <v/>
      </c>
      <c r="E359" s="6" t="str">
        <f ca="1">IF($A359="","",[1]!s_dq_close(E$1,$A359,$M$4))</f>
        <v/>
      </c>
      <c r="F359" s="6" t="str">
        <f ca="1">IF($A359="","",[1]!s_dq_close(F$1,$A359,$M$4))</f>
        <v/>
      </c>
      <c r="G359" s="6"/>
      <c r="H359" s="6" t="str">
        <f ca="1">IF($A359="","",[1]!s_dq_close(H$1,$A359,$M$4))</f>
        <v/>
      </c>
      <c r="I359" s="6" t="str">
        <f ca="1">IF($A359="","",[1]!s_dq_close(I$1,$A359,$M$4))</f>
        <v/>
      </c>
      <c r="J359" s="6" t="str">
        <f t="shared" ca="1" si="6"/>
        <v/>
      </c>
    </row>
    <row r="360" spans="1:10">
      <c r="A360" s="2" t="str">
        <f ca="1">IF(A359="","",IF(IF(价差分析!$W$4="日",--[1]!td(A359-1),IF(价差分析!$W$4="周",--[1]!td(A359-7),--[1]!td(A359-30)))-价差分析!$T$4&gt;0,IF(价差分析!$W$4="日",--[1]!td(A359-1),IF(价差分析!$W$4="周",--[1]!td(A359-7),--[1]!td(A359-30))),""))</f>
        <v/>
      </c>
      <c r="B360" s="1" t="str">
        <f ca="1">IF(A360="","",[1]!s_dq_close($B$1,A360,$M$4))</f>
        <v/>
      </c>
      <c r="C360" s="1" t="str">
        <f ca="1">IF(A360="","",[1]!s_dq_close($C$1,A360,$M$4))</f>
        <v/>
      </c>
      <c r="D360" s="6" t="str">
        <f ca="1">IF($A360="","",[1]!s_dq_close(D$1,$A360,$M$4))</f>
        <v/>
      </c>
      <c r="E360" s="6" t="str">
        <f ca="1">IF($A360="","",[1]!s_dq_close(E$1,$A360,$M$4))</f>
        <v/>
      </c>
      <c r="F360" s="6" t="str">
        <f ca="1">IF($A360="","",[1]!s_dq_close(F$1,$A360,$M$4))</f>
        <v/>
      </c>
      <c r="G360" s="6"/>
      <c r="H360" s="6" t="str">
        <f ca="1">IF($A360="","",[1]!s_dq_close(H$1,$A360,$M$4))</f>
        <v/>
      </c>
      <c r="I360" s="6" t="str">
        <f ca="1">IF($A360="","",[1]!s_dq_close(I$1,$A360,$M$4))</f>
        <v/>
      </c>
      <c r="J360" s="6" t="str">
        <f t="shared" ca="1" si="6"/>
        <v/>
      </c>
    </row>
    <row r="361" spans="1:10">
      <c r="A361" s="2" t="str">
        <f ca="1">IF(A360="","",IF(IF(价差分析!$W$4="日",--[1]!td(A360-1),IF(价差分析!$W$4="周",--[1]!td(A360-7),--[1]!td(A360-30)))-价差分析!$T$4&gt;0,IF(价差分析!$W$4="日",--[1]!td(A360-1),IF(价差分析!$W$4="周",--[1]!td(A360-7),--[1]!td(A360-30))),""))</f>
        <v/>
      </c>
      <c r="B361" s="1" t="str">
        <f ca="1">IF(A361="","",[1]!s_dq_close($B$1,A361,$M$4))</f>
        <v/>
      </c>
      <c r="C361" s="1" t="str">
        <f ca="1">IF(A361="","",[1]!s_dq_close($C$1,A361,$M$4))</f>
        <v/>
      </c>
      <c r="D361" s="6" t="str">
        <f ca="1">IF($A361="","",[1]!s_dq_close(D$1,$A361,$M$4))</f>
        <v/>
      </c>
      <c r="E361" s="6" t="str">
        <f ca="1">IF($A361="","",[1]!s_dq_close(E$1,$A361,$M$4))</f>
        <v/>
      </c>
      <c r="F361" s="6" t="str">
        <f ca="1">IF($A361="","",[1]!s_dq_close(F$1,$A361,$M$4))</f>
        <v/>
      </c>
      <c r="G361" s="6"/>
      <c r="H361" s="6" t="str">
        <f ca="1">IF($A361="","",[1]!s_dq_close(H$1,$A361,$M$4))</f>
        <v/>
      </c>
      <c r="I361" s="6" t="str">
        <f ca="1">IF($A361="","",[1]!s_dq_close(I$1,$A361,$M$4))</f>
        <v/>
      </c>
      <c r="J361" s="6" t="str">
        <f t="shared" ca="1" si="6"/>
        <v/>
      </c>
    </row>
    <row r="362" spans="1:10">
      <c r="A362" s="2" t="str">
        <f ca="1">IF(A361="","",IF(IF(价差分析!$W$4="日",--[1]!td(A361-1),IF(价差分析!$W$4="周",--[1]!td(A361-7),--[1]!td(A361-30)))-价差分析!$T$4&gt;0,IF(价差分析!$W$4="日",--[1]!td(A361-1),IF(价差分析!$W$4="周",--[1]!td(A361-7),--[1]!td(A361-30))),""))</f>
        <v/>
      </c>
      <c r="B362" s="1" t="str">
        <f ca="1">IF(A362="","",[1]!s_dq_close($B$1,A362,$M$4))</f>
        <v/>
      </c>
      <c r="C362" s="1" t="str">
        <f ca="1">IF(A362="","",[1]!s_dq_close($C$1,A362,$M$4))</f>
        <v/>
      </c>
      <c r="D362" s="6" t="str">
        <f ca="1">IF($A362="","",[1]!s_dq_close(D$1,$A362,$M$4))</f>
        <v/>
      </c>
      <c r="E362" s="6" t="str">
        <f ca="1">IF($A362="","",[1]!s_dq_close(E$1,$A362,$M$4))</f>
        <v/>
      </c>
      <c r="F362" s="6" t="str">
        <f ca="1">IF($A362="","",[1]!s_dq_close(F$1,$A362,$M$4))</f>
        <v/>
      </c>
      <c r="G362" s="6"/>
      <c r="H362" s="6" t="str">
        <f ca="1">IF($A362="","",[1]!s_dq_close(H$1,$A362,$M$4))</f>
        <v/>
      </c>
      <c r="I362" s="6" t="str">
        <f ca="1">IF($A362="","",[1]!s_dq_close(I$1,$A362,$M$4))</f>
        <v/>
      </c>
      <c r="J362" s="6" t="str">
        <f t="shared" ca="1" si="6"/>
        <v/>
      </c>
    </row>
    <row r="363" spans="1:10">
      <c r="A363" s="2" t="str">
        <f ca="1">IF(A362="","",IF(IF(价差分析!$W$4="日",--[1]!td(A362-1),IF(价差分析!$W$4="周",--[1]!td(A362-7),--[1]!td(A362-30)))-价差分析!$T$4&gt;0,IF(价差分析!$W$4="日",--[1]!td(A362-1),IF(价差分析!$W$4="周",--[1]!td(A362-7),--[1]!td(A362-30))),""))</f>
        <v/>
      </c>
      <c r="B363" s="1" t="str">
        <f ca="1">IF(A363="","",[1]!s_dq_close($B$1,A363,$M$4))</f>
        <v/>
      </c>
      <c r="C363" s="1" t="str">
        <f ca="1">IF(A363="","",[1]!s_dq_close($C$1,A363,$M$4))</f>
        <v/>
      </c>
      <c r="D363" s="6" t="str">
        <f ca="1">IF($A363="","",[1]!s_dq_close(D$1,$A363,$M$4))</f>
        <v/>
      </c>
      <c r="E363" s="6" t="str">
        <f ca="1">IF($A363="","",[1]!s_dq_close(E$1,$A363,$M$4))</f>
        <v/>
      </c>
      <c r="F363" s="6" t="str">
        <f ca="1">IF($A363="","",[1]!s_dq_close(F$1,$A363,$M$4))</f>
        <v/>
      </c>
      <c r="G363" s="6"/>
      <c r="H363" s="6" t="str">
        <f ca="1">IF($A363="","",[1]!s_dq_close(H$1,$A363,$M$4))</f>
        <v/>
      </c>
      <c r="I363" s="6" t="str">
        <f ca="1">IF($A363="","",[1]!s_dq_close(I$1,$A363,$M$4))</f>
        <v/>
      </c>
      <c r="J363" s="6" t="str">
        <f t="shared" ca="1" si="6"/>
        <v/>
      </c>
    </row>
    <row r="364" spans="1:10">
      <c r="A364" s="2" t="str">
        <f ca="1">IF(A363="","",IF(IF(价差分析!$W$4="日",--[1]!td(A363-1),IF(价差分析!$W$4="周",--[1]!td(A363-7),--[1]!td(A363-30)))-价差分析!$T$4&gt;0,IF(价差分析!$W$4="日",--[1]!td(A363-1),IF(价差分析!$W$4="周",--[1]!td(A363-7),--[1]!td(A363-30))),""))</f>
        <v/>
      </c>
      <c r="B364" s="1" t="str">
        <f ca="1">IF(A364="","",[1]!s_dq_close($B$1,A364,$M$4))</f>
        <v/>
      </c>
      <c r="C364" s="1" t="str">
        <f ca="1">IF(A364="","",[1]!s_dq_close($C$1,A364,$M$4))</f>
        <v/>
      </c>
      <c r="D364" s="6" t="str">
        <f ca="1">IF($A364="","",[1]!s_dq_close(D$1,$A364,$M$4))</f>
        <v/>
      </c>
      <c r="E364" s="6" t="str">
        <f ca="1">IF($A364="","",[1]!s_dq_close(E$1,$A364,$M$4))</f>
        <v/>
      </c>
      <c r="F364" s="6" t="str">
        <f ca="1">IF($A364="","",[1]!s_dq_close(F$1,$A364,$M$4))</f>
        <v/>
      </c>
      <c r="G364" s="6"/>
      <c r="H364" s="6" t="str">
        <f ca="1">IF($A364="","",[1]!s_dq_close(H$1,$A364,$M$4))</f>
        <v/>
      </c>
      <c r="I364" s="6" t="str">
        <f ca="1">IF($A364="","",[1]!s_dq_close(I$1,$A364,$M$4))</f>
        <v/>
      </c>
      <c r="J364" s="6" t="str">
        <f t="shared" ca="1" si="6"/>
        <v/>
      </c>
    </row>
    <row r="365" spans="1:10">
      <c r="A365" s="2" t="str">
        <f ca="1">IF(A364="","",IF(IF(价差分析!$W$4="日",--[1]!td(A364-1),IF(价差分析!$W$4="周",--[1]!td(A364-7),--[1]!td(A364-30)))-价差分析!$T$4&gt;0,IF(价差分析!$W$4="日",--[1]!td(A364-1),IF(价差分析!$W$4="周",--[1]!td(A364-7),--[1]!td(A364-30))),""))</f>
        <v/>
      </c>
      <c r="B365" s="1" t="str">
        <f ca="1">IF(A365="","",[1]!s_dq_close($B$1,A365,$M$4))</f>
        <v/>
      </c>
      <c r="C365" s="1" t="str">
        <f ca="1">IF(A365="","",[1]!s_dq_close($C$1,A365,$M$4))</f>
        <v/>
      </c>
      <c r="D365" s="6" t="str">
        <f ca="1">IF($A365="","",[1]!s_dq_close(D$1,$A365,$M$4))</f>
        <v/>
      </c>
      <c r="E365" s="6" t="str">
        <f ca="1">IF($A365="","",[1]!s_dq_close(E$1,$A365,$M$4))</f>
        <v/>
      </c>
      <c r="F365" s="6" t="str">
        <f ca="1">IF($A365="","",[1]!s_dq_close(F$1,$A365,$M$4))</f>
        <v/>
      </c>
      <c r="G365" s="6"/>
      <c r="H365" s="6" t="str">
        <f ca="1">IF($A365="","",[1]!s_dq_close(H$1,$A365,$M$4))</f>
        <v/>
      </c>
      <c r="I365" s="6" t="str">
        <f ca="1">IF($A365="","",[1]!s_dq_close(I$1,$A365,$M$4))</f>
        <v/>
      </c>
      <c r="J365" s="6" t="str">
        <f t="shared" ca="1" si="6"/>
        <v/>
      </c>
    </row>
    <row r="366" spans="1:10">
      <c r="A366" s="2" t="str">
        <f ca="1">IF(A365="","",IF(IF(价差分析!$W$4="日",--[1]!td(A365-1),IF(价差分析!$W$4="周",--[1]!td(A365-7),--[1]!td(A365-30)))-价差分析!$T$4&gt;0,IF(价差分析!$W$4="日",--[1]!td(A365-1),IF(价差分析!$W$4="周",--[1]!td(A365-7),--[1]!td(A365-30))),""))</f>
        <v/>
      </c>
      <c r="B366" s="1" t="str">
        <f ca="1">IF(A366="","",[1]!s_dq_close($B$1,A366,$M$4))</f>
        <v/>
      </c>
      <c r="C366" s="1" t="str">
        <f ca="1">IF(A366="","",[1]!s_dq_close($C$1,A366,$M$4))</f>
        <v/>
      </c>
      <c r="D366" s="6" t="str">
        <f ca="1">IF($A366="","",[1]!s_dq_close(D$1,$A366,$M$4))</f>
        <v/>
      </c>
      <c r="E366" s="6" t="str">
        <f ca="1">IF($A366="","",[1]!s_dq_close(E$1,$A366,$M$4))</f>
        <v/>
      </c>
      <c r="F366" s="6" t="str">
        <f ca="1">IF($A366="","",[1]!s_dq_close(F$1,$A366,$M$4))</f>
        <v/>
      </c>
      <c r="G366" s="6"/>
      <c r="H366" s="6" t="str">
        <f ca="1">IF($A366="","",[1]!s_dq_close(H$1,$A366,$M$4))</f>
        <v/>
      </c>
      <c r="I366" s="6" t="str">
        <f ca="1">IF($A366="","",[1]!s_dq_close(I$1,$A366,$M$4))</f>
        <v/>
      </c>
      <c r="J366" s="6" t="str">
        <f t="shared" ca="1" si="6"/>
        <v/>
      </c>
    </row>
    <row r="367" spans="1:10">
      <c r="A367" s="2" t="str">
        <f ca="1">IF(A366="","",IF(IF(价差分析!$W$4="日",--[1]!td(A366-1),IF(价差分析!$W$4="周",--[1]!td(A366-7),--[1]!td(A366-30)))-价差分析!$T$4&gt;0,IF(价差分析!$W$4="日",--[1]!td(A366-1),IF(价差分析!$W$4="周",--[1]!td(A366-7),--[1]!td(A366-30))),""))</f>
        <v/>
      </c>
      <c r="B367" s="1" t="str">
        <f ca="1">IF(A367="","",[1]!s_dq_close($B$1,A367,$M$4))</f>
        <v/>
      </c>
      <c r="C367" s="1" t="str">
        <f ca="1">IF(A367="","",[1]!s_dq_close($C$1,A367,$M$4))</f>
        <v/>
      </c>
      <c r="D367" s="6" t="str">
        <f ca="1">IF($A367="","",[1]!s_dq_close(D$1,$A367,$M$4))</f>
        <v/>
      </c>
      <c r="E367" s="6" t="str">
        <f ca="1">IF($A367="","",[1]!s_dq_close(E$1,$A367,$M$4))</f>
        <v/>
      </c>
      <c r="F367" s="6" t="str">
        <f ca="1">IF($A367="","",[1]!s_dq_close(F$1,$A367,$M$4))</f>
        <v/>
      </c>
      <c r="G367" s="6"/>
      <c r="H367" s="6" t="str">
        <f ca="1">IF($A367="","",[1]!s_dq_close(H$1,$A367,$M$4))</f>
        <v/>
      </c>
      <c r="I367" s="6" t="str">
        <f ca="1">IF($A367="","",[1]!s_dq_close(I$1,$A367,$M$4))</f>
        <v/>
      </c>
      <c r="J367" s="6" t="str">
        <f t="shared" ca="1" si="6"/>
        <v/>
      </c>
    </row>
    <row r="368" spans="1:10">
      <c r="A368" s="2" t="str">
        <f ca="1">IF(A367="","",IF(IF(价差分析!$W$4="日",--[1]!td(A367-1),IF(价差分析!$W$4="周",--[1]!td(A367-7),--[1]!td(A367-30)))-价差分析!$T$4&gt;0,IF(价差分析!$W$4="日",--[1]!td(A367-1),IF(价差分析!$W$4="周",--[1]!td(A367-7),--[1]!td(A367-30))),""))</f>
        <v/>
      </c>
      <c r="B368" s="1" t="str">
        <f ca="1">IF(A368="","",[1]!s_dq_close($B$1,A368,$M$4))</f>
        <v/>
      </c>
      <c r="C368" s="1" t="str">
        <f ca="1">IF(A368="","",[1]!s_dq_close($C$1,A368,$M$4))</f>
        <v/>
      </c>
      <c r="D368" s="6" t="str">
        <f ca="1">IF($A368="","",[1]!s_dq_close(D$1,$A368,$M$4))</f>
        <v/>
      </c>
      <c r="E368" s="6" t="str">
        <f ca="1">IF($A368="","",[1]!s_dq_close(E$1,$A368,$M$4))</f>
        <v/>
      </c>
      <c r="F368" s="6" t="str">
        <f ca="1">IF($A368="","",[1]!s_dq_close(F$1,$A368,$M$4))</f>
        <v/>
      </c>
      <c r="G368" s="6"/>
      <c r="H368" s="6" t="str">
        <f ca="1">IF($A368="","",[1]!s_dq_close(H$1,$A368,$M$4))</f>
        <v/>
      </c>
      <c r="I368" s="6" t="str">
        <f ca="1">IF($A368="","",[1]!s_dq_close(I$1,$A368,$M$4))</f>
        <v/>
      </c>
      <c r="J368" s="6" t="str">
        <f t="shared" ca="1" si="6"/>
        <v/>
      </c>
    </row>
    <row r="369" spans="1:10">
      <c r="A369" s="2" t="str">
        <f ca="1">IF(A368="","",IF(IF(价差分析!$W$4="日",--[1]!td(A368-1),IF(价差分析!$W$4="周",--[1]!td(A368-7),--[1]!td(A368-30)))-价差分析!$T$4&gt;0,IF(价差分析!$W$4="日",--[1]!td(A368-1),IF(价差分析!$W$4="周",--[1]!td(A368-7),--[1]!td(A368-30))),""))</f>
        <v/>
      </c>
      <c r="B369" s="1" t="str">
        <f ca="1">IF(A369="","",[1]!s_dq_close($B$1,A369,$M$4))</f>
        <v/>
      </c>
      <c r="C369" s="1" t="str">
        <f ca="1">IF(A369="","",[1]!s_dq_close($C$1,A369,$M$4))</f>
        <v/>
      </c>
      <c r="D369" s="6" t="str">
        <f ca="1">IF($A369="","",[1]!s_dq_close(D$1,$A369,$M$4))</f>
        <v/>
      </c>
      <c r="E369" s="6" t="str">
        <f ca="1">IF($A369="","",[1]!s_dq_close(E$1,$A369,$M$4))</f>
        <v/>
      </c>
      <c r="F369" s="6" t="str">
        <f ca="1">IF($A369="","",[1]!s_dq_close(F$1,$A369,$M$4))</f>
        <v/>
      </c>
      <c r="G369" s="6"/>
      <c r="H369" s="6" t="str">
        <f ca="1">IF($A369="","",[1]!s_dq_close(H$1,$A369,$M$4))</f>
        <v/>
      </c>
      <c r="I369" s="6" t="str">
        <f ca="1">IF($A369="","",[1]!s_dq_close(I$1,$A369,$M$4))</f>
        <v/>
      </c>
      <c r="J369" s="6" t="str">
        <f t="shared" ca="1" si="6"/>
        <v/>
      </c>
    </row>
    <row r="370" spans="1:10">
      <c r="A370" s="2" t="str">
        <f ca="1">IF(A369="","",IF(IF(价差分析!$W$4="日",--[1]!td(A369-1),IF(价差分析!$W$4="周",--[1]!td(A369-7),--[1]!td(A369-30)))-价差分析!$T$4&gt;0,IF(价差分析!$W$4="日",--[1]!td(A369-1),IF(价差分析!$W$4="周",--[1]!td(A369-7),--[1]!td(A369-30))),""))</f>
        <v/>
      </c>
      <c r="B370" s="1" t="str">
        <f ca="1">IF(A370="","",[1]!s_dq_close($B$1,A370,$M$4))</f>
        <v/>
      </c>
      <c r="C370" s="1" t="str">
        <f ca="1">IF(A370="","",[1]!s_dq_close($C$1,A370,$M$4))</f>
        <v/>
      </c>
      <c r="D370" s="6" t="str">
        <f ca="1">IF($A370="","",[1]!s_dq_close(D$1,$A370,$M$4))</f>
        <v/>
      </c>
      <c r="E370" s="6" t="str">
        <f ca="1">IF($A370="","",[1]!s_dq_close(E$1,$A370,$M$4))</f>
        <v/>
      </c>
      <c r="F370" s="6" t="str">
        <f ca="1">IF($A370="","",[1]!s_dq_close(F$1,$A370,$M$4))</f>
        <v/>
      </c>
      <c r="G370" s="6"/>
      <c r="H370" s="6" t="str">
        <f ca="1">IF($A370="","",[1]!s_dq_close(H$1,$A370,$M$4))</f>
        <v/>
      </c>
      <c r="I370" s="6" t="str">
        <f ca="1">IF($A370="","",[1]!s_dq_close(I$1,$A370,$M$4))</f>
        <v/>
      </c>
      <c r="J370" s="6" t="str">
        <f t="shared" ca="1" si="6"/>
        <v/>
      </c>
    </row>
    <row r="371" spans="1:10">
      <c r="A371" s="2" t="str">
        <f ca="1">IF(A370="","",IF(IF(价差分析!$W$4="日",--[1]!td(A370-1),IF(价差分析!$W$4="周",--[1]!td(A370-7),--[1]!td(A370-30)))-价差分析!$T$4&gt;0,IF(价差分析!$W$4="日",--[1]!td(A370-1),IF(价差分析!$W$4="周",--[1]!td(A370-7),--[1]!td(A370-30))),""))</f>
        <v/>
      </c>
      <c r="B371" s="1" t="str">
        <f ca="1">IF(A371="","",[1]!s_dq_close($B$1,A371,$M$4))</f>
        <v/>
      </c>
      <c r="C371" s="1" t="str">
        <f ca="1">IF(A371="","",[1]!s_dq_close($C$1,A371,$M$4))</f>
        <v/>
      </c>
      <c r="D371" s="6" t="str">
        <f ca="1">IF($A371="","",[1]!s_dq_close(D$1,$A371,$M$4))</f>
        <v/>
      </c>
      <c r="E371" s="6" t="str">
        <f ca="1">IF($A371="","",[1]!s_dq_close(E$1,$A371,$M$4))</f>
        <v/>
      </c>
      <c r="F371" s="6" t="str">
        <f ca="1">IF($A371="","",[1]!s_dq_close(F$1,$A371,$M$4))</f>
        <v/>
      </c>
      <c r="G371" s="6"/>
      <c r="H371" s="6" t="str">
        <f ca="1">IF($A371="","",[1]!s_dq_close(H$1,$A371,$M$4))</f>
        <v/>
      </c>
      <c r="I371" s="6" t="str">
        <f ca="1">IF($A371="","",[1]!s_dq_close(I$1,$A371,$M$4))</f>
        <v/>
      </c>
      <c r="J371" s="6" t="str">
        <f t="shared" ca="1" si="6"/>
        <v/>
      </c>
    </row>
    <row r="372" spans="1:10">
      <c r="A372" s="2" t="str">
        <f ca="1">IF(A371="","",IF(IF(价差分析!$W$4="日",--[1]!td(A371-1),IF(价差分析!$W$4="周",--[1]!td(A371-7),--[1]!td(A371-30)))-价差分析!$T$4&gt;0,IF(价差分析!$W$4="日",--[1]!td(A371-1),IF(价差分析!$W$4="周",--[1]!td(A371-7),--[1]!td(A371-30))),""))</f>
        <v/>
      </c>
      <c r="B372" s="1" t="str">
        <f ca="1">IF(A372="","",[1]!s_dq_close($B$1,A372,$M$4))</f>
        <v/>
      </c>
      <c r="C372" s="1" t="str">
        <f ca="1">IF(A372="","",[1]!s_dq_close($C$1,A372,$M$4))</f>
        <v/>
      </c>
      <c r="D372" s="6" t="str">
        <f ca="1">IF($A372="","",[1]!s_dq_close(D$1,$A372,$M$4))</f>
        <v/>
      </c>
      <c r="E372" s="6" t="str">
        <f ca="1">IF($A372="","",[1]!s_dq_close(E$1,$A372,$M$4))</f>
        <v/>
      </c>
      <c r="F372" s="6" t="str">
        <f ca="1">IF($A372="","",[1]!s_dq_close(F$1,$A372,$M$4))</f>
        <v/>
      </c>
      <c r="G372" s="6"/>
      <c r="H372" s="6" t="str">
        <f ca="1">IF($A372="","",[1]!s_dq_close(H$1,$A372,$M$4))</f>
        <v/>
      </c>
      <c r="I372" s="6" t="str">
        <f ca="1">IF($A372="","",[1]!s_dq_close(I$1,$A372,$M$4))</f>
        <v/>
      </c>
      <c r="J372" s="6" t="str">
        <f t="shared" ca="1" si="6"/>
        <v/>
      </c>
    </row>
    <row r="373" spans="1:10">
      <c r="A373" s="2" t="str">
        <f ca="1">IF(A372="","",IF(IF(价差分析!$W$4="日",--[1]!td(A372-1),IF(价差分析!$W$4="周",--[1]!td(A372-7),--[1]!td(A372-30)))-价差分析!$T$4&gt;0,IF(价差分析!$W$4="日",--[1]!td(A372-1),IF(价差分析!$W$4="周",--[1]!td(A372-7),--[1]!td(A372-30))),""))</f>
        <v/>
      </c>
      <c r="B373" s="1" t="str">
        <f ca="1">IF(A373="","",[1]!s_dq_close($B$1,A373,$M$4))</f>
        <v/>
      </c>
      <c r="C373" s="1" t="str">
        <f ca="1">IF(A373="","",[1]!s_dq_close($C$1,A373,$M$4))</f>
        <v/>
      </c>
      <c r="D373" s="6" t="str">
        <f ca="1">IF($A373="","",[1]!s_dq_close(D$1,$A373,$M$4))</f>
        <v/>
      </c>
      <c r="E373" s="6" t="str">
        <f ca="1">IF($A373="","",[1]!s_dq_close(E$1,$A373,$M$4))</f>
        <v/>
      </c>
      <c r="F373" s="6" t="str">
        <f ca="1">IF($A373="","",[1]!s_dq_close(F$1,$A373,$M$4))</f>
        <v/>
      </c>
      <c r="G373" s="6"/>
      <c r="H373" s="6" t="str">
        <f ca="1">IF($A373="","",[1]!s_dq_close(H$1,$A373,$M$4))</f>
        <v/>
      </c>
      <c r="I373" s="6" t="str">
        <f ca="1">IF($A373="","",[1]!s_dq_close(I$1,$A373,$M$4))</f>
        <v/>
      </c>
      <c r="J373" s="6" t="str">
        <f t="shared" ca="1" si="6"/>
        <v/>
      </c>
    </row>
    <row r="374" spans="1:10">
      <c r="A374" s="2" t="str">
        <f ca="1">IF(A373="","",IF(IF(价差分析!$W$4="日",--[1]!td(A373-1),IF(价差分析!$W$4="周",--[1]!td(A373-7),--[1]!td(A373-30)))-价差分析!$T$4&gt;0,IF(价差分析!$W$4="日",--[1]!td(A373-1),IF(价差分析!$W$4="周",--[1]!td(A373-7),--[1]!td(A373-30))),""))</f>
        <v/>
      </c>
      <c r="B374" s="1" t="str">
        <f ca="1">IF(A374="","",[1]!s_dq_close($B$1,A374,$M$4))</f>
        <v/>
      </c>
      <c r="C374" s="1" t="str">
        <f ca="1">IF(A374="","",[1]!s_dq_close($C$1,A374,$M$4))</f>
        <v/>
      </c>
      <c r="D374" s="6" t="str">
        <f ca="1">IF($A374="","",[1]!s_dq_close(D$1,$A374,$M$4))</f>
        <v/>
      </c>
      <c r="E374" s="6" t="str">
        <f ca="1">IF($A374="","",[1]!s_dq_close(E$1,$A374,$M$4))</f>
        <v/>
      </c>
      <c r="F374" s="6" t="str">
        <f ca="1">IF($A374="","",[1]!s_dq_close(F$1,$A374,$M$4))</f>
        <v/>
      </c>
      <c r="G374" s="6"/>
      <c r="H374" s="6" t="str">
        <f ca="1">IF($A374="","",[1]!s_dq_close(H$1,$A374,$M$4))</f>
        <v/>
      </c>
      <c r="I374" s="6" t="str">
        <f ca="1">IF($A374="","",[1]!s_dq_close(I$1,$A374,$M$4))</f>
        <v/>
      </c>
      <c r="J374" s="6" t="str">
        <f t="shared" ca="1" si="6"/>
        <v/>
      </c>
    </row>
    <row r="375" spans="1:10">
      <c r="A375" s="2" t="str">
        <f ca="1">IF(A374="","",IF(IF(价差分析!$W$4="日",--[1]!td(A374-1),IF(价差分析!$W$4="周",--[1]!td(A374-7),--[1]!td(A374-30)))-价差分析!$T$4&gt;0,IF(价差分析!$W$4="日",--[1]!td(A374-1),IF(价差分析!$W$4="周",--[1]!td(A374-7),--[1]!td(A374-30))),""))</f>
        <v/>
      </c>
      <c r="B375" s="1" t="str">
        <f ca="1">IF(A375="","",[1]!s_dq_close($B$1,A375,$M$4))</f>
        <v/>
      </c>
      <c r="C375" s="1" t="str">
        <f ca="1">IF(A375="","",[1]!s_dq_close($C$1,A375,$M$4))</f>
        <v/>
      </c>
      <c r="D375" s="6" t="str">
        <f ca="1">IF($A375="","",[1]!s_dq_close(D$1,$A375,$M$4))</f>
        <v/>
      </c>
      <c r="E375" s="6" t="str">
        <f ca="1">IF($A375="","",[1]!s_dq_close(E$1,$A375,$M$4))</f>
        <v/>
      </c>
      <c r="F375" s="6" t="str">
        <f ca="1">IF($A375="","",[1]!s_dq_close(F$1,$A375,$M$4))</f>
        <v/>
      </c>
      <c r="G375" s="6"/>
      <c r="H375" s="6" t="str">
        <f ca="1">IF($A375="","",[1]!s_dq_close(H$1,$A375,$M$4))</f>
        <v/>
      </c>
      <c r="I375" s="6" t="str">
        <f ca="1">IF($A375="","",[1]!s_dq_close(I$1,$A375,$M$4))</f>
        <v/>
      </c>
      <c r="J375" s="6" t="str">
        <f t="shared" ca="1" si="6"/>
        <v/>
      </c>
    </row>
    <row r="376" spans="1:10">
      <c r="A376" s="2" t="str">
        <f ca="1">IF(A375="","",IF(IF(价差分析!$W$4="日",--[1]!td(A375-1),IF(价差分析!$W$4="周",--[1]!td(A375-7),--[1]!td(A375-30)))-价差分析!$T$4&gt;0,IF(价差分析!$W$4="日",--[1]!td(A375-1),IF(价差分析!$W$4="周",--[1]!td(A375-7),--[1]!td(A375-30))),""))</f>
        <v/>
      </c>
      <c r="B376" s="1" t="str">
        <f ca="1">IF(A376="","",[1]!s_dq_close($B$1,A376,$M$4))</f>
        <v/>
      </c>
      <c r="C376" s="1" t="str">
        <f ca="1">IF(A376="","",[1]!s_dq_close($C$1,A376,$M$4))</f>
        <v/>
      </c>
      <c r="D376" s="6" t="str">
        <f ca="1">IF($A376="","",[1]!s_dq_close(D$1,$A376,$M$4))</f>
        <v/>
      </c>
      <c r="E376" s="6" t="str">
        <f ca="1">IF($A376="","",[1]!s_dq_close(E$1,$A376,$M$4))</f>
        <v/>
      </c>
      <c r="F376" s="6" t="str">
        <f ca="1">IF($A376="","",[1]!s_dq_close(F$1,$A376,$M$4))</f>
        <v/>
      </c>
      <c r="G376" s="6"/>
      <c r="H376" s="6" t="str">
        <f ca="1">IF($A376="","",[1]!s_dq_close(H$1,$A376,$M$4))</f>
        <v/>
      </c>
      <c r="I376" s="6" t="str">
        <f ca="1">IF($A376="","",[1]!s_dq_close(I$1,$A376,$M$4))</f>
        <v/>
      </c>
      <c r="J376" s="6" t="str">
        <f t="shared" ca="1" si="6"/>
        <v/>
      </c>
    </row>
    <row r="377" spans="1:10">
      <c r="A377" s="2" t="str">
        <f ca="1">IF(A376="","",IF(IF(价差分析!$W$4="日",--[1]!td(A376-1),IF(价差分析!$W$4="周",--[1]!td(A376-7),--[1]!td(A376-30)))-价差分析!$T$4&gt;0,IF(价差分析!$W$4="日",--[1]!td(A376-1),IF(价差分析!$W$4="周",--[1]!td(A376-7),--[1]!td(A376-30))),""))</f>
        <v/>
      </c>
      <c r="B377" s="1" t="str">
        <f ca="1">IF(A377="","",[1]!s_dq_close($B$1,A377,$M$4))</f>
        <v/>
      </c>
      <c r="C377" s="1" t="str">
        <f ca="1">IF(A377="","",[1]!s_dq_close($C$1,A377,$M$4))</f>
        <v/>
      </c>
      <c r="D377" s="6" t="str">
        <f ca="1">IF($A377="","",[1]!s_dq_close(D$1,$A377,$M$4))</f>
        <v/>
      </c>
      <c r="E377" s="6" t="str">
        <f ca="1">IF($A377="","",[1]!s_dq_close(E$1,$A377,$M$4))</f>
        <v/>
      </c>
      <c r="F377" s="6" t="str">
        <f ca="1">IF($A377="","",[1]!s_dq_close(F$1,$A377,$M$4))</f>
        <v/>
      </c>
      <c r="G377" s="6"/>
      <c r="H377" s="6" t="str">
        <f ca="1">IF($A377="","",[1]!s_dq_close(H$1,$A377,$M$4))</f>
        <v/>
      </c>
      <c r="I377" s="6" t="str">
        <f ca="1">IF($A377="","",[1]!s_dq_close(I$1,$A377,$M$4))</f>
        <v/>
      </c>
      <c r="J377" s="6" t="str">
        <f t="shared" ca="1" si="6"/>
        <v/>
      </c>
    </row>
    <row r="378" spans="1:10">
      <c r="A378" s="2" t="str">
        <f ca="1">IF(A377="","",IF(IF(价差分析!$W$4="日",--[1]!td(A377-1),IF(价差分析!$W$4="周",--[1]!td(A377-7),--[1]!td(A377-30)))-价差分析!$T$4&gt;0,IF(价差分析!$W$4="日",--[1]!td(A377-1),IF(价差分析!$W$4="周",--[1]!td(A377-7),--[1]!td(A377-30))),""))</f>
        <v/>
      </c>
      <c r="B378" s="1" t="str">
        <f ca="1">IF(A378="","",[1]!s_dq_close($B$1,A378,$M$4))</f>
        <v/>
      </c>
      <c r="C378" s="1" t="str">
        <f ca="1">IF(A378="","",[1]!s_dq_close($C$1,A378,$M$4))</f>
        <v/>
      </c>
      <c r="D378" s="6" t="str">
        <f ca="1">IF($A378="","",[1]!s_dq_close(D$1,$A378,$M$4))</f>
        <v/>
      </c>
      <c r="E378" s="6" t="str">
        <f ca="1">IF($A378="","",[1]!s_dq_close(E$1,$A378,$M$4))</f>
        <v/>
      </c>
      <c r="F378" s="6" t="str">
        <f ca="1">IF($A378="","",[1]!s_dq_close(F$1,$A378,$M$4))</f>
        <v/>
      </c>
      <c r="G378" s="6"/>
      <c r="H378" s="6" t="str">
        <f ca="1">IF($A378="","",[1]!s_dq_close(H$1,$A378,$M$4))</f>
        <v/>
      </c>
      <c r="I378" s="6" t="str">
        <f ca="1">IF($A378="","",[1]!s_dq_close(I$1,$A378,$M$4))</f>
        <v/>
      </c>
      <c r="J378" s="6" t="str">
        <f t="shared" ca="1" si="6"/>
        <v/>
      </c>
    </row>
    <row r="379" spans="1:10">
      <c r="A379" s="2" t="str">
        <f ca="1">IF(A378="","",IF(IF(价差分析!$W$4="日",--[1]!td(A378-1),IF(价差分析!$W$4="周",--[1]!td(A378-7),--[1]!td(A378-30)))-价差分析!$T$4&gt;0,IF(价差分析!$W$4="日",--[1]!td(A378-1),IF(价差分析!$W$4="周",--[1]!td(A378-7),--[1]!td(A378-30))),""))</f>
        <v/>
      </c>
      <c r="B379" s="1" t="str">
        <f ca="1">IF(A379="","",[1]!s_dq_close($B$1,A379,$M$4))</f>
        <v/>
      </c>
      <c r="C379" s="1" t="str">
        <f ca="1">IF(A379="","",[1]!s_dq_close($C$1,A379,$M$4))</f>
        <v/>
      </c>
      <c r="D379" s="6" t="str">
        <f ca="1">IF($A379="","",[1]!s_dq_close(D$1,$A379,$M$4))</f>
        <v/>
      </c>
      <c r="E379" s="6" t="str">
        <f ca="1">IF($A379="","",[1]!s_dq_close(E$1,$A379,$M$4))</f>
        <v/>
      </c>
      <c r="F379" s="6" t="str">
        <f ca="1">IF($A379="","",[1]!s_dq_close(F$1,$A379,$M$4))</f>
        <v/>
      </c>
      <c r="G379" s="6"/>
      <c r="H379" s="6" t="str">
        <f ca="1">IF($A379="","",[1]!s_dq_close(H$1,$A379,$M$4))</f>
        <v/>
      </c>
      <c r="I379" s="6" t="str">
        <f ca="1">IF($A379="","",[1]!s_dq_close(I$1,$A379,$M$4))</f>
        <v/>
      </c>
      <c r="J379" s="6" t="str">
        <f t="shared" ca="1" si="6"/>
        <v/>
      </c>
    </row>
    <row r="380" spans="1:10">
      <c r="A380" s="2" t="str">
        <f ca="1">IF(A379="","",IF(IF(价差分析!$W$4="日",--[1]!td(A379-1),IF(价差分析!$W$4="周",--[1]!td(A379-7),--[1]!td(A379-30)))-价差分析!$T$4&gt;0,IF(价差分析!$W$4="日",--[1]!td(A379-1),IF(价差分析!$W$4="周",--[1]!td(A379-7),--[1]!td(A379-30))),""))</f>
        <v/>
      </c>
      <c r="B380" s="1" t="str">
        <f ca="1">IF(A380="","",[1]!s_dq_close($B$1,A380,$M$4))</f>
        <v/>
      </c>
      <c r="C380" s="1" t="str">
        <f ca="1">IF(A380="","",[1]!s_dq_close($C$1,A380,$M$4))</f>
        <v/>
      </c>
      <c r="D380" s="6" t="str">
        <f ca="1">IF($A380="","",[1]!s_dq_close(D$1,$A380,$M$4))</f>
        <v/>
      </c>
      <c r="E380" s="6" t="str">
        <f ca="1">IF($A380="","",[1]!s_dq_close(E$1,$A380,$M$4))</f>
        <v/>
      </c>
      <c r="F380" s="6" t="str">
        <f ca="1">IF($A380="","",[1]!s_dq_close(F$1,$A380,$M$4))</f>
        <v/>
      </c>
      <c r="G380" s="6"/>
      <c r="H380" s="6" t="str">
        <f ca="1">IF($A380="","",[1]!s_dq_close(H$1,$A380,$M$4))</f>
        <v/>
      </c>
      <c r="I380" s="6" t="str">
        <f ca="1">IF($A380="","",[1]!s_dq_close(I$1,$A380,$M$4))</f>
        <v/>
      </c>
      <c r="J380" s="6" t="str">
        <f t="shared" ca="1" si="6"/>
        <v/>
      </c>
    </row>
    <row r="381" spans="1:10">
      <c r="A381" s="2" t="str">
        <f ca="1">IF(A380="","",IF(IF(价差分析!$W$4="日",--[1]!td(A380-1),IF(价差分析!$W$4="周",--[1]!td(A380-7),--[1]!td(A380-30)))-价差分析!$T$4&gt;0,IF(价差分析!$W$4="日",--[1]!td(A380-1),IF(价差分析!$W$4="周",--[1]!td(A380-7),--[1]!td(A380-30))),""))</f>
        <v/>
      </c>
      <c r="B381" s="1" t="str">
        <f ca="1">IF(A381="","",[1]!s_dq_close($B$1,A381,$M$4))</f>
        <v/>
      </c>
      <c r="C381" s="1" t="str">
        <f ca="1">IF(A381="","",[1]!s_dq_close($C$1,A381,$M$4))</f>
        <v/>
      </c>
      <c r="D381" s="6" t="str">
        <f ca="1">IF($A381="","",[1]!s_dq_close(D$1,$A381,$M$4))</f>
        <v/>
      </c>
      <c r="E381" s="6" t="str">
        <f ca="1">IF($A381="","",[1]!s_dq_close(E$1,$A381,$M$4))</f>
        <v/>
      </c>
      <c r="F381" s="6" t="str">
        <f ca="1">IF($A381="","",[1]!s_dq_close(F$1,$A381,$M$4))</f>
        <v/>
      </c>
      <c r="G381" s="6"/>
      <c r="H381" s="6" t="str">
        <f ca="1">IF($A381="","",[1]!s_dq_close(H$1,$A381,$M$4))</f>
        <v/>
      </c>
      <c r="I381" s="6" t="str">
        <f ca="1">IF($A381="","",[1]!s_dq_close(I$1,$A381,$M$4))</f>
        <v/>
      </c>
      <c r="J381" s="6" t="str">
        <f t="shared" ca="1" si="6"/>
        <v/>
      </c>
    </row>
    <row r="382" spans="1:10">
      <c r="A382" s="2" t="str">
        <f ca="1">IF(A381="","",IF(IF(价差分析!$W$4="日",--[1]!td(A381-1),IF(价差分析!$W$4="周",--[1]!td(A381-7),--[1]!td(A381-30)))-价差分析!$T$4&gt;0,IF(价差分析!$W$4="日",--[1]!td(A381-1),IF(价差分析!$W$4="周",--[1]!td(A381-7),--[1]!td(A381-30))),""))</f>
        <v/>
      </c>
      <c r="B382" s="1" t="str">
        <f ca="1">IF(A382="","",[1]!s_dq_close($B$1,A382,$M$4))</f>
        <v/>
      </c>
      <c r="C382" s="1" t="str">
        <f ca="1">IF(A382="","",[1]!s_dq_close($C$1,A382,$M$4))</f>
        <v/>
      </c>
      <c r="D382" s="6" t="str">
        <f ca="1">IF($A382="","",[1]!s_dq_close(D$1,$A382,$M$4))</f>
        <v/>
      </c>
      <c r="E382" s="6" t="str">
        <f ca="1">IF($A382="","",[1]!s_dq_close(E$1,$A382,$M$4))</f>
        <v/>
      </c>
      <c r="F382" s="6" t="str">
        <f ca="1">IF($A382="","",[1]!s_dq_close(F$1,$A382,$M$4))</f>
        <v/>
      </c>
      <c r="G382" s="6"/>
      <c r="H382" s="6" t="str">
        <f ca="1">IF($A382="","",[1]!s_dq_close(H$1,$A382,$M$4))</f>
        <v/>
      </c>
      <c r="I382" s="6" t="str">
        <f ca="1">IF($A382="","",[1]!s_dq_close(I$1,$A382,$M$4))</f>
        <v/>
      </c>
      <c r="J382" s="6" t="str">
        <f t="shared" ca="1" si="6"/>
        <v/>
      </c>
    </row>
    <row r="383" spans="1:10">
      <c r="A383" s="2" t="str">
        <f ca="1">IF(A382="","",IF(IF(价差分析!$W$4="日",--[1]!td(A382-1),IF(价差分析!$W$4="周",--[1]!td(A382-7),--[1]!td(A382-30)))-价差分析!$T$4&gt;0,IF(价差分析!$W$4="日",--[1]!td(A382-1),IF(价差分析!$W$4="周",--[1]!td(A382-7),--[1]!td(A382-30))),""))</f>
        <v/>
      </c>
      <c r="B383" s="1" t="str">
        <f ca="1">IF(A383="","",[1]!s_dq_close($B$1,A383,$M$4))</f>
        <v/>
      </c>
      <c r="C383" s="1" t="str">
        <f ca="1">IF(A383="","",[1]!s_dq_close($C$1,A383,$M$4))</f>
        <v/>
      </c>
      <c r="D383" s="6" t="str">
        <f ca="1">IF($A383="","",[1]!s_dq_close(D$1,$A383,$M$4))</f>
        <v/>
      </c>
      <c r="E383" s="6" t="str">
        <f ca="1">IF($A383="","",[1]!s_dq_close(E$1,$A383,$M$4))</f>
        <v/>
      </c>
      <c r="F383" s="6" t="str">
        <f ca="1">IF($A383="","",[1]!s_dq_close(F$1,$A383,$M$4))</f>
        <v/>
      </c>
      <c r="G383" s="6"/>
      <c r="H383" s="6" t="str">
        <f ca="1">IF($A383="","",[1]!s_dq_close(H$1,$A383,$M$4))</f>
        <v/>
      </c>
      <c r="I383" s="6" t="str">
        <f ca="1">IF($A383="","",[1]!s_dq_close(I$1,$A383,$M$4))</f>
        <v/>
      </c>
      <c r="J383" s="6" t="str">
        <f t="shared" ca="1" si="6"/>
        <v/>
      </c>
    </row>
    <row r="384" spans="1:10">
      <c r="A384" s="2" t="str">
        <f ca="1">IF(A383="","",IF(IF(价差分析!$W$4="日",--[1]!td(A383-1),IF(价差分析!$W$4="周",--[1]!td(A383-7),--[1]!td(A383-30)))-价差分析!$T$4&gt;0,IF(价差分析!$W$4="日",--[1]!td(A383-1),IF(价差分析!$W$4="周",--[1]!td(A383-7),--[1]!td(A383-30))),""))</f>
        <v/>
      </c>
      <c r="B384" s="1" t="str">
        <f ca="1">IF(A384="","",[1]!s_dq_close($B$1,A384,$M$4))</f>
        <v/>
      </c>
      <c r="C384" s="1" t="str">
        <f ca="1">IF(A384="","",[1]!s_dq_close($C$1,A384,$M$4))</f>
        <v/>
      </c>
      <c r="D384" s="6" t="str">
        <f ca="1">IF($A384="","",[1]!s_dq_close(D$1,$A384,$M$4))</f>
        <v/>
      </c>
      <c r="E384" s="6" t="str">
        <f ca="1">IF($A384="","",[1]!s_dq_close(E$1,$A384,$M$4))</f>
        <v/>
      </c>
      <c r="F384" s="6" t="str">
        <f ca="1">IF($A384="","",[1]!s_dq_close(F$1,$A384,$M$4))</f>
        <v/>
      </c>
      <c r="G384" s="6"/>
      <c r="H384" s="6" t="str">
        <f ca="1">IF($A384="","",[1]!s_dq_close(H$1,$A384,$M$4))</f>
        <v/>
      </c>
      <c r="I384" s="6" t="str">
        <f ca="1">IF($A384="","",[1]!s_dq_close(I$1,$A384,$M$4))</f>
        <v/>
      </c>
      <c r="J384" s="6" t="str">
        <f t="shared" ca="1" si="6"/>
        <v/>
      </c>
    </row>
    <row r="385" spans="1:10">
      <c r="A385" s="2" t="str">
        <f ca="1">IF(A384="","",IF(IF(价差分析!$W$4="日",--[1]!td(A384-1),IF(价差分析!$W$4="周",--[1]!td(A384-7),--[1]!td(A384-30)))-价差分析!$T$4&gt;0,IF(价差分析!$W$4="日",--[1]!td(A384-1),IF(价差分析!$W$4="周",--[1]!td(A384-7),--[1]!td(A384-30))),""))</f>
        <v/>
      </c>
      <c r="B385" s="1" t="str">
        <f ca="1">IF(A385="","",[1]!s_dq_close($B$1,A385,$M$4))</f>
        <v/>
      </c>
      <c r="C385" s="1" t="str">
        <f ca="1">IF(A385="","",[1]!s_dq_close($C$1,A385,$M$4))</f>
        <v/>
      </c>
      <c r="D385" s="6" t="str">
        <f ca="1">IF($A385="","",[1]!s_dq_close(D$1,$A385,$M$4))</f>
        <v/>
      </c>
      <c r="E385" s="6" t="str">
        <f ca="1">IF($A385="","",[1]!s_dq_close(E$1,$A385,$M$4))</f>
        <v/>
      </c>
      <c r="F385" s="6" t="str">
        <f ca="1">IF($A385="","",[1]!s_dq_close(F$1,$A385,$M$4))</f>
        <v/>
      </c>
      <c r="G385" s="6"/>
      <c r="H385" s="6" t="str">
        <f ca="1">IF($A385="","",[1]!s_dq_close(H$1,$A385,$M$4))</f>
        <v/>
      </c>
      <c r="I385" s="6" t="str">
        <f ca="1">IF($A385="","",[1]!s_dq_close(I$1,$A385,$M$4))</f>
        <v/>
      </c>
      <c r="J385" s="6" t="str">
        <f t="shared" ca="1" si="6"/>
        <v/>
      </c>
    </row>
    <row r="386" spans="1:10">
      <c r="A386" s="2" t="str">
        <f ca="1">IF(A385="","",IF(IF(价差分析!$W$4="日",--[1]!td(A385-1),IF(价差分析!$W$4="周",--[1]!td(A385-7),--[1]!td(A385-30)))-价差分析!$T$4&gt;0,IF(价差分析!$W$4="日",--[1]!td(A385-1),IF(价差分析!$W$4="周",--[1]!td(A385-7),--[1]!td(A385-30))),""))</f>
        <v/>
      </c>
      <c r="B386" s="1" t="str">
        <f ca="1">IF(A386="","",[1]!s_dq_close($B$1,A386,$M$4))</f>
        <v/>
      </c>
      <c r="C386" s="1" t="str">
        <f ca="1">IF(A386="","",[1]!s_dq_close($C$1,A386,$M$4))</f>
        <v/>
      </c>
      <c r="D386" s="6" t="str">
        <f ca="1">IF($A386="","",[1]!s_dq_close(D$1,$A386,$M$4))</f>
        <v/>
      </c>
      <c r="E386" s="6" t="str">
        <f ca="1">IF($A386="","",[1]!s_dq_close(E$1,$A386,$M$4))</f>
        <v/>
      </c>
      <c r="F386" s="6" t="str">
        <f ca="1">IF($A386="","",[1]!s_dq_close(F$1,$A386,$M$4))</f>
        <v/>
      </c>
      <c r="G386" s="6"/>
      <c r="H386" s="6" t="str">
        <f ca="1">IF($A386="","",[1]!s_dq_close(H$1,$A386,$M$4))</f>
        <v/>
      </c>
      <c r="I386" s="6" t="str">
        <f ca="1">IF($A386="","",[1]!s_dq_close(I$1,$A386,$M$4))</f>
        <v/>
      </c>
      <c r="J386" s="6" t="str">
        <f t="shared" ca="1" si="6"/>
        <v/>
      </c>
    </row>
    <row r="387" spans="1:10">
      <c r="A387" s="2" t="str">
        <f ca="1">IF(A386="","",IF(IF(价差分析!$W$4="日",--[1]!td(A386-1),IF(价差分析!$W$4="周",--[1]!td(A386-7),--[1]!td(A386-30)))-价差分析!$T$4&gt;0,IF(价差分析!$W$4="日",--[1]!td(A386-1),IF(价差分析!$W$4="周",--[1]!td(A386-7),--[1]!td(A386-30))),""))</f>
        <v/>
      </c>
      <c r="B387" s="1" t="str">
        <f ca="1">IF(A387="","",[1]!s_dq_close($B$1,A387,$M$4))</f>
        <v/>
      </c>
      <c r="C387" s="1" t="str">
        <f ca="1">IF(A387="","",[1]!s_dq_close($C$1,A387,$M$4))</f>
        <v/>
      </c>
      <c r="D387" s="6" t="str">
        <f ca="1">IF($A387="","",[1]!s_dq_close(D$1,$A387,$M$4))</f>
        <v/>
      </c>
      <c r="E387" s="6" t="str">
        <f ca="1">IF($A387="","",[1]!s_dq_close(E$1,$A387,$M$4))</f>
        <v/>
      </c>
      <c r="F387" s="6" t="str">
        <f ca="1">IF($A387="","",[1]!s_dq_close(F$1,$A387,$M$4))</f>
        <v/>
      </c>
      <c r="G387" s="6"/>
      <c r="H387" s="6" t="str">
        <f ca="1">IF($A387="","",[1]!s_dq_close(H$1,$A387,$M$4))</f>
        <v/>
      </c>
      <c r="I387" s="6" t="str">
        <f ca="1">IF($A387="","",[1]!s_dq_close(I$1,$A387,$M$4))</f>
        <v/>
      </c>
      <c r="J387" s="6" t="str">
        <f t="shared" ca="1" si="6"/>
        <v/>
      </c>
    </row>
    <row r="388" spans="1:10">
      <c r="A388" s="2" t="str">
        <f ca="1">IF(A387="","",IF(IF(价差分析!$W$4="日",--[1]!td(A387-1),IF(价差分析!$W$4="周",--[1]!td(A387-7),--[1]!td(A387-30)))-价差分析!$T$4&gt;0,IF(价差分析!$W$4="日",--[1]!td(A387-1),IF(价差分析!$W$4="周",--[1]!td(A387-7),--[1]!td(A387-30))),""))</f>
        <v/>
      </c>
      <c r="B388" s="1" t="str">
        <f ca="1">IF(A388="","",[1]!s_dq_close($B$1,A388,$M$4))</f>
        <v/>
      </c>
      <c r="C388" s="1" t="str">
        <f ca="1">IF(A388="","",[1]!s_dq_close($C$1,A388,$M$4))</f>
        <v/>
      </c>
      <c r="D388" s="6" t="str">
        <f ca="1">IF($A388="","",[1]!s_dq_close(D$1,$A388,$M$4))</f>
        <v/>
      </c>
      <c r="E388" s="6" t="str">
        <f ca="1">IF($A388="","",[1]!s_dq_close(E$1,$A388,$M$4))</f>
        <v/>
      </c>
      <c r="F388" s="6" t="str">
        <f ca="1">IF($A388="","",[1]!s_dq_close(F$1,$A388,$M$4))</f>
        <v/>
      </c>
      <c r="G388" s="6"/>
      <c r="H388" s="6" t="str">
        <f ca="1">IF($A388="","",[1]!s_dq_close(H$1,$A388,$M$4))</f>
        <v/>
      </c>
      <c r="I388" s="6" t="str">
        <f ca="1">IF($A388="","",[1]!s_dq_close(I$1,$A388,$M$4))</f>
        <v/>
      </c>
      <c r="J388" s="6" t="str">
        <f t="shared" ca="1" si="6"/>
        <v/>
      </c>
    </row>
    <row r="389" spans="1:10">
      <c r="A389" s="2" t="str">
        <f ca="1">IF(A388="","",IF(IF(价差分析!$W$4="日",--[1]!td(A388-1),IF(价差分析!$W$4="周",--[1]!td(A388-7),--[1]!td(A388-30)))-价差分析!$T$4&gt;0,IF(价差分析!$W$4="日",--[1]!td(A388-1),IF(价差分析!$W$4="周",--[1]!td(A388-7),--[1]!td(A388-30))),""))</f>
        <v/>
      </c>
      <c r="B389" s="1" t="str">
        <f ca="1">IF(A389="","",[1]!s_dq_close($B$1,A389,$M$4))</f>
        <v/>
      </c>
      <c r="C389" s="1" t="str">
        <f ca="1">IF(A389="","",[1]!s_dq_close($C$1,A389,$M$4))</f>
        <v/>
      </c>
      <c r="D389" s="6" t="str">
        <f ca="1">IF($A389="","",[1]!s_dq_close(D$1,$A389,$M$4))</f>
        <v/>
      </c>
      <c r="E389" s="6" t="str">
        <f ca="1">IF($A389="","",[1]!s_dq_close(E$1,$A389,$M$4))</f>
        <v/>
      </c>
      <c r="F389" s="6" t="str">
        <f ca="1">IF($A389="","",[1]!s_dq_close(F$1,$A389,$M$4))</f>
        <v/>
      </c>
      <c r="G389" s="6"/>
      <c r="H389" s="6" t="str">
        <f ca="1">IF($A389="","",[1]!s_dq_close(H$1,$A389,$M$4))</f>
        <v/>
      </c>
      <c r="I389" s="6" t="str">
        <f ca="1">IF($A389="","",[1]!s_dq_close(I$1,$A389,$M$4))</f>
        <v/>
      </c>
      <c r="J389" s="6" t="str">
        <f t="shared" ref="J389:J452" ca="1" si="7">IF(H389="","",H389-I389)</f>
        <v/>
      </c>
    </row>
    <row r="390" spans="1:10">
      <c r="A390" s="2" t="str">
        <f ca="1">IF(A389="","",IF(IF(价差分析!$W$4="日",--[1]!td(A389-1),IF(价差分析!$W$4="周",--[1]!td(A389-7),--[1]!td(A389-30)))-价差分析!$T$4&gt;0,IF(价差分析!$W$4="日",--[1]!td(A389-1),IF(价差分析!$W$4="周",--[1]!td(A389-7),--[1]!td(A389-30))),""))</f>
        <v/>
      </c>
      <c r="B390" s="1" t="str">
        <f ca="1">IF(A390="","",[1]!s_dq_close($B$1,A390,$M$4))</f>
        <v/>
      </c>
      <c r="C390" s="1" t="str">
        <f ca="1">IF(A390="","",[1]!s_dq_close($C$1,A390,$M$4))</f>
        <v/>
      </c>
      <c r="D390" s="6" t="str">
        <f ca="1">IF($A390="","",[1]!s_dq_close(D$1,$A390,$M$4))</f>
        <v/>
      </c>
      <c r="E390" s="6" t="str">
        <f ca="1">IF($A390="","",[1]!s_dq_close(E$1,$A390,$M$4))</f>
        <v/>
      </c>
      <c r="F390" s="6" t="str">
        <f ca="1">IF($A390="","",[1]!s_dq_close(F$1,$A390,$M$4))</f>
        <v/>
      </c>
      <c r="G390" s="6"/>
      <c r="H390" s="6" t="str">
        <f ca="1">IF($A390="","",[1]!s_dq_close(H$1,$A390,$M$4))</f>
        <v/>
      </c>
      <c r="I390" s="6" t="str">
        <f ca="1">IF($A390="","",[1]!s_dq_close(I$1,$A390,$M$4))</f>
        <v/>
      </c>
      <c r="J390" s="6" t="str">
        <f t="shared" ca="1" si="7"/>
        <v/>
      </c>
    </row>
    <row r="391" spans="1:10">
      <c r="A391" s="2" t="str">
        <f ca="1">IF(A390="","",IF(IF(价差分析!$W$4="日",--[1]!td(A390-1),IF(价差分析!$W$4="周",--[1]!td(A390-7),--[1]!td(A390-30)))-价差分析!$T$4&gt;0,IF(价差分析!$W$4="日",--[1]!td(A390-1),IF(价差分析!$W$4="周",--[1]!td(A390-7),--[1]!td(A390-30))),""))</f>
        <v/>
      </c>
      <c r="B391" s="1" t="str">
        <f ca="1">IF(A391="","",[1]!s_dq_close($B$1,A391,$M$4))</f>
        <v/>
      </c>
      <c r="C391" s="1" t="str">
        <f ca="1">IF(A391="","",[1]!s_dq_close($C$1,A391,$M$4))</f>
        <v/>
      </c>
      <c r="D391" s="6" t="str">
        <f ca="1">IF($A391="","",[1]!s_dq_close(D$1,$A391,$M$4))</f>
        <v/>
      </c>
      <c r="E391" s="6" t="str">
        <f ca="1">IF($A391="","",[1]!s_dq_close(E$1,$A391,$M$4))</f>
        <v/>
      </c>
      <c r="F391" s="6" t="str">
        <f ca="1">IF($A391="","",[1]!s_dq_close(F$1,$A391,$M$4))</f>
        <v/>
      </c>
      <c r="G391" s="6"/>
      <c r="H391" s="6" t="str">
        <f ca="1">IF($A391="","",[1]!s_dq_close(H$1,$A391,$M$4))</f>
        <v/>
      </c>
      <c r="I391" s="6" t="str">
        <f ca="1">IF($A391="","",[1]!s_dq_close(I$1,$A391,$M$4))</f>
        <v/>
      </c>
      <c r="J391" s="6" t="str">
        <f t="shared" ca="1" si="7"/>
        <v/>
      </c>
    </row>
    <row r="392" spans="1:10">
      <c r="A392" s="2" t="str">
        <f ca="1">IF(A391="","",IF(IF(价差分析!$W$4="日",--[1]!td(A391-1),IF(价差分析!$W$4="周",--[1]!td(A391-7),--[1]!td(A391-30)))-价差分析!$T$4&gt;0,IF(价差分析!$W$4="日",--[1]!td(A391-1),IF(价差分析!$W$4="周",--[1]!td(A391-7),--[1]!td(A391-30))),""))</f>
        <v/>
      </c>
      <c r="B392" s="1" t="str">
        <f ca="1">IF(A392="","",[1]!s_dq_close($B$1,A392,$M$4))</f>
        <v/>
      </c>
      <c r="C392" s="1" t="str">
        <f ca="1">IF(A392="","",[1]!s_dq_close($C$1,A392,$M$4))</f>
        <v/>
      </c>
      <c r="D392" s="6" t="str">
        <f ca="1">IF($A392="","",[1]!s_dq_close(D$1,$A392,$M$4))</f>
        <v/>
      </c>
      <c r="E392" s="6" t="str">
        <f ca="1">IF($A392="","",[1]!s_dq_close(E$1,$A392,$M$4))</f>
        <v/>
      </c>
      <c r="F392" s="6" t="str">
        <f ca="1">IF($A392="","",[1]!s_dq_close(F$1,$A392,$M$4))</f>
        <v/>
      </c>
      <c r="G392" s="6"/>
      <c r="H392" s="6" t="str">
        <f ca="1">IF($A392="","",[1]!s_dq_close(H$1,$A392,$M$4))</f>
        <v/>
      </c>
      <c r="I392" s="6" t="str">
        <f ca="1">IF($A392="","",[1]!s_dq_close(I$1,$A392,$M$4))</f>
        <v/>
      </c>
      <c r="J392" s="6" t="str">
        <f t="shared" ca="1" si="7"/>
        <v/>
      </c>
    </row>
    <row r="393" spans="1:10">
      <c r="A393" s="2" t="str">
        <f ca="1">IF(A392="","",IF(IF(价差分析!$W$4="日",--[1]!td(A392-1),IF(价差分析!$W$4="周",--[1]!td(A392-7),--[1]!td(A392-30)))-价差分析!$T$4&gt;0,IF(价差分析!$W$4="日",--[1]!td(A392-1),IF(价差分析!$W$4="周",--[1]!td(A392-7),--[1]!td(A392-30))),""))</f>
        <v/>
      </c>
      <c r="B393" s="1" t="str">
        <f ca="1">IF(A393="","",[1]!s_dq_close($B$1,A393,$M$4))</f>
        <v/>
      </c>
      <c r="C393" s="1" t="str">
        <f ca="1">IF(A393="","",[1]!s_dq_close($C$1,A393,$M$4))</f>
        <v/>
      </c>
      <c r="D393" s="6" t="str">
        <f ca="1">IF($A393="","",[1]!s_dq_close(D$1,$A393,$M$4))</f>
        <v/>
      </c>
      <c r="E393" s="6" t="str">
        <f ca="1">IF($A393="","",[1]!s_dq_close(E$1,$A393,$M$4))</f>
        <v/>
      </c>
      <c r="F393" s="6" t="str">
        <f ca="1">IF($A393="","",[1]!s_dq_close(F$1,$A393,$M$4))</f>
        <v/>
      </c>
      <c r="G393" s="6"/>
      <c r="H393" s="6" t="str">
        <f ca="1">IF($A393="","",[1]!s_dq_close(H$1,$A393,$M$4))</f>
        <v/>
      </c>
      <c r="I393" s="6" t="str">
        <f ca="1">IF($A393="","",[1]!s_dq_close(I$1,$A393,$M$4))</f>
        <v/>
      </c>
      <c r="J393" s="6" t="str">
        <f t="shared" ca="1" si="7"/>
        <v/>
      </c>
    </row>
    <row r="394" spans="1:10">
      <c r="A394" s="2" t="str">
        <f ca="1">IF(A393="","",IF(IF(价差分析!$W$4="日",--[1]!td(A393-1),IF(价差分析!$W$4="周",--[1]!td(A393-7),--[1]!td(A393-30)))-价差分析!$T$4&gt;0,IF(价差分析!$W$4="日",--[1]!td(A393-1),IF(价差分析!$W$4="周",--[1]!td(A393-7),--[1]!td(A393-30))),""))</f>
        <v/>
      </c>
      <c r="B394" s="1" t="str">
        <f ca="1">IF(A394="","",[1]!s_dq_close($B$1,A394,$M$4))</f>
        <v/>
      </c>
      <c r="C394" s="1" t="str">
        <f ca="1">IF(A394="","",[1]!s_dq_close($C$1,A394,$M$4))</f>
        <v/>
      </c>
      <c r="D394" s="6" t="str">
        <f ca="1">IF($A394="","",[1]!s_dq_close(D$1,$A394,$M$4))</f>
        <v/>
      </c>
      <c r="E394" s="6" t="str">
        <f ca="1">IF($A394="","",[1]!s_dq_close(E$1,$A394,$M$4))</f>
        <v/>
      </c>
      <c r="F394" s="6" t="str">
        <f ca="1">IF($A394="","",[1]!s_dq_close(F$1,$A394,$M$4))</f>
        <v/>
      </c>
      <c r="G394" s="6"/>
      <c r="H394" s="6" t="str">
        <f ca="1">IF($A394="","",[1]!s_dq_close(H$1,$A394,$M$4))</f>
        <v/>
      </c>
      <c r="I394" s="6" t="str">
        <f ca="1">IF($A394="","",[1]!s_dq_close(I$1,$A394,$M$4))</f>
        <v/>
      </c>
      <c r="J394" s="6" t="str">
        <f t="shared" ca="1" si="7"/>
        <v/>
      </c>
    </row>
    <row r="395" spans="1:10">
      <c r="A395" s="2" t="str">
        <f ca="1">IF(A394="","",IF(IF(价差分析!$W$4="日",--[1]!td(A394-1),IF(价差分析!$W$4="周",--[1]!td(A394-7),--[1]!td(A394-30)))-价差分析!$T$4&gt;0,IF(价差分析!$W$4="日",--[1]!td(A394-1),IF(价差分析!$W$4="周",--[1]!td(A394-7),--[1]!td(A394-30))),""))</f>
        <v/>
      </c>
      <c r="B395" s="1" t="str">
        <f ca="1">IF(A395="","",[1]!s_dq_close($B$1,A395,$M$4))</f>
        <v/>
      </c>
      <c r="C395" s="1" t="str">
        <f ca="1">IF(A395="","",[1]!s_dq_close($C$1,A395,$M$4))</f>
        <v/>
      </c>
      <c r="D395" s="6" t="str">
        <f ca="1">IF($A395="","",[1]!s_dq_close(D$1,$A395,$M$4))</f>
        <v/>
      </c>
      <c r="E395" s="6" t="str">
        <f ca="1">IF($A395="","",[1]!s_dq_close(E$1,$A395,$M$4))</f>
        <v/>
      </c>
      <c r="F395" s="6" t="str">
        <f ca="1">IF($A395="","",[1]!s_dq_close(F$1,$A395,$M$4))</f>
        <v/>
      </c>
      <c r="G395" s="6"/>
      <c r="H395" s="6" t="str">
        <f ca="1">IF($A395="","",[1]!s_dq_close(H$1,$A395,$M$4))</f>
        <v/>
      </c>
      <c r="I395" s="6" t="str">
        <f ca="1">IF($A395="","",[1]!s_dq_close(I$1,$A395,$M$4))</f>
        <v/>
      </c>
      <c r="J395" s="6" t="str">
        <f t="shared" ca="1" si="7"/>
        <v/>
      </c>
    </row>
    <row r="396" spans="1:10">
      <c r="A396" s="2" t="str">
        <f ca="1">IF(A395="","",IF(IF(价差分析!$W$4="日",--[1]!td(A395-1),IF(价差分析!$W$4="周",--[1]!td(A395-7),--[1]!td(A395-30)))-价差分析!$T$4&gt;0,IF(价差分析!$W$4="日",--[1]!td(A395-1),IF(价差分析!$W$4="周",--[1]!td(A395-7),--[1]!td(A395-30))),""))</f>
        <v/>
      </c>
      <c r="B396" s="1" t="str">
        <f ca="1">IF(A396="","",[1]!s_dq_close($B$1,A396,$M$4))</f>
        <v/>
      </c>
      <c r="C396" s="1" t="str">
        <f ca="1">IF(A396="","",[1]!s_dq_close($C$1,A396,$M$4))</f>
        <v/>
      </c>
      <c r="D396" s="6" t="str">
        <f ca="1">IF($A396="","",[1]!s_dq_close(D$1,$A396,$M$4))</f>
        <v/>
      </c>
      <c r="E396" s="6" t="str">
        <f ca="1">IF($A396="","",[1]!s_dq_close(E$1,$A396,$M$4))</f>
        <v/>
      </c>
      <c r="F396" s="6" t="str">
        <f ca="1">IF($A396="","",[1]!s_dq_close(F$1,$A396,$M$4))</f>
        <v/>
      </c>
      <c r="G396" s="6"/>
      <c r="H396" s="6" t="str">
        <f ca="1">IF($A396="","",[1]!s_dq_close(H$1,$A396,$M$4))</f>
        <v/>
      </c>
      <c r="I396" s="6" t="str">
        <f ca="1">IF($A396="","",[1]!s_dq_close(I$1,$A396,$M$4))</f>
        <v/>
      </c>
      <c r="J396" s="6" t="str">
        <f t="shared" ca="1" si="7"/>
        <v/>
      </c>
    </row>
    <row r="397" spans="1:10">
      <c r="A397" s="2" t="str">
        <f ca="1">IF(A396="","",IF(IF(价差分析!$W$4="日",--[1]!td(A396-1),IF(价差分析!$W$4="周",--[1]!td(A396-7),--[1]!td(A396-30)))-价差分析!$T$4&gt;0,IF(价差分析!$W$4="日",--[1]!td(A396-1),IF(价差分析!$W$4="周",--[1]!td(A396-7),--[1]!td(A396-30))),""))</f>
        <v/>
      </c>
      <c r="B397" s="1" t="str">
        <f ca="1">IF(A397="","",[1]!s_dq_close($B$1,A397,$M$4))</f>
        <v/>
      </c>
      <c r="C397" s="1" t="str">
        <f ca="1">IF(A397="","",[1]!s_dq_close($C$1,A397,$M$4))</f>
        <v/>
      </c>
      <c r="D397" s="6" t="str">
        <f ca="1">IF($A397="","",[1]!s_dq_close(D$1,$A397,$M$4))</f>
        <v/>
      </c>
      <c r="E397" s="6" t="str">
        <f ca="1">IF($A397="","",[1]!s_dq_close(E$1,$A397,$M$4))</f>
        <v/>
      </c>
      <c r="F397" s="6" t="str">
        <f ca="1">IF($A397="","",[1]!s_dq_close(F$1,$A397,$M$4))</f>
        <v/>
      </c>
      <c r="G397" s="6"/>
      <c r="H397" s="6" t="str">
        <f ca="1">IF($A397="","",[1]!s_dq_close(H$1,$A397,$M$4))</f>
        <v/>
      </c>
      <c r="I397" s="6" t="str">
        <f ca="1">IF($A397="","",[1]!s_dq_close(I$1,$A397,$M$4))</f>
        <v/>
      </c>
      <c r="J397" s="6" t="str">
        <f t="shared" ca="1" si="7"/>
        <v/>
      </c>
    </row>
    <row r="398" spans="1:10">
      <c r="A398" s="2" t="str">
        <f ca="1">IF(A397="","",IF(IF(价差分析!$W$4="日",--[1]!td(A397-1),IF(价差分析!$W$4="周",--[1]!td(A397-7),--[1]!td(A397-30)))-价差分析!$T$4&gt;0,IF(价差分析!$W$4="日",--[1]!td(A397-1),IF(价差分析!$W$4="周",--[1]!td(A397-7),--[1]!td(A397-30))),""))</f>
        <v/>
      </c>
      <c r="B398" s="1" t="str">
        <f ca="1">IF(A398="","",[1]!s_dq_close($B$1,A398,$M$4))</f>
        <v/>
      </c>
      <c r="C398" s="1" t="str">
        <f ca="1">IF(A398="","",[1]!s_dq_close($C$1,A398,$M$4))</f>
        <v/>
      </c>
      <c r="D398" s="6" t="str">
        <f ca="1">IF($A398="","",[1]!s_dq_close(D$1,$A398,$M$4))</f>
        <v/>
      </c>
      <c r="E398" s="6" t="str">
        <f ca="1">IF($A398="","",[1]!s_dq_close(E$1,$A398,$M$4))</f>
        <v/>
      </c>
      <c r="F398" s="6" t="str">
        <f ca="1">IF($A398="","",[1]!s_dq_close(F$1,$A398,$M$4))</f>
        <v/>
      </c>
      <c r="G398" s="6"/>
      <c r="H398" s="6" t="str">
        <f ca="1">IF($A398="","",[1]!s_dq_close(H$1,$A398,$M$4))</f>
        <v/>
      </c>
      <c r="I398" s="6" t="str">
        <f ca="1">IF($A398="","",[1]!s_dq_close(I$1,$A398,$M$4))</f>
        <v/>
      </c>
      <c r="J398" s="6" t="str">
        <f t="shared" ca="1" si="7"/>
        <v/>
      </c>
    </row>
    <row r="399" spans="1:10">
      <c r="A399" s="2" t="str">
        <f ca="1">IF(A398="","",IF(IF(价差分析!$W$4="日",--[1]!td(A398-1),IF(价差分析!$W$4="周",--[1]!td(A398-7),--[1]!td(A398-30)))-价差分析!$T$4&gt;0,IF(价差分析!$W$4="日",--[1]!td(A398-1),IF(价差分析!$W$4="周",--[1]!td(A398-7),--[1]!td(A398-30))),""))</f>
        <v/>
      </c>
      <c r="B399" s="1" t="str">
        <f ca="1">IF(A399="","",[1]!s_dq_close($B$1,A399,$M$4))</f>
        <v/>
      </c>
      <c r="C399" s="1" t="str">
        <f ca="1">IF(A399="","",[1]!s_dq_close($C$1,A399,$M$4))</f>
        <v/>
      </c>
      <c r="D399" s="6" t="str">
        <f ca="1">IF($A399="","",[1]!s_dq_close(D$1,$A399,$M$4))</f>
        <v/>
      </c>
      <c r="E399" s="6" t="str">
        <f ca="1">IF($A399="","",[1]!s_dq_close(E$1,$A399,$M$4))</f>
        <v/>
      </c>
      <c r="F399" s="6" t="str">
        <f ca="1">IF($A399="","",[1]!s_dq_close(F$1,$A399,$M$4))</f>
        <v/>
      </c>
      <c r="G399" s="6"/>
      <c r="H399" s="6" t="str">
        <f ca="1">IF($A399="","",[1]!s_dq_close(H$1,$A399,$M$4))</f>
        <v/>
      </c>
      <c r="I399" s="6" t="str">
        <f ca="1">IF($A399="","",[1]!s_dq_close(I$1,$A399,$M$4))</f>
        <v/>
      </c>
      <c r="J399" s="6" t="str">
        <f t="shared" ca="1" si="7"/>
        <v/>
      </c>
    </row>
    <row r="400" spans="1:10">
      <c r="A400" s="2" t="str">
        <f ca="1">IF(A399="","",IF(IF(价差分析!$W$4="日",--[1]!td(A399-1),IF(价差分析!$W$4="周",--[1]!td(A399-7),--[1]!td(A399-30)))-价差分析!$T$4&gt;0,IF(价差分析!$W$4="日",--[1]!td(A399-1),IF(价差分析!$W$4="周",--[1]!td(A399-7),--[1]!td(A399-30))),""))</f>
        <v/>
      </c>
      <c r="B400" s="1" t="str">
        <f ca="1">IF(A400="","",[1]!s_dq_close($B$1,A400,$M$4))</f>
        <v/>
      </c>
      <c r="C400" s="1" t="str">
        <f ca="1">IF(A400="","",[1]!s_dq_close($C$1,A400,$M$4))</f>
        <v/>
      </c>
      <c r="D400" s="6" t="str">
        <f ca="1">IF($A400="","",[1]!s_dq_close(D$1,$A400,$M$4))</f>
        <v/>
      </c>
      <c r="E400" s="6" t="str">
        <f ca="1">IF($A400="","",[1]!s_dq_close(E$1,$A400,$M$4))</f>
        <v/>
      </c>
      <c r="F400" s="6" t="str">
        <f ca="1">IF($A400="","",[1]!s_dq_close(F$1,$A400,$M$4))</f>
        <v/>
      </c>
      <c r="G400" s="6"/>
      <c r="H400" s="6" t="str">
        <f ca="1">IF($A400="","",[1]!s_dq_close(H$1,$A400,$M$4))</f>
        <v/>
      </c>
      <c r="I400" s="6" t="str">
        <f ca="1">IF($A400="","",[1]!s_dq_close(I$1,$A400,$M$4))</f>
        <v/>
      </c>
      <c r="J400" s="6" t="str">
        <f t="shared" ca="1" si="7"/>
        <v/>
      </c>
    </row>
    <row r="401" spans="1:10">
      <c r="A401" s="2" t="str">
        <f ca="1">IF(A400="","",IF(IF(价差分析!$W$4="日",--[1]!td(A400-1),IF(价差分析!$W$4="周",--[1]!td(A400-7),--[1]!td(A400-30)))-价差分析!$T$4&gt;0,IF(价差分析!$W$4="日",--[1]!td(A400-1),IF(价差分析!$W$4="周",--[1]!td(A400-7),--[1]!td(A400-30))),""))</f>
        <v/>
      </c>
      <c r="B401" s="1" t="str">
        <f ca="1">IF(A401="","",[1]!s_dq_close($B$1,A401,$M$4))</f>
        <v/>
      </c>
      <c r="C401" s="1" t="str">
        <f ca="1">IF(A401="","",[1]!s_dq_close($C$1,A401,$M$4))</f>
        <v/>
      </c>
      <c r="D401" s="6" t="str">
        <f ca="1">IF($A401="","",[1]!s_dq_close(D$1,$A401,$M$4))</f>
        <v/>
      </c>
      <c r="E401" s="6" t="str">
        <f ca="1">IF($A401="","",[1]!s_dq_close(E$1,$A401,$M$4))</f>
        <v/>
      </c>
      <c r="F401" s="6" t="str">
        <f ca="1">IF($A401="","",[1]!s_dq_close(F$1,$A401,$M$4))</f>
        <v/>
      </c>
      <c r="G401" s="6"/>
      <c r="H401" s="6" t="str">
        <f ca="1">IF($A401="","",[1]!s_dq_close(H$1,$A401,$M$4))</f>
        <v/>
      </c>
      <c r="I401" s="6" t="str">
        <f ca="1">IF($A401="","",[1]!s_dq_close(I$1,$A401,$M$4))</f>
        <v/>
      </c>
      <c r="J401" s="6" t="str">
        <f t="shared" ca="1" si="7"/>
        <v/>
      </c>
    </row>
    <row r="402" spans="1:10">
      <c r="A402" s="2" t="str">
        <f ca="1">IF(A401="","",IF(IF(价差分析!$W$4="日",--[1]!td(A401-1),IF(价差分析!$W$4="周",--[1]!td(A401-7),--[1]!td(A401-30)))-价差分析!$T$4&gt;0,IF(价差分析!$W$4="日",--[1]!td(A401-1),IF(价差分析!$W$4="周",--[1]!td(A401-7),--[1]!td(A401-30))),""))</f>
        <v/>
      </c>
      <c r="B402" s="1" t="str">
        <f ca="1">IF(A402="","",[1]!s_dq_close($B$1,A402,$M$4))</f>
        <v/>
      </c>
      <c r="C402" s="1" t="str">
        <f ca="1">IF(A402="","",[1]!s_dq_close($C$1,A402,$M$4))</f>
        <v/>
      </c>
      <c r="D402" s="6" t="str">
        <f ca="1">IF($A402="","",[1]!s_dq_close(D$1,$A402,$M$4))</f>
        <v/>
      </c>
      <c r="E402" s="6" t="str">
        <f ca="1">IF($A402="","",[1]!s_dq_close(E$1,$A402,$M$4))</f>
        <v/>
      </c>
      <c r="F402" s="6" t="str">
        <f ca="1">IF($A402="","",[1]!s_dq_close(F$1,$A402,$M$4))</f>
        <v/>
      </c>
      <c r="G402" s="6"/>
      <c r="H402" s="6" t="str">
        <f ca="1">IF($A402="","",[1]!s_dq_close(H$1,$A402,$M$4))</f>
        <v/>
      </c>
      <c r="I402" s="6" t="str">
        <f ca="1">IF($A402="","",[1]!s_dq_close(I$1,$A402,$M$4))</f>
        <v/>
      </c>
      <c r="J402" s="6" t="str">
        <f t="shared" ca="1" si="7"/>
        <v/>
      </c>
    </row>
    <row r="403" spans="1:10">
      <c r="A403" s="2" t="str">
        <f ca="1">IF(A402="","",IF(IF(价差分析!$W$4="日",--[1]!td(A402-1),IF(价差分析!$W$4="周",--[1]!td(A402-7),--[1]!td(A402-30)))-价差分析!$T$4&gt;0,IF(价差分析!$W$4="日",--[1]!td(A402-1),IF(价差分析!$W$4="周",--[1]!td(A402-7),--[1]!td(A402-30))),""))</f>
        <v/>
      </c>
      <c r="B403" s="1" t="str">
        <f ca="1">IF(A403="","",[1]!s_dq_close($B$1,A403,$M$4))</f>
        <v/>
      </c>
      <c r="C403" s="1" t="str">
        <f ca="1">IF(A403="","",[1]!s_dq_close($C$1,A403,$M$4))</f>
        <v/>
      </c>
      <c r="D403" s="6" t="str">
        <f ca="1">IF($A403="","",[1]!s_dq_close(D$1,$A403,$M$4))</f>
        <v/>
      </c>
      <c r="E403" s="6" t="str">
        <f ca="1">IF($A403="","",[1]!s_dq_close(E$1,$A403,$M$4))</f>
        <v/>
      </c>
      <c r="F403" s="6" t="str">
        <f ca="1">IF($A403="","",[1]!s_dq_close(F$1,$A403,$M$4))</f>
        <v/>
      </c>
      <c r="G403" s="6"/>
      <c r="H403" s="6" t="str">
        <f ca="1">IF($A403="","",[1]!s_dq_close(H$1,$A403,$M$4))</f>
        <v/>
      </c>
      <c r="I403" s="6" t="str">
        <f ca="1">IF($A403="","",[1]!s_dq_close(I$1,$A403,$M$4))</f>
        <v/>
      </c>
      <c r="J403" s="6" t="str">
        <f t="shared" ca="1" si="7"/>
        <v/>
      </c>
    </row>
    <row r="404" spans="1:10">
      <c r="A404" s="2" t="str">
        <f ca="1">IF(A403="","",IF(IF(价差分析!$W$4="日",--[1]!td(A403-1),IF(价差分析!$W$4="周",--[1]!td(A403-7),--[1]!td(A403-30)))-价差分析!$T$4&gt;0,IF(价差分析!$W$4="日",--[1]!td(A403-1),IF(价差分析!$W$4="周",--[1]!td(A403-7),--[1]!td(A403-30))),""))</f>
        <v/>
      </c>
      <c r="B404" s="1" t="str">
        <f ca="1">IF(A404="","",[1]!s_dq_close($B$1,A404,$M$4))</f>
        <v/>
      </c>
      <c r="C404" s="1" t="str">
        <f ca="1">IF(A404="","",[1]!s_dq_close($C$1,A404,$M$4))</f>
        <v/>
      </c>
      <c r="D404" s="6" t="str">
        <f ca="1">IF($A404="","",[1]!s_dq_close(D$1,$A404,$M$4))</f>
        <v/>
      </c>
      <c r="E404" s="6" t="str">
        <f ca="1">IF($A404="","",[1]!s_dq_close(E$1,$A404,$M$4))</f>
        <v/>
      </c>
      <c r="F404" s="6" t="str">
        <f ca="1">IF($A404="","",[1]!s_dq_close(F$1,$A404,$M$4))</f>
        <v/>
      </c>
      <c r="G404" s="6"/>
      <c r="H404" s="6" t="str">
        <f ca="1">IF($A404="","",[1]!s_dq_close(H$1,$A404,$M$4))</f>
        <v/>
      </c>
      <c r="I404" s="6" t="str">
        <f ca="1">IF($A404="","",[1]!s_dq_close(I$1,$A404,$M$4))</f>
        <v/>
      </c>
      <c r="J404" s="6" t="str">
        <f t="shared" ca="1" si="7"/>
        <v/>
      </c>
    </row>
    <row r="405" spans="1:10">
      <c r="A405" s="2" t="str">
        <f ca="1">IF(A404="","",IF(IF(价差分析!$W$4="日",--[1]!td(A404-1),IF(价差分析!$W$4="周",--[1]!td(A404-7),--[1]!td(A404-30)))-价差分析!$T$4&gt;0,IF(价差分析!$W$4="日",--[1]!td(A404-1),IF(价差分析!$W$4="周",--[1]!td(A404-7),--[1]!td(A404-30))),""))</f>
        <v/>
      </c>
      <c r="B405" s="1" t="str">
        <f ca="1">IF(A405="","",[1]!s_dq_close($B$1,A405,$M$4))</f>
        <v/>
      </c>
      <c r="C405" s="1" t="str">
        <f ca="1">IF(A405="","",[1]!s_dq_close($C$1,A405,$M$4))</f>
        <v/>
      </c>
      <c r="D405" s="6" t="str">
        <f ca="1">IF($A405="","",[1]!s_dq_close(D$1,$A405,$M$4))</f>
        <v/>
      </c>
      <c r="E405" s="6" t="str">
        <f ca="1">IF($A405="","",[1]!s_dq_close(E$1,$A405,$M$4))</f>
        <v/>
      </c>
      <c r="F405" s="6" t="str">
        <f ca="1">IF($A405="","",[1]!s_dq_close(F$1,$A405,$M$4))</f>
        <v/>
      </c>
      <c r="G405" s="6"/>
      <c r="H405" s="6" t="str">
        <f ca="1">IF($A405="","",[1]!s_dq_close(H$1,$A405,$M$4))</f>
        <v/>
      </c>
      <c r="I405" s="6" t="str">
        <f ca="1">IF($A405="","",[1]!s_dq_close(I$1,$A405,$M$4))</f>
        <v/>
      </c>
      <c r="J405" s="6" t="str">
        <f t="shared" ca="1" si="7"/>
        <v/>
      </c>
    </row>
    <row r="406" spans="1:10">
      <c r="A406" s="2" t="str">
        <f ca="1">IF(A405="","",IF(IF(价差分析!$W$4="日",--[1]!td(A405-1),IF(价差分析!$W$4="周",--[1]!td(A405-7),--[1]!td(A405-30)))-价差分析!$T$4&gt;0,IF(价差分析!$W$4="日",--[1]!td(A405-1),IF(价差分析!$W$4="周",--[1]!td(A405-7),--[1]!td(A405-30))),""))</f>
        <v/>
      </c>
      <c r="B406" s="1" t="str">
        <f ca="1">IF(A406="","",[1]!s_dq_close($B$1,A406,$M$4))</f>
        <v/>
      </c>
      <c r="C406" s="1" t="str">
        <f ca="1">IF(A406="","",[1]!s_dq_close($C$1,A406,$M$4))</f>
        <v/>
      </c>
      <c r="D406" s="6" t="str">
        <f ca="1">IF($A406="","",[1]!s_dq_close(D$1,$A406,$M$4))</f>
        <v/>
      </c>
      <c r="E406" s="6" t="str">
        <f ca="1">IF($A406="","",[1]!s_dq_close(E$1,$A406,$M$4))</f>
        <v/>
      </c>
      <c r="F406" s="6" t="str">
        <f ca="1">IF($A406="","",[1]!s_dq_close(F$1,$A406,$M$4))</f>
        <v/>
      </c>
      <c r="G406" s="6"/>
      <c r="H406" s="6" t="str">
        <f ca="1">IF($A406="","",[1]!s_dq_close(H$1,$A406,$M$4))</f>
        <v/>
      </c>
      <c r="I406" s="6" t="str">
        <f ca="1">IF($A406="","",[1]!s_dq_close(I$1,$A406,$M$4))</f>
        <v/>
      </c>
      <c r="J406" s="6" t="str">
        <f t="shared" ca="1" si="7"/>
        <v/>
      </c>
    </row>
    <row r="407" spans="1:10">
      <c r="A407" s="2" t="str">
        <f ca="1">IF(A406="","",IF(IF(价差分析!$W$4="日",--[1]!td(A406-1),IF(价差分析!$W$4="周",--[1]!td(A406-7),--[1]!td(A406-30)))-价差分析!$T$4&gt;0,IF(价差分析!$W$4="日",--[1]!td(A406-1),IF(价差分析!$W$4="周",--[1]!td(A406-7),--[1]!td(A406-30))),""))</f>
        <v/>
      </c>
      <c r="B407" s="1" t="str">
        <f ca="1">IF(A407="","",[1]!s_dq_close($B$1,A407,$M$4))</f>
        <v/>
      </c>
      <c r="C407" s="1" t="str">
        <f ca="1">IF(A407="","",[1]!s_dq_close($C$1,A407,$M$4))</f>
        <v/>
      </c>
      <c r="D407" s="6" t="str">
        <f ca="1">IF($A407="","",[1]!s_dq_close(D$1,$A407,$M$4))</f>
        <v/>
      </c>
      <c r="E407" s="6" t="str">
        <f ca="1">IF($A407="","",[1]!s_dq_close(E$1,$A407,$M$4))</f>
        <v/>
      </c>
      <c r="F407" s="6" t="str">
        <f ca="1">IF($A407="","",[1]!s_dq_close(F$1,$A407,$M$4))</f>
        <v/>
      </c>
      <c r="G407" s="6"/>
      <c r="H407" s="6" t="str">
        <f ca="1">IF($A407="","",[1]!s_dq_close(H$1,$A407,$M$4))</f>
        <v/>
      </c>
      <c r="I407" s="6" t="str">
        <f ca="1">IF($A407="","",[1]!s_dq_close(I$1,$A407,$M$4))</f>
        <v/>
      </c>
      <c r="J407" s="6" t="str">
        <f t="shared" ca="1" si="7"/>
        <v/>
      </c>
    </row>
    <row r="408" spans="1:10">
      <c r="A408" s="2" t="str">
        <f ca="1">IF(A407="","",IF(IF(价差分析!$W$4="日",--[1]!td(A407-1),IF(价差分析!$W$4="周",--[1]!td(A407-7),--[1]!td(A407-30)))-价差分析!$T$4&gt;0,IF(价差分析!$W$4="日",--[1]!td(A407-1),IF(价差分析!$W$4="周",--[1]!td(A407-7),--[1]!td(A407-30))),""))</f>
        <v/>
      </c>
      <c r="B408" s="1" t="str">
        <f ca="1">IF(A408="","",[1]!s_dq_close($B$1,A408,$M$4))</f>
        <v/>
      </c>
      <c r="C408" s="1" t="str">
        <f ca="1">IF(A408="","",[1]!s_dq_close($C$1,A408,$M$4))</f>
        <v/>
      </c>
      <c r="D408" s="6" t="str">
        <f ca="1">IF($A408="","",[1]!s_dq_close(D$1,$A408,$M$4))</f>
        <v/>
      </c>
      <c r="E408" s="6" t="str">
        <f ca="1">IF($A408="","",[1]!s_dq_close(E$1,$A408,$M$4))</f>
        <v/>
      </c>
      <c r="F408" s="6" t="str">
        <f ca="1">IF($A408="","",[1]!s_dq_close(F$1,$A408,$M$4))</f>
        <v/>
      </c>
      <c r="G408" s="6"/>
      <c r="H408" s="6" t="str">
        <f ca="1">IF($A408="","",[1]!s_dq_close(H$1,$A408,$M$4))</f>
        <v/>
      </c>
      <c r="I408" s="6" t="str">
        <f ca="1">IF($A408="","",[1]!s_dq_close(I$1,$A408,$M$4))</f>
        <v/>
      </c>
      <c r="J408" s="6" t="str">
        <f t="shared" ca="1" si="7"/>
        <v/>
      </c>
    </row>
    <row r="409" spans="1:10">
      <c r="A409" s="2" t="str">
        <f ca="1">IF(A408="","",IF(IF(价差分析!$W$4="日",--[1]!td(A408-1),IF(价差分析!$W$4="周",--[1]!td(A408-7),--[1]!td(A408-30)))-价差分析!$T$4&gt;0,IF(价差分析!$W$4="日",--[1]!td(A408-1),IF(价差分析!$W$4="周",--[1]!td(A408-7),--[1]!td(A408-30))),""))</f>
        <v/>
      </c>
      <c r="B409" s="1" t="str">
        <f ca="1">IF(A409="","",[1]!s_dq_close($B$1,A409,$M$4))</f>
        <v/>
      </c>
      <c r="C409" s="1" t="str">
        <f ca="1">IF(A409="","",[1]!s_dq_close($C$1,A409,$M$4))</f>
        <v/>
      </c>
      <c r="D409" s="6" t="str">
        <f ca="1">IF($A409="","",[1]!s_dq_close(D$1,$A409,$M$4))</f>
        <v/>
      </c>
      <c r="E409" s="6" t="str">
        <f ca="1">IF($A409="","",[1]!s_dq_close(E$1,$A409,$M$4))</f>
        <v/>
      </c>
      <c r="F409" s="6" t="str">
        <f ca="1">IF($A409="","",[1]!s_dq_close(F$1,$A409,$M$4))</f>
        <v/>
      </c>
      <c r="G409" s="6"/>
      <c r="H409" s="6" t="str">
        <f ca="1">IF($A409="","",[1]!s_dq_close(H$1,$A409,$M$4))</f>
        <v/>
      </c>
      <c r="I409" s="6" t="str">
        <f ca="1">IF($A409="","",[1]!s_dq_close(I$1,$A409,$M$4))</f>
        <v/>
      </c>
      <c r="J409" s="6" t="str">
        <f t="shared" ca="1" si="7"/>
        <v/>
      </c>
    </row>
    <row r="410" spans="1:10">
      <c r="A410" s="2" t="str">
        <f ca="1">IF(A409="","",IF(IF(价差分析!$W$4="日",--[1]!td(A409-1),IF(价差分析!$W$4="周",--[1]!td(A409-7),--[1]!td(A409-30)))-价差分析!$T$4&gt;0,IF(价差分析!$W$4="日",--[1]!td(A409-1),IF(价差分析!$W$4="周",--[1]!td(A409-7),--[1]!td(A409-30))),""))</f>
        <v/>
      </c>
      <c r="B410" s="1" t="str">
        <f ca="1">IF(A410="","",[1]!s_dq_close($B$1,A410,$M$4))</f>
        <v/>
      </c>
      <c r="C410" s="1" t="str">
        <f ca="1">IF(A410="","",[1]!s_dq_close($C$1,A410,$M$4))</f>
        <v/>
      </c>
      <c r="D410" s="6" t="str">
        <f ca="1">IF($A410="","",[1]!s_dq_close(D$1,$A410,$M$4))</f>
        <v/>
      </c>
      <c r="E410" s="6" t="str">
        <f ca="1">IF($A410="","",[1]!s_dq_close(E$1,$A410,$M$4))</f>
        <v/>
      </c>
      <c r="F410" s="6" t="str">
        <f ca="1">IF($A410="","",[1]!s_dq_close(F$1,$A410,$M$4))</f>
        <v/>
      </c>
      <c r="G410" s="6"/>
      <c r="H410" s="6" t="str">
        <f ca="1">IF($A410="","",[1]!s_dq_close(H$1,$A410,$M$4))</f>
        <v/>
      </c>
      <c r="I410" s="6" t="str">
        <f ca="1">IF($A410="","",[1]!s_dq_close(I$1,$A410,$M$4))</f>
        <v/>
      </c>
      <c r="J410" s="6" t="str">
        <f t="shared" ca="1" si="7"/>
        <v/>
      </c>
    </row>
    <row r="411" spans="1:10">
      <c r="A411" s="2" t="str">
        <f ca="1">IF(A410="","",IF(IF(价差分析!$W$4="日",--[1]!td(A410-1),IF(价差分析!$W$4="周",--[1]!td(A410-7),--[1]!td(A410-30)))-价差分析!$T$4&gt;0,IF(价差分析!$W$4="日",--[1]!td(A410-1),IF(价差分析!$W$4="周",--[1]!td(A410-7),--[1]!td(A410-30))),""))</f>
        <v/>
      </c>
      <c r="B411" s="1" t="str">
        <f ca="1">IF(A411="","",[1]!s_dq_close($B$1,A411,$M$4))</f>
        <v/>
      </c>
      <c r="C411" s="1" t="str">
        <f ca="1">IF(A411="","",[1]!s_dq_close($C$1,A411,$M$4))</f>
        <v/>
      </c>
      <c r="D411" s="6" t="str">
        <f ca="1">IF($A411="","",[1]!s_dq_close(D$1,$A411,$M$4))</f>
        <v/>
      </c>
      <c r="E411" s="6" t="str">
        <f ca="1">IF($A411="","",[1]!s_dq_close(E$1,$A411,$M$4))</f>
        <v/>
      </c>
      <c r="F411" s="6" t="str">
        <f ca="1">IF($A411="","",[1]!s_dq_close(F$1,$A411,$M$4))</f>
        <v/>
      </c>
      <c r="G411" s="6"/>
      <c r="H411" s="6" t="str">
        <f ca="1">IF($A411="","",[1]!s_dq_close(H$1,$A411,$M$4))</f>
        <v/>
      </c>
      <c r="I411" s="6" t="str">
        <f ca="1">IF($A411="","",[1]!s_dq_close(I$1,$A411,$M$4))</f>
        <v/>
      </c>
      <c r="J411" s="6" t="str">
        <f t="shared" ca="1" si="7"/>
        <v/>
      </c>
    </row>
    <row r="412" spans="1:10">
      <c r="A412" s="2" t="str">
        <f ca="1">IF(A411="","",IF(IF(价差分析!$W$4="日",--[1]!td(A411-1),IF(价差分析!$W$4="周",--[1]!td(A411-7),--[1]!td(A411-30)))-价差分析!$T$4&gt;0,IF(价差分析!$W$4="日",--[1]!td(A411-1),IF(价差分析!$W$4="周",--[1]!td(A411-7),--[1]!td(A411-30))),""))</f>
        <v/>
      </c>
      <c r="B412" s="1" t="str">
        <f ca="1">IF(A412="","",[1]!s_dq_close($B$1,A412,$M$4))</f>
        <v/>
      </c>
      <c r="C412" s="1" t="str">
        <f ca="1">IF(A412="","",[1]!s_dq_close($C$1,A412,$M$4))</f>
        <v/>
      </c>
      <c r="D412" s="6" t="str">
        <f ca="1">IF($A412="","",[1]!s_dq_close(D$1,$A412,$M$4))</f>
        <v/>
      </c>
      <c r="E412" s="6" t="str">
        <f ca="1">IF($A412="","",[1]!s_dq_close(E$1,$A412,$M$4))</f>
        <v/>
      </c>
      <c r="F412" s="6" t="str">
        <f ca="1">IF($A412="","",[1]!s_dq_close(F$1,$A412,$M$4))</f>
        <v/>
      </c>
      <c r="G412" s="6"/>
      <c r="H412" s="6" t="str">
        <f ca="1">IF($A412="","",[1]!s_dq_close(H$1,$A412,$M$4))</f>
        <v/>
      </c>
      <c r="I412" s="6" t="str">
        <f ca="1">IF($A412="","",[1]!s_dq_close(I$1,$A412,$M$4))</f>
        <v/>
      </c>
      <c r="J412" s="6" t="str">
        <f t="shared" ca="1" si="7"/>
        <v/>
      </c>
    </row>
    <row r="413" spans="1:10">
      <c r="A413" s="2" t="str">
        <f ca="1">IF(A412="","",IF(IF(价差分析!$W$4="日",--[1]!td(A412-1),IF(价差分析!$W$4="周",--[1]!td(A412-7),--[1]!td(A412-30)))-价差分析!$T$4&gt;0,IF(价差分析!$W$4="日",--[1]!td(A412-1),IF(价差分析!$W$4="周",--[1]!td(A412-7),--[1]!td(A412-30))),""))</f>
        <v/>
      </c>
      <c r="B413" s="1" t="str">
        <f ca="1">IF(A413="","",[1]!s_dq_close($B$1,A413,$M$4))</f>
        <v/>
      </c>
      <c r="C413" s="1" t="str">
        <f ca="1">IF(A413="","",[1]!s_dq_close($C$1,A413,$M$4))</f>
        <v/>
      </c>
      <c r="D413" s="6" t="str">
        <f ca="1">IF($A413="","",[1]!s_dq_close(D$1,$A413,$M$4))</f>
        <v/>
      </c>
      <c r="E413" s="6" t="str">
        <f ca="1">IF($A413="","",[1]!s_dq_close(E$1,$A413,$M$4))</f>
        <v/>
      </c>
      <c r="F413" s="6" t="str">
        <f ca="1">IF($A413="","",[1]!s_dq_close(F$1,$A413,$M$4))</f>
        <v/>
      </c>
      <c r="G413" s="6"/>
      <c r="H413" s="6" t="str">
        <f ca="1">IF($A413="","",[1]!s_dq_close(H$1,$A413,$M$4))</f>
        <v/>
      </c>
      <c r="I413" s="6" t="str">
        <f ca="1">IF($A413="","",[1]!s_dq_close(I$1,$A413,$M$4))</f>
        <v/>
      </c>
      <c r="J413" s="6" t="str">
        <f t="shared" ca="1" si="7"/>
        <v/>
      </c>
    </row>
    <row r="414" spans="1:10">
      <c r="A414" s="2" t="str">
        <f ca="1">IF(A413="","",IF(IF(价差分析!$W$4="日",--[1]!td(A413-1),IF(价差分析!$W$4="周",--[1]!td(A413-7),--[1]!td(A413-30)))-价差分析!$T$4&gt;0,IF(价差分析!$W$4="日",--[1]!td(A413-1),IF(价差分析!$W$4="周",--[1]!td(A413-7),--[1]!td(A413-30))),""))</f>
        <v/>
      </c>
      <c r="B414" s="1" t="str">
        <f ca="1">IF(A414="","",[1]!s_dq_close($B$1,A414,$M$4))</f>
        <v/>
      </c>
      <c r="C414" s="1" t="str">
        <f ca="1">IF(A414="","",[1]!s_dq_close($C$1,A414,$M$4))</f>
        <v/>
      </c>
      <c r="D414" s="6" t="str">
        <f ca="1">IF($A414="","",[1]!s_dq_close(D$1,$A414,$M$4))</f>
        <v/>
      </c>
      <c r="E414" s="6" t="str">
        <f ca="1">IF($A414="","",[1]!s_dq_close(E$1,$A414,$M$4))</f>
        <v/>
      </c>
      <c r="F414" s="6" t="str">
        <f ca="1">IF($A414="","",[1]!s_dq_close(F$1,$A414,$M$4))</f>
        <v/>
      </c>
      <c r="G414" s="6"/>
      <c r="H414" s="6" t="str">
        <f ca="1">IF($A414="","",[1]!s_dq_close(H$1,$A414,$M$4))</f>
        <v/>
      </c>
      <c r="I414" s="6" t="str">
        <f ca="1">IF($A414="","",[1]!s_dq_close(I$1,$A414,$M$4))</f>
        <v/>
      </c>
      <c r="J414" s="6" t="str">
        <f t="shared" ca="1" si="7"/>
        <v/>
      </c>
    </row>
    <row r="415" spans="1:10">
      <c r="A415" s="2" t="str">
        <f ca="1">IF(A414="","",IF(IF(价差分析!$W$4="日",--[1]!td(A414-1),IF(价差分析!$W$4="周",--[1]!td(A414-7),--[1]!td(A414-30)))-价差分析!$T$4&gt;0,IF(价差分析!$W$4="日",--[1]!td(A414-1),IF(价差分析!$W$4="周",--[1]!td(A414-7),--[1]!td(A414-30))),""))</f>
        <v/>
      </c>
      <c r="B415" s="1" t="str">
        <f ca="1">IF(A415="","",[1]!s_dq_close($B$1,A415,$M$4))</f>
        <v/>
      </c>
      <c r="C415" s="1" t="str">
        <f ca="1">IF(A415="","",[1]!s_dq_close($C$1,A415,$M$4))</f>
        <v/>
      </c>
      <c r="D415" s="6" t="str">
        <f ca="1">IF($A415="","",[1]!s_dq_close(D$1,$A415,$M$4))</f>
        <v/>
      </c>
      <c r="E415" s="6" t="str">
        <f ca="1">IF($A415="","",[1]!s_dq_close(E$1,$A415,$M$4))</f>
        <v/>
      </c>
      <c r="F415" s="6" t="str">
        <f ca="1">IF($A415="","",[1]!s_dq_close(F$1,$A415,$M$4))</f>
        <v/>
      </c>
      <c r="G415" s="6"/>
      <c r="H415" s="6" t="str">
        <f ca="1">IF($A415="","",[1]!s_dq_close(H$1,$A415,$M$4))</f>
        <v/>
      </c>
      <c r="I415" s="6" t="str">
        <f ca="1">IF($A415="","",[1]!s_dq_close(I$1,$A415,$M$4))</f>
        <v/>
      </c>
      <c r="J415" s="6" t="str">
        <f t="shared" ca="1" si="7"/>
        <v/>
      </c>
    </row>
    <row r="416" spans="1:10">
      <c r="A416" s="2" t="str">
        <f ca="1">IF(A415="","",IF(IF(价差分析!$W$4="日",--[1]!td(A415-1),IF(价差分析!$W$4="周",--[1]!td(A415-7),--[1]!td(A415-30)))-价差分析!$T$4&gt;0,IF(价差分析!$W$4="日",--[1]!td(A415-1),IF(价差分析!$W$4="周",--[1]!td(A415-7),--[1]!td(A415-30))),""))</f>
        <v/>
      </c>
      <c r="B416" s="1" t="str">
        <f ca="1">IF(A416="","",[1]!s_dq_close($B$1,A416,$M$4))</f>
        <v/>
      </c>
      <c r="C416" s="1" t="str">
        <f ca="1">IF(A416="","",[1]!s_dq_close($C$1,A416,$M$4))</f>
        <v/>
      </c>
      <c r="D416" s="6" t="str">
        <f ca="1">IF($A416="","",[1]!s_dq_close(D$1,$A416,$M$4))</f>
        <v/>
      </c>
      <c r="E416" s="6" t="str">
        <f ca="1">IF($A416="","",[1]!s_dq_close(E$1,$A416,$M$4))</f>
        <v/>
      </c>
      <c r="F416" s="6" t="str">
        <f ca="1">IF($A416="","",[1]!s_dq_close(F$1,$A416,$M$4))</f>
        <v/>
      </c>
      <c r="G416" s="6"/>
      <c r="H416" s="6" t="str">
        <f ca="1">IF($A416="","",[1]!s_dq_close(H$1,$A416,$M$4))</f>
        <v/>
      </c>
      <c r="I416" s="6" t="str">
        <f ca="1">IF($A416="","",[1]!s_dq_close(I$1,$A416,$M$4))</f>
        <v/>
      </c>
      <c r="J416" s="6" t="str">
        <f t="shared" ca="1" si="7"/>
        <v/>
      </c>
    </row>
    <row r="417" spans="1:10">
      <c r="A417" s="2" t="str">
        <f ca="1">IF(A416="","",IF(IF(价差分析!$W$4="日",--[1]!td(A416-1),IF(价差分析!$W$4="周",--[1]!td(A416-7),--[1]!td(A416-30)))-价差分析!$T$4&gt;0,IF(价差分析!$W$4="日",--[1]!td(A416-1),IF(价差分析!$W$4="周",--[1]!td(A416-7),--[1]!td(A416-30))),""))</f>
        <v/>
      </c>
      <c r="B417" s="1" t="str">
        <f ca="1">IF(A417="","",[1]!s_dq_close($B$1,A417,$M$4))</f>
        <v/>
      </c>
      <c r="C417" s="1" t="str">
        <f ca="1">IF(A417="","",[1]!s_dq_close($C$1,A417,$M$4))</f>
        <v/>
      </c>
      <c r="D417" s="6" t="str">
        <f ca="1">IF($A417="","",[1]!s_dq_close(D$1,$A417,$M$4))</f>
        <v/>
      </c>
      <c r="E417" s="6" t="str">
        <f ca="1">IF($A417="","",[1]!s_dq_close(E$1,$A417,$M$4))</f>
        <v/>
      </c>
      <c r="F417" s="6" t="str">
        <f ca="1">IF($A417="","",[1]!s_dq_close(F$1,$A417,$M$4))</f>
        <v/>
      </c>
      <c r="G417" s="6"/>
      <c r="H417" s="6" t="str">
        <f ca="1">IF($A417="","",[1]!s_dq_close(H$1,$A417,$M$4))</f>
        <v/>
      </c>
      <c r="I417" s="6" t="str">
        <f ca="1">IF($A417="","",[1]!s_dq_close(I$1,$A417,$M$4))</f>
        <v/>
      </c>
      <c r="J417" s="6" t="str">
        <f t="shared" ca="1" si="7"/>
        <v/>
      </c>
    </row>
    <row r="418" spans="1:10">
      <c r="A418" s="2" t="str">
        <f ca="1">IF(A417="","",IF(IF(价差分析!$W$4="日",--[1]!td(A417-1),IF(价差分析!$W$4="周",--[1]!td(A417-7),--[1]!td(A417-30)))-价差分析!$T$4&gt;0,IF(价差分析!$W$4="日",--[1]!td(A417-1),IF(价差分析!$W$4="周",--[1]!td(A417-7),--[1]!td(A417-30))),""))</f>
        <v/>
      </c>
      <c r="B418" s="1" t="str">
        <f ca="1">IF(A418="","",[1]!s_dq_close($B$1,A418,$M$4))</f>
        <v/>
      </c>
      <c r="C418" s="1" t="str">
        <f ca="1">IF(A418="","",[1]!s_dq_close($C$1,A418,$M$4))</f>
        <v/>
      </c>
      <c r="D418" s="6" t="str">
        <f ca="1">IF($A418="","",[1]!s_dq_close(D$1,$A418,$M$4))</f>
        <v/>
      </c>
      <c r="E418" s="6" t="str">
        <f ca="1">IF($A418="","",[1]!s_dq_close(E$1,$A418,$M$4))</f>
        <v/>
      </c>
      <c r="F418" s="6" t="str">
        <f ca="1">IF($A418="","",[1]!s_dq_close(F$1,$A418,$M$4))</f>
        <v/>
      </c>
      <c r="G418" s="6"/>
      <c r="H418" s="6" t="str">
        <f ca="1">IF($A418="","",[1]!s_dq_close(H$1,$A418,$M$4))</f>
        <v/>
      </c>
      <c r="I418" s="6" t="str">
        <f ca="1">IF($A418="","",[1]!s_dq_close(I$1,$A418,$M$4))</f>
        <v/>
      </c>
      <c r="J418" s="6" t="str">
        <f t="shared" ca="1" si="7"/>
        <v/>
      </c>
    </row>
    <row r="419" spans="1:10">
      <c r="A419" s="2" t="str">
        <f ca="1">IF(A418="","",IF(IF(价差分析!$W$4="日",--[1]!td(A418-1),IF(价差分析!$W$4="周",--[1]!td(A418-7),--[1]!td(A418-30)))-价差分析!$T$4&gt;0,IF(价差分析!$W$4="日",--[1]!td(A418-1),IF(价差分析!$W$4="周",--[1]!td(A418-7),--[1]!td(A418-30))),""))</f>
        <v/>
      </c>
      <c r="B419" s="1" t="str">
        <f ca="1">IF(A419="","",[1]!s_dq_close($B$1,A419,$M$4))</f>
        <v/>
      </c>
      <c r="C419" s="1" t="str">
        <f ca="1">IF(A419="","",[1]!s_dq_close($C$1,A419,$M$4))</f>
        <v/>
      </c>
      <c r="D419" s="6" t="str">
        <f ca="1">IF($A419="","",[1]!s_dq_close(D$1,$A419,$M$4))</f>
        <v/>
      </c>
      <c r="E419" s="6" t="str">
        <f ca="1">IF($A419="","",[1]!s_dq_close(E$1,$A419,$M$4))</f>
        <v/>
      </c>
      <c r="F419" s="6" t="str">
        <f ca="1">IF($A419="","",[1]!s_dq_close(F$1,$A419,$M$4))</f>
        <v/>
      </c>
      <c r="G419" s="6"/>
      <c r="H419" s="6" t="str">
        <f ca="1">IF($A419="","",[1]!s_dq_close(H$1,$A419,$M$4))</f>
        <v/>
      </c>
      <c r="I419" s="6" t="str">
        <f ca="1">IF($A419="","",[1]!s_dq_close(I$1,$A419,$M$4))</f>
        <v/>
      </c>
      <c r="J419" s="6" t="str">
        <f t="shared" ca="1" si="7"/>
        <v/>
      </c>
    </row>
    <row r="420" spans="1:10">
      <c r="A420" s="2" t="str">
        <f ca="1">IF(A419="","",IF(IF(价差分析!$W$4="日",--[1]!td(A419-1),IF(价差分析!$W$4="周",--[1]!td(A419-7),--[1]!td(A419-30)))-价差分析!$T$4&gt;0,IF(价差分析!$W$4="日",--[1]!td(A419-1),IF(价差分析!$W$4="周",--[1]!td(A419-7),--[1]!td(A419-30))),""))</f>
        <v/>
      </c>
      <c r="B420" s="1" t="str">
        <f ca="1">IF(A420="","",[1]!s_dq_close($B$1,A420,$M$4))</f>
        <v/>
      </c>
      <c r="C420" s="1" t="str">
        <f ca="1">IF(A420="","",[1]!s_dq_close($C$1,A420,$M$4))</f>
        <v/>
      </c>
      <c r="D420" s="6" t="str">
        <f ca="1">IF($A420="","",[1]!s_dq_close(D$1,$A420,$M$4))</f>
        <v/>
      </c>
      <c r="E420" s="6" t="str">
        <f ca="1">IF($A420="","",[1]!s_dq_close(E$1,$A420,$M$4))</f>
        <v/>
      </c>
      <c r="F420" s="6" t="str">
        <f ca="1">IF($A420="","",[1]!s_dq_close(F$1,$A420,$M$4))</f>
        <v/>
      </c>
      <c r="G420" s="6"/>
      <c r="H420" s="6" t="str">
        <f ca="1">IF($A420="","",[1]!s_dq_close(H$1,$A420,$M$4))</f>
        <v/>
      </c>
      <c r="I420" s="6" t="str">
        <f ca="1">IF($A420="","",[1]!s_dq_close(I$1,$A420,$M$4))</f>
        <v/>
      </c>
      <c r="J420" s="6" t="str">
        <f t="shared" ca="1" si="7"/>
        <v/>
      </c>
    </row>
    <row r="421" spans="1:10">
      <c r="A421" s="2" t="str">
        <f ca="1">IF(A420="","",IF(IF(价差分析!$W$4="日",--[1]!td(A420-1),IF(价差分析!$W$4="周",--[1]!td(A420-7),--[1]!td(A420-30)))-价差分析!$T$4&gt;0,IF(价差分析!$W$4="日",--[1]!td(A420-1),IF(价差分析!$W$4="周",--[1]!td(A420-7),--[1]!td(A420-30))),""))</f>
        <v/>
      </c>
      <c r="B421" s="1" t="str">
        <f ca="1">IF(A421="","",[1]!s_dq_close($B$1,A421,$M$4))</f>
        <v/>
      </c>
      <c r="C421" s="1" t="str">
        <f ca="1">IF(A421="","",[1]!s_dq_close($C$1,A421,$M$4))</f>
        <v/>
      </c>
      <c r="D421" s="6" t="str">
        <f ca="1">IF($A421="","",[1]!s_dq_close(D$1,$A421,$M$4))</f>
        <v/>
      </c>
      <c r="E421" s="6" t="str">
        <f ca="1">IF($A421="","",[1]!s_dq_close(E$1,$A421,$M$4))</f>
        <v/>
      </c>
      <c r="F421" s="6" t="str">
        <f ca="1">IF($A421="","",[1]!s_dq_close(F$1,$A421,$M$4))</f>
        <v/>
      </c>
      <c r="G421" s="6"/>
      <c r="H421" s="6" t="str">
        <f ca="1">IF($A421="","",[1]!s_dq_close(H$1,$A421,$M$4))</f>
        <v/>
      </c>
      <c r="I421" s="6" t="str">
        <f ca="1">IF($A421="","",[1]!s_dq_close(I$1,$A421,$M$4))</f>
        <v/>
      </c>
      <c r="J421" s="6" t="str">
        <f t="shared" ca="1" si="7"/>
        <v/>
      </c>
    </row>
    <row r="422" spans="1:10">
      <c r="A422" s="2" t="str">
        <f ca="1">IF(A421="","",IF(IF(价差分析!$W$4="日",--[1]!td(A421-1),IF(价差分析!$W$4="周",--[1]!td(A421-7),--[1]!td(A421-30)))-价差分析!$T$4&gt;0,IF(价差分析!$W$4="日",--[1]!td(A421-1),IF(价差分析!$W$4="周",--[1]!td(A421-7),--[1]!td(A421-30))),""))</f>
        <v/>
      </c>
      <c r="B422" s="1" t="str">
        <f ca="1">IF(A422="","",[1]!s_dq_close($B$1,A422,$M$4))</f>
        <v/>
      </c>
      <c r="C422" s="1" t="str">
        <f ca="1">IF(A422="","",[1]!s_dq_close($C$1,A422,$M$4))</f>
        <v/>
      </c>
      <c r="D422" s="6" t="str">
        <f ca="1">IF($A422="","",[1]!s_dq_close(D$1,$A422,$M$4))</f>
        <v/>
      </c>
      <c r="E422" s="6" t="str">
        <f ca="1">IF($A422="","",[1]!s_dq_close(E$1,$A422,$M$4))</f>
        <v/>
      </c>
      <c r="F422" s="6" t="str">
        <f ca="1">IF($A422="","",[1]!s_dq_close(F$1,$A422,$M$4))</f>
        <v/>
      </c>
      <c r="G422" s="6"/>
      <c r="H422" s="6" t="str">
        <f ca="1">IF($A422="","",[1]!s_dq_close(H$1,$A422,$M$4))</f>
        <v/>
      </c>
      <c r="I422" s="6" t="str">
        <f ca="1">IF($A422="","",[1]!s_dq_close(I$1,$A422,$M$4))</f>
        <v/>
      </c>
      <c r="J422" s="6" t="str">
        <f t="shared" ca="1" si="7"/>
        <v/>
      </c>
    </row>
    <row r="423" spans="1:10">
      <c r="A423" s="2" t="str">
        <f ca="1">IF(A422="","",IF(IF(价差分析!$W$4="日",--[1]!td(A422-1),IF(价差分析!$W$4="周",--[1]!td(A422-7),--[1]!td(A422-30)))-价差分析!$T$4&gt;0,IF(价差分析!$W$4="日",--[1]!td(A422-1),IF(价差分析!$W$4="周",--[1]!td(A422-7),--[1]!td(A422-30))),""))</f>
        <v/>
      </c>
      <c r="B423" s="1" t="str">
        <f ca="1">IF(A423="","",[1]!s_dq_close($B$1,A423,$M$4))</f>
        <v/>
      </c>
      <c r="C423" s="1" t="str">
        <f ca="1">IF(A423="","",[1]!s_dq_close($C$1,A423,$M$4))</f>
        <v/>
      </c>
      <c r="D423" s="6" t="str">
        <f ca="1">IF($A423="","",[1]!s_dq_close(D$1,$A423,$M$4))</f>
        <v/>
      </c>
      <c r="E423" s="6" t="str">
        <f ca="1">IF($A423="","",[1]!s_dq_close(E$1,$A423,$M$4))</f>
        <v/>
      </c>
      <c r="F423" s="6" t="str">
        <f ca="1">IF($A423="","",[1]!s_dq_close(F$1,$A423,$M$4))</f>
        <v/>
      </c>
      <c r="G423" s="6"/>
      <c r="H423" s="6" t="str">
        <f ca="1">IF($A423="","",[1]!s_dq_close(H$1,$A423,$M$4))</f>
        <v/>
      </c>
      <c r="I423" s="6" t="str">
        <f ca="1">IF($A423="","",[1]!s_dq_close(I$1,$A423,$M$4))</f>
        <v/>
      </c>
      <c r="J423" s="6" t="str">
        <f t="shared" ca="1" si="7"/>
        <v/>
      </c>
    </row>
    <row r="424" spans="1:10">
      <c r="A424" s="2" t="str">
        <f ca="1">IF(A423="","",IF(IF(价差分析!$W$4="日",--[1]!td(A423-1),IF(价差分析!$W$4="周",--[1]!td(A423-7),--[1]!td(A423-30)))-价差分析!$T$4&gt;0,IF(价差分析!$W$4="日",--[1]!td(A423-1),IF(价差分析!$W$4="周",--[1]!td(A423-7),--[1]!td(A423-30))),""))</f>
        <v/>
      </c>
      <c r="B424" s="1" t="str">
        <f ca="1">IF(A424="","",[1]!s_dq_close($B$1,A424,$M$4))</f>
        <v/>
      </c>
      <c r="C424" s="1" t="str">
        <f ca="1">IF(A424="","",[1]!s_dq_close($C$1,A424,$M$4))</f>
        <v/>
      </c>
      <c r="D424" s="6" t="str">
        <f ca="1">IF($A424="","",[1]!s_dq_close(D$1,$A424,$M$4))</f>
        <v/>
      </c>
      <c r="E424" s="6" t="str">
        <f ca="1">IF($A424="","",[1]!s_dq_close(E$1,$A424,$M$4))</f>
        <v/>
      </c>
      <c r="F424" s="6" t="str">
        <f ca="1">IF($A424="","",[1]!s_dq_close(F$1,$A424,$M$4))</f>
        <v/>
      </c>
      <c r="G424" s="6"/>
      <c r="H424" s="6" t="str">
        <f ca="1">IF($A424="","",[1]!s_dq_close(H$1,$A424,$M$4))</f>
        <v/>
      </c>
      <c r="I424" s="6" t="str">
        <f ca="1">IF($A424="","",[1]!s_dq_close(I$1,$A424,$M$4))</f>
        <v/>
      </c>
      <c r="J424" s="6" t="str">
        <f t="shared" ca="1" si="7"/>
        <v/>
      </c>
    </row>
    <row r="425" spans="1:10">
      <c r="A425" s="2" t="str">
        <f ca="1">IF(A424="","",IF(IF(价差分析!$W$4="日",--[1]!td(A424-1),IF(价差分析!$W$4="周",--[1]!td(A424-7),--[1]!td(A424-30)))-价差分析!$T$4&gt;0,IF(价差分析!$W$4="日",--[1]!td(A424-1),IF(价差分析!$W$4="周",--[1]!td(A424-7),--[1]!td(A424-30))),""))</f>
        <v/>
      </c>
      <c r="B425" s="1" t="str">
        <f ca="1">IF(A425="","",[1]!s_dq_close($B$1,A425,$M$4))</f>
        <v/>
      </c>
      <c r="C425" s="1" t="str">
        <f ca="1">IF(A425="","",[1]!s_dq_close($C$1,A425,$M$4))</f>
        <v/>
      </c>
      <c r="D425" s="6" t="str">
        <f ca="1">IF($A425="","",[1]!s_dq_close(D$1,$A425,$M$4))</f>
        <v/>
      </c>
      <c r="E425" s="6" t="str">
        <f ca="1">IF($A425="","",[1]!s_dq_close(E$1,$A425,$M$4))</f>
        <v/>
      </c>
      <c r="F425" s="6" t="str">
        <f ca="1">IF($A425="","",[1]!s_dq_close(F$1,$A425,$M$4))</f>
        <v/>
      </c>
      <c r="G425" s="6"/>
      <c r="H425" s="6" t="str">
        <f ca="1">IF($A425="","",[1]!s_dq_close(H$1,$A425,$M$4))</f>
        <v/>
      </c>
      <c r="I425" s="6" t="str">
        <f ca="1">IF($A425="","",[1]!s_dq_close(I$1,$A425,$M$4))</f>
        <v/>
      </c>
      <c r="J425" s="6" t="str">
        <f t="shared" ca="1" si="7"/>
        <v/>
      </c>
    </row>
    <row r="426" spans="1:10">
      <c r="A426" s="2" t="str">
        <f ca="1">IF(A425="","",IF(IF(价差分析!$W$4="日",--[1]!td(A425-1),IF(价差分析!$W$4="周",--[1]!td(A425-7),--[1]!td(A425-30)))-价差分析!$T$4&gt;0,IF(价差分析!$W$4="日",--[1]!td(A425-1),IF(价差分析!$W$4="周",--[1]!td(A425-7),--[1]!td(A425-30))),""))</f>
        <v/>
      </c>
      <c r="B426" s="1" t="str">
        <f ca="1">IF(A426="","",[1]!s_dq_close($B$1,A426,$M$4))</f>
        <v/>
      </c>
      <c r="C426" s="1" t="str">
        <f ca="1">IF(A426="","",[1]!s_dq_close($C$1,A426,$M$4))</f>
        <v/>
      </c>
      <c r="D426" s="6" t="str">
        <f ca="1">IF($A426="","",[1]!s_dq_close(D$1,$A426,$M$4))</f>
        <v/>
      </c>
      <c r="E426" s="6" t="str">
        <f ca="1">IF($A426="","",[1]!s_dq_close(E$1,$A426,$M$4))</f>
        <v/>
      </c>
      <c r="F426" s="6" t="str">
        <f ca="1">IF($A426="","",[1]!s_dq_close(F$1,$A426,$M$4))</f>
        <v/>
      </c>
      <c r="G426" s="6"/>
      <c r="H426" s="6" t="str">
        <f ca="1">IF($A426="","",[1]!s_dq_close(H$1,$A426,$M$4))</f>
        <v/>
      </c>
      <c r="I426" s="6" t="str">
        <f ca="1">IF($A426="","",[1]!s_dq_close(I$1,$A426,$M$4))</f>
        <v/>
      </c>
      <c r="J426" s="6" t="str">
        <f t="shared" ca="1" si="7"/>
        <v/>
      </c>
    </row>
    <row r="427" spans="1:10">
      <c r="A427" s="2" t="str">
        <f ca="1">IF(A426="","",IF(IF(价差分析!$W$4="日",--[1]!td(A426-1),IF(价差分析!$W$4="周",--[1]!td(A426-7),--[1]!td(A426-30)))-价差分析!$T$4&gt;0,IF(价差分析!$W$4="日",--[1]!td(A426-1),IF(价差分析!$W$4="周",--[1]!td(A426-7),--[1]!td(A426-30))),""))</f>
        <v/>
      </c>
      <c r="B427" s="1" t="str">
        <f ca="1">IF(A427="","",[1]!s_dq_close($B$1,A427,$M$4))</f>
        <v/>
      </c>
      <c r="C427" s="1" t="str">
        <f ca="1">IF(A427="","",[1]!s_dq_close($C$1,A427,$M$4))</f>
        <v/>
      </c>
      <c r="D427" s="6" t="str">
        <f ca="1">IF($A427="","",[1]!s_dq_close(D$1,$A427,$M$4))</f>
        <v/>
      </c>
      <c r="E427" s="6" t="str">
        <f ca="1">IF($A427="","",[1]!s_dq_close(E$1,$A427,$M$4))</f>
        <v/>
      </c>
      <c r="F427" s="6" t="str">
        <f ca="1">IF($A427="","",[1]!s_dq_close(F$1,$A427,$M$4))</f>
        <v/>
      </c>
      <c r="G427" s="6"/>
      <c r="H427" s="6" t="str">
        <f ca="1">IF($A427="","",[1]!s_dq_close(H$1,$A427,$M$4))</f>
        <v/>
      </c>
      <c r="I427" s="6" t="str">
        <f ca="1">IF($A427="","",[1]!s_dq_close(I$1,$A427,$M$4))</f>
        <v/>
      </c>
      <c r="J427" s="6" t="str">
        <f t="shared" ca="1" si="7"/>
        <v/>
      </c>
    </row>
    <row r="428" spans="1:10">
      <c r="A428" s="2" t="str">
        <f ca="1">IF(A427="","",IF(IF(价差分析!$W$4="日",--[1]!td(A427-1),IF(价差分析!$W$4="周",--[1]!td(A427-7),--[1]!td(A427-30)))-价差分析!$T$4&gt;0,IF(价差分析!$W$4="日",--[1]!td(A427-1),IF(价差分析!$W$4="周",--[1]!td(A427-7),--[1]!td(A427-30))),""))</f>
        <v/>
      </c>
      <c r="B428" s="1" t="str">
        <f ca="1">IF(A428="","",[1]!s_dq_close($B$1,A428,$M$4))</f>
        <v/>
      </c>
      <c r="C428" s="1" t="str">
        <f ca="1">IF(A428="","",[1]!s_dq_close($C$1,A428,$M$4))</f>
        <v/>
      </c>
      <c r="D428" s="6" t="str">
        <f ca="1">IF($A428="","",[1]!s_dq_close(D$1,$A428,$M$4))</f>
        <v/>
      </c>
      <c r="E428" s="6" t="str">
        <f ca="1">IF($A428="","",[1]!s_dq_close(E$1,$A428,$M$4))</f>
        <v/>
      </c>
      <c r="F428" s="6" t="str">
        <f ca="1">IF($A428="","",[1]!s_dq_close(F$1,$A428,$M$4))</f>
        <v/>
      </c>
      <c r="G428" s="6"/>
      <c r="H428" s="6" t="str">
        <f ca="1">IF($A428="","",[1]!s_dq_close(H$1,$A428,$M$4))</f>
        <v/>
      </c>
      <c r="I428" s="6" t="str">
        <f ca="1">IF($A428="","",[1]!s_dq_close(I$1,$A428,$M$4))</f>
        <v/>
      </c>
      <c r="J428" s="6" t="str">
        <f t="shared" ca="1" si="7"/>
        <v/>
      </c>
    </row>
    <row r="429" spans="1:10">
      <c r="A429" s="2" t="str">
        <f ca="1">IF(A428="","",IF(IF(价差分析!$W$4="日",--[1]!td(A428-1),IF(价差分析!$W$4="周",--[1]!td(A428-7),--[1]!td(A428-30)))-价差分析!$T$4&gt;0,IF(价差分析!$W$4="日",--[1]!td(A428-1),IF(价差分析!$W$4="周",--[1]!td(A428-7),--[1]!td(A428-30))),""))</f>
        <v/>
      </c>
      <c r="B429" s="1" t="str">
        <f ca="1">IF(A429="","",[1]!s_dq_close($B$1,A429,$M$4))</f>
        <v/>
      </c>
      <c r="C429" s="1" t="str">
        <f ca="1">IF(A429="","",[1]!s_dq_close($C$1,A429,$M$4))</f>
        <v/>
      </c>
      <c r="D429" s="6" t="str">
        <f ca="1">IF($A429="","",[1]!s_dq_close(D$1,$A429,$M$4))</f>
        <v/>
      </c>
      <c r="E429" s="6" t="str">
        <f ca="1">IF($A429="","",[1]!s_dq_close(E$1,$A429,$M$4))</f>
        <v/>
      </c>
      <c r="F429" s="6" t="str">
        <f ca="1">IF($A429="","",[1]!s_dq_close(F$1,$A429,$M$4))</f>
        <v/>
      </c>
      <c r="G429" s="6"/>
      <c r="H429" s="6" t="str">
        <f ca="1">IF($A429="","",[1]!s_dq_close(H$1,$A429,$M$4))</f>
        <v/>
      </c>
      <c r="I429" s="6" t="str">
        <f ca="1">IF($A429="","",[1]!s_dq_close(I$1,$A429,$M$4))</f>
        <v/>
      </c>
      <c r="J429" s="6" t="str">
        <f t="shared" ca="1" si="7"/>
        <v/>
      </c>
    </row>
    <row r="430" spans="1:10">
      <c r="A430" s="2" t="str">
        <f ca="1">IF(A429="","",IF(IF(价差分析!$W$4="日",--[1]!td(A429-1),IF(价差分析!$W$4="周",--[1]!td(A429-7),--[1]!td(A429-30)))-价差分析!$T$4&gt;0,IF(价差分析!$W$4="日",--[1]!td(A429-1),IF(价差分析!$W$4="周",--[1]!td(A429-7),--[1]!td(A429-30))),""))</f>
        <v/>
      </c>
      <c r="B430" s="1" t="str">
        <f ca="1">IF(A430="","",[1]!s_dq_close($B$1,A430,$M$4))</f>
        <v/>
      </c>
      <c r="C430" s="1" t="str">
        <f ca="1">IF(A430="","",[1]!s_dq_close($C$1,A430,$M$4))</f>
        <v/>
      </c>
      <c r="D430" s="6" t="str">
        <f ca="1">IF($A430="","",[1]!s_dq_close(D$1,$A430,$M$4))</f>
        <v/>
      </c>
      <c r="E430" s="6" t="str">
        <f ca="1">IF($A430="","",[1]!s_dq_close(E$1,$A430,$M$4))</f>
        <v/>
      </c>
      <c r="F430" s="6" t="str">
        <f ca="1">IF($A430="","",[1]!s_dq_close(F$1,$A430,$M$4))</f>
        <v/>
      </c>
      <c r="G430" s="6"/>
      <c r="H430" s="6" t="str">
        <f ca="1">IF($A430="","",[1]!s_dq_close(H$1,$A430,$M$4))</f>
        <v/>
      </c>
      <c r="I430" s="6" t="str">
        <f ca="1">IF($A430="","",[1]!s_dq_close(I$1,$A430,$M$4))</f>
        <v/>
      </c>
      <c r="J430" s="6" t="str">
        <f t="shared" ca="1" si="7"/>
        <v/>
      </c>
    </row>
    <row r="431" spans="1:10">
      <c r="A431" s="2" t="str">
        <f ca="1">IF(A430="","",IF(IF(价差分析!$W$4="日",--[1]!td(A430-1),IF(价差分析!$W$4="周",--[1]!td(A430-7),--[1]!td(A430-30)))-价差分析!$T$4&gt;0,IF(价差分析!$W$4="日",--[1]!td(A430-1),IF(价差分析!$W$4="周",--[1]!td(A430-7),--[1]!td(A430-30))),""))</f>
        <v/>
      </c>
      <c r="B431" s="1" t="str">
        <f ca="1">IF(A431="","",[1]!s_dq_close($B$1,A431,$M$4))</f>
        <v/>
      </c>
      <c r="C431" s="1" t="str">
        <f ca="1">IF(A431="","",[1]!s_dq_close($C$1,A431,$M$4))</f>
        <v/>
      </c>
      <c r="D431" s="6" t="str">
        <f ca="1">IF($A431="","",[1]!s_dq_close(D$1,$A431,$M$4))</f>
        <v/>
      </c>
      <c r="E431" s="6" t="str">
        <f ca="1">IF($A431="","",[1]!s_dq_close(E$1,$A431,$M$4))</f>
        <v/>
      </c>
      <c r="F431" s="6" t="str">
        <f ca="1">IF($A431="","",[1]!s_dq_close(F$1,$A431,$M$4))</f>
        <v/>
      </c>
      <c r="G431" s="6"/>
      <c r="H431" s="6" t="str">
        <f ca="1">IF($A431="","",[1]!s_dq_close(H$1,$A431,$M$4))</f>
        <v/>
      </c>
      <c r="I431" s="6" t="str">
        <f ca="1">IF($A431="","",[1]!s_dq_close(I$1,$A431,$M$4))</f>
        <v/>
      </c>
      <c r="J431" s="6" t="str">
        <f t="shared" ca="1" si="7"/>
        <v/>
      </c>
    </row>
    <row r="432" spans="1:10">
      <c r="A432" s="2" t="str">
        <f ca="1">IF(A431="","",IF(IF(价差分析!$W$4="日",--[1]!td(A431-1),IF(价差分析!$W$4="周",--[1]!td(A431-7),--[1]!td(A431-30)))-价差分析!$T$4&gt;0,IF(价差分析!$W$4="日",--[1]!td(A431-1),IF(价差分析!$W$4="周",--[1]!td(A431-7),--[1]!td(A431-30))),""))</f>
        <v/>
      </c>
      <c r="B432" s="1" t="str">
        <f ca="1">IF(A432="","",[1]!s_dq_close($B$1,A432,$M$4))</f>
        <v/>
      </c>
      <c r="C432" s="1" t="str">
        <f ca="1">IF(A432="","",[1]!s_dq_close($C$1,A432,$M$4))</f>
        <v/>
      </c>
      <c r="D432" s="6" t="str">
        <f ca="1">IF($A432="","",[1]!s_dq_close(D$1,$A432,$M$4))</f>
        <v/>
      </c>
      <c r="E432" s="6" t="str">
        <f ca="1">IF($A432="","",[1]!s_dq_close(E$1,$A432,$M$4))</f>
        <v/>
      </c>
      <c r="F432" s="6" t="str">
        <f ca="1">IF($A432="","",[1]!s_dq_close(F$1,$A432,$M$4))</f>
        <v/>
      </c>
      <c r="G432" s="6"/>
      <c r="H432" s="6" t="str">
        <f ca="1">IF($A432="","",[1]!s_dq_close(H$1,$A432,$M$4))</f>
        <v/>
      </c>
      <c r="I432" s="6" t="str">
        <f ca="1">IF($A432="","",[1]!s_dq_close(I$1,$A432,$M$4))</f>
        <v/>
      </c>
      <c r="J432" s="6" t="str">
        <f t="shared" ca="1" si="7"/>
        <v/>
      </c>
    </row>
    <row r="433" spans="1:10">
      <c r="A433" s="2" t="str">
        <f ca="1">IF(A432="","",IF(IF(价差分析!$W$4="日",--[1]!td(A432-1),IF(价差分析!$W$4="周",--[1]!td(A432-7),--[1]!td(A432-30)))-价差分析!$T$4&gt;0,IF(价差分析!$W$4="日",--[1]!td(A432-1),IF(价差分析!$W$4="周",--[1]!td(A432-7),--[1]!td(A432-30))),""))</f>
        <v/>
      </c>
      <c r="B433" s="1" t="str">
        <f ca="1">IF(A433="","",[1]!s_dq_close($B$1,A433,$M$4))</f>
        <v/>
      </c>
      <c r="C433" s="1" t="str">
        <f ca="1">IF(A433="","",[1]!s_dq_close($C$1,A433,$M$4))</f>
        <v/>
      </c>
      <c r="D433" s="6" t="str">
        <f ca="1">IF($A433="","",[1]!s_dq_close(D$1,$A433,$M$4))</f>
        <v/>
      </c>
      <c r="E433" s="6" t="str">
        <f ca="1">IF($A433="","",[1]!s_dq_close(E$1,$A433,$M$4))</f>
        <v/>
      </c>
      <c r="F433" s="6" t="str">
        <f ca="1">IF($A433="","",[1]!s_dq_close(F$1,$A433,$M$4))</f>
        <v/>
      </c>
      <c r="G433" s="6"/>
      <c r="H433" s="6" t="str">
        <f ca="1">IF($A433="","",[1]!s_dq_close(H$1,$A433,$M$4))</f>
        <v/>
      </c>
      <c r="I433" s="6" t="str">
        <f ca="1">IF($A433="","",[1]!s_dq_close(I$1,$A433,$M$4))</f>
        <v/>
      </c>
      <c r="J433" s="6" t="str">
        <f t="shared" ca="1" si="7"/>
        <v/>
      </c>
    </row>
    <row r="434" spans="1:10">
      <c r="A434" s="2" t="str">
        <f ca="1">IF(A433="","",IF(IF(价差分析!$W$4="日",--[1]!td(A433-1),IF(价差分析!$W$4="周",--[1]!td(A433-7),--[1]!td(A433-30)))-价差分析!$T$4&gt;0,IF(价差分析!$W$4="日",--[1]!td(A433-1),IF(价差分析!$W$4="周",--[1]!td(A433-7),--[1]!td(A433-30))),""))</f>
        <v/>
      </c>
      <c r="B434" s="1" t="str">
        <f ca="1">IF(A434="","",[1]!s_dq_close($B$1,A434,$M$4))</f>
        <v/>
      </c>
      <c r="C434" s="1" t="str">
        <f ca="1">IF(A434="","",[1]!s_dq_close($C$1,A434,$M$4))</f>
        <v/>
      </c>
      <c r="D434" s="6" t="str">
        <f ca="1">IF($A434="","",[1]!s_dq_close(D$1,$A434,$M$4))</f>
        <v/>
      </c>
      <c r="E434" s="6" t="str">
        <f ca="1">IF($A434="","",[1]!s_dq_close(E$1,$A434,$M$4))</f>
        <v/>
      </c>
      <c r="F434" s="6" t="str">
        <f ca="1">IF($A434="","",[1]!s_dq_close(F$1,$A434,$M$4))</f>
        <v/>
      </c>
      <c r="G434" s="6"/>
      <c r="H434" s="6" t="str">
        <f ca="1">IF($A434="","",[1]!s_dq_close(H$1,$A434,$M$4))</f>
        <v/>
      </c>
      <c r="I434" s="6" t="str">
        <f ca="1">IF($A434="","",[1]!s_dq_close(I$1,$A434,$M$4))</f>
        <v/>
      </c>
      <c r="J434" s="6" t="str">
        <f t="shared" ca="1" si="7"/>
        <v/>
      </c>
    </row>
    <row r="435" spans="1:10">
      <c r="A435" s="2" t="str">
        <f ca="1">IF(A434="","",IF(IF(价差分析!$W$4="日",--[1]!td(A434-1),IF(价差分析!$W$4="周",--[1]!td(A434-7),--[1]!td(A434-30)))-价差分析!$T$4&gt;0,IF(价差分析!$W$4="日",--[1]!td(A434-1),IF(价差分析!$W$4="周",--[1]!td(A434-7),--[1]!td(A434-30))),""))</f>
        <v/>
      </c>
      <c r="B435" s="1" t="str">
        <f ca="1">IF(A435="","",[1]!s_dq_close($B$1,A435,$M$4))</f>
        <v/>
      </c>
      <c r="C435" s="1" t="str">
        <f ca="1">IF(A435="","",[1]!s_dq_close($C$1,A435,$M$4))</f>
        <v/>
      </c>
      <c r="D435" s="6" t="str">
        <f ca="1">IF($A435="","",[1]!s_dq_close(D$1,$A435,$M$4))</f>
        <v/>
      </c>
      <c r="E435" s="6" t="str">
        <f ca="1">IF($A435="","",[1]!s_dq_close(E$1,$A435,$M$4))</f>
        <v/>
      </c>
      <c r="F435" s="6" t="str">
        <f ca="1">IF($A435="","",[1]!s_dq_close(F$1,$A435,$M$4))</f>
        <v/>
      </c>
      <c r="G435" s="6"/>
      <c r="H435" s="6" t="str">
        <f ca="1">IF($A435="","",[1]!s_dq_close(H$1,$A435,$M$4))</f>
        <v/>
      </c>
      <c r="I435" s="6" t="str">
        <f ca="1">IF($A435="","",[1]!s_dq_close(I$1,$A435,$M$4))</f>
        <v/>
      </c>
      <c r="J435" s="6" t="str">
        <f t="shared" ca="1" si="7"/>
        <v/>
      </c>
    </row>
    <row r="436" spans="1:10">
      <c r="A436" s="2" t="str">
        <f ca="1">IF(A435="","",IF(IF(价差分析!$W$4="日",--[1]!td(A435-1),IF(价差分析!$W$4="周",--[1]!td(A435-7),--[1]!td(A435-30)))-价差分析!$T$4&gt;0,IF(价差分析!$W$4="日",--[1]!td(A435-1),IF(价差分析!$W$4="周",--[1]!td(A435-7),--[1]!td(A435-30))),""))</f>
        <v/>
      </c>
      <c r="B436" s="1" t="str">
        <f ca="1">IF(A436="","",[1]!s_dq_close($B$1,A436,$M$4))</f>
        <v/>
      </c>
      <c r="C436" s="1" t="str">
        <f ca="1">IF(A436="","",[1]!s_dq_close($C$1,A436,$M$4))</f>
        <v/>
      </c>
      <c r="D436" s="6" t="str">
        <f ca="1">IF($A436="","",[1]!s_dq_close(D$1,$A436,$M$4))</f>
        <v/>
      </c>
      <c r="E436" s="6" t="str">
        <f ca="1">IF($A436="","",[1]!s_dq_close(E$1,$A436,$M$4))</f>
        <v/>
      </c>
      <c r="F436" s="6" t="str">
        <f ca="1">IF($A436="","",[1]!s_dq_close(F$1,$A436,$M$4))</f>
        <v/>
      </c>
      <c r="G436" s="6"/>
      <c r="H436" s="6" t="str">
        <f ca="1">IF($A436="","",[1]!s_dq_close(H$1,$A436,$M$4))</f>
        <v/>
      </c>
      <c r="I436" s="6" t="str">
        <f ca="1">IF($A436="","",[1]!s_dq_close(I$1,$A436,$M$4))</f>
        <v/>
      </c>
      <c r="J436" s="6" t="str">
        <f t="shared" ca="1" si="7"/>
        <v/>
      </c>
    </row>
    <row r="437" spans="1:10">
      <c r="A437" s="2" t="str">
        <f ca="1">IF(A436="","",IF(IF(价差分析!$W$4="日",--[1]!td(A436-1),IF(价差分析!$W$4="周",--[1]!td(A436-7),--[1]!td(A436-30)))-价差分析!$T$4&gt;0,IF(价差分析!$W$4="日",--[1]!td(A436-1),IF(价差分析!$W$4="周",--[1]!td(A436-7),--[1]!td(A436-30))),""))</f>
        <v/>
      </c>
      <c r="B437" s="1" t="str">
        <f ca="1">IF(A437="","",[1]!s_dq_close($B$1,A437,$M$4))</f>
        <v/>
      </c>
      <c r="C437" s="1" t="str">
        <f ca="1">IF(A437="","",[1]!s_dq_close($C$1,A437,$M$4))</f>
        <v/>
      </c>
      <c r="D437" s="6" t="str">
        <f ca="1">IF($A437="","",[1]!s_dq_close(D$1,$A437,$M$4))</f>
        <v/>
      </c>
      <c r="E437" s="6" t="str">
        <f ca="1">IF($A437="","",[1]!s_dq_close(E$1,$A437,$M$4))</f>
        <v/>
      </c>
      <c r="F437" s="6" t="str">
        <f ca="1">IF($A437="","",[1]!s_dq_close(F$1,$A437,$M$4))</f>
        <v/>
      </c>
      <c r="G437" s="6"/>
      <c r="H437" s="6" t="str">
        <f ca="1">IF($A437="","",[1]!s_dq_close(H$1,$A437,$M$4))</f>
        <v/>
      </c>
      <c r="I437" s="6" t="str">
        <f ca="1">IF($A437="","",[1]!s_dq_close(I$1,$A437,$M$4))</f>
        <v/>
      </c>
      <c r="J437" s="6" t="str">
        <f t="shared" ca="1" si="7"/>
        <v/>
      </c>
    </row>
    <row r="438" spans="1:10">
      <c r="A438" s="2" t="str">
        <f ca="1">IF(A437="","",IF(IF(价差分析!$W$4="日",--[1]!td(A437-1),IF(价差分析!$W$4="周",--[1]!td(A437-7),--[1]!td(A437-30)))-价差分析!$T$4&gt;0,IF(价差分析!$W$4="日",--[1]!td(A437-1),IF(价差分析!$W$4="周",--[1]!td(A437-7),--[1]!td(A437-30))),""))</f>
        <v/>
      </c>
      <c r="B438" s="1" t="str">
        <f ca="1">IF(A438="","",[1]!s_dq_close($B$1,A438,$M$4))</f>
        <v/>
      </c>
      <c r="C438" s="1" t="str">
        <f ca="1">IF(A438="","",[1]!s_dq_close($C$1,A438,$M$4))</f>
        <v/>
      </c>
      <c r="D438" s="6" t="str">
        <f ca="1">IF($A438="","",[1]!s_dq_close(D$1,$A438,$M$4))</f>
        <v/>
      </c>
      <c r="E438" s="6" t="str">
        <f ca="1">IF($A438="","",[1]!s_dq_close(E$1,$A438,$M$4))</f>
        <v/>
      </c>
      <c r="F438" s="6" t="str">
        <f ca="1">IF($A438="","",[1]!s_dq_close(F$1,$A438,$M$4))</f>
        <v/>
      </c>
      <c r="G438" s="6"/>
      <c r="H438" s="6" t="str">
        <f ca="1">IF($A438="","",[1]!s_dq_close(H$1,$A438,$M$4))</f>
        <v/>
      </c>
      <c r="I438" s="6" t="str">
        <f ca="1">IF($A438="","",[1]!s_dq_close(I$1,$A438,$M$4))</f>
        <v/>
      </c>
      <c r="J438" s="6" t="str">
        <f t="shared" ca="1" si="7"/>
        <v/>
      </c>
    </row>
    <row r="439" spans="1:10">
      <c r="A439" s="2" t="str">
        <f ca="1">IF(A438="","",IF(IF(价差分析!$W$4="日",--[1]!td(A438-1),IF(价差分析!$W$4="周",--[1]!td(A438-7),--[1]!td(A438-30)))-价差分析!$T$4&gt;0,IF(价差分析!$W$4="日",--[1]!td(A438-1),IF(价差分析!$W$4="周",--[1]!td(A438-7),--[1]!td(A438-30))),""))</f>
        <v/>
      </c>
      <c r="B439" s="1" t="str">
        <f ca="1">IF(A439="","",[1]!s_dq_close($B$1,A439,$M$4))</f>
        <v/>
      </c>
      <c r="C439" s="1" t="str">
        <f ca="1">IF(A439="","",[1]!s_dq_close($C$1,A439,$M$4))</f>
        <v/>
      </c>
      <c r="D439" s="6" t="str">
        <f ca="1">IF($A439="","",[1]!s_dq_close(D$1,$A439,$M$4))</f>
        <v/>
      </c>
      <c r="E439" s="6" t="str">
        <f ca="1">IF($A439="","",[1]!s_dq_close(E$1,$A439,$M$4))</f>
        <v/>
      </c>
      <c r="F439" s="6" t="str">
        <f ca="1">IF($A439="","",[1]!s_dq_close(F$1,$A439,$M$4))</f>
        <v/>
      </c>
      <c r="G439" s="6"/>
      <c r="H439" s="6" t="str">
        <f ca="1">IF($A439="","",[1]!s_dq_close(H$1,$A439,$M$4))</f>
        <v/>
      </c>
      <c r="I439" s="6" t="str">
        <f ca="1">IF($A439="","",[1]!s_dq_close(I$1,$A439,$M$4))</f>
        <v/>
      </c>
      <c r="J439" s="6" t="str">
        <f t="shared" ca="1" si="7"/>
        <v/>
      </c>
    </row>
    <row r="440" spans="1:10">
      <c r="A440" s="2" t="str">
        <f ca="1">IF(A439="","",IF(IF(价差分析!$W$4="日",--[1]!td(A439-1),IF(价差分析!$W$4="周",--[1]!td(A439-7),--[1]!td(A439-30)))-价差分析!$T$4&gt;0,IF(价差分析!$W$4="日",--[1]!td(A439-1),IF(价差分析!$W$4="周",--[1]!td(A439-7),--[1]!td(A439-30))),""))</f>
        <v/>
      </c>
      <c r="B440" s="1" t="str">
        <f ca="1">IF(A440="","",[1]!s_dq_close($B$1,A440,$M$4))</f>
        <v/>
      </c>
      <c r="C440" s="1" t="str">
        <f ca="1">IF(A440="","",[1]!s_dq_close($C$1,A440,$M$4))</f>
        <v/>
      </c>
      <c r="D440" s="6" t="str">
        <f ca="1">IF($A440="","",[1]!s_dq_close(D$1,$A440,$M$4))</f>
        <v/>
      </c>
      <c r="E440" s="6" t="str">
        <f ca="1">IF($A440="","",[1]!s_dq_close(E$1,$A440,$M$4))</f>
        <v/>
      </c>
      <c r="F440" s="6" t="str">
        <f ca="1">IF($A440="","",[1]!s_dq_close(F$1,$A440,$M$4))</f>
        <v/>
      </c>
      <c r="G440" s="6"/>
      <c r="H440" s="6" t="str">
        <f ca="1">IF($A440="","",[1]!s_dq_close(H$1,$A440,$M$4))</f>
        <v/>
      </c>
      <c r="I440" s="6" t="str">
        <f ca="1">IF($A440="","",[1]!s_dq_close(I$1,$A440,$M$4))</f>
        <v/>
      </c>
      <c r="J440" s="6" t="str">
        <f t="shared" ca="1" si="7"/>
        <v/>
      </c>
    </row>
    <row r="441" spans="1:10">
      <c r="A441" s="2" t="str">
        <f ca="1">IF(A440="","",IF(IF(价差分析!$W$4="日",--[1]!td(A440-1),IF(价差分析!$W$4="周",--[1]!td(A440-7),--[1]!td(A440-30)))-价差分析!$T$4&gt;0,IF(价差分析!$W$4="日",--[1]!td(A440-1),IF(价差分析!$W$4="周",--[1]!td(A440-7),--[1]!td(A440-30))),""))</f>
        <v/>
      </c>
      <c r="B441" s="1" t="str">
        <f ca="1">IF(A441="","",[1]!s_dq_close($B$1,A441,$M$4))</f>
        <v/>
      </c>
      <c r="C441" s="1" t="str">
        <f ca="1">IF(A441="","",[1]!s_dq_close($C$1,A441,$M$4))</f>
        <v/>
      </c>
      <c r="D441" s="6" t="str">
        <f ca="1">IF($A441="","",[1]!s_dq_close(D$1,$A441,$M$4))</f>
        <v/>
      </c>
      <c r="E441" s="6" t="str">
        <f ca="1">IF($A441="","",[1]!s_dq_close(E$1,$A441,$M$4))</f>
        <v/>
      </c>
      <c r="F441" s="6" t="str">
        <f ca="1">IF($A441="","",[1]!s_dq_close(F$1,$A441,$M$4))</f>
        <v/>
      </c>
      <c r="G441" s="6"/>
      <c r="H441" s="6" t="str">
        <f ca="1">IF($A441="","",[1]!s_dq_close(H$1,$A441,$M$4))</f>
        <v/>
      </c>
      <c r="I441" s="6" t="str">
        <f ca="1">IF($A441="","",[1]!s_dq_close(I$1,$A441,$M$4))</f>
        <v/>
      </c>
      <c r="J441" s="6" t="str">
        <f t="shared" ca="1" si="7"/>
        <v/>
      </c>
    </row>
    <row r="442" spans="1:10">
      <c r="A442" s="2" t="str">
        <f ca="1">IF(A441="","",IF(IF(价差分析!$W$4="日",--[1]!td(A441-1),IF(价差分析!$W$4="周",--[1]!td(A441-7),--[1]!td(A441-30)))-价差分析!$T$4&gt;0,IF(价差分析!$W$4="日",--[1]!td(A441-1),IF(价差分析!$W$4="周",--[1]!td(A441-7),--[1]!td(A441-30))),""))</f>
        <v/>
      </c>
      <c r="B442" s="1" t="str">
        <f ca="1">IF(A442="","",[1]!s_dq_close($B$1,A442,$M$4))</f>
        <v/>
      </c>
      <c r="C442" s="1" t="str">
        <f ca="1">IF(A442="","",[1]!s_dq_close($C$1,A442,$M$4))</f>
        <v/>
      </c>
      <c r="D442" s="6" t="str">
        <f ca="1">IF($A442="","",[1]!s_dq_close(D$1,$A442,$M$4))</f>
        <v/>
      </c>
      <c r="E442" s="6" t="str">
        <f ca="1">IF($A442="","",[1]!s_dq_close(E$1,$A442,$M$4))</f>
        <v/>
      </c>
      <c r="F442" s="6" t="str">
        <f ca="1">IF($A442="","",[1]!s_dq_close(F$1,$A442,$M$4))</f>
        <v/>
      </c>
      <c r="G442" s="6"/>
      <c r="H442" s="6" t="str">
        <f ca="1">IF($A442="","",[1]!s_dq_close(H$1,$A442,$M$4))</f>
        <v/>
      </c>
      <c r="I442" s="6" t="str">
        <f ca="1">IF($A442="","",[1]!s_dq_close(I$1,$A442,$M$4))</f>
        <v/>
      </c>
      <c r="J442" s="6" t="str">
        <f t="shared" ca="1" si="7"/>
        <v/>
      </c>
    </row>
    <row r="443" spans="1:10">
      <c r="A443" s="2" t="str">
        <f ca="1">IF(A442="","",IF(IF(价差分析!$W$4="日",--[1]!td(A442-1),IF(价差分析!$W$4="周",--[1]!td(A442-7),--[1]!td(A442-30)))-价差分析!$T$4&gt;0,IF(价差分析!$W$4="日",--[1]!td(A442-1),IF(价差分析!$W$4="周",--[1]!td(A442-7),--[1]!td(A442-30))),""))</f>
        <v/>
      </c>
      <c r="B443" s="1" t="str">
        <f ca="1">IF(A443="","",[1]!s_dq_close($B$1,A443,$M$4))</f>
        <v/>
      </c>
      <c r="C443" s="1" t="str">
        <f ca="1">IF(A443="","",[1]!s_dq_close($C$1,A443,$M$4))</f>
        <v/>
      </c>
      <c r="D443" s="6" t="str">
        <f ca="1">IF($A443="","",[1]!s_dq_close(D$1,$A443,$M$4))</f>
        <v/>
      </c>
      <c r="E443" s="6" t="str">
        <f ca="1">IF($A443="","",[1]!s_dq_close(E$1,$A443,$M$4))</f>
        <v/>
      </c>
      <c r="F443" s="6" t="str">
        <f ca="1">IF($A443="","",[1]!s_dq_close(F$1,$A443,$M$4))</f>
        <v/>
      </c>
      <c r="G443" s="6"/>
      <c r="H443" s="6" t="str">
        <f ca="1">IF($A443="","",[1]!s_dq_close(H$1,$A443,$M$4))</f>
        <v/>
      </c>
      <c r="I443" s="6" t="str">
        <f ca="1">IF($A443="","",[1]!s_dq_close(I$1,$A443,$M$4))</f>
        <v/>
      </c>
      <c r="J443" s="6" t="str">
        <f t="shared" ca="1" si="7"/>
        <v/>
      </c>
    </row>
    <row r="444" spans="1:10">
      <c r="A444" s="2" t="str">
        <f ca="1">IF(A443="","",IF(IF(价差分析!$W$4="日",--[1]!td(A443-1),IF(价差分析!$W$4="周",--[1]!td(A443-7),--[1]!td(A443-30)))-价差分析!$T$4&gt;0,IF(价差分析!$W$4="日",--[1]!td(A443-1),IF(价差分析!$W$4="周",--[1]!td(A443-7),--[1]!td(A443-30))),""))</f>
        <v/>
      </c>
      <c r="B444" s="1" t="str">
        <f ca="1">IF(A444="","",[1]!s_dq_close($B$1,A444,$M$4))</f>
        <v/>
      </c>
      <c r="C444" s="1" t="str">
        <f ca="1">IF(A444="","",[1]!s_dq_close($C$1,A444,$M$4))</f>
        <v/>
      </c>
      <c r="D444" s="6" t="str">
        <f ca="1">IF($A444="","",[1]!s_dq_close(D$1,$A444,$M$4))</f>
        <v/>
      </c>
      <c r="E444" s="6" t="str">
        <f ca="1">IF($A444="","",[1]!s_dq_close(E$1,$A444,$M$4))</f>
        <v/>
      </c>
      <c r="F444" s="6" t="str">
        <f ca="1">IF($A444="","",[1]!s_dq_close(F$1,$A444,$M$4))</f>
        <v/>
      </c>
      <c r="G444" s="6"/>
      <c r="H444" s="6" t="str">
        <f ca="1">IF($A444="","",[1]!s_dq_close(H$1,$A444,$M$4))</f>
        <v/>
      </c>
      <c r="I444" s="6" t="str">
        <f ca="1">IF($A444="","",[1]!s_dq_close(I$1,$A444,$M$4))</f>
        <v/>
      </c>
      <c r="J444" s="6" t="str">
        <f t="shared" ca="1" si="7"/>
        <v/>
      </c>
    </row>
    <row r="445" spans="1:10">
      <c r="A445" s="2" t="str">
        <f ca="1">IF(A444="","",IF(IF(价差分析!$W$4="日",--[1]!td(A444-1),IF(价差分析!$W$4="周",--[1]!td(A444-7),--[1]!td(A444-30)))-价差分析!$T$4&gt;0,IF(价差分析!$W$4="日",--[1]!td(A444-1),IF(价差分析!$W$4="周",--[1]!td(A444-7),--[1]!td(A444-30))),""))</f>
        <v/>
      </c>
      <c r="B445" s="1" t="str">
        <f ca="1">IF(A445="","",[1]!s_dq_close($B$1,A445,$M$4))</f>
        <v/>
      </c>
      <c r="C445" s="1" t="str">
        <f ca="1">IF(A445="","",[1]!s_dq_close($C$1,A445,$M$4))</f>
        <v/>
      </c>
      <c r="D445" s="6" t="str">
        <f ca="1">IF($A445="","",[1]!s_dq_close(D$1,$A445,$M$4))</f>
        <v/>
      </c>
      <c r="E445" s="6" t="str">
        <f ca="1">IF($A445="","",[1]!s_dq_close(E$1,$A445,$M$4))</f>
        <v/>
      </c>
      <c r="F445" s="6" t="str">
        <f ca="1">IF($A445="","",[1]!s_dq_close(F$1,$A445,$M$4))</f>
        <v/>
      </c>
      <c r="G445" s="6"/>
      <c r="H445" s="6" t="str">
        <f ca="1">IF($A445="","",[1]!s_dq_close(H$1,$A445,$M$4))</f>
        <v/>
      </c>
      <c r="I445" s="6" t="str">
        <f ca="1">IF($A445="","",[1]!s_dq_close(I$1,$A445,$M$4))</f>
        <v/>
      </c>
      <c r="J445" s="6" t="str">
        <f t="shared" ca="1" si="7"/>
        <v/>
      </c>
    </row>
    <row r="446" spans="1:10">
      <c r="A446" s="2" t="str">
        <f ca="1">IF(A445="","",IF(IF(价差分析!$W$4="日",--[1]!td(A445-1),IF(价差分析!$W$4="周",--[1]!td(A445-7),--[1]!td(A445-30)))-价差分析!$T$4&gt;0,IF(价差分析!$W$4="日",--[1]!td(A445-1),IF(价差分析!$W$4="周",--[1]!td(A445-7),--[1]!td(A445-30))),""))</f>
        <v/>
      </c>
      <c r="B446" s="1" t="str">
        <f ca="1">IF(A446="","",[1]!s_dq_close($B$1,A446,$M$4))</f>
        <v/>
      </c>
      <c r="C446" s="1" t="str">
        <f ca="1">IF(A446="","",[1]!s_dq_close($C$1,A446,$M$4))</f>
        <v/>
      </c>
      <c r="D446" s="6" t="str">
        <f ca="1">IF($A446="","",[1]!s_dq_close(D$1,$A446,$M$4))</f>
        <v/>
      </c>
      <c r="E446" s="6" t="str">
        <f ca="1">IF($A446="","",[1]!s_dq_close(E$1,$A446,$M$4))</f>
        <v/>
      </c>
      <c r="F446" s="6" t="str">
        <f ca="1">IF($A446="","",[1]!s_dq_close(F$1,$A446,$M$4))</f>
        <v/>
      </c>
      <c r="G446" s="6"/>
      <c r="H446" s="6" t="str">
        <f ca="1">IF($A446="","",[1]!s_dq_close(H$1,$A446,$M$4))</f>
        <v/>
      </c>
      <c r="I446" s="6" t="str">
        <f ca="1">IF($A446="","",[1]!s_dq_close(I$1,$A446,$M$4))</f>
        <v/>
      </c>
      <c r="J446" s="6" t="str">
        <f t="shared" ca="1" si="7"/>
        <v/>
      </c>
    </row>
    <row r="447" spans="1:10">
      <c r="A447" s="2" t="str">
        <f ca="1">IF(A446="","",IF(IF(价差分析!$W$4="日",--[1]!td(A446-1),IF(价差分析!$W$4="周",--[1]!td(A446-7),--[1]!td(A446-30)))-价差分析!$T$4&gt;0,IF(价差分析!$W$4="日",--[1]!td(A446-1),IF(价差分析!$W$4="周",--[1]!td(A446-7),--[1]!td(A446-30))),""))</f>
        <v/>
      </c>
      <c r="B447" s="1" t="str">
        <f ca="1">IF(A447="","",[1]!s_dq_close($B$1,A447,$M$4))</f>
        <v/>
      </c>
      <c r="C447" s="1" t="str">
        <f ca="1">IF(A447="","",[1]!s_dq_close($C$1,A447,$M$4))</f>
        <v/>
      </c>
      <c r="D447" s="6" t="str">
        <f ca="1">IF($A447="","",[1]!s_dq_close(D$1,$A447,$M$4))</f>
        <v/>
      </c>
      <c r="E447" s="6" t="str">
        <f ca="1">IF($A447="","",[1]!s_dq_close(E$1,$A447,$M$4))</f>
        <v/>
      </c>
      <c r="F447" s="6" t="str">
        <f ca="1">IF($A447="","",[1]!s_dq_close(F$1,$A447,$M$4))</f>
        <v/>
      </c>
      <c r="G447" s="6"/>
      <c r="H447" s="6" t="str">
        <f ca="1">IF($A447="","",[1]!s_dq_close(H$1,$A447,$M$4))</f>
        <v/>
      </c>
      <c r="I447" s="6" t="str">
        <f ca="1">IF($A447="","",[1]!s_dq_close(I$1,$A447,$M$4))</f>
        <v/>
      </c>
      <c r="J447" s="6" t="str">
        <f t="shared" ca="1" si="7"/>
        <v/>
      </c>
    </row>
    <row r="448" spans="1:10">
      <c r="A448" s="2" t="str">
        <f ca="1">IF(A447="","",IF(IF(价差分析!$W$4="日",--[1]!td(A447-1),IF(价差分析!$W$4="周",--[1]!td(A447-7),--[1]!td(A447-30)))-价差分析!$T$4&gt;0,IF(价差分析!$W$4="日",--[1]!td(A447-1),IF(价差分析!$W$4="周",--[1]!td(A447-7),--[1]!td(A447-30))),""))</f>
        <v/>
      </c>
      <c r="B448" s="1" t="str">
        <f ca="1">IF(A448="","",[1]!s_dq_close($B$1,A448,$M$4))</f>
        <v/>
      </c>
      <c r="C448" s="1" t="str">
        <f ca="1">IF(A448="","",[1]!s_dq_close($C$1,A448,$M$4))</f>
        <v/>
      </c>
      <c r="D448" s="6" t="str">
        <f ca="1">IF($A448="","",[1]!s_dq_close(D$1,$A448,$M$4))</f>
        <v/>
      </c>
      <c r="E448" s="6" t="str">
        <f ca="1">IF($A448="","",[1]!s_dq_close(E$1,$A448,$M$4))</f>
        <v/>
      </c>
      <c r="F448" s="6" t="str">
        <f ca="1">IF($A448="","",[1]!s_dq_close(F$1,$A448,$M$4))</f>
        <v/>
      </c>
      <c r="G448" s="6"/>
      <c r="H448" s="6" t="str">
        <f ca="1">IF($A448="","",[1]!s_dq_close(H$1,$A448,$M$4))</f>
        <v/>
      </c>
      <c r="I448" s="6" t="str">
        <f ca="1">IF($A448="","",[1]!s_dq_close(I$1,$A448,$M$4))</f>
        <v/>
      </c>
      <c r="J448" s="6" t="str">
        <f t="shared" ca="1" si="7"/>
        <v/>
      </c>
    </row>
    <row r="449" spans="1:10">
      <c r="A449" s="2" t="str">
        <f ca="1">IF(A448="","",IF(IF(价差分析!$W$4="日",--[1]!td(A448-1),IF(价差分析!$W$4="周",--[1]!td(A448-7),--[1]!td(A448-30)))-价差分析!$T$4&gt;0,IF(价差分析!$W$4="日",--[1]!td(A448-1),IF(价差分析!$W$4="周",--[1]!td(A448-7),--[1]!td(A448-30))),""))</f>
        <v/>
      </c>
      <c r="B449" s="1" t="str">
        <f ca="1">IF(A449="","",[1]!s_dq_close($B$1,A449,$M$4))</f>
        <v/>
      </c>
      <c r="C449" s="1" t="str">
        <f ca="1">IF(A449="","",[1]!s_dq_close($C$1,A449,$M$4))</f>
        <v/>
      </c>
      <c r="D449" s="6" t="str">
        <f ca="1">IF($A449="","",[1]!s_dq_close(D$1,$A449,$M$4))</f>
        <v/>
      </c>
      <c r="E449" s="6" t="str">
        <f ca="1">IF($A449="","",[1]!s_dq_close(E$1,$A449,$M$4))</f>
        <v/>
      </c>
      <c r="F449" s="6" t="str">
        <f ca="1">IF($A449="","",[1]!s_dq_close(F$1,$A449,$M$4))</f>
        <v/>
      </c>
      <c r="G449" s="6"/>
      <c r="H449" s="6" t="str">
        <f ca="1">IF($A449="","",[1]!s_dq_close(H$1,$A449,$M$4))</f>
        <v/>
      </c>
      <c r="I449" s="6" t="str">
        <f ca="1">IF($A449="","",[1]!s_dq_close(I$1,$A449,$M$4))</f>
        <v/>
      </c>
      <c r="J449" s="6" t="str">
        <f t="shared" ca="1" si="7"/>
        <v/>
      </c>
    </row>
    <row r="450" spans="1:10">
      <c r="A450" s="2" t="str">
        <f ca="1">IF(A449="","",IF(IF(价差分析!$W$4="日",--[1]!td(A449-1),IF(价差分析!$W$4="周",--[1]!td(A449-7),--[1]!td(A449-30)))-价差分析!$T$4&gt;0,IF(价差分析!$W$4="日",--[1]!td(A449-1),IF(价差分析!$W$4="周",--[1]!td(A449-7),--[1]!td(A449-30))),""))</f>
        <v/>
      </c>
      <c r="B450" s="1" t="str">
        <f ca="1">IF(A450="","",[1]!s_dq_close($B$1,A450,$M$4))</f>
        <v/>
      </c>
      <c r="C450" s="1" t="str">
        <f ca="1">IF(A450="","",[1]!s_dq_close($C$1,A450,$M$4))</f>
        <v/>
      </c>
      <c r="D450" s="6" t="str">
        <f ca="1">IF($A450="","",[1]!s_dq_close(D$1,$A450,$M$4))</f>
        <v/>
      </c>
      <c r="E450" s="6" t="str">
        <f ca="1">IF($A450="","",[1]!s_dq_close(E$1,$A450,$M$4))</f>
        <v/>
      </c>
      <c r="F450" s="6" t="str">
        <f ca="1">IF($A450="","",[1]!s_dq_close(F$1,$A450,$M$4))</f>
        <v/>
      </c>
      <c r="G450" s="6"/>
      <c r="H450" s="6" t="str">
        <f ca="1">IF($A450="","",[1]!s_dq_close(H$1,$A450,$M$4))</f>
        <v/>
      </c>
      <c r="I450" s="6" t="str">
        <f ca="1">IF($A450="","",[1]!s_dq_close(I$1,$A450,$M$4))</f>
        <v/>
      </c>
      <c r="J450" s="6" t="str">
        <f t="shared" ca="1" si="7"/>
        <v/>
      </c>
    </row>
    <row r="451" spans="1:10">
      <c r="A451" s="2" t="str">
        <f ca="1">IF(A450="","",IF(IF(价差分析!$W$4="日",--[1]!td(A450-1),IF(价差分析!$W$4="周",--[1]!td(A450-7),--[1]!td(A450-30)))-价差分析!$T$4&gt;0,IF(价差分析!$W$4="日",--[1]!td(A450-1),IF(价差分析!$W$4="周",--[1]!td(A450-7),--[1]!td(A450-30))),""))</f>
        <v/>
      </c>
      <c r="B451" s="1" t="str">
        <f ca="1">IF(A451="","",[1]!s_dq_close($B$1,A451,$M$4))</f>
        <v/>
      </c>
      <c r="C451" s="1" t="str">
        <f ca="1">IF(A451="","",[1]!s_dq_close($C$1,A451,$M$4))</f>
        <v/>
      </c>
      <c r="D451" s="6" t="str">
        <f ca="1">IF($A451="","",[1]!s_dq_close(D$1,$A451,$M$4))</f>
        <v/>
      </c>
      <c r="E451" s="6" t="str">
        <f ca="1">IF($A451="","",[1]!s_dq_close(E$1,$A451,$M$4))</f>
        <v/>
      </c>
      <c r="F451" s="6" t="str">
        <f ca="1">IF($A451="","",[1]!s_dq_close(F$1,$A451,$M$4))</f>
        <v/>
      </c>
      <c r="G451" s="6"/>
      <c r="H451" s="6" t="str">
        <f ca="1">IF($A451="","",[1]!s_dq_close(H$1,$A451,$M$4))</f>
        <v/>
      </c>
      <c r="I451" s="6" t="str">
        <f ca="1">IF($A451="","",[1]!s_dq_close(I$1,$A451,$M$4))</f>
        <v/>
      </c>
      <c r="J451" s="6" t="str">
        <f t="shared" ca="1" si="7"/>
        <v/>
      </c>
    </row>
    <row r="452" spans="1:10">
      <c r="A452" s="2" t="str">
        <f ca="1">IF(A451="","",IF(IF(价差分析!$W$4="日",--[1]!td(A451-1),IF(价差分析!$W$4="周",--[1]!td(A451-7),--[1]!td(A451-30)))-价差分析!$T$4&gt;0,IF(价差分析!$W$4="日",--[1]!td(A451-1),IF(价差分析!$W$4="周",--[1]!td(A451-7),--[1]!td(A451-30))),""))</f>
        <v/>
      </c>
      <c r="B452" s="1" t="str">
        <f ca="1">IF(A452="","",[1]!s_dq_close($B$1,A452,$M$4))</f>
        <v/>
      </c>
      <c r="C452" s="1" t="str">
        <f ca="1">IF(A452="","",[1]!s_dq_close($C$1,A452,$M$4))</f>
        <v/>
      </c>
      <c r="D452" s="6" t="str">
        <f ca="1">IF($A452="","",[1]!s_dq_close(D$1,$A452,$M$4))</f>
        <v/>
      </c>
      <c r="E452" s="6" t="str">
        <f ca="1">IF($A452="","",[1]!s_dq_close(E$1,$A452,$M$4))</f>
        <v/>
      </c>
      <c r="F452" s="6" t="str">
        <f ca="1">IF($A452="","",[1]!s_dq_close(F$1,$A452,$M$4))</f>
        <v/>
      </c>
      <c r="G452" s="6"/>
      <c r="H452" s="6" t="str">
        <f ca="1">IF($A452="","",[1]!s_dq_close(H$1,$A452,$M$4))</f>
        <v/>
      </c>
      <c r="I452" s="6" t="str">
        <f ca="1">IF($A452="","",[1]!s_dq_close(I$1,$A452,$M$4))</f>
        <v/>
      </c>
      <c r="J452" s="6" t="str">
        <f t="shared" ca="1" si="7"/>
        <v/>
      </c>
    </row>
    <row r="453" spans="1:10">
      <c r="A453" s="2" t="str">
        <f ca="1">IF(A452="","",IF(IF(价差分析!$W$4="日",--[1]!td(A452-1),IF(价差分析!$W$4="周",--[1]!td(A452-7),--[1]!td(A452-30)))-价差分析!$T$4&gt;0,IF(价差分析!$W$4="日",--[1]!td(A452-1),IF(价差分析!$W$4="周",--[1]!td(A452-7),--[1]!td(A452-30))),""))</f>
        <v/>
      </c>
      <c r="B453" s="1" t="str">
        <f ca="1">IF(A453="","",[1]!s_dq_close($B$1,A453,$M$4))</f>
        <v/>
      </c>
      <c r="C453" s="1" t="str">
        <f ca="1">IF(A453="","",[1]!s_dq_close($C$1,A453,$M$4))</f>
        <v/>
      </c>
      <c r="D453" s="6" t="str">
        <f ca="1">IF($A453="","",[1]!s_dq_close(D$1,$A453,$M$4))</f>
        <v/>
      </c>
      <c r="E453" s="6" t="str">
        <f ca="1">IF($A453="","",[1]!s_dq_close(E$1,$A453,$M$4))</f>
        <v/>
      </c>
      <c r="F453" s="6" t="str">
        <f ca="1">IF($A453="","",[1]!s_dq_close(F$1,$A453,$M$4))</f>
        <v/>
      </c>
      <c r="G453" s="6"/>
      <c r="H453" s="6" t="str">
        <f ca="1">IF($A453="","",[1]!s_dq_close(H$1,$A453,$M$4))</f>
        <v/>
      </c>
      <c r="I453" s="6" t="str">
        <f ca="1">IF($A453="","",[1]!s_dq_close(I$1,$A453,$M$4))</f>
        <v/>
      </c>
      <c r="J453" s="6" t="str">
        <f t="shared" ref="J453:J516" ca="1" si="8">IF(H453="","",H453-I453)</f>
        <v/>
      </c>
    </row>
    <row r="454" spans="1:10">
      <c r="A454" s="2" t="str">
        <f ca="1">IF(A453="","",IF(IF(价差分析!$W$4="日",--[1]!td(A453-1),IF(价差分析!$W$4="周",--[1]!td(A453-7),--[1]!td(A453-30)))-价差分析!$T$4&gt;0,IF(价差分析!$W$4="日",--[1]!td(A453-1),IF(价差分析!$W$4="周",--[1]!td(A453-7),--[1]!td(A453-30))),""))</f>
        <v/>
      </c>
      <c r="B454" s="1" t="str">
        <f ca="1">IF(A454="","",[1]!s_dq_close($B$1,A454,$M$4))</f>
        <v/>
      </c>
      <c r="C454" s="1" t="str">
        <f ca="1">IF(A454="","",[1]!s_dq_close($C$1,A454,$M$4))</f>
        <v/>
      </c>
      <c r="D454" s="6" t="str">
        <f ca="1">IF($A454="","",[1]!s_dq_close(D$1,$A454,$M$4))</f>
        <v/>
      </c>
      <c r="E454" s="6" t="str">
        <f ca="1">IF($A454="","",[1]!s_dq_close(E$1,$A454,$M$4))</f>
        <v/>
      </c>
      <c r="F454" s="6" t="str">
        <f ca="1">IF($A454="","",[1]!s_dq_close(F$1,$A454,$M$4))</f>
        <v/>
      </c>
      <c r="G454" s="6"/>
      <c r="H454" s="6" t="str">
        <f ca="1">IF($A454="","",[1]!s_dq_close(H$1,$A454,$M$4))</f>
        <v/>
      </c>
      <c r="I454" s="6" t="str">
        <f ca="1">IF($A454="","",[1]!s_dq_close(I$1,$A454,$M$4))</f>
        <v/>
      </c>
      <c r="J454" s="6" t="str">
        <f t="shared" ca="1" si="8"/>
        <v/>
      </c>
    </row>
    <row r="455" spans="1:10">
      <c r="A455" s="2" t="str">
        <f ca="1">IF(A454="","",IF(IF(价差分析!$W$4="日",--[1]!td(A454-1),IF(价差分析!$W$4="周",--[1]!td(A454-7),--[1]!td(A454-30)))-价差分析!$T$4&gt;0,IF(价差分析!$W$4="日",--[1]!td(A454-1),IF(价差分析!$W$4="周",--[1]!td(A454-7),--[1]!td(A454-30))),""))</f>
        <v/>
      </c>
      <c r="B455" s="1" t="str">
        <f ca="1">IF(A455="","",[1]!s_dq_close($B$1,A455,$M$4))</f>
        <v/>
      </c>
      <c r="C455" s="1" t="str">
        <f ca="1">IF(A455="","",[1]!s_dq_close($C$1,A455,$M$4))</f>
        <v/>
      </c>
      <c r="D455" s="6" t="str">
        <f ca="1">IF($A455="","",[1]!s_dq_close(D$1,$A455,$M$4))</f>
        <v/>
      </c>
      <c r="E455" s="6" t="str">
        <f ca="1">IF($A455="","",[1]!s_dq_close(E$1,$A455,$M$4))</f>
        <v/>
      </c>
      <c r="F455" s="6" t="str">
        <f ca="1">IF($A455="","",[1]!s_dq_close(F$1,$A455,$M$4))</f>
        <v/>
      </c>
      <c r="G455" s="6"/>
      <c r="H455" s="6" t="str">
        <f ca="1">IF($A455="","",[1]!s_dq_close(H$1,$A455,$M$4))</f>
        <v/>
      </c>
      <c r="I455" s="6" t="str">
        <f ca="1">IF($A455="","",[1]!s_dq_close(I$1,$A455,$M$4))</f>
        <v/>
      </c>
      <c r="J455" s="6" t="str">
        <f t="shared" ca="1" si="8"/>
        <v/>
      </c>
    </row>
    <row r="456" spans="1:10">
      <c r="A456" s="2" t="str">
        <f ca="1">IF(A455="","",IF(IF(价差分析!$W$4="日",--[1]!td(A455-1),IF(价差分析!$W$4="周",--[1]!td(A455-7),--[1]!td(A455-30)))-价差分析!$T$4&gt;0,IF(价差分析!$W$4="日",--[1]!td(A455-1),IF(价差分析!$W$4="周",--[1]!td(A455-7),--[1]!td(A455-30))),""))</f>
        <v/>
      </c>
      <c r="B456" s="1" t="str">
        <f ca="1">IF(A456="","",[1]!s_dq_close($B$1,A456,$M$4))</f>
        <v/>
      </c>
      <c r="C456" s="1" t="str">
        <f ca="1">IF(A456="","",[1]!s_dq_close($C$1,A456,$M$4))</f>
        <v/>
      </c>
      <c r="D456" s="6" t="str">
        <f ca="1">IF($A456="","",[1]!s_dq_close(D$1,$A456,$M$4))</f>
        <v/>
      </c>
      <c r="E456" s="6" t="str">
        <f ca="1">IF($A456="","",[1]!s_dq_close(E$1,$A456,$M$4))</f>
        <v/>
      </c>
      <c r="F456" s="6" t="str">
        <f ca="1">IF($A456="","",[1]!s_dq_close(F$1,$A456,$M$4))</f>
        <v/>
      </c>
      <c r="G456" s="6"/>
      <c r="H456" s="6" t="str">
        <f ca="1">IF($A456="","",[1]!s_dq_close(H$1,$A456,$M$4))</f>
        <v/>
      </c>
      <c r="I456" s="6" t="str">
        <f ca="1">IF($A456="","",[1]!s_dq_close(I$1,$A456,$M$4))</f>
        <v/>
      </c>
      <c r="J456" s="6" t="str">
        <f t="shared" ca="1" si="8"/>
        <v/>
      </c>
    </row>
    <row r="457" spans="1:10">
      <c r="A457" s="2" t="str">
        <f ca="1">IF(A456="","",IF(IF(价差分析!$W$4="日",--[1]!td(A456-1),IF(价差分析!$W$4="周",--[1]!td(A456-7),--[1]!td(A456-30)))-价差分析!$T$4&gt;0,IF(价差分析!$W$4="日",--[1]!td(A456-1),IF(价差分析!$W$4="周",--[1]!td(A456-7),--[1]!td(A456-30))),""))</f>
        <v/>
      </c>
      <c r="B457" s="1" t="str">
        <f ca="1">IF(A457="","",[1]!s_dq_close($B$1,A457,$M$4))</f>
        <v/>
      </c>
      <c r="C457" s="1" t="str">
        <f ca="1">IF(A457="","",[1]!s_dq_close($C$1,A457,$M$4))</f>
        <v/>
      </c>
      <c r="D457" s="6" t="str">
        <f ca="1">IF($A457="","",[1]!s_dq_close(D$1,$A457,$M$4))</f>
        <v/>
      </c>
      <c r="E457" s="6" t="str">
        <f ca="1">IF($A457="","",[1]!s_dq_close(E$1,$A457,$M$4))</f>
        <v/>
      </c>
      <c r="F457" s="6" t="str">
        <f ca="1">IF($A457="","",[1]!s_dq_close(F$1,$A457,$M$4))</f>
        <v/>
      </c>
      <c r="G457" s="6"/>
      <c r="H457" s="6" t="str">
        <f ca="1">IF($A457="","",[1]!s_dq_close(H$1,$A457,$M$4))</f>
        <v/>
      </c>
      <c r="I457" s="6" t="str">
        <f ca="1">IF($A457="","",[1]!s_dq_close(I$1,$A457,$M$4))</f>
        <v/>
      </c>
      <c r="J457" s="6" t="str">
        <f t="shared" ca="1" si="8"/>
        <v/>
      </c>
    </row>
    <row r="458" spans="1:10">
      <c r="A458" s="2" t="str">
        <f ca="1">IF(A457="","",IF(IF(价差分析!$W$4="日",--[1]!td(A457-1),IF(价差分析!$W$4="周",--[1]!td(A457-7),--[1]!td(A457-30)))-价差分析!$T$4&gt;0,IF(价差分析!$W$4="日",--[1]!td(A457-1),IF(价差分析!$W$4="周",--[1]!td(A457-7),--[1]!td(A457-30))),""))</f>
        <v/>
      </c>
      <c r="B458" s="1" t="str">
        <f ca="1">IF(A458="","",[1]!s_dq_close($B$1,A458,$M$4))</f>
        <v/>
      </c>
      <c r="C458" s="1" t="str">
        <f ca="1">IF(A458="","",[1]!s_dq_close($C$1,A458,$M$4))</f>
        <v/>
      </c>
      <c r="D458" s="6" t="str">
        <f ca="1">IF($A458="","",[1]!s_dq_close(D$1,$A458,$M$4))</f>
        <v/>
      </c>
      <c r="E458" s="6" t="str">
        <f ca="1">IF($A458="","",[1]!s_dq_close(E$1,$A458,$M$4))</f>
        <v/>
      </c>
      <c r="F458" s="6" t="str">
        <f ca="1">IF($A458="","",[1]!s_dq_close(F$1,$A458,$M$4))</f>
        <v/>
      </c>
      <c r="G458" s="6"/>
      <c r="H458" s="6" t="str">
        <f ca="1">IF($A458="","",[1]!s_dq_close(H$1,$A458,$M$4))</f>
        <v/>
      </c>
      <c r="I458" s="6" t="str">
        <f ca="1">IF($A458="","",[1]!s_dq_close(I$1,$A458,$M$4))</f>
        <v/>
      </c>
      <c r="J458" s="6" t="str">
        <f t="shared" ca="1" si="8"/>
        <v/>
      </c>
    </row>
    <row r="459" spans="1:10">
      <c r="A459" s="2" t="str">
        <f ca="1">IF(A458="","",IF(IF(价差分析!$W$4="日",--[1]!td(A458-1),IF(价差分析!$W$4="周",--[1]!td(A458-7),--[1]!td(A458-30)))-价差分析!$T$4&gt;0,IF(价差分析!$W$4="日",--[1]!td(A458-1),IF(价差分析!$W$4="周",--[1]!td(A458-7),--[1]!td(A458-30))),""))</f>
        <v/>
      </c>
      <c r="B459" s="1" t="str">
        <f ca="1">IF(A459="","",[1]!s_dq_close($B$1,A459,$M$4))</f>
        <v/>
      </c>
      <c r="C459" s="1" t="str">
        <f ca="1">IF(A459="","",[1]!s_dq_close($C$1,A459,$M$4))</f>
        <v/>
      </c>
      <c r="D459" s="6" t="str">
        <f ca="1">IF($A459="","",[1]!s_dq_close(D$1,$A459,$M$4))</f>
        <v/>
      </c>
      <c r="E459" s="6" t="str">
        <f ca="1">IF($A459="","",[1]!s_dq_close(E$1,$A459,$M$4))</f>
        <v/>
      </c>
      <c r="F459" s="6" t="str">
        <f ca="1">IF($A459="","",[1]!s_dq_close(F$1,$A459,$M$4))</f>
        <v/>
      </c>
      <c r="G459" s="6"/>
      <c r="H459" s="6" t="str">
        <f ca="1">IF($A459="","",[1]!s_dq_close(H$1,$A459,$M$4))</f>
        <v/>
      </c>
      <c r="I459" s="6" t="str">
        <f ca="1">IF($A459="","",[1]!s_dq_close(I$1,$A459,$M$4))</f>
        <v/>
      </c>
      <c r="J459" s="6" t="str">
        <f t="shared" ca="1" si="8"/>
        <v/>
      </c>
    </row>
    <row r="460" spans="1:10">
      <c r="A460" s="2" t="str">
        <f ca="1">IF(A459="","",IF(IF(价差分析!$W$4="日",--[1]!td(A459-1),IF(价差分析!$W$4="周",--[1]!td(A459-7),--[1]!td(A459-30)))-价差分析!$T$4&gt;0,IF(价差分析!$W$4="日",--[1]!td(A459-1),IF(价差分析!$W$4="周",--[1]!td(A459-7),--[1]!td(A459-30))),""))</f>
        <v/>
      </c>
      <c r="B460" s="1" t="str">
        <f ca="1">IF(A460="","",[1]!s_dq_close($B$1,A460,$M$4))</f>
        <v/>
      </c>
      <c r="C460" s="1" t="str">
        <f ca="1">IF(A460="","",[1]!s_dq_close($C$1,A460,$M$4))</f>
        <v/>
      </c>
      <c r="D460" s="6" t="str">
        <f ca="1">IF($A460="","",[1]!s_dq_close(D$1,$A460,$M$4))</f>
        <v/>
      </c>
      <c r="E460" s="6" t="str">
        <f ca="1">IF($A460="","",[1]!s_dq_close(E$1,$A460,$M$4))</f>
        <v/>
      </c>
      <c r="F460" s="6" t="str">
        <f ca="1">IF($A460="","",[1]!s_dq_close(F$1,$A460,$M$4))</f>
        <v/>
      </c>
      <c r="G460" s="6"/>
      <c r="H460" s="6" t="str">
        <f ca="1">IF($A460="","",[1]!s_dq_close(H$1,$A460,$M$4))</f>
        <v/>
      </c>
      <c r="I460" s="6" t="str">
        <f ca="1">IF($A460="","",[1]!s_dq_close(I$1,$A460,$M$4))</f>
        <v/>
      </c>
      <c r="J460" s="6" t="str">
        <f t="shared" ca="1" si="8"/>
        <v/>
      </c>
    </row>
    <row r="461" spans="1:10">
      <c r="A461" s="2" t="str">
        <f ca="1">IF(A460="","",IF(IF(价差分析!$W$4="日",--[1]!td(A460-1),IF(价差分析!$W$4="周",--[1]!td(A460-7),--[1]!td(A460-30)))-价差分析!$T$4&gt;0,IF(价差分析!$W$4="日",--[1]!td(A460-1),IF(价差分析!$W$4="周",--[1]!td(A460-7),--[1]!td(A460-30))),""))</f>
        <v/>
      </c>
      <c r="B461" s="1" t="str">
        <f ca="1">IF(A461="","",[1]!s_dq_close($B$1,A461,$M$4))</f>
        <v/>
      </c>
      <c r="C461" s="1" t="str">
        <f ca="1">IF(A461="","",[1]!s_dq_close($C$1,A461,$M$4))</f>
        <v/>
      </c>
      <c r="D461" s="6" t="str">
        <f ca="1">IF($A461="","",[1]!s_dq_close(D$1,$A461,$M$4))</f>
        <v/>
      </c>
      <c r="E461" s="6" t="str">
        <f ca="1">IF($A461="","",[1]!s_dq_close(E$1,$A461,$M$4))</f>
        <v/>
      </c>
      <c r="F461" s="6" t="str">
        <f ca="1">IF($A461="","",[1]!s_dq_close(F$1,$A461,$M$4))</f>
        <v/>
      </c>
      <c r="G461" s="6"/>
      <c r="H461" s="6" t="str">
        <f ca="1">IF($A461="","",[1]!s_dq_close(H$1,$A461,$M$4))</f>
        <v/>
      </c>
      <c r="I461" s="6" t="str">
        <f ca="1">IF($A461="","",[1]!s_dq_close(I$1,$A461,$M$4))</f>
        <v/>
      </c>
      <c r="J461" s="6" t="str">
        <f t="shared" ca="1" si="8"/>
        <v/>
      </c>
    </row>
    <row r="462" spans="1:10">
      <c r="A462" s="2" t="str">
        <f ca="1">IF(A461="","",IF(IF(价差分析!$W$4="日",--[1]!td(A461-1),IF(价差分析!$W$4="周",--[1]!td(A461-7),--[1]!td(A461-30)))-价差分析!$T$4&gt;0,IF(价差分析!$W$4="日",--[1]!td(A461-1),IF(价差分析!$W$4="周",--[1]!td(A461-7),--[1]!td(A461-30))),""))</f>
        <v/>
      </c>
      <c r="B462" s="1" t="str">
        <f ca="1">IF(A462="","",[1]!s_dq_close($B$1,A462,$M$4))</f>
        <v/>
      </c>
      <c r="C462" s="1" t="str">
        <f ca="1">IF(A462="","",[1]!s_dq_close($C$1,A462,$M$4))</f>
        <v/>
      </c>
      <c r="D462" s="6" t="str">
        <f ca="1">IF($A462="","",[1]!s_dq_close(D$1,$A462,$M$4))</f>
        <v/>
      </c>
      <c r="E462" s="6" t="str">
        <f ca="1">IF($A462="","",[1]!s_dq_close(E$1,$A462,$M$4))</f>
        <v/>
      </c>
      <c r="F462" s="6" t="str">
        <f ca="1">IF($A462="","",[1]!s_dq_close(F$1,$A462,$M$4))</f>
        <v/>
      </c>
      <c r="G462" s="6"/>
      <c r="H462" s="6" t="str">
        <f ca="1">IF($A462="","",[1]!s_dq_close(H$1,$A462,$M$4))</f>
        <v/>
      </c>
      <c r="I462" s="6" t="str">
        <f ca="1">IF($A462="","",[1]!s_dq_close(I$1,$A462,$M$4))</f>
        <v/>
      </c>
      <c r="J462" s="6" t="str">
        <f t="shared" ca="1" si="8"/>
        <v/>
      </c>
    </row>
    <row r="463" spans="1:10">
      <c r="A463" s="2" t="str">
        <f ca="1">IF(A462="","",IF(IF(价差分析!$W$4="日",--[1]!td(A462-1),IF(价差分析!$W$4="周",--[1]!td(A462-7),--[1]!td(A462-30)))-价差分析!$T$4&gt;0,IF(价差分析!$W$4="日",--[1]!td(A462-1),IF(价差分析!$W$4="周",--[1]!td(A462-7),--[1]!td(A462-30))),""))</f>
        <v/>
      </c>
      <c r="B463" s="1" t="str">
        <f ca="1">IF(A463="","",[1]!s_dq_close($B$1,A463,$M$4))</f>
        <v/>
      </c>
      <c r="C463" s="1" t="str">
        <f ca="1">IF(A463="","",[1]!s_dq_close($C$1,A463,$M$4))</f>
        <v/>
      </c>
      <c r="D463" s="6" t="str">
        <f ca="1">IF($A463="","",[1]!s_dq_close(D$1,$A463,$M$4))</f>
        <v/>
      </c>
      <c r="E463" s="6" t="str">
        <f ca="1">IF($A463="","",[1]!s_dq_close(E$1,$A463,$M$4))</f>
        <v/>
      </c>
      <c r="F463" s="6" t="str">
        <f ca="1">IF($A463="","",[1]!s_dq_close(F$1,$A463,$M$4))</f>
        <v/>
      </c>
      <c r="G463" s="6"/>
      <c r="H463" s="6" t="str">
        <f ca="1">IF($A463="","",[1]!s_dq_close(H$1,$A463,$M$4))</f>
        <v/>
      </c>
      <c r="I463" s="6" t="str">
        <f ca="1">IF($A463="","",[1]!s_dq_close(I$1,$A463,$M$4))</f>
        <v/>
      </c>
      <c r="J463" s="6" t="str">
        <f t="shared" ca="1" si="8"/>
        <v/>
      </c>
    </row>
    <row r="464" spans="1:10">
      <c r="A464" s="2" t="str">
        <f ca="1">IF(A463="","",IF(IF(价差分析!$W$4="日",--[1]!td(A463-1),IF(价差分析!$W$4="周",--[1]!td(A463-7),--[1]!td(A463-30)))-价差分析!$T$4&gt;0,IF(价差分析!$W$4="日",--[1]!td(A463-1),IF(价差分析!$W$4="周",--[1]!td(A463-7),--[1]!td(A463-30))),""))</f>
        <v/>
      </c>
      <c r="B464" s="1" t="str">
        <f ca="1">IF(A464="","",[1]!s_dq_close($B$1,A464,$M$4))</f>
        <v/>
      </c>
      <c r="C464" s="1" t="str">
        <f ca="1">IF(A464="","",[1]!s_dq_close($C$1,A464,$M$4))</f>
        <v/>
      </c>
      <c r="D464" s="6" t="str">
        <f ca="1">IF($A464="","",[1]!s_dq_close(D$1,$A464,$M$4))</f>
        <v/>
      </c>
      <c r="E464" s="6" t="str">
        <f ca="1">IF($A464="","",[1]!s_dq_close(E$1,$A464,$M$4))</f>
        <v/>
      </c>
      <c r="F464" s="6" t="str">
        <f ca="1">IF($A464="","",[1]!s_dq_close(F$1,$A464,$M$4))</f>
        <v/>
      </c>
      <c r="G464" s="6"/>
      <c r="H464" s="6" t="str">
        <f ca="1">IF($A464="","",[1]!s_dq_close(H$1,$A464,$M$4))</f>
        <v/>
      </c>
      <c r="I464" s="6" t="str">
        <f ca="1">IF($A464="","",[1]!s_dq_close(I$1,$A464,$M$4))</f>
        <v/>
      </c>
      <c r="J464" s="6" t="str">
        <f t="shared" ca="1" si="8"/>
        <v/>
      </c>
    </row>
    <row r="465" spans="1:10">
      <c r="A465" s="2" t="str">
        <f ca="1">IF(A464="","",IF(IF(价差分析!$W$4="日",--[1]!td(A464-1),IF(价差分析!$W$4="周",--[1]!td(A464-7),--[1]!td(A464-30)))-价差分析!$T$4&gt;0,IF(价差分析!$W$4="日",--[1]!td(A464-1),IF(价差分析!$W$4="周",--[1]!td(A464-7),--[1]!td(A464-30))),""))</f>
        <v/>
      </c>
      <c r="B465" s="1" t="str">
        <f ca="1">IF(A465="","",[1]!s_dq_close($B$1,A465,$M$4))</f>
        <v/>
      </c>
      <c r="C465" s="1" t="str">
        <f ca="1">IF(A465="","",[1]!s_dq_close($C$1,A465,$M$4))</f>
        <v/>
      </c>
      <c r="D465" s="6" t="str">
        <f ca="1">IF($A465="","",[1]!s_dq_close(D$1,$A465,$M$4))</f>
        <v/>
      </c>
      <c r="E465" s="6" t="str">
        <f ca="1">IF($A465="","",[1]!s_dq_close(E$1,$A465,$M$4))</f>
        <v/>
      </c>
      <c r="F465" s="6" t="str">
        <f ca="1">IF($A465="","",[1]!s_dq_close(F$1,$A465,$M$4))</f>
        <v/>
      </c>
      <c r="G465" s="6"/>
      <c r="H465" s="6" t="str">
        <f ca="1">IF($A465="","",[1]!s_dq_close(H$1,$A465,$M$4))</f>
        <v/>
      </c>
      <c r="I465" s="6" t="str">
        <f ca="1">IF($A465="","",[1]!s_dq_close(I$1,$A465,$M$4))</f>
        <v/>
      </c>
      <c r="J465" s="6" t="str">
        <f t="shared" ca="1" si="8"/>
        <v/>
      </c>
    </row>
    <row r="466" spans="1:10">
      <c r="A466" s="2" t="str">
        <f ca="1">IF(A465="","",IF(IF(价差分析!$W$4="日",--[1]!td(A465-1),IF(价差分析!$W$4="周",--[1]!td(A465-7),--[1]!td(A465-30)))-价差分析!$T$4&gt;0,IF(价差分析!$W$4="日",--[1]!td(A465-1),IF(价差分析!$W$4="周",--[1]!td(A465-7),--[1]!td(A465-30))),""))</f>
        <v/>
      </c>
      <c r="B466" s="1" t="str">
        <f ca="1">IF(A466="","",[1]!s_dq_close($B$1,A466,$M$4))</f>
        <v/>
      </c>
      <c r="C466" s="1" t="str">
        <f ca="1">IF(A466="","",[1]!s_dq_close($C$1,A466,$M$4))</f>
        <v/>
      </c>
      <c r="D466" s="6" t="str">
        <f ca="1">IF($A466="","",[1]!s_dq_close(D$1,$A466,$M$4))</f>
        <v/>
      </c>
      <c r="E466" s="6" t="str">
        <f ca="1">IF($A466="","",[1]!s_dq_close(E$1,$A466,$M$4))</f>
        <v/>
      </c>
      <c r="F466" s="6" t="str">
        <f ca="1">IF($A466="","",[1]!s_dq_close(F$1,$A466,$M$4))</f>
        <v/>
      </c>
      <c r="G466" s="6"/>
      <c r="H466" s="6" t="str">
        <f ca="1">IF($A466="","",[1]!s_dq_close(H$1,$A466,$M$4))</f>
        <v/>
      </c>
      <c r="I466" s="6" t="str">
        <f ca="1">IF($A466="","",[1]!s_dq_close(I$1,$A466,$M$4))</f>
        <v/>
      </c>
      <c r="J466" s="6" t="str">
        <f t="shared" ca="1" si="8"/>
        <v/>
      </c>
    </row>
    <row r="467" spans="1:10">
      <c r="A467" s="2" t="str">
        <f ca="1">IF(A466="","",IF(IF(价差分析!$W$4="日",--[1]!td(A466-1),IF(价差分析!$W$4="周",--[1]!td(A466-7),--[1]!td(A466-30)))-价差分析!$T$4&gt;0,IF(价差分析!$W$4="日",--[1]!td(A466-1),IF(价差分析!$W$4="周",--[1]!td(A466-7),--[1]!td(A466-30))),""))</f>
        <v/>
      </c>
      <c r="B467" s="1" t="str">
        <f ca="1">IF(A467="","",[1]!s_dq_close($B$1,A467,$M$4))</f>
        <v/>
      </c>
      <c r="C467" s="1" t="str">
        <f ca="1">IF(A467="","",[1]!s_dq_close($C$1,A467,$M$4))</f>
        <v/>
      </c>
      <c r="D467" s="6" t="str">
        <f ca="1">IF($A467="","",[1]!s_dq_close(D$1,$A467,$M$4))</f>
        <v/>
      </c>
      <c r="E467" s="6" t="str">
        <f ca="1">IF($A467="","",[1]!s_dq_close(E$1,$A467,$M$4))</f>
        <v/>
      </c>
      <c r="F467" s="6" t="str">
        <f ca="1">IF($A467="","",[1]!s_dq_close(F$1,$A467,$M$4))</f>
        <v/>
      </c>
      <c r="G467" s="6"/>
      <c r="H467" s="6" t="str">
        <f ca="1">IF($A467="","",[1]!s_dq_close(H$1,$A467,$M$4))</f>
        <v/>
      </c>
      <c r="I467" s="6" t="str">
        <f ca="1">IF($A467="","",[1]!s_dq_close(I$1,$A467,$M$4))</f>
        <v/>
      </c>
      <c r="J467" s="6" t="str">
        <f t="shared" ca="1" si="8"/>
        <v/>
      </c>
    </row>
    <row r="468" spans="1:10">
      <c r="A468" s="2" t="str">
        <f ca="1">IF(A467="","",IF(IF(价差分析!$W$4="日",--[1]!td(A467-1),IF(价差分析!$W$4="周",--[1]!td(A467-7),--[1]!td(A467-30)))-价差分析!$T$4&gt;0,IF(价差分析!$W$4="日",--[1]!td(A467-1),IF(价差分析!$W$4="周",--[1]!td(A467-7),--[1]!td(A467-30))),""))</f>
        <v/>
      </c>
      <c r="B468" s="1" t="str">
        <f ca="1">IF(A468="","",[1]!s_dq_close($B$1,A468,$M$4))</f>
        <v/>
      </c>
      <c r="C468" s="1" t="str">
        <f ca="1">IF(A468="","",[1]!s_dq_close($C$1,A468,$M$4))</f>
        <v/>
      </c>
      <c r="D468" s="6" t="str">
        <f ca="1">IF($A468="","",[1]!s_dq_close(D$1,$A468,$M$4))</f>
        <v/>
      </c>
      <c r="E468" s="6" t="str">
        <f ca="1">IF($A468="","",[1]!s_dq_close(E$1,$A468,$M$4))</f>
        <v/>
      </c>
      <c r="F468" s="6" t="str">
        <f ca="1">IF($A468="","",[1]!s_dq_close(F$1,$A468,$M$4))</f>
        <v/>
      </c>
      <c r="G468" s="6"/>
      <c r="H468" s="6" t="str">
        <f ca="1">IF($A468="","",[1]!s_dq_close(H$1,$A468,$M$4))</f>
        <v/>
      </c>
      <c r="I468" s="6" t="str">
        <f ca="1">IF($A468="","",[1]!s_dq_close(I$1,$A468,$M$4))</f>
        <v/>
      </c>
      <c r="J468" s="6" t="str">
        <f t="shared" ca="1" si="8"/>
        <v/>
      </c>
    </row>
    <row r="469" spans="1:10">
      <c r="A469" s="2" t="str">
        <f ca="1">IF(A468="","",IF(IF(价差分析!$W$4="日",--[1]!td(A468-1),IF(价差分析!$W$4="周",--[1]!td(A468-7),--[1]!td(A468-30)))-价差分析!$T$4&gt;0,IF(价差分析!$W$4="日",--[1]!td(A468-1),IF(价差分析!$W$4="周",--[1]!td(A468-7),--[1]!td(A468-30))),""))</f>
        <v/>
      </c>
      <c r="B469" s="1" t="str">
        <f ca="1">IF(A469="","",[1]!s_dq_close($B$1,A469,$M$4))</f>
        <v/>
      </c>
      <c r="C469" s="1" t="str">
        <f ca="1">IF(A469="","",[1]!s_dq_close($C$1,A469,$M$4))</f>
        <v/>
      </c>
      <c r="D469" s="6" t="str">
        <f ca="1">IF($A469="","",[1]!s_dq_close(D$1,$A469,$M$4))</f>
        <v/>
      </c>
      <c r="E469" s="6" t="str">
        <f ca="1">IF($A469="","",[1]!s_dq_close(E$1,$A469,$M$4))</f>
        <v/>
      </c>
      <c r="F469" s="6" t="str">
        <f ca="1">IF($A469="","",[1]!s_dq_close(F$1,$A469,$M$4))</f>
        <v/>
      </c>
      <c r="G469" s="6"/>
      <c r="H469" s="6" t="str">
        <f ca="1">IF($A469="","",[1]!s_dq_close(H$1,$A469,$M$4))</f>
        <v/>
      </c>
      <c r="I469" s="6" t="str">
        <f ca="1">IF($A469="","",[1]!s_dq_close(I$1,$A469,$M$4))</f>
        <v/>
      </c>
      <c r="J469" s="6" t="str">
        <f t="shared" ca="1" si="8"/>
        <v/>
      </c>
    </row>
    <row r="470" spans="1:10">
      <c r="A470" s="2" t="str">
        <f ca="1">IF(A469="","",IF(IF(价差分析!$W$4="日",--[1]!td(A469-1),IF(价差分析!$W$4="周",--[1]!td(A469-7),--[1]!td(A469-30)))-价差分析!$T$4&gt;0,IF(价差分析!$W$4="日",--[1]!td(A469-1),IF(价差分析!$W$4="周",--[1]!td(A469-7),--[1]!td(A469-30))),""))</f>
        <v/>
      </c>
      <c r="B470" s="1" t="str">
        <f ca="1">IF(A470="","",[1]!s_dq_close($B$1,A470,$M$4))</f>
        <v/>
      </c>
      <c r="C470" s="1" t="str">
        <f ca="1">IF(A470="","",[1]!s_dq_close($C$1,A470,$M$4))</f>
        <v/>
      </c>
      <c r="D470" s="6" t="str">
        <f ca="1">IF($A470="","",[1]!s_dq_close(D$1,$A470,$M$4))</f>
        <v/>
      </c>
      <c r="E470" s="6" t="str">
        <f ca="1">IF($A470="","",[1]!s_dq_close(E$1,$A470,$M$4))</f>
        <v/>
      </c>
      <c r="F470" s="6" t="str">
        <f ca="1">IF($A470="","",[1]!s_dq_close(F$1,$A470,$M$4))</f>
        <v/>
      </c>
      <c r="G470" s="6"/>
      <c r="H470" s="6" t="str">
        <f ca="1">IF($A470="","",[1]!s_dq_close(H$1,$A470,$M$4))</f>
        <v/>
      </c>
      <c r="I470" s="6" t="str">
        <f ca="1">IF($A470="","",[1]!s_dq_close(I$1,$A470,$M$4))</f>
        <v/>
      </c>
      <c r="J470" s="6" t="str">
        <f t="shared" ca="1" si="8"/>
        <v/>
      </c>
    </row>
    <row r="471" spans="1:10">
      <c r="A471" s="2" t="str">
        <f ca="1">IF(A470="","",IF(IF(价差分析!$W$4="日",--[1]!td(A470-1),IF(价差分析!$W$4="周",--[1]!td(A470-7),--[1]!td(A470-30)))-价差分析!$T$4&gt;0,IF(价差分析!$W$4="日",--[1]!td(A470-1),IF(价差分析!$W$4="周",--[1]!td(A470-7),--[1]!td(A470-30))),""))</f>
        <v/>
      </c>
      <c r="B471" s="1" t="str">
        <f ca="1">IF(A471="","",[1]!s_dq_close($B$1,A471,$M$4))</f>
        <v/>
      </c>
      <c r="C471" s="1" t="str">
        <f ca="1">IF(A471="","",[1]!s_dq_close($C$1,A471,$M$4))</f>
        <v/>
      </c>
      <c r="D471" s="6" t="str">
        <f ca="1">IF($A471="","",[1]!s_dq_close(D$1,$A471,$M$4))</f>
        <v/>
      </c>
      <c r="E471" s="6" t="str">
        <f ca="1">IF($A471="","",[1]!s_dq_close(E$1,$A471,$M$4))</f>
        <v/>
      </c>
      <c r="F471" s="6" t="str">
        <f ca="1">IF($A471="","",[1]!s_dq_close(F$1,$A471,$M$4))</f>
        <v/>
      </c>
      <c r="G471" s="6"/>
      <c r="H471" s="6" t="str">
        <f ca="1">IF($A471="","",[1]!s_dq_close(H$1,$A471,$M$4))</f>
        <v/>
      </c>
      <c r="I471" s="6" t="str">
        <f ca="1">IF($A471="","",[1]!s_dq_close(I$1,$A471,$M$4))</f>
        <v/>
      </c>
      <c r="J471" s="6" t="str">
        <f t="shared" ca="1" si="8"/>
        <v/>
      </c>
    </row>
    <row r="472" spans="1:10">
      <c r="A472" s="2" t="str">
        <f ca="1">IF(A471="","",IF(IF(价差分析!$W$4="日",--[1]!td(A471-1),IF(价差分析!$W$4="周",--[1]!td(A471-7),--[1]!td(A471-30)))-价差分析!$T$4&gt;0,IF(价差分析!$W$4="日",--[1]!td(A471-1),IF(价差分析!$W$4="周",--[1]!td(A471-7),--[1]!td(A471-30))),""))</f>
        <v/>
      </c>
      <c r="B472" s="1" t="str">
        <f ca="1">IF(A472="","",[1]!s_dq_close($B$1,A472,$M$4))</f>
        <v/>
      </c>
      <c r="C472" s="1" t="str">
        <f ca="1">IF(A472="","",[1]!s_dq_close($C$1,A472,$M$4))</f>
        <v/>
      </c>
      <c r="D472" s="6" t="str">
        <f ca="1">IF($A472="","",[1]!s_dq_close(D$1,$A472,$M$4))</f>
        <v/>
      </c>
      <c r="E472" s="6" t="str">
        <f ca="1">IF($A472="","",[1]!s_dq_close(E$1,$A472,$M$4))</f>
        <v/>
      </c>
      <c r="F472" s="6" t="str">
        <f ca="1">IF($A472="","",[1]!s_dq_close(F$1,$A472,$M$4))</f>
        <v/>
      </c>
      <c r="G472" s="6"/>
      <c r="H472" s="6" t="str">
        <f ca="1">IF($A472="","",[1]!s_dq_close(H$1,$A472,$M$4))</f>
        <v/>
      </c>
      <c r="I472" s="6" t="str">
        <f ca="1">IF($A472="","",[1]!s_dq_close(I$1,$A472,$M$4))</f>
        <v/>
      </c>
      <c r="J472" s="6" t="str">
        <f t="shared" ca="1" si="8"/>
        <v/>
      </c>
    </row>
    <row r="473" spans="1:10">
      <c r="A473" s="2" t="str">
        <f ca="1">IF(A472="","",IF(IF(价差分析!$W$4="日",--[1]!td(A472-1),IF(价差分析!$W$4="周",--[1]!td(A472-7),--[1]!td(A472-30)))-价差分析!$T$4&gt;0,IF(价差分析!$W$4="日",--[1]!td(A472-1),IF(价差分析!$W$4="周",--[1]!td(A472-7),--[1]!td(A472-30))),""))</f>
        <v/>
      </c>
      <c r="B473" s="1" t="str">
        <f ca="1">IF(A473="","",[1]!s_dq_close($B$1,A473,$M$4))</f>
        <v/>
      </c>
      <c r="C473" s="1" t="str">
        <f ca="1">IF(A473="","",[1]!s_dq_close($C$1,A473,$M$4))</f>
        <v/>
      </c>
      <c r="D473" s="6" t="str">
        <f ca="1">IF($A473="","",[1]!s_dq_close(D$1,$A473,$M$4))</f>
        <v/>
      </c>
      <c r="E473" s="6" t="str">
        <f ca="1">IF($A473="","",[1]!s_dq_close(E$1,$A473,$M$4))</f>
        <v/>
      </c>
      <c r="F473" s="6" t="str">
        <f ca="1">IF($A473="","",[1]!s_dq_close(F$1,$A473,$M$4))</f>
        <v/>
      </c>
      <c r="G473" s="6"/>
      <c r="H473" s="6" t="str">
        <f ca="1">IF($A473="","",[1]!s_dq_close(H$1,$A473,$M$4))</f>
        <v/>
      </c>
      <c r="I473" s="6" t="str">
        <f ca="1">IF($A473="","",[1]!s_dq_close(I$1,$A473,$M$4))</f>
        <v/>
      </c>
      <c r="J473" s="6" t="str">
        <f t="shared" ca="1" si="8"/>
        <v/>
      </c>
    </row>
    <row r="474" spans="1:10">
      <c r="A474" s="2" t="str">
        <f ca="1">IF(A473="","",IF(IF(价差分析!$W$4="日",--[1]!td(A473-1),IF(价差分析!$W$4="周",--[1]!td(A473-7),--[1]!td(A473-30)))-价差分析!$T$4&gt;0,IF(价差分析!$W$4="日",--[1]!td(A473-1),IF(价差分析!$W$4="周",--[1]!td(A473-7),--[1]!td(A473-30))),""))</f>
        <v/>
      </c>
      <c r="B474" s="1" t="str">
        <f ca="1">IF(A474="","",[1]!s_dq_close($B$1,A474,$M$4))</f>
        <v/>
      </c>
      <c r="C474" s="1" t="str">
        <f ca="1">IF(A474="","",[1]!s_dq_close($C$1,A474,$M$4))</f>
        <v/>
      </c>
      <c r="D474" s="6" t="str">
        <f ca="1">IF($A474="","",[1]!s_dq_close(D$1,$A474,$M$4))</f>
        <v/>
      </c>
      <c r="E474" s="6" t="str">
        <f ca="1">IF($A474="","",[1]!s_dq_close(E$1,$A474,$M$4))</f>
        <v/>
      </c>
      <c r="F474" s="6" t="str">
        <f ca="1">IF($A474="","",[1]!s_dq_close(F$1,$A474,$M$4))</f>
        <v/>
      </c>
      <c r="G474" s="6"/>
      <c r="H474" s="6" t="str">
        <f ca="1">IF($A474="","",[1]!s_dq_close(H$1,$A474,$M$4))</f>
        <v/>
      </c>
      <c r="I474" s="6" t="str">
        <f ca="1">IF($A474="","",[1]!s_dq_close(I$1,$A474,$M$4))</f>
        <v/>
      </c>
      <c r="J474" s="6" t="str">
        <f t="shared" ca="1" si="8"/>
        <v/>
      </c>
    </row>
    <row r="475" spans="1:10">
      <c r="A475" s="2" t="str">
        <f ca="1">IF(A474="","",IF(IF(价差分析!$W$4="日",--[1]!td(A474-1),IF(价差分析!$W$4="周",--[1]!td(A474-7),--[1]!td(A474-30)))-价差分析!$T$4&gt;0,IF(价差分析!$W$4="日",--[1]!td(A474-1),IF(价差分析!$W$4="周",--[1]!td(A474-7),--[1]!td(A474-30))),""))</f>
        <v/>
      </c>
      <c r="B475" s="1" t="str">
        <f ca="1">IF(A475="","",[1]!s_dq_close($B$1,A475,$M$4))</f>
        <v/>
      </c>
      <c r="C475" s="1" t="str">
        <f ca="1">IF(A475="","",[1]!s_dq_close($C$1,A475,$M$4))</f>
        <v/>
      </c>
      <c r="D475" s="6" t="str">
        <f ca="1">IF($A475="","",[1]!s_dq_close(D$1,$A475,$M$4))</f>
        <v/>
      </c>
      <c r="E475" s="6" t="str">
        <f ca="1">IF($A475="","",[1]!s_dq_close(E$1,$A475,$M$4))</f>
        <v/>
      </c>
      <c r="F475" s="6" t="str">
        <f ca="1">IF($A475="","",[1]!s_dq_close(F$1,$A475,$M$4))</f>
        <v/>
      </c>
      <c r="G475" s="6"/>
      <c r="H475" s="6" t="str">
        <f ca="1">IF($A475="","",[1]!s_dq_close(H$1,$A475,$M$4))</f>
        <v/>
      </c>
      <c r="I475" s="6" t="str">
        <f ca="1">IF($A475="","",[1]!s_dq_close(I$1,$A475,$M$4))</f>
        <v/>
      </c>
      <c r="J475" s="6" t="str">
        <f t="shared" ca="1" si="8"/>
        <v/>
      </c>
    </row>
    <row r="476" spans="1:10">
      <c r="A476" s="2" t="str">
        <f ca="1">IF(A475="","",IF(IF(价差分析!$W$4="日",--[1]!td(A475-1),IF(价差分析!$W$4="周",--[1]!td(A475-7),--[1]!td(A475-30)))-价差分析!$T$4&gt;0,IF(价差分析!$W$4="日",--[1]!td(A475-1),IF(价差分析!$W$4="周",--[1]!td(A475-7),--[1]!td(A475-30))),""))</f>
        <v/>
      </c>
      <c r="B476" s="1" t="str">
        <f ca="1">IF(A476="","",[1]!s_dq_close($B$1,A476,$M$4))</f>
        <v/>
      </c>
      <c r="C476" s="1" t="str">
        <f ca="1">IF(A476="","",[1]!s_dq_close($C$1,A476,$M$4))</f>
        <v/>
      </c>
      <c r="D476" s="6" t="str">
        <f ca="1">IF($A476="","",[1]!s_dq_close(D$1,$A476,$M$4))</f>
        <v/>
      </c>
      <c r="E476" s="6" t="str">
        <f ca="1">IF($A476="","",[1]!s_dq_close(E$1,$A476,$M$4))</f>
        <v/>
      </c>
      <c r="F476" s="6" t="str">
        <f ca="1">IF($A476="","",[1]!s_dq_close(F$1,$A476,$M$4))</f>
        <v/>
      </c>
      <c r="G476" s="6"/>
      <c r="H476" s="6" t="str">
        <f ca="1">IF($A476="","",[1]!s_dq_close(H$1,$A476,$M$4))</f>
        <v/>
      </c>
      <c r="I476" s="6" t="str">
        <f ca="1">IF($A476="","",[1]!s_dq_close(I$1,$A476,$M$4))</f>
        <v/>
      </c>
      <c r="J476" s="6" t="str">
        <f t="shared" ca="1" si="8"/>
        <v/>
      </c>
    </row>
    <row r="477" spans="1:10">
      <c r="A477" s="2" t="str">
        <f ca="1">IF(A476="","",IF(IF(价差分析!$W$4="日",--[1]!td(A476-1),IF(价差分析!$W$4="周",--[1]!td(A476-7),--[1]!td(A476-30)))-价差分析!$T$4&gt;0,IF(价差分析!$W$4="日",--[1]!td(A476-1),IF(价差分析!$W$4="周",--[1]!td(A476-7),--[1]!td(A476-30))),""))</f>
        <v/>
      </c>
      <c r="B477" s="1" t="str">
        <f ca="1">IF(A477="","",[1]!s_dq_close($B$1,A477,$M$4))</f>
        <v/>
      </c>
      <c r="C477" s="1" t="str">
        <f ca="1">IF(A477="","",[1]!s_dq_close($C$1,A477,$M$4))</f>
        <v/>
      </c>
      <c r="D477" s="6" t="str">
        <f ca="1">IF($A477="","",[1]!s_dq_close(D$1,$A477,$M$4))</f>
        <v/>
      </c>
      <c r="E477" s="6" t="str">
        <f ca="1">IF($A477="","",[1]!s_dq_close(E$1,$A477,$M$4))</f>
        <v/>
      </c>
      <c r="F477" s="6" t="str">
        <f ca="1">IF($A477="","",[1]!s_dq_close(F$1,$A477,$M$4))</f>
        <v/>
      </c>
      <c r="G477" s="6"/>
      <c r="H477" s="6" t="str">
        <f ca="1">IF($A477="","",[1]!s_dq_close(H$1,$A477,$M$4))</f>
        <v/>
      </c>
      <c r="I477" s="6" t="str">
        <f ca="1">IF($A477="","",[1]!s_dq_close(I$1,$A477,$M$4))</f>
        <v/>
      </c>
      <c r="J477" s="6" t="str">
        <f t="shared" ca="1" si="8"/>
        <v/>
      </c>
    </row>
    <row r="478" spans="1:10">
      <c r="A478" s="2" t="str">
        <f ca="1">IF(A477="","",IF(IF(价差分析!$W$4="日",--[1]!td(A477-1),IF(价差分析!$W$4="周",--[1]!td(A477-7),--[1]!td(A477-30)))-价差分析!$T$4&gt;0,IF(价差分析!$W$4="日",--[1]!td(A477-1),IF(价差分析!$W$4="周",--[1]!td(A477-7),--[1]!td(A477-30))),""))</f>
        <v/>
      </c>
      <c r="B478" s="1" t="str">
        <f ca="1">IF(A478="","",[1]!s_dq_close($B$1,A478,$M$4))</f>
        <v/>
      </c>
      <c r="C478" s="1" t="str">
        <f ca="1">IF(A478="","",[1]!s_dq_close($C$1,A478,$M$4))</f>
        <v/>
      </c>
      <c r="D478" s="6" t="str">
        <f ca="1">IF($A478="","",[1]!s_dq_close(D$1,$A478,$M$4))</f>
        <v/>
      </c>
      <c r="E478" s="6" t="str">
        <f ca="1">IF($A478="","",[1]!s_dq_close(E$1,$A478,$M$4))</f>
        <v/>
      </c>
      <c r="F478" s="6" t="str">
        <f ca="1">IF($A478="","",[1]!s_dq_close(F$1,$A478,$M$4))</f>
        <v/>
      </c>
      <c r="G478" s="6"/>
      <c r="H478" s="6" t="str">
        <f ca="1">IF($A478="","",[1]!s_dq_close(H$1,$A478,$M$4))</f>
        <v/>
      </c>
      <c r="I478" s="6" t="str">
        <f ca="1">IF($A478="","",[1]!s_dq_close(I$1,$A478,$M$4))</f>
        <v/>
      </c>
      <c r="J478" s="6" t="str">
        <f t="shared" ca="1" si="8"/>
        <v/>
      </c>
    </row>
    <row r="479" spans="1:10">
      <c r="A479" s="2" t="str">
        <f ca="1">IF(A478="","",IF(IF(价差分析!$W$4="日",--[1]!td(A478-1),IF(价差分析!$W$4="周",--[1]!td(A478-7),--[1]!td(A478-30)))-价差分析!$T$4&gt;0,IF(价差分析!$W$4="日",--[1]!td(A478-1),IF(价差分析!$W$4="周",--[1]!td(A478-7),--[1]!td(A478-30))),""))</f>
        <v/>
      </c>
      <c r="B479" s="1" t="str">
        <f ca="1">IF(A479="","",[1]!s_dq_close($B$1,A479,$M$4))</f>
        <v/>
      </c>
      <c r="C479" s="1" t="str">
        <f ca="1">IF(A479="","",[1]!s_dq_close($C$1,A479,$M$4))</f>
        <v/>
      </c>
      <c r="D479" s="6" t="str">
        <f ca="1">IF($A479="","",[1]!s_dq_close(D$1,$A479,$M$4))</f>
        <v/>
      </c>
      <c r="E479" s="6" t="str">
        <f ca="1">IF($A479="","",[1]!s_dq_close(E$1,$A479,$M$4))</f>
        <v/>
      </c>
      <c r="F479" s="6" t="str">
        <f ca="1">IF($A479="","",[1]!s_dq_close(F$1,$A479,$M$4))</f>
        <v/>
      </c>
      <c r="G479" s="6"/>
      <c r="H479" s="6" t="str">
        <f ca="1">IF($A479="","",[1]!s_dq_close(H$1,$A479,$M$4))</f>
        <v/>
      </c>
      <c r="I479" s="6" t="str">
        <f ca="1">IF($A479="","",[1]!s_dq_close(I$1,$A479,$M$4))</f>
        <v/>
      </c>
      <c r="J479" s="6" t="str">
        <f t="shared" ca="1" si="8"/>
        <v/>
      </c>
    </row>
    <row r="480" spans="1:10">
      <c r="A480" s="2" t="str">
        <f ca="1">IF(A479="","",IF(IF(价差分析!$W$4="日",--[1]!td(A479-1),IF(价差分析!$W$4="周",--[1]!td(A479-7),--[1]!td(A479-30)))-价差分析!$T$4&gt;0,IF(价差分析!$W$4="日",--[1]!td(A479-1),IF(价差分析!$W$4="周",--[1]!td(A479-7),--[1]!td(A479-30))),""))</f>
        <v/>
      </c>
      <c r="B480" s="1" t="str">
        <f ca="1">IF(A480="","",[1]!s_dq_close($B$1,A480,$M$4))</f>
        <v/>
      </c>
      <c r="C480" s="1" t="str">
        <f ca="1">IF(A480="","",[1]!s_dq_close($C$1,A480,$M$4))</f>
        <v/>
      </c>
      <c r="D480" s="6" t="str">
        <f ca="1">IF($A480="","",[1]!s_dq_close(D$1,$A480,$M$4))</f>
        <v/>
      </c>
      <c r="E480" s="6" t="str">
        <f ca="1">IF($A480="","",[1]!s_dq_close(E$1,$A480,$M$4))</f>
        <v/>
      </c>
      <c r="F480" s="6" t="str">
        <f ca="1">IF($A480="","",[1]!s_dq_close(F$1,$A480,$M$4))</f>
        <v/>
      </c>
      <c r="G480" s="6"/>
      <c r="H480" s="6" t="str">
        <f ca="1">IF($A480="","",[1]!s_dq_close(H$1,$A480,$M$4))</f>
        <v/>
      </c>
      <c r="I480" s="6" t="str">
        <f ca="1">IF($A480="","",[1]!s_dq_close(I$1,$A480,$M$4))</f>
        <v/>
      </c>
      <c r="J480" s="6" t="str">
        <f t="shared" ca="1" si="8"/>
        <v/>
      </c>
    </row>
    <row r="481" spans="1:10">
      <c r="A481" s="2" t="str">
        <f ca="1">IF(A480="","",IF(IF(价差分析!$W$4="日",--[1]!td(A480-1),IF(价差分析!$W$4="周",--[1]!td(A480-7),--[1]!td(A480-30)))-价差分析!$T$4&gt;0,IF(价差分析!$W$4="日",--[1]!td(A480-1),IF(价差分析!$W$4="周",--[1]!td(A480-7),--[1]!td(A480-30))),""))</f>
        <v/>
      </c>
      <c r="B481" s="1" t="str">
        <f ca="1">IF(A481="","",[1]!s_dq_close($B$1,A481,$M$4))</f>
        <v/>
      </c>
      <c r="C481" s="1" t="str">
        <f ca="1">IF(A481="","",[1]!s_dq_close($C$1,A481,$M$4))</f>
        <v/>
      </c>
      <c r="D481" s="6" t="str">
        <f ca="1">IF($A481="","",[1]!s_dq_close(D$1,$A481,$M$4))</f>
        <v/>
      </c>
      <c r="E481" s="6" t="str">
        <f ca="1">IF($A481="","",[1]!s_dq_close(E$1,$A481,$M$4))</f>
        <v/>
      </c>
      <c r="F481" s="6" t="str">
        <f ca="1">IF($A481="","",[1]!s_dq_close(F$1,$A481,$M$4))</f>
        <v/>
      </c>
      <c r="G481" s="6"/>
      <c r="H481" s="6" t="str">
        <f ca="1">IF($A481="","",[1]!s_dq_close(H$1,$A481,$M$4))</f>
        <v/>
      </c>
      <c r="I481" s="6" t="str">
        <f ca="1">IF($A481="","",[1]!s_dq_close(I$1,$A481,$M$4))</f>
        <v/>
      </c>
      <c r="J481" s="6" t="str">
        <f t="shared" ca="1" si="8"/>
        <v/>
      </c>
    </row>
    <row r="482" spans="1:10">
      <c r="A482" s="2" t="str">
        <f ca="1">IF(A481="","",IF(IF(价差分析!$W$4="日",--[1]!td(A481-1),IF(价差分析!$W$4="周",--[1]!td(A481-7),--[1]!td(A481-30)))-价差分析!$T$4&gt;0,IF(价差分析!$W$4="日",--[1]!td(A481-1),IF(价差分析!$W$4="周",--[1]!td(A481-7),--[1]!td(A481-30))),""))</f>
        <v/>
      </c>
      <c r="B482" s="1" t="str">
        <f ca="1">IF(A482="","",[1]!s_dq_close($B$1,A482,$M$4))</f>
        <v/>
      </c>
      <c r="C482" s="1" t="str">
        <f ca="1">IF(A482="","",[1]!s_dq_close($C$1,A482,$M$4))</f>
        <v/>
      </c>
      <c r="D482" s="6" t="str">
        <f ca="1">IF($A482="","",[1]!s_dq_close(D$1,$A482,$M$4))</f>
        <v/>
      </c>
      <c r="E482" s="6" t="str">
        <f ca="1">IF($A482="","",[1]!s_dq_close(E$1,$A482,$M$4))</f>
        <v/>
      </c>
      <c r="F482" s="6" t="str">
        <f ca="1">IF($A482="","",[1]!s_dq_close(F$1,$A482,$M$4))</f>
        <v/>
      </c>
      <c r="G482" s="6"/>
      <c r="H482" s="6" t="str">
        <f ca="1">IF($A482="","",[1]!s_dq_close(H$1,$A482,$M$4))</f>
        <v/>
      </c>
      <c r="I482" s="6" t="str">
        <f ca="1">IF($A482="","",[1]!s_dq_close(I$1,$A482,$M$4))</f>
        <v/>
      </c>
      <c r="J482" s="6" t="str">
        <f t="shared" ca="1" si="8"/>
        <v/>
      </c>
    </row>
    <row r="483" spans="1:10">
      <c r="A483" s="2" t="str">
        <f ca="1">IF(A482="","",IF(IF(价差分析!$W$4="日",--[1]!td(A482-1),IF(价差分析!$W$4="周",--[1]!td(A482-7),--[1]!td(A482-30)))-价差分析!$T$4&gt;0,IF(价差分析!$W$4="日",--[1]!td(A482-1),IF(价差分析!$W$4="周",--[1]!td(A482-7),--[1]!td(A482-30))),""))</f>
        <v/>
      </c>
      <c r="B483" s="1" t="str">
        <f ca="1">IF(A483="","",[1]!s_dq_close($B$1,A483,$M$4))</f>
        <v/>
      </c>
      <c r="C483" s="1" t="str">
        <f ca="1">IF(A483="","",[1]!s_dq_close($C$1,A483,$M$4))</f>
        <v/>
      </c>
      <c r="D483" s="6" t="str">
        <f ca="1">IF($A483="","",[1]!s_dq_close(D$1,$A483,$M$4))</f>
        <v/>
      </c>
      <c r="E483" s="6" t="str">
        <f ca="1">IF($A483="","",[1]!s_dq_close(E$1,$A483,$M$4))</f>
        <v/>
      </c>
      <c r="F483" s="6" t="str">
        <f ca="1">IF($A483="","",[1]!s_dq_close(F$1,$A483,$M$4))</f>
        <v/>
      </c>
      <c r="G483" s="6"/>
      <c r="H483" s="6" t="str">
        <f ca="1">IF($A483="","",[1]!s_dq_close(H$1,$A483,$M$4))</f>
        <v/>
      </c>
      <c r="I483" s="6" t="str">
        <f ca="1">IF($A483="","",[1]!s_dq_close(I$1,$A483,$M$4))</f>
        <v/>
      </c>
      <c r="J483" s="6" t="str">
        <f t="shared" ca="1" si="8"/>
        <v/>
      </c>
    </row>
    <row r="484" spans="1:10">
      <c r="A484" s="2" t="str">
        <f ca="1">IF(A483="","",IF(IF(价差分析!$W$4="日",--[1]!td(A483-1),IF(价差分析!$W$4="周",--[1]!td(A483-7),--[1]!td(A483-30)))-价差分析!$T$4&gt;0,IF(价差分析!$W$4="日",--[1]!td(A483-1),IF(价差分析!$W$4="周",--[1]!td(A483-7),--[1]!td(A483-30))),""))</f>
        <v/>
      </c>
      <c r="B484" s="1" t="str">
        <f ca="1">IF(A484="","",[1]!s_dq_close($B$1,A484,$M$4))</f>
        <v/>
      </c>
      <c r="C484" s="1" t="str">
        <f ca="1">IF(A484="","",[1]!s_dq_close($C$1,A484,$M$4))</f>
        <v/>
      </c>
      <c r="D484" s="6" t="str">
        <f ca="1">IF($A484="","",[1]!s_dq_close(D$1,$A484,$M$4))</f>
        <v/>
      </c>
      <c r="E484" s="6" t="str">
        <f ca="1">IF($A484="","",[1]!s_dq_close(E$1,$A484,$M$4))</f>
        <v/>
      </c>
      <c r="F484" s="6" t="str">
        <f ca="1">IF($A484="","",[1]!s_dq_close(F$1,$A484,$M$4))</f>
        <v/>
      </c>
      <c r="G484" s="6"/>
      <c r="H484" s="6" t="str">
        <f ca="1">IF($A484="","",[1]!s_dq_close(H$1,$A484,$M$4))</f>
        <v/>
      </c>
      <c r="I484" s="6" t="str">
        <f ca="1">IF($A484="","",[1]!s_dq_close(I$1,$A484,$M$4))</f>
        <v/>
      </c>
      <c r="J484" s="6" t="str">
        <f t="shared" ca="1" si="8"/>
        <v/>
      </c>
    </row>
    <row r="485" spans="1:10">
      <c r="A485" s="2" t="str">
        <f ca="1">IF(A484="","",IF(IF(价差分析!$W$4="日",--[1]!td(A484-1),IF(价差分析!$W$4="周",--[1]!td(A484-7),--[1]!td(A484-30)))-价差分析!$T$4&gt;0,IF(价差分析!$W$4="日",--[1]!td(A484-1),IF(价差分析!$W$4="周",--[1]!td(A484-7),--[1]!td(A484-30))),""))</f>
        <v/>
      </c>
      <c r="B485" s="1" t="str">
        <f ca="1">IF(A485="","",[1]!s_dq_close($B$1,A485,$M$4))</f>
        <v/>
      </c>
      <c r="C485" s="1" t="str">
        <f ca="1">IF(A485="","",[1]!s_dq_close($C$1,A485,$M$4))</f>
        <v/>
      </c>
      <c r="D485" s="6" t="str">
        <f ca="1">IF($A485="","",[1]!s_dq_close(D$1,$A485,$M$4))</f>
        <v/>
      </c>
      <c r="E485" s="6" t="str">
        <f ca="1">IF($A485="","",[1]!s_dq_close(E$1,$A485,$M$4))</f>
        <v/>
      </c>
      <c r="F485" s="6" t="str">
        <f ca="1">IF($A485="","",[1]!s_dq_close(F$1,$A485,$M$4))</f>
        <v/>
      </c>
      <c r="G485" s="6"/>
      <c r="H485" s="6" t="str">
        <f ca="1">IF($A485="","",[1]!s_dq_close(H$1,$A485,$M$4))</f>
        <v/>
      </c>
      <c r="I485" s="6" t="str">
        <f ca="1">IF($A485="","",[1]!s_dq_close(I$1,$A485,$M$4))</f>
        <v/>
      </c>
      <c r="J485" s="6" t="str">
        <f t="shared" ca="1" si="8"/>
        <v/>
      </c>
    </row>
    <row r="486" spans="1:10">
      <c r="A486" s="2" t="str">
        <f ca="1">IF(A485="","",IF(IF(价差分析!$W$4="日",--[1]!td(A485-1),IF(价差分析!$W$4="周",--[1]!td(A485-7),--[1]!td(A485-30)))-价差分析!$T$4&gt;0,IF(价差分析!$W$4="日",--[1]!td(A485-1),IF(价差分析!$W$4="周",--[1]!td(A485-7),--[1]!td(A485-30))),""))</f>
        <v/>
      </c>
      <c r="B486" s="1" t="str">
        <f ca="1">IF(A486="","",[1]!s_dq_close($B$1,A486,$M$4))</f>
        <v/>
      </c>
      <c r="C486" s="1" t="str">
        <f ca="1">IF(A486="","",[1]!s_dq_close($C$1,A486,$M$4))</f>
        <v/>
      </c>
      <c r="D486" s="6" t="str">
        <f ca="1">IF($A486="","",[1]!s_dq_close(D$1,$A486,$M$4))</f>
        <v/>
      </c>
      <c r="E486" s="6" t="str">
        <f ca="1">IF($A486="","",[1]!s_dq_close(E$1,$A486,$M$4))</f>
        <v/>
      </c>
      <c r="F486" s="6" t="str">
        <f ca="1">IF($A486="","",[1]!s_dq_close(F$1,$A486,$M$4))</f>
        <v/>
      </c>
      <c r="G486" s="6"/>
      <c r="H486" s="6" t="str">
        <f ca="1">IF($A486="","",[1]!s_dq_close(H$1,$A486,$M$4))</f>
        <v/>
      </c>
      <c r="I486" s="6" t="str">
        <f ca="1">IF($A486="","",[1]!s_dq_close(I$1,$A486,$M$4))</f>
        <v/>
      </c>
      <c r="J486" s="6" t="str">
        <f t="shared" ca="1" si="8"/>
        <v/>
      </c>
    </row>
    <row r="487" spans="1:10">
      <c r="A487" s="2" t="str">
        <f ca="1">IF(A486="","",IF(IF(价差分析!$W$4="日",--[1]!td(A486-1),IF(价差分析!$W$4="周",--[1]!td(A486-7),--[1]!td(A486-30)))-价差分析!$T$4&gt;0,IF(价差分析!$W$4="日",--[1]!td(A486-1),IF(价差分析!$W$4="周",--[1]!td(A486-7),--[1]!td(A486-30))),""))</f>
        <v/>
      </c>
      <c r="B487" s="1" t="str">
        <f ca="1">IF(A487="","",[1]!s_dq_close($B$1,A487,$M$4))</f>
        <v/>
      </c>
      <c r="C487" s="1" t="str">
        <f ca="1">IF(A487="","",[1]!s_dq_close($C$1,A487,$M$4))</f>
        <v/>
      </c>
      <c r="D487" s="6" t="str">
        <f ca="1">IF($A487="","",[1]!s_dq_close(D$1,$A487,$M$4))</f>
        <v/>
      </c>
      <c r="E487" s="6" t="str">
        <f ca="1">IF($A487="","",[1]!s_dq_close(E$1,$A487,$M$4))</f>
        <v/>
      </c>
      <c r="F487" s="6" t="str">
        <f ca="1">IF($A487="","",[1]!s_dq_close(F$1,$A487,$M$4))</f>
        <v/>
      </c>
      <c r="G487" s="6"/>
      <c r="H487" s="6" t="str">
        <f ca="1">IF($A487="","",[1]!s_dq_close(H$1,$A487,$M$4))</f>
        <v/>
      </c>
      <c r="I487" s="6" t="str">
        <f ca="1">IF($A487="","",[1]!s_dq_close(I$1,$A487,$M$4))</f>
        <v/>
      </c>
      <c r="J487" s="6" t="str">
        <f t="shared" ca="1" si="8"/>
        <v/>
      </c>
    </row>
    <row r="488" spans="1:10">
      <c r="A488" s="2" t="str">
        <f ca="1">IF(A487="","",IF(IF(价差分析!$W$4="日",--[1]!td(A487-1),IF(价差分析!$W$4="周",--[1]!td(A487-7),--[1]!td(A487-30)))-价差分析!$T$4&gt;0,IF(价差分析!$W$4="日",--[1]!td(A487-1),IF(价差分析!$W$4="周",--[1]!td(A487-7),--[1]!td(A487-30))),""))</f>
        <v/>
      </c>
      <c r="B488" s="1" t="str">
        <f ca="1">IF(A488="","",[1]!s_dq_close($B$1,A488,$M$4))</f>
        <v/>
      </c>
      <c r="C488" s="1" t="str">
        <f ca="1">IF(A488="","",[1]!s_dq_close($C$1,A488,$M$4))</f>
        <v/>
      </c>
      <c r="D488" s="6" t="str">
        <f ca="1">IF($A488="","",[1]!s_dq_close(D$1,$A488,$M$4))</f>
        <v/>
      </c>
      <c r="E488" s="6" t="str">
        <f ca="1">IF($A488="","",[1]!s_dq_close(E$1,$A488,$M$4))</f>
        <v/>
      </c>
      <c r="F488" s="6" t="str">
        <f ca="1">IF($A488="","",[1]!s_dq_close(F$1,$A488,$M$4))</f>
        <v/>
      </c>
      <c r="G488" s="6"/>
      <c r="H488" s="6" t="str">
        <f ca="1">IF($A488="","",[1]!s_dq_close(H$1,$A488,$M$4))</f>
        <v/>
      </c>
      <c r="I488" s="6" t="str">
        <f ca="1">IF($A488="","",[1]!s_dq_close(I$1,$A488,$M$4))</f>
        <v/>
      </c>
      <c r="J488" s="6" t="str">
        <f t="shared" ca="1" si="8"/>
        <v/>
      </c>
    </row>
    <row r="489" spans="1:10">
      <c r="A489" s="2" t="str">
        <f ca="1">IF(A488="","",IF(IF(价差分析!$W$4="日",--[1]!td(A488-1),IF(价差分析!$W$4="周",--[1]!td(A488-7),--[1]!td(A488-30)))-价差分析!$T$4&gt;0,IF(价差分析!$W$4="日",--[1]!td(A488-1),IF(价差分析!$W$4="周",--[1]!td(A488-7),--[1]!td(A488-30))),""))</f>
        <v/>
      </c>
      <c r="B489" s="1" t="str">
        <f ca="1">IF(A489="","",[1]!s_dq_close($B$1,A489,$M$4))</f>
        <v/>
      </c>
      <c r="C489" s="1" t="str">
        <f ca="1">IF(A489="","",[1]!s_dq_close($C$1,A489,$M$4))</f>
        <v/>
      </c>
      <c r="D489" s="6" t="str">
        <f ca="1">IF($A489="","",[1]!s_dq_close(D$1,$A489,$M$4))</f>
        <v/>
      </c>
      <c r="E489" s="6" t="str">
        <f ca="1">IF($A489="","",[1]!s_dq_close(E$1,$A489,$M$4))</f>
        <v/>
      </c>
      <c r="F489" s="6" t="str">
        <f ca="1">IF($A489="","",[1]!s_dq_close(F$1,$A489,$M$4))</f>
        <v/>
      </c>
      <c r="G489" s="6"/>
      <c r="H489" s="6" t="str">
        <f ca="1">IF($A489="","",[1]!s_dq_close(H$1,$A489,$M$4))</f>
        <v/>
      </c>
      <c r="I489" s="6" t="str">
        <f ca="1">IF($A489="","",[1]!s_dq_close(I$1,$A489,$M$4))</f>
        <v/>
      </c>
      <c r="J489" s="6" t="str">
        <f t="shared" ca="1" si="8"/>
        <v/>
      </c>
    </row>
    <row r="490" spans="1:10">
      <c r="A490" s="2" t="str">
        <f ca="1">IF(A489="","",IF(IF(价差分析!$W$4="日",--[1]!td(A489-1),IF(价差分析!$W$4="周",--[1]!td(A489-7),--[1]!td(A489-30)))-价差分析!$T$4&gt;0,IF(价差分析!$W$4="日",--[1]!td(A489-1),IF(价差分析!$W$4="周",--[1]!td(A489-7),--[1]!td(A489-30))),""))</f>
        <v/>
      </c>
      <c r="B490" s="1" t="str">
        <f ca="1">IF(A490="","",[1]!s_dq_close($B$1,A490,$M$4))</f>
        <v/>
      </c>
      <c r="C490" s="1" t="str">
        <f ca="1">IF(A490="","",[1]!s_dq_close($C$1,A490,$M$4))</f>
        <v/>
      </c>
      <c r="D490" s="6" t="str">
        <f ca="1">IF($A490="","",[1]!s_dq_close(D$1,$A490,$M$4))</f>
        <v/>
      </c>
      <c r="E490" s="6" t="str">
        <f ca="1">IF($A490="","",[1]!s_dq_close(E$1,$A490,$M$4))</f>
        <v/>
      </c>
      <c r="F490" s="6" t="str">
        <f ca="1">IF($A490="","",[1]!s_dq_close(F$1,$A490,$M$4))</f>
        <v/>
      </c>
      <c r="G490" s="6"/>
      <c r="H490" s="6" t="str">
        <f ca="1">IF($A490="","",[1]!s_dq_close(H$1,$A490,$M$4))</f>
        <v/>
      </c>
      <c r="I490" s="6" t="str">
        <f ca="1">IF($A490="","",[1]!s_dq_close(I$1,$A490,$M$4))</f>
        <v/>
      </c>
      <c r="J490" s="6" t="str">
        <f t="shared" ca="1" si="8"/>
        <v/>
      </c>
    </row>
    <row r="491" spans="1:10">
      <c r="A491" s="2" t="str">
        <f ca="1">IF(A490="","",IF(IF(价差分析!$W$4="日",--[1]!td(A490-1),IF(价差分析!$W$4="周",--[1]!td(A490-7),--[1]!td(A490-30)))-价差分析!$T$4&gt;0,IF(价差分析!$W$4="日",--[1]!td(A490-1),IF(价差分析!$W$4="周",--[1]!td(A490-7),--[1]!td(A490-30))),""))</f>
        <v/>
      </c>
      <c r="B491" s="1" t="str">
        <f ca="1">IF(A491="","",[1]!s_dq_close($B$1,A491,$M$4))</f>
        <v/>
      </c>
      <c r="C491" s="1" t="str">
        <f ca="1">IF(A491="","",[1]!s_dq_close($C$1,A491,$M$4))</f>
        <v/>
      </c>
      <c r="D491" s="6" t="str">
        <f ca="1">IF($A491="","",[1]!s_dq_close(D$1,$A491,$M$4))</f>
        <v/>
      </c>
      <c r="E491" s="6" t="str">
        <f ca="1">IF($A491="","",[1]!s_dq_close(E$1,$A491,$M$4))</f>
        <v/>
      </c>
      <c r="F491" s="6" t="str">
        <f ca="1">IF($A491="","",[1]!s_dq_close(F$1,$A491,$M$4))</f>
        <v/>
      </c>
      <c r="G491" s="6"/>
      <c r="H491" s="6" t="str">
        <f ca="1">IF($A491="","",[1]!s_dq_close(H$1,$A491,$M$4))</f>
        <v/>
      </c>
      <c r="I491" s="6" t="str">
        <f ca="1">IF($A491="","",[1]!s_dq_close(I$1,$A491,$M$4))</f>
        <v/>
      </c>
      <c r="J491" s="6" t="str">
        <f t="shared" ca="1" si="8"/>
        <v/>
      </c>
    </row>
    <row r="492" spans="1:10">
      <c r="A492" s="2" t="str">
        <f ca="1">IF(A491="","",IF(IF(价差分析!$W$4="日",--[1]!td(A491-1),IF(价差分析!$W$4="周",--[1]!td(A491-7),--[1]!td(A491-30)))-价差分析!$T$4&gt;0,IF(价差分析!$W$4="日",--[1]!td(A491-1),IF(价差分析!$W$4="周",--[1]!td(A491-7),--[1]!td(A491-30))),""))</f>
        <v/>
      </c>
      <c r="B492" s="1" t="str">
        <f ca="1">IF(A492="","",[1]!s_dq_close($B$1,A492,$M$4))</f>
        <v/>
      </c>
      <c r="C492" s="1" t="str">
        <f ca="1">IF(A492="","",[1]!s_dq_close($C$1,A492,$M$4))</f>
        <v/>
      </c>
      <c r="D492" s="6" t="str">
        <f ca="1">IF($A492="","",[1]!s_dq_close(D$1,$A492,$M$4))</f>
        <v/>
      </c>
      <c r="E492" s="6" t="str">
        <f ca="1">IF($A492="","",[1]!s_dq_close(E$1,$A492,$M$4))</f>
        <v/>
      </c>
      <c r="F492" s="6" t="str">
        <f ca="1">IF($A492="","",[1]!s_dq_close(F$1,$A492,$M$4))</f>
        <v/>
      </c>
      <c r="G492" s="6"/>
      <c r="H492" s="6" t="str">
        <f ca="1">IF($A492="","",[1]!s_dq_close(H$1,$A492,$M$4))</f>
        <v/>
      </c>
      <c r="I492" s="6" t="str">
        <f ca="1">IF($A492="","",[1]!s_dq_close(I$1,$A492,$M$4))</f>
        <v/>
      </c>
      <c r="J492" s="6" t="str">
        <f t="shared" ca="1" si="8"/>
        <v/>
      </c>
    </row>
    <row r="493" spans="1:10">
      <c r="A493" s="2" t="str">
        <f ca="1">IF(A492="","",IF(IF(价差分析!$W$4="日",--[1]!td(A492-1),IF(价差分析!$W$4="周",--[1]!td(A492-7),--[1]!td(A492-30)))-价差分析!$T$4&gt;0,IF(价差分析!$W$4="日",--[1]!td(A492-1),IF(价差分析!$W$4="周",--[1]!td(A492-7),--[1]!td(A492-30))),""))</f>
        <v/>
      </c>
      <c r="B493" s="1" t="str">
        <f ca="1">IF(A493="","",[1]!s_dq_close($B$1,A493,$M$4))</f>
        <v/>
      </c>
      <c r="C493" s="1" t="str">
        <f ca="1">IF(A493="","",[1]!s_dq_close($C$1,A493,$M$4))</f>
        <v/>
      </c>
      <c r="D493" s="6" t="str">
        <f ca="1">IF($A493="","",[1]!s_dq_close(D$1,$A493,$M$4))</f>
        <v/>
      </c>
      <c r="E493" s="6" t="str">
        <f ca="1">IF($A493="","",[1]!s_dq_close(E$1,$A493,$M$4))</f>
        <v/>
      </c>
      <c r="F493" s="6" t="str">
        <f ca="1">IF($A493="","",[1]!s_dq_close(F$1,$A493,$M$4))</f>
        <v/>
      </c>
      <c r="G493" s="6"/>
      <c r="H493" s="6" t="str">
        <f ca="1">IF($A493="","",[1]!s_dq_close(H$1,$A493,$M$4))</f>
        <v/>
      </c>
      <c r="I493" s="6" t="str">
        <f ca="1">IF($A493="","",[1]!s_dq_close(I$1,$A493,$M$4))</f>
        <v/>
      </c>
      <c r="J493" s="6" t="str">
        <f t="shared" ca="1" si="8"/>
        <v/>
      </c>
    </row>
    <row r="494" spans="1:10">
      <c r="A494" s="2" t="str">
        <f ca="1">IF(A493="","",IF(IF(价差分析!$W$4="日",--[1]!td(A493-1),IF(价差分析!$W$4="周",--[1]!td(A493-7),--[1]!td(A493-30)))-价差分析!$T$4&gt;0,IF(价差分析!$W$4="日",--[1]!td(A493-1),IF(价差分析!$W$4="周",--[1]!td(A493-7),--[1]!td(A493-30))),""))</f>
        <v/>
      </c>
      <c r="B494" s="1" t="str">
        <f ca="1">IF(A494="","",[1]!s_dq_close($B$1,A494,$M$4))</f>
        <v/>
      </c>
      <c r="C494" s="1" t="str">
        <f ca="1">IF(A494="","",[1]!s_dq_close($C$1,A494,$M$4))</f>
        <v/>
      </c>
      <c r="D494" s="6" t="str">
        <f ca="1">IF($A494="","",[1]!s_dq_close(D$1,$A494,$M$4))</f>
        <v/>
      </c>
      <c r="E494" s="6" t="str">
        <f ca="1">IF($A494="","",[1]!s_dq_close(E$1,$A494,$M$4))</f>
        <v/>
      </c>
      <c r="F494" s="6" t="str">
        <f ca="1">IF($A494="","",[1]!s_dq_close(F$1,$A494,$M$4))</f>
        <v/>
      </c>
      <c r="G494" s="6"/>
      <c r="H494" s="6" t="str">
        <f ca="1">IF($A494="","",[1]!s_dq_close(H$1,$A494,$M$4))</f>
        <v/>
      </c>
      <c r="I494" s="6" t="str">
        <f ca="1">IF($A494="","",[1]!s_dq_close(I$1,$A494,$M$4))</f>
        <v/>
      </c>
      <c r="J494" s="6" t="str">
        <f t="shared" ca="1" si="8"/>
        <v/>
      </c>
    </row>
    <row r="495" spans="1:10">
      <c r="A495" s="2" t="str">
        <f ca="1">IF(A494="","",IF(IF(价差分析!$W$4="日",--[1]!td(A494-1),IF(价差分析!$W$4="周",--[1]!td(A494-7),--[1]!td(A494-30)))-价差分析!$T$4&gt;0,IF(价差分析!$W$4="日",--[1]!td(A494-1),IF(价差分析!$W$4="周",--[1]!td(A494-7),--[1]!td(A494-30))),""))</f>
        <v/>
      </c>
      <c r="B495" s="1" t="str">
        <f ca="1">IF(A495="","",[1]!s_dq_close($B$1,A495,$M$4))</f>
        <v/>
      </c>
      <c r="C495" s="1" t="str">
        <f ca="1">IF(A495="","",[1]!s_dq_close($C$1,A495,$M$4))</f>
        <v/>
      </c>
      <c r="D495" s="6" t="str">
        <f ca="1">IF($A495="","",[1]!s_dq_close(D$1,$A495,$M$4))</f>
        <v/>
      </c>
      <c r="E495" s="6" t="str">
        <f ca="1">IF($A495="","",[1]!s_dq_close(E$1,$A495,$M$4))</f>
        <v/>
      </c>
      <c r="F495" s="6" t="str">
        <f ca="1">IF($A495="","",[1]!s_dq_close(F$1,$A495,$M$4))</f>
        <v/>
      </c>
      <c r="G495" s="6"/>
      <c r="H495" s="6" t="str">
        <f ca="1">IF($A495="","",[1]!s_dq_close(H$1,$A495,$M$4))</f>
        <v/>
      </c>
      <c r="I495" s="6" t="str">
        <f ca="1">IF($A495="","",[1]!s_dq_close(I$1,$A495,$M$4))</f>
        <v/>
      </c>
      <c r="J495" s="6" t="str">
        <f t="shared" ca="1" si="8"/>
        <v/>
      </c>
    </row>
    <row r="496" spans="1:10">
      <c r="A496" s="2" t="str">
        <f ca="1">IF(A495="","",IF(IF(价差分析!$W$4="日",--[1]!td(A495-1),IF(价差分析!$W$4="周",--[1]!td(A495-7),--[1]!td(A495-30)))-价差分析!$T$4&gt;0,IF(价差分析!$W$4="日",--[1]!td(A495-1),IF(价差分析!$W$4="周",--[1]!td(A495-7),--[1]!td(A495-30))),""))</f>
        <v/>
      </c>
      <c r="B496" s="1" t="str">
        <f ca="1">IF(A496="","",[1]!s_dq_close($B$1,A496,$M$4))</f>
        <v/>
      </c>
      <c r="C496" s="1" t="str">
        <f ca="1">IF(A496="","",[1]!s_dq_close($C$1,A496,$M$4))</f>
        <v/>
      </c>
      <c r="D496" s="6" t="str">
        <f ca="1">IF($A496="","",[1]!s_dq_close(D$1,$A496,$M$4))</f>
        <v/>
      </c>
      <c r="E496" s="6" t="str">
        <f ca="1">IF($A496="","",[1]!s_dq_close(E$1,$A496,$M$4))</f>
        <v/>
      </c>
      <c r="F496" s="6" t="str">
        <f ca="1">IF($A496="","",[1]!s_dq_close(F$1,$A496,$M$4))</f>
        <v/>
      </c>
      <c r="G496" s="6"/>
      <c r="H496" s="6" t="str">
        <f ca="1">IF($A496="","",[1]!s_dq_close(H$1,$A496,$M$4))</f>
        <v/>
      </c>
      <c r="I496" s="6" t="str">
        <f ca="1">IF($A496="","",[1]!s_dq_close(I$1,$A496,$M$4))</f>
        <v/>
      </c>
      <c r="J496" s="6" t="str">
        <f t="shared" ca="1" si="8"/>
        <v/>
      </c>
    </row>
    <row r="497" spans="1:10">
      <c r="A497" s="2" t="str">
        <f ca="1">IF(A496="","",IF(IF(价差分析!$W$4="日",--[1]!td(A496-1),IF(价差分析!$W$4="周",--[1]!td(A496-7),--[1]!td(A496-30)))-价差分析!$T$4&gt;0,IF(价差分析!$W$4="日",--[1]!td(A496-1),IF(价差分析!$W$4="周",--[1]!td(A496-7),--[1]!td(A496-30))),""))</f>
        <v/>
      </c>
      <c r="B497" s="1" t="str">
        <f ca="1">IF(A497="","",[1]!s_dq_close($B$1,A497,$M$4))</f>
        <v/>
      </c>
      <c r="C497" s="1" t="str">
        <f ca="1">IF(A497="","",[1]!s_dq_close($C$1,A497,$M$4))</f>
        <v/>
      </c>
      <c r="D497" s="6" t="str">
        <f ca="1">IF($A497="","",[1]!s_dq_close(D$1,$A497,$M$4))</f>
        <v/>
      </c>
      <c r="E497" s="6" t="str">
        <f ca="1">IF($A497="","",[1]!s_dq_close(E$1,$A497,$M$4))</f>
        <v/>
      </c>
      <c r="F497" s="6" t="str">
        <f ca="1">IF($A497="","",[1]!s_dq_close(F$1,$A497,$M$4))</f>
        <v/>
      </c>
      <c r="G497" s="6"/>
      <c r="H497" s="6" t="str">
        <f ca="1">IF($A497="","",[1]!s_dq_close(H$1,$A497,$M$4))</f>
        <v/>
      </c>
      <c r="I497" s="6" t="str">
        <f ca="1">IF($A497="","",[1]!s_dq_close(I$1,$A497,$M$4))</f>
        <v/>
      </c>
      <c r="J497" s="6" t="str">
        <f t="shared" ca="1" si="8"/>
        <v/>
      </c>
    </row>
    <row r="498" spans="1:10">
      <c r="A498" s="2" t="str">
        <f ca="1">IF(A497="","",IF(IF(价差分析!$W$4="日",--[1]!td(A497-1),IF(价差分析!$W$4="周",--[1]!td(A497-7),--[1]!td(A497-30)))-价差分析!$T$4&gt;0,IF(价差分析!$W$4="日",--[1]!td(A497-1),IF(价差分析!$W$4="周",--[1]!td(A497-7),--[1]!td(A497-30))),""))</f>
        <v/>
      </c>
      <c r="B498" s="1" t="str">
        <f ca="1">IF(A498="","",[1]!s_dq_close($B$1,A498,$M$4))</f>
        <v/>
      </c>
      <c r="C498" s="1" t="str">
        <f ca="1">IF(A498="","",[1]!s_dq_close($C$1,A498,$M$4))</f>
        <v/>
      </c>
      <c r="D498" s="6" t="str">
        <f ca="1">IF($A498="","",[1]!s_dq_close(D$1,$A498,$M$4))</f>
        <v/>
      </c>
      <c r="E498" s="6" t="str">
        <f ca="1">IF($A498="","",[1]!s_dq_close(E$1,$A498,$M$4))</f>
        <v/>
      </c>
      <c r="F498" s="6" t="str">
        <f ca="1">IF($A498="","",[1]!s_dq_close(F$1,$A498,$M$4))</f>
        <v/>
      </c>
      <c r="G498" s="6"/>
      <c r="H498" s="6" t="str">
        <f ca="1">IF($A498="","",[1]!s_dq_close(H$1,$A498,$M$4))</f>
        <v/>
      </c>
      <c r="I498" s="6" t="str">
        <f ca="1">IF($A498="","",[1]!s_dq_close(I$1,$A498,$M$4))</f>
        <v/>
      </c>
      <c r="J498" s="6" t="str">
        <f t="shared" ca="1" si="8"/>
        <v/>
      </c>
    </row>
    <row r="499" spans="1:10">
      <c r="A499" s="2" t="str">
        <f ca="1">IF(A498="","",IF(IF(价差分析!$W$4="日",--[1]!td(A498-1),IF(价差分析!$W$4="周",--[1]!td(A498-7),--[1]!td(A498-30)))-价差分析!$T$4&gt;0,IF(价差分析!$W$4="日",--[1]!td(A498-1),IF(价差分析!$W$4="周",--[1]!td(A498-7),--[1]!td(A498-30))),""))</f>
        <v/>
      </c>
      <c r="B499" s="1" t="str">
        <f ca="1">IF(A499="","",[1]!s_dq_close($B$1,A499,$M$4))</f>
        <v/>
      </c>
      <c r="C499" s="1" t="str">
        <f ca="1">IF(A499="","",[1]!s_dq_close($C$1,A499,$M$4))</f>
        <v/>
      </c>
      <c r="D499" s="6" t="str">
        <f ca="1">IF($A499="","",[1]!s_dq_close(D$1,$A499,$M$4))</f>
        <v/>
      </c>
      <c r="E499" s="6" t="str">
        <f ca="1">IF($A499="","",[1]!s_dq_close(E$1,$A499,$M$4))</f>
        <v/>
      </c>
      <c r="F499" s="6" t="str">
        <f ca="1">IF($A499="","",[1]!s_dq_close(F$1,$A499,$M$4))</f>
        <v/>
      </c>
      <c r="G499" s="6"/>
      <c r="H499" s="6" t="str">
        <f ca="1">IF($A499="","",[1]!s_dq_close(H$1,$A499,$M$4))</f>
        <v/>
      </c>
      <c r="I499" s="6" t="str">
        <f ca="1">IF($A499="","",[1]!s_dq_close(I$1,$A499,$M$4))</f>
        <v/>
      </c>
      <c r="J499" s="6" t="str">
        <f t="shared" ca="1" si="8"/>
        <v/>
      </c>
    </row>
    <row r="500" spans="1:10">
      <c r="A500" s="2" t="str">
        <f ca="1">IF(A499="","",IF(IF(价差分析!$W$4="日",--[1]!td(A499-1),IF(价差分析!$W$4="周",--[1]!td(A499-7),--[1]!td(A499-30)))-价差分析!$T$4&gt;0,IF(价差分析!$W$4="日",--[1]!td(A499-1),IF(价差分析!$W$4="周",--[1]!td(A499-7),--[1]!td(A499-30))),""))</f>
        <v/>
      </c>
      <c r="B500" s="1" t="str">
        <f ca="1">IF(A500="","",[1]!s_dq_close($B$1,A500,$M$4))</f>
        <v/>
      </c>
      <c r="C500" s="1" t="str">
        <f ca="1">IF(A500="","",[1]!s_dq_close($C$1,A500,$M$4))</f>
        <v/>
      </c>
      <c r="D500" s="6" t="str">
        <f ca="1">IF($A500="","",[1]!s_dq_close(D$1,$A500,$M$4))</f>
        <v/>
      </c>
      <c r="E500" s="6" t="str">
        <f ca="1">IF($A500="","",[1]!s_dq_close(E$1,$A500,$M$4))</f>
        <v/>
      </c>
      <c r="F500" s="6" t="str">
        <f ca="1">IF($A500="","",[1]!s_dq_close(F$1,$A500,$M$4))</f>
        <v/>
      </c>
      <c r="G500" s="6"/>
      <c r="H500" s="6" t="str">
        <f ca="1">IF($A500="","",[1]!s_dq_close(H$1,$A500,$M$4))</f>
        <v/>
      </c>
      <c r="I500" s="6" t="str">
        <f ca="1">IF($A500="","",[1]!s_dq_close(I$1,$A500,$M$4))</f>
        <v/>
      </c>
      <c r="J500" s="6" t="str">
        <f t="shared" ca="1" si="8"/>
        <v/>
      </c>
    </row>
    <row r="501" spans="1:10">
      <c r="A501" s="2" t="str">
        <f ca="1">IF(A500="","",IF(IF(价差分析!$W$4="日",--[1]!td(A500-1),IF(价差分析!$W$4="周",--[1]!td(A500-7),--[1]!td(A500-30)))-价差分析!$T$4&gt;0,IF(价差分析!$W$4="日",--[1]!td(A500-1),IF(价差分析!$W$4="周",--[1]!td(A500-7),--[1]!td(A500-30))),""))</f>
        <v/>
      </c>
      <c r="B501" s="1" t="str">
        <f ca="1">IF(A501="","",[1]!s_dq_close($B$1,A501,$M$4))</f>
        <v/>
      </c>
      <c r="C501" s="1" t="str">
        <f ca="1">IF(A501="","",[1]!s_dq_close($C$1,A501,$M$4))</f>
        <v/>
      </c>
      <c r="D501" s="6" t="str">
        <f ca="1">IF($A501="","",[1]!s_dq_close(D$1,$A501,$M$4))</f>
        <v/>
      </c>
      <c r="E501" s="6" t="str">
        <f ca="1">IF($A501="","",[1]!s_dq_close(E$1,$A501,$M$4))</f>
        <v/>
      </c>
      <c r="F501" s="6" t="str">
        <f ca="1">IF($A501="","",[1]!s_dq_close(F$1,$A501,$M$4))</f>
        <v/>
      </c>
      <c r="G501" s="6"/>
      <c r="H501" s="6" t="str">
        <f ca="1">IF($A501="","",[1]!s_dq_close(H$1,$A501,$M$4))</f>
        <v/>
      </c>
      <c r="I501" s="6" t="str">
        <f ca="1">IF($A501="","",[1]!s_dq_close(I$1,$A501,$M$4))</f>
        <v/>
      </c>
      <c r="J501" s="6" t="str">
        <f t="shared" ca="1" si="8"/>
        <v/>
      </c>
    </row>
    <row r="502" spans="1:10">
      <c r="A502" s="2" t="str">
        <f ca="1">IF(A501="","",IF(IF(价差分析!$W$4="日",--[1]!td(A501-1),IF(价差分析!$W$4="周",--[1]!td(A501-7),--[1]!td(A501-30)))-价差分析!$T$4&gt;0,IF(价差分析!$W$4="日",--[1]!td(A501-1),IF(价差分析!$W$4="周",--[1]!td(A501-7),--[1]!td(A501-30))),""))</f>
        <v/>
      </c>
      <c r="B502" s="1" t="str">
        <f ca="1">IF(A502="","",[1]!s_dq_close($B$1,A502,$M$4))</f>
        <v/>
      </c>
      <c r="C502" s="1" t="str">
        <f ca="1">IF(A502="","",[1]!s_dq_close($C$1,A502,$M$4))</f>
        <v/>
      </c>
      <c r="D502" s="6" t="str">
        <f ca="1">IF($A502="","",[1]!s_dq_close(D$1,$A502,$M$4))</f>
        <v/>
      </c>
      <c r="E502" s="6" t="str">
        <f ca="1">IF($A502="","",[1]!s_dq_close(E$1,$A502,$M$4))</f>
        <v/>
      </c>
      <c r="F502" s="6" t="str">
        <f ca="1">IF($A502="","",[1]!s_dq_close(F$1,$A502,$M$4))</f>
        <v/>
      </c>
      <c r="G502" s="6"/>
      <c r="H502" s="6" t="str">
        <f ca="1">IF($A502="","",[1]!s_dq_close(H$1,$A502,$M$4))</f>
        <v/>
      </c>
      <c r="I502" s="6" t="str">
        <f ca="1">IF($A502="","",[1]!s_dq_close(I$1,$A502,$M$4))</f>
        <v/>
      </c>
      <c r="J502" s="6" t="str">
        <f t="shared" ca="1" si="8"/>
        <v/>
      </c>
    </row>
    <row r="503" spans="1:10">
      <c r="A503" s="2" t="str">
        <f ca="1">IF(A502="","",IF(IF(价差分析!$W$4="日",--[1]!td(A502-1),IF(价差分析!$W$4="周",--[1]!td(A502-7),--[1]!td(A502-30)))-价差分析!$T$4&gt;0,IF(价差分析!$W$4="日",--[1]!td(A502-1),IF(价差分析!$W$4="周",--[1]!td(A502-7),--[1]!td(A502-30))),""))</f>
        <v/>
      </c>
      <c r="B503" s="1" t="str">
        <f ca="1">IF(A503="","",[1]!s_dq_close($B$1,A503,$M$4))</f>
        <v/>
      </c>
      <c r="C503" s="1" t="str">
        <f ca="1">IF(A503="","",[1]!s_dq_close($C$1,A503,$M$4))</f>
        <v/>
      </c>
      <c r="D503" s="6" t="str">
        <f ca="1">IF($A503="","",[1]!s_dq_close(D$1,$A503,$M$4))</f>
        <v/>
      </c>
      <c r="E503" s="6" t="str">
        <f ca="1">IF($A503="","",[1]!s_dq_close(E$1,$A503,$M$4))</f>
        <v/>
      </c>
      <c r="F503" s="6" t="str">
        <f ca="1">IF($A503="","",[1]!s_dq_close(F$1,$A503,$M$4))</f>
        <v/>
      </c>
      <c r="G503" s="6"/>
      <c r="H503" s="6" t="str">
        <f ca="1">IF($A503="","",[1]!s_dq_close(H$1,$A503,$M$4))</f>
        <v/>
      </c>
      <c r="I503" s="6" t="str">
        <f ca="1">IF($A503="","",[1]!s_dq_close(I$1,$A503,$M$4))</f>
        <v/>
      </c>
      <c r="J503" s="6" t="str">
        <f t="shared" ca="1" si="8"/>
        <v/>
      </c>
    </row>
    <row r="504" spans="1:10">
      <c r="A504" s="2" t="str">
        <f ca="1">IF(A503="","",IF(IF(价差分析!$W$4="日",--[1]!td(A503-1),IF(价差分析!$W$4="周",--[1]!td(A503-7),--[1]!td(A503-30)))-价差分析!$T$4&gt;0,IF(价差分析!$W$4="日",--[1]!td(A503-1),IF(价差分析!$W$4="周",--[1]!td(A503-7),--[1]!td(A503-30))),""))</f>
        <v/>
      </c>
      <c r="B504" s="1" t="str">
        <f ca="1">IF(A504="","",[1]!s_dq_close($B$1,A504,$M$4))</f>
        <v/>
      </c>
      <c r="C504" s="1" t="str">
        <f ca="1">IF(A504="","",[1]!s_dq_close($C$1,A504,$M$4))</f>
        <v/>
      </c>
      <c r="D504" s="6" t="str">
        <f ca="1">IF($A504="","",[1]!s_dq_close(D$1,$A504,$M$4))</f>
        <v/>
      </c>
      <c r="E504" s="6" t="str">
        <f ca="1">IF($A504="","",[1]!s_dq_close(E$1,$A504,$M$4))</f>
        <v/>
      </c>
      <c r="F504" s="6" t="str">
        <f ca="1">IF($A504="","",[1]!s_dq_close(F$1,$A504,$M$4))</f>
        <v/>
      </c>
      <c r="G504" s="6"/>
      <c r="H504" s="6" t="str">
        <f ca="1">IF($A504="","",[1]!s_dq_close(H$1,$A504,$M$4))</f>
        <v/>
      </c>
      <c r="I504" s="6" t="str">
        <f ca="1">IF($A504="","",[1]!s_dq_close(I$1,$A504,$M$4))</f>
        <v/>
      </c>
      <c r="J504" s="6" t="str">
        <f t="shared" ca="1" si="8"/>
        <v/>
      </c>
    </row>
    <row r="505" spans="1:10">
      <c r="A505" s="2" t="str">
        <f ca="1">IF(A504="","",IF(IF(价差分析!$W$4="日",--[1]!td(A504-1),IF(价差分析!$W$4="周",--[1]!td(A504-7),--[1]!td(A504-30)))-价差分析!$T$4&gt;0,IF(价差分析!$W$4="日",--[1]!td(A504-1),IF(价差分析!$W$4="周",--[1]!td(A504-7),--[1]!td(A504-30))),""))</f>
        <v/>
      </c>
      <c r="B505" s="1" t="str">
        <f ca="1">IF(A505="","",[1]!s_dq_close($B$1,A505,$M$4))</f>
        <v/>
      </c>
      <c r="C505" s="1" t="str">
        <f ca="1">IF(A505="","",[1]!s_dq_close($C$1,A505,$M$4))</f>
        <v/>
      </c>
      <c r="D505" s="6" t="str">
        <f ca="1">IF($A505="","",[1]!s_dq_close(D$1,$A505,$M$4))</f>
        <v/>
      </c>
      <c r="E505" s="6" t="str">
        <f ca="1">IF($A505="","",[1]!s_dq_close(E$1,$A505,$M$4))</f>
        <v/>
      </c>
      <c r="F505" s="6" t="str">
        <f ca="1">IF($A505="","",[1]!s_dq_close(F$1,$A505,$M$4))</f>
        <v/>
      </c>
      <c r="G505" s="6"/>
      <c r="H505" s="6" t="str">
        <f ca="1">IF($A505="","",[1]!s_dq_close(H$1,$A505,$M$4))</f>
        <v/>
      </c>
      <c r="I505" s="6" t="str">
        <f ca="1">IF($A505="","",[1]!s_dq_close(I$1,$A505,$M$4))</f>
        <v/>
      </c>
      <c r="J505" s="6" t="str">
        <f t="shared" ca="1" si="8"/>
        <v/>
      </c>
    </row>
    <row r="506" spans="1:10">
      <c r="A506" s="2" t="str">
        <f ca="1">IF(A505="","",IF(IF(价差分析!$W$4="日",--[1]!td(A505-1),IF(价差分析!$W$4="周",--[1]!td(A505-7),--[1]!td(A505-30)))-价差分析!$T$4&gt;0,IF(价差分析!$W$4="日",--[1]!td(A505-1),IF(价差分析!$W$4="周",--[1]!td(A505-7),--[1]!td(A505-30))),""))</f>
        <v/>
      </c>
      <c r="B506" s="1" t="str">
        <f ca="1">IF(A506="","",[1]!s_dq_close($B$1,A506,$M$4))</f>
        <v/>
      </c>
      <c r="C506" s="1" t="str">
        <f ca="1">IF(A506="","",[1]!s_dq_close($C$1,A506,$M$4))</f>
        <v/>
      </c>
      <c r="D506" s="6" t="str">
        <f ca="1">IF($A506="","",[1]!s_dq_close(D$1,$A506,$M$4))</f>
        <v/>
      </c>
      <c r="E506" s="6" t="str">
        <f ca="1">IF($A506="","",[1]!s_dq_close(E$1,$A506,$M$4))</f>
        <v/>
      </c>
      <c r="F506" s="6" t="str">
        <f ca="1">IF($A506="","",[1]!s_dq_close(F$1,$A506,$M$4))</f>
        <v/>
      </c>
      <c r="G506" s="6"/>
      <c r="H506" s="6" t="str">
        <f ca="1">IF($A506="","",[1]!s_dq_close(H$1,$A506,$M$4))</f>
        <v/>
      </c>
      <c r="I506" s="6" t="str">
        <f ca="1">IF($A506="","",[1]!s_dq_close(I$1,$A506,$M$4))</f>
        <v/>
      </c>
      <c r="J506" s="6" t="str">
        <f t="shared" ca="1" si="8"/>
        <v/>
      </c>
    </row>
    <row r="507" spans="1:10">
      <c r="A507" s="2" t="str">
        <f ca="1">IF(A506="","",IF(IF(价差分析!$W$4="日",--[1]!td(A506-1),IF(价差分析!$W$4="周",--[1]!td(A506-7),--[1]!td(A506-30)))-价差分析!$T$4&gt;0,IF(价差分析!$W$4="日",--[1]!td(A506-1),IF(价差分析!$W$4="周",--[1]!td(A506-7),--[1]!td(A506-30))),""))</f>
        <v/>
      </c>
      <c r="B507" s="1" t="str">
        <f ca="1">IF(A507="","",[1]!s_dq_close($B$1,A507,$M$4))</f>
        <v/>
      </c>
      <c r="C507" s="1" t="str">
        <f ca="1">IF(A507="","",[1]!s_dq_close($C$1,A507,$M$4))</f>
        <v/>
      </c>
      <c r="D507" s="6" t="str">
        <f ca="1">IF($A507="","",[1]!s_dq_close(D$1,$A507,$M$4))</f>
        <v/>
      </c>
      <c r="E507" s="6" t="str">
        <f ca="1">IF($A507="","",[1]!s_dq_close(E$1,$A507,$M$4))</f>
        <v/>
      </c>
      <c r="F507" s="6" t="str">
        <f ca="1">IF($A507="","",[1]!s_dq_close(F$1,$A507,$M$4))</f>
        <v/>
      </c>
      <c r="G507" s="6"/>
      <c r="H507" s="6" t="str">
        <f ca="1">IF($A507="","",[1]!s_dq_close(H$1,$A507,$M$4))</f>
        <v/>
      </c>
      <c r="I507" s="6" t="str">
        <f ca="1">IF($A507="","",[1]!s_dq_close(I$1,$A507,$M$4))</f>
        <v/>
      </c>
      <c r="J507" s="6" t="str">
        <f t="shared" ca="1" si="8"/>
        <v/>
      </c>
    </row>
    <row r="508" spans="1:10">
      <c r="A508" s="2" t="str">
        <f ca="1">IF(A507="","",IF(IF(价差分析!$W$4="日",--[1]!td(A507-1),IF(价差分析!$W$4="周",--[1]!td(A507-7),--[1]!td(A507-30)))-价差分析!$T$4&gt;0,IF(价差分析!$W$4="日",--[1]!td(A507-1),IF(价差分析!$W$4="周",--[1]!td(A507-7),--[1]!td(A507-30))),""))</f>
        <v/>
      </c>
      <c r="B508" s="1" t="str">
        <f ca="1">IF(A508="","",[1]!s_dq_close($B$1,A508,$M$4))</f>
        <v/>
      </c>
      <c r="C508" s="1" t="str">
        <f ca="1">IF(A508="","",[1]!s_dq_close($C$1,A508,$M$4))</f>
        <v/>
      </c>
      <c r="D508" s="6" t="str">
        <f ca="1">IF($A508="","",[1]!s_dq_close(D$1,$A508,$M$4))</f>
        <v/>
      </c>
      <c r="E508" s="6" t="str">
        <f ca="1">IF($A508="","",[1]!s_dq_close(E$1,$A508,$M$4))</f>
        <v/>
      </c>
      <c r="F508" s="6" t="str">
        <f ca="1">IF($A508="","",[1]!s_dq_close(F$1,$A508,$M$4))</f>
        <v/>
      </c>
      <c r="G508" s="6"/>
      <c r="H508" s="6" t="str">
        <f ca="1">IF($A508="","",[1]!s_dq_close(H$1,$A508,$M$4))</f>
        <v/>
      </c>
      <c r="I508" s="6" t="str">
        <f ca="1">IF($A508="","",[1]!s_dq_close(I$1,$A508,$M$4))</f>
        <v/>
      </c>
      <c r="J508" s="6" t="str">
        <f t="shared" ca="1" si="8"/>
        <v/>
      </c>
    </row>
    <row r="509" spans="1:10">
      <c r="A509" s="2" t="str">
        <f ca="1">IF(A508="","",IF(IF(价差分析!$W$4="日",--[1]!td(A508-1),IF(价差分析!$W$4="周",--[1]!td(A508-7),--[1]!td(A508-30)))-价差分析!$T$4&gt;0,IF(价差分析!$W$4="日",--[1]!td(A508-1),IF(价差分析!$W$4="周",--[1]!td(A508-7),--[1]!td(A508-30))),""))</f>
        <v/>
      </c>
      <c r="B509" s="1" t="str">
        <f ca="1">IF(A509="","",[1]!s_dq_close($B$1,A509,$M$4))</f>
        <v/>
      </c>
      <c r="C509" s="1" t="str">
        <f ca="1">IF(A509="","",[1]!s_dq_close($C$1,A509,$M$4))</f>
        <v/>
      </c>
      <c r="D509" s="6" t="str">
        <f ca="1">IF($A509="","",[1]!s_dq_close(D$1,$A509,$M$4))</f>
        <v/>
      </c>
      <c r="E509" s="6" t="str">
        <f ca="1">IF($A509="","",[1]!s_dq_close(E$1,$A509,$M$4))</f>
        <v/>
      </c>
      <c r="F509" s="6" t="str">
        <f ca="1">IF($A509="","",[1]!s_dq_close(F$1,$A509,$M$4))</f>
        <v/>
      </c>
      <c r="G509" s="6"/>
      <c r="H509" s="6" t="str">
        <f ca="1">IF($A509="","",[1]!s_dq_close(H$1,$A509,$M$4))</f>
        <v/>
      </c>
      <c r="I509" s="6" t="str">
        <f ca="1">IF($A509="","",[1]!s_dq_close(I$1,$A509,$M$4))</f>
        <v/>
      </c>
      <c r="J509" s="6" t="str">
        <f t="shared" ca="1" si="8"/>
        <v/>
      </c>
    </row>
    <row r="510" spans="1:10">
      <c r="A510" s="2" t="str">
        <f ca="1">IF(A509="","",IF(IF(价差分析!$W$4="日",--[1]!td(A509-1),IF(价差分析!$W$4="周",--[1]!td(A509-7),--[1]!td(A509-30)))-价差分析!$T$4&gt;0,IF(价差分析!$W$4="日",--[1]!td(A509-1),IF(价差分析!$W$4="周",--[1]!td(A509-7),--[1]!td(A509-30))),""))</f>
        <v/>
      </c>
      <c r="B510" s="1" t="str">
        <f ca="1">IF(A510="","",[1]!s_dq_close($B$1,A510,$M$4))</f>
        <v/>
      </c>
      <c r="C510" s="1" t="str">
        <f ca="1">IF(A510="","",[1]!s_dq_close($C$1,A510,$M$4))</f>
        <v/>
      </c>
      <c r="D510" s="6" t="str">
        <f ca="1">IF($A510="","",[1]!s_dq_close(D$1,$A510,$M$4))</f>
        <v/>
      </c>
      <c r="E510" s="6" t="str">
        <f ca="1">IF($A510="","",[1]!s_dq_close(E$1,$A510,$M$4))</f>
        <v/>
      </c>
      <c r="F510" s="6" t="str">
        <f ca="1">IF($A510="","",[1]!s_dq_close(F$1,$A510,$M$4))</f>
        <v/>
      </c>
      <c r="G510" s="6"/>
      <c r="H510" s="6" t="str">
        <f ca="1">IF($A510="","",[1]!s_dq_close(H$1,$A510,$M$4))</f>
        <v/>
      </c>
      <c r="I510" s="6" t="str">
        <f ca="1">IF($A510="","",[1]!s_dq_close(I$1,$A510,$M$4))</f>
        <v/>
      </c>
      <c r="J510" s="6" t="str">
        <f t="shared" ca="1" si="8"/>
        <v/>
      </c>
    </row>
    <row r="511" spans="1:10">
      <c r="A511" s="2" t="str">
        <f ca="1">IF(A510="","",IF(IF(价差分析!$W$4="日",--[1]!td(A510-1),IF(价差分析!$W$4="周",--[1]!td(A510-7),--[1]!td(A510-30)))-价差分析!$T$4&gt;0,IF(价差分析!$W$4="日",--[1]!td(A510-1),IF(价差分析!$W$4="周",--[1]!td(A510-7),--[1]!td(A510-30))),""))</f>
        <v/>
      </c>
      <c r="B511" s="1" t="str">
        <f ca="1">IF(A511="","",[1]!s_dq_close($B$1,A511,$M$4))</f>
        <v/>
      </c>
      <c r="C511" s="1" t="str">
        <f ca="1">IF(A511="","",[1]!s_dq_close($C$1,A511,$M$4))</f>
        <v/>
      </c>
      <c r="D511" s="6" t="str">
        <f ca="1">IF($A511="","",[1]!s_dq_close(D$1,$A511,$M$4))</f>
        <v/>
      </c>
      <c r="E511" s="6" t="str">
        <f ca="1">IF($A511="","",[1]!s_dq_close(E$1,$A511,$M$4))</f>
        <v/>
      </c>
      <c r="F511" s="6" t="str">
        <f ca="1">IF($A511="","",[1]!s_dq_close(F$1,$A511,$M$4))</f>
        <v/>
      </c>
      <c r="G511" s="6"/>
      <c r="H511" s="6" t="str">
        <f ca="1">IF($A511="","",[1]!s_dq_close(H$1,$A511,$M$4))</f>
        <v/>
      </c>
      <c r="I511" s="6" t="str">
        <f ca="1">IF($A511="","",[1]!s_dq_close(I$1,$A511,$M$4))</f>
        <v/>
      </c>
      <c r="J511" s="6" t="str">
        <f t="shared" ca="1" si="8"/>
        <v/>
      </c>
    </row>
    <row r="512" spans="1:10">
      <c r="A512" s="2" t="str">
        <f ca="1">IF(A511="","",IF(IF(价差分析!$W$4="日",--[1]!td(A511-1),IF(价差分析!$W$4="周",--[1]!td(A511-7),--[1]!td(A511-30)))-价差分析!$T$4&gt;0,IF(价差分析!$W$4="日",--[1]!td(A511-1),IF(价差分析!$W$4="周",--[1]!td(A511-7),--[1]!td(A511-30))),""))</f>
        <v/>
      </c>
      <c r="B512" s="1" t="str">
        <f ca="1">IF(A512="","",[1]!s_dq_close($B$1,A512,$M$4))</f>
        <v/>
      </c>
      <c r="C512" s="1" t="str">
        <f ca="1">IF(A512="","",[1]!s_dq_close($C$1,A512,$M$4))</f>
        <v/>
      </c>
      <c r="D512" s="6" t="str">
        <f ca="1">IF($A512="","",[1]!s_dq_close(D$1,$A512,$M$4))</f>
        <v/>
      </c>
      <c r="E512" s="6" t="str">
        <f ca="1">IF($A512="","",[1]!s_dq_close(E$1,$A512,$M$4))</f>
        <v/>
      </c>
      <c r="F512" s="6" t="str">
        <f ca="1">IF($A512="","",[1]!s_dq_close(F$1,$A512,$M$4))</f>
        <v/>
      </c>
      <c r="G512" s="6"/>
      <c r="H512" s="6" t="str">
        <f ca="1">IF($A512="","",[1]!s_dq_close(H$1,$A512,$M$4))</f>
        <v/>
      </c>
      <c r="I512" s="6" t="str">
        <f ca="1">IF($A512="","",[1]!s_dq_close(I$1,$A512,$M$4))</f>
        <v/>
      </c>
      <c r="J512" s="6" t="str">
        <f t="shared" ca="1" si="8"/>
        <v/>
      </c>
    </row>
    <row r="513" spans="1:10">
      <c r="A513" s="2" t="str">
        <f ca="1">IF(A512="","",IF(IF(价差分析!$W$4="日",--[1]!td(A512-1),IF(价差分析!$W$4="周",--[1]!td(A512-7),--[1]!td(A512-30)))-价差分析!$T$4&gt;0,IF(价差分析!$W$4="日",--[1]!td(A512-1),IF(价差分析!$W$4="周",--[1]!td(A512-7),--[1]!td(A512-30))),""))</f>
        <v/>
      </c>
      <c r="B513" s="1" t="str">
        <f ca="1">IF(A513="","",[1]!s_dq_close($B$1,A513,$M$4))</f>
        <v/>
      </c>
      <c r="C513" s="1" t="str">
        <f ca="1">IF(A513="","",[1]!s_dq_close($C$1,A513,$M$4))</f>
        <v/>
      </c>
      <c r="D513" s="6" t="str">
        <f ca="1">IF($A513="","",[1]!s_dq_close(D$1,$A513,$M$4))</f>
        <v/>
      </c>
      <c r="E513" s="6" t="str">
        <f ca="1">IF($A513="","",[1]!s_dq_close(E$1,$A513,$M$4))</f>
        <v/>
      </c>
      <c r="F513" s="6" t="str">
        <f ca="1">IF($A513="","",[1]!s_dq_close(F$1,$A513,$M$4))</f>
        <v/>
      </c>
      <c r="G513" s="6"/>
      <c r="H513" s="6" t="str">
        <f ca="1">IF($A513="","",[1]!s_dq_close(H$1,$A513,$M$4))</f>
        <v/>
      </c>
      <c r="I513" s="6" t="str">
        <f ca="1">IF($A513="","",[1]!s_dq_close(I$1,$A513,$M$4))</f>
        <v/>
      </c>
      <c r="J513" s="6" t="str">
        <f t="shared" ca="1" si="8"/>
        <v/>
      </c>
    </row>
    <row r="514" spans="1:10">
      <c r="A514" s="2" t="str">
        <f ca="1">IF(A513="","",IF(IF(价差分析!$W$4="日",--[1]!td(A513-1),IF(价差分析!$W$4="周",--[1]!td(A513-7),--[1]!td(A513-30)))-价差分析!$T$4&gt;0,IF(价差分析!$W$4="日",--[1]!td(A513-1),IF(价差分析!$W$4="周",--[1]!td(A513-7),--[1]!td(A513-30))),""))</f>
        <v/>
      </c>
      <c r="B514" s="1" t="str">
        <f ca="1">IF(A514="","",[1]!s_dq_close($B$1,A514,$M$4))</f>
        <v/>
      </c>
      <c r="C514" s="1" t="str">
        <f ca="1">IF(A514="","",[1]!s_dq_close($C$1,A514,$M$4))</f>
        <v/>
      </c>
      <c r="D514" s="6" t="str">
        <f ca="1">IF($A514="","",[1]!s_dq_close(D$1,$A514,$M$4))</f>
        <v/>
      </c>
      <c r="E514" s="6" t="str">
        <f ca="1">IF($A514="","",[1]!s_dq_close(E$1,$A514,$M$4))</f>
        <v/>
      </c>
      <c r="F514" s="6" t="str">
        <f ca="1">IF($A514="","",[1]!s_dq_close(F$1,$A514,$M$4))</f>
        <v/>
      </c>
      <c r="G514" s="6"/>
      <c r="H514" s="6" t="str">
        <f ca="1">IF($A514="","",[1]!s_dq_close(H$1,$A514,$M$4))</f>
        <v/>
      </c>
      <c r="I514" s="6" t="str">
        <f ca="1">IF($A514="","",[1]!s_dq_close(I$1,$A514,$M$4))</f>
        <v/>
      </c>
      <c r="J514" s="6" t="str">
        <f t="shared" ca="1" si="8"/>
        <v/>
      </c>
    </row>
    <row r="515" spans="1:10">
      <c r="A515" s="2" t="str">
        <f ca="1">IF(A514="","",IF(IF(价差分析!$W$4="日",--[1]!td(A514-1),IF(价差分析!$W$4="周",--[1]!td(A514-7),--[1]!td(A514-30)))-价差分析!$T$4&gt;0,IF(价差分析!$W$4="日",--[1]!td(A514-1),IF(价差分析!$W$4="周",--[1]!td(A514-7),--[1]!td(A514-30))),""))</f>
        <v/>
      </c>
      <c r="B515" s="1" t="str">
        <f ca="1">IF(A515="","",[1]!s_dq_close($B$1,A515,$M$4))</f>
        <v/>
      </c>
      <c r="C515" s="1" t="str">
        <f ca="1">IF(A515="","",[1]!s_dq_close($C$1,A515,$M$4))</f>
        <v/>
      </c>
      <c r="D515" s="6" t="str">
        <f ca="1">IF($A515="","",[1]!s_dq_close(D$1,$A515,$M$4))</f>
        <v/>
      </c>
      <c r="E515" s="6" t="str">
        <f ca="1">IF($A515="","",[1]!s_dq_close(E$1,$A515,$M$4))</f>
        <v/>
      </c>
      <c r="F515" s="6" t="str">
        <f ca="1">IF($A515="","",[1]!s_dq_close(F$1,$A515,$M$4))</f>
        <v/>
      </c>
      <c r="G515" s="6"/>
      <c r="H515" s="6" t="str">
        <f ca="1">IF($A515="","",[1]!s_dq_close(H$1,$A515,$M$4))</f>
        <v/>
      </c>
      <c r="I515" s="6" t="str">
        <f ca="1">IF($A515="","",[1]!s_dq_close(I$1,$A515,$M$4))</f>
        <v/>
      </c>
      <c r="J515" s="6" t="str">
        <f t="shared" ca="1" si="8"/>
        <v/>
      </c>
    </row>
    <row r="516" spans="1:10">
      <c r="A516" s="2" t="str">
        <f ca="1">IF(A515="","",IF(IF(价差分析!$W$4="日",--[1]!td(A515-1),IF(价差分析!$W$4="周",--[1]!td(A515-7),--[1]!td(A515-30)))-价差分析!$T$4&gt;0,IF(价差分析!$W$4="日",--[1]!td(A515-1),IF(价差分析!$W$4="周",--[1]!td(A515-7),--[1]!td(A515-30))),""))</f>
        <v/>
      </c>
      <c r="B516" s="1" t="str">
        <f ca="1">IF(A516="","",[1]!s_dq_close($B$1,A516,$M$4))</f>
        <v/>
      </c>
      <c r="C516" s="1" t="str">
        <f ca="1">IF(A516="","",[1]!s_dq_close($C$1,A516,$M$4))</f>
        <v/>
      </c>
      <c r="D516" s="6" t="str">
        <f ca="1">IF($A516="","",[1]!s_dq_close(D$1,$A516,$M$4))</f>
        <v/>
      </c>
      <c r="E516" s="6" t="str">
        <f ca="1">IF($A516="","",[1]!s_dq_close(E$1,$A516,$M$4))</f>
        <v/>
      </c>
      <c r="F516" s="6" t="str">
        <f ca="1">IF($A516="","",[1]!s_dq_close(F$1,$A516,$M$4))</f>
        <v/>
      </c>
      <c r="G516" s="6"/>
      <c r="H516" s="6" t="str">
        <f ca="1">IF($A516="","",[1]!s_dq_close(H$1,$A516,$M$4))</f>
        <v/>
      </c>
      <c r="I516" s="6" t="str">
        <f ca="1">IF($A516="","",[1]!s_dq_close(I$1,$A516,$M$4))</f>
        <v/>
      </c>
      <c r="J516" s="6" t="str">
        <f t="shared" ca="1" si="8"/>
        <v/>
      </c>
    </row>
    <row r="517" spans="1:10">
      <c r="A517" s="2" t="str">
        <f ca="1">IF(A516="","",IF(IF(价差分析!$W$4="日",--[1]!td(A516-1),IF(价差分析!$W$4="周",--[1]!td(A516-7),--[1]!td(A516-30)))-价差分析!$T$4&gt;0,IF(价差分析!$W$4="日",--[1]!td(A516-1),IF(价差分析!$W$4="周",--[1]!td(A516-7),--[1]!td(A516-30))),""))</f>
        <v/>
      </c>
      <c r="B517" s="1" t="str">
        <f ca="1">IF(A517="","",[1]!s_dq_close($B$1,A517,$M$4))</f>
        <v/>
      </c>
      <c r="C517" s="1" t="str">
        <f ca="1">IF(A517="","",[1]!s_dq_close($C$1,A517,$M$4))</f>
        <v/>
      </c>
      <c r="D517" s="6" t="str">
        <f ca="1">IF($A517="","",[1]!s_dq_close(D$1,$A517,$M$4))</f>
        <v/>
      </c>
      <c r="E517" s="6" t="str">
        <f ca="1">IF($A517="","",[1]!s_dq_close(E$1,$A517,$M$4))</f>
        <v/>
      </c>
      <c r="F517" s="6" t="str">
        <f ca="1">IF($A517="","",[1]!s_dq_close(F$1,$A517,$M$4))</f>
        <v/>
      </c>
      <c r="G517" s="6"/>
      <c r="H517" s="6" t="str">
        <f ca="1">IF($A517="","",[1]!s_dq_close(H$1,$A517,$M$4))</f>
        <v/>
      </c>
      <c r="I517" s="6" t="str">
        <f ca="1">IF($A517="","",[1]!s_dq_close(I$1,$A517,$M$4))</f>
        <v/>
      </c>
      <c r="J517" s="6" t="str">
        <f t="shared" ref="J517:J580" ca="1" si="9">IF(H517="","",H517-I517)</f>
        <v/>
      </c>
    </row>
    <row r="518" spans="1:10">
      <c r="A518" s="2" t="str">
        <f ca="1">IF(A517="","",IF(IF(价差分析!$W$4="日",--[1]!td(A517-1),IF(价差分析!$W$4="周",--[1]!td(A517-7),--[1]!td(A517-30)))-价差分析!$T$4&gt;0,IF(价差分析!$W$4="日",--[1]!td(A517-1),IF(价差分析!$W$4="周",--[1]!td(A517-7),--[1]!td(A517-30))),""))</f>
        <v/>
      </c>
      <c r="B518" s="1" t="str">
        <f ca="1">IF(A518="","",[1]!s_dq_close($B$1,A518,$M$4))</f>
        <v/>
      </c>
      <c r="C518" s="1" t="str">
        <f ca="1">IF(A518="","",[1]!s_dq_close($C$1,A518,$M$4))</f>
        <v/>
      </c>
      <c r="D518" s="6" t="str">
        <f ca="1">IF($A518="","",[1]!s_dq_close(D$1,$A518,$M$4))</f>
        <v/>
      </c>
      <c r="E518" s="6" t="str">
        <f ca="1">IF($A518="","",[1]!s_dq_close(E$1,$A518,$M$4))</f>
        <v/>
      </c>
      <c r="F518" s="6" t="str">
        <f ca="1">IF($A518="","",[1]!s_dq_close(F$1,$A518,$M$4))</f>
        <v/>
      </c>
      <c r="G518" s="6"/>
      <c r="H518" s="6" t="str">
        <f ca="1">IF($A518="","",[1]!s_dq_close(H$1,$A518,$M$4))</f>
        <v/>
      </c>
      <c r="I518" s="6" t="str">
        <f ca="1">IF($A518="","",[1]!s_dq_close(I$1,$A518,$M$4))</f>
        <v/>
      </c>
      <c r="J518" s="6" t="str">
        <f t="shared" ca="1" si="9"/>
        <v/>
      </c>
    </row>
    <row r="519" spans="1:10">
      <c r="A519" s="2" t="str">
        <f ca="1">IF(A518="","",IF(IF(价差分析!$W$4="日",--[1]!td(A518-1),IF(价差分析!$W$4="周",--[1]!td(A518-7),--[1]!td(A518-30)))-价差分析!$T$4&gt;0,IF(价差分析!$W$4="日",--[1]!td(A518-1),IF(价差分析!$W$4="周",--[1]!td(A518-7),--[1]!td(A518-30))),""))</f>
        <v/>
      </c>
      <c r="B519" s="1" t="str">
        <f ca="1">IF(A519="","",[1]!s_dq_close($B$1,A519,$M$4))</f>
        <v/>
      </c>
      <c r="C519" s="1" t="str">
        <f ca="1">IF(A519="","",[1]!s_dq_close($C$1,A519,$M$4))</f>
        <v/>
      </c>
      <c r="D519" s="6" t="str">
        <f ca="1">IF($A519="","",[1]!s_dq_close(D$1,$A519,$M$4))</f>
        <v/>
      </c>
      <c r="E519" s="6" t="str">
        <f ca="1">IF($A519="","",[1]!s_dq_close(E$1,$A519,$M$4))</f>
        <v/>
      </c>
      <c r="F519" s="6" t="str">
        <f ca="1">IF($A519="","",[1]!s_dq_close(F$1,$A519,$M$4))</f>
        <v/>
      </c>
      <c r="G519" s="6"/>
      <c r="H519" s="6" t="str">
        <f ca="1">IF($A519="","",[1]!s_dq_close(H$1,$A519,$M$4))</f>
        <v/>
      </c>
      <c r="I519" s="6" t="str">
        <f ca="1">IF($A519="","",[1]!s_dq_close(I$1,$A519,$M$4))</f>
        <v/>
      </c>
      <c r="J519" s="6" t="str">
        <f t="shared" ca="1" si="9"/>
        <v/>
      </c>
    </row>
    <row r="520" spans="1:10">
      <c r="A520" s="2" t="str">
        <f ca="1">IF(A519="","",IF(IF(价差分析!$W$4="日",--[1]!td(A519-1),IF(价差分析!$W$4="周",--[1]!td(A519-7),--[1]!td(A519-30)))-价差分析!$T$4&gt;0,IF(价差分析!$W$4="日",--[1]!td(A519-1),IF(价差分析!$W$4="周",--[1]!td(A519-7),--[1]!td(A519-30))),""))</f>
        <v/>
      </c>
      <c r="B520" s="1" t="str">
        <f ca="1">IF(A520="","",[1]!s_dq_close($B$1,A520,$M$4))</f>
        <v/>
      </c>
      <c r="C520" s="1" t="str">
        <f ca="1">IF(A520="","",[1]!s_dq_close($C$1,A520,$M$4))</f>
        <v/>
      </c>
      <c r="D520" s="6" t="str">
        <f ca="1">IF($A520="","",[1]!s_dq_close(D$1,$A520,$M$4))</f>
        <v/>
      </c>
      <c r="E520" s="6" t="str">
        <f ca="1">IF($A520="","",[1]!s_dq_close(E$1,$A520,$M$4))</f>
        <v/>
      </c>
      <c r="F520" s="6" t="str">
        <f ca="1">IF($A520="","",[1]!s_dq_close(F$1,$A520,$M$4))</f>
        <v/>
      </c>
      <c r="G520" s="6"/>
      <c r="H520" s="6" t="str">
        <f ca="1">IF($A520="","",[1]!s_dq_close(H$1,$A520,$M$4))</f>
        <v/>
      </c>
      <c r="I520" s="6" t="str">
        <f ca="1">IF($A520="","",[1]!s_dq_close(I$1,$A520,$M$4))</f>
        <v/>
      </c>
      <c r="J520" s="6" t="str">
        <f t="shared" ca="1" si="9"/>
        <v/>
      </c>
    </row>
    <row r="521" spans="1:10">
      <c r="A521" s="2" t="str">
        <f ca="1">IF(A520="","",IF(IF(价差分析!$W$4="日",--[1]!td(A520-1),IF(价差分析!$W$4="周",--[1]!td(A520-7),--[1]!td(A520-30)))-价差分析!$T$4&gt;0,IF(价差分析!$W$4="日",--[1]!td(A520-1),IF(价差分析!$W$4="周",--[1]!td(A520-7),--[1]!td(A520-30))),""))</f>
        <v/>
      </c>
      <c r="B521" s="1" t="str">
        <f ca="1">IF(A521="","",[1]!s_dq_close($B$1,A521,$M$4))</f>
        <v/>
      </c>
      <c r="C521" s="1" t="str">
        <f ca="1">IF(A521="","",[1]!s_dq_close($C$1,A521,$M$4))</f>
        <v/>
      </c>
      <c r="D521" s="6" t="str">
        <f ca="1">IF($A521="","",[1]!s_dq_close(D$1,$A521,$M$4))</f>
        <v/>
      </c>
      <c r="E521" s="6" t="str">
        <f ca="1">IF($A521="","",[1]!s_dq_close(E$1,$A521,$M$4))</f>
        <v/>
      </c>
      <c r="F521" s="6" t="str">
        <f ca="1">IF($A521="","",[1]!s_dq_close(F$1,$A521,$M$4))</f>
        <v/>
      </c>
      <c r="G521" s="6"/>
      <c r="H521" s="6" t="str">
        <f ca="1">IF($A521="","",[1]!s_dq_close(H$1,$A521,$M$4))</f>
        <v/>
      </c>
      <c r="I521" s="6" t="str">
        <f ca="1">IF($A521="","",[1]!s_dq_close(I$1,$A521,$M$4))</f>
        <v/>
      </c>
      <c r="J521" s="6" t="str">
        <f t="shared" ca="1" si="9"/>
        <v/>
      </c>
    </row>
    <row r="522" spans="1:10">
      <c r="A522" s="2" t="str">
        <f ca="1">IF(A521="","",IF(IF(价差分析!$W$4="日",--[1]!td(A521-1),IF(价差分析!$W$4="周",--[1]!td(A521-7),--[1]!td(A521-30)))-价差分析!$T$4&gt;0,IF(价差分析!$W$4="日",--[1]!td(A521-1),IF(价差分析!$W$4="周",--[1]!td(A521-7),--[1]!td(A521-30))),""))</f>
        <v/>
      </c>
      <c r="B522" s="1" t="str">
        <f ca="1">IF(A522="","",[1]!s_dq_close($B$1,A522,$M$4))</f>
        <v/>
      </c>
      <c r="C522" s="1" t="str">
        <f ca="1">IF(A522="","",[1]!s_dq_close($C$1,A522,$M$4))</f>
        <v/>
      </c>
      <c r="D522" s="6" t="str">
        <f ca="1">IF($A522="","",[1]!s_dq_close(D$1,$A522,$M$4))</f>
        <v/>
      </c>
      <c r="E522" s="6" t="str">
        <f ca="1">IF($A522="","",[1]!s_dq_close(E$1,$A522,$M$4))</f>
        <v/>
      </c>
      <c r="F522" s="6" t="str">
        <f ca="1">IF($A522="","",[1]!s_dq_close(F$1,$A522,$M$4))</f>
        <v/>
      </c>
      <c r="G522" s="6"/>
      <c r="H522" s="6" t="str">
        <f ca="1">IF($A522="","",[1]!s_dq_close(H$1,$A522,$M$4))</f>
        <v/>
      </c>
      <c r="I522" s="6" t="str">
        <f ca="1">IF($A522="","",[1]!s_dq_close(I$1,$A522,$M$4))</f>
        <v/>
      </c>
      <c r="J522" s="6" t="str">
        <f t="shared" ca="1" si="9"/>
        <v/>
      </c>
    </row>
    <row r="523" spans="1:10">
      <c r="A523" s="2" t="str">
        <f ca="1">IF(A522="","",IF(IF(价差分析!$W$4="日",--[1]!td(A522-1),IF(价差分析!$W$4="周",--[1]!td(A522-7),--[1]!td(A522-30)))-价差分析!$T$4&gt;0,IF(价差分析!$W$4="日",--[1]!td(A522-1),IF(价差分析!$W$4="周",--[1]!td(A522-7),--[1]!td(A522-30))),""))</f>
        <v/>
      </c>
      <c r="B523" s="1" t="str">
        <f ca="1">IF(A523="","",[1]!s_dq_close($B$1,A523,$M$4))</f>
        <v/>
      </c>
      <c r="C523" s="1" t="str">
        <f ca="1">IF(A523="","",[1]!s_dq_close($C$1,A523,$M$4))</f>
        <v/>
      </c>
      <c r="D523" s="6" t="str">
        <f ca="1">IF($A523="","",[1]!s_dq_close(D$1,$A523,$M$4))</f>
        <v/>
      </c>
      <c r="E523" s="6" t="str">
        <f ca="1">IF($A523="","",[1]!s_dq_close(E$1,$A523,$M$4))</f>
        <v/>
      </c>
      <c r="F523" s="6" t="str">
        <f ca="1">IF($A523="","",[1]!s_dq_close(F$1,$A523,$M$4))</f>
        <v/>
      </c>
      <c r="G523" s="6"/>
      <c r="H523" s="6" t="str">
        <f ca="1">IF($A523="","",[1]!s_dq_close(H$1,$A523,$M$4))</f>
        <v/>
      </c>
      <c r="I523" s="6" t="str">
        <f ca="1">IF($A523="","",[1]!s_dq_close(I$1,$A523,$M$4))</f>
        <v/>
      </c>
      <c r="J523" s="6" t="str">
        <f t="shared" ca="1" si="9"/>
        <v/>
      </c>
    </row>
    <row r="524" spans="1:10">
      <c r="A524" s="2" t="str">
        <f ca="1">IF(A523="","",IF(IF(价差分析!$W$4="日",--[1]!td(A523-1),IF(价差分析!$W$4="周",--[1]!td(A523-7),--[1]!td(A523-30)))-价差分析!$T$4&gt;0,IF(价差分析!$W$4="日",--[1]!td(A523-1),IF(价差分析!$W$4="周",--[1]!td(A523-7),--[1]!td(A523-30))),""))</f>
        <v/>
      </c>
      <c r="B524" s="1" t="str">
        <f ca="1">IF(A524="","",[1]!s_dq_close($B$1,A524,$M$4))</f>
        <v/>
      </c>
      <c r="C524" s="1" t="str">
        <f ca="1">IF(A524="","",[1]!s_dq_close($C$1,A524,$M$4))</f>
        <v/>
      </c>
      <c r="D524" s="6" t="str">
        <f ca="1">IF($A524="","",[1]!s_dq_close(D$1,$A524,$M$4))</f>
        <v/>
      </c>
      <c r="E524" s="6" t="str">
        <f ca="1">IF($A524="","",[1]!s_dq_close(E$1,$A524,$M$4))</f>
        <v/>
      </c>
      <c r="F524" s="6" t="str">
        <f ca="1">IF($A524="","",[1]!s_dq_close(F$1,$A524,$M$4))</f>
        <v/>
      </c>
      <c r="G524" s="6"/>
      <c r="H524" s="6" t="str">
        <f ca="1">IF($A524="","",[1]!s_dq_close(H$1,$A524,$M$4))</f>
        <v/>
      </c>
      <c r="I524" s="6" t="str">
        <f ca="1">IF($A524="","",[1]!s_dq_close(I$1,$A524,$M$4))</f>
        <v/>
      </c>
      <c r="J524" s="6" t="str">
        <f t="shared" ca="1" si="9"/>
        <v/>
      </c>
    </row>
    <row r="525" spans="1:10">
      <c r="A525" s="2" t="str">
        <f ca="1">IF(A524="","",IF(IF(价差分析!$W$4="日",--[1]!td(A524-1),IF(价差分析!$W$4="周",--[1]!td(A524-7),--[1]!td(A524-30)))-价差分析!$T$4&gt;0,IF(价差分析!$W$4="日",--[1]!td(A524-1),IF(价差分析!$W$4="周",--[1]!td(A524-7),--[1]!td(A524-30))),""))</f>
        <v/>
      </c>
      <c r="B525" s="1" t="str">
        <f ca="1">IF(A525="","",[1]!s_dq_close($B$1,A525,$M$4))</f>
        <v/>
      </c>
      <c r="C525" s="1" t="str">
        <f ca="1">IF(A525="","",[1]!s_dq_close($C$1,A525,$M$4))</f>
        <v/>
      </c>
      <c r="D525" s="6" t="str">
        <f ca="1">IF($A525="","",[1]!s_dq_close(D$1,$A525,$M$4))</f>
        <v/>
      </c>
      <c r="E525" s="6" t="str">
        <f ca="1">IF($A525="","",[1]!s_dq_close(E$1,$A525,$M$4))</f>
        <v/>
      </c>
      <c r="F525" s="6" t="str">
        <f ca="1">IF($A525="","",[1]!s_dq_close(F$1,$A525,$M$4))</f>
        <v/>
      </c>
      <c r="G525" s="6"/>
      <c r="H525" s="6" t="str">
        <f ca="1">IF($A525="","",[1]!s_dq_close(H$1,$A525,$M$4))</f>
        <v/>
      </c>
      <c r="I525" s="6" t="str">
        <f ca="1">IF($A525="","",[1]!s_dq_close(I$1,$A525,$M$4))</f>
        <v/>
      </c>
      <c r="J525" s="6" t="str">
        <f t="shared" ca="1" si="9"/>
        <v/>
      </c>
    </row>
    <row r="526" spans="1:10">
      <c r="A526" s="2" t="str">
        <f ca="1">IF(A525="","",IF(IF(价差分析!$W$4="日",--[1]!td(A525-1),IF(价差分析!$W$4="周",--[1]!td(A525-7),--[1]!td(A525-30)))-价差分析!$T$4&gt;0,IF(价差分析!$W$4="日",--[1]!td(A525-1),IF(价差分析!$W$4="周",--[1]!td(A525-7),--[1]!td(A525-30))),""))</f>
        <v/>
      </c>
      <c r="B526" s="1" t="str">
        <f ca="1">IF(A526="","",[1]!s_dq_close($B$1,A526,$M$4))</f>
        <v/>
      </c>
      <c r="C526" s="1" t="str">
        <f ca="1">IF(A526="","",[1]!s_dq_close($C$1,A526,$M$4))</f>
        <v/>
      </c>
      <c r="D526" s="6" t="str">
        <f ca="1">IF($A526="","",[1]!s_dq_close(D$1,$A526,$M$4))</f>
        <v/>
      </c>
      <c r="E526" s="6" t="str">
        <f ca="1">IF($A526="","",[1]!s_dq_close(E$1,$A526,$M$4))</f>
        <v/>
      </c>
      <c r="F526" s="6" t="str">
        <f ca="1">IF($A526="","",[1]!s_dq_close(F$1,$A526,$M$4))</f>
        <v/>
      </c>
      <c r="G526" s="6"/>
      <c r="H526" s="6" t="str">
        <f ca="1">IF($A526="","",[1]!s_dq_close(H$1,$A526,$M$4))</f>
        <v/>
      </c>
      <c r="I526" s="6" t="str">
        <f ca="1">IF($A526="","",[1]!s_dq_close(I$1,$A526,$M$4))</f>
        <v/>
      </c>
      <c r="J526" s="6" t="str">
        <f t="shared" ca="1" si="9"/>
        <v/>
      </c>
    </row>
    <row r="527" spans="1:10">
      <c r="A527" s="2" t="str">
        <f ca="1">IF(A526="","",IF(IF(价差分析!$W$4="日",--[1]!td(A526-1),IF(价差分析!$W$4="周",--[1]!td(A526-7),--[1]!td(A526-30)))-价差分析!$T$4&gt;0,IF(价差分析!$W$4="日",--[1]!td(A526-1),IF(价差分析!$W$4="周",--[1]!td(A526-7),--[1]!td(A526-30))),""))</f>
        <v/>
      </c>
      <c r="B527" s="1" t="str">
        <f ca="1">IF(A527="","",[1]!s_dq_close($B$1,A527,$M$4))</f>
        <v/>
      </c>
      <c r="C527" s="1" t="str">
        <f ca="1">IF(A527="","",[1]!s_dq_close($C$1,A527,$M$4))</f>
        <v/>
      </c>
      <c r="D527" s="6" t="str">
        <f ca="1">IF($A527="","",[1]!s_dq_close(D$1,$A527,$M$4))</f>
        <v/>
      </c>
      <c r="E527" s="6" t="str">
        <f ca="1">IF($A527="","",[1]!s_dq_close(E$1,$A527,$M$4))</f>
        <v/>
      </c>
      <c r="F527" s="6" t="str">
        <f ca="1">IF($A527="","",[1]!s_dq_close(F$1,$A527,$M$4))</f>
        <v/>
      </c>
      <c r="G527" s="6"/>
      <c r="H527" s="6" t="str">
        <f ca="1">IF($A527="","",[1]!s_dq_close(H$1,$A527,$M$4))</f>
        <v/>
      </c>
      <c r="I527" s="6" t="str">
        <f ca="1">IF($A527="","",[1]!s_dq_close(I$1,$A527,$M$4))</f>
        <v/>
      </c>
      <c r="J527" s="6" t="str">
        <f t="shared" ca="1" si="9"/>
        <v/>
      </c>
    </row>
    <row r="528" spans="1:10">
      <c r="A528" s="2" t="str">
        <f ca="1">IF(A527="","",IF(IF(价差分析!$W$4="日",--[1]!td(A527-1),IF(价差分析!$W$4="周",--[1]!td(A527-7),--[1]!td(A527-30)))-价差分析!$T$4&gt;0,IF(价差分析!$W$4="日",--[1]!td(A527-1),IF(价差分析!$W$4="周",--[1]!td(A527-7),--[1]!td(A527-30))),""))</f>
        <v/>
      </c>
      <c r="B528" s="1" t="str">
        <f ca="1">IF(A528="","",[1]!s_dq_close($B$1,A528,$M$4))</f>
        <v/>
      </c>
      <c r="C528" s="1" t="str">
        <f ca="1">IF(A528="","",[1]!s_dq_close($C$1,A528,$M$4))</f>
        <v/>
      </c>
      <c r="D528" s="6" t="str">
        <f ca="1">IF($A528="","",[1]!s_dq_close(D$1,$A528,$M$4))</f>
        <v/>
      </c>
      <c r="E528" s="6" t="str">
        <f ca="1">IF($A528="","",[1]!s_dq_close(E$1,$A528,$M$4))</f>
        <v/>
      </c>
      <c r="F528" s="6" t="str">
        <f ca="1">IF($A528="","",[1]!s_dq_close(F$1,$A528,$M$4))</f>
        <v/>
      </c>
      <c r="G528" s="6"/>
      <c r="H528" s="6" t="str">
        <f ca="1">IF($A528="","",[1]!s_dq_close(H$1,$A528,$M$4))</f>
        <v/>
      </c>
      <c r="I528" s="6" t="str">
        <f ca="1">IF($A528="","",[1]!s_dq_close(I$1,$A528,$M$4))</f>
        <v/>
      </c>
      <c r="J528" s="6" t="str">
        <f t="shared" ca="1" si="9"/>
        <v/>
      </c>
    </row>
    <row r="529" spans="1:10">
      <c r="A529" s="2" t="str">
        <f ca="1">IF(A528="","",IF(IF(价差分析!$W$4="日",--[1]!td(A528-1),IF(价差分析!$W$4="周",--[1]!td(A528-7),--[1]!td(A528-30)))-价差分析!$T$4&gt;0,IF(价差分析!$W$4="日",--[1]!td(A528-1),IF(价差分析!$W$4="周",--[1]!td(A528-7),--[1]!td(A528-30))),""))</f>
        <v/>
      </c>
      <c r="B529" s="1" t="str">
        <f ca="1">IF(A529="","",[1]!s_dq_close($B$1,A529,$M$4))</f>
        <v/>
      </c>
      <c r="C529" s="1" t="str">
        <f ca="1">IF(A529="","",[1]!s_dq_close($C$1,A529,$M$4))</f>
        <v/>
      </c>
      <c r="D529" s="6" t="str">
        <f ca="1">IF($A529="","",[1]!s_dq_close(D$1,$A529,$M$4))</f>
        <v/>
      </c>
      <c r="E529" s="6" t="str">
        <f ca="1">IF($A529="","",[1]!s_dq_close(E$1,$A529,$M$4))</f>
        <v/>
      </c>
      <c r="F529" s="6" t="str">
        <f ca="1">IF($A529="","",[1]!s_dq_close(F$1,$A529,$M$4))</f>
        <v/>
      </c>
      <c r="G529" s="6"/>
      <c r="H529" s="6" t="str">
        <f ca="1">IF($A529="","",[1]!s_dq_close(H$1,$A529,$M$4))</f>
        <v/>
      </c>
      <c r="I529" s="6" t="str">
        <f ca="1">IF($A529="","",[1]!s_dq_close(I$1,$A529,$M$4))</f>
        <v/>
      </c>
      <c r="J529" s="6" t="str">
        <f t="shared" ca="1" si="9"/>
        <v/>
      </c>
    </row>
    <row r="530" spans="1:10">
      <c r="A530" s="2" t="str">
        <f ca="1">IF(A529="","",IF(IF(价差分析!$W$4="日",--[1]!td(A529-1),IF(价差分析!$W$4="周",--[1]!td(A529-7),--[1]!td(A529-30)))-价差分析!$T$4&gt;0,IF(价差分析!$W$4="日",--[1]!td(A529-1),IF(价差分析!$W$4="周",--[1]!td(A529-7),--[1]!td(A529-30))),""))</f>
        <v/>
      </c>
      <c r="B530" s="1" t="str">
        <f ca="1">IF(A530="","",[1]!s_dq_close($B$1,A530,$M$4))</f>
        <v/>
      </c>
      <c r="C530" s="1" t="str">
        <f ca="1">IF(A530="","",[1]!s_dq_close($C$1,A530,$M$4))</f>
        <v/>
      </c>
      <c r="D530" s="6" t="str">
        <f ca="1">IF($A530="","",[1]!s_dq_close(D$1,$A530,$M$4))</f>
        <v/>
      </c>
      <c r="E530" s="6" t="str">
        <f ca="1">IF($A530="","",[1]!s_dq_close(E$1,$A530,$M$4))</f>
        <v/>
      </c>
      <c r="F530" s="6" t="str">
        <f ca="1">IF($A530="","",[1]!s_dq_close(F$1,$A530,$M$4))</f>
        <v/>
      </c>
      <c r="G530" s="6"/>
      <c r="H530" s="6" t="str">
        <f ca="1">IF($A530="","",[1]!s_dq_close(H$1,$A530,$M$4))</f>
        <v/>
      </c>
      <c r="I530" s="6" t="str">
        <f ca="1">IF($A530="","",[1]!s_dq_close(I$1,$A530,$M$4))</f>
        <v/>
      </c>
      <c r="J530" s="6" t="str">
        <f t="shared" ca="1" si="9"/>
        <v/>
      </c>
    </row>
    <row r="531" spans="1:10">
      <c r="A531" s="2" t="str">
        <f ca="1">IF(A530="","",IF(IF(价差分析!$W$4="日",--[1]!td(A530-1),IF(价差分析!$W$4="周",--[1]!td(A530-7),--[1]!td(A530-30)))-价差分析!$T$4&gt;0,IF(价差分析!$W$4="日",--[1]!td(A530-1),IF(价差分析!$W$4="周",--[1]!td(A530-7),--[1]!td(A530-30))),""))</f>
        <v/>
      </c>
      <c r="B531" s="1" t="str">
        <f ca="1">IF(A531="","",[1]!s_dq_close($B$1,A531,$M$4))</f>
        <v/>
      </c>
      <c r="C531" s="1" t="str">
        <f ca="1">IF(A531="","",[1]!s_dq_close($C$1,A531,$M$4))</f>
        <v/>
      </c>
      <c r="D531" s="6" t="str">
        <f ca="1">IF($A531="","",[1]!s_dq_close(D$1,$A531,$M$4))</f>
        <v/>
      </c>
      <c r="E531" s="6" t="str">
        <f ca="1">IF($A531="","",[1]!s_dq_close(E$1,$A531,$M$4))</f>
        <v/>
      </c>
      <c r="F531" s="6" t="str">
        <f ca="1">IF($A531="","",[1]!s_dq_close(F$1,$A531,$M$4))</f>
        <v/>
      </c>
      <c r="G531" s="6"/>
      <c r="H531" s="6" t="str">
        <f ca="1">IF($A531="","",[1]!s_dq_close(H$1,$A531,$M$4))</f>
        <v/>
      </c>
      <c r="I531" s="6" t="str">
        <f ca="1">IF($A531="","",[1]!s_dq_close(I$1,$A531,$M$4))</f>
        <v/>
      </c>
      <c r="J531" s="6" t="str">
        <f t="shared" ca="1" si="9"/>
        <v/>
      </c>
    </row>
    <row r="532" spans="1:10">
      <c r="A532" s="2" t="str">
        <f ca="1">IF(A531="","",IF(IF(价差分析!$W$4="日",--[1]!td(A531-1),IF(价差分析!$W$4="周",--[1]!td(A531-7),--[1]!td(A531-30)))-价差分析!$T$4&gt;0,IF(价差分析!$W$4="日",--[1]!td(A531-1),IF(价差分析!$W$4="周",--[1]!td(A531-7),--[1]!td(A531-30))),""))</f>
        <v/>
      </c>
      <c r="B532" s="1" t="str">
        <f ca="1">IF(A532="","",[1]!s_dq_close($B$1,A532,$M$4))</f>
        <v/>
      </c>
      <c r="C532" s="1" t="str">
        <f ca="1">IF(A532="","",[1]!s_dq_close($C$1,A532,$M$4))</f>
        <v/>
      </c>
      <c r="D532" s="6" t="str">
        <f ca="1">IF($A532="","",[1]!s_dq_close(D$1,$A532,$M$4))</f>
        <v/>
      </c>
      <c r="E532" s="6" t="str">
        <f ca="1">IF($A532="","",[1]!s_dq_close(E$1,$A532,$M$4))</f>
        <v/>
      </c>
      <c r="F532" s="6" t="str">
        <f ca="1">IF($A532="","",[1]!s_dq_close(F$1,$A532,$M$4))</f>
        <v/>
      </c>
      <c r="G532" s="6"/>
      <c r="H532" s="6" t="str">
        <f ca="1">IF($A532="","",[1]!s_dq_close(H$1,$A532,$M$4))</f>
        <v/>
      </c>
      <c r="I532" s="6" t="str">
        <f ca="1">IF($A532="","",[1]!s_dq_close(I$1,$A532,$M$4))</f>
        <v/>
      </c>
      <c r="J532" s="6" t="str">
        <f t="shared" ca="1" si="9"/>
        <v/>
      </c>
    </row>
    <row r="533" spans="1:10">
      <c r="A533" s="2" t="str">
        <f ca="1">IF(A532="","",IF(IF(价差分析!$W$4="日",--[1]!td(A532-1),IF(价差分析!$W$4="周",--[1]!td(A532-7),--[1]!td(A532-30)))-价差分析!$T$4&gt;0,IF(价差分析!$W$4="日",--[1]!td(A532-1),IF(价差分析!$W$4="周",--[1]!td(A532-7),--[1]!td(A532-30))),""))</f>
        <v/>
      </c>
      <c r="B533" s="1" t="str">
        <f ca="1">IF(A533="","",[1]!s_dq_close($B$1,A533,$M$4))</f>
        <v/>
      </c>
      <c r="C533" s="1" t="str">
        <f ca="1">IF(A533="","",[1]!s_dq_close($C$1,A533,$M$4))</f>
        <v/>
      </c>
      <c r="D533" s="6" t="str">
        <f ca="1">IF($A533="","",[1]!s_dq_close(D$1,$A533,$M$4))</f>
        <v/>
      </c>
      <c r="E533" s="6" t="str">
        <f ca="1">IF($A533="","",[1]!s_dq_close(E$1,$A533,$M$4))</f>
        <v/>
      </c>
      <c r="F533" s="6" t="str">
        <f ca="1">IF($A533="","",[1]!s_dq_close(F$1,$A533,$M$4))</f>
        <v/>
      </c>
      <c r="G533" s="6"/>
      <c r="H533" s="6" t="str">
        <f ca="1">IF($A533="","",[1]!s_dq_close(H$1,$A533,$M$4))</f>
        <v/>
      </c>
      <c r="I533" s="6" t="str">
        <f ca="1">IF($A533="","",[1]!s_dq_close(I$1,$A533,$M$4))</f>
        <v/>
      </c>
      <c r="J533" s="6" t="str">
        <f t="shared" ca="1" si="9"/>
        <v/>
      </c>
    </row>
    <row r="534" spans="1:10">
      <c r="A534" s="2" t="str">
        <f ca="1">IF(A533="","",IF(IF(价差分析!$W$4="日",--[1]!td(A533-1),IF(价差分析!$W$4="周",--[1]!td(A533-7),--[1]!td(A533-30)))-价差分析!$T$4&gt;0,IF(价差分析!$W$4="日",--[1]!td(A533-1),IF(价差分析!$W$4="周",--[1]!td(A533-7),--[1]!td(A533-30))),""))</f>
        <v/>
      </c>
      <c r="B534" s="1" t="str">
        <f ca="1">IF(A534="","",[1]!s_dq_close($B$1,A534,$M$4))</f>
        <v/>
      </c>
      <c r="C534" s="1" t="str">
        <f ca="1">IF(A534="","",[1]!s_dq_close($C$1,A534,$M$4))</f>
        <v/>
      </c>
      <c r="D534" s="6" t="str">
        <f ca="1">IF($A534="","",[1]!s_dq_close(D$1,$A534,$M$4))</f>
        <v/>
      </c>
      <c r="E534" s="6" t="str">
        <f ca="1">IF($A534="","",[1]!s_dq_close(E$1,$A534,$M$4))</f>
        <v/>
      </c>
      <c r="F534" s="6" t="str">
        <f ca="1">IF($A534="","",[1]!s_dq_close(F$1,$A534,$M$4))</f>
        <v/>
      </c>
      <c r="G534" s="6"/>
      <c r="H534" s="6" t="str">
        <f ca="1">IF($A534="","",[1]!s_dq_close(H$1,$A534,$M$4))</f>
        <v/>
      </c>
      <c r="I534" s="6" t="str">
        <f ca="1">IF($A534="","",[1]!s_dq_close(I$1,$A534,$M$4))</f>
        <v/>
      </c>
      <c r="J534" s="6" t="str">
        <f t="shared" ca="1" si="9"/>
        <v/>
      </c>
    </row>
    <row r="535" spans="1:10">
      <c r="A535" s="2" t="str">
        <f ca="1">IF(A534="","",IF(IF(价差分析!$W$4="日",--[1]!td(A534-1),IF(价差分析!$W$4="周",--[1]!td(A534-7),--[1]!td(A534-30)))-价差分析!$T$4&gt;0,IF(价差分析!$W$4="日",--[1]!td(A534-1),IF(价差分析!$W$4="周",--[1]!td(A534-7),--[1]!td(A534-30))),""))</f>
        <v/>
      </c>
      <c r="B535" s="1" t="str">
        <f ca="1">IF(A535="","",[1]!s_dq_close($B$1,A535,$M$4))</f>
        <v/>
      </c>
      <c r="C535" s="1" t="str">
        <f ca="1">IF(A535="","",[1]!s_dq_close($C$1,A535,$M$4))</f>
        <v/>
      </c>
      <c r="D535" s="6" t="str">
        <f ca="1">IF($A535="","",[1]!s_dq_close(D$1,$A535,$M$4))</f>
        <v/>
      </c>
      <c r="E535" s="6" t="str">
        <f ca="1">IF($A535="","",[1]!s_dq_close(E$1,$A535,$M$4))</f>
        <v/>
      </c>
      <c r="F535" s="6" t="str">
        <f ca="1">IF($A535="","",[1]!s_dq_close(F$1,$A535,$M$4))</f>
        <v/>
      </c>
      <c r="G535" s="6"/>
      <c r="H535" s="6" t="str">
        <f ca="1">IF($A535="","",[1]!s_dq_close(H$1,$A535,$M$4))</f>
        <v/>
      </c>
      <c r="I535" s="6" t="str">
        <f ca="1">IF($A535="","",[1]!s_dq_close(I$1,$A535,$M$4))</f>
        <v/>
      </c>
      <c r="J535" s="6" t="str">
        <f t="shared" ca="1" si="9"/>
        <v/>
      </c>
    </row>
    <row r="536" spans="1:10">
      <c r="A536" s="2" t="str">
        <f ca="1">IF(A535="","",IF(IF(价差分析!$W$4="日",--[1]!td(A535-1),IF(价差分析!$W$4="周",--[1]!td(A535-7),--[1]!td(A535-30)))-价差分析!$T$4&gt;0,IF(价差分析!$W$4="日",--[1]!td(A535-1),IF(价差分析!$W$4="周",--[1]!td(A535-7),--[1]!td(A535-30))),""))</f>
        <v/>
      </c>
      <c r="B536" s="1" t="str">
        <f ca="1">IF(A536="","",[1]!s_dq_close($B$1,A536,$M$4))</f>
        <v/>
      </c>
      <c r="C536" s="1" t="str">
        <f ca="1">IF(A536="","",[1]!s_dq_close($C$1,A536,$M$4))</f>
        <v/>
      </c>
      <c r="D536" s="6" t="str">
        <f ca="1">IF($A536="","",[1]!s_dq_close(D$1,$A536,$M$4))</f>
        <v/>
      </c>
      <c r="E536" s="6" t="str">
        <f ca="1">IF($A536="","",[1]!s_dq_close(E$1,$A536,$M$4))</f>
        <v/>
      </c>
      <c r="F536" s="6" t="str">
        <f ca="1">IF($A536="","",[1]!s_dq_close(F$1,$A536,$M$4))</f>
        <v/>
      </c>
      <c r="G536" s="6"/>
      <c r="H536" s="6" t="str">
        <f ca="1">IF($A536="","",[1]!s_dq_close(H$1,$A536,$M$4))</f>
        <v/>
      </c>
      <c r="I536" s="6" t="str">
        <f ca="1">IF($A536="","",[1]!s_dq_close(I$1,$A536,$M$4))</f>
        <v/>
      </c>
      <c r="J536" s="6" t="str">
        <f t="shared" ca="1" si="9"/>
        <v/>
      </c>
    </row>
    <row r="537" spans="1:10">
      <c r="A537" s="2" t="str">
        <f ca="1">IF(A536="","",IF(IF(价差分析!$W$4="日",--[1]!td(A536-1),IF(价差分析!$W$4="周",--[1]!td(A536-7),--[1]!td(A536-30)))-价差分析!$T$4&gt;0,IF(价差分析!$W$4="日",--[1]!td(A536-1),IF(价差分析!$W$4="周",--[1]!td(A536-7),--[1]!td(A536-30))),""))</f>
        <v/>
      </c>
      <c r="B537" s="1" t="str">
        <f ca="1">IF(A537="","",[1]!s_dq_close($B$1,A537,$M$4))</f>
        <v/>
      </c>
      <c r="C537" s="1" t="str">
        <f ca="1">IF(A537="","",[1]!s_dq_close($C$1,A537,$M$4))</f>
        <v/>
      </c>
      <c r="D537" s="6" t="str">
        <f ca="1">IF($A537="","",[1]!s_dq_close(D$1,$A537,$M$4))</f>
        <v/>
      </c>
      <c r="E537" s="6" t="str">
        <f ca="1">IF($A537="","",[1]!s_dq_close(E$1,$A537,$M$4))</f>
        <v/>
      </c>
      <c r="F537" s="6" t="str">
        <f ca="1">IF($A537="","",[1]!s_dq_close(F$1,$A537,$M$4))</f>
        <v/>
      </c>
      <c r="G537" s="6"/>
      <c r="H537" s="6" t="str">
        <f ca="1">IF($A537="","",[1]!s_dq_close(H$1,$A537,$M$4))</f>
        <v/>
      </c>
      <c r="I537" s="6" t="str">
        <f ca="1">IF($A537="","",[1]!s_dq_close(I$1,$A537,$M$4))</f>
        <v/>
      </c>
      <c r="J537" s="6" t="str">
        <f t="shared" ca="1" si="9"/>
        <v/>
      </c>
    </row>
    <row r="538" spans="1:10">
      <c r="A538" s="2" t="str">
        <f ca="1">IF(A537="","",IF(IF(价差分析!$W$4="日",--[1]!td(A537-1),IF(价差分析!$W$4="周",--[1]!td(A537-7),--[1]!td(A537-30)))-价差分析!$T$4&gt;0,IF(价差分析!$W$4="日",--[1]!td(A537-1),IF(价差分析!$W$4="周",--[1]!td(A537-7),--[1]!td(A537-30))),""))</f>
        <v/>
      </c>
      <c r="B538" s="1" t="str">
        <f ca="1">IF(A538="","",[1]!s_dq_close($B$1,A538,$M$4))</f>
        <v/>
      </c>
      <c r="C538" s="1" t="str">
        <f ca="1">IF(A538="","",[1]!s_dq_close($C$1,A538,$M$4))</f>
        <v/>
      </c>
      <c r="D538" s="6" t="str">
        <f ca="1">IF($A538="","",[1]!s_dq_close(D$1,$A538,$M$4))</f>
        <v/>
      </c>
      <c r="E538" s="6" t="str">
        <f ca="1">IF($A538="","",[1]!s_dq_close(E$1,$A538,$M$4))</f>
        <v/>
      </c>
      <c r="F538" s="6" t="str">
        <f ca="1">IF($A538="","",[1]!s_dq_close(F$1,$A538,$M$4))</f>
        <v/>
      </c>
      <c r="G538" s="6"/>
      <c r="H538" s="6" t="str">
        <f ca="1">IF($A538="","",[1]!s_dq_close(H$1,$A538,$M$4))</f>
        <v/>
      </c>
      <c r="I538" s="6" t="str">
        <f ca="1">IF($A538="","",[1]!s_dq_close(I$1,$A538,$M$4))</f>
        <v/>
      </c>
      <c r="J538" s="6" t="str">
        <f t="shared" ca="1" si="9"/>
        <v/>
      </c>
    </row>
    <row r="539" spans="1:10">
      <c r="A539" s="2" t="str">
        <f ca="1">IF(A538="","",IF(IF(价差分析!$W$4="日",--[1]!td(A538-1),IF(价差分析!$W$4="周",--[1]!td(A538-7),--[1]!td(A538-30)))-价差分析!$T$4&gt;0,IF(价差分析!$W$4="日",--[1]!td(A538-1),IF(价差分析!$W$4="周",--[1]!td(A538-7),--[1]!td(A538-30))),""))</f>
        <v/>
      </c>
      <c r="B539" s="1" t="str">
        <f ca="1">IF(A539="","",[1]!s_dq_close($B$1,A539,$M$4))</f>
        <v/>
      </c>
      <c r="C539" s="1" t="str">
        <f ca="1">IF(A539="","",[1]!s_dq_close($C$1,A539,$M$4))</f>
        <v/>
      </c>
      <c r="D539" s="6" t="str">
        <f ca="1">IF($A539="","",[1]!s_dq_close(D$1,$A539,$M$4))</f>
        <v/>
      </c>
      <c r="E539" s="6" t="str">
        <f ca="1">IF($A539="","",[1]!s_dq_close(E$1,$A539,$M$4))</f>
        <v/>
      </c>
      <c r="F539" s="6" t="str">
        <f ca="1">IF($A539="","",[1]!s_dq_close(F$1,$A539,$M$4))</f>
        <v/>
      </c>
      <c r="G539" s="6"/>
      <c r="H539" s="6" t="str">
        <f ca="1">IF($A539="","",[1]!s_dq_close(H$1,$A539,$M$4))</f>
        <v/>
      </c>
      <c r="I539" s="6" t="str">
        <f ca="1">IF($A539="","",[1]!s_dq_close(I$1,$A539,$M$4))</f>
        <v/>
      </c>
      <c r="J539" s="6" t="str">
        <f t="shared" ca="1" si="9"/>
        <v/>
      </c>
    </row>
    <row r="540" spans="1:10">
      <c r="A540" s="2" t="str">
        <f ca="1">IF(A539="","",IF(IF(价差分析!$W$4="日",--[1]!td(A539-1),IF(价差分析!$W$4="周",--[1]!td(A539-7),--[1]!td(A539-30)))-价差分析!$T$4&gt;0,IF(价差分析!$W$4="日",--[1]!td(A539-1),IF(价差分析!$W$4="周",--[1]!td(A539-7),--[1]!td(A539-30))),""))</f>
        <v/>
      </c>
      <c r="B540" s="1" t="str">
        <f ca="1">IF(A540="","",[1]!s_dq_close($B$1,A540,$M$4))</f>
        <v/>
      </c>
      <c r="C540" s="1" t="str">
        <f ca="1">IF(A540="","",[1]!s_dq_close($C$1,A540,$M$4))</f>
        <v/>
      </c>
      <c r="D540" s="6" t="str">
        <f ca="1">IF($A540="","",[1]!s_dq_close(D$1,$A540,$M$4))</f>
        <v/>
      </c>
      <c r="E540" s="6" t="str">
        <f ca="1">IF($A540="","",[1]!s_dq_close(E$1,$A540,$M$4))</f>
        <v/>
      </c>
      <c r="F540" s="6" t="str">
        <f ca="1">IF($A540="","",[1]!s_dq_close(F$1,$A540,$M$4))</f>
        <v/>
      </c>
      <c r="G540" s="6"/>
      <c r="H540" s="6" t="str">
        <f ca="1">IF($A540="","",[1]!s_dq_close(H$1,$A540,$M$4))</f>
        <v/>
      </c>
      <c r="I540" s="6" t="str">
        <f ca="1">IF($A540="","",[1]!s_dq_close(I$1,$A540,$M$4))</f>
        <v/>
      </c>
      <c r="J540" s="6" t="str">
        <f t="shared" ca="1" si="9"/>
        <v/>
      </c>
    </row>
    <row r="541" spans="1:10">
      <c r="A541" s="2" t="str">
        <f ca="1">IF(A540="","",IF(IF(价差分析!$W$4="日",--[1]!td(A540-1),IF(价差分析!$W$4="周",--[1]!td(A540-7),--[1]!td(A540-30)))-价差分析!$T$4&gt;0,IF(价差分析!$W$4="日",--[1]!td(A540-1),IF(价差分析!$W$4="周",--[1]!td(A540-7),--[1]!td(A540-30))),""))</f>
        <v/>
      </c>
      <c r="B541" s="1" t="str">
        <f ca="1">IF(A541="","",[1]!s_dq_close($B$1,A541,$M$4))</f>
        <v/>
      </c>
      <c r="C541" s="1" t="str">
        <f ca="1">IF(A541="","",[1]!s_dq_close($C$1,A541,$M$4))</f>
        <v/>
      </c>
      <c r="D541" s="6" t="str">
        <f ca="1">IF($A541="","",[1]!s_dq_close(D$1,$A541,$M$4))</f>
        <v/>
      </c>
      <c r="E541" s="6" t="str">
        <f ca="1">IF($A541="","",[1]!s_dq_close(E$1,$A541,$M$4))</f>
        <v/>
      </c>
      <c r="F541" s="6" t="str">
        <f ca="1">IF($A541="","",[1]!s_dq_close(F$1,$A541,$M$4))</f>
        <v/>
      </c>
      <c r="G541" s="6"/>
      <c r="H541" s="6" t="str">
        <f ca="1">IF($A541="","",[1]!s_dq_close(H$1,$A541,$M$4))</f>
        <v/>
      </c>
      <c r="I541" s="6" t="str">
        <f ca="1">IF($A541="","",[1]!s_dq_close(I$1,$A541,$M$4))</f>
        <v/>
      </c>
      <c r="J541" s="6" t="str">
        <f t="shared" ca="1" si="9"/>
        <v/>
      </c>
    </row>
    <row r="542" spans="1:10">
      <c r="A542" s="2" t="str">
        <f ca="1">IF(A541="","",IF(IF(价差分析!$W$4="日",--[1]!td(A541-1),IF(价差分析!$W$4="周",--[1]!td(A541-7),--[1]!td(A541-30)))-价差分析!$T$4&gt;0,IF(价差分析!$W$4="日",--[1]!td(A541-1),IF(价差分析!$W$4="周",--[1]!td(A541-7),--[1]!td(A541-30))),""))</f>
        <v/>
      </c>
      <c r="B542" s="1" t="str">
        <f ca="1">IF(A542="","",[1]!s_dq_close($B$1,A542,$M$4))</f>
        <v/>
      </c>
      <c r="C542" s="1" t="str">
        <f ca="1">IF(A542="","",[1]!s_dq_close($C$1,A542,$M$4))</f>
        <v/>
      </c>
      <c r="D542" s="6" t="str">
        <f ca="1">IF($A542="","",[1]!s_dq_close(D$1,$A542,$M$4))</f>
        <v/>
      </c>
      <c r="E542" s="6" t="str">
        <f ca="1">IF($A542="","",[1]!s_dq_close(E$1,$A542,$M$4))</f>
        <v/>
      </c>
      <c r="F542" s="6" t="str">
        <f ca="1">IF($A542="","",[1]!s_dq_close(F$1,$A542,$M$4))</f>
        <v/>
      </c>
      <c r="G542" s="6"/>
      <c r="H542" s="6" t="str">
        <f ca="1">IF($A542="","",[1]!s_dq_close(H$1,$A542,$M$4))</f>
        <v/>
      </c>
      <c r="I542" s="6" t="str">
        <f ca="1">IF($A542="","",[1]!s_dq_close(I$1,$A542,$M$4))</f>
        <v/>
      </c>
      <c r="J542" s="6" t="str">
        <f t="shared" ca="1" si="9"/>
        <v/>
      </c>
    </row>
    <row r="543" spans="1:10">
      <c r="A543" s="2" t="str">
        <f ca="1">IF(A542="","",IF(IF(价差分析!$W$4="日",--[1]!td(A542-1),IF(价差分析!$W$4="周",--[1]!td(A542-7),--[1]!td(A542-30)))-价差分析!$T$4&gt;0,IF(价差分析!$W$4="日",--[1]!td(A542-1),IF(价差分析!$W$4="周",--[1]!td(A542-7),--[1]!td(A542-30))),""))</f>
        <v/>
      </c>
      <c r="B543" s="1" t="str">
        <f ca="1">IF(A543="","",[1]!s_dq_close($B$1,A543,$M$4))</f>
        <v/>
      </c>
      <c r="C543" s="1" t="str">
        <f ca="1">IF(A543="","",[1]!s_dq_close($C$1,A543,$M$4))</f>
        <v/>
      </c>
      <c r="D543" s="6" t="str">
        <f ca="1">IF($A543="","",[1]!s_dq_close(D$1,$A543,$M$4))</f>
        <v/>
      </c>
      <c r="E543" s="6" t="str">
        <f ca="1">IF($A543="","",[1]!s_dq_close(E$1,$A543,$M$4))</f>
        <v/>
      </c>
      <c r="F543" s="6" t="str">
        <f ca="1">IF($A543="","",[1]!s_dq_close(F$1,$A543,$M$4))</f>
        <v/>
      </c>
      <c r="G543" s="6"/>
      <c r="H543" s="6" t="str">
        <f ca="1">IF($A543="","",[1]!s_dq_close(H$1,$A543,$M$4))</f>
        <v/>
      </c>
      <c r="I543" s="6" t="str">
        <f ca="1">IF($A543="","",[1]!s_dq_close(I$1,$A543,$M$4))</f>
        <v/>
      </c>
      <c r="J543" s="6" t="str">
        <f t="shared" ca="1" si="9"/>
        <v/>
      </c>
    </row>
    <row r="544" spans="1:10">
      <c r="A544" s="2" t="str">
        <f ca="1">IF(A543="","",IF(IF(价差分析!$W$4="日",--[1]!td(A543-1),IF(价差分析!$W$4="周",--[1]!td(A543-7),--[1]!td(A543-30)))-价差分析!$T$4&gt;0,IF(价差分析!$W$4="日",--[1]!td(A543-1),IF(价差分析!$W$4="周",--[1]!td(A543-7),--[1]!td(A543-30))),""))</f>
        <v/>
      </c>
      <c r="B544" s="1" t="str">
        <f ca="1">IF(A544="","",[1]!s_dq_close($B$1,A544,$M$4))</f>
        <v/>
      </c>
      <c r="C544" s="1" t="str">
        <f ca="1">IF(A544="","",[1]!s_dq_close($C$1,A544,$M$4))</f>
        <v/>
      </c>
      <c r="D544" s="6" t="str">
        <f ca="1">IF($A544="","",[1]!s_dq_close(D$1,$A544,$M$4))</f>
        <v/>
      </c>
      <c r="E544" s="6" t="str">
        <f ca="1">IF($A544="","",[1]!s_dq_close(E$1,$A544,$M$4))</f>
        <v/>
      </c>
      <c r="F544" s="6" t="str">
        <f ca="1">IF($A544="","",[1]!s_dq_close(F$1,$A544,$M$4))</f>
        <v/>
      </c>
      <c r="G544" s="6"/>
      <c r="H544" s="6" t="str">
        <f ca="1">IF($A544="","",[1]!s_dq_close(H$1,$A544,$M$4))</f>
        <v/>
      </c>
      <c r="I544" s="6" t="str">
        <f ca="1">IF($A544="","",[1]!s_dq_close(I$1,$A544,$M$4))</f>
        <v/>
      </c>
      <c r="J544" s="6" t="str">
        <f t="shared" ca="1" si="9"/>
        <v/>
      </c>
    </row>
    <row r="545" spans="1:10">
      <c r="A545" s="2" t="str">
        <f ca="1">IF(A544="","",IF(IF(价差分析!$W$4="日",--[1]!td(A544-1),IF(价差分析!$W$4="周",--[1]!td(A544-7),--[1]!td(A544-30)))-价差分析!$T$4&gt;0,IF(价差分析!$W$4="日",--[1]!td(A544-1),IF(价差分析!$W$4="周",--[1]!td(A544-7),--[1]!td(A544-30))),""))</f>
        <v/>
      </c>
      <c r="B545" s="1" t="str">
        <f ca="1">IF(A545="","",[1]!s_dq_close($B$1,A545,$M$4))</f>
        <v/>
      </c>
      <c r="C545" s="1" t="str">
        <f ca="1">IF(A545="","",[1]!s_dq_close($C$1,A545,$M$4))</f>
        <v/>
      </c>
      <c r="D545" s="6" t="str">
        <f ca="1">IF($A545="","",[1]!s_dq_close(D$1,$A545,$M$4))</f>
        <v/>
      </c>
      <c r="E545" s="6" t="str">
        <f ca="1">IF($A545="","",[1]!s_dq_close(E$1,$A545,$M$4))</f>
        <v/>
      </c>
      <c r="F545" s="6" t="str">
        <f ca="1">IF($A545="","",[1]!s_dq_close(F$1,$A545,$M$4))</f>
        <v/>
      </c>
      <c r="G545" s="6"/>
      <c r="H545" s="6" t="str">
        <f ca="1">IF($A545="","",[1]!s_dq_close(H$1,$A545,$M$4))</f>
        <v/>
      </c>
      <c r="I545" s="6" t="str">
        <f ca="1">IF($A545="","",[1]!s_dq_close(I$1,$A545,$M$4))</f>
        <v/>
      </c>
      <c r="J545" s="6" t="str">
        <f t="shared" ca="1" si="9"/>
        <v/>
      </c>
    </row>
    <row r="546" spans="1:10">
      <c r="A546" s="2" t="str">
        <f ca="1">IF(A545="","",IF(IF(价差分析!$W$4="日",--[1]!td(A545-1),IF(价差分析!$W$4="周",--[1]!td(A545-7),--[1]!td(A545-30)))-价差分析!$T$4&gt;0,IF(价差分析!$W$4="日",--[1]!td(A545-1),IF(价差分析!$W$4="周",--[1]!td(A545-7),--[1]!td(A545-30))),""))</f>
        <v/>
      </c>
      <c r="B546" s="1" t="str">
        <f ca="1">IF(A546="","",[1]!s_dq_close($B$1,A546,$M$4))</f>
        <v/>
      </c>
      <c r="C546" s="1" t="str">
        <f ca="1">IF(A546="","",[1]!s_dq_close($C$1,A546,$M$4))</f>
        <v/>
      </c>
      <c r="D546" s="6" t="str">
        <f ca="1">IF($A546="","",[1]!s_dq_close(D$1,$A546,$M$4))</f>
        <v/>
      </c>
      <c r="E546" s="6" t="str">
        <f ca="1">IF($A546="","",[1]!s_dq_close(E$1,$A546,$M$4))</f>
        <v/>
      </c>
      <c r="F546" s="6" t="str">
        <f ca="1">IF($A546="","",[1]!s_dq_close(F$1,$A546,$M$4))</f>
        <v/>
      </c>
      <c r="G546" s="6"/>
      <c r="H546" s="6" t="str">
        <f ca="1">IF($A546="","",[1]!s_dq_close(H$1,$A546,$M$4))</f>
        <v/>
      </c>
      <c r="I546" s="6" t="str">
        <f ca="1">IF($A546="","",[1]!s_dq_close(I$1,$A546,$M$4))</f>
        <v/>
      </c>
      <c r="J546" s="6" t="str">
        <f t="shared" ca="1" si="9"/>
        <v/>
      </c>
    </row>
    <row r="547" spans="1:10">
      <c r="A547" s="2" t="str">
        <f ca="1">IF(A546="","",IF(IF(价差分析!$W$4="日",--[1]!td(A546-1),IF(价差分析!$W$4="周",--[1]!td(A546-7),--[1]!td(A546-30)))-价差分析!$T$4&gt;0,IF(价差分析!$W$4="日",--[1]!td(A546-1),IF(价差分析!$W$4="周",--[1]!td(A546-7),--[1]!td(A546-30))),""))</f>
        <v/>
      </c>
      <c r="B547" s="1" t="str">
        <f ca="1">IF(A547="","",[1]!s_dq_close($B$1,A547,$M$4))</f>
        <v/>
      </c>
      <c r="C547" s="1" t="str">
        <f ca="1">IF(A547="","",[1]!s_dq_close($C$1,A547,$M$4))</f>
        <v/>
      </c>
      <c r="D547" s="6" t="str">
        <f ca="1">IF($A547="","",[1]!s_dq_close(D$1,$A547,$M$4))</f>
        <v/>
      </c>
      <c r="E547" s="6" t="str">
        <f ca="1">IF($A547="","",[1]!s_dq_close(E$1,$A547,$M$4))</f>
        <v/>
      </c>
      <c r="F547" s="6" t="str">
        <f ca="1">IF($A547="","",[1]!s_dq_close(F$1,$A547,$M$4))</f>
        <v/>
      </c>
      <c r="G547" s="6"/>
      <c r="H547" s="6" t="str">
        <f ca="1">IF($A547="","",[1]!s_dq_close(H$1,$A547,$M$4))</f>
        <v/>
      </c>
      <c r="I547" s="6" t="str">
        <f ca="1">IF($A547="","",[1]!s_dq_close(I$1,$A547,$M$4))</f>
        <v/>
      </c>
      <c r="J547" s="6" t="str">
        <f t="shared" ca="1" si="9"/>
        <v/>
      </c>
    </row>
    <row r="548" spans="1:10">
      <c r="A548" s="2" t="str">
        <f ca="1">IF(A547="","",IF(IF(价差分析!$W$4="日",--[1]!td(A547-1),IF(价差分析!$W$4="周",--[1]!td(A547-7),--[1]!td(A547-30)))-价差分析!$T$4&gt;0,IF(价差分析!$W$4="日",--[1]!td(A547-1),IF(价差分析!$W$4="周",--[1]!td(A547-7),--[1]!td(A547-30))),""))</f>
        <v/>
      </c>
      <c r="B548" s="1" t="str">
        <f ca="1">IF(A548="","",[1]!s_dq_close($B$1,A548,$M$4))</f>
        <v/>
      </c>
      <c r="C548" s="1" t="str">
        <f ca="1">IF(A548="","",[1]!s_dq_close($C$1,A548,$M$4))</f>
        <v/>
      </c>
      <c r="D548" s="6" t="str">
        <f ca="1">IF($A548="","",[1]!s_dq_close(D$1,$A548,$M$4))</f>
        <v/>
      </c>
      <c r="E548" s="6" t="str">
        <f ca="1">IF($A548="","",[1]!s_dq_close(E$1,$A548,$M$4))</f>
        <v/>
      </c>
      <c r="F548" s="6" t="str">
        <f ca="1">IF($A548="","",[1]!s_dq_close(F$1,$A548,$M$4))</f>
        <v/>
      </c>
      <c r="G548" s="6"/>
      <c r="H548" s="6" t="str">
        <f ca="1">IF($A548="","",[1]!s_dq_close(H$1,$A548,$M$4))</f>
        <v/>
      </c>
      <c r="I548" s="6" t="str">
        <f ca="1">IF($A548="","",[1]!s_dq_close(I$1,$A548,$M$4))</f>
        <v/>
      </c>
      <c r="J548" s="6" t="str">
        <f t="shared" ca="1" si="9"/>
        <v/>
      </c>
    </row>
    <row r="549" spans="1:10">
      <c r="A549" s="2" t="str">
        <f ca="1">IF(A548="","",IF(IF(价差分析!$W$4="日",--[1]!td(A548-1),IF(价差分析!$W$4="周",--[1]!td(A548-7),--[1]!td(A548-30)))-价差分析!$T$4&gt;0,IF(价差分析!$W$4="日",--[1]!td(A548-1),IF(价差分析!$W$4="周",--[1]!td(A548-7),--[1]!td(A548-30))),""))</f>
        <v/>
      </c>
      <c r="B549" s="1" t="str">
        <f ca="1">IF(A549="","",[1]!s_dq_close($B$1,A549,$M$4))</f>
        <v/>
      </c>
      <c r="C549" s="1" t="str">
        <f ca="1">IF(A549="","",[1]!s_dq_close($C$1,A549,$M$4))</f>
        <v/>
      </c>
      <c r="D549" s="6" t="str">
        <f ca="1">IF($A549="","",[1]!s_dq_close(D$1,$A549,$M$4))</f>
        <v/>
      </c>
      <c r="E549" s="6" t="str">
        <f ca="1">IF($A549="","",[1]!s_dq_close(E$1,$A549,$M$4))</f>
        <v/>
      </c>
      <c r="F549" s="6" t="str">
        <f ca="1">IF($A549="","",[1]!s_dq_close(F$1,$A549,$M$4))</f>
        <v/>
      </c>
      <c r="G549" s="6"/>
      <c r="H549" s="6" t="str">
        <f ca="1">IF($A549="","",[1]!s_dq_close(H$1,$A549,$M$4))</f>
        <v/>
      </c>
      <c r="I549" s="6" t="str">
        <f ca="1">IF($A549="","",[1]!s_dq_close(I$1,$A549,$M$4))</f>
        <v/>
      </c>
      <c r="J549" s="6" t="str">
        <f t="shared" ca="1" si="9"/>
        <v/>
      </c>
    </row>
    <row r="550" spans="1:10">
      <c r="A550" s="2" t="str">
        <f ca="1">IF(A549="","",IF(IF(价差分析!$W$4="日",--[1]!td(A549-1),IF(价差分析!$W$4="周",--[1]!td(A549-7),--[1]!td(A549-30)))-价差分析!$T$4&gt;0,IF(价差分析!$W$4="日",--[1]!td(A549-1),IF(价差分析!$W$4="周",--[1]!td(A549-7),--[1]!td(A549-30))),""))</f>
        <v/>
      </c>
      <c r="B550" s="1" t="str">
        <f ca="1">IF(A550="","",[1]!s_dq_close($B$1,A550,$M$4))</f>
        <v/>
      </c>
      <c r="C550" s="1" t="str">
        <f ca="1">IF(A550="","",[1]!s_dq_close($C$1,A550,$M$4))</f>
        <v/>
      </c>
      <c r="D550" s="6" t="str">
        <f ca="1">IF($A550="","",[1]!s_dq_close(D$1,$A550,$M$4))</f>
        <v/>
      </c>
      <c r="E550" s="6" t="str">
        <f ca="1">IF($A550="","",[1]!s_dq_close(E$1,$A550,$M$4))</f>
        <v/>
      </c>
      <c r="F550" s="6" t="str">
        <f ca="1">IF($A550="","",[1]!s_dq_close(F$1,$A550,$M$4))</f>
        <v/>
      </c>
      <c r="G550" s="6"/>
      <c r="H550" s="6" t="str">
        <f ca="1">IF($A550="","",[1]!s_dq_close(H$1,$A550,$M$4))</f>
        <v/>
      </c>
      <c r="I550" s="6" t="str">
        <f ca="1">IF($A550="","",[1]!s_dq_close(I$1,$A550,$M$4))</f>
        <v/>
      </c>
      <c r="J550" s="6" t="str">
        <f t="shared" ca="1" si="9"/>
        <v/>
      </c>
    </row>
    <row r="551" spans="1:10">
      <c r="A551" s="2" t="str">
        <f ca="1">IF(A550="","",IF(IF(价差分析!$W$4="日",--[1]!td(A550-1),IF(价差分析!$W$4="周",--[1]!td(A550-7),--[1]!td(A550-30)))-价差分析!$T$4&gt;0,IF(价差分析!$W$4="日",--[1]!td(A550-1),IF(价差分析!$W$4="周",--[1]!td(A550-7),--[1]!td(A550-30))),""))</f>
        <v/>
      </c>
      <c r="B551" s="1" t="str">
        <f ca="1">IF(A551="","",[1]!s_dq_close($B$1,A551,$M$4))</f>
        <v/>
      </c>
      <c r="C551" s="1" t="str">
        <f ca="1">IF(A551="","",[1]!s_dq_close($C$1,A551,$M$4))</f>
        <v/>
      </c>
      <c r="D551" s="6" t="str">
        <f ca="1">IF($A551="","",[1]!s_dq_close(D$1,$A551,$M$4))</f>
        <v/>
      </c>
      <c r="E551" s="6" t="str">
        <f ca="1">IF($A551="","",[1]!s_dq_close(E$1,$A551,$M$4))</f>
        <v/>
      </c>
      <c r="F551" s="6" t="str">
        <f ca="1">IF($A551="","",[1]!s_dq_close(F$1,$A551,$M$4))</f>
        <v/>
      </c>
      <c r="G551" s="6"/>
      <c r="H551" s="6" t="str">
        <f ca="1">IF($A551="","",[1]!s_dq_close(H$1,$A551,$M$4))</f>
        <v/>
      </c>
      <c r="I551" s="6" t="str">
        <f ca="1">IF($A551="","",[1]!s_dq_close(I$1,$A551,$M$4))</f>
        <v/>
      </c>
      <c r="J551" s="6" t="str">
        <f t="shared" ca="1" si="9"/>
        <v/>
      </c>
    </row>
    <row r="552" spans="1:10">
      <c r="A552" s="2" t="str">
        <f ca="1">IF(A551="","",IF(IF(价差分析!$W$4="日",--[1]!td(A551-1),IF(价差分析!$W$4="周",--[1]!td(A551-7),--[1]!td(A551-30)))-价差分析!$T$4&gt;0,IF(价差分析!$W$4="日",--[1]!td(A551-1),IF(价差分析!$W$4="周",--[1]!td(A551-7),--[1]!td(A551-30))),""))</f>
        <v/>
      </c>
      <c r="B552" s="1" t="str">
        <f ca="1">IF(A552="","",[1]!s_dq_close($B$1,A552,$M$4))</f>
        <v/>
      </c>
      <c r="C552" s="1" t="str">
        <f ca="1">IF(A552="","",[1]!s_dq_close($C$1,A552,$M$4))</f>
        <v/>
      </c>
      <c r="D552" s="6" t="str">
        <f ca="1">IF($A552="","",[1]!s_dq_close(D$1,$A552,$M$4))</f>
        <v/>
      </c>
      <c r="E552" s="6" t="str">
        <f ca="1">IF($A552="","",[1]!s_dq_close(E$1,$A552,$M$4))</f>
        <v/>
      </c>
      <c r="F552" s="6" t="str">
        <f ca="1">IF($A552="","",[1]!s_dq_close(F$1,$A552,$M$4))</f>
        <v/>
      </c>
      <c r="G552" s="6"/>
      <c r="H552" s="6" t="str">
        <f ca="1">IF($A552="","",[1]!s_dq_close(H$1,$A552,$M$4))</f>
        <v/>
      </c>
      <c r="I552" s="6" t="str">
        <f ca="1">IF($A552="","",[1]!s_dq_close(I$1,$A552,$M$4))</f>
        <v/>
      </c>
      <c r="J552" s="6" t="str">
        <f t="shared" ca="1" si="9"/>
        <v/>
      </c>
    </row>
    <row r="553" spans="1:10">
      <c r="A553" s="2" t="str">
        <f ca="1">IF(A552="","",IF(IF(价差分析!$W$4="日",--[1]!td(A552-1),IF(价差分析!$W$4="周",--[1]!td(A552-7),--[1]!td(A552-30)))-价差分析!$T$4&gt;0,IF(价差分析!$W$4="日",--[1]!td(A552-1),IF(价差分析!$W$4="周",--[1]!td(A552-7),--[1]!td(A552-30))),""))</f>
        <v/>
      </c>
      <c r="B553" s="1" t="str">
        <f ca="1">IF(A553="","",[1]!s_dq_close($B$1,A553,$M$4))</f>
        <v/>
      </c>
      <c r="C553" s="1" t="str">
        <f ca="1">IF(A553="","",[1]!s_dq_close($C$1,A553,$M$4))</f>
        <v/>
      </c>
      <c r="D553" s="6" t="str">
        <f ca="1">IF($A553="","",[1]!s_dq_close(D$1,$A553,$M$4))</f>
        <v/>
      </c>
      <c r="E553" s="6" t="str">
        <f ca="1">IF($A553="","",[1]!s_dq_close(E$1,$A553,$M$4))</f>
        <v/>
      </c>
      <c r="F553" s="6" t="str">
        <f ca="1">IF($A553="","",[1]!s_dq_close(F$1,$A553,$M$4))</f>
        <v/>
      </c>
      <c r="G553" s="6"/>
      <c r="H553" s="6" t="str">
        <f ca="1">IF($A553="","",[1]!s_dq_close(H$1,$A553,$M$4))</f>
        <v/>
      </c>
      <c r="I553" s="6" t="str">
        <f ca="1">IF($A553="","",[1]!s_dq_close(I$1,$A553,$M$4))</f>
        <v/>
      </c>
      <c r="J553" s="6" t="str">
        <f t="shared" ca="1" si="9"/>
        <v/>
      </c>
    </row>
    <row r="554" spans="1:10">
      <c r="A554" s="2" t="str">
        <f ca="1">IF(A553="","",IF(IF(价差分析!$W$4="日",--[1]!td(A553-1),IF(价差分析!$W$4="周",--[1]!td(A553-7),--[1]!td(A553-30)))-价差分析!$T$4&gt;0,IF(价差分析!$W$4="日",--[1]!td(A553-1),IF(价差分析!$W$4="周",--[1]!td(A553-7),--[1]!td(A553-30))),""))</f>
        <v/>
      </c>
      <c r="B554" s="1" t="str">
        <f ca="1">IF(A554="","",[1]!s_dq_close($B$1,A554,$M$4))</f>
        <v/>
      </c>
      <c r="C554" s="1" t="str">
        <f ca="1">IF(A554="","",[1]!s_dq_close($C$1,A554,$M$4))</f>
        <v/>
      </c>
      <c r="D554" s="6" t="str">
        <f ca="1">IF($A554="","",[1]!s_dq_close(D$1,$A554,$M$4))</f>
        <v/>
      </c>
      <c r="E554" s="6" t="str">
        <f ca="1">IF($A554="","",[1]!s_dq_close(E$1,$A554,$M$4))</f>
        <v/>
      </c>
      <c r="F554" s="6" t="str">
        <f ca="1">IF($A554="","",[1]!s_dq_close(F$1,$A554,$M$4))</f>
        <v/>
      </c>
      <c r="G554" s="6"/>
      <c r="H554" s="6" t="str">
        <f ca="1">IF($A554="","",[1]!s_dq_close(H$1,$A554,$M$4))</f>
        <v/>
      </c>
      <c r="I554" s="6" t="str">
        <f ca="1">IF($A554="","",[1]!s_dq_close(I$1,$A554,$M$4))</f>
        <v/>
      </c>
      <c r="J554" s="6" t="str">
        <f t="shared" ca="1" si="9"/>
        <v/>
      </c>
    </row>
    <row r="555" spans="1:10">
      <c r="A555" s="2" t="str">
        <f ca="1">IF(A554="","",IF(IF(价差分析!$W$4="日",--[1]!td(A554-1),IF(价差分析!$W$4="周",--[1]!td(A554-7),--[1]!td(A554-30)))-价差分析!$T$4&gt;0,IF(价差分析!$W$4="日",--[1]!td(A554-1),IF(价差分析!$W$4="周",--[1]!td(A554-7),--[1]!td(A554-30))),""))</f>
        <v/>
      </c>
      <c r="B555" s="1" t="str">
        <f ca="1">IF(A555="","",[1]!s_dq_close($B$1,A555,$M$4))</f>
        <v/>
      </c>
      <c r="C555" s="1" t="str">
        <f ca="1">IF(A555="","",[1]!s_dq_close($C$1,A555,$M$4))</f>
        <v/>
      </c>
      <c r="D555" s="6" t="str">
        <f ca="1">IF($A555="","",[1]!s_dq_close(D$1,$A555,$M$4))</f>
        <v/>
      </c>
      <c r="E555" s="6" t="str">
        <f ca="1">IF($A555="","",[1]!s_dq_close(E$1,$A555,$M$4))</f>
        <v/>
      </c>
      <c r="F555" s="6" t="str">
        <f ca="1">IF($A555="","",[1]!s_dq_close(F$1,$A555,$M$4))</f>
        <v/>
      </c>
      <c r="G555" s="6"/>
      <c r="H555" s="6" t="str">
        <f ca="1">IF($A555="","",[1]!s_dq_close(H$1,$A555,$M$4))</f>
        <v/>
      </c>
      <c r="I555" s="6" t="str">
        <f ca="1">IF($A555="","",[1]!s_dq_close(I$1,$A555,$M$4))</f>
        <v/>
      </c>
      <c r="J555" s="6" t="str">
        <f t="shared" ca="1" si="9"/>
        <v/>
      </c>
    </row>
    <row r="556" spans="1:10">
      <c r="A556" s="2" t="str">
        <f ca="1">IF(A555="","",IF(IF(价差分析!$W$4="日",--[1]!td(A555-1),IF(价差分析!$W$4="周",--[1]!td(A555-7),--[1]!td(A555-30)))-价差分析!$T$4&gt;0,IF(价差分析!$W$4="日",--[1]!td(A555-1),IF(价差分析!$W$4="周",--[1]!td(A555-7),--[1]!td(A555-30))),""))</f>
        <v/>
      </c>
      <c r="B556" s="1" t="str">
        <f ca="1">IF(A556="","",[1]!s_dq_close($B$1,A556,$M$4))</f>
        <v/>
      </c>
      <c r="C556" s="1" t="str">
        <f ca="1">IF(A556="","",[1]!s_dq_close($C$1,A556,$M$4))</f>
        <v/>
      </c>
      <c r="D556" s="6" t="str">
        <f ca="1">IF($A556="","",[1]!s_dq_close(D$1,$A556,$M$4))</f>
        <v/>
      </c>
      <c r="E556" s="6" t="str">
        <f ca="1">IF($A556="","",[1]!s_dq_close(E$1,$A556,$M$4))</f>
        <v/>
      </c>
      <c r="F556" s="6" t="str">
        <f ca="1">IF($A556="","",[1]!s_dq_close(F$1,$A556,$M$4))</f>
        <v/>
      </c>
      <c r="G556" s="6"/>
      <c r="H556" s="6" t="str">
        <f ca="1">IF($A556="","",[1]!s_dq_close(H$1,$A556,$M$4))</f>
        <v/>
      </c>
      <c r="I556" s="6" t="str">
        <f ca="1">IF($A556="","",[1]!s_dq_close(I$1,$A556,$M$4))</f>
        <v/>
      </c>
      <c r="J556" s="6" t="str">
        <f t="shared" ca="1" si="9"/>
        <v/>
      </c>
    </row>
    <row r="557" spans="1:10">
      <c r="A557" s="2" t="str">
        <f ca="1">IF(A556="","",IF(IF(价差分析!$W$4="日",--[1]!td(A556-1),IF(价差分析!$W$4="周",--[1]!td(A556-7),--[1]!td(A556-30)))-价差分析!$T$4&gt;0,IF(价差分析!$W$4="日",--[1]!td(A556-1),IF(价差分析!$W$4="周",--[1]!td(A556-7),--[1]!td(A556-30))),""))</f>
        <v/>
      </c>
      <c r="B557" s="1" t="str">
        <f ca="1">IF(A557="","",[1]!s_dq_close($B$1,A557,$M$4))</f>
        <v/>
      </c>
      <c r="C557" s="1" t="str">
        <f ca="1">IF(A557="","",[1]!s_dq_close($C$1,A557,$M$4))</f>
        <v/>
      </c>
      <c r="D557" s="6" t="str">
        <f ca="1">IF($A557="","",[1]!s_dq_close(D$1,$A557,$M$4))</f>
        <v/>
      </c>
      <c r="E557" s="6" t="str">
        <f ca="1">IF($A557="","",[1]!s_dq_close(E$1,$A557,$M$4))</f>
        <v/>
      </c>
      <c r="F557" s="6" t="str">
        <f ca="1">IF($A557="","",[1]!s_dq_close(F$1,$A557,$M$4))</f>
        <v/>
      </c>
      <c r="G557" s="6"/>
      <c r="H557" s="6" t="str">
        <f ca="1">IF($A557="","",[1]!s_dq_close(H$1,$A557,$M$4))</f>
        <v/>
      </c>
      <c r="I557" s="6" t="str">
        <f ca="1">IF($A557="","",[1]!s_dq_close(I$1,$A557,$M$4))</f>
        <v/>
      </c>
      <c r="J557" s="6" t="str">
        <f t="shared" ca="1" si="9"/>
        <v/>
      </c>
    </row>
    <row r="558" spans="1:10">
      <c r="A558" s="2" t="str">
        <f ca="1">IF(A557="","",IF(IF(价差分析!$W$4="日",--[1]!td(A557-1),IF(价差分析!$W$4="周",--[1]!td(A557-7),--[1]!td(A557-30)))-价差分析!$T$4&gt;0,IF(价差分析!$W$4="日",--[1]!td(A557-1),IF(价差分析!$W$4="周",--[1]!td(A557-7),--[1]!td(A557-30))),""))</f>
        <v/>
      </c>
      <c r="B558" s="1" t="str">
        <f ca="1">IF(A558="","",[1]!s_dq_close($B$1,A558,$M$4))</f>
        <v/>
      </c>
      <c r="C558" s="1" t="str">
        <f ca="1">IF(A558="","",[1]!s_dq_close($C$1,A558,$M$4))</f>
        <v/>
      </c>
      <c r="D558" s="6" t="str">
        <f ca="1">IF($A558="","",[1]!s_dq_close(D$1,$A558,$M$4))</f>
        <v/>
      </c>
      <c r="E558" s="6" t="str">
        <f ca="1">IF($A558="","",[1]!s_dq_close(E$1,$A558,$M$4))</f>
        <v/>
      </c>
      <c r="F558" s="6" t="str">
        <f ca="1">IF($A558="","",[1]!s_dq_close(F$1,$A558,$M$4))</f>
        <v/>
      </c>
      <c r="G558" s="6"/>
      <c r="H558" s="6" t="str">
        <f ca="1">IF($A558="","",[1]!s_dq_close(H$1,$A558,$M$4))</f>
        <v/>
      </c>
      <c r="I558" s="6" t="str">
        <f ca="1">IF($A558="","",[1]!s_dq_close(I$1,$A558,$M$4))</f>
        <v/>
      </c>
      <c r="J558" s="6" t="str">
        <f t="shared" ca="1" si="9"/>
        <v/>
      </c>
    </row>
    <row r="559" spans="1:10">
      <c r="A559" s="2" t="str">
        <f ca="1">IF(A558="","",IF(IF(价差分析!$W$4="日",--[1]!td(A558-1),IF(价差分析!$W$4="周",--[1]!td(A558-7),--[1]!td(A558-30)))-价差分析!$T$4&gt;0,IF(价差分析!$W$4="日",--[1]!td(A558-1),IF(价差分析!$W$4="周",--[1]!td(A558-7),--[1]!td(A558-30))),""))</f>
        <v/>
      </c>
      <c r="B559" s="1" t="str">
        <f ca="1">IF(A559="","",[1]!s_dq_close($B$1,A559,$M$4))</f>
        <v/>
      </c>
      <c r="C559" s="1" t="str">
        <f ca="1">IF(A559="","",[1]!s_dq_close($C$1,A559,$M$4))</f>
        <v/>
      </c>
      <c r="D559" s="6" t="str">
        <f ca="1">IF($A559="","",[1]!s_dq_close(D$1,$A559,$M$4))</f>
        <v/>
      </c>
      <c r="E559" s="6" t="str">
        <f ca="1">IF($A559="","",[1]!s_dq_close(E$1,$A559,$M$4))</f>
        <v/>
      </c>
      <c r="F559" s="6" t="str">
        <f ca="1">IF($A559="","",[1]!s_dq_close(F$1,$A559,$M$4))</f>
        <v/>
      </c>
      <c r="G559" s="6"/>
      <c r="H559" s="6" t="str">
        <f ca="1">IF($A559="","",[1]!s_dq_close(H$1,$A559,$M$4))</f>
        <v/>
      </c>
      <c r="I559" s="6" t="str">
        <f ca="1">IF($A559="","",[1]!s_dq_close(I$1,$A559,$M$4))</f>
        <v/>
      </c>
      <c r="J559" s="6" t="str">
        <f t="shared" ca="1" si="9"/>
        <v/>
      </c>
    </row>
    <row r="560" spans="1:10">
      <c r="A560" s="2" t="str">
        <f ca="1">IF(A559="","",IF(IF(价差分析!$W$4="日",--[1]!td(A559-1),IF(价差分析!$W$4="周",--[1]!td(A559-7),--[1]!td(A559-30)))-价差分析!$T$4&gt;0,IF(价差分析!$W$4="日",--[1]!td(A559-1),IF(价差分析!$W$4="周",--[1]!td(A559-7),--[1]!td(A559-30))),""))</f>
        <v/>
      </c>
      <c r="B560" s="1" t="str">
        <f ca="1">IF(A560="","",[1]!s_dq_close($B$1,A560,$M$4))</f>
        <v/>
      </c>
      <c r="C560" s="1" t="str">
        <f ca="1">IF(A560="","",[1]!s_dq_close($C$1,A560,$M$4))</f>
        <v/>
      </c>
      <c r="D560" s="6" t="str">
        <f ca="1">IF($A560="","",[1]!s_dq_close(D$1,$A560,$M$4))</f>
        <v/>
      </c>
      <c r="E560" s="6" t="str">
        <f ca="1">IF($A560="","",[1]!s_dq_close(E$1,$A560,$M$4))</f>
        <v/>
      </c>
      <c r="F560" s="6" t="str">
        <f ca="1">IF($A560="","",[1]!s_dq_close(F$1,$A560,$M$4))</f>
        <v/>
      </c>
      <c r="G560" s="6"/>
      <c r="H560" s="6" t="str">
        <f ca="1">IF($A560="","",[1]!s_dq_close(H$1,$A560,$M$4))</f>
        <v/>
      </c>
      <c r="I560" s="6" t="str">
        <f ca="1">IF($A560="","",[1]!s_dq_close(I$1,$A560,$M$4))</f>
        <v/>
      </c>
      <c r="J560" s="6" t="str">
        <f t="shared" ca="1" si="9"/>
        <v/>
      </c>
    </row>
    <row r="561" spans="1:10">
      <c r="A561" s="2" t="str">
        <f ca="1">IF(A560="","",IF(IF(价差分析!$W$4="日",--[1]!td(A560-1),IF(价差分析!$W$4="周",--[1]!td(A560-7),--[1]!td(A560-30)))-价差分析!$T$4&gt;0,IF(价差分析!$W$4="日",--[1]!td(A560-1),IF(价差分析!$W$4="周",--[1]!td(A560-7),--[1]!td(A560-30))),""))</f>
        <v/>
      </c>
      <c r="B561" s="1" t="str">
        <f ca="1">IF(A561="","",[1]!s_dq_close($B$1,A561,$M$4))</f>
        <v/>
      </c>
      <c r="C561" s="1" t="str">
        <f ca="1">IF(A561="","",[1]!s_dq_close($C$1,A561,$M$4))</f>
        <v/>
      </c>
      <c r="D561" s="6" t="str">
        <f ca="1">IF($A561="","",[1]!s_dq_close(D$1,$A561,$M$4))</f>
        <v/>
      </c>
      <c r="E561" s="6" t="str">
        <f ca="1">IF($A561="","",[1]!s_dq_close(E$1,$A561,$M$4))</f>
        <v/>
      </c>
      <c r="F561" s="6" t="str">
        <f ca="1">IF($A561="","",[1]!s_dq_close(F$1,$A561,$M$4))</f>
        <v/>
      </c>
      <c r="G561" s="6"/>
      <c r="H561" s="6" t="str">
        <f ca="1">IF($A561="","",[1]!s_dq_close(H$1,$A561,$M$4))</f>
        <v/>
      </c>
      <c r="I561" s="6" t="str">
        <f ca="1">IF($A561="","",[1]!s_dq_close(I$1,$A561,$M$4))</f>
        <v/>
      </c>
      <c r="J561" s="6" t="str">
        <f t="shared" ca="1" si="9"/>
        <v/>
      </c>
    </row>
    <row r="562" spans="1:10">
      <c r="A562" s="2" t="str">
        <f ca="1">IF(A561="","",IF(IF(价差分析!$W$4="日",--[1]!td(A561-1),IF(价差分析!$W$4="周",--[1]!td(A561-7),--[1]!td(A561-30)))-价差分析!$T$4&gt;0,IF(价差分析!$W$4="日",--[1]!td(A561-1),IF(价差分析!$W$4="周",--[1]!td(A561-7),--[1]!td(A561-30))),""))</f>
        <v/>
      </c>
      <c r="B562" s="1" t="str">
        <f ca="1">IF(A562="","",[1]!s_dq_close($B$1,A562,$M$4))</f>
        <v/>
      </c>
      <c r="C562" s="1" t="str">
        <f ca="1">IF(A562="","",[1]!s_dq_close($C$1,A562,$M$4))</f>
        <v/>
      </c>
      <c r="D562" s="6" t="str">
        <f ca="1">IF($A562="","",[1]!s_dq_close(D$1,$A562,$M$4))</f>
        <v/>
      </c>
      <c r="E562" s="6" t="str">
        <f ca="1">IF($A562="","",[1]!s_dq_close(E$1,$A562,$M$4))</f>
        <v/>
      </c>
      <c r="F562" s="6" t="str">
        <f ca="1">IF($A562="","",[1]!s_dq_close(F$1,$A562,$M$4))</f>
        <v/>
      </c>
      <c r="G562" s="6"/>
      <c r="H562" s="6" t="str">
        <f ca="1">IF($A562="","",[1]!s_dq_close(H$1,$A562,$M$4))</f>
        <v/>
      </c>
      <c r="I562" s="6" t="str">
        <f ca="1">IF($A562="","",[1]!s_dq_close(I$1,$A562,$M$4))</f>
        <v/>
      </c>
      <c r="J562" s="6" t="str">
        <f t="shared" ca="1" si="9"/>
        <v/>
      </c>
    </row>
    <row r="563" spans="1:10">
      <c r="A563" s="2" t="str">
        <f ca="1">IF(A562="","",IF(IF(价差分析!$W$4="日",--[1]!td(A562-1),IF(价差分析!$W$4="周",--[1]!td(A562-7),--[1]!td(A562-30)))-价差分析!$T$4&gt;0,IF(价差分析!$W$4="日",--[1]!td(A562-1),IF(价差分析!$W$4="周",--[1]!td(A562-7),--[1]!td(A562-30))),""))</f>
        <v/>
      </c>
      <c r="B563" s="1" t="str">
        <f ca="1">IF(A563="","",[1]!s_dq_close($B$1,A563,$M$4))</f>
        <v/>
      </c>
      <c r="C563" s="1" t="str">
        <f ca="1">IF(A563="","",[1]!s_dq_close($C$1,A563,$M$4))</f>
        <v/>
      </c>
      <c r="D563" s="6" t="str">
        <f ca="1">IF($A563="","",[1]!s_dq_close(D$1,$A563,$M$4))</f>
        <v/>
      </c>
      <c r="E563" s="6" t="str">
        <f ca="1">IF($A563="","",[1]!s_dq_close(E$1,$A563,$M$4))</f>
        <v/>
      </c>
      <c r="F563" s="6" t="str">
        <f ca="1">IF($A563="","",[1]!s_dq_close(F$1,$A563,$M$4))</f>
        <v/>
      </c>
      <c r="G563" s="6"/>
      <c r="H563" s="6" t="str">
        <f ca="1">IF($A563="","",[1]!s_dq_close(H$1,$A563,$M$4))</f>
        <v/>
      </c>
      <c r="I563" s="6" t="str">
        <f ca="1">IF($A563="","",[1]!s_dq_close(I$1,$A563,$M$4))</f>
        <v/>
      </c>
      <c r="J563" s="6" t="str">
        <f t="shared" ca="1" si="9"/>
        <v/>
      </c>
    </row>
    <row r="564" spans="1:10">
      <c r="A564" s="2" t="str">
        <f ca="1">IF(A563="","",IF(IF(价差分析!$W$4="日",--[1]!td(A563-1),IF(价差分析!$W$4="周",--[1]!td(A563-7),--[1]!td(A563-30)))-价差分析!$T$4&gt;0,IF(价差分析!$W$4="日",--[1]!td(A563-1),IF(价差分析!$W$4="周",--[1]!td(A563-7),--[1]!td(A563-30))),""))</f>
        <v/>
      </c>
      <c r="B564" s="1" t="str">
        <f ca="1">IF(A564="","",[1]!s_dq_close($B$1,A564,$M$4))</f>
        <v/>
      </c>
      <c r="C564" s="1" t="str">
        <f ca="1">IF(A564="","",[1]!s_dq_close($C$1,A564,$M$4))</f>
        <v/>
      </c>
      <c r="D564" s="6" t="str">
        <f ca="1">IF($A564="","",[1]!s_dq_close(D$1,$A564,$M$4))</f>
        <v/>
      </c>
      <c r="E564" s="6" t="str">
        <f ca="1">IF($A564="","",[1]!s_dq_close(E$1,$A564,$M$4))</f>
        <v/>
      </c>
      <c r="F564" s="6" t="str">
        <f ca="1">IF($A564="","",[1]!s_dq_close(F$1,$A564,$M$4))</f>
        <v/>
      </c>
      <c r="G564" s="6"/>
      <c r="H564" s="6" t="str">
        <f ca="1">IF($A564="","",[1]!s_dq_close(H$1,$A564,$M$4))</f>
        <v/>
      </c>
      <c r="I564" s="6" t="str">
        <f ca="1">IF($A564="","",[1]!s_dq_close(I$1,$A564,$M$4))</f>
        <v/>
      </c>
      <c r="J564" s="6" t="str">
        <f t="shared" ca="1" si="9"/>
        <v/>
      </c>
    </row>
    <row r="565" spans="1:10">
      <c r="A565" s="2" t="str">
        <f ca="1">IF(A564="","",IF(IF(价差分析!$W$4="日",--[1]!td(A564-1),IF(价差分析!$W$4="周",--[1]!td(A564-7),--[1]!td(A564-30)))-价差分析!$T$4&gt;0,IF(价差分析!$W$4="日",--[1]!td(A564-1),IF(价差分析!$W$4="周",--[1]!td(A564-7),--[1]!td(A564-30))),""))</f>
        <v/>
      </c>
      <c r="B565" s="1" t="str">
        <f ca="1">IF(A565="","",[1]!s_dq_close($B$1,A565,$M$4))</f>
        <v/>
      </c>
      <c r="C565" s="1" t="str">
        <f ca="1">IF(A565="","",[1]!s_dq_close($C$1,A565,$M$4))</f>
        <v/>
      </c>
      <c r="D565" s="6" t="str">
        <f ca="1">IF($A565="","",[1]!s_dq_close(D$1,$A565,$M$4))</f>
        <v/>
      </c>
      <c r="E565" s="6" t="str">
        <f ca="1">IF($A565="","",[1]!s_dq_close(E$1,$A565,$M$4))</f>
        <v/>
      </c>
      <c r="F565" s="6" t="str">
        <f ca="1">IF($A565="","",[1]!s_dq_close(F$1,$A565,$M$4))</f>
        <v/>
      </c>
      <c r="G565" s="6"/>
      <c r="H565" s="6" t="str">
        <f ca="1">IF($A565="","",[1]!s_dq_close(H$1,$A565,$M$4))</f>
        <v/>
      </c>
      <c r="I565" s="6" t="str">
        <f ca="1">IF($A565="","",[1]!s_dq_close(I$1,$A565,$M$4))</f>
        <v/>
      </c>
      <c r="J565" s="6" t="str">
        <f t="shared" ca="1" si="9"/>
        <v/>
      </c>
    </row>
    <row r="566" spans="1:10">
      <c r="A566" s="2" t="str">
        <f ca="1">IF(A565="","",IF(IF(价差分析!$W$4="日",--[1]!td(A565-1),IF(价差分析!$W$4="周",--[1]!td(A565-7),--[1]!td(A565-30)))-价差分析!$T$4&gt;0,IF(价差分析!$W$4="日",--[1]!td(A565-1),IF(价差分析!$W$4="周",--[1]!td(A565-7),--[1]!td(A565-30))),""))</f>
        <v/>
      </c>
      <c r="B566" s="1" t="str">
        <f ca="1">IF(A566="","",[1]!s_dq_close($B$1,A566,$M$4))</f>
        <v/>
      </c>
      <c r="C566" s="1" t="str">
        <f ca="1">IF(A566="","",[1]!s_dq_close($C$1,A566,$M$4))</f>
        <v/>
      </c>
      <c r="D566" s="6" t="str">
        <f ca="1">IF($A566="","",[1]!s_dq_close(D$1,$A566,$M$4))</f>
        <v/>
      </c>
      <c r="E566" s="6" t="str">
        <f ca="1">IF($A566="","",[1]!s_dq_close(E$1,$A566,$M$4))</f>
        <v/>
      </c>
      <c r="F566" s="6" t="str">
        <f ca="1">IF($A566="","",[1]!s_dq_close(F$1,$A566,$M$4))</f>
        <v/>
      </c>
      <c r="G566" s="6"/>
      <c r="H566" s="6" t="str">
        <f ca="1">IF($A566="","",[1]!s_dq_close(H$1,$A566,$M$4))</f>
        <v/>
      </c>
      <c r="I566" s="6" t="str">
        <f ca="1">IF($A566="","",[1]!s_dq_close(I$1,$A566,$M$4))</f>
        <v/>
      </c>
      <c r="J566" s="6" t="str">
        <f t="shared" ca="1" si="9"/>
        <v/>
      </c>
    </row>
    <row r="567" spans="1:10">
      <c r="A567" s="2" t="str">
        <f ca="1">IF(A566="","",IF(IF(价差分析!$W$4="日",--[1]!td(A566-1),IF(价差分析!$W$4="周",--[1]!td(A566-7),--[1]!td(A566-30)))-价差分析!$T$4&gt;0,IF(价差分析!$W$4="日",--[1]!td(A566-1),IF(价差分析!$W$4="周",--[1]!td(A566-7),--[1]!td(A566-30))),""))</f>
        <v/>
      </c>
      <c r="B567" s="1" t="str">
        <f ca="1">IF(A567="","",[1]!s_dq_close($B$1,A567,$M$4))</f>
        <v/>
      </c>
      <c r="C567" s="1" t="str">
        <f ca="1">IF(A567="","",[1]!s_dq_close($C$1,A567,$M$4))</f>
        <v/>
      </c>
      <c r="D567" s="6" t="str">
        <f ca="1">IF($A567="","",[1]!s_dq_close(D$1,$A567,$M$4))</f>
        <v/>
      </c>
      <c r="E567" s="6" t="str">
        <f ca="1">IF($A567="","",[1]!s_dq_close(E$1,$A567,$M$4))</f>
        <v/>
      </c>
      <c r="F567" s="6" t="str">
        <f ca="1">IF($A567="","",[1]!s_dq_close(F$1,$A567,$M$4))</f>
        <v/>
      </c>
      <c r="G567" s="6"/>
      <c r="H567" s="6" t="str">
        <f ca="1">IF($A567="","",[1]!s_dq_close(H$1,$A567,$M$4))</f>
        <v/>
      </c>
      <c r="I567" s="6" t="str">
        <f ca="1">IF($A567="","",[1]!s_dq_close(I$1,$A567,$M$4))</f>
        <v/>
      </c>
      <c r="J567" s="6" t="str">
        <f t="shared" ca="1" si="9"/>
        <v/>
      </c>
    </row>
    <row r="568" spans="1:10">
      <c r="A568" s="2" t="str">
        <f ca="1">IF(A567="","",IF(IF(价差分析!$W$4="日",--[1]!td(A567-1),IF(价差分析!$W$4="周",--[1]!td(A567-7),--[1]!td(A567-30)))-价差分析!$T$4&gt;0,IF(价差分析!$W$4="日",--[1]!td(A567-1),IF(价差分析!$W$4="周",--[1]!td(A567-7),--[1]!td(A567-30))),""))</f>
        <v/>
      </c>
      <c r="B568" s="1" t="str">
        <f ca="1">IF(A568="","",[1]!s_dq_close($B$1,A568,$M$4))</f>
        <v/>
      </c>
      <c r="C568" s="1" t="str">
        <f ca="1">IF(A568="","",[1]!s_dq_close($C$1,A568,$M$4))</f>
        <v/>
      </c>
      <c r="D568" s="6" t="str">
        <f ca="1">IF($A568="","",[1]!s_dq_close(D$1,$A568,$M$4))</f>
        <v/>
      </c>
      <c r="E568" s="6" t="str">
        <f ca="1">IF($A568="","",[1]!s_dq_close(E$1,$A568,$M$4))</f>
        <v/>
      </c>
      <c r="F568" s="6" t="str">
        <f ca="1">IF($A568="","",[1]!s_dq_close(F$1,$A568,$M$4))</f>
        <v/>
      </c>
      <c r="G568" s="6"/>
      <c r="H568" s="6" t="str">
        <f ca="1">IF($A568="","",[1]!s_dq_close(H$1,$A568,$M$4))</f>
        <v/>
      </c>
      <c r="I568" s="6" t="str">
        <f ca="1">IF($A568="","",[1]!s_dq_close(I$1,$A568,$M$4))</f>
        <v/>
      </c>
      <c r="J568" s="6" t="str">
        <f t="shared" ca="1" si="9"/>
        <v/>
      </c>
    </row>
    <row r="569" spans="1:10">
      <c r="A569" s="2" t="str">
        <f ca="1">IF(A568="","",IF(IF(价差分析!$W$4="日",--[1]!td(A568-1),IF(价差分析!$W$4="周",--[1]!td(A568-7),--[1]!td(A568-30)))-价差分析!$T$4&gt;0,IF(价差分析!$W$4="日",--[1]!td(A568-1),IF(价差分析!$W$4="周",--[1]!td(A568-7),--[1]!td(A568-30))),""))</f>
        <v/>
      </c>
      <c r="B569" s="1" t="str">
        <f ca="1">IF(A569="","",[1]!s_dq_close($B$1,A569,$M$4))</f>
        <v/>
      </c>
      <c r="C569" s="1" t="str">
        <f ca="1">IF(A569="","",[1]!s_dq_close($C$1,A569,$M$4))</f>
        <v/>
      </c>
      <c r="D569" s="6" t="str">
        <f ca="1">IF($A569="","",[1]!s_dq_close(D$1,$A569,$M$4))</f>
        <v/>
      </c>
      <c r="E569" s="6" t="str">
        <f ca="1">IF($A569="","",[1]!s_dq_close(E$1,$A569,$M$4))</f>
        <v/>
      </c>
      <c r="F569" s="6" t="str">
        <f ca="1">IF($A569="","",[1]!s_dq_close(F$1,$A569,$M$4))</f>
        <v/>
      </c>
      <c r="G569" s="6"/>
      <c r="H569" s="6" t="str">
        <f ca="1">IF($A569="","",[1]!s_dq_close(H$1,$A569,$M$4))</f>
        <v/>
      </c>
      <c r="I569" s="6" t="str">
        <f ca="1">IF($A569="","",[1]!s_dq_close(I$1,$A569,$M$4))</f>
        <v/>
      </c>
      <c r="J569" s="6" t="str">
        <f t="shared" ca="1" si="9"/>
        <v/>
      </c>
    </row>
    <row r="570" spans="1:10">
      <c r="A570" s="2" t="str">
        <f ca="1">IF(A569="","",IF(IF(价差分析!$W$4="日",--[1]!td(A569-1),IF(价差分析!$W$4="周",--[1]!td(A569-7),--[1]!td(A569-30)))-价差分析!$T$4&gt;0,IF(价差分析!$W$4="日",--[1]!td(A569-1),IF(价差分析!$W$4="周",--[1]!td(A569-7),--[1]!td(A569-30))),""))</f>
        <v/>
      </c>
      <c r="B570" s="1" t="str">
        <f ca="1">IF(A570="","",[1]!s_dq_close($B$1,A570,$M$4))</f>
        <v/>
      </c>
      <c r="C570" s="1" t="str">
        <f ca="1">IF(A570="","",[1]!s_dq_close($C$1,A570,$M$4))</f>
        <v/>
      </c>
      <c r="D570" s="6" t="str">
        <f ca="1">IF($A570="","",[1]!s_dq_close(D$1,$A570,$M$4))</f>
        <v/>
      </c>
      <c r="E570" s="6" t="str">
        <f ca="1">IF($A570="","",[1]!s_dq_close(E$1,$A570,$M$4))</f>
        <v/>
      </c>
      <c r="F570" s="6" t="str">
        <f ca="1">IF($A570="","",[1]!s_dq_close(F$1,$A570,$M$4))</f>
        <v/>
      </c>
      <c r="G570" s="6"/>
      <c r="H570" s="6" t="str">
        <f ca="1">IF($A570="","",[1]!s_dq_close(H$1,$A570,$M$4))</f>
        <v/>
      </c>
      <c r="I570" s="6" t="str">
        <f ca="1">IF($A570="","",[1]!s_dq_close(I$1,$A570,$M$4))</f>
        <v/>
      </c>
      <c r="J570" s="6" t="str">
        <f t="shared" ca="1" si="9"/>
        <v/>
      </c>
    </row>
    <row r="571" spans="1:10">
      <c r="A571" s="2" t="str">
        <f ca="1">IF(A570="","",IF(IF(价差分析!$W$4="日",--[1]!td(A570-1),IF(价差分析!$W$4="周",--[1]!td(A570-7),--[1]!td(A570-30)))-价差分析!$T$4&gt;0,IF(价差分析!$W$4="日",--[1]!td(A570-1),IF(价差分析!$W$4="周",--[1]!td(A570-7),--[1]!td(A570-30))),""))</f>
        <v/>
      </c>
      <c r="B571" s="1" t="str">
        <f ca="1">IF(A571="","",[1]!s_dq_close($B$1,A571,$M$4))</f>
        <v/>
      </c>
      <c r="C571" s="1" t="str">
        <f ca="1">IF(A571="","",[1]!s_dq_close($C$1,A571,$M$4))</f>
        <v/>
      </c>
      <c r="D571" s="6" t="str">
        <f ca="1">IF($A571="","",[1]!s_dq_close(D$1,$A571,$M$4))</f>
        <v/>
      </c>
      <c r="E571" s="6" t="str">
        <f ca="1">IF($A571="","",[1]!s_dq_close(E$1,$A571,$M$4))</f>
        <v/>
      </c>
      <c r="F571" s="6" t="str">
        <f ca="1">IF($A571="","",[1]!s_dq_close(F$1,$A571,$M$4))</f>
        <v/>
      </c>
      <c r="G571" s="6"/>
      <c r="H571" s="6" t="str">
        <f ca="1">IF($A571="","",[1]!s_dq_close(H$1,$A571,$M$4))</f>
        <v/>
      </c>
      <c r="I571" s="6" t="str">
        <f ca="1">IF($A571="","",[1]!s_dq_close(I$1,$A571,$M$4))</f>
        <v/>
      </c>
      <c r="J571" s="6" t="str">
        <f t="shared" ca="1" si="9"/>
        <v/>
      </c>
    </row>
    <row r="572" spans="1:10">
      <c r="A572" s="2" t="str">
        <f ca="1">IF(A571="","",IF(IF(价差分析!$W$4="日",--[1]!td(A571-1),IF(价差分析!$W$4="周",--[1]!td(A571-7),--[1]!td(A571-30)))-价差分析!$T$4&gt;0,IF(价差分析!$W$4="日",--[1]!td(A571-1),IF(价差分析!$W$4="周",--[1]!td(A571-7),--[1]!td(A571-30))),""))</f>
        <v/>
      </c>
      <c r="B572" s="1" t="str">
        <f ca="1">IF(A572="","",[1]!s_dq_close($B$1,A572,$M$4))</f>
        <v/>
      </c>
      <c r="C572" s="1" t="str">
        <f ca="1">IF(A572="","",[1]!s_dq_close($C$1,A572,$M$4))</f>
        <v/>
      </c>
      <c r="D572" s="6" t="str">
        <f ca="1">IF($A572="","",[1]!s_dq_close(D$1,$A572,$M$4))</f>
        <v/>
      </c>
      <c r="E572" s="6" t="str">
        <f ca="1">IF($A572="","",[1]!s_dq_close(E$1,$A572,$M$4))</f>
        <v/>
      </c>
      <c r="F572" s="6" t="str">
        <f ca="1">IF($A572="","",[1]!s_dq_close(F$1,$A572,$M$4))</f>
        <v/>
      </c>
      <c r="G572" s="6"/>
      <c r="H572" s="6" t="str">
        <f ca="1">IF($A572="","",[1]!s_dq_close(H$1,$A572,$M$4))</f>
        <v/>
      </c>
      <c r="I572" s="6" t="str">
        <f ca="1">IF($A572="","",[1]!s_dq_close(I$1,$A572,$M$4))</f>
        <v/>
      </c>
      <c r="J572" s="6" t="str">
        <f t="shared" ca="1" si="9"/>
        <v/>
      </c>
    </row>
    <row r="573" spans="1:10">
      <c r="A573" s="2" t="str">
        <f ca="1">IF(A572="","",IF(IF(价差分析!$W$4="日",--[1]!td(A572-1),IF(价差分析!$W$4="周",--[1]!td(A572-7),--[1]!td(A572-30)))-价差分析!$T$4&gt;0,IF(价差分析!$W$4="日",--[1]!td(A572-1),IF(价差分析!$W$4="周",--[1]!td(A572-7),--[1]!td(A572-30))),""))</f>
        <v/>
      </c>
      <c r="B573" s="1" t="str">
        <f ca="1">IF(A573="","",[1]!s_dq_close($B$1,A573,$M$4))</f>
        <v/>
      </c>
      <c r="C573" s="1" t="str">
        <f ca="1">IF(A573="","",[1]!s_dq_close($C$1,A573,$M$4))</f>
        <v/>
      </c>
      <c r="D573" s="6" t="str">
        <f ca="1">IF($A573="","",[1]!s_dq_close(D$1,$A573,$M$4))</f>
        <v/>
      </c>
      <c r="E573" s="6" t="str">
        <f ca="1">IF($A573="","",[1]!s_dq_close(E$1,$A573,$M$4))</f>
        <v/>
      </c>
      <c r="F573" s="6" t="str">
        <f ca="1">IF($A573="","",[1]!s_dq_close(F$1,$A573,$M$4))</f>
        <v/>
      </c>
      <c r="G573" s="6"/>
      <c r="H573" s="6" t="str">
        <f ca="1">IF($A573="","",[1]!s_dq_close(H$1,$A573,$M$4))</f>
        <v/>
      </c>
      <c r="I573" s="6" t="str">
        <f ca="1">IF($A573="","",[1]!s_dq_close(I$1,$A573,$M$4))</f>
        <v/>
      </c>
      <c r="J573" s="6" t="str">
        <f t="shared" ca="1" si="9"/>
        <v/>
      </c>
    </row>
    <row r="574" spans="1:10">
      <c r="A574" s="2" t="str">
        <f ca="1">IF(A573="","",IF(IF(价差分析!$W$4="日",--[1]!td(A573-1),IF(价差分析!$W$4="周",--[1]!td(A573-7),--[1]!td(A573-30)))-价差分析!$T$4&gt;0,IF(价差分析!$W$4="日",--[1]!td(A573-1),IF(价差分析!$W$4="周",--[1]!td(A573-7),--[1]!td(A573-30))),""))</f>
        <v/>
      </c>
      <c r="B574" s="1" t="str">
        <f ca="1">IF(A574="","",[1]!s_dq_close($B$1,A574,$M$4))</f>
        <v/>
      </c>
      <c r="C574" s="1" t="str">
        <f ca="1">IF(A574="","",[1]!s_dq_close($C$1,A574,$M$4))</f>
        <v/>
      </c>
      <c r="D574" s="6" t="str">
        <f ca="1">IF($A574="","",[1]!s_dq_close(D$1,$A574,$M$4))</f>
        <v/>
      </c>
      <c r="E574" s="6" t="str">
        <f ca="1">IF($A574="","",[1]!s_dq_close(E$1,$A574,$M$4))</f>
        <v/>
      </c>
      <c r="F574" s="6" t="str">
        <f ca="1">IF($A574="","",[1]!s_dq_close(F$1,$A574,$M$4))</f>
        <v/>
      </c>
      <c r="G574" s="6"/>
      <c r="H574" s="6" t="str">
        <f ca="1">IF($A574="","",[1]!s_dq_close(H$1,$A574,$M$4))</f>
        <v/>
      </c>
      <c r="I574" s="6" t="str">
        <f ca="1">IF($A574="","",[1]!s_dq_close(I$1,$A574,$M$4))</f>
        <v/>
      </c>
      <c r="J574" s="6" t="str">
        <f t="shared" ca="1" si="9"/>
        <v/>
      </c>
    </row>
    <row r="575" spans="1:10">
      <c r="A575" s="2" t="str">
        <f ca="1">IF(A574="","",IF(IF(价差分析!$W$4="日",--[1]!td(A574-1),IF(价差分析!$W$4="周",--[1]!td(A574-7),--[1]!td(A574-30)))-价差分析!$T$4&gt;0,IF(价差分析!$W$4="日",--[1]!td(A574-1),IF(价差分析!$W$4="周",--[1]!td(A574-7),--[1]!td(A574-30))),""))</f>
        <v/>
      </c>
      <c r="B575" s="1" t="str">
        <f ca="1">IF(A575="","",[1]!s_dq_close($B$1,A575,$M$4))</f>
        <v/>
      </c>
      <c r="C575" s="1" t="str">
        <f ca="1">IF(A575="","",[1]!s_dq_close($C$1,A575,$M$4))</f>
        <v/>
      </c>
      <c r="D575" s="6" t="str">
        <f ca="1">IF($A575="","",[1]!s_dq_close(D$1,$A575,$M$4))</f>
        <v/>
      </c>
      <c r="E575" s="6" t="str">
        <f ca="1">IF($A575="","",[1]!s_dq_close(E$1,$A575,$M$4))</f>
        <v/>
      </c>
      <c r="F575" s="6" t="str">
        <f ca="1">IF($A575="","",[1]!s_dq_close(F$1,$A575,$M$4))</f>
        <v/>
      </c>
      <c r="G575" s="6"/>
      <c r="H575" s="6" t="str">
        <f ca="1">IF($A575="","",[1]!s_dq_close(H$1,$A575,$M$4))</f>
        <v/>
      </c>
      <c r="I575" s="6" t="str">
        <f ca="1">IF($A575="","",[1]!s_dq_close(I$1,$A575,$M$4))</f>
        <v/>
      </c>
      <c r="J575" s="6" t="str">
        <f t="shared" ca="1" si="9"/>
        <v/>
      </c>
    </row>
    <row r="576" spans="1:10">
      <c r="A576" s="2" t="str">
        <f ca="1">IF(A575="","",IF(IF(价差分析!$W$4="日",--[1]!td(A575-1),IF(价差分析!$W$4="周",--[1]!td(A575-7),--[1]!td(A575-30)))-价差分析!$T$4&gt;0,IF(价差分析!$W$4="日",--[1]!td(A575-1),IF(价差分析!$W$4="周",--[1]!td(A575-7),--[1]!td(A575-30))),""))</f>
        <v/>
      </c>
      <c r="B576" s="1" t="str">
        <f ca="1">IF(A576="","",[1]!s_dq_close($B$1,A576,$M$4))</f>
        <v/>
      </c>
      <c r="C576" s="1" t="str">
        <f ca="1">IF(A576="","",[1]!s_dq_close($C$1,A576,$M$4))</f>
        <v/>
      </c>
      <c r="D576" s="6" t="str">
        <f ca="1">IF($A576="","",[1]!s_dq_close(D$1,$A576,$M$4))</f>
        <v/>
      </c>
      <c r="E576" s="6" t="str">
        <f ca="1">IF($A576="","",[1]!s_dq_close(E$1,$A576,$M$4))</f>
        <v/>
      </c>
      <c r="F576" s="6" t="str">
        <f ca="1">IF($A576="","",[1]!s_dq_close(F$1,$A576,$M$4))</f>
        <v/>
      </c>
      <c r="G576" s="6"/>
      <c r="H576" s="6" t="str">
        <f ca="1">IF($A576="","",[1]!s_dq_close(H$1,$A576,$M$4))</f>
        <v/>
      </c>
      <c r="I576" s="6" t="str">
        <f ca="1">IF($A576="","",[1]!s_dq_close(I$1,$A576,$M$4))</f>
        <v/>
      </c>
      <c r="J576" s="6" t="str">
        <f t="shared" ca="1" si="9"/>
        <v/>
      </c>
    </row>
    <row r="577" spans="1:10">
      <c r="A577" s="2" t="str">
        <f ca="1">IF(A576="","",IF(IF(价差分析!$W$4="日",--[1]!td(A576-1),IF(价差分析!$W$4="周",--[1]!td(A576-7),--[1]!td(A576-30)))-价差分析!$T$4&gt;0,IF(价差分析!$W$4="日",--[1]!td(A576-1),IF(价差分析!$W$4="周",--[1]!td(A576-7),--[1]!td(A576-30))),""))</f>
        <v/>
      </c>
      <c r="B577" s="1" t="str">
        <f ca="1">IF(A577="","",[1]!s_dq_close($B$1,A577,$M$4))</f>
        <v/>
      </c>
      <c r="C577" s="1" t="str">
        <f ca="1">IF(A577="","",[1]!s_dq_close($C$1,A577,$M$4))</f>
        <v/>
      </c>
      <c r="D577" s="6" t="str">
        <f ca="1">IF($A577="","",[1]!s_dq_close(D$1,$A577,$M$4))</f>
        <v/>
      </c>
      <c r="E577" s="6" t="str">
        <f ca="1">IF($A577="","",[1]!s_dq_close(E$1,$A577,$M$4))</f>
        <v/>
      </c>
      <c r="F577" s="6" t="str">
        <f ca="1">IF($A577="","",[1]!s_dq_close(F$1,$A577,$M$4))</f>
        <v/>
      </c>
      <c r="G577" s="6"/>
      <c r="H577" s="6" t="str">
        <f ca="1">IF($A577="","",[1]!s_dq_close(H$1,$A577,$M$4))</f>
        <v/>
      </c>
      <c r="I577" s="6" t="str">
        <f ca="1">IF($A577="","",[1]!s_dq_close(I$1,$A577,$M$4))</f>
        <v/>
      </c>
      <c r="J577" s="6" t="str">
        <f t="shared" ca="1" si="9"/>
        <v/>
      </c>
    </row>
    <row r="578" spans="1:10">
      <c r="A578" s="2" t="str">
        <f ca="1">IF(A577="","",IF(IF(价差分析!$W$4="日",--[1]!td(A577-1),IF(价差分析!$W$4="周",--[1]!td(A577-7),--[1]!td(A577-30)))-价差分析!$T$4&gt;0,IF(价差分析!$W$4="日",--[1]!td(A577-1),IF(价差分析!$W$4="周",--[1]!td(A577-7),--[1]!td(A577-30))),""))</f>
        <v/>
      </c>
      <c r="B578" s="1" t="str">
        <f ca="1">IF(A578="","",[1]!s_dq_close($B$1,A578,$M$4))</f>
        <v/>
      </c>
      <c r="C578" s="1" t="str">
        <f ca="1">IF(A578="","",[1]!s_dq_close($C$1,A578,$M$4))</f>
        <v/>
      </c>
      <c r="D578" s="6" t="str">
        <f ca="1">IF($A578="","",[1]!s_dq_close(D$1,$A578,$M$4))</f>
        <v/>
      </c>
      <c r="E578" s="6" t="str">
        <f ca="1">IF($A578="","",[1]!s_dq_close(E$1,$A578,$M$4))</f>
        <v/>
      </c>
      <c r="F578" s="6" t="str">
        <f ca="1">IF($A578="","",[1]!s_dq_close(F$1,$A578,$M$4))</f>
        <v/>
      </c>
      <c r="G578" s="6"/>
      <c r="H578" s="6" t="str">
        <f ca="1">IF($A578="","",[1]!s_dq_close(H$1,$A578,$M$4))</f>
        <v/>
      </c>
      <c r="I578" s="6" t="str">
        <f ca="1">IF($A578="","",[1]!s_dq_close(I$1,$A578,$M$4))</f>
        <v/>
      </c>
      <c r="J578" s="6" t="str">
        <f t="shared" ca="1" si="9"/>
        <v/>
      </c>
    </row>
    <row r="579" spans="1:10">
      <c r="A579" s="2" t="str">
        <f ca="1">IF(A578="","",IF(IF(价差分析!$W$4="日",--[1]!td(A578-1),IF(价差分析!$W$4="周",--[1]!td(A578-7),--[1]!td(A578-30)))-价差分析!$T$4&gt;0,IF(价差分析!$W$4="日",--[1]!td(A578-1),IF(价差分析!$W$4="周",--[1]!td(A578-7),--[1]!td(A578-30))),""))</f>
        <v/>
      </c>
      <c r="B579" s="1" t="str">
        <f ca="1">IF(A579="","",[1]!s_dq_close($B$1,A579,$M$4))</f>
        <v/>
      </c>
      <c r="C579" s="1" t="str">
        <f ca="1">IF(A579="","",[1]!s_dq_close($C$1,A579,$M$4))</f>
        <v/>
      </c>
      <c r="D579" s="6" t="str">
        <f ca="1">IF($A579="","",[1]!s_dq_close(D$1,$A579,$M$4))</f>
        <v/>
      </c>
      <c r="E579" s="6" t="str">
        <f ca="1">IF($A579="","",[1]!s_dq_close(E$1,$A579,$M$4))</f>
        <v/>
      </c>
      <c r="F579" s="6" t="str">
        <f ca="1">IF($A579="","",[1]!s_dq_close(F$1,$A579,$M$4))</f>
        <v/>
      </c>
      <c r="G579" s="6"/>
      <c r="H579" s="6" t="str">
        <f ca="1">IF($A579="","",[1]!s_dq_close(H$1,$A579,$M$4))</f>
        <v/>
      </c>
      <c r="I579" s="6" t="str">
        <f ca="1">IF($A579="","",[1]!s_dq_close(I$1,$A579,$M$4))</f>
        <v/>
      </c>
      <c r="J579" s="6" t="str">
        <f t="shared" ca="1" si="9"/>
        <v/>
      </c>
    </row>
    <row r="580" spans="1:10">
      <c r="A580" s="2" t="str">
        <f ca="1">IF(A579="","",IF(IF(价差分析!$W$4="日",--[1]!td(A579-1),IF(价差分析!$W$4="周",--[1]!td(A579-7),--[1]!td(A579-30)))-价差分析!$T$4&gt;0,IF(价差分析!$W$4="日",--[1]!td(A579-1),IF(价差分析!$W$4="周",--[1]!td(A579-7),--[1]!td(A579-30))),""))</f>
        <v/>
      </c>
      <c r="B580" s="1" t="str">
        <f ca="1">IF(A580="","",[1]!s_dq_close($B$1,A580,$M$4))</f>
        <v/>
      </c>
      <c r="C580" s="1" t="str">
        <f ca="1">IF(A580="","",[1]!s_dq_close($C$1,A580,$M$4))</f>
        <v/>
      </c>
      <c r="D580" s="6" t="str">
        <f ca="1">IF($A580="","",[1]!s_dq_close(D$1,$A580,$M$4))</f>
        <v/>
      </c>
      <c r="E580" s="6" t="str">
        <f ca="1">IF($A580="","",[1]!s_dq_close(E$1,$A580,$M$4))</f>
        <v/>
      </c>
      <c r="F580" s="6" t="str">
        <f ca="1">IF($A580="","",[1]!s_dq_close(F$1,$A580,$M$4))</f>
        <v/>
      </c>
      <c r="G580" s="6"/>
      <c r="H580" s="6" t="str">
        <f ca="1">IF($A580="","",[1]!s_dq_close(H$1,$A580,$M$4))</f>
        <v/>
      </c>
      <c r="I580" s="6" t="str">
        <f ca="1">IF($A580="","",[1]!s_dq_close(I$1,$A580,$M$4))</f>
        <v/>
      </c>
      <c r="J580" s="6" t="str">
        <f t="shared" ca="1" si="9"/>
        <v/>
      </c>
    </row>
    <row r="581" spans="1:10">
      <c r="A581" s="2" t="str">
        <f ca="1">IF(A580="","",IF(IF(价差分析!$W$4="日",--[1]!td(A580-1),IF(价差分析!$W$4="周",--[1]!td(A580-7),--[1]!td(A580-30)))-价差分析!$T$4&gt;0,IF(价差分析!$W$4="日",--[1]!td(A580-1),IF(价差分析!$W$4="周",--[1]!td(A580-7),--[1]!td(A580-30))),""))</f>
        <v/>
      </c>
      <c r="B581" s="1" t="str">
        <f ca="1">IF(A581="","",[1]!s_dq_close($B$1,A581,$M$4))</f>
        <v/>
      </c>
      <c r="C581" s="1" t="str">
        <f ca="1">IF(A581="","",[1]!s_dq_close($C$1,A581,$M$4))</f>
        <v/>
      </c>
      <c r="D581" s="6" t="str">
        <f ca="1">IF($A581="","",[1]!s_dq_close(D$1,$A581,$M$4))</f>
        <v/>
      </c>
      <c r="E581" s="6" t="str">
        <f ca="1">IF($A581="","",[1]!s_dq_close(E$1,$A581,$M$4))</f>
        <v/>
      </c>
      <c r="F581" s="6" t="str">
        <f ca="1">IF($A581="","",[1]!s_dq_close(F$1,$A581,$M$4))</f>
        <v/>
      </c>
      <c r="G581" s="6"/>
      <c r="H581" s="6" t="str">
        <f ca="1">IF($A581="","",[1]!s_dq_close(H$1,$A581,$M$4))</f>
        <v/>
      </c>
      <c r="I581" s="6" t="str">
        <f ca="1">IF($A581="","",[1]!s_dq_close(I$1,$A581,$M$4))</f>
        <v/>
      </c>
      <c r="J581" s="6" t="str">
        <f t="shared" ref="J581:J644" ca="1" si="10">IF(H581="","",H581-I581)</f>
        <v/>
      </c>
    </row>
    <row r="582" spans="1:10">
      <c r="A582" s="2" t="str">
        <f ca="1">IF(A581="","",IF(IF(价差分析!$W$4="日",--[1]!td(A581-1),IF(价差分析!$W$4="周",--[1]!td(A581-7),--[1]!td(A581-30)))-价差分析!$T$4&gt;0,IF(价差分析!$W$4="日",--[1]!td(A581-1),IF(价差分析!$W$4="周",--[1]!td(A581-7),--[1]!td(A581-30))),""))</f>
        <v/>
      </c>
      <c r="B582" s="1" t="str">
        <f ca="1">IF(A582="","",[1]!s_dq_close($B$1,A582,$M$4))</f>
        <v/>
      </c>
      <c r="C582" s="1" t="str">
        <f ca="1">IF(A582="","",[1]!s_dq_close($C$1,A582,$M$4))</f>
        <v/>
      </c>
      <c r="D582" s="6" t="str">
        <f ca="1">IF($A582="","",[1]!s_dq_close(D$1,$A582,$M$4))</f>
        <v/>
      </c>
      <c r="E582" s="6" t="str">
        <f ca="1">IF($A582="","",[1]!s_dq_close(E$1,$A582,$M$4))</f>
        <v/>
      </c>
      <c r="F582" s="6" t="str">
        <f ca="1">IF($A582="","",[1]!s_dq_close(F$1,$A582,$M$4))</f>
        <v/>
      </c>
      <c r="G582" s="6"/>
      <c r="H582" s="6" t="str">
        <f ca="1">IF($A582="","",[1]!s_dq_close(H$1,$A582,$M$4))</f>
        <v/>
      </c>
      <c r="I582" s="6" t="str">
        <f ca="1">IF($A582="","",[1]!s_dq_close(I$1,$A582,$M$4))</f>
        <v/>
      </c>
      <c r="J582" s="6" t="str">
        <f t="shared" ca="1" si="10"/>
        <v/>
      </c>
    </row>
    <row r="583" spans="1:10">
      <c r="A583" s="2" t="str">
        <f ca="1">IF(A582="","",IF(IF(价差分析!$W$4="日",--[1]!td(A582-1),IF(价差分析!$W$4="周",--[1]!td(A582-7),--[1]!td(A582-30)))-价差分析!$T$4&gt;0,IF(价差分析!$W$4="日",--[1]!td(A582-1),IF(价差分析!$W$4="周",--[1]!td(A582-7),--[1]!td(A582-30))),""))</f>
        <v/>
      </c>
      <c r="B583" s="1" t="str">
        <f ca="1">IF(A583="","",[1]!s_dq_close($B$1,A583,$M$4))</f>
        <v/>
      </c>
      <c r="C583" s="1" t="str">
        <f ca="1">IF(A583="","",[1]!s_dq_close($C$1,A583,$M$4))</f>
        <v/>
      </c>
      <c r="D583" s="6" t="str">
        <f ca="1">IF($A583="","",[1]!s_dq_close(D$1,$A583,$M$4))</f>
        <v/>
      </c>
      <c r="E583" s="6" t="str">
        <f ca="1">IF($A583="","",[1]!s_dq_close(E$1,$A583,$M$4))</f>
        <v/>
      </c>
      <c r="F583" s="6" t="str">
        <f ca="1">IF($A583="","",[1]!s_dq_close(F$1,$A583,$M$4))</f>
        <v/>
      </c>
      <c r="G583" s="6"/>
      <c r="H583" s="6" t="str">
        <f ca="1">IF($A583="","",[1]!s_dq_close(H$1,$A583,$M$4))</f>
        <v/>
      </c>
      <c r="I583" s="6" t="str">
        <f ca="1">IF($A583="","",[1]!s_dq_close(I$1,$A583,$M$4))</f>
        <v/>
      </c>
      <c r="J583" s="6" t="str">
        <f t="shared" ca="1" si="10"/>
        <v/>
      </c>
    </row>
    <row r="584" spans="1:10">
      <c r="A584" s="2" t="str">
        <f ca="1">IF(A583="","",IF(IF(价差分析!$W$4="日",--[1]!td(A583-1),IF(价差分析!$W$4="周",--[1]!td(A583-7),--[1]!td(A583-30)))-价差分析!$T$4&gt;0,IF(价差分析!$W$4="日",--[1]!td(A583-1),IF(价差分析!$W$4="周",--[1]!td(A583-7),--[1]!td(A583-30))),""))</f>
        <v/>
      </c>
      <c r="B584" s="1" t="str">
        <f ca="1">IF(A584="","",[1]!s_dq_close($B$1,A584,$M$4))</f>
        <v/>
      </c>
      <c r="C584" s="1" t="str">
        <f ca="1">IF(A584="","",[1]!s_dq_close($C$1,A584,$M$4))</f>
        <v/>
      </c>
      <c r="D584" s="6" t="str">
        <f ca="1">IF($A584="","",[1]!s_dq_close(D$1,$A584,$M$4))</f>
        <v/>
      </c>
      <c r="E584" s="6" t="str">
        <f ca="1">IF($A584="","",[1]!s_dq_close(E$1,$A584,$M$4))</f>
        <v/>
      </c>
      <c r="F584" s="6" t="str">
        <f ca="1">IF($A584="","",[1]!s_dq_close(F$1,$A584,$M$4))</f>
        <v/>
      </c>
      <c r="G584" s="6"/>
      <c r="H584" s="6" t="str">
        <f ca="1">IF($A584="","",[1]!s_dq_close(H$1,$A584,$M$4))</f>
        <v/>
      </c>
      <c r="I584" s="6" t="str">
        <f ca="1">IF($A584="","",[1]!s_dq_close(I$1,$A584,$M$4))</f>
        <v/>
      </c>
      <c r="J584" s="6" t="str">
        <f t="shared" ca="1" si="10"/>
        <v/>
      </c>
    </row>
    <row r="585" spans="1:10">
      <c r="A585" s="2" t="str">
        <f ca="1">IF(A584="","",IF(IF(价差分析!$W$4="日",--[1]!td(A584-1),IF(价差分析!$W$4="周",--[1]!td(A584-7),--[1]!td(A584-30)))-价差分析!$T$4&gt;0,IF(价差分析!$W$4="日",--[1]!td(A584-1),IF(价差分析!$W$4="周",--[1]!td(A584-7),--[1]!td(A584-30))),""))</f>
        <v/>
      </c>
      <c r="B585" s="1" t="str">
        <f ca="1">IF(A585="","",[1]!s_dq_close($B$1,A585,$M$4))</f>
        <v/>
      </c>
      <c r="C585" s="1" t="str">
        <f ca="1">IF(A585="","",[1]!s_dq_close($C$1,A585,$M$4))</f>
        <v/>
      </c>
      <c r="D585" s="6" t="str">
        <f ca="1">IF($A585="","",[1]!s_dq_close(D$1,$A585,$M$4))</f>
        <v/>
      </c>
      <c r="E585" s="6" t="str">
        <f ca="1">IF($A585="","",[1]!s_dq_close(E$1,$A585,$M$4))</f>
        <v/>
      </c>
      <c r="F585" s="6" t="str">
        <f ca="1">IF($A585="","",[1]!s_dq_close(F$1,$A585,$M$4))</f>
        <v/>
      </c>
      <c r="G585" s="6"/>
      <c r="H585" s="6" t="str">
        <f ca="1">IF($A585="","",[1]!s_dq_close(H$1,$A585,$M$4))</f>
        <v/>
      </c>
      <c r="I585" s="6" t="str">
        <f ca="1">IF($A585="","",[1]!s_dq_close(I$1,$A585,$M$4))</f>
        <v/>
      </c>
      <c r="J585" s="6" t="str">
        <f t="shared" ca="1" si="10"/>
        <v/>
      </c>
    </row>
    <row r="586" spans="1:10">
      <c r="A586" s="2" t="str">
        <f ca="1">IF(A585="","",IF(IF(价差分析!$W$4="日",--[1]!td(A585-1),IF(价差分析!$W$4="周",--[1]!td(A585-7),--[1]!td(A585-30)))-价差分析!$T$4&gt;0,IF(价差分析!$W$4="日",--[1]!td(A585-1),IF(价差分析!$W$4="周",--[1]!td(A585-7),--[1]!td(A585-30))),""))</f>
        <v/>
      </c>
      <c r="B586" s="1" t="str">
        <f ca="1">IF(A586="","",[1]!s_dq_close($B$1,A586,$M$4))</f>
        <v/>
      </c>
      <c r="C586" s="1" t="str">
        <f ca="1">IF(A586="","",[1]!s_dq_close($C$1,A586,$M$4))</f>
        <v/>
      </c>
      <c r="D586" s="6" t="str">
        <f ca="1">IF($A586="","",[1]!s_dq_close(D$1,$A586,$M$4))</f>
        <v/>
      </c>
      <c r="E586" s="6" t="str">
        <f ca="1">IF($A586="","",[1]!s_dq_close(E$1,$A586,$M$4))</f>
        <v/>
      </c>
      <c r="F586" s="6" t="str">
        <f ca="1">IF($A586="","",[1]!s_dq_close(F$1,$A586,$M$4))</f>
        <v/>
      </c>
      <c r="G586" s="6"/>
      <c r="H586" s="6" t="str">
        <f ca="1">IF($A586="","",[1]!s_dq_close(H$1,$A586,$M$4))</f>
        <v/>
      </c>
      <c r="I586" s="6" t="str">
        <f ca="1">IF($A586="","",[1]!s_dq_close(I$1,$A586,$M$4))</f>
        <v/>
      </c>
      <c r="J586" s="6" t="str">
        <f t="shared" ca="1" si="10"/>
        <v/>
      </c>
    </row>
    <row r="587" spans="1:10">
      <c r="A587" s="2" t="str">
        <f ca="1">IF(A586="","",IF(IF(价差分析!$W$4="日",--[1]!td(A586-1),IF(价差分析!$W$4="周",--[1]!td(A586-7),--[1]!td(A586-30)))-价差分析!$T$4&gt;0,IF(价差分析!$W$4="日",--[1]!td(A586-1),IF(价差分析!$W$4="周",--[1]!td(A586-7),--[1]!td(A586-30))),""))</f>
        <v/>
      </c>
      <c r="B587" s="1" t="str">
        <f ca="1">IF(A587="","",[1]!s_dq_close($B$1,A587,$M$4))</f>
        <v/>
      </c>
      <c r="C587" s="1" t="str">
        <f ca="1">IF(A587="","",[1]!s_dq_close($C$1,A587,$M$4))</f>
        <v/>
      </c>
      <c r="D587" s="6" t="str">
        <f ca="1">IF($A587="","",[1]!s_dq_close(D$1,$A587,$M$4))</f>
        <v/>
      </c>
      <c r="E587" s="6" t="str">
        <f ca="1">IF($A587="","",[1]!s_dq_close(E$1,$A587,$M$4))</f>
        <v/>
      </c>
      <c r="F587" s="6" t="str">
        <f ca="1">IF($A587="","",[1]!s_dq_close(F$1,$A587,$M$4))</f>
        <v/>
      </c>
      <c r="G587" s="6"/>
      <c r="H587" s="6" t="str">
        <f ca="1">IF($A587="","",[1]!s_dq_close(H$1,$A587,$M$4))</f>
        <v/>
      </c>
      <c r="I587" s="6" t="str">
        <f ca="1">IF($A587="","",[1]!s_dq_close(I$1,$A587,$M$4))</f>
        <v/>
      </c>
      <c r="J587" s="6" t="str">
        <f t="shared" ca="1" si="10"/>
        <v/>
      </c>
    </row>
    <row r="588" spans="1:10">
      <c r="A588" s="2" t="str">
        <f ca="1">IF(A587="","",IF(IF(价差分析!$W$4="日",--[1]!td(A587-1),IF(价差分析!$W$4="周",--[1]!td(A587-7),--[1]!td(A587-30)))-价差分析!$T$4&gt;0,IF(价差分析!$W$4="日",--[1]!td(A587-1),IF(价差分析!$W$4="周",--[1]!td(A587-7),--[1]!td(A587-30))),""))</f>
        <v/>
      </c>
      <c r="B588" s="1" t="str">
        <f ca="1">IF(A588="","",[1]!s_dq_close($B$1,A588,$M$4))</f>
        <v/>
      </c>
      <c r="C588" s="1" t="str">
        <f ca="1">IF(A588="","",[1]!s_dq_close($C$1,A588,$M$4))</f>
        <v/>
      </c>
      <c r="D588" s="6" t="str">
        <f ca="1">IF($A588="","",[1]!s_dq_close(D$1,$A588,$M$4))</f>
        <v/>
      </c>
      <c r="E588" s="6" t="str">
        <f ca="1">IF($A588="","",[1]!s_dq_close(E$1,$A588,$M$4))</f>
        <v/>
      </c>
      <c r="F588" s="6" t="str">
        <f ca="1">IF($A588="","",[1]!s_dq_close(F$1,$A588,$M$4))</f>
        <v/>
      </c>
      <c r="G588" s="6"/>
      <c r="H588" s="6" t="str">
        <f ca="1">IF($A588="","",[1]!s_dq_close(H$1,$A588,$M$4))</f>
        <v/>
      </c>
      <c r="I588" s="6" t="str">
        <f ca="1">IF($A588="","",[1]!s_dq_close(I$1,$A588,$M$4))</f>
        <v/>
      </c>
      <c r="J588" s="6" t="str">
        <f t="shared" ca="1" si="10"/>
        <v/>
      </c>
    </row>
    <row r="589" spans="1:10">
      <c r="A589" s="2" t="str">
        <f ca="1">IF(A588="","",IF(IF(价差分析!$W$4="日",--[1]!td(A588-1),IF(价差分析!$W$4="周",--[1]!td(A588-7),--[1]!td(A588-30)))-价差分析!$T$4&gt;0,IF(价差分析!$W$4="日",--[1]!td(A588-1),IF(价差分析!$W$4="周",--[1]!td(A588-7),--[1]!td(A588-30))),""))</f>
        <v/>
      </c>
      <c r="B589" s="1" t="str">
        <f ca="1">IF(A589="","",[1]!s_dq_close($B$1,A589,$M$4))</f>
        <v/>
      </c>
      <c r="C589" s="1" t="str">
        <f ca="1">IF(A589="","",[1]!s_dq_close($C$1,A589,$M$4))</f>
        <v/>
      </c>
      <c r="D589" s="6" t="str">
        <f ca="1">IF($A589="","",[1]!s_dq_close(D$1,$A589,$M$4))</f>
        <v/>
      </c>
      <c r="E589" s="6" t="str">
        <f ca="1">IF($A589="","",[1]!s_dq_close(E$1,$A589,$M$4))</f>
        <v/>
      </c>
      <c r="F589" s="6" t="str">
        <f ca="1">IF($A589="","",[1]!s_dq_close(F$1,$A589,$M$4))</f>
        <v/>
      </c>
      <c r="G589" s="6"/>
      <c r="H589" s="6" t="str">
        <f ca="1">IF($A589="","",[1]!s_dq_close(H$1,$A589,$M$4))</f>
        <v/>
      </c>
      <c r="I589" s="6" t="str">
        <f ca="1">IF($A589="","",[1]!s_dq_close(I$1,$A589,$M$4))</f>
        <v/>
      </c>
      <c r="J589" s="6" t="str">
        <f t="shared" ca="1" si="10"/>
        <v/>
      </c>
    </row>
    <row r="590" spans="1:10">
      <c r="A590" s="2" t="str">
        <f ca="1">IF(A589="","",IF(IF(价差分析!$W$4="日",--[1]!td(A589-1),IF(价差分析!$W$4="周",--[1]!td(A589-7),--[1]!td(A589-30)))-价差分析!$T$4&gt;0,IF(价差分析!$W$4="日",--[1]!td(A589-1),IF(价差分析!$W$4="周",--[1]!td(A589-7),--[1]!td(A589-30))),""))</f>
        <v/>
      </c>
      <c r="B590" s="1" t="str">
        <f ca="1">IF(A590="","",[1]!s_dq_close($B$1,A590,$M$4))</f>
        <v/>
      </c>
      <c r="C590" s="1" t="str">
        <f ca="1">IF(A590="","",[1]!s_dq_close($C$1,A590,$M$4))</f>
        <v/>
      </c>
      <c r="D590" s="6" t="str">
        <f ca="1">IF($A590="","",[1]!s_dq_close(D$1,$A590,$M$4))</f>
        <v/>
      </c>
      <c r="E590" s="6" t="str">
        <f ca="1">IF($A590="","",[1]!s_dq_close(E$1,$A590,$M$4))</f>
        <v/>
      </c>
      <c r="F590" s="6" t="str">
        <f ca="1">IF($A590="","",[1]!s_dq_close(F$1,$A590,$M$4))</f>
        <v/>
      </c>
      <c r="G590" s="6"/>
      <c r="H590" s="6" t="str">
        <f ca="1">IF($A590="","",[1]!s_dq_close(H$1,$A590,$M$4))</f>
        <v/>
      </c>
      <c r="I590" s="6" t="str">
        <f ca="1">IF($A590="","",[1]!s_dq_close(I$1,$A590,$M$4))</f>
        <v/>
      </c>
      <c r="J590" s="6" t="str">
        <f t="shared" ca="1" si="10"/>
        <v/>
      </c>
    </row>
    <row r="591" spans="1:10">
      <c r="A591" s="2" t="str">
        <f ca="1">IF(A590="","",IF(IF(价差分析!$W$4="日",--[1]!td(A590-1),IF(价差分析!$W$4="周",--[1]!td(A590-7),--[1]!td(A590-30)))-价差分析!$T$4&gt;0,IF(价差分析!$W$4="日",--[1]!td(A590-1),IF(价差分析!$W$4="周",--[1]!td(A590-7),--[1]!td(A590-30))),""))</f>
        <v/>
      </c>
      <c r="B591" s="1" t="str">
        <f ca="1">IF(A591="","",[1]!s_dq_close($B$1,A591,$M$4))</f>
        <v/>
      </c>
      <c r="C591" s="1" t="str">
        <f ca="1">IF(A591="","",[1]!s_dq_close($C$1,A591,$M$4))</f>
        <v/>
      </c>
      <c r="D591" s="6" t="str">
        <f ca="1">IF($A591="","",[1]!s_dq_close(D$1,$A591,$M$4))</f>
        <v/>
      </c>
      <c r="E591" s="6" t="str">
        <f ca="1">IF($A591="","",[1]!s_dq_close(E$1,$A591,$M$4))</f>
        <v/>
      </c>
      <c r="F591" s="6" t="str">
        <f ca="1">IF($A591="","",[1]!s_dq_close(F$1,$A591,$M$4))</f>
        <v/>
      </c>
      <c r="G591" s="6"/>
      <c r="H591" s="6" t="str">
        <f ca="1">IF($A591="","",[1]!s_dq_close(H$1,$A591,$M$4))</f>
        <v/>
      </c>
      <c r="I591" s="6" t="str">
        <f ca="1">IF($A591="","",[1]!s_dq_close(I$1,$A591,$M$4))</f>
        <v/>
      </c>
      <c r="J591" s="6" t="str">
        <f t="shared" ca="1" si="10"/>
        <v/>
      </c>
    </row>
    <row r="592" spans="1:10">
      <c r="A592" s="2" t="str">
        <f ca="1">IF(A591="","",IF(IF(价差分析!$W$4="日",--[1]!td(A591-1),IF(价差分析!$W$4="周",--[1]!td(A591-7),--[1]!td(A591-30)))-价差分析!$T$4&gt;0,IF(价差分析!$W$4="日",--[1]!td(A591-1),IF(价差分析!$W$4="周",--[1]!td(A591-7),--[1]!td(A591-30))),""))</f>
        <v/>
      </c>
      <c r="B592" s="1" t="str">
        <f ca="1">IF(A592="","",[1]!s_dq_close($B$1,A592,$M$4))</f>
        <v/>
      </c>
      <c r="C592" s="1" t="str">
        <f ca="1">IF(A592="","",[1]!s_dq_close($C$1,A592,$M$4))</f>
        <v/>
      </c>
      <c r="D592" s="6" t="str">
        <f ca="1">IF($A592="","",[1]!s_dq_close(D$1,$A592,$M$4))</f>
        <v/>
      </c>
      <c r="E592" s="6" t="str">
        <f ca="1">IF($A592="","",[1]!s_dq_close(E$1,$A592,$M$4))</f>
        <v/>
      </c>
      <c r="F592" s="6" t="str">
        <f ca="1">IF($A592="","",[1]!s_dq_close(F$1,$A592,$M$4))</f>
        <v/>
      </c>
      <c r="G592" s="6"/>
      <c r="H592" s="6" t="str">
        <f ca="1">IF($A592="","",[1]!s_dq_close(H$1,$A592,$M$4))</f>
        <v/>
      </c>
      <c r="I592" s="6" t="str">
        <f ca="1">IF($A592="","",[1]!s_dq_close(I$1,$A592,$M$4))</f>
        <v/>
      </c>
      <c r="J592" s="6" t="str">
        <f t="shared" ca="1" si="10"/>
        <v/>
      </c>
    </row>
    <row r="593" spans="1:10">
      <c r="A593" s="2" t="str">
        <f ca="1">IF(A592="","",IF(IF(价差分析!$W$4="日",--[1]!td(A592-1),IF(价差分析!$W$4="周",--[1]!td(A592-7),--[1]!td(A592-30)))-价差分析!$T$4&gt;0,IF(价差分析!$W$4="日",--[1]!td(A592-1),IF(价差分析!$W$4="周",--[1]!td(A592-7),--[1]!td(A592-30))),""))</f>
        <v/>
      </c>
      <c r="B593" s="1" t="str">
        <f ca="1">IF(A593="","",[1]!s_dq_close($B$1,A593,$M$4))</f>
        <v/>
      </c>
      <c r="C593" s="1" t="str">
        <f ca="1">IF(A593="","",[1]!s_dq_close($C$1,A593,$M$4))</f>
        <v/>
      </c>
      <c r="D593" s="6" t="str">
        <f ca="1">IF($A593="","",[1]!s_dq_close(D$1,$A593,$M$4))</f>
        <v/>
      </c>
      <c r="E593" s="6" t="str">
        <f ca="1">IF($A593="","",[1]!s_dq_close(E$1,$A593,$M$4))</f>
        <v/>
      </c>
      <c r="F593" s="6" t="str">
        <f ca="1">IF($A593="","",[1]!s_dq_close(F$1,$A593,$M$4))</f>
        <v/>
      </c>
      <c r="G593" s="6"/>
      <c r="H593" s="6" t="str">
        <f ca="1">IF($A593="","",[1]!s_dq_close(H$1,$A593,$M$4))</f>
        <v/>
      </c>
      <c r="I593" s="6" t="str">
        <f ca="1">IF($A593="","",[1]!s_dq_close(I$1,$A593,$M$4))</f>
        <v/>
      </c>
      <c r="J593" s="6" t="str">
        <f t="shared" ca="1" si="10"/>
        <v/>
      </c>
    </row>
    <row r="594" spans="1:10">
      <c r="A594" s="2" t="str">
        <f ca="1">IF(A593="","",IF(IF(价差分析!$W$4="日",--[1]!td(A593-1),IF(价差分析!$W$4="周",--[1]!td(A593-7),--[1]!td(A593-30)))-价差分析!$T$4&gt;0,IF(价差分析!$W$4="日",--[1]!td(A593-1),IF(价差分析!$W$4="周",--[1]!td(A593-7),--[1]!td(A593-30))),""))</f>
        <v/>
      </c>
      <c r="B594" s="1" t="str">
        <f ca="1">IF(A594="","",[1]!s_dq_close($B$1,A594,$M$4))</f>
        <v/>
      </c>
      <c r="C594" s="1" t="str">
        <f ca="1">IF(A594="","",[1]!s_dq_close($C$1,A594,$M$4))</f>
        <v/>
      </c>
      <c r="D594" s="6" t="str">
        <f ca="1">IF($A594="","",[1]!s_dq_close(D$1,$A594,$M$4))</f>
        <v/>
      </c>
      <c r="E594" s="6" t="str">
        <f ca="1">IF($A594="","",[1]!s_dq_close(E$1,$A594,$M$4))</f>
        <v/>
      </c>
      <c r="F594" s="6" t="str">
        <f ca="1">IF($A594="","",[1]!s_dq_close(F$1,$A594,$M$4))</f>
        <v/>
      </c>
      <c r="G594" s="6"/>
      <c r="H594" s="6" t="str">
        <f ca="1">IF($A594="","",[1]!s_dq_close(H$1,$A594,$M$4))</f>
        <v/>
      </c>
      <c r="I594" s="6" t="str">
        <f ca="1">IF($A594="","",[1]!s_dq_close(I$1,$A594,$M$4))</f>
        <v/>
      </c>
      <c r="J594" s="6" t="str">
        <f t="shared" ca="1" si="10"/>
        <v/>
      </c>
    </row>
    <row r="595" spans="1:10">
      <c r="A595" s="2" t="str">
        <f ca="1">IF(A594="","",IF(IF(价差分析!$W$4="日",--[1]!td(A594-1),IF(价差分析!$W$4="周",--[1]!td(A594-7),--[1]!td(A594-30)))-价差分析!$T$4&gt;0,IF(价差分析!$W$4="日",--[1]!td(A594-1),IF(价差分析!$W$4="周",--[1]!td(A594-7),--[1]!td(A594-30))),""))</f>
        <v/>
      </c>
      <c r="B595" s="1" t="str">
        <f ca="1">IF(A595="","",[1]!s_dq_close($B$1,A595,$M$4))</f>
        <v/>
      </c>
      <c r="C595" s="1" t="str">
        <f ca="1">IF(A595="","",[1]!s_dq_close($C$1,A595,$M$4))</f>
        <v/>
      </c>
      <c r="D595" s="6" t="str">
        <f ca="1">IF($A595="","",[1]!s_dq_close(D$1,$A595,$M$4))</f>
        <v/>
      </c>
      <c r="E595" s="6" t="str">
        <f ca="1">IF($A595="","",[1]!s_dq_close(E$1,$A595,$M$4))</f>
        <v/>
      </c>
      <c r="F595" s="6" t="str">
        <f ca="1">IF($A595="","",[1]!s_dq_close(F$1,$A595,$M$4))</f>
        <v/>
      </c>
      <c r="G595" s="6"/>
      <c r="H595" s="6" t="str">
        <f ca="1">IF($A595="","",[1]!s_dq_close(H$1,$A595,$M$4))</f>
        <v/>
      </c>
      <c r="I595" s="6" t="str">
        <f ca="1">IF($A595="","",[1]!s_dq_close(I$1,$A595,$M$4))</f>
        <v/>
      </c>
      <c r="J595" s="6" t="str">
        <f t="shared" ca="1" si="10"/>
        <v/>
      </c>
    </row>
    <row r="596" spans="1:10">
      <c r="A596" s="2" t="str">
        <f ca="1">IF(A595="","",IF(IF(价差分析!$W$4="日",--[1]!td(A595-1),IF(价差分析!$W$4="周",--[1]!td(A595-7),--[1]!td(A595-30)))-价差分析!$T$4&gt;0,IF(价差分析!$W$4="日",--[1]!td(A595-1),IF(价差分析!$W$4="周",--[1]!td(A595-7),--[1]!td(A595-30))),""))</f>
        <v/>
      </c>
      <c r="B596" s="1" t="str">
        <f ca="1">IF(A596="","",[1]!s_dq_close($B$1,A596,$M$4))</f>
        <v/>
      </c>
      <c r="C596" s="1" t="str">
        <f ca="1">IF(A596="","",[1]!s_dq_close($C$1,A596,$M$4))</f>
        <v/>
      </c>
      <c r="D596" s="6" t="str">
        <f ca="1">IF($A596="","",[1]!s_dq_close(D$1,$A596,$M$4))</f>
        <v/>
      </c>
      <c r="E596" s="6" t="str">
        <f ca="1">IF($A596="","",[1]!s_dq_close(E$1,$A596,$M$4))</f>
        <v/>
      </c>
      <c r="F596" s="6" t="str">
        <f ca="1">IF($A596="","",[1]!s_dq_close(F$1,$A596,$M$4))</f>
        <v/>
      </c>
      <c r="G596" s="6"/>
      <c r="H596" s="6" t="str">
        <f ca="1">IF($A596="","",[1]!s_dq_close(H$1,$A596,$M$4))</f>
        <v/>
      </c>
      <c r="I596" s="6" t="str">
        <f ca="1">IF($A596="","",[1]!s_dq_close(I$1,$A596,$M$4))</f>
        <v/>
      </c>
      <c r="J596" s="6" t="str">
        <f t="shared" ca="1" si="10"/>
        <v/>
      </c>
    </row>
    <row r="597" spans="1:10">
      <c r="A597" s="2" t="str">
        <f ca="1">IF(A596="","",IF(IF(价差分析!$W$4="日",--[1]!td(A596-1),IF(价差分析!$W$4="周",--[1]!td(A596-7),--[1]!td(A596-30)))-价差分析!$T$4&gt;0,IF(价差分析!$W$4="日",--[1]!td(A596-1),IF(价差分析!$W$4="周",--[1]!td(A596-7),--[1]!td(A596-30))),""))</f>
        <v/>
      </c>
      <c r="B597" s="1" t="str">
        <f ca="1">IF(A597="","",[1]!s_dq_close($B$1,A597,$M$4))</f>
        <v/>
      </c>
      <c r="C597" s="1" t="str">
        <f ca="1">IF(A597="","",[1]!s_dq_close($C$1,A597,$M$4))</f>
        <v/>
      </c>
      <c r="D597" s="6" t="str">
        <f ca="1">IF($A597="","",[1]!s_dq_close(D$1,$A597,$M$4))</f>
        <v/>
      </c>
      <c r="E597" s="6" t="str">
        <f ca="1">IF($A597="","",[1]!s_dq_close(E$1,$A597,$M$4))</f>
        <v/>
      </c>
      <c r="F597" s="6" t="str">
        <f ca="1">IF($A597="","",[1]!s_dq_close(F$1,$A597,$M$4))</f>
        <v/>
      </c>
      <c r="G597" s="6"/>
      <c r="H597" s="6" t="str">
        <f ca="1">IF($A597="","",[1]!s_dq_close(H$1,$A597,$M$4))</f>
        <v/>
      </c>
      <c r="I597" s="6" t="str">
        <f ca="1">IF($A597="","",[1]!s_dq_close(I$1,$A597,$M$4))</f>
        <v/>
      </c>
      <c r="J597" s="6" t="str">
        <f t="shared" ca="1" si="10"/>
        <v/>
      </c>
    </row>
    <row r="598" spans="1:10">
      <c r="A598" s="2" t="str">
        <f ca="1">IF(A597="","",IF(IF(价差分析!$W$4="日",--[1]!td(A597-1),IF(价差分析!$W$4="周",--[1]!td(A597-7),--[1]!td(A597-30)))-价差分析!$T$4&gt;0,IF(价差分析!$W$4="日",--[1]!td(A597-1),IF(价差分析!$W$4="周",--[1]!td(A597-7),--[1]!td(A597-30))),""))</f>
        <v/>
      </c>
      <c r="B598" s="1" t="str">
        <f ca="1">IF(A598="","",[1]!s_dq_close($B$1,A598,$M$4))</f>
        <v/>
      </c>
      <c r="C598" s="1" t="str">
        <f ca="1">IF(A598="","",[1]!s_dq_close($C$1,A598,$M$4))</f>
        <v/>
      </c>
      <c r="D598" s="6" t="str">
        <f ca="1">IF($A598="","",[1]!s_dq_close(D$1,$A598,$M$4))</f>
        <v/>
      </c>
      <c r="E598" s="6" t="str">
        <f ca="1">IF($A598="","",[1]!s_dq_close(E$1,$A598,$M$4))</f>
        <v/>
      </c>
      <c r="F598" s="6" t="str">
        <f ca="1">IF($A598="","",[1]!s_dq_close(F$1,$A598,$M$4))</f>
        <v/>
      </c>
      <c r="G598" s="6"/>
      <c r="H598" s="6" t="str">
        <f ca="1">IF($A598="","",[1]!s_dq_close(H$1,$A598,$M$4))</f>
        <v/>
      </c>
      <c r="I598" s="6" t="str">
        <f ca="1">IF($A598="","",[1]!s_dq_close(I$1,$A598,$M$4))</f>
        <v/>
      </c>
      <c r="J598" s="6" t="str">
        <f t="shared" ca="1" si="10"/>
        <v/>
      </c>
    </row>
    <row r="599" spans="1:10">
      <c r="A599" s="2" t="str">
        <f ca="1">IF(A598="","",IF(IF(价差分析!$W$4="日",--[1]!td(A598-1),IF(价差分析!$W$4="周",--[1]!td(A598-7),--[1]!td(A598-30)))-价差分析!$T$4&gt;0,IF(价差分析!$W$4="日",--[1]!td(A598-1),IF(价差分析!$W$4="周",--[1]!td(A598-7),--[1]!td(A598-30))),""))</f>
        <v/>
      </c>
      <c r="B599" s="1" t="str">
        <f ca="1">IF(A599="","",[1]!s_dq_close($B$1,A599,$M$4))</f>
        <v/>
      </c>
      <c r="C599" s="1" t="str">
        <f ca="1">IF(A599="","",[1]!s_dq_close($C$1,A599,$M$4))</f>
        <v/>
      </c>
      <c r="D599" s="6" t="str">
        <f ca="1">IF($A599="","",[1]!s_dq_close(D$1,$A599,$M$4))</f>
        <v/>
      </c>
      <c r="E599" s="6" t="str">
        <f ca="1">IF($A599="","",[1]!s_dq_close(E$1,$A599,$M$4))</f>
        <v/>
      </c>
      <c r="F599" s="6" t="str">
        <f ca="1">IF($A599="","",[1]!s_dq_close(F$1,$A599,$M$4))</f>
        <v/>
      </c>
      <c r="G599" s="6"/>
      <c r="H599" s="6" t="str">
        <f ca="1">IF($A599="","",[1]!s_dq_close(H$1,$A599,$M$4))</f>
        <v/>
      </c>
      <c r="I599" s="6" t="str">
        <f ca="1">IF($A599="","",[1]!s_dq_close(I$1,$A599,$M$4))</f>
        <v/>
      </c>
      <c r="J599" s="6" t="str">
        <f t="shared" ca="1" si="10"/>
        <v/>
      </c>
    </row>
    <row r="600" spans="1:10">
      <c r="A600" s="2" t="str">
        <f ca="1">IF(A599="","",IF(IF(价差分析!$W$4="日",--[1]!td(A599-1),IF(价差分析!$W$4="周",--[1]!td(A599-7),--[1]!td(A599-30)))-价差分析!$T$4&gt;0,IF(价差分析!$W$4="日",--[1]!td(A599-1),IF(价差分析!$W$4="周",--[1]!td(A599-7),--[1]!td(A599-30))),""))</f>
        <v/>
      </c>
      <c r="B600" s="1" t="str">
        <f ca="1">IF(A600="","",[1]!s_dq_close($B$1,A600,$M$4))</f>
        <v/>
      </c>
      <c r="C600" s="1" t="str">
        <f ca="1">IF(A600="","",[1]!s_dq_close($C$1,A600,$M$4))</f>
        <v/>
      </c>
      <c r="D600" s="6" t="str">
        <f ca="1">IF($A600="","",[1]!s_dq_close(D$1,$A600,$M$4))</f>
        <v/>
      </c>
      <c r="E600" s="6" t="str">
        <f ca="1">IF($A600="","",[1]!s_dq_close(E$1,$A600,$M$4))</f>
        <v/>
      </c>
      <c r="F600" s="6" t="str">
        <f ca="1">IF($A600="","",[1]!s_dq_close(F$1,$A600,$M$4))</f>
        <v/>
      </c>
      <c r="G600" s="6"/>
      <c r="H600" s="6" t="str">
        <f ca="1">IF($A600="","",[1]!s_dq_close(H$1,$A600,$M$4))</f>
        <v/>
      </c>
      <c r="I600" s="6" t="str">
        <f ca="1">IF($A600="","",[1]!s_dq_close(I$1,$A600,$M$4))</f>
        <v/>
      </c>
      <c r="J600" s="6" t="str">
        <f t="shared" ca="1" si="10"/>
        <v/>
      </c>
    </row>
    <row r="601" spans="1:10">
      <c r="A601" s="2" t="str">
        <f ca="1">IF(A600="","",IF(IF(价差分析!$W$4="日",--[1]!td(A600-1),IF(价差分析!$W$4="周",--[1]!td(A600-7),--[1]!td(A600-30)))-价差分析!$T$4&gt;0,IF(价差分析!$W$4="日",--[1]!td(A600-1),IF(价差分析!$W$4="周",--[1]!td(A600-7),--[1]!td(A600-30))),""))</f>
        <v/>
      </c>
      <c r="B601" s="1" t="str">
        <f ca="1">IF(A601="","",[1]!s_dq_close($B$1,A601,$M$4))</f>
        <v/>
      </c>
      <c r="C601" s="1" t="str">
        <f ca="1">IF(A601="","",[1]!s_dq_close($C$1,A601,$M$4))</f>
        <v/>
      </c>
      <c r="D601" s="6" t="str">
        <f ca="1">IF($A601="","",[1]!s_dq_close(D$1,$A601,$M$4))</f>
        <v/>
      </c>
      <c r="E601" s="6" t="str">
        <f ca="1">IF($A601="","",[1]!s_dq_close(E$1,$A601,$M$4))</f>
        <v/>
      </c>
      <c r="F601" s="6" t="str">
        <f ca="1">IF($A601="","",[1]!s_dq_close(F$1,$A601,$M$4))</f>
        <v/>
      </c>
      <c r="G601" s="6"/>
      <c r="H601" s="6" t="str">
        <f ca="1">IF($A601="","",[1]!s_dq_close(H$1,$A601,$M$4))</f>
        <v/>
      </c>
      <c r="I601" s="6" t="str">
        <f ca="1">IF($A601="","",[1]!s_dq_close(I$1,$A601,$M$4))</f>
        <v/>
      </c>
      <c r="J601" s="6" t="str">
        <f t="shared" ca="1" si="10"/>
        <v/>
      </c>
    </row>
    <row r="602" spans="1:10">
      <c r="A602" s="2" t="str">
        <f ca="1">IF(A601="","",IF(IF(价差分析!$W$4="日",--[1]!td(A601-1),IF(价差分析!$W$4="周",--[1]!td(A601-7),--[1]!td(A601-30)))-价差分析!$T$4&gt;0,IF(价差分析!$W$4="日",--[1]!td(A601-1),IF(价差分析!$W$4="周",--[1]!td(A601-7),--[1]!td(A601-30))),""))</f>
        <v/>
      </c>
      <c r="B602" s="1" t="str">
        <f ca="1">IF(A602="","",[1]!s_dq_close($B$1,A602,$M$4))</f>
        <v/>
      </c>
      <c r="C602" s="1" t="str">
        <f ca="1">IF(A602="","",[1]!s_dq_close($C$1,A602,$M$4))</f>
        <v/>
      </c>
      <c r="D602" s="6" t="str">
        <f ca="1">IF($A602="","",[1]!s_dq_close(D$1,$A602,$M$4))</f>
        <v/>
      </c>
      <c r="E602" s="6" t="str">
        <f ca="1">IF($A602="","",[1]!s_dq_close(E$1,$A602,$M$4))</f>
        <v/>
      </c>
      <c r="F602" s="6" t="str">
        <f ca="1">IF($A602="","",[1]!s_dq_close(F$1,$A602,$M$4))</f>
        <v/>
      </c>
      <c r="G602" s="6"/>
      <c r="H602" s="6" t="str">
        <f ca="1">IF($A602="","",[1]!s_dq_close(H$1,$A602,$M$4))</f>
        <v/>
      </c>
      <c r="I602" s="6" t="str">
        <f ca="1">IF($A602="","",[1]!s_dq_close(I$1,$A602,$M$4))</f>
        <v/>
      </c>
      <c r="J602" s="6" t="str">
        <f t="shared" ca="1" si="10"/>
        <v/>
      </c>
    </row>
    <row r="603" spans="1:10">
      <c r="A603" s="2" t="str">
        <f ca="1">IF(A602="","",IF(IF(价差分析!$W$4="日",--[1]!td(A602-1),IF(价差分析!$W$4="周",--[1]!td(A602-7),--[1]!td(A602-30)))-价差分析!$T$4&gt;0,IF(价差分析!$W$4="日",--[1]!td(A602-1),IF(价差分析!$W$4="周",--[1]!td(A602-7),--[1]!td(A602-30))),""))</f>
        <v/>
      </c>
      <c r="B603" s="1" t="str">
        <f ca="1">IF(A603="","",[1]!s_dq_close($B$1,A603,$M$4))</f>
        <v/>
      </c>
      <c r="C603" s="1" t="str">
        <f ca="1">IF(A603="","",[1]!s_dq_close($C$1,A603,$M$4))</f>
        <v/>
      </c>
      <c r="D603" s="6" t="str">
        <f ca="1">IF($A603="","",[1]!s_dq_close(D$1,$A603,$M$4))</f>
        <v/>
      </c>
      <c r="E603" s="6" t="str">
        <f ca="1">IF($A603="","",[1]!s_dq_close(E$1,$A603,$M$4))</f>
        <v/>
      </c>
      <c r="F603" s="6" t="str">
        <f ca="1">IF($A603="","",[1]!s_dq_close(F$1,$A603,$M$4))</f>
        <v/>
      </c>
      <c r="G603" s="6"/>
      <c r="H603" s="6" t="str">
        <f ca="1">IF($A603="","",[1]!s_dq_close(H$1,$A603,$M$4))</f>
        <v/>
      </c>
      <c r="I603" s="6" t="str">
        <f ca="1">IF($A603="","",[1]!s_dq_close(I$1,$A603,$M$4))</f>
        <v/>
      </c>
      <c r="J603" s="6" t="str">
        <f t="shared" ca="1" si="10"/>
        <v/>
      </c>
    </row>
    <row r="604" spans="1:10">
      <c r="A604" s="2" t="str">
        <f ca="1">IF(A603="","",IF(IF(价差分析!$W$4="日",--[1]!td(A603-1),IF(价差分析!$W$4="周",--[1]!td(A603-7),--[1]!td(A603-30)))-价差分析!$T$4&gt;0,IF(价差分析!$W$4="日",--[1]!td(A603-1),IF(价差分析!$W$4="周",--[1]!td(A603-7),--[1]!td(A603-30))),""))</f>
        <v/>
      </c>
      <c r="B604" s="1" t="str">
        <f ca="1">IF(A604="","",[1]!s_dq_close($B$1,A604,$M$4))</f>
        <v/>
      </c>
      <c r="C604" s="1" t="str">
        <f ca="1">IF(A604="","",[1]!s_dq_close($C$1,A604,$M$4))</f>
        <v/>
      </c>
      <c r="D604" s="6" t="str">
        <f ca="1">IF($A604="","",[1]!s_dq_close(D$1,$A604,$M$4))</f>
        <v/>
      </c>
      <c r="E604" s="6" t="str">
        <f ca="1">IF($A604="","",[1]!s_dq_close(E$1,$A604,$M$4))</f>
        <v/>
      </c>
      <c r="F604" s="6" t="str">
        <f ca="1">IF($A604="","",[1]!s_dq_close(F$1,$A604,$M$4))</f>
        <v/>
      </c>
      <c r="G604" s="6"/>
      <c r="H604" s="6" t="str">
        <f ca="1">IF($A604="","",[1]!s_dq_close(H$1,$A604,$M$4))</f>
        <v/>
      </c>
      <c r="I604" s="6" t="str">
        <f ca="1">IF($A604="","",[1]!s_dq_close(I$1,$A604,$M$4))</f>
        <v/>
      </c>
      <c r="J604" s="6" t="str">
        <f t="shared" ca="1" si="10"/>
        <v/>
      </c>
    </row>
    <row r="605" spans="1:10">
      <c r="A605" s="2" t="str">
        <f ca="1">IF(A604="","",IF(IF(价差分析!$W$4="日",--[1]!td(A604-1),IF(价差分析!$W$4="周",--[1]!td(A604-7),--[1]!td(A604-30)))-价差分析!$T$4&gt;0,IF(价差分析!$W$4="日",--[1]!td(A604-1),IF(价差分析!$W$4="周",--[1]!td(A604-7),--[1]!td(A604-30))),""))</f>
        <v/>
      </c>
      <c r="B605" s="1" t="str">
        <f ca="1">IF(A605="","",[1]!s_dq_close($B$1,A605,$M$4))</f>
        <v/>
      </c>
      <c r="C605" s="1" t="str">
        <f ca="1">IF(A605="","",[1]!s_dq_close($C$1,A605,$M$4))</f>
        <v/>
      </c>
      <c r="D605" s="6" t="str">
        <f ca="1">IF($A605="","",[1]!s_dq_close(D$1,$A605,$M$4))</f>
        <v/>
      </c>
      <c r="E605" s="6" t="str">
        <f ca="1">IF($A605="","",[1]!s_dq_close(E$1,$A605,$M$4))</f>
        <v/>
      </c>
      <c r="F605" s="6" t="str">
        <f ca="1">IF($A605="","",[1]!s_dq_close(F$1,$A605,$M$4))</f>
        <v/>
      </c>
      <c r="G605" s="6"/>
      <c r="H605" s="6" t="str">
        <f ca="1">IF($A605="","",[1]!s_dq_close(H$1,$A605,$M$4))</f>
        <v/>
      </c>
      <c r="I605" s="6" t="str">
        <f ca="1">IF($A605="","",[1]!s_dq_close(I$1,$A605,$M$4))</f>
        <v/>
      </c>
      <c r="J605" s="6" t="str">
        <f t="shared" ca="1" si="10"/>
        <v/>
      </c>
    </row>
    <row r="606" spans="1:10">
      <c r="A606" s="2" t="str">
        <f ca="1">IF(A605="","",IF(IF(价差分析!$W$4="日",--[1]!td(A605-1),IF(价差分析!$W$4="周",--[1]!td(A605-7),--[1]!td(A605-30)))-价差分析!$T$4&gt;0,IF(价差分析!$W$4="日",--[1]!td(A605-1),IF(价差分析!$W$4="周",--[1]!td(A605-7),--[1]!td(A605-30))),""))</f>
        <v/>
      </c>
      <c r="B606" s="1" t="str">
        <f ca="1">IF(A606="","",[1]!s_dq_close($B$1,A606,$M$4))</f>
        <v/>
      </c>
      <c r="C606" s="1" t="str">
        <f ca="1">IF(A606="","",[1]!s_dq_close($C$1,A606,$M$4))</f>
        <v/>
      </c>
      <c r="D606" s="6" t="str">
        <f ca="1">IF($A606="","",[1]!s_dq_close(D$1,$A606,$M$4))</f>
        <v/>
      </c>
      <c r="E606" s="6" t="str">
        <f ca="1">IF($A606="","",[1]!s_dq_close(E$1,$A606,$M$4))</f>
        <v/>
      </c>
      <c r="F606" s="6" t="str">
        <f ca="1">IF($A606="","",[1]!s_dq_close(F$1,$A606,$M$4))</f>
        <v/>
      </c>
      <c r="G606" s="6"/>
      <c r="H606" s="6" t="str">
        <f ca="1">IF($A606="","",[1]!s_dq_close(H$1,$A606,$M$4))</f>
        <v/>
      </c>
      <c r="I606" s="6" t="str">
        <f ca="1">IF($A606="","",[1]!s_dq_close(I$1,$A606,$M$4))</f>
        <v/>
      </c>
      <c r="J606" s="6" t="str">
        <f t="shared" ca="1" si="10"/>
        <v/>
      </c>
    </row>
    <row r="607" spans="1:10">
      <c r="A607" s="2" t="str">
        <f ca="1">IF(A606="","",IF(IF(价差分析!$W$4="日",--[1]!td(A606-1),IF(价差分析!$W$4="周",--[1]!td(A606-7),--[1]!td(A606-30)))-价差分析!$T$4&gt;0,IF(价差分析!$W$4="日",--[1]!td(A606-1),IF(价差分析!$W$4="周",--[1]!td(A606-7),--[1]!td(A606-30))),""))</f>
        <v/>
      </c>
      <c r="B607" s="1" t="str">
        <f ca="1">IF(A607="","",[1]!s_dq_close($B$1,A607,$M$4))</f>
        <v/>
      </c>
      <c r="C607" s="1" t="str">
        <f ca="1">IF(A607="","",[1]!s_dq_close($C$1,A607,$M$4))</f>
        <v/>
      </c>
      <c r="D607" s="6" t="str">
        <f ca="1">IF($A607="","",[1]!s_dq_close(D$1,$A607,$M$4))</f>
        <v/>
      </c>
      <c r="E607" s="6" t="str">
        <f ca="1">IF($A607="","",[1]!s_dq_close(E$1,$A607,$M$4))</f>
        <v/>
      </c>
      <c r="F607" s="6" t="str">
        <f ca="1">IF($A607="","",[1]!s_dq_close(F$1,$A607,$M$4))</f>
        <v/>
      </c>
      <c r="G607" s="6"/>
      <c r="H607" s="6" t="str">
        <f ca="1">IF($A607="","",[1]!s_dq_close(H$1,$A607,$M$4))</f>
        <v/>
      </c>
      <c r="I607" s="6" t="str">
        <f ca="1">IF($A607="","",[1]!s_dq_close(I$1,$A607,$M$4))</f>
        <v/>
      </c>
      <c r="J607" s="6" t="str">
        <f t="shared" ca="1" si="10"/>
        <v/>
      </c>
    </row>
    <row r="608" spans="1:10">
      <c r="A608" s="2" t="str">
        <f ca="1">IF(A607="","",IF(IF(价差分析!$W$4="日",--[1]!td(A607-1),IF(价差分析!$W$4="周",--[1]!td(A607-7),--[1]!td(A607-30)))-价差分析!$T$4&gt;0,IF(价差分析!$W$4="日",--[1]!td(A607-1),IF(价差分析!$W$4="周",--[1]!td(A607-7),--[1]!td(A607-30))),""))</f>
        <v/>
      </c>
      <c r="B608" s="1" t="str">
        <f ca="1">IF(A608="","",[1]!s_dq_close($B$1,A608,$M$4))</f>
        <v/>
      </c>
      <c r="C608" s="1" t="str">
        <f ca="1">IF(A608="","",[1]!s_dq_close($C$1,A608,$M$4))</f>
        <v/>
      </c>
      <c r="D608" s="6" t="str">
        <f ca="1">IF($A608="","",[1]!s_dq_close(D$1,$A608,$M$4))</f>
        <v/>
      </c>
      <c r="E608" s="6" t="str">
        <f ca="1">IF($A608="","",[1]!s_dq_close(E$1,$A608,$M$4))</f>
        <v/>
      </c>
      <c r="F608" s="6" t="str">
        <f ca="1">IF($A608="","",[1]!s_dq_close(F$1,$A608,$M$4))</f>
        <v/>
      </c>
      <c r="G608" s="6"/>
      <c r="H608" s="6" t="str">
        <f ca="1">IF($A608="","",[1]!s_dq_close(H$1,$A608,$M$4))</f>
        <v/>
      </c>
      <c r="I608" s="6" t="str">
        <f ca="1">IF($A608="","",[1]!s_dq_close(I$1,$A608,$M$4))</f>
        <v/>
      </c>
      <c r="J608" s="6" t="str">
        <f t="shared" ca="1" si="10"/>
        <v/>
      </c>
    </row>
    <row r="609" spans="1:10">
      <c r="A609" s="2" t="str">
        <f ca="1">IF(A608="","",IF(IF(价差分析!$W$4="日",--[1]!td(A608-1),IF(价差分析!$W$4="周",--[1]!td(A608-7),--[1]!td(A608-30)))-价差分析!$T$4&gt;0,IF(价差分析!$W$4="日",--[1]!td(A608-1),IF(价差分析!$W$4="周",--[1]!td(A608-7),--[1]!td(A608-30))),""))</f>
        <v/>
      </c>
      <c r="B609" s="1" t="str">
        <f ca="1">IF(A609="","",[1]!s_dq_close($B$1,A609,$M$4))</f>
        <v/>
      </c>
      <c r="C609" s="1" t="str">
        <f ca="1">IF(A609="","",[1]!s_dq_close($C$1,A609,$M$4))</f>
        <v/>
      </c>
      <c r="D609" s="6" t="str">
        <f ca="1">IF($A609="","",[1]!s_dq_close(D$1,$A609,$M$4))</f>
        <v/>
      </c>
      <c r="E609" s="6" t="str">
        <f ca="1">IF($A609="","",[1]!s_dq_close(E$1,$A609,$M$4))</f>
        <v/>
      </c>
      <c r="F609" s="6" t="str">
        <f ca="1">IF($A609="","",[1]!s_dq_close(F$1,$A609,$M$4))</f>
        <v/>
      </c>
      <c r="G609" s="6"/>
      <c r="H609" s="6" t="str">
        <f ca="1">IF($A609="","",[1]!s_dq_close(H$1,$A609,$M$4))</f>
        <v/>
      </c>
      <c r="I609" s="6" t="str">
        <f ca="1">IF($A609="","",[1]!s_dq_close(I$1,$A609,$M$4))</f>
        <v/>
      </c>
      <c r="J609" s="6" t="str">
        <f t="shared" ca="1" si="10"/>
        <v/>
      </c>
    </row>
    <row r="610" spans="1:10">
      <c r="A610" s="2" t="str">
        <f ca="1">IF(A609="","",IF(IF(价差分析!$W$4="日",--[1]!td(A609-1),IF(价差分析!$W$4="周",--[1]!td(A609-7),--[1]!td(A609-30)))-价差分析!$T$4&gt;0,IF(价差分析!$W$4="日",--[1]!td(A609-1),IF(价差分析!$W$4="周",--[1]!td(A609-7),--[1]!td(A609-30))),""))</f>
        <v/>
      </c>
      <c r="B610" s="1" t="str">
        <f ca="1">IF(A610="","",[1]!s_dq_close($B$1,A610,$M$4))</f>
        <v/>
      </c>
      <c r="C610" s="1" t="str">
        <f ca="1">IF(A610="","",[1]!s_dq_close($C$1,A610,$M$4))</f>
        <v/>
      </c>
      <c r="D610" s="6" t="str">
        <f ca="1">IF($A610="","",[1]!s_dq_close(D$1,$A610,$M$4))</f>
        <v/>
      </c>
      <c r="E610" s="6" t="str">
        <f ca="1">IF($A610="","",[1]!s_dq_close(E$1,$A610,$M$4))</f>
        <v/>
      </c>
      <c r="F610" s="6" t="str">
        <f ca="1">IF($A610="","",[1]!s_dq_close(F$1,$A610,$M$4))</f>
        <v/>
      </c>
      <c r="G610" s="6"/>
      <c r="H610" s="6" t="str">
        <f ca="1">IF($A610="","",[1]!s_dq_close(H$1,$A610,$M$4))</f>
        <v/>
      </c>
      <c r="I610" s="6" t="str">
        <f ca="1">IF($A610="","",[1]!s_dq_close(I$1,$A610,$M$4))</f>
        <v/>
      </c>
      <c r="J610" s="6" t="str">
        <f t="shared" ca="1" si="10"/>
        <v/>
      </c>
    </row>
    <row r="611" spans="1:10">
      <c r="A611" s="2" t="str">
        <f ca="1">IF(A610="","",IF(IF(价差分析!$W$4="日",--[1]!td(A610-1),IF(价差分析!$W$4="周",--[1]!td(A610-7),--[1]!td(A610-30)))-价差分析!$T$4&gt;0,IF(价差分析!$W$4="日",--[1]!td(A610-1),IF(价差分析!$W$4="周",--[1]!td(A610-7),--[1]!td(A610-30))),""))</f>
        <v/>
      </c>
      <c r="B611" s="1" t="str">
        <f ca="1">IF(A611="","",[1]!s_dq_close($B$1,A611,$M$4))</f>
        <v/>
      </c>
      <c r="C611" s="1" t="str">
        <f ca="1">IF(A611="","",[1]!s_dq_close($C$1,A611,$M$4))</f>
        <v/>
      </c>
      <c r="D611" s="6" t="str">
        <f ca="1">IF($A611="","",[1]!s_dq_close(D$1,$A611,$M$4))</f>
        <v/>
      </c>
      <c r="E611" s="6" t="str">
        <f ca="1">IF($A611="","",[1]!s_dq_close(E$1,$A611,$M$4))</f>
        <v/>
      </c>
      <c r="F611" s="6" t="str">
        <f ca="1">IF($A611="","",[1]!s_dq_close(F$1,$A611,$M$4))</f>
        <v/>
      </c>
      <c r="G611" s="6"/>
      <c r="H611" s="6" t="str">
        <f ca="1">IF($A611="","",[1]!s_dq_close(H$1,$A611,$M$4))</f>
        <v/>
      </c>
      <c r="I611" s="6" t="str">
        <f ca="1">IF($A611="","",[1]!s_dq_close(I$1,$A611,$M$4))</f>
        <v/>
      </c>
      <c r="J611" s="6" t="str">
        <f t="shared" ca="1" si="10"/>
        <v/>
      </c>
    </row>
    <row r="612" spans="1:10">
      <c r="A612" s="2" t="str">
        <f ca="1">IF(A611="","",IF(IF(价差分析!$W$4="日",--[1]!td(A611-1),IF(价差分析!$W$4="周",--[1]!td(A611-7),--[1]!td(A611-30)))-价差分析!$T$4&gt;0,IF(价差分析!$W$4="日",--[1]!td(A611-1),IF(价差分析!$W$4="周",--[1]!td(A611-7),--[1]!td(A611-30))),""))</f>
        <v/>
      </c>
      <c r="B612" s="1" t="str">
        <f ca="1">IF(A612="","",[1]!s_dq_close($B$1,A612,$M$4))</f>
        <v/>
      </c>
      <c r="C612" s="1" t="str">
        <f ca="1">IF(A612="","",[1]!s_dq_close($C$1,A612,$M$4))</f>
        <v/>
      </c>
      <c r="D612" s="6" t="str">
        <f ca="1">IF($A612="","",[1]!s_dq_close(D$1,$A612,$M$4))</f>
        <v/>
      </c>
      <c r="E612" s="6" t="str">
        <f ca="1">IF($A612="","",[1]!s_dq_close(E$1,$A612,$M$4))</f>
        <v/>
      </c>
      <c r="F612" s="6" t="str">
        <f ca="1">IF($A612="","",[1]!s_dq_close(F$1,$A612,$M$4))</f>
        <v/>
      </c>
      <c r="G612" s="6"/>
      <c r="H612" s="6" t="str">
        <f ca="1">IF($A612="","",[1]!s_dq_close(H$1,$A612,$M$4))</f>
        <v/>
      </c>
      <c r="I612" s="6" t="str">
        <f ca="1">IF($A612="","",[1]!s_dq_close(I$1,$A612,$M$4))</f>
        <v/>
      </c>
      <c r="J612" s="6" t="str">
        <f t="shared" ca="1" si="10"/>
        <v/>
      </c>
    </row>
    <row r="613" spans="1:10">
      <c r="A613" s="2" t="str">
        <f ca="1">IF(A612="","",IF(IF(价差分析!$W$4="日",--[1]!td(A612-1),IF(价差分析!$W$4="周",--[1]!td(A612-7),--[1]!td(A612-30)))-价差分析!$T$4&gt;0,IF(价差分析!$W$4="日",--[1]!td(A612-1),IF(价差分析!$W$4="周",--[1]!td(A612-7),--[1]!td(A612-30))),""))</f>
        <v/>
      </c>
      <c r="B613" s="1" t="str">
        <f ca="1">IF(A613="","",[1]!s_dq_close($B$1,A613,$M$4))</f>
        <v/>
      </c>
      <c r="C613" s="1" t="str">
        <f ca="1">IF(A613="","",[1]!s_dq_close($C$1,A613,$M$4))</f>
        <v/>
      </c>
      <c r="D613" s="6" t="str">
        <f ca="1">IF($A613="","",[1]!s_dq_close(D$1,$A613,$M$4))</f>
        <v/>
      </c>
      <c r="E613" s="6" t="str">
        <f ca="1">IF($A613="","",[1]!s_dq_close(E$1,$A613,$M$4))</f>
        <v/>
      </c>
      <c r="F613" s="6" t="str">
        <f ca="1">IF($A613="","",[1]!s_dq_close(F$1,$A613,$M$4))</f>
        <v/>
      </c>
      <c r="G613" s="6"/>
      <c r="H613" s="6" t="str">
        <f ca="1">IF($A613="","",[1]!s_dq_close(H$1,$A613,$M$4))</f>
        <v/>
      </c>
      <c r="I613" s="6" t="str">
        <f ca="1">IF($A613="","",[1]!s_dq_close(I$1,$A613,$M$4))</f>
        <v/>
      </c>
      <c r="J613" s="6" t="str">
        <f t="shared" ca="1" si="10"/>
        <v/>
      </c>
    </row>
    <row r="614" spans="1:10">
      <c r="A614" s="2" t="str">
        <f ca="1">IF(A613="","",IF(IF(价差分析!$W$4="日",--[1]!td(A613-1),IF(价差分析!$W$4="周",--[1]!td(A613-7),--[1]!td(A613-30)))-价差分析!$T$4&gt;0,IF(价差分析!$W$4="日",--[1]!td(A613-1),IF(价差分析!$W$4="周",--[1]!td(A613-7),--[1]!td(A613-30))),""))</f>
        <v/>
      </c>
      <c r="B614" s="1" t="str">
        <f ca="1">IF(A614="","",[1]!s_dq_close($B$1,A614,$M$4))</f>
        <v/>
      </c>
      <c r="C614" s="1" t="str">
        <f ca="1">IF(A614="","",[1]!s_dq_close($C$1,A614,$M$4))</f>
        <v/>
      </c>
      <c r="D614" s="6" t="str">
        <f ca="1">IF($A614="","",[1]!s_dq_close(D$1,$A614,$M$4))</f>
        <v/>
      </c>
      <c r="E614" s="6" t="str">
        <f ca="1">IF($A614="","",[1]!s_dq_close(E$1,$A614,$M$4))</f>
        <v/>
      </c>
      <c r="F614" s="6" t="str">
        <f ca="1">IF($A614="","",[1]!s_dq_close(F$1,$A614,$M$4))</f>
        <v/>
      </c>
      <c r="G614" s="6"/>
      <c r="H614" s="6" t="str">
        <f ca="1">IF($A614="","",[1]!s_dq_close(H$1,$A614,$M$4))</f>
        <v/>
      </c>
      <c r="I614" s="6" t="str">
        <f ca="1">IF($A614="","",[1]!s_dq_close(I$1,$A614,$M$4))</f>
        <v/>
      </c>
      <c r="J614" s="6" t="str">
        <f t="shared" ca="1" si="10"/>
        <v/>
      </c>
    </row>
    <row r="615" spans="1:10">
      <c r="A615" s="2" t="str">
        <f ca="1">IF(A614="","",IF(IF(价差分析!$W$4="日",--[1]!td(A614-1),IF(价差分析!$W$4="周",--[1]!td(A614-7),--[1]!td(A614-30)))-价差分析!$T$4&gt;0,IF(价差分析!$W$4="日",--[1]!td(A614-1),IF(价差分析!$W$4="周",--[1]!td(A614-7),--[1]!td(A614-30))),""))</f>
        <v/>
      </c>
      <c r="B615" s="1" t="str">
        <f ca="1">IF(A615="","",[1]!s_dq_close($B$1,A615,$M$4))</f>
        <v/>
      </c>
      <c r="C615" s="1" t="str">
        <f ca="1">IF(A615="","",[1]!s_dq_close($C$1,A615,$M$4))</f>
        <v/>
      </c>
      <c r="D615" s="6" t="str">
        <f ca="1">IF($A615="","",[1]!s_dq_close(D$1,$A615,$M$4))</f>
        <v/>
      </c>
      <c r="E615" s="6" t="str">
        <f ca="1">IF($A615="","",[1]!s_dq_close(E$1,$A615,$M$4))</f>
        <v/>
      </c>
      <c r="F615" s="6" t="str">
        <f ca="1">IF($A615="","",[1]!s_dq_close(F$1,$A615,$M$4))</f>
        <v/>
      </c>
      <c r="G615" s="6"/>
      <c r="H615" s="6" t="str">
        <f ca="1">IF($A615="","",[1]!s_dq_close(H$1,$A615,$M$4))</f>
        <v/>
      </c>
      <c r="I615" s="6" t="str">
        <f ca="1">IF($A615="","",[1]!s_dq_close(I$1,$A615,$M$4))</f>
        <v/>
      </c>
      <c r="J615" s="6" t="str">
        <f t="shared" ca="1" si="10"/>
        <v/>
      </c>
    </row>
    <row r="616" spans="1:10">
      <c r="A616" s="2" t="str">
        <f ca="1">IF(A615="","",IF(IF(价差分析!$W$4="日",--[1]!td(A615-1),IF(价差分析!$W$4="周",--[1]!td(A615-7),--[1]!td(A615-30)))-价差分析!$T$4&gt;0,IF(价差分析!$W$4="日",--[1]!td(A615-1),IF(价差分析!$W$4="周",--[1]!td(A615-7),--[1]!td(A615-30))),""))</f>
        <v/>
      </c>
      <c r="B616" s="1" t="str">
        <f ca="1">IF(A616="","",[1]!s_dq_close($B$1,A616,$M$4))</f>
        <v/>
      </c>
      <c r="C616" s="1" t="str">
        <f ca="1">IF(A616="","",[1]!s_dq_close($C$1,A616,$M$4))</f>
        <v/>
      </c>
      <c r="D616" s="6" t="str">
        <f ca="1">IF($A616="","",[1]!s_dq_close(D$1,$A616,$M$4))</f>
        <v/>
      </c>
      <c r="E616" s="6" t="str">
        <f ca="1">IF($A616="","",[1]!s_dq_close(E$1,$A616,$M$4))</f>
        <v/>
      </c>
      <c r="F616" s="6" t="str">
        <f ca="1">IF($A616="","",[1]!s_dq_close(F$1,$A616,$M$4))</f>
        <v/>
      </c>
      <c r="G616" s="6"/>
      <c r="H616" s="6" t="str">
        <f ca="1">IF($A616="","",[1]!s_dq_close(H$1,$A616,$M$4))</f>
        <v/>
      </c>
      <c r="I616" s="6" t="str">
        <f ca="1">IF($A616="","",[1]!s_dq_close(I$1,$A616,$M$4))</f>
        <v/>
      </c>
      <c r="J616" s="6" t="str">
        <f t="shared" ca="1" si="10"/>
        <v/>
      </c>
    </row>
    <row r="617" spans="1:10">
      <c r="A617" s="2" t="str">
        <f ca="1">IF(A616="","",IF(IF(价差分析!$W$4="日",--[1]!td(A616-1),IF(价差分析!$W$4="周",--[1]!td(A616-7),--[1]!td(A616-30)))-价差分析!$T$4&gt;0,IF(价差分析!$W$4="日",--[1]!td(A616-1),IF(价差分析!$W$4="周",--[1]!td(A616-7),--[1]!td(A616-30))),""))</f>
        <v/>
      </c>
      <c r="B617" s="1" t="str">
        <f ca="1">IF(A617="","",[1]!s_dq_close($B$1,A617,$M$4))</f>
        <v/>
      </c>
      <c r="C617" s="1" t="str">
        <f ca="1">IF(A617="","",[1]!s_dq_close($C$1,A617,$M$4))</f>
        <v/>
      </c>
      <c r="D617" s="6" t="str">
        <f ca="1">IF($A617="","",[1]!s_dq_close(D$1,$A617,$M$4))</f>
        <v/>
      </c>
      <c r="E617" s="6" t="str">
        <f ca="1">IF($A617="","",[1]!s_dq_close(E$1,$A617,$M$4))</f>
        <v/>
      </c>
      <c r="F617" s="6" t="str">
        <f ca="1">IF($A617="","",[1]!s_dq_close(F$1,$A617,$M$4))</f>
        <v/>
      </c>
      <c r="G617" s="6"/>
      <c r="H617" s="6" t="str">
        <f ca="1">IF($A617="","",[1]!s_dq_close(H$1,$A617,$M$4))</f>
        <v/>
      </c>
      <c r="I617" s="6" t="str">
        <f ca="1">IF($A617="","",[1]!s_dq_close(I$1,$A617,$M$4))</f>
        <v/>
      </c>
      <c r="J617" s="6" t="str">
        <f t="shared" ca="1" si="10"/>
        <v/>
      </c>
    </row>
    <row r="618" spans="1:10">
      <c r="A618" s="2" t="str">
        <f ca="1">IF(A617="","",IF(IF(价差分析!$W$4="日",--[1]!td(A617-1),IF(价差分析!$W$4="周",--[1]!td(A617-7),--[1]!td(A617-30)))-价差分析!$T$4&gt;0,IF(价差分析!$W$4="日",--[1]!td(A617-1),IF(价差分析!$W$4="周",--[1]!td(A617-7),--[1]!td(A617-30))),""))</f>
        <v/>
      </c>
      <c r="B618" s="1" t="str">
        <f ca="1">IF(A618="","",[1]!s_dq_close($B$1,A618,$M$4))</f>
        <v/>
      </c>
      <c r="C618" s="1" t="str">
        <f ca="1">IF(A618="","",[1]!s_dq_close($C$1,A618,$M$4))</f>
        <v/>
      </c>
      <c r="D618" s="6" t="str">
        <f ca="1">IF($A618="","",[1]!s_dq_close(D$1,$A618,$M$4))</f>
        <v/>
      </c>
      <c r="E618" s="6" t="str">
        <f ca="1">IF($A618="","",[1]!s_dq_close(E$1,$A618,$M$4))</f>
        <v/>
      </c>
      <c r="F618" s="6" t="str">
        <f ca="1">IF($A618="","",[1]!s_dq_close(F$1,$A618,$M$4))</f>
        <v/>
      </c>
      <c r="G618" s="6"/>
      <c r="H618" s="6" t="str">
        <f ca="1">IF($A618="","",[1]!s_dq_close(H$1,$A618,$M$4))</f>
        <v/>
      </c>
      <c r="I618" s="6" t="str">
        <f ca="1">IF($A618="","",[1]!s_dq_close(I$1,$A618,$M$4))</f>
        <v/>
      </c>
      <c r="J618" s="6" t="str">
        <f t="shared" ca="1" si="10"/>
        <v/>
      </c>
    </row>
    <row r="619" spans="1:10">
      <c r="A619" s="2" t="str">
        <f ca="1">IF(A618="","",IF(IF(价差分析!$W$4="日",--[1]!td(A618-1),IF(价差分析!$W$4="周",--[1]!td(A618-7),--[1]!td(A618-30)))-价差分析!$T$4&gt;0,IF(价差分析!$W$4="日",--[1]!td(A618-1),IF(价差分析!$W$4="周",--[1]!td(A618-7),--[1]!td(A618-30))),""))</f>
        <v/>
      </c>
      <c r="B619" s="1" t="str">
        <f ca="1">IF(A619="","",[1]!s_dq_close($B$1,A619,$M$4))</f>
        <v/>
      </c>
      <c r="C619" s="1" t="str">
        <f ca="1">IF(A619="","",[1]!s_dq_close($C$1,A619,$M$4))</f>
        <v/>
      </c>
      <c r="D619" s="6" t="str">
        <f ca="1">IF($A619="","",[1]!s_dq_close(D$1,$A619,$M$4))</f>
        <v/>
      </c>
      <c r="E619" s="6" t="str">
        <f ca="1">IF($A619="","",[1]!s_dq_close(E$1,$A619,$M$4))</f>
        <v/>
      </c>
      <c r="F619" s="6" t="str">
        <f ca="1">IF($A619="","",[1]!s_dq_close(F$1,$A619,$M$4))</f>
        <v/>
      </c>
      <c r="G619" s="6"/>
      <c r="H619" s="6" t="str">
        <f ca="1">IF($A619="","",[1]!s_dq_close(H$1,$A619,$M$4))</f>
        <v/>
      </c>
      <c r="I619" s="6" t="str">
        <f ca="1">IF($A619="","",[1]!s_dq_close(I$1,$A619,$M$4))</f>
        <v/>
      </c>
      <c r="J619" s="6" t="str">
        <f t="shared" ca="1" si="10"/>
        <v/>
      </c>
    </row>
    <row r="620" spans="1:10">
      <c r="A620" s="2" t="str">
        <f ca="1">IF(A619="","",IF(IF(价差分析!$W$4="日",--[1]!td(A619-1),IF(价差分析!$W$4="周",--[1]!td(A619-7),--[1]!td(A619-30)))-价差分析!$T$4&gt;0,IF(价差分析!$W$4="日",--[1]!td(A619-1),IF(价差分析!$W$4="周",--[1]!td(A619-7),--[1]!td(A619-30))),""))</f>
        <v/>
      </c>
      <c r="B620" s="1" t="str">
        <f ca="1">IF(A620="","",[1]!s_dq_close($B$1,A620,$M$4))</f>
        <v/>
      </c>
      <c r="C620" s="1" t="str">
        <f ca="1">IF(A620="","",[1]!s_dq_close($C$1,A620,$M$4))</f>
        <v/>
      </c>
      <c r="D620" s="6" t="str">
        <f ca="1">IF($A620="","",[1]!s_dq_close(D$1,$A620,$M$4))</f>
        <v/>
      </c>
      <c r="E620" s="6" t="str">
        <f ca="1">IF($A620="","",[1]!s_dq_close(E$1,$A620,$M$4))</f>
        <v/>
      </c>
      <c r="F620" s="6" t="str">
        <f ca="1">IF($A620="","",[1]!s_dq_close(F$1,$A620,$M$4))</f>
        <v/>
      </c>
      <c r="G620" s="6"/>
      <c r="H620" s="6" t="str">
        <f ca="1">IF($A620="","",[1]!s_dq_close(H$1,$A620,$M$4))</f>
        <v/>
      </c>
      <c r="I620" s="6" t="str">
        <f ca="1">IF($A620="","",[1]!s_dq_close(I$1,$A620,$M$4))</f>
        <v/>
      </c>
      <c r="J620" s="6" t="str">
        <f t="shared" ca="1" si="10"/>
        <v/>
      </c>
    </row>
    <row r="621" spans="1:10">
      <c r="A621" s="2" t="str">
        <f ca="1">IF(A620="","",IF(IF(价差分析!$W$4="日",--[1]!td(A620-1),IF(价差分析!$W$4="周",--[1]!td(A620-7),--[1]!td(A620-30)))-价差分析!$T$4&gt;0,IF(价差分析!$W$4="日",--[1]!td(A620-1),IF(价差分析!$W$4="周",--[1]!td(A620-7),--[1]!td(A620-30))),""))</f>
        <v/>
      </c>
      <c r="B621" s="1" t="str">
        <f ca="1">IF(A621="","",[1]!s_dq_close($B$1,A621,$M$4))</f>
        <v/>
      </c>
      <c r="C621" s="1" t="str">
        <f ca="1">IF(A621="","",[1]!s_dq_close($C$1,A621,$M$4))</f>
        <v/>
      </c>
      <c r="D621" s="6" t="str">
        <f ca="1">IF($A621="","",[1]!s_dq_close(D$1,$A621,$M$4))</f>
        <v/>
      </c>
      <c r="E621" s="6" t="str">
        <f ca="1">IF($A621="","",[1]!s_dq_close(E$1,$A621,$M$4))</f>
        <v/>
      </c>
      <c r="F621" s="6" t="str">
        <f ca="1">IF($A621="","",[1]!s_dq_close(F$1,$A621,$M$4))</f>
        <v/>
      </c>
      <c r="G621" s="6"/>
      <c r="H621" s="6" t="str">
        <f ca="1">IF($A621="","",[1]!s_dq_close(H$1,$A621,$M$4))</f>
        <v/>
      </c>
      <c r="I621" s="6" t="str">
        <f ca="1">IF($A621="","",[1]!s_dq_close(I$1,$A621,$M$4))</f>
        <v/>
      </c>
      <c r="J621" s="6" t="str">
        <f t="shared" ca="1" si="10"/>
        <v/>
      </c>
    </row>
    <row r="622" spans="1:10">
      <c r="A622" s="2" t="str">
        <f ca="1">IF(A621="","",IF(IF(价差分析!$W$4="日",--[1]!td(A621-1),IF(价差分析!$W$4="周",--[1]!td(A621-7),--[1]!td(A621-30)))-价差分析!$T$4&gt;0,IF(价差分析!$W$4="日",--[1]!td(A621-1),IF(价差分析!$W$4="周",--[1]!td(A621-7),--[1]!td(A621-30))),""))</f>
        <v/>
      </c>
      <c r="B622" s="1" t="str">
        <f ca="1">IF(A622="","",[1]!s_dq_close($B$1,A622,$M$4))</f>
        <v/>
      </c>
      <c r="C622" s="1" t="str">
        <f ca="1">IF(A622="","",[1]!s_dq_close($C$1,A622,$M$4))</f>
        <v/>
      </c>
      <c r="D622" s="6" t="str">
        <f ca="1">IF($A622="","",[1]!s_dq_close(D$1,$A622,$M$4))</f>
        <v/>
      </c>
      <c r="E622" s="6" t="str">
        <f ca="1">IF($A622="","",[1]!s_dq_close(E$1,$A622,$M$4))</f>
        <v/>
      </c>
      <c r="F622" s="6" t="str">
        <f ca="1">IF($A622="","",[1]!s_dq_close(F$1,$A622,$M$4))</f>
        <v/>
      </c>
      <c r="G622" s="6"/>
      <c r="H622" s="6" t="str">
        <f ca="1">IF($A622="","",[1]!s_dq_close(H$1,$A622,$M$4))</f>
        <v/>
      </c>
      <c r="I622" s="6" t="str">
        <f ca="1">IF($A622="","",[1]!s_dq_close(I$1,$A622,$M$4))</f>
        <v/>
      </c>
      <c r="J622" s="6" t="str">
        <f t="shared" ca="1" si="10"/>
        <v/>
      </c>
    </row>
    <row r="623" spans="1:10">
      <c r="A623" s="2" t="str">
        <f ca="1">IF(A622="","",IF(IF(价差分析!$W$4="日",--[1]!td(A622-1),IF(价差分析!$W$4="周",--[1]!td(A622-7),--[1]!td(A622-30)))-价差分析!$T$4&gt;0,IF(价差分析!$W$4="日",--[1]!td(A622-1),IF(价差分析!$W$4="周",--[1]!td(A622-7),--[1]!td(A622-30))),""))</f>
        <v/>
      </c>
      <c r="B623" s="1" t="str">
        <f ca="1">IF(A623="","",[1]!s_dq_close($B$1,A623,$M$4))</f>
        <v/>
      </c>
      <c r="C623" s="1" t="str">
        <f ca="1">IF(A623="","",[1]!s_dq_close($C$1,A623,$M$4))</f>
        <v/>
      </c>
      <c r="D623" s="6" t="str">
        <f ca="1">IF($A623="","",[1]!s_dq_close(D$1,$A623,$M$4))</f>
        <v/>
      </c>
      <c r="E623" s="6" t="str">
        <f ca="1">IF($A623="","",[1]!s_dq_close(E$1,$A623,$M$4))</f>
        <v/>
      </c>
      <c r="F623" s="6" t="str">
        <f ca="1">IF($A623="","",[1]!s_dq_close(F$1,$A623,$M$4))</f>
        <v/>
      </c>
      <c r="G623" s="6"/>
      <c r="H623" s="6" t="str">
        <f ca="1">IF($A623="","",[1]!s_dq_close(H$1,$A623,$M$4))</f>
        <v/>
      </c>
      <c r="I623" s="6" t="str">
        <f ca="1">IF($A623="","",[1]!s_dq_close(I$1,$A623,$M$4))</f>
        <v/>
      </c>
      <c r="J623" s="6" t="str">
        <f t="shared" ca="1" si="10"/>
        <v/>
      </c>
    </row>
    <row r="624" spans="1:10">
      <c r="A624" s="2" t="str">
        <f ca="1">IF(A623="","",IF(IF(价差分析!$W$4="日",--[1]!td(A623-1),IF(价差分析!$W$4="周",--[1]!td(A623-7),--[1]!td(A623-30)))-价差分析!$T$4&gt;0,IF(价差分析!$W$4="日",--[1]!td(A623-1),IF(价差分析!$W$4="周",--[1]!td(A623-7),--[1]!td(A623-30))),""))</f>
        <v/>
      </c>
      <c r="B624" s="1" t="str">
        <f ca="1">IF(A624="","",[1]!s_dq_close($B$1,A624,$M$4))</f>
        <v/>
      </c>
      <c r="C624" s="1" t="str">
        <f ca="1">IF(A624="","",[1]!s_dq_close($C$1,A624,$M$4))</f>
        <v/>
      </c>
      <c r="D624" s="6" t="str">
        <f ca="1">IF($A624="","",[1]!s_dq_close(D$1,$A624,$M$4))</f>
        <v/>
      </c>
      <c r="E624" s="6" t="str">
        <f ca="1">IF($A624="","",[1]!s_dq_close(E$1,$A624,$M$4))</f>
        <v/>
      </c>
      <c r="F624" s="6" t="str">
        <f ca="1">IF($A624="","",[1]!s_dq_close(F$1,$A624,$M$4))</f>
        <v/>
      </c>
      <c r="G624" s="6"/>
      <c r="H624" s="6" t="str">
        <f ca="1">IF($A624="","",[1]!s_dq_close(H$1,$A624,$M$4))</f>
        <v/>
      </c>
      <c r="I624" s="6" t="str">
        <f ca="1">IF($A624="","",[1]!s_dq_close(I$1,$A624,$M$4))</f>
        <v/>
      </c>
      <c r="J624" s="6" t="str">
        <f t="shared" ca="1" si="10"/>
        <v/>
      </c>
    </row>
    <row r="625" spans="1:10">
      <c r="A625" s="2" t="str">
        <f ca="1">IF(A624="","",IF(IF(价差分析!$W$4="日",--[1]!td(A624-1),IF(价差分析!$W$4="周",--[1]!td(A624-7),--[1]!td(A624-30)))-价差分析!$T$4&gt;0,IF(价差分析!$W$4="日",--[1]!td(A624-1),IF(价差分析!$W$4="周",--[1]!td(A624-7),--[1]!td(A624-30))),""))</f>
        <v/>
      </c>
      <c r="B625" s="1" t="str">
        <f ca="1">IF(A625="","",[1]!s_dq_close($B$1,A625,$M$4))</f>
        <v/>
      </c>
      <c r="C625" s="1" t="str">
        <f ca="1">IF(A625="","",[1]!s_dq_close($C$1,A625,$M$4))</f>
        <v/>
      </c>
      <c r="D625" s="6" t="str">
        <f ca="1">IF($A625="","",[1]!s_dq_close(D$1,$A625,$M$4))</f>
        <v/>
      </c>
      <c r="E625" s="6" t="str">
        <f ca="1">IF($A625="","",[1]!s_dq_close(E$1,$A625,$M$4))</f>
        <v/>
      </c>
      <c r="F625" s="6" t="str">
        <f ca="1">IF($A625="","",[1]!s_dq_close(F$1,$A625,$M$4))</f>
        <v/>
      </c>
      <c r="G625" s="6"/>
      <c r="H625" s="6" t="str">
        <f ca="1">IF($A625="","",[1]!s_dq_close(H$1,$A625,$M$4))</f>
        <v/>
      </c>
      <c r="I625" s="6" t="str">
        <f ca="1">IF($A625="","",[1]!s_dq_close(I$1,$A625,$M$4))</f>
        <v/>
      </c>
      <c r="J625" s="6" t="str">
        <f t="shared" ca="1" si="10"/>
        <v/>
      </c>
    </row>
    <row r="626" spans="1:10">
      <c r="A626" s="2" t="str">
        <f ca="1">IF(A625="","",IF(IF(价差分析!$W$4="日",--[1]!td(A625-1),IF(价差分析!$W$4="周",--[1]!td(A625-7),--[1]!td(A625-30)))-价差分析!$T$4&gt;0,IF(价差分析!$W$4="日",--[1]!td(A625-1),IF(价差分析!$W$4="周",--[1]!td(A625-7),--[1]!td(A625-30))),""))</f>
        <v/>
      </c>
      <c r="B626" s="1" t="str">
        <f ca="1">IF(A626="","",[1]!s_dq_close($B$1,A626,$M$4))</f>
        <v/>
      </c>
      <c r="C626" s="1" t="str">
        <f ca="1">IF(A626="","",[1]!s_dq_close($C$1,A626,$M$4))</f>
        <v/>
      </c>
      <c r="D626" s="6" t="str">
        <f ca="1">IF($A626="","",[1]!s_dq_close(D$1,$A626,$M$4))</f>
        <v/>
      </c>
      <c r="E626" s="6" t="str">
        <f ca="1">IF($A626="","",[1]!s_dq_close(E$1,$A626,$M$4))</f>
        <v/>
      </c>
      <c r="F626" s="6" t="str">
        <f ca="1">IF($A626="","",[1]!s_dq_close(F$1,$A626,$M$4))</f>
        <v/>
      </c>
      <c r="G626" s="6"/>
      <c r="H626" s="6" t="str">
        <f ca="1">IF($A626="","",[1]!s_dq_close(H$1,$A626,$M$4))</f>
        <v/>
      </c>
      <c r="I626" s="6" t="str">
        <f ca="1">IF($A626="","",[1]!s_dq_close(I$1,$A626,$M$4))</f>
        <v/>
      </c>
      <c r="J626" s="6" t="str">
        <f t="shared" ca="1" si="10"/>
        <v/>
      </c>
    </row>
    <row r="627" spans="1:10">
      <c r="A627" s="2" t="str">
        <f ca="1">IF(A626="","",IF(IF(价差分析!$W$4="日",--[1]!td(A626-1),IF(价差分析!$W$4="周",--[1]!td(A626-7),--[1]!td(A626-30)))-价差分析!$T$4&gt;0,IF(价差分析!$W$4="日",--[1]!td(A626-1),IF(价差分析!$W$4="周",--[1]!td(A626-7),--[1]!td(A626-30))),""))</f>
        <v/>
      </c>
      <c r="B627" s="1" t="str">
        <f ca="1">IF(A627="","",[1]!s_dq_close($B$1,A627,$M$4))</f>
        <v/>
      </c>
      <c r="C627" s="1" t="str">
        <f ca="1">IF(A627="","",[1]!s_dq_close($C$1,A627,$M$4))</f>
        <v/>
      </c>
      <c r="D627" s="6" t="str">
        <f ca="1">IF($A627="","",[1]!s_dq_close(D$1,$A627,$M$4))</f>
        <v/>
      </c>
      <c r="E627" s="6" t="str">
        <f ca="1">IF($A627="","",[1]!s_dq_close(E$1,$A627,$M$4))</f>
        <v/>
      </c>
      <c r="F627" s="6" t="str">
        <f ca="1">IF($A627="","",[1]!s_dq_close(F$1,$A627,$M$4))</f>
        <v/>
      </c>
      <c r="G627" s="6"/>
      <c r="H627" s="6" t="str">
        <f ca="1">IF($A627="","",[1]!s_dq_close(H$1,$A627,$M$4))</f>
        <v/>
      </c>
      <c r="I627" s="6" t="str">
        <f ca="1">IF($A627="","",[1]!s_dq_close(I$1,$A627,$M$4))</f>
        <v/>
      </c>
      <c r="J627" s="6" t="str">
        <f t="shared" ca="1" si="10"/>
        <v/>
      </c>
    </row>
    <row r="628" spans="1:10">
      <c r="A628" s="2" t="str">
        <f ca="1">IF(A627="","",IF(IF(价差分析!$W$4="日",--[1]!td(A627-1),IF(价差分析!$W$4="周",--[1]!td(A627-7),--[1]!td(A627-30)))-价差分析!$T$4&gt;0,IF(价差分析!$W$4="日",--[1]!td(A627-1),IF(价差分析!$W$4="周",--[1]!td(A627-7),--[1]!td(A627-30))),""))</f>
        <v/>
      </c>
      <c r="B628" s="1" t="str">
        <f ca="1">IF(A628="","",[1]!s_dq_close($B$1,A628,$M$4))</f>
        <v/>
      </c>
      <c r="C628" s="1" t="str">
        <f ca="1">IF(A628="","",[1]!s_dq_close($C$1,A628,$M$4))</f>
        <v/>
      </c>
      <c r="D628" s="6" t="str">
        <f ca="1">IF($A628="","",[1]!s_dq_close(D$1,$A628,$M$4))</f>
        <v/>
      </c>
      <c r="E628" s="6" t="str">
        <f ca="1">IF($A628="","",[1]!s_dq_close(E$1,$A628,$M$4))</f>
        <v/>
      </c>
      <c r="F628" s="6" t="str">
        <f ca="1">IF($A628="","",[1]!s_dq_close(F$1,$A628,$M$4))</f>
        <v/>
      </c>
      <c r="G628" s="6"/>
      <c r="H628" s="6" t="str">
        <f ca="1">IF($A628="","",[1]!s_dq_close(H$1,$A628,$M$4))</f>
        <v/>
      </c>
      <c r="I628" s="6" t="str">
        <f ca="1">IF($A628="","",[1]!s_dq_close(I$1,$A628,$M$4))</f>
        <v/>
      </c>
      <c r="J628" s="6" t="str">
        <f t="shared" ca="1" si="10"/>
        <v/>
      </c>
    </row>
    <row r="629" spans="1:10">
      <c r="A629" s="2" t="str">
        <f ca="1">IF(A628="","",IF(IF(价差分析!$W$4="日",--[1]!td(A628-1),IF(价差分析!$W$4="周",--[1]!td(A628-7),--[1]!td(A628-30)))-价差分析!$T$4&gt;0,IF(价差分析!$W$4="日",--[1]!td(A628-1),IF(价差分析!$W$4="周",--[1]!td(A628-7),--[1]!td(A628-30))),""))</f>
        <v/>
      </c>
      <c r="B629" s="1" t="str">
        <f ca="1">IF(A629="","",[1]!s_dq_close($B$1,A629,$M$4))</f>
        <v/>
      </c>
      <c r="C629" s="1" t="str">
        <f ca="1">IF(A629="","",[1]!s_dq_close($C$1,A629,$M$4))</f>
        <v/>
      </c>
      <c r="D629" s="6" t="str">
        <f ca="1">IF($A629="","",[1]!s_dq_close(D$1,$A629,$M$4))</f>
        <v/>
      </c>
      <c r="E629" s="6" t="str">
        <f ca="1">IF($A629="","",[1]!s_dq_close(E$1,$A629,$M$4))</f>
        <v/>
      </c>
      <c r="F629" s="6" t="str">
        <f ca="1">IF($A629="","",[1]!s_dq_close(F$1,$A629,$M$4))</f>
        <v/>
      </c>
      <c r="G629" s="6"/>
      <c r="H629" s="6" t="str">
        <f ca="1">IF($A629="","",[1]!s_dq_close(H$1,$A629,$M$4))</f>
        <v/>
      </c>
      <c r="I629" s="6" t="str">
        <f ca="1">IF($A629="","",[1]!s_dq_close(I$1,$A629,$M$4))</f>
        <v/>
      </c>
      <c r="J629" s="6" t="str">
        <f t="shared" ca="1" si="10"/>
        <v/>
      </c>
    </row>
    <row r="630" spans="1:10">
      <c r="A630" s="2" t="str">
        <f ca="1">IF(A629="","",IF(IF(价差分析!$W$4="日",--[1]!td(A629-1),IF(价差分析!$W$4="周",--[1]!td(A629-7),--[1]!td(A629-30)))-价差分析!$T$4&gt;0,IF(价差分析!$W$4="日",--[1]!td(A629-1),IF(价差分析!$W$4="周",--[1]!td(A629-7),--[1]!td(A629-30))),""))</f>
        <v/>
      </c>
      <c r="B630" s="1" t="str">
        <f ca="1">IF(A630="","",[1]!s_dq_close($B$1,A630,$M$4))</f>
        <v/>
      </c>
      <c r="C630" s="1" t="str">
        <f ca="1">IF(A630="","",[1]!s_dq_close($C$1,A630,$M$4))</f>
        <v/>
      </c>
      <c r="D630" s="6" t="str">
        <f ca="1">IF($A630="","",[1]!s_dq_close(D$1,$A630,$M$4))</f>
        <v/>
      </c>
      <c r="E630" s="6" t="str">
        <f ca="1">IF($A630="","",[1]!s_dq_close(E$1,$A630,$M$4))</f>
        <v/>
      </c>
      <c r="F630" s="6" t="str">
        <f ca="1">IF($A630="","",[1]!s_dq_close(F$1,$A630,$M$4))</f>
        <v/>
      </c>
      <c r="G630" s="6"/>
      <c r="H630" s="6" t="str">
        <f ca="1">IF($A630="","",[1]!s_dq_close(H$1,$A630,$M$4))</f>
        <v/>
      </c>
      <c r="I630" s="6" t="str">
        <f ca="1">IF($A630="","",[1]!s_dq_close(I$1,$A630,$M$4))</f>
        <v/>
      </c>
      <c r="J630" s="6" t="str">
        <f t="shared" ca="1" si="10"/>
        <v/>
      </c>
    </row>
    <row r="631" spans="1:10">
      <c r="A631" s="2" t="str">
        <f ca="1">IF(A630="","",IF(IF(价差分析!$W$4="日",--[1]!td(A630-1),IF(价差分析!$W$4="周",--[1]!td(A630-7),--[1]!td(A630-30)))-价差分析!$T$4&gt;0,IF(价差分析!$W$4="日",--[1]!td(A630-1),IF(价差分析!$W$4="周",--[1]!td(A630-7),--[1]!td(A630-30))),""))</f>
        <v/>
      </c>
      <c r="B631" s="1" t="str">
        <f ca="1">IF(A631="","",[1]!s_dq_close($B$1,A631,$M$4))</f>
        <v/>
      </c>
      <c r="C631" s="1" t="str">
        <f ca="1">IF(A631="","",[1]!s_dq_close($C$1,A631,$M$4))</f>
        <v/>
      </c>
      <c r="D631" s="6" t="str">
        <f ca="1">IF($A631="","",[1]!s_dq_close(D$1,$A631,$M$4))</f>
        <v/>
      </c>
      <c r="E631" s="6" t="str">
        <f ca="1">IF($A631="","",[1]!s_dq_close(E$1,$A631,$M$4))</f>
        <v/>
      </c>
      <c r="F631" s="6" t="str">
        <f ca="1">IF($A631="","",[1]!s_dq_close(F$1,$A631,$M$4))</f>
        <v/>
      </c>
      <c r="G631" s="6"/>
      <c r="H631" s="6" t="str">
        <f ca="1">IF($A631="","",[1]!s_dq_close(H$1,$A631,$M$4))</f>
        <v/>
      </c>
      <c r="I631" s="6" t="str">
        <f ca="1">IF($A631="","",[1]!s_dq_close(I$1,$A631,$M$4))</f>
        <v/>
      </c>
      <c r="J631" s="6" t="str">
        <f t="shared" ca="1" si="10"/>
        <v/>
      </c>
    </row>
    <row r="632" spans="1:10">
      <c r="A632" s="2" t="str">
        <f ca="1">IF(A631="","",IF(IF(价差分析!$W$4="日",--[1]!td(A631-1),IF(价差分析!$W$4="周",--[1]!td(A631-7),--[1]!td(A631-30)))-价差分析!$T$4&gt;0,IF(价差分析!$W$4="日",--[1]!td(A631-1),IF(价差分析!$W$4="周",--[1]!td(A631-7),--[1]!td(A631-30))),""))</f>
        <v/>
      </c>
      <c r="B632" s="1" t="str">
        <f ca="1">IF(A632="","",[1]!s_dq_close($B$1,A632,$M$4))</f>
        <v/>
      </c>
      <c r="C632" s="1" t="str">
        <f ca="1">IF(A632="","",[1]!s_dq_close($C$1,A632,$M$4))</f>
        <v/>
      </c>
      <c r="D632" s="6" t="str">
        <f ca="1">IF($A632="","",[1]!s_dq_close(D$1,$A632,$M$4))</f>
        <v/>
      </c>
      <c r="E632" s="6" t="str">
        <f ca="1">IF($A632="","",[1]!s_dq_close(E$1,$A632,$M$4))</f>
        <v/>
      </c>
      <c r="F632" s="6" t="str">
        <f ca="1">IF($A632="","",[1]!s_dq_close(F$1,$A632,$M$4))</f>
        <v/>
      </c>
      <c r="G632" s="6"/>
      <c r="H632" s="6" t="str">
        <f ca="1">IF($A632="","",[1]!s_dq_close(H$1,$A632,$M$4))</f>
        <v/>
      </c>
      <c r="I632" s="6" t="str">
        <f ca="1">IF($A632="","",[1]!s_dq_close(I$1,$A632,$M$4))</f>
        <v/>
      </c>
      <c r="J632" s="6" t="str">
        <f t="shared" ca="1" si="10"/>
        <v/>
      </c>
    </row>
    <row r="633" spans="1:10">
      <c r="A633" s="2" t="str">
        <f ca="1">IF(A632="","",IF(IF(价差分析!$W$4="日",--[1]!td(A632-1),IF(价差分析!$W$4="周",--[1]!td(A632-7),--[1]!td(A632-30)))-价差分析!$T$4&gt;0,IF(价差分析!$W$4="日",--[1]!td(A632-1),IF(价差分析!$W$4="周",--[1]!td(A632-7),--[1]!td(A632-30))),""))</f>
        <v/>
      </c>
      <c r="B633" s="1" t="str">
        <f ca="1">IF(A633="","",[1]!s_dq_close($B$1,A633,$M$4))</f>
        <v/>
      </c>
      <c r="C633" s="1" t="str">
        <f ca="1">IF(A633="","",[1]!s_dq_close($C$1,A633,$M$4))</f>
        <v/>
      </c>
      <c r="D633" s="6" t="str">
        <f ca="1">IF($A633="","",[1]!s_dq_close(D$1,$A633,$M$4))</f>
        <v/>
      </c>
      <c r="E633" s="6" t="str">
        <f ca="1">IF($A633="","",[1]!s_dq_close(E$1,$A633,$M$4))</f>
        <v/>
      </c>
      <c r="F633" s="6" t="str">
        <f ca="1">IF($A633="","",[1]!s_dq_close(F$1,$A633,$M$4))</f>
        <v/>
      </c>
      <c r="G633" s="6"/>
      <c r="H633" s="6" t="str">
        <f ca="1">IF($A633="","",[1]!s_dq_close(H$1,$A633,$M$4))</f>
        <v/>
      </c>
      <c r="I633" s="6" t="str">
        <f ca="1">IF($A633="","",[1]!s_dq_close(I$1,$A633,$M$4))</f>
        <v/>
      </c>
      <c r="J633" s="6" t="str">
        <f t="shared" ca="1" si="10"/>
        <v/>
      </c>
    </row>
    <row r="634" spans="1:10">
      <c r="A634" s="2" t="str">
        <f ca="1">IF(A633="","",IF(IF(价差分析!$W$4="日",--[1]!td(A633-1),IF(价差分析!$W$4="周",--[1]!td(A633-7),--[1]!td(A633-30)))-价差分析!$T$4&gt;0,IF(价差分析!$W$4="日",--[1]!td(A633-1),IF(价差分析!$W$4="周",--[1]!td(A633-7),--[1]!td(A633-30))),""))</f>
        <v/>
      </c>
      <c r="B634" s="1" t="str">
        <f ca="1">IF(A634="","",[1]!s_dq_close($B$1,A634,$M$4))</f>
        <v/>
      </c>
      <c r="C634" s="1" t="str">
        <f ca="1">IF(A634="","",[1]!s_dq_close($C$1,A634,$M$4))</f>
        <v/>
      </c>
      <c r="D634" s="6" t="str">
        <f ca="1">IF($A634="","",[1]!s_dq_close(D$1,$A634,$M$4))</f>
        <v/>
      </c>
      <c r="E634" s="6" t="str">
        <f ca="1">IF($A634="","",[1]!s_dq_close(E$1,$A634,$M$4))</f>
        <v/>
      </c>
      <c r="F634" s="6" t="str">
        <f ca="1">IF($A634="","",[1]!s_dq_close(F$1,$A634,$M$4))</f>
        <v/>
      </c>
      <c r="G634" s="6"/>
      <c r="H634" s="6" t="str">
        <f ca="1">IF($A634="","",[1]!s_dq_close(H$1,$A634,$M$4))</f>
        <v/>
      </c>
      <c r="I634" s="6" t="str">
        <f ca="1">IF($A634="","",[1]!s_dq_close(I$1,$A634,$M$4))</f>
        <v/>
      </c>
      <c r="J634" s="6" t="str">
        <f t="shared" ca="1" si="10"/>
        <v/>
      </c>
    </row>
    <row r="635" spans="1:10">
      <c r="A635" s="2" t="str">
        <f ca="1">IF(A634="","",IF(IF(价差分析!$W$4="日",--[1]!td(A634-1),IF(价差分析!$W$4="周",--[1]!td(A634-7),--[1]!td(A634-30)))-价差分析!$T$4&gt;0,IF(价差分析!$W$4="日",--[1]!td(A634-1),IF(价差分析!$W$4="周",--[1]!td(A634-7),--[1]!td(A634-30))),""))</f>
        <v/>
      </c>
      <c r="B635" s="1" t="str">
        <f ca="1">IF(A635="","",[1]!s_dq_close($B$1,A635,$M$4))</f>
        <v/>
      </c>
      <c r="C635" s="1" t="str">
        <f ca="1">IF(A635="","",[1]!s_dq_close($C$1,A635,$M$4))</f>
        <v/>
      </c>
      <c r="D635" s="6" t="str">
        <f ca="1">IF($A635="","",[1]!s_dq_close(D$1,$A635,$M$4))</f>
        <v/>
      </c>
      <c r="E635" s="6" t="str">
        <f ca="1">IF($A635="","",[1]!s_dq_close(E$1,$A635,$M$4))</f>
        <v/>
      </c>
      <c r="F635" s="6" t="str">
        <f ca="1">IF($A635="","",[1]!s_dq_close(F$1,$A635,$M$4))</f>
        <v/>
      </c>
      <c r="G635" s="6"/>
      <c r="H635" s="6" t="str">
        <f ca="1">IF($A635="","",[1]!s_dq_close(H$1,$A635,$M$4))</f>
        <v/>
      </c>
      <c r="I635" s="6" t="str">
        <f ca="1">IF($A635="","",[1]!s_dq_close(I$1,$A635,$M$4))</f>
        <v/>
      </c>
      <c r="J635" s="6" t="str">
        <f t="shared" ca="1" si="10"/>
        <v/>
      </c>
    </row>
    <row r="636" spans="1:10">
      <c r="A636" s="2" t="str">
        <f ca="1">IF(A635="","",IF(IF(价差分析!$W$4="日",--[1]!td(A635-1),IF(价差分析!$W$4="周",--[1]!td(A635-7),--[1]!td(A635-30)))-价差分析!$T$4&gt;0,IF(价差分析!$W$4="日",--[1]!td(A635-1),IF(价差分析!$W$4="周",--[1]!td(A635-7),--[1]!td(A635-30))),""))</f>
        <v/>
      </c>
      <c r="B636" s="1" t="str">
        <f ca="1">IF(A636="","",[1]!s_dq_close($B$1,A636,$M$4))</f>
        <v/>
      </c>
      <c r="C636" s="1" t="str">
        <f ca="1">IF(A636="","",[1]!s_dq_close($C$1,A636,$M$4))</f>
        <v/>
      </c>
      <c r="D636" s="6" t="str">
        <f ca="1">IF($A636="","",[1]!s_dq_close(D$1,$A636,$M$4))</f>
        <v/>
      </c>
      <c r="E636" s="6" t="str">
        <f ca="1">IF($A636="","",[1]!s_dq_close(E$1,$A636,$M$4))</f>
        <v/>
      </c>
      <c r="F636" s="6" t="str">
        <f ca="1">IF($A636="","",[1]!s_dq_close(F$1,$A636,$M$4))</f>
        <v/>
      </c>
      <c r="G636" s="6"/>
      <c r="H636" s="6" t="str">
        <f ca="1">IF($A636="","",[1]!s_dq_close(H$1,$A636,$M$4))</f>
        <v/>
      </c>
      <c r="I636" s="6" t="str">
        <f ca="1">IF($A636="","",[1]!s_dq_close(I$1,$A636,$M$4))</f>
        <v/>
      </c>
      <c r="J636" s="6" t="str">
        <f t="shared" ca="1" si="10"/>
        <v/>
      </c>
    </row>
    <row r="637" spans="1:10">
      <c r="A637" s="2" t="str">
        <f ca="1">IF(A636="","",IF(IF(价差分析!$W$4="日",--[1]!td(A636-1),IF(价差分析!$W$4="周",--[1]!td(A636-7),--[1]!td(A636-30)))-价差分析!$T$4&gt;0,IF(价差分析!$W$4="日",--[1]!td(A636-1),IF(价差分析!$W$4="周",--[1]!td(A636-7),--[1]!td(A636-30))),""))</f>
        <v/>
      </c>
      <c r="B637" s="1" t="str">
        <f ca="1">IF(A637="","",[1]!s_dq_close($B$1,A637,$M$4))</f>
        <v/>
      </c>
      <c r="C637" s="1" t="str">
        <f ca="1">IF(A637="","",[1]!s_dq_close($C$1,A637,$M$4))</f>
        <v/>
      </c>
      <c r="D637" s="6" t="str">
        <f ca="1">IF($A637="","",[1]!s_dq_close(D$1,$A637,$M$4))</f>
        <v/>
      </c>
      <c r="E637" s="6" t="str">
        <f ca="1">IF($A637="","",[1]!s_dq_close(E$1,$A637,$M$4))</f>
        <v/>
      </c>
      <c r="F637" s="6" t="str">
        <f ca="1">IF($A637="","",[1]!s_dq_close(F$1,$A637,$M$4))</f>
        <v/>
      </c>
      <c r="G637" s="6"/>
      <c r="H637" s="6" t="str">
        <f ca="1">IF($A637="","",[1]!s_dq_close(H$1,$A637,$M$4))</f>
        <v/>
      </c>
      <c r="I637" s="6" t="str">
        <f ca="1">IF($A637="","",[1]!s_dq_close(I$1,$A637,$M$4))</f>
        <v/>
      </c>
      <c r="J637" s="6" t="str">
        <f t="shared" ca="1" si="10"/>
        <v/>
      </c>
    </row>
    <row r="638" spans="1:10">
      <c r="A638" s="2" t="str">
        <f ca="1">IF(A637="","",IF(IF(价差分析!$W$4="日",--[1]!td(A637-1),IF(价差分析!$W$4="周",--[1]!td(A637-7),--[1]!td(A637-30)))-价差分析!$T$4&gt;0,IF(价差分析!$W$4="日",--[1]!td(A637-1),IF(价差分析!$W$4="周",--[1]!td(A637-7),--[1]!td(A637-30))),""))</f>
        <v/>
      </c>
      <c r="B638" s="1" t="str">
        <f ca="1">IF(A638="","",[1]!s_dq_close($B$1,A638,$M$4))</f>
        <v/>
      </c>
      <c r="C638" s="1" t="str">
        <f ca="1">IF(A638="","",[1]!s_dq_close($C$1,A638,$M$4))</f>
        <v/>
      </c>
      <c r="D638" s="6" t="str">
        <f ca="1">IF($A638="","",[1]!s_dq_close(D$1,$A638,$M$4))</f>
        <v/>
      </c>
      <c r="E638" s="6" t="str">
        <f ca="1">IF($A638="","",[1]!s_dq_close(E$1,$A638,$M$4))</f>
        <v/>
      </c>
      <c r="F638" s="6" t="str">
        <f ca="1">IF($A638="","",[1]!s_dq_close(F$1,$A638,$M$4))</f>
        <v/>
      </c>
      <c r="G638" s="6"/>
      <c r="H638" s="6" t="str">
        <f ca="1">IF($A638="","",[1]!s_dq_close(H$1,$A638,$M$4))</f>
        <v/>
      </c>
      <c r="I638" s="6" t="str">
        <f ca="1">IF($A638="","",[1]!s_dq_close(I$1,$A638,$M$4))</f>
        <v/>
      </c>
      <c r="J638" s="6" t="str">
        <f t="shared" ca="1" si="10"/>
        <v/>
      </c>
    </row>
    <row r="639" spans="1:10">
      <c r="A639" s="2" t="str">
        <f ca="1">IF(A638="","",IF(IF(价差分析!$W$4="日",--[1]!td(A638-1),IF(价差分析!$W$4="周",--[1]!td(A638-7),--[1]!td(A638-30)))-价差分析!$T$4&gt;0,IF(价差分析!$W$4="日",--[1]!td(A638-1),IF(价差分析!$W$4="周",--[1]!td(A638-7),--[1]!td(A638-30))),""))</f>
        <v/>
      </c>
      <c r="B639" s="1" t="str">
        <f ca="1">IF(A639="","",[1]!s_dq_close($B$1,A639,$M$4))</f>
        <v/>
      </c>
      <c r="C639" s="1" t="str">
        <f ca="1">IF(A639="","",[1]!s_dq_close($C$1,A639,$M$4))</f>
        <v/>
      </c>
      <c r="D639" s="6" t="str">
        <f ca="1">IF($A639="","",[1]!s_dq_close(D$1,$A639,$M$4))</f>
        <v/>
      </c>
      <c r="E639" s="6" t="str">
        <f ca="1">IF($A639="","",[1]!s_dq_close(E$1,$A639,$M$4))</f>
        <v/>
      </c>
      <c r="F639" s="6" t="str">
        <f ca="1">IF($A639="","",[1]!s_dq_close(F$1,$A639,$M$4))</f>
        <v/>
      </c>
      <c r="G639" s="6"/>
      <c r="H639" s="6" t="str">
        <f ca="1">IF($A639="","",[1]!s_dq_close(H$1,$A639,$M$4))</f>
        <v/>
      </c>
      <c r="I639" s="6" t="str">
        <f ca="1">IF($A639="","",[1]!s_dq_close(I$1,$A639,$M$4))</f>
        <v/>
      </c>
      <c r="J639" s="6" t="str">
        <f t="shared" ca="1" si="10"/>
        <v/>
      </c>
    </row>
    <row r="640" spans="1:10">
      <c r="A640" s="2" t="str">
        <f ca="1">IF(A639="","",IF(IF(价差分析!$W$4="日",--[1]!td(A639-1),IF(价差分析!$W$4="周",--[1]!td(A639-7),--[1]!td(A639-30)))-价差分析!$T$4&gt;0,IF(价差分析!$W$4="日",--[1]!td(A639-1),IF(价差分析!$W$4="周",--[1]!td(A639-7),--[1]!td(A639-30))),""))</f>
        <v/>
      </c>
      <c r="B640" s="1" t="str">
        <f ca="1">IF(A640="","",[1]!s_dq_close($B$1,A640,$M$4))</f>
        <v/>
      </c>
      <c r="C640" s="1" t="str">
        <f ca="1">IF(A640="","",[1]!s_dq_close($C$1,A640,$M$4))</f>
        <v/>
      </c>
      <c r="D640" s="6" t="str">
        <f ca="1">IF($A640="","",[1]!s_dq_close(D$1,$A640,$M$4))</f>
        <v/>
      </c>
      <c r="E640" s="6" t="str">
        <f ca="1">IF($A640="","",[1]!s_dq_close(E$1,$A640,$M$4))</f>
        <v/>
      </c>
      <c r="F640" s="6" t="str">
        <f ca="1">IF($A640="","",[1]!s_dq_close(F$1,$A640,$M$4))</f>
        <v/>
      </c>
      <c r="G640" s="6"/>
      <c r="H640" s="6" t="str">
        <f ca="1">IF($A640="","",[1]!s_dq_close(H$1,$A640,$M$4))</f>
        <v/>
      </c>
      <c r="I640" s="6" t="str">
        <f ca="1">IF($A640="","",[1]!s_dq_close(I$1,$A640,$M$4))</f>
        <v/>
      </c>
      <c r="J640" s="6" t="str">
        <f t="shared" ca="1" si="10"/>
        <v/>
      </c>
    </row>
    <row r="641" spans="1:10">
      <c r="A641" s="2" t="str">
        <f ca="1">IF(A640="","",IF(IF(价差分析!$W$4="日",--[1]!td(A640-1),IF(价差分析!$W$4="周",--[1]!td(A640-7),--[1]!td(A640-30)))-价差分析!$T$4&gt;0,IF(价差分析!$W$4="日",--[1]!td(A640-1),IF(价差分析!$W$4="周",--[1]!td(A640-7),--[1]!td(A640-30))),""))</f>
        <v/>
      </c>
      <c r="B641" s="1" t="str">
        <f ca="1">IF(A641="","",[1]!s_dq_close($B$1,A641,$M$4))</f>
        <v/>
      </c>
      <c r="C641" s="1" t="str">
        <f ca="1">IF(A641="","",[1]!s_dq_close($C$1,A641,$M$4))</f>
        <v/>
      </c>
      <c r="D641" s="6" t="str">
        <f ca="1">IF($A641="","",[1]!s_dq_close(D$1,$A641,$M$4))</f>
        <v/>
      </c>
      <c r="E641" s="6" t="str">
        <f ca="1">IF($A641="","",[1]!s_dq_close(E$1,$A641,$M$4))</f>
        <v/>
      </c>
      <c r="F641" s="6" t="str">
        <f ca="1">IF($A641="","",[1]!s_dq_close(F$1,$A641,$M$4))</f>
        <v/>
      </c>
      <c r="G641" s="6"/>
      <c r="H641" s="6" t="str">
        <f ca="1">IF($A641="","",[1]!s_dq_close(H$1,$A641,$M$4))</f>
        <v/>
      </c>
      <c r="I641" s="6" t="str">
        <f ca="1">IF($A641="","",[1]!s_dq_close(I$1,$A641,$M$4))</f>
        <v/>
      </c>
      <c r="J641" s="6" t="str">
        <f t="shared" ca="1" si="10"/>
        <v/>
      </c>
    </row>
    <row r="642" spans="1:10">
      <c r="A642" s="2" t="str">
        <f ca="1">IF(A641="","",IF(IF(价差分析!$W$4="日",--[1]!td(A641-1),IF(价差分析!$W$4="周",--[1]!td(A641-7),--[1]!td(A641-30)))-价差分析!$T$4&gt;0,IF(价差分析!$W$4="日",--[1]!td(A641-1),IF(价差分析!$W$4="周",--[1]!td(A641-7),--[1]!td(A641-30))),""))</f>
        <v/>
      </c>
      <c r="B642" s="1" t="str">
        <f ca="1">IF(A642="","",[1]!s_dq_close($B$1,A642,$M$4))</f>
        <v/>
      </c>
      <c r="C642" s="1" t="str">
        <f ca="1">IF(A642="","",[1]!s_dq_close($C$1,A642,$M$4))</f>
        <v/>
      </c>
      <c r="D642" s="6" t="str">
        <f ca="1">IF($A642="","",[1]!s_dq_close(D$1,$A642,$M$4))</f>
        <v/>
      </c>
      <c r="E642" s="6" t="str">
        <f ca="1">IF($A642="","",[1]!s_dq_close(E$1,$A642,$M$4))</f>
        <v/>
      </c>
      <c r="F642" s="6" t="str">
        <f ca="1">IF($A642="","",[1]!s_dq_close(F$1,$A642,$M$4))</f>
        <v/>
      </c>
      <c r="G642" s="6"/>
      <c r="H642" s="6" t="str">
        <f ca="1">IF($A642="","",[1]!s_dq_close(H$1,$A642,$M$4))</f>
        <v/>
      </c>
      <c r="I642" s="6" t="str">
        <f ca="1">IF($A642="","",[1]!s_dq_close(I$1,$A642,$M$4))</f>
        <v/>
      </c>
      <c r="J642" s="6" t="str">
        <f t="shared" ca="1" si="10"/>
        <v/>
      </c>
    </row>
    <row r="643" spans="1:10">
      <c r="A643" s="2" t="str">
        <f ca="1">IF(A642="","",IF(IF(价差分析!$W$4="日",--[1]!td(A642-1),IF(价差分析!$W$4="周",--[1]!td(A642-7),--[1]!td(A642-30)))-价差分析!$T$4&gt;0,IF(价差分析!$W$4="日",--[1]!td(A642-1),IF(价差分析!$W$4="周",--[1]!td(A642-7),--[1]!td(A642-30))),""))</f>
        <v/>
      </c>
      <c r="B643" s="1" t="str">
        <f ca="1">IF(A643="","",[1]!s_dq_close($B$1,A643,$M$4))</f>
        <v/>
      </c>
      <c r="C643" s="1" t="str">
        <f ca="1">IF(A643="","",[1]!s_dq_close($C$1,A643,$M$4))</f>
        <v/>
      </c>
      <c r="D643" s="6" t="str">
        <f ca="1">IF($A643="","",[1]!s_dq_close(D$1,$A643,$M$4))</f>
        <v/>
      </c>
      <c r="E643" s="6" t="str">
        <f ca="1">IF($A643="","",[1]!s_dq_close(E$1,$A643,$M$4))</f>
        <v/>
      </c>
      <c r="F643" s="6" t="str">
        <f ca="1">IF($A643="","",[1]!s_dq_close(F$1,$A643,$M$4))</f>
        <v/>
      </c>
      <c r="G643" s="6"/>
      <c r="H643" s="6" t="str">
        <f ca="1">IF($A643="","",[1]!s_dq_close(H$1,$A643,$M$4))</f>
        <v/>
      </c>
      <c r="I643" s="6" t="str">
        <f ca="1">IF($A643="","",[1]!s_dq_close(I$1,$A643,$M$4))</f>
        <v/>
      </c>
      <c r="J643" s="6" t="str">
        <f t="shared" ca="1" si="10"/>
        <v/>
      </c>
    </row>
    <row r="644" spans="1:10">
      <c r="A644" s="2" t="str">
        <f ca="1">IF(A643="","",IF(IF(价差分析!$W$4="日",--[1]!td(A643-1),IF(价差分析!$W$4="周",--[1]!td(A643-7),--[1]!td(A643-30)))-价差分析!$T$4&gt;0,IF(价差分析!$W$4="日",--[1]!td(A643-1),IF(价差分析!$W$4="周",--[1]!td(A643-7),--[1]!td(A643-30))),""))</f>
        <v/>
      </c>
      <c r="B644" s="1" t="str">
        <f ca="1">IF(A644="","",[1]!s_dq_close($B$1,A644,$M$4))</f>
        <v/>
      </c>
      <c r="C644" s="1" t="str">
        <f ca="1">IF(A644="","",[1]!s_dq_close($C$1,A644,$M$4))</f>
        <v/>
      </c>
      <c r="D644" s="6" t="str">
        <f ca="1">IF($A644="","",[1]!s_dq_close(D$1,$A644,$M$4))</f>
        <v/>
      </c>
      <c r="E644" s="6" t="str">
        <f ca="1">IF($A644="","",[1]!s_dq_close(E$1,$A644,$M$4))</f>
        <v/>
      </c>
      <c r="F644" s="6" t="str">
        <f ca="1">IF($A644="","",[1]!s_dq_close(F$1,$A644,$M$4))</f>
        <v/>
      </c>
      <c r="G644" s="6"/>
      <c r="H644" s="6" t="str">
        <f ca="1">IF($A644="","",[1]!s_dq_close(H$1,$A644,$M$4))</f>
        <v/>
      </c>
      <c r="I644" s="6" t="str">
        <f ca="1">IF($A644="","",[1]!s_dq_close(I$1,$A644,$M$4))</f>
        <v/>
      </c>
      <c r="J644" s="6" t="str">
        <f t="shared" ca="1" si="10"/>
        <v/>
      </c>
    </row>
    <row r="645" spans="1:10">
      <c r="A645" s="2" t="str">
        <f ca="1">IF(A644="","",IF(IF(价差分析!$W$4="日",--[1]!td(A644-1),IF(价差分析!$W$4="周",--[1]!td(A644-7),--[1]!td(A644-30)))-价差分析!$T$4&gt;0,IF(价差分析!$W$4="日",--[1]!td(A644-1),IF(价差分析!$W$4="周",--[1]!td(A644-7),--[1]!td(A644-30))),""))</f>
        <v/>
      </c>
      <c r="B645" s="1" t="str">
        <f ca="1">IF(A645="","",[1]!s_dq_close($B$1,A645,$M$4))</f>
        <v/>
      </c>
      <c r="C645" s="1" t="str">
        <f ca="1">IF(A645="","",[1]!s_dq_close($C$1,A645,$M$4))</f>
        <v/>
      </c>
      <c r="D645" s="6" t="str">
        <f ca="1">IF($A645="","",[1]!s_dq_close(D$1,$A645,$M$4))</f>
        <v/>
      </c>
      <c r="E645" s="6" t="str">
        <f ca="1">IF($A645="","",[1]!s_dq_close(E$1,$A645,$M$4))</f>
        <v/>
      </c>
      <c r="F645" s="6" t="str">
        <f ca="1">IF($A645="","",[1]!s_dq_close(F$1,$A645,$M$4))</f>
        <v/>
      </c>
      <c r="G645" s="6"/>
      <c r="H645" s="6" t="str">
        <f ca="1">IF($A645="","",[1]!s_dq_close(H$1,$A645,$M$4))</f>
        <v/>
      </c>
      <c r="I645" s="6" t="str">
        <f ca="1">IF($A645="","",[1]!s_dq_close(I$1,$A645,$M$4))</f>
        <v/>
      </c>
      <c r="J645" s="6" t="str">
        <f t="shared" ref="J645:J708" ca="1" si="11">IF(H645="","",H645-I645)</f>
        <v/>
      </c>
    </row>
    <row r="646" spans="1:10">
      <c r="A646" s="2" t="str">
        <f ca="1">IF(A645="","",IF(IF(价差分析!$W$4="日",--[1]!td(A645-1),IF(价差分析!$W$4="周",--[1]!td(A645-7),--[1]!td(A645-30)))-价差分析!$T$4&gt;0,IF(价差分析!$W$4="日",--[1]!td(A645-1),IF(价差分析!$W$4="周",--[1]!td(A645-7),--[1]!td(A645-30))),""))</f>
        <v/>
      </c>
      <c r="B646" s="1" t="str">
        <f ca="1">IF(A646="","",[1]!s_dq_close($B$1,A646,$M$4))</f>
        <v/>
      </c>
      <c r="C646" s="1" t="str">
        <f ca="1">IF(A646="","",[1]!s_dq_close($C$1,A646,$M$4))</f>
        <v/>
      </c>
      <c r="D646" s="6" t="str">
        <f ca="1">IF($A646="","",[1]!s_dq_close(D$1,$A646,$M$4))</f>
        <v/>
      </c>
      <c r="E646" s="6" t="str">
        <f ca="1">IF($A646="","",[1]!s_dq_close(E$1,$A646,$M$4))</f>
        <v/>
      </c>
      <c r="F646" s="6" t="str">
        <f ca="1">IF($A646="","",[1]!s_dq_close(F$1,$A646,$M$4))</f>
        <v/>
      </c>
      <c r="G646" s="6"/>
      <c r="H646" s="6" t="str">
        <f ca="1">IF($A646="","",[1]!s_dq_close(H$1,$A646,$M$4))</f>
        <v/>
      </c>
      <c r="I646" s="6" t="str">
        <f ca="1">IF($A646="","",[1]!s_dq_close(I$1,$A646,$M$4))</f>
        <v/>
      </c>
      <c r="J646" s="6" t="str">
        <f t="shared" ca="1" si="11"/>
        <v/>
      </c>
    </row>
    <row r="647" spans="1:10">
      <c r="A647" s="2" t="str">
        <f ca="1">IF(A646="","",IF(IF(价差分析!$W$4="日",--[1]!td(A646-1),IF(价差分析!$W$4="周",--[1]!td(A646-7),--[1]!td(A646-30)))-价差分析!$T$4&gt;0,IF(价差分析!$W$4="日",--[1]!td(A646-1),IF(价差分析!$W$4="周",--[1]!td(A646-7),--[1]!td(A646-30))),""))</f>
        <v/>
      </c>
      <c r="B647" s="1" t="str">
        <f ca="1">IF(A647="","",[1]!s_dq_close($B$1,A647,$M$4))</f>
        <v/>
      </c>
      <c r="C647" s="1" t="str">
        <f ca="1">IF(A647="","",[1]!s_dq_close($C$1,A647,$M$4))</f>
        <v/>
      </c>
      <c r="D647" s="6" t="str">
        <f ca="1">IF($A647="","",[1]!s_dq_close(D$1,$A647,$M$4))</f>
        <v/>
      </c>
      <c r="E647" s="6" t="str">
        <f ca="1">IF($A647="","",[1]!s_dq_close(E$1,$A647,$M$4))</f>
        <v/>
      </c>
      <c r="F647" s="6" t="str">
        <f ca="1">IF($A647="","",[1]!s_dq_close(F$1,$A647,$M$4))</f>
        <v/>
      </c>
      <c r="G647" s="6"/>
      <c r="H647" s="6" t="str">
        <f ca="1">IF($A647="","",[1]!s_dq_close(H$1,$A647,$M$4))</f>
        <v/>
      </c>
      <c r="I647" s="6" t="str">
        <f ca="1">IF($A647="","",[1]!s_dq_close(I$1,$A647,$M$4))</f>
        <v/>
      </c>
      <c r="J647" s="6" t="str">
        <f t="shared" ca="1" si="11"/>
        <v/>
      </c>
    </row>
    <row r="648" spans="1:10">
      <c r="A648" s="2" t="str">
        <f ca="1">IF(A647="","",IF(IF(价差分析!$W$4="日",--[1]!td(A647-1),IF(价差分析!$W$4="周",--[1]!td(A647-7),--[1]!td(A647-30)))-价差分析!$T$4&gt;0,IF(价差分析!$W$4="日",--[1]!td(A647-1),IF(价差分析!$W$4="周",--[1]!td(A647-7),--[1]!td(A647-30))),""))</f>
        <v/>
      </c>
      <c r="B648" s="1" t="str">
        <f ca="1">IF(A648="","",[1]!s_dq_close($B$1,A648,$M$4))</f>
        <v/>
      </c>
      <c r="C648" s="1" t="str">
        <f ca="1">IF(A648="","",[1]!s_dq_close($C$1,A648,$M$4))</f>
        <v/>
      </c>
      <c r="D648" s="6" t="str">
        <f ca="1">IF($A648="","",[1]!s_dq_close(D$1,$A648,$M$4))</f>
        <v/>
      </c>
      <c r="E648" s="6" t="str">
        <f ca="1">IF($A648="","",[1]!s_dq_close(E$1,$A648,$M$4))</f>
        <v/>
      </c>
      <c r="F648" s="6" t="str">
        <f ca="1">IF($A648="","",[1]!s_dq_close(F$1,$A648,$M$4))</f>
        <v/>
      </c>
      <c r="G648" s="6"/>
      <c r="H648" s="6" t="str">
        <f ca="1">IF($A648="","",[1]!s_dq_close(H$1,$A648,$M$4))</f>
        <v/>
      </c>
      <c r="I648" s="6" t="str">
        <f ca="1">IF($A648="","",[1]!s_dq_close(I$1,$A648,$M$4))</f>
        <v/>
      </c>
      <c r="J648" s="6" t="str">
        <f t="shared" ca="1" si="11"/>
        <v/>
      </c>
    </row>
    <row r="649" spans="1:10">
      <c r="A649" s="2" t="str">
        <f ca="1">IF(A648="","",IF(IF(价差分析!$W$4="日",--[1]!td(A648-1),IF(价差分析!$W$4="周",--[1]!td(A648-7),--[1]!td(A648-30)))-价差分析!$T$4&gt;0,IF(价差分析!$W$4="日",--[1]!td(A648-1),IF(价差分析!$W$4="周",--[1]!td(A648-7),--[1]!td(A648-30))),""))</f>
        <v/>
      </c>
      <c r="B649" s="1" t="str">
        <f ca="1">IF(A649="","",[1]!s_dq_close($B$1,A649,$M$4))</f>
        <v/>
      </c>
      <c r="C649" s="1" t="str">
        <f ca="1">IF(A649="","",[1]!s_dq_close($C$1,A649,$M$4))</f>
        <v/>
      </c>
      <c r="D649" s="6" t="str">
        <f ca="1">IF($A649="","",[1]!s_dq_close(D$1,$A649,$M$4))</f>
        <v/>
      </c>
      <c r="E649" s="6" t="str">
        <f ca="1">IF($A649="","",[1]!s_dq_close(E$1,$A649,$M$4))</f>
        <v/>
      </c>
      <c r="F649" s="6" t="str">
        <f ca="1">IF($A649="","",[1]!s_dq_close(F$1,$A649,$M$4))</f>
        <v/>
      </c>
      <c r="G649" s="6"/>
      <c r="H649" s="6" t="str">
        <f ca="1">IF($A649="","",[1]!s_dq_close(H$1,$A649,$M$4))</f>
        <v/>
      </c>
      <c r="I649" s="6" t="str">
        <f ca="1">IF($A649="","",[1]!s_dq_close(I$1,$A649,$M$4))</f>
        <v/>
      </c>
      <c r="J649" s="6" t="str">
        <f t="shared" ca="1" si="11"/>
        <v/>
      </c>
    </row>
    <row r="650" spans="1:10">
      <c r="A650" s="2" t="str">
        <f ca="1">IF(A649="","",IF(IF(价差分析!$W$4="日",--[1]!td(A649-1),IF(价差分析!$W$4="周",--[1]!td(A649-7),--[1]!td(A649-30)))-价差分析!$T$4&gt;0,IF(价差分析!$W$4="日",--[1]!td(A649-1),IF(价差分析!$W$4="周",--[1]!td(A649-7),--[1]!td(A649-30))),""))</f>
        <v/>
      </c>
      <c r="B650" s="1" t="str">
        <f ca="1">IF(A650="","",[1]!s_dq_close($B$1,A650,$M$4))</f>
        <v/>
      </c>
      <c r="C650" s="1" t="str">
        <f ca="1">IF(A650="","",[1]!s_dq_close($C$1,A650,$M$4))</f>
        <v/>
      </c>
      <c r="D650" s="6" t="str">
        <f ca="1">IF($A650="","",[1]!s_dq_close(D$1,$A650,$M$4))</f>
        <v/>
      </c>
      <c r="E650" s="6" t="str">
        <f ca="1">IF($A650="","",[1]!s_dq_close(E$1,$A650,$M$4))</f>
        <v/>
      </c>
      <c r="F650" s="6" t="str">
        <f ca="1">IF($A650="","",[1]!s_dq_close(F$1,$A650,$M$4))</f>
        <v/>
      </c>
      <c r="G650" s="6"/>
      <c r="H650" s="6" t="str">
        <f ca="1">IF($A650="","",[1]!s_dq_close(H$1,$A650,$M$4))</f>
        <v/>
      </c>
      <c r="I650" s="6" t="str">
        <f ca="1">IF($A650="","",[1]!s_dq_close(I$1,$A650,$M$4))</f>
        <v/>
      </c>
      <c r="J650" s="6" t="str">
        <f t="shared" ca="1" si="11"/>
        <v/>
      </c>
    </row>
    <row r="651" spans="1:10">
      <c r="A651" s="2" t="str">
        <f ca="1">IF(A650="","",IF(IF(价差分析!$W$4="日",--[1]!td(A650-1),IF(价差分析!$W$4="周",--[1]!td(A650-7),--[1]!td(A650-30)))-价差分析!$T$4&gt;0,IF(价差分析!$W$4="日",--[1]!td(A650-1),IF(价差分析!$W$4="周",--[1]!td(A650-7),--[1]!td(A650-30))),""))</f>
        <v/>
      </c>
      <c r="B651" s="1" t="str">
        <f ca="1">IF(A651="","",[1]!s_dq_close($B$1,A651,$M$4))</f>
        <v/>
      </c>
      <c r="C651" s="1" t="str">
        <f ca="1">IF(A651="","",[1]!s_dq_close($C$1,A651,$M$4))</f>
        <v/>
      </c>
      <c r="D651" s="6" t="str">
        <f ca="1">IF($A651="","",[1]!s_dq_close(D$1,$A651,$M$4))</f>
        <v/>
      </c>
      <c r="E651" s="6" t="str">
        <f ca="1">IF($A651="","",[1]!s_dq_close(E$1,$A651,$M$4))</f>
        <v/>
      </c>
      <c r="F651" s="6" t="str">
        <f ca="1">IF($A651="","",[1]!s_dq_close(F$1,$A651,$M$4))</f>
        <v/>
      </c>
      <c r="G651" s="6"/>
      <c r="H651" s="6" t="str">
        <f ca="1">IF($A651="","",[1]!s_dq_close(H$1,$A651,$M$4))</f>
        <v/>
      </c>
      <c r="I651" s="6" t="str">
        <f ca="1">IF($A651="","",[1]!s_dq_close(I$1,$A651,$M$4))</f>
        <v/>
      </c>
      <c r="J651" s="6" t="str">
        <f t="shared" ca="1" si="11"/>
        <v/>
      </c>
    </row>
    <row r="652" spans="1:10">
      <c r="A652" s="2" t="str">
        <f ca="1">IF(A651="","",IF(IF(价差分析!$W$4="日",--[1]!td(A651-1),IF(价差分析!$W$4="周",--[1]!td(A651-7),--[1]!td(A651-30)))-价差分析!$T$4&gt;0,IF(价差分析!$W$4="日",--[1]!td(A651-1),IF(价差分析!$W$4="周",--[1]!td(A651-7),--[1]!td(A651-30))),""))</f>
        <v/>
      </c>
      <c r="B652" s="1" t="str">
        <f ca="1">IF(A652="","",[1]!s_dq_close($B$1,A652,$M$4))</f>
        <v/>
      </c>
      <c r="C652" s="1" t="str">
        <f ca="1">IF(A652="","",[1]!s_dq_close($C$1,A652,$M$4))</f>
        <v/>
      </c>
      <c r="D652" s="6" t="str">
        <f ca="1">IF($A652="","",[1]!s_dq_close(D$1,$A652,$M$4))</f>
        <v/>
      </c>
      <c r="E652" s="6" t="str">
        <f ca="1">IF($A652="","",[1]!s_dq_close(E$1,$A652,$M$4))</f>
        <v/>
      </c>
      <c r="F652" s="6" t="str">
        <f ca="1">IF($A652="","",[1]!s_dq_close(F$1,$A652,$M$4))</f>
        <v/>
      </c>
      <c r="G652" s="6"/>
      <c r="H652" s="6" t="str">
        <f ca="1">IF($A652="","",[1]!s_dq_close(H$1,$A652,$M$4))</f>
        <v/>
      </c>
      <c r="I652" s="6" t="str">
        <f ca="1">IF($A652="","",[1]!s_dq_close(I$1,$A652,$M$4))</f>
        <v/>
      </c>
      <c r="J652" s="6" t="str">
        <f t="shared" ca="1" si="11"/>
        <v/>
      </c>
    </row>
    <row r="653" spans="1:10">
      <c r="A653" s="2" t="str">
        <f ca="1">IF(A652="","",IF(IF(价差分析!$W$4="日",--[1]!td(A652-1),IF(价差分析!$W$4="周",--[1]!td(A652-7),--[1]!td(A652-30)))-价差分析!$T$4&gt;0,IF(价差分析!$W$4="日",--[1]!td(A652-1),IF(价差分析!$W$4="周",--[1]!td(A652-7),--[1]!td(A652-30))),""))</f>
        <v/>
      </c>
      <c r="B653" s="1" t="str">
        <f ca="1">IF(A653="","",[1]!s_dq_close($B$1,A653,$M$4))</f>
        <v/>
      </c>
      <c r="C653" s="1" t="str">
        <f ca="1">IF(A653="","",[1]!s_dq_close($C$1,A653,$M$4))</f>
        <v/>
      </c>
      <c r="D653" s="6" t="str">
        <f ca="1">IF($A653="","",[1]!s_dq_close(D$1,$A653,$M$4))</f>
        <v/>
      </c>
      <c r="E653" s="6" t="str">
        <f ca="1">IF($A653="","",[1]!s_dq_close(E$1,$A653,$M$4))</f>
        <v/>
      </c>
      <c r="F653" s="6" t="str">
        <f ca="1">IF($A653="","",[1]!s_dq_close(F$1,$A653,$M$4))</f>
        <v/>
      </c>
      <c r="G653" s="6"/>
      <c r="H653" s="6" t="str">
        <f ca="1">IF($A653="","",[1]!s_dq_close(H$1,$A653,$M$4))</f>
        <v/>
      </c>
      <c r="I653" s="6" t="str">
        <f ca="1">IF($A653="","",[1]!s_dq_close(I$1,$A653,$M$4))</f>
        <v/>
      </c>
      <c r="J653" s="6" t="str">
        <f t="shared" ca="1" si="11"/>
        <v/>
      </c>
    </row>
    <row r="654" spans="1:10">
      <c r="A654" s="2" t="str">
        <f ca="1">IF(A653="","",IF(IF(价差分析!$W$4="日",--[1]!td(A653-1),IF(价差分析!$W$4="周",--[1]!td(A653-7),--[1]!td(A653-30)))-价差分析!$T$4&gt;0,IF(价差分析!$W$4="日",--[1]!td(A653-1),IF(价差分析!$W$4="周",--[1]!td(A653-7),--[1]!td(A653-30))),""))</f>
        <v/>
      </c>
      <c r="B654" s="1" t="str">
        <f ca="1">IF(A654="","",[1]!s_dq_close($B$1,A654,$M$4))</f>
        <v/>
      </c>
      <c r="C654" s="1" t="str">
        <f ca="1">IF(A654="","",[1]!s_dq_close($C$1,A654,$M$4))</f>
        <v/>
      </c>
      <c r="D654" s="6" t="str">
        <f ca="1">IF($A654="","",[1]!s_dq_close(D$1,$A654,$M$4))</f>
        <v/>
      </c>
      <c r="E654" s="6" t="str">
        <f ca="1">IF($A654="","",[1]!s_dq_close(E$1,$A654,$M$4))</f>
        <v/>
      </c>
      <c r="F654" s="6" t="str">
        <f ca="1">IF($A654="","",[1]!s_dq_close(F$1,$A654,$M$4))</f>
        <v/>
      </c>
      <c r="G654" s="6"/>
      <c r="H654" s="6" t="str">
        <f ca="1">IF($A654="","",[1]!s_dq_close(H$1,$A654,$M$4))</f>
        <v/>
      </c>
      <c r="I654" s="6" t="str">
        <f ca="1">IF($A654="","",[1]!s_dq_close(I$1,$A654,$M$4))</f>
        <v/>
      </c>
      <c r="J654" s="6" t="str">
        <f t="shared" ca="1" si="11"/>
        <v/>
      </c>
    </row>
    <row r="655" spans="1:10">
      <c r="A655" s="2" t="str">
        <f ca="1">IF(A654="","",IF(IF(价差分析!$W$4="日",--[1]!td(A654-1),IF(价差分析!$W$4="周",--[1]!td(A654-7),--[1]!td(A654-30)))-价差分析!$T$4&gt;0,IF(价差分析!$W$4="日",--[1]!td(A654-1),IF(价差分析!$W$4="周",--[1]!td(A654-7),--[1]!td(A654-30))),""))</f>
        <v/>
      </c>
      <c r="B655" s="1" t="str">
        <f ca="1">IF(A655="","",[1]!s_dq_close($B$1,A655,$M$4))</f>
        <v/>
      </c>
      <c r="C655" s="1" t="str">
        <f ca="1">IF(A655="","",[1]!s_dq_close($C$1,A655,$M$4))</f>
        <v/>
      </c>
      <c r="D655" s="6" t="str">
        <f ca="1">IF($A655="","",[1]!s_dq_close(D$1,$A655,$M$4))</f>
        <v/>
      </c>
      <c r="E655" s="6" t="str">
        <f ca="1">IF($A655="","",[1]!s_dq_close(E$1,$A655,$M$4))</f>
        <v/>
      </c>
      <c r="F655" s="6" t="str">
        <f ca="1">IF($A655="","",[1]!s_dq_close(F$1,$A655,$M$4))</f>
        <v/>
      </c>
      <c r="G655" s="6"/>
      <c r="H655" s="6" t="str">
        <f ca="1">IF($A655="","",[1]!s_dq_close(H$1,$A655,$M$4))</f>
        <v/>
      </c>
      <c r="I655" s="6" t="str">
        <f ca="1">IF($A655="","",[1]!s_dq_close(I$1,$A655,$M$4))</f>
        <v/>
      </c>
      <c r="J655" s="6" t="str">
        <f t="shared" ca="1" si="11"/>
        <v/>
      </c>
    </row>
    <row r="656" spans="1:10">
      <c r="A656" s="2" t="str">
        <f ca="1">IF(A655="","",IF(IF(价差分析!$W$4="日",--[1]!td(A655-1),IF(价差分析!$W$4="周",--[1]!td(A655-7),--[1]!td(A655-30)))-价差分析!$T$4&gt;0,IF(价差分析!$W$4="日",--[1]!td(A655-1),IF(价差分析!$W$4="周",--[1]!td(A655-7),--[1]!td(A655-30))),""))</f>
        <v/>
      </c>
      <c r="B656" s="1" t="str">
        <f ca="1">IF(A656="","",[1]!s_dq_close($B$1,A656,$M$4))</f>
        <v/>
      </c>
      <c r="C656" s="1" t="str">
        <f ca="1">IF(A656="","",[1]!s_dq_close($C$1,A656,$M$4))</f>
        <v/>
      </c>
      <c r="D656" s="6" t="str">
        <f ca="1">IF($A656="","",[1]!s_dq_close(D$1,$A656,$M$4))</f>
        <v/>
      </c>
      <c r="E656" s="6" t="str">
        <f ca="1">IF($A656="","",[1]!s_dq_close(E$1,$A656,$M$4))</f>
        <v/>
      </c>
      <c r="F656" s="6" t="str">
        <f ca="1">IF($A656="","",[1]!s_dq_close(F$1,$A656,$M$4))</f>
        <v/>
      </c>
      <c r="G656" s="6"/>
      <c r="H656" s="6" t="str">
        <f ca="1">IF($A656="","",[1]!s_dq_close(H$1,$A656,$M$4))</f>
        <v/>
      </c>
      <c r="I656" s="6" t="str">
        <f ca="1">IF($A656="","",[1]!s_dq_close(I$1,$A656,$M$4))</f>
        <v/>
      </c>
      <c r="J656" s="6" t="str">
        <f t="shared" ca="1" si="11"/>
        <v/>
      </c>
    </row>
    <row r="657" spans="1:10">
      <c r="A657" s="2" t="str">
        <f ca="1">IF(A656="","",IF(IF(价差分析!$W$4="日",--[1]!td(A656-1),IF(价差分析!$W$4="周",--[1]!td(A656-7),--[1]!td(A656-30)))-价差分析!$T$4&gt;0,IF(价差分析!$W$4="日",--[1]!td(A656-1),IF(价差分析!$W$4="周",--[1]!td(A656-7),--[1]!td(A656-30))),""))</f>
        <v/>
      </c>
      <c r="B657" s="1" t="str">
        <f ca="1">IF(A657="","",[1]!s_dq_close($B$1,A657,$M$4))</f>
        <v/>
      </c>
      <c r="C657" s="1" t="str">
        <f ca="1">IF(A657="","",[1]!s_dq_close($C$1,A657,$M$4))</f>
        <v/>
      </c>
      <c r="D657" s="6" t="str">
        <f ca="1">IF($A657="","",[1]!s_dq_close(D$1,$A657,$M$4))</f>
        <v/>
      </c>
      <c r="E657" s="6" t="str">
        <f ca="1">IF($A657="","",[1]!s_dq_close(E$1,$A657,$M$4))</f>
        <v/>
      </c>
      <c r="F657" s="6" t="str">
        <f ca="1">IF($A657="","",[1]!s_dq_close(F$1,$A657,$M$4))</f>
        <v/>
      </c>
      <c r="G657" s="6"/>
      <c r="H657" s="6" t="str">
        <f ca="1">IF($A657="","",[1]!s_dq_close(H$1,$A657,$M$4))</f>
        <v/>
      </c>
      <c r="I657" s="6" t="str">
        <f ca="1">IF($A657="","",[1]!s_dq_close(I$1,$A657,$M$4))</f>
        <v/>
      </c>
      <c r="J657" s="6" t="str">
        <f t="shared" ca="1" si="11"/>
        <v/>
      </c>
    </row>
    <row r="658" spans="1:10">
      <c r="A658" s="2" t="str">
        <f ca="1">IF(A657="","",IF(IF(价差分析!$W$4="日",--[1]!td(A657-1),IF(价差分析!$W$4="周",--[1]!td(A657-7),--[1]!td(A657-30)))-价差分析!$T$4&gt;0,IF(价差分析!$W$4="日",--[1]!td(A657-1),IF(价差分析!$W$4="周",--[1]!td(A657-7),--[1]!td(A657-30))),""))</f>
        <v/>
      </c>
      <c r="B658" s="1" t="str">
        <f ca="1">IF(A658="","",[1]!s_dq_close($B$1,A658,$M$4))</f>
        <v/>
      </c>
      <c r="C658" s="1" t="str">
        <f ca="1">IF(A658="","",[1]!s_dq_close($C$1,A658,$M$4))</f>
        <v/>
      </c>
      <c r="D658" s="6" t="str">
        <f ca="1">IF($A658="","",[1]!s_dq_close(D$1,$A658,$M$4))</f>
        <v/>
      </c>
      <c r="E658" s="6" t="str">
        <f ca="1">IF($A658="","",[1]!s_dq_close(E$1,$A658,$M$4))</f>
        <v/>
      </c>
      <c r="F658" s="6" t="str">
        <f ca="1">IF($A658="","",[1]!s_dq_close(F$1,$A658,$M$4))</f>
        <v/>
      </c>
      <c r="G658" s="6"/>
      <c r="H658" s="6" t="str">
        <f ca="1">IF($A658="","",[1]!s_dq_close(H$1,$A658,$M$4))</f>
        <v/>
      </c>
      <c r="I658" s="6" t="str">
        <f ca="1">IF($A658="","",[1]!s_dq_close(I$1,$A658,$M$4))</f>
        <v/>
      </c>
      <c r="J658" s="6" t="str">
        <f t="shared" ca="1" si="11"/>
        <v/>
      </c>
    </row>
    <row r="659" spans="1:10">
      <c r="A659" s="2" t="str">
        <f ca="1">IF(A658="","",IF(IF(价差分析!$W$4="日",--[1]!td(A658-1),IF(价差分析!$W$4="周",--[1]!td(A658-7),--[1]!td(A658-30)))-价差分析!$T$4&gt;0,IF(价差分析!$W$4="日",--[1]!td(A658-1),IF(价差分析!$W$4="周",--[1]!td(A658-7),--[1]!td(A658-30))),""))</f>
        <v/>
      </c>
      <c r="B659" s="1" t="str">
        <f ca="1">IF(A659="","",[1]!s_dq_close($B$1,A659,$M$4))</f>
        <v/>
      </c>
      <c r="C659" s="1" t="str">
        <f ca="1">IF(A659="","",[1]!s_dq_close($C$1,A659,$M$4))</f>
        <v/>
      </c>
      <c r="D659" s="6" t="str">
        <f ca="1">IF($A659="","",[1]!s_dq_close(D$1,$A659,$M$4))</f>
        <v/>
      </c>
      <c r="E659" s="6" t="str">
        <f ca="1">IF($A659="","",[1]!s_dq_close(E$1,$A659,$M$4))</f>
        <v/>
      </c>
      <c r="F659" s="6" t="str">
        <f ca="1">IF($A659="","",[1]!s_dq_close(F$1,$A659,$M$4))</f>
        <v/>
      </c>
      <c r="G659" s="6"/>
      <c r="H659" s="6" t="str">
        <f ca="1">IF($A659="","",[1]!s_dq_close(H$1,$A659,$M$4))</f>
        <v/>
      </c>
      <c r="I659" s="6" t="str">
        <f ca="1">IF($A659="","",[1]!s_dq_close(I$1,$A659,$M$4))</f>
        <v/>
      </c>
      <c r="J659" s="6" t="str">
        <f t="shared" ca="1" si="11"/>
        <v/>
      </c>
    </row>
    <row r="660" spans="1:10">
      <c r="A660" s="2" t="str">
        <f ca="1">IF(A659="","",IF(IF(价差分析!$W$4="日",--[1]!td(A659-1),IF(价差分析!$W$4="周",--[1]!td(A659-7),--[1]!td(A659-30)))-价差分析!$T$4&gt;0,IF(价差分析!$W$4="日",--[1]!td(A659-1),IF(价差分析!$W$4="周",--[1]!td(A659-7),--[1]!td(A659-30))),""))</f>
        <v/>
      </c>
      <c r="B660" s="1" t="str">
        <f ca="1">IF(A660="","",[1]!s_dq_close($B$1,A660,$M$4))</f>
        <v/>
      </c>
      <c r="C660" s="1" t="str">
        <f ca="1">IF(A660="","",[1]!s_dq_close($C$1,A660,$M$4))</f>
        <v/>
      </c>
      <c r="D660" s="6" t="str">
        <f ca="1">IF($A660="","",[1]!s_dq_close(D$1,$A660,$M$4))</f>
        <v/>
      </c>
      <c r="E660" s="6" t="str">
        <f ca="1">IF($A660="","",[1]!s_dq_close(E$1,$A660,$M$4))</f>
        <v/>
      </c>
      <c r="F660" s="6" t="str">
        <f ca="1">IF($A660="","",[1]!s_dq_close(F$1,$A660,$M$4))</f>
        <v/>
      </c>
      <c r="G660" s="6"/>
      <c r="H660" s="6" t="str">
        <f ca="1">IF($A660="","",[1]!s_dq_close(H$1,$A660,$M$4))</f>
        <v/>
      </c>
      <c r="I660" s="6" t="str">
        <f ca="1">IF($A660="","",[1]!s_dq_close(I$1,$A660,$M$4))</f>
        <v/>
      </c>
      <c r="J660" s="6" t="str">
        <f t="shared" ca="1" si="11"/>
        <v/>
      </c>
    </row>
    <row r="661" spans="1:10">
      <c r="A661" s="2" t="str">
        <f ca="1">IF(A660="","",IF(IF(价差分析!$W$4="日",--[1]!td(A660-1),IF(价差分析!$W$4="周",--[1]!td(A660-7),--[1]!td(A660-30)))-价差分析!$T$4&gt;0,IF(价差分析!$W$4="日",--[1]!td(A660-1),IF(价差分析!$W$4="周",--[1]!td(A660-7),--[1]!td(A660-30))),""))</f>
        <v/>
      </c>
      <c r="B661" s="1" t="str">
        <f ca="1">IF(A661="","",[1]!s_dq_close($B$1,A661,$M$4))</f>
        <v/>
      </c>
      <c r="C661" s="1" t="str">
        <f ca="1">IF(A661="","",[1]!s_dq_close($C$1,A661,$M$4))</f>
        <v/>
      </c>
      <c r="D661" s="6" t="str">
        <f ca="1">IF($A661="","",[1]!s_dq_close(D$1,$A661,$M$4))</f>
        <v/>
      </c>
      <c r="E661" s="6" t="str">
        <f ca="1">IF($A661="","",[1]!s_dq_close(E$1,$A661,$M$4))</f>
        <v/>
      </c>
      <c r="F661" s="6" t="str">
        <f ca="1">IF($A661="","",[1]!s_dq_close(F$1,$A661,$M$4))</f>
        <v/>
      </c>
      <c r="G661" s="6"/>
      <c r="H661" s="6" t="str">
        <f ca="1">IF($A661="","",[1]!s_dq_close(H$1,$A661,$M$4))</f>
        <v/>
      </c>
      <c r="I661" s="6" t="str">
        <f ca="1">IF($A661="","",[1]!s_dq_close(I$1,$A661,$M$4))</f>
        <v/>
      </c>
      <c r="J661" s="6" t="str">
        <f t="shared" ca="1" si="11"/>
        <v/>
      </c>
    </row>
    <row r="662" spans="1:10">
      <c r="A662" s="2" t="str">
        <f ca="1">IF(A661="","",IF(IF(价差分析!$W$4="日",--[1]!td(A661-1),IF(价差分析!$W$4="周",--[1]!td(A661-7),--[1]!td(A661-30)))-价差分析!$T$4&gt;0,IF(价差分析!$W$4="日",--[1]!td(A661-1),IF(价差分析!$W$4="周",--[1]!td(A661-7),--[1]!td(A661-30))),""))</f>
        <v/>
      </c>
      <c r="B662" s="1" t="str">
        <f ca="1">IF(A662="","",[1]!s_dq_close($B$1,A662,$M$4))</f>
        <v/>
      </c>
      <c r="C662" s="1" t="str">
        <f ca="1">IF(A662="","",[1]!s_dq_close($C$1,A662,$M$4))</f>
        <v/>
      </c>
      <c r="D662" s="6" t="str">
        <f ca="1">IF($A662="","",[1]!s_dq_close(D$1,$A662,$M$4))</f>
        <v/>
      </c>
      <c r="E662" s="6" t="str">
        <f ca="1">IF($A662="","",[1]!s_dq_close(E$1,$A662,$M$4))</f>
        <v/>
      </c>
      <c r="F662" s="6" t="str">
        <f ca="1">IF($A662="","",[1]!s_dq_close(F$1,$A662,$M$4))</f>
        <v/>
      </c>
      <c r="G662" s="6"/>
      <c r="H662" s="6" t="str">
        <f ca="1">IF($A662="","",[1]!s_dq_close(H$1,$A662,$M$4))</f>
        <v/>
      </c>
      <c r="I662" s="6" t="str">
        <f ca="1">IF($A662="","",[1]!s_dq_close(I$1,$A662,$M$4))</f>
        <v/>
      </c>
      <c r="J662" s="6" t="str">
        <f t="shared" ca="1" si="11"/>
        <v/>
      </c>
    </row>
    <row r="663" spans="1:10">
      <c r="A663" s="2" t="str">
        <f ca="1">IF(A662="","",IF(IF(价差分析!$W$4="日",--[1]!td(A662-1),IF(价差分析!$W$4="周",--[1]!td(A662-7),--[1]!td(A662-30)))-价差分析!$T$4&gt;0,IF(价差分析!$W$4="日",--[1]!td(A662-1),IF(价差分析!$W$4="周",--[1]!td(A662-7),--[1]!td(A662-30))),""))</f>
        <v/>
      </c>
      <c r="B663" s="1" t="str">
        <f ca="1">IF(A663="","",[1]!s_dq_close($B$1,A663,$M$4))</f>
        <v/>
      </c>
      <c r="C663" s="1" t="str">
        <f ca="1">IF(A663="","",[1]!s_dq_close($C$1,A663,$M$4))</f>
        <v/>
      </c>
      <c r="D663" s="6" t="str">
        <f ca="1">IF($A663="","",[1]!s_dq_close(D$1,$A663,$M$4))</f>
        <v/>
      </c>
      <c r="E663" s="6" t="str">
        <f ca="1">IF($A663="","",[1]!s_dq_close(E$1,$A663,$M$4))</f>
        <v/>
      </c>
      <c r="F663" s="6" t="str">
        <f ca="1">IF($A663="","",[1]!s_dq_close(F$1,$A663,$M$4))</f>
        <v/>
      </c>
      <c r="G663" s="6"/>
      <c r="H663" s="6" t="str">
        <f ca="1">IF($A663="","",[1]!s_dq_close(H$1,$A663,$M$4))</f>
        <v/>
      </c>
      <c r="I663" s="6" t="str">
        <f ca="1">IF($A663="","",[1]!s_dq_close(I$1,$A663,$M$4))</f>
        <v/>
      </c>
      <c r="J663" s="6" t="str">
        <f t="shared" ca="1" si="11"/>
        <v/>
      </c>
    </row>
    <row r="664" spans="1:10">
      <c r="A664" s="2" t="str">
        <f ca="1">IF(A663="","",IF(IF(价差分析!$W$4="日",--[1]!td(A663-1),IF(价差分析!$W$4="周",--[1]!td(A663-7),--[1]!td(A663-30)))-价差分析!$T$4&gt;0,IF(价差分析!$W$4="日",--[1]!td(A663-1),IF(价差分析!$W$4="周",--[1]!td(A663-7),--[1]!td(A663-30))),""))</f>
        <v/>
      </c>
      <c r="B664" s="1" t="str">
        <f ca="1">IF(A664="","",[1]!s_dq_close($B$1,A664,$M$4))</f>
        <v/>
      </c>
      <c r="C664" s="1" t="str">
        <f ca="1">IF(A664="","",[1]!s_dq_close($C$1,A664,$M$4))</f>
        <v/>
      </c>
      <c r="D664" s="6" t="str">
        <f ca="1">IF($A664="","",[1]!s_dq_close(D$1,$A664,$M$4))</f>
        <v/>
      </c>
      <c r="E664" s="6" t="str">
        <f ca="1">IF($A664="","",[1]!s_dq_close(E$1,$A664,$M$4))</f>
        <v/>
      </c>
      <c r="F664" s="6" t="str">
        <f ca="1">IF($A664="","",[1]!s_dq_close(F$1,$A664,$M$4))</f>
        <v/>
      </c>
      <c r="G664" s="6"/>
      <c r="H664" s="6" t="str">
        <f ca="1">IF($A664="","",[1]!s_dq_close(H$1,$A664,$M$4))</f>
        <v/>
      </c>
      <c r="I664" s="6" t="str">
        <f ca="1">IF($A664="","",[1]!s_dq_close(I$1,$A664,$M$4))</f>
        <v/>
      </c>
      <c r="J664" s="6" t="str">
        <f t="shared" ca="1" si="11"/>
        <v/>
      </c>
    </row>
    <row r="665" spans="1:10">
      <c r="A665" s="2" t="str">
        <f ca="1">IF(A664="","",IF(IF(价差分析!$W$4="日",--[1]!td(A664-1),IF(价差分析!$W$4="周",--[1]!td(A664-7),--[1]!td(A664-30)))-价差分析!$T$4&gt;0,IF(价差分析!$W$4="日",--[1]!td(A664-1),IF(价差分析!$W$4="周",--[1]!td(A664-7),--[1]!td(A664-30))),""))</f>
        <v/>
      </c>
      <c r="B665" s="1" t="str">
        <f ca="1">IF(A665="","",[1]!s_dq_close($B$1,A665,$M$4))</f>
        <v/>
      </c>
      <c r="C665" s="1" t="str">
        <f ca="1">IF(A665="","",[1]!s_dq_close($C$1,A665,$M$4))</f>
        <v/>
      </c>
      <c r="D665" s="6" t="str">
        <f ca="1">IF($A665="","",[1]!s_dq_close(D$1,$A665,$M$4))</f>
        <v/>
      </c>
      <c r="E665" s="6" t="str">
        <f ca="1">IF($A665="","",[1]!s_dq_close(E$1,$A665,$M$4))</f>
        <v/>
      </c>
      <c r="F665" s="6" t="str">
        <f ca="1">IF($A665="","",[1]!s_dq_close(F$1,$A665,$M$4))</f>
        <v/>
      </c>
      <c r="G665" s="6"/>
      <c r="H665" s="6" t="str">
        <f ca="1">IF($A665="","",[1]!s_dq_close(H$1,$A665,$M$4))</f>
        <v/>
      </c>
      <c r="I665" s="6" t="str">
        <f ca="1">IF($A665="","",[1]!s_dq_close(I$1,$A665,$M$4))</f>
        <v/>
      </c>
      <c r="J665" s="6" t="str">
        <f t="shared" ca="1" si="11"/>
        <v/>
      </c>
    </row>
    <row r="666" spans="1:10">
      <c r="A666" s="2" t="str">
        <f ca="1">IF(A665="","",IF(IF(价差分析!$W$4="日",--[1]!td(A665-1),IF(价差分析!$W$4="周",--[1]!td(A665-7),--[1]!td(A665-30)))-价差分析!$T$4&gt;0,IF(价差分析!$W$4="日",--[1]!td(A665-1),IF(价差分析!$W$4="周",--[1]!td(A665-7),--[1]!td(A665-30))),""))</f>
        <v/>
      </c>
      <c r="B666" s="1" t="str">
        <f ca="1">IF(A666="","",[1]!s_dq_close($B$1,A666,$M$4))</f>
        <v/>
      </c>
      <c r="C666" s="1" t="str">
        <f ca="1">IF(A666="","",[1]!s_dq_close($C$1,A666,$M$4))</f>
        <v/>
      </c>
      <c r="D666" s="6" t="str">
        <f ca="1">IF($A666="","",[1]!s_dq_close(D$1,$A666,$M$4))</f>
        <v/>
      </c>
      <c r="E666" s="6" t="str">
        <f ca="1">IF($A666="","",[1]!s_dq_close(E$1,$A666,$M$4))</f>
        <v/>
      </c>
      <c r="F666" s="6" t="str">
        <f ca="1">IF($A666="","",[1]!s_dq_close(F$1,$A666,$M$4))</f>
        <v/>
      </c>
      <c r="G666" s="6"/>
      <c r="H666" s="6" t="str">
        <f ca="1">IF($A666="","",[1]!s_dq_close(H$1,$A666,$M$4))</f>
        <v/>
      </c>
      <c r="I666" s="6" t="str">
        <f ca="1">IF($A666="","",[1]!s_dq_close(I$1,$A666,$M$4))</f>
        <v/>
      </c>
      <c r="J666" s="6" t="str">
        <f t="shared" ca="1" si="11"/>
        <v/>
      </c>
    </row>
    <row r="667" spans="1:10">
      <c r="A667" s="2" t="str">
        <f ca="1">IF(A666="","",IF(IF(价差分析!$W$4="日",--[1]!td(A666-1),IF(价差分析!$W$4="周",--[1]!td(A666-7),--[1]!td(A666-30)))-价差分析!$T$4&gt;0,IF(价差分析!$W$4="日",--[1]!td(A666-1),IF(价差分析!$W$4="周",--[1]!td(A666-7),--[1]!td(A666-30))),""))</f>
        <v/>
      </c>
      <c r="B667" s="1" t="str">
        <f ca="1">IF(A667="","",[1]!s_dq_close($B$1,A667,$M$4))</f>
        <v/>
      </c>
      <c r="C667" s="1" t="str">
        <f ca="1">IF(A667="","",[1]!s_dq_close($C$1,A667,$M$4))</f>
        <v/>
      </c>
      <c r="D667" s="6" t="str">
        <f ca="1">IF($A667="","",[1]!s_dq_close(D$1,$A667,$M$4))</f>
        <v/>
      </c>
      <c r="E667" s="6" t="str">
        <f ca="1">IF($A667="","",[1]!s_dq_close(E$1,$A667,$M$4))</f>
        <v/>
      </c>
      <c r="F667" s="6" t="str">
        <f ca="1">IF($A667="","",[1]!s_dq_close(F$1,$A667,$M$4))</f>
        <v/>
      </c>
      <c r="G667" s="6"/>
      <c r="H667" s="6" t="str">
        <f ca="1">IF($A667="","",[1]!s_dq_close(H$1,$A667,$M$4))</f>
        <v/>
      </c>
      <c r="I667" s="6" t="str">
        <f ca="1">IF($A667="","",[1]!s_dq_close(I$1,$A667,$M$4))</f>
        <v/>
      </c>
      <c r="J667" s="6" t="str">
        <f t="shared" ca="1" si="11"/>
        <v/>
      </c>
    </row>
    <row r="668" spans="1:10">
      <c r="A668" s="2" t="str">
        <f ca="1">IF(A667="","",IF(IF(价差分析!$W$4="日",--[1]!td(A667-1),IF(价差分析!$W$4="周",--[1]!td(A667-7),--[1]!td(A667-30)))-价差分析!$T$4&gt;0,IF(价差分析!$W$4="日",--[1]!td(A667-1),IF(价差分析!$W$4="周",--[1]!td(A667-7),--[1]!td(A667-30))),""))</f>
        <v/>
      </c>
      <c r="B668" s="1" t="str">
        <f ca="1">IF(A668="","",[1]!s_dq_close($B$1,A668,$M$4))</f>
        <v/>
      </c>
      <c r="C668" s="1" t="str">
        <f ca="1">IF(A668="","",[1]!s_dq_close($C$1,A668,$M$4))</f>
        <v/>
      </c>
      <c r="D668" s="6" t="str">
        <f ca="1">IF($A668="","",[1]!s_dq_close(D$1,$A668,$M$4))</f>
        <v/>
      </c>
      <c r="E668" s="6" t="str">
        <f ca="1">IF($A668="","",[1]!s_dq_close(E$1,$A668,$M$4))</f>
        <v/>
      </c>
      <c r="F668" s="6" t="str">
        <f ca="1">IF($A668="","",[1]!s_dq_close(F$1,$A668,$M$4))</f>
        <v/>
      </c>
      <c r="G668" s="6"/>
      <c r="H668" s="6" t="str">
        <f ca="1">IF($A668="","",[1]!s_dq_close(H$1,$A668,$M$4))</f>
        <v/>
      </c>
      <c r="I668" s="6" t="str">
        <f ca="1">IF($A668="","",[1]!s_dq_close(I$1,$A668,$M$4))</f>
        <v/>
      </c>
      <c r="J668" s="6" t="str">
        <f t="shared" ca="1" si="11"/>
        <v/>
      </c>
    </row>
    <row r="669" spans="1:10">
      <c r="A669" s="2" t="str">
        <f ca="1">IF(A668="","",IF(IF(价差分析!$W$4="日",--[1]!td(A668-1),IF(价差分析!$W$4="周",--[1]!td(A668-7),--[1]!td(A668-30)))-价差分析!$T$4&gt;0,IF(价差分析!$W$4="日",--[1]!td(A668-1),IF(价差分析!$W$4="周",--[1]!td(A668-7),--[1]!td(A668-30))),""))</f>
        <v/>
      </c>
      <c r="B669" s="1" t="str">
        <f ca="1">IF(A669="","",[1]!s_dq_close($B$1,A669,$M$4))</f>
        <v/>
      </c>
      <c r="C669" s="1" t="str">
        <f ca="1">IF(A669="","",[1]!s_dq_close($C$1,A669,$M$4))</f>
        <v/>
      </c>
      <c r="D669" s="6" t="str">
        <f ca="1">IF($A669="","",[1]!s_dq_close(D$1,$A669,$M$4))</f>
        <v/>
      </c>
      <c r="E669" s="6" t="str">
        <f ca="1">IF($A669="","",[1]!s_dq_close(E$1,$A669,$M$4))</f>
        <v/>
      </c>
      <c r="F669" s="6" t="str">
        <f ca="1">IF($A669="","",[1]!s_dq_close(F$1,$A669,$M$4))</f>
        <v/>
      </c>
      <c r="G669" s="6"/>
      <c r="H669" s="6" t="str">
        <f ca="1">IF($A669="","",[1]!s_dq_close(H$1,$A669,$M$4))</f>
        <v/>
      </c>
      <c r="I669" s="6" t="str">
        <f ca="1">IF($A669="","",[1]!s_dq_close(I$1,$A669,$M$4))</f>
        <v/>
      </c>
      <c r="J669" s="6" t="str">
        <f t="shared" ca="1" si="11"/>
        <v/>
      </c>
    </row>
    <row r="670" spans="1:10">
      <c r="A670" s="2" t="str">
        <f ca="1">IF(A669="","",IF(IF(价差分析!$W$4="日",--[1]!td(A669-1),IF(价差分析!$W$4="周",--[1]!td(A669-7),--[1]!td(A669-30)))-价差分析!$T$4&gt;0,IF(价差分析!$W$4="日",--[1]!td(A669-1),IF(价差分析!$W$4="周",--[1]!td(A669-7),--[1]!td(A669-30))),""))</f>
        <v/>
      </c>
      <c r="B670" s="1" t="str">
        <f ca="1">IF(A670="","",[1]!s_dq_close($B$1,A670,$M$4))</f>
        <v/>
      </c>
      <c r="C670" s="1" t="str">
        <f ca="1">IF(A670="","",[1]!s_dq_close($C$1,A670,$M$4))</f>
        <v/>
      </c>
      <c r="D670" s="6" t="str">
        <f ca="1">IF($A670="","",[1]!s_dq_close(D$1,$A670,$M$4))</f>
        <v/>
      </c>
      <c r="E670" s="6" t="str">
        <f ca="1">IF($A670="","",[1]!s_dq_close(E$1,$A670,$M$4))</f>
        <v/>
      </c>
      <c r="F670" s="6" t="str">
        <f ca="1">IF($A670="","",[1]!s_dq_close(F$1,$A670,$M$4))</f>
        <v/>
      </c>
      <c r="G670" s="6"/>
      <c r="H670" s="6" t="str">
        <f ca="1">IF($A670="","",[1]!s_dq_close(H$1,$A670,$M$4))</f>
        <v/>
      </c>
      <c r="I670" s="6" t="str">
        <f ca="1">IF($A670="","",[1]!s_dq_close(I$1,$A670,$M$4))</f>
        <v/>
      </c>
      <c r="J670" s="6" t="str">
        <f t="shared" ca="1" si="11"/>
        <v/>
      </c>
    </row>
    <row r="671" spans="1:10">
      <c r="A671" s="2" t="str">
        <f ca="1">IF(A670="","",IF(IF(价差分析!$W$4="日",--[1]!td(A670-1),IF(价差分析!$W$4="周",--[1]!td(A670-7),--[1]!td(A670-30)))-价差分析!$T$4&gt;0,IF(价差分析!$W$4="日",--[1]!td(A670-1),IF(价差分析!$W$4="周",--[1]!td(A670-7),--[1]!td(A670-30))),""))</f>
        <v/>
      </c>
      <c r="B671" s="1" t="str">
        <f ca="1">IF(A671="","",[1]!s_dq_close($B$1,A671,$M$4))</f>
        <v/>
      </c>
      <c r="C671" s="1" t="str">
        <f ca="1">IF(A671="","",[1]!s_dq_close($C$1,A671,$M$4))</f>
        <v/>
      </c>
      <c r="D671" s="6" t="str">
        <f ca="1">IF($A671="","",[1]!s_dq_close(D$1,$A671,$M$4))</f>
        <v/>
      </c>
      <c r="E671" s="6" t="str">
        <f ca="1">IF($A671="","",[1]!s_dq_close(E$1,$A671,$M$4))</f>
        <v/>
      </c>
      <c r="F671" s="6" t="str">
        <f ca="1">IF($A671="","",[1]!s_dq_close(F$1,$A671,$M$4))</f>
        <v/>
      </c>
      <c r="G671" s="6"/>
      <c r="H671" s="6" t="str">
        <f ca="1">IF($A671="","",[1]!s_dq_close(H$1,$A671,$M$4))</f>
        <v/>
      </c>
      <c r="I671" s="6" t="str">
        <f ca="1">IF($A671="","",[1]!s_dq_close(I$1,$A671,$M$4))</f>
        <v/>
      </c>
      <c r="J671" s="6" t="str">
        <f t="shared" ca="1" si="11"/>
        <v/>
      </c>
    </row>
    <row r="672" spans="1:10">
      <c r="A672" s="2" t="str">
        <f ca="1">IF(A671="","",IF(IF(价差分析!$W$4="日",--[1]!td(A671-1),IF(价差分析!$W$4="周",--[1]!td(A671-7),--[1]!td(A671-30)))-价差分析!$T$4&gt;0,IF(价差分析!$W$4="日",--[1]!td(A671-1),IF(价差分析!$W$4="周",--[1]!td(A671-7),--[1]!td(A671-30))),""))</f>
        <v/>
      </c>
      <c r="B672" s="1" t="str">
        <f ca="1">IF(A672="","",[1]!s_dq_close($B$1,A672,$M$4))</f>
        <v/>
      </c>
      <c r="C672" s="1" t="str">
        <f ca="1">IF(A672="","",[1]!s_dq_close($C$1,A672,$M$4))</f>
        <v/>
      </c>
      <c r="D672" s="6" t="str">
        <f ca="1">IF($A672="","",[1]!s_dq_close(D$1,$A672,$M$4))</f>
        <v/>
      </c>
      <c r="E672" s="6" t="str">
        <f ca="1">IF($A672="","",[1]!s_dq_close(E$1,$A672,$M$4))</f>
        <v/>
      </c>
      <c r="F672" s="6" t="str">
        <f ca="1">IF($A672="","",[1]!s_dq_close(F$1,$A672,$M$4))</f>
        <v/>
      </c>
      <c r="G672" s="6"/>
      <c r="H672" s="6" t="str">
        <f ca="1">IF($A672="","",[1]!s_dq_close(H$1,$A672,$M$4))</f>
        <v/>
      </c>
      <c r="I672" s="6" t="str">
        <f ca="1">IF($A672="","",[1]!s_dq_close(I$1,$A672,$M$4))</f>
        <v/>
      </c>
      <c r="J672" s="6" t="str">
        <f t="shared" ca="1" si="11"/>
        <v/>
      </c>
    </row>
    <row r="673" spans="1:10">
      <c r="A673" s="2" t="str">
        <f ca="1">IF(A672="","",IF(IF(价差分析!$W$4="日",--[1]!td(A672-1),IF(价差分析!$W$4="周",--[1]!td(A672-7),--[1]!td(A672-30)))-价差分析!$T$4&gt;0,IF(价差分析!$W$4="日",--[1]!td(A672-1),IF(价差分析!$W$4="周",--[1]!td(A672-7),--[1]!td(A672-30))),""))</f>
        <v/>
      </c>
      <c r="B673" s="1" t="str">
        <f ca="1">IF(A673="","",[1]!s_dq_close($B$1,A673,$M$4))</f>
        <v/>
      </c>
      <c r="C673" s="1" t="str">
        <f ca="1">IF(A673="","",[1]!s_dq_close($C$1,A673,$M$4))</f>
        <v/>
      </c>
      <c r="D673" s="6" t="str">
        <f ca="1">IF($A673="","",[1]!s_dq_close(D$1,$A673,$M$4))</f>
        <v/>
      </c>
      <c r="E673" s="6" t="str">
        <f ca="1">IF($A673="","",[1]!s_dq_close(E$1,$A673,$M$4))</f>
        <v/>
      </c>
      <c r="F673" s="6" t="str">
        <f ca="1">IF($A673="","",[1]!s_dq_close(F$1,$A673,$M$4))</f>
        <v/>
      </c>
      <c r="G673" s="6"/>
      <c r="H673" s="6" t="str">
        <f ca="1">IF($A673="","",[1]!s_dq_close(H$1,$A673,$M$4))</f>
        <v/>
      </c>
      <c r="I673" s="6" t="str">
        <f ca="1">IF($A673="","",[1]!s_dq_close(I$1,$A673,$M$4))</f>
        <v/>
      </c>
      <c r="J673" s="6" t="str">
        <f t="shared" ca="1" si="11"/>
        <v/>
      </c>
    </row>
    <row r="674" spans="1:10">
      <c r="A674" s="2" t="str">
        <f ca="1">IF(A673="","",IF(IF(价差分析!$W$4="日",--[1]!td(A673-1),IF(价差分析!$W$4="周",--[1]!td(A673-7),--[1]!td(A673-30)))-价差分析!$T$4&gt;0,IF(价差分析!$W$4="日",--[1]!td(A673-1),IF(价差分析!$W$4="周",--[1]!td(A673-7),--[1]!td(A673-30))),""))</f>
        <v/>
      </c>
      <c r="B674" s="1" t="str">
        <f ca="1">IF(A674="","",[1]!s_dq_close($B$1,A674,$M$4))</f>
        <v/>
      </c>
      <c r="C674" s="1" t="str">
        <f ca="1">IF(A674="","",[1]!s_dq_close($C$1,A674,$M$4))</f>
        <v/>
      </c>
      <c r="D674" s="6" t="str">
        <f ca="1">IF($A674="","",[1]!s_dq_close(D$1,$A674,$M$4))</f>
        <v/>
      </c>
      <c r="E674" s="6" t="str">
        <f ca="1">IF($A674="","",[1]!s_dq_close(E$1,$A674,$M$4))</f>
        <v/>
      </c>
      <c r="F674" s="6" t="str">
        <f ca="1">IF($A674="","",[1]!s_dq_close(F$1,$A674,$M$4))</f>
        <v/>
      </c>
      <c r="G674" s="6"/>
      <c r="H674" s="6" t="str">
        <f ca="1">IF($A674="","",[1]!s_dq_close(H$1,$A674,$M$4))</f>
        <v/>
      </c>
      <c r="I674" s="6" t="str">
        <f ca="1">IF($A674="","",[1]!s_dq_close(I$1,$A674,$M$4))</f>
        <v/>
      </c>
      <c r="J674" s="6" t="str">
        <f t="shared" ca="1" si="11"/>
        <v/>
      </c>
    </row>
    <row r="675" spans="1:10">
      <c r="A675" s="2" t="str">
        <f ca="1">IF(A674="","",IF(IF(价差分析!$W$4="日",--[1]!td(A674-1),IF(价差分析!$W$4="周",--[1]!td(A674-7),--[1]!td(A674-30)))-价差分析!$T$4&gt;0,IF(价差分析!$W$4="日",--[1]!td(A674-1),IF(价差分析!$W$4="周",--[1]!td(A674-7),--[1]!td(A674-30))),""))</f>
        <v/>
      </c>
      <c r="B675" s="1" t="str">
        <f ca="1">IF(A675="","",[1]!s_dq_close($B$1,A675,$M$4))</f>
        <v/>
      </c>
      <c r="C675" s="1" t="str">
        <f ca="1">IF(A675="","",[1]!s_dq_close($C$1,A675,$M$4))</f>
        <v/>
      </c>
      <c r="D675" s="6" t="str">
        <f ca="1">IF($A675="","",[1]!s_dq_close(D$1,$A675,$M$4))</f>
        <v/>
      </c>
      <c r="E675" s="6" t="str">
        <f ca="1">IF($A675="","",[1]!s_dq_close(E$1,$A675,$M$4))</f>
        <v/>
      </c>
      <c r="F675" s="6" t="str">
        <f ca="1">IF($A675="","",[1]!s_dq_close(F$1,$A675,$M$4))</f>
        <v/>
      </c>
      <c r="G675" s="6"/>
      <c r="H675" s="6" t="str">
        <f ca="1">IF($A675="","",[1]!s_dq_close(H$1,$A675,$M$4))</f>
        <v/>
      </c>
      <c r="I675" s="6" t="str">
        <f ca="1">IF($A675="","",[1]!s_dq_close(I$1,$A675,$M$4))</f>
        <v/>
      </c>
      <c r="J675" s="6" t="str">
        <f t="shared" ca="1" si="11"/>
        <v/>
      </c>
    </row>
    <row r="676" spans="1:10">
      <c r="A676" s="2" t="str">
        <f ca="1">IF(A675="","",IF(IF(价差分析!$W$4="日",--[1]!td(A675-1),IF(价差分析!$W$4="周",--[1]!td(A675-7),--[1]!td(A675-30)))-价差分析!$T$4&gt;0,IF(价差分析!$W$4="日",--[1]!td(A675-1),IF(价差分析!$W$4="周",--[1]!td(A675-7),--[1]!td(A675-30))),""))</f>
        <v/>
      </c>
      <c r="B676" s="1" t="str">
        <f ca="1">IF(A676="","",[1]!s_dq_close($B$1,A676,$M$4))</f>
        <v/>
      </c>
      <c r="C676" s="1" t="str">
        <f ca="1">IF(A676="","",[1]!s_dq_close($C$1,A676,$M$4))</f>
        <v/>
      </c>
      <c r="D676" s="6" t="str">
        <f ca="1">IF($A676="","",[1]!s_dq_close(D$1,$A676,$M$4))</f>
        <v/>
      </c>
      <c r="E676" s="6" t="str">
        <f ca="1">IF($A676="","",[1]!s_dq_close(E$1,$A676,$M$4))</f>
        <v/>
      </c>
      <c r="F676" s="6" t="str">
        <f ca="1">IF($A676="","",[1]!s_dq_close(F$1,$A676,$M$4))</f>
        <v/>
      </c>
      <c r="G676" s="6"/>
      <c r="H676" s="6" t="str">
        <f ca="1">IF($A676="","",[1]!s_dq_close(H$1,$A676,$M$4))</f>
        <v/>
      </c>
      <c r="I676" s="6" t="str">
        <f ca="1">IF($A676="","",[1]!s_dq_close(I$1,$A676,$M$4))</f>
        <v/>
      </c>
      <c r="J676" s="6" t="str">
        <f t="shared" ca="1" si="11"/>
        <v/>
      </c>
    </row>
    <row r="677" spans="1:10">
      <c r="A677" s="2" t="str">
        <f ca="1">IF(A676="","",IF(IF(价差分析!$W$4="日",--[1]!td(A676-1),IF(价差分析!$W$4="周",--[1]!td(A676-7),--[1]!td(A676-30)))-价差分析!$T$4&gt;0,IF(价差分析!$W$4="日",--[1]!td(A676-1),IF(价差分析!$W$4="周",--[1]!td(A676-7),--[1]!td(A676-30))),""))</f>
        <v/>
      </c>
      <c r="B677" s="1" t="str">
        <f ca="1">IF(A677="","",[1]!s_dq_close($B$1,A677,$M$4))</f>
        <v/>
      </c>
      <c r="C677" s="1" t="str">
        <f ca="1">IF(A677="","",[1]!s_dq_close($C$1,A677,$M$4))</f>
        <v/>
      </c>
      <c r="D677" s="6" t="str">
        <f ca="1">IF($A677="","",[1]!s_dq_close(D$1,$A677,$M$4))</f>
        <v/>
      </c>
      <c r="E677" s="6" t="str">
        <f ca="1">IF($A677="","",[1]!s_dq_close(E$1,$A677,$M$4))</f>
        <v/>
      </c>
      <c r="F677" s="6" t="str">
        <f ca="1">IF($A677="","",[1]!s_dq_close(F$1,$A677,$M$4))</f>
        <v/>
      </c>
      <c r="G677" s="6"/>
      <c r="H677" s="6" t="str">
        <f ca="1">IF($A677="","",[1]!s_dq_close(H$1,$A677,$M$4))</f>
        <v/>
      </c>
      <c r="I677" s="6" t="str">
        <f ca="1">IF($A677="","",[1]!s_dq_close(I$1,$A677,$M$4))</f>
        <v/>
      </c>
      <c r="J677" s="6" t="str">
        <f t="shared" ca="1" si="11"/>
        <v/>
      </c>
    </row>
    <row r="678" spans="1:10">
      <c r="A678" s="2" t="str">
        <f ca="1">IF(A677="","",IF(IF(价差分析!$W$4="日",--[1]!td(A677-1),IF(价差分析!$W$4="周",--[1]!td(A677-7),--[1]!td(A677-30)))-价差分析!$T$4&gt;0,IF(价差分析!$W$4="日",--[1]!td(A677-1),IF(价差分析!$W$4="周",--[1]!td(A677-7),--[1]!td(A677-30))),""))</f>
        <v/>
      </c>
      <c r="B678" s="1" t="str">
        <f ca="1">IF(A678="","",[1]!s_dq_close($B$1,A678,$M$4))</f>
        <v/>
      </c>
      <c r="C678" s="1" t="str">
        <f ca="1">IF(A678="","",[1]!s_dq_close($C$1,A678,$M$4))</f>
        <v/>
      </c>
      <c r="D678" s="6" t="str">
        <f ca="1">IF($A678="","",[1]!s_dq_close(D$1,$A678,$M$4))</f>
        <v/>
      </c>
      <c r="E678" s="6" t="str">
        <f ca="1">IF($A678="","",[1]!s_dq_close(E$1,$A678,$M$4))</f>
        <v/>
      </c>
      <c r="F678" s="6" t="str">
        <f ca="1">IF($A678="","",[1]!s_dq_close(F$1,$A678,$M$4))</f>
        <v/>
      </c>
      <c r="G678" s="6"/>
      <c r="H678" s="6" t="str">
        <f ca="1">IF($A678="","",[1]!s_dq_close(H$1,$A678,$M$4))</f>
        <v/>
      </c>
      <c r="I678" s="6" t="str">
        <f ca="1">IF($A678="","",[1]!s_dq_close(I$1,$A678,$M$4))</f>
        <v/>
      </c>
      <c r="J678" s="6" t="str">
        <f t="shared" ca="1" si="11"/>
        <v/>
      </c>
    </row>
    <row r="679" spans="1:10">
      <c r="A679" s="2" t="str">
        <f ca="1">IF(A678="","",IF(IF(价差分析!$W$4="日",--[1]!td(A678-1),IF(价差分析!$W$4="周",--[1]!td(A678-7),--[1]!td(A678-30)))-价差分析!$T$4&gt;0,IF(价差分析!$W$4="日",--[1]!td(A678-1),IF(价差分析!$W$4="周",--[1]!td(A678-7),--[1]!td(A678-30))),""))</f>
        <v/>
      </c>
      <c r="B679" s="1" t="str">
        <f ca="1">IF(A679="","",[1]!s_dq_close($B$1,A679,$M$4))</f>
        <v/>
      </c>
      <c r="C679" s="1" t="str">
        <f ca="1">IF(A679="","",[1]!s_dq_close($C$1,A679,$M$4))</f>
        <v/>
      </c>
      <c r="D679" s="6" t="str">
        <f ca="1">IF($A679="","",[1]!s_dq_close(D$1,$A679,$M$4))</f>
        <v/>
      </c>
      <c r="E679" s="6" t="str">
        <f ca="1">IF($A679="","",[1]!s_dq_close(E$1,$A679,$M$4))</f>
        <v/>
      </c>
      <c r="F679" s="6" t="str">
        <f ca="1">IF($A679="","",[1]!s_dq_close(F$1,$A679,$M$4))</f>
        <v/>
      </c>
      <c r="G679" s="6"/>
      <c r="H679" s="6" t="str">
        <f ca="1">IF($A679="","",[1]!s_dq_close(H$1,$A679,$M$4))</f>
        <v/>
      </c>
      <c r="I679" s="6" t="str">
        <f ca="1">IF($A679="","",[1]!s_dq_close(I$1,$A679,$M$4))</f>
        <v/>
      </c>
      <c r="J679" s="6" t="str">
        <f t="shared" ca="1" si="11"/>
        <v/>
      </c>
    </row>
    <row r="680" spans="1:10">
      <c r="A680" s="2" t="str">
        <f ca="1">IF(A679="","",IF(IF(价差分析!$W$4="日",--[1]!td(A679-1),IF(价差分析!$W$4="周",--[1]!td(A679-7),--[1]!td(A679-30)))-价差分析!$T$4&gt;0,IF(价差分析!$W$4="日",--[1]!td(A679-1),IF(价差分析!$W$4="周",--[1]!td(A679-7),--[1]!td(A679-30))),""))</f>
        <v/>
      </c>
      <c r="B680" s="1" t="str">
        <f ca="1">IF(A680="","",[1]!s_dq_close($B$1,A680,$M$4))</f>
        <v/>
      </c>
      <c r="C680" s="1" t="str">
        <f ca="1">IF(A680="","",[1]!s_dq_close($C$1,A680,$M$4))</f>
        <v/>
      </c>
      <c r="D680" s="6" t="str">
        <f ca="1">IF($A680="","",[1]!s_dq_close(D$1,$A680,$M$4))</f>
        <v/>
      </c>
      <c r="E680" s="6" t="str">
        <f ca="1">IF($A680="","",[1]!s_dq_close(E$1,$A680,$M$4))</f>
        <v/>
      </c>
      <c r="F680" s="6" t="str">
        <f ca="1">IF($A680="","",[1]!s_dq_close(F$1,$A680,$M$4))</f>
        <v/>
      </c>
      <c r="G680" s="6"/>
      <c r="H680" s="6" t="str">
        <f ca="1">IF($A680="","",[1]!s_dq_close(H$1,$A680,$M$4))</f>
        <v/>
      </c>
      <c r="I680" s="6" t="str">
        <f ca="1">IF($A680="","",[1]!s_dq_close(I$1,$A680,$M$4))</f>
        <v/>
      </c>
      <c r="J680" s="6" t="str">
        <f t="shared" ca="1" si="11"/>
        <v/>
      </c>
    </row>
    <row r="681" spans="1:10">
      <c r="A681" s="2" t="str">
        <f ca="1">IF(A680="","",IF(IF(价差分析!$W$4="日",--[1]!td(A680-1),IF(价差分析!$W$4="周",--[1]!td(A680-7),--[1]!td(A680-30)))-价差分析!$T$4&gt;0,IF(价差分析!$W$4="日",--[1]!td(A680-1),IF(价差分析!$W$4="周",--[1]!td(A680-7),--[1]!td(A680-30))),""))</f>
        <v/>
      </c>
      <c r="B681" s="1" t="str">
        <f ca="1">IF(A681="","",[1]!s_dq_close($B$1,A681,$M$4))</f>
        <v/>
      </c>
      <c r="C681" s="1" t="str">
        <f ca="1">IF(A681="","",[1]!s_dq_close($C$1,A681,$M$4))</f>
        <v/>
      </c>
      <c r="D681" s="6" t="str">
        <f ca="1">IF($A681="","",[1]!s_dq_close(D$1,$A681,$M$4))</f>
        <v/>
      </c>
      <c r="E681" s="6" t="str">
        <f ca="1">IF($A681="","",[1]!s_dq_close(E$1,$A681,$M$4))</f>
        <v/>
      </c>
      <c r="F681" s="6" t="str">
        <f ca="1">IF($A681="","",[1]!s_dq_close(F$1,$A681,$M$4))</f>
        <v/>
      </c>
      <c r="G681" s="6"/>
      <c r="H681" s="6" t="str">
        <f ca="1">IF($A681="","",[1]!s_dq_close(H$1,$A681,$M$4))</f>
        <v/>
      </c>
      <c r="I681" s="6" t="str">
        <f ca="1">IF($A681="","",[1]!s_dq_close(I$1,$A681,$M$4))</f>
        <v/>
      </c>
      <c r="J681" s="6" t="str">
        <f t="shared" ca="1" si="11"/>
        <v/>
      </c>
    </row>
    <row r="682" spans="1:10">
      <c r="A682" s="2" t="str">
        <f ca="1">IF(A681="","",IF(IF(价差分析!$W$4="日",--[1]!td(A681-1),IF(价差分析!$W$4="周",--[1]!td(A681-7),--[1]!td(A681-30)))-价差分析!$T$4&gt;0,IF(价差分析!$W$4="日",--[1]!td(A681-1),IF(价差分析!$W$4="周",--[1]!td(A681-7),--[1]!td(A681-30))),""))</f>
        <v/>
      </c>
      <c r="B682" s="1" t="str">
        <f ca="1">IF(A682="","",[1]!s_dq_close($B$1,A682,$M$4))</f>
        <v/>
      </c>
      <c r="C682" s="1" t="str">
        <f ca="1">IF(A682="","",[1]!s_dq_close($C$1,A682,$M$4))</f>
        <v/>
      </c>
      <c r="D682" s="6" t="str">
        <f ca="1">IF($A682="","",[1]!s_dq_close(D$1,$A682,$M$4))</f>
        <v/>
      </c>
      <c r="E682" s="6" t="str">
        <f ca="1">IF($A682="","",[1]!s_dq_close(E$1,$A682,$M$4))</f>
        <v/>
      </c>
      <c r="F682" s="6" t="str">
        <f ca="1">IF($A682="","",[1]!s_dq_close(F$1,$A682,$M$4))</f>
        <v/>
      </c>
      <c r="G682" s="6"/>
      <c r="H682" s="6" t="str">
        <f ca="1">IF($A682="","",[1]!s_dq_close(H$1,$A682,$M$4))</f>
        <v/>
      </c>
      <c r="I682" s="6" t="str">
        <f ca="1">IF($A682="","",[1]!s_dq_close(I$1,$A682,$M$4))</f>
        <v/>
      </c>
      <c r="J682" s="6" t="str">
        <f t="shared" ca="1" si="11"/>
        <v/>
      </c>
    </row>
    <row r="683" spans="1:10">
      <c r="A683" s="2" t="str">
        <f ca="1">IF(A682="","",IF(IF(价差分析!$W$4="日",--[1]!td(A682-1),IF(价差分析!$W$4="周",--[1]!td(A682-7),--[1]!td(A682-30)))-价差分析!$T$4&gt;0,IF(价差分析!$W$4="日",--[1]!td(A682-1),IF(价差分析!$W$4="周",--[1]!td(A682-7),--[1]!td(A682-30))),""))</f>
        <v/>
      </c>
      <c r="B683" s="1" t="str">
        <f ca="1">IF(A683="","",[1]!s_dq_close($B$1,A683,$M$4))</f>
        <v/>
      </c>
      <c r="C683" s="1" t="str">
        <f ca="1">IF(A683="","",[1]!s_dq_close($C$1,A683,$M$4))</f>
        <v/>
      </c>
      <c r="D683" s="6" t="str">
        <f ca="1">IF($A683="","",[1]!s_dq_close(D$1,$A683,$M$4))</f>
        <v/>
      </c>
      <c r="E683" s="6" t="str">
        <f ca="1">IF($A683="","",[1]!s_dq_close(E$1,$A683,$M$4))</f>
        <v/>
      </c>
      <c r="F683" s="6" t="str">
        <f ca="1">IF($A683="","",[1]!s_dq_close(F$1,$A683,$M$4))</f>
        <v/>
      </c>
      <c r="G683" s="6"/>
      <c r="H683" s="6" t="str">
        <f ca="1">IF($A683="","",[1]!s_dq_close(H$1,$A683,$M$4))</f>
        <v/>
      </c>
      <c r="I683" s="6" t="str">
        <f ca="1">IF($A683="","",[1]!s_dq_close(I$1,$A683,$M$4))</f>
        <v/>
      </c>
      <c r="J683" s="6" t="str">
        <f t="shared" ca="1" si="11"/>
        <v/>
      </c>
    </row>
    <row r="684" spans="1:10">
      <c r="A684" s="2" t="str">
        <f ca="1">IF(A683="","",IF(IF(价差分析!$W$4="日",--[1]!td(A683-1),IF(价差分析!$W$4="周",--[1]!td(A683-7),--[1]!td(A683-30)))-价差分析!$T$4&gt;0,IF(价差分析!$W$4="日",--[1]!td(A683-1),IF(价差分析!$W$4="周",--[1]!td(A683-7),--[1]!td(A683-30))),""))</f>
        <v/>
      </c>
      <c r="B684" s="1" t="str">
        <f ca="1">IF(A684="","",[1]!s_dq_close($B$1,A684,$M$4))</f>
        <v/>
      </c>
      <c r="C684" s="1" t="str">
        <f ca="1">IF(A684="","",[1]!s_dq_close($C$1,A684,$M$4))</f>
        <v/>
      </c>
      <c r="D684" s="6" t="str">
        <f ca="1">IF($A684="","",[1]!s_dq_close(D$1,$A684,$M$4))</f>
        <v/>
      </c>
      <c r="E684" s="6" t="str">
        <f ca="1">IF($A684="","",[1]!s_dq_close(E$1,$A684,$M$4))</f>
        <v/>
      </c>
      <c r="F684" s="6" t="str">
        <f ca="1">IF($A684="","",[1]!s_dq_close(F$1,$A684,$M$4))</f>
        <v/>
      </c>
      <c r="G684" s="6"/>
      <c r="H684" s="6" t="str">
        <f ca="1">IF($A684="","",[1]!s_dq_close(H$1,$A684,$M$4))</f>
        <v/>
      </c>
      <c r="I684" s="6" t="str">
        <f ca="1">IF($A684="","",[1]!s_dq_close(I$1,$A684,$M$4))</f>
        <v/>
      </c>
      <c r="J684" s="6" t="str">
        <f t="shared" ca="1" si="11"/>
        <v/>
      </c>
    </row>
    <row r="685" spans="1:10">
      <c r="A685" s="2" t="str">
        <f ca="1">IF(A684="","",IF(IF(价差分析!$W$4="日",--[1]!td(A684-1),IF(价差分析!$W$4="周",--[1]!td(A684-7),--[1]!td(A684-30)))-价差分析!$T$4&gt;0,IF(价差分析!$W$4="日",--[1]!td(A684-1),IF(价差分析!$W$4="周",--[1]!td(A684-7),--[1]!td(A684-30))),""))</f>
        <v/>
      </c>
      <c r="B685" s="1" t="str">
        <f ca="1">IF(A685="","",[1]!s_dq_close($B$1,A685,$M$4))</f>
        <v/>
      </c>
      <c r="C685" s="1" t="str">
        <f ca="1">IF(A685="","",[1]!s_dq_close($C$1,A685,$M$4))</f>
        <v/>
      </c>
      <c r="D685" s="6" t="str">
        <f ca="1">IF($A685="","",[1]!s_dq_close(D$1,$A685,$M$4))</f>
        <v/>
      </c>
      <c r="E685" s="6" t="str">
        <f ca="1">IF($A685="","",[1]!s_dq_close(E$1,$A685,$M$4))</f>
        <v/>
      </c>
      <c r="F685" s="6" t="str">
        <f ca="1">IF($A685="","",[1]!s_dq_close(F$1,$A685,$M$4))</f>
        <v/>
      </c>
      <c r="G685" s="6"/>
      <c r="H685" s="6" t="str">
        <f ca="1">IF($A685="","",[1]!s_dq_close(H$1,$A685,$M$4))</f>
        <v/>
      </c>
      <c r="I685" s="6" t="str">
        <f ca="1">IF($A685="","",[1]!s_dq_close(I$1,$A685,$M$4))</f>
        <v/>
      </c>
      <c r="J685" s="6" t="str">
        <f t="shared" ca="1" si="11"/>
        <v/>
      </c>
    </row>
    <row r="686" spans="1:10">
      <c r="A686" s="2" t="str">
        <f ca="1">IF(A685="","",IF(IF(价差分析!$W$4="日",--[1]!td(A685-1),IF(价差分析!$W$4="周",--[1]!td(A685-7),--[1]!td(A685-30)))-价差分析!$T$4&gt;0,IF(价差分析!$W$4="日",--[1]!td(A685-1),IF(价差分析!$W$4="周",--[1]!td(A685-7),--[1]!td(A685-30))),""))</f>
        <v/>
      </c>
      <c r="B686" s="1" t="str">
        <f ca="1">IF(A686="","",[1]!s_dq_close($B$1,A686,$M$4))</f>
        <v/>
      </c>
      <c r="C686" s="1" t="str">
        <f ca="1">IF(A686="","",[1]!s_dq_close($C$1,A686,$M$4))</f>
        <v/>
      </c>
      <c r="D686" s="6" t="str">
        <f ca="1">IF($A686="","",[1]!s_dq_close(D$1,$A686,$M$4))</f>
        <v/>
      </c>
      <c r="E686" s="6" t="str">
        <f ca="1">IF($A686="","",[1]!s_dq_close(E$1,$A686,$M$4))</f>
        <v/>
      </c>
      <c r="F686" s="6" t="str">
        <f ca="1">IF($A686="","",[1]!s_dq_close(F$1,$A686,$M$4))</f>
        <v/>
      </c>
      <c r="G686" s="6"/>
      <c r="H686" s="6" t="str">
        <f ca="1">IF($A686="","",[1]!s_dq_close(H$1,$A686,$M$4))</f>
        <v/>
      </c>
      <c r="I686" s="6" t="str">
        <f ca="1">IF($A686="","",[1]!s_dq_close(I$1,$A686,$M$4))</f>
        <v/>
      </c>
      <c r="J686" s="6" t="str">
        <f t="shared" ca="1" si="11"/>
        <v/>
      </c>
    </row>
    <row r="687" spans="1:10">
      <c r="A687" s="2" t="str">
        <f ca="1">IF(A686="","",IF(IF(价差分析!$W$4="日",--[1]!td(A686-1),IF(价差分析!$W$4="周",--[1]!td(A686-7),--[1]!td(A686-30)))-价差分析!$T$4&gt;0,IF(价差分析!$W$4="日",--[1]!td(A686-1),IF(价差分析!$W$4="周",--[1]!td(A686-7),--[1]!td(A686-30))),""))</f>
        <v/>
      </c>
      <c r="B687" s="1" t="str">
        <f ca="1">IF(A687="","",[1]!s_dq_close($B$1,A687,$M$4))</f>
        <v/>
      </c>
      <c r="C687" s="1" t="str">
        <f ca="1">IF(A687="","",[1]!s_dq_close($C$1,A687,$M$4))</f>
        <v/>
      </c>
      <c r="D687" s="6" t="str">
        <f ca="1">IF($A687="","",[1]!s_dq_close(D$1,$A687,$M$4))</f>
        <v/>
      </c>
      <c r="E687" s="6" t="str">
        <f ca="1">IF($A687="","",[1]!s_dq_close(E$1,$A687,$M$4))</f>
        <v/>
      </c>
      <c r="F687" s="6" t="str">
        <f ca="1">IF($A687="","",[1]!s_dq_close(F$1,$A687,$M$4))</f>
        <v/>
      </c>
      <c r="G687" s="6"/>
      <c r="H687" s="6" t="str">
        <f ca="1">IF($A687="","",[1]!s_dq_close(H$1,$A687,$M$4))</f>
        <v/>
      </c>
      <c r="I687" s="6" t="str">
        <f ca="1">IF($A687="","",[1]!s_dq_close(I$1,$A687,$M$4))</f>
        <v/>
      </c>
      <c r="J687" s="6" t="str">
        <f t="shared" ca="1" si="11"/>
        <v/>
      </c>
    </row>
    <row r="688" spans="1:10">
      <c r="A688" s="2" t="str">
        <f ca="1">IF(A687="","",IF(IF(价差分析!$W$4="日",--[1]!td(A687-1),IF(价差分析!$W$4="周",--[1]!td(A687-7),--[1]!td(A687-30)))-价差分析!$T$4&gt;0,IF(价差分析!$W$4="日",--[1]!td(A687-1),IF(价差分析!$W$4="周",--[1]!td(A687-7),--[1]!td(A687-30))),""))</f>
        <v/>
      </c>
      <c r="B688" s="1" t="str">
        <f ca="1">IF(A688="","",[1]!s_dq_close($B$1,A688,$M$4))</f>
        <v/>
      </c>
      <c r="C688" s="1" t="str">
        <f ca="1">IF(A688="","",[1]!s_dq_close($C$1,A688,$M$4))</f>
        <v/>
      </c>
      <c r="D688" s="6" t="str">
        <f ca="1">IF($A688="","",[1]!s_dq_close(D$1,$A688,$M$4))</f>
        <v/>
      </c>
      <c r="E688" s="6" t="str">
        <f ca="1">IF($A688="","",[1]!s_dq_close(E$1,$A688,$M$4))</f>
        <v/>
      </c>
      <c r="F688" s="6" t="str">
        <f ca="1">IF($A688="","",[1]!s_dq_close(F$1,$A688,$M$4))</f>
        <v/>
      </c>
      <c r="G688" s="6"/>
      <c r="H688" s="6" t="str">
        <f ca="1">IF($A688="","",[1]!s_dq_close(H$1,$A688,$M$4))</f>
        <v/>
      </c>
      <c r="I688" s="6" t="str">
        <f ca="1">IF($A688="","",[1]!s_dq_close(I$1,$A688,$M$4))</f>
        <v/>
      </c>
      <c r="J688" s="6" t="str">
        <f t="shared" ca="1" si="11"/>
        <v/>
      </c>
    </row>
    <row r="689" spans="1:10">
      <c r="A689" s="2" t="str">
        <f ca="1">IF(A688="","",IF(IF(价差分析!$W$4="日",--[1]!td(A688-1),IF(价差分析!$W$4="周",--[1]!td(A688-7),--[1]!td(A688-30)))-价差分析!$T$4&gt;0,IF(价差分析!$W$4="日",--[1]!td(A688-1),IF(价差分析!$W$4="周",--[1]!td(A688-7),--[1]!td(A688-30))),""))</f>
        <v/>
      </c>
      <c r="B689" s="1" t="str">
        <f ca="1">IF(A689="","",[1]!s_dq_close($B$1,A689,$M$4))</f>
        <v/>
      </c>
      <c r="C689" s="1" t="str">
        <f ca="1">IF(A689="","",[1]!s_dq_close($C$1,A689,$M$4))</f>
        <v/>
      </c>
      <c r="D689" s="6" t="str">
        <f ca="1">IF($A689="","",[1]!s_dq_close(D$1,$A689,$M$4))</f>
        <v/>
      </c>
      <c r="E689" s="6" t="str">
        <f ca="1">IF($A689="","",[1]!s_dq_close(E$1,$A689,$M$4))</f>
        <v/>
      </c>
      <c r="F689" s="6" t="str">
        <f ca="1">IF($A689="","",[1]!s_dq_close(F$1,$A689,$M$4))</f>
        <v/>
      </c>
      <c r="G689" s="6"/>
      <c r="H689" s="6" t="str">
        <f ca="1">IF($A689="","",[1]!s_dq_close(H$1,$A689,$M$4))</f>
        <v/>
      </c>
      <c r="I689" s="6" t="str">
        <f ca="1">IF($A689="","",[1]!s_dq_close(I$1,$A689,$M$4))</f>
        <v/>
      </c>
      <c r="J689" s="6" t="str">
        <f t="shared" ca="1" si="11"/>
        <v/>
      </c>
    </row>
    <row r="690" spans="1:10">
      <c r="A690" s="2" t="str">
        <f ca="1">IF(A689="","",IF(IF(价差分析!$W$4="日",--[1]!td(A689-1),IF(价差分析!$W$4="周",--[1]!td(A689-7),--[1]!td(A689-30)))-价差分析!$T$4&gt;0,IF(价差分析!$W$4="日",--[1]!td(A689-1),IF(价差分析!$W$4="周",--[1]!td(A689-7),--[1]!td(A689-30))),""))</f>
        <v/>
      </c>
      <c r="B690" s="1" t="str">
        <f ca="1">IF(A690="","",[1]!s_dq_close($B$1,A690,$M$4))</f>
        <v/>
      </c>
      <c r="C690" s="1" t="str">
        <f ca="1">IF(A690="","",[1]!s_dq_close($C$1,A690,$M$4))</f>
        <v/>
      </c>
      <c r="D690" s="6" t="str">
        <f ca="1">IF($A690="","",[1]!s_dq_close(D$1,$A690,$M$4))</f>
        <v/>
      </c>
      <c r="E690" s="6" t="str">
        <f ca="1">IF($A690="","",[1]!s_dq_close(E$1,$A690,$M$4))</f>
        <v/>
      </c>
      <c r="F690" s="6" t="str">
        <f ca="1">IF($A690="","",[1]!s_dq_close(F$1,$A690,$M$4))</f>
        <v/>
      </c>
      <c r="G690" s="6"/>
      <c r="H690" s="6" t="str">
        <f ca="1">IF($A690="","",[1]!s_dq_close(H$1,$A690,$M$4))</f>
        <v/>
      </c>
      <c r="I690" s="6" t="str">
        <f ca="1">IF($A690="","",[1]!s_dq_close(I$1,$A690,$M$4))</f>
        <v/>
      </c>
      <c r="J690" s="6" t="str">
        <f t="shared" ca="1" si="11"/>
        <v/>
      </c>
    </row>
    <row r="691" spans="1:10">
      <c r="A691" s="2" t="str">
        <f ca="1">IF(A690="","",IF(IF(价差分析!$W$4="日",--[1]!td(A690-1),IF(价差分析!$W$4="周",--[1]!td(A690-7),--[1]!td(A690-30)))-价差分析!$T$4&gt;0,IF(价差分析!$W$4="日",--[1]!td(A690-1),IF(价差分析!$W$4="周",--[1]!td(A690-7),--[1]!td(A690-30))),""))</f>
        <v/>
      </c>
      <c r="B691" s="1" t="str">
        <f ca="1">IF(A691="","",[1]!s_dq_close($B$1,A691,$M$4))</f>
        <v/>
      </c>
      <c r="C691" s="1" t="str">
        <f ca="1">IF(A691="","",[1]!s_dq_close($C$1,A691,$M$4))</f>
        <v/>
      </c>
      <c r="D691" s="6" t="str">
        <f ca="1">IF($A691="","",[1]!s_dq_close(D$1,$A691,$M$4))</f>
        <v/>
      </c>
      <c r="E691" s="6" t="str">
        <f ca="1">IF($A691="","",[1]!s_dq_close(E$1,$A691,$M$4))</f>
        <v/>
      </c>
      <c r="F691" s="6" t="str">
        <f ca="1">IF($A691="","",[1]!s_dq_close(F$1,$A691,$M$4))</f>
        <v/>
      </c>
      <c r="G691" s="6"/>
      <c r="H691" s="6" t="str">
        <f ca="1">IF($A691="","",[1]!s_dq_close(H$1,$A691,$M$4))</f>
        <v/>
      </c>
      <c r="I691" s="6" t="str">
        <f ca="1">IF($A691="","",[1]!s_dq_close(I$1,$A691,$M$4))</f>
        <v/>
      </c>
      <c r="J691" s="6" t="str">
        <f t="shared" ca="1" si="11"/>
        <v/>
      </c>
    </row>
    <row r="692" spans="1:10">
      <c r="A692" s="2" t="str">
        <f ca="1">IF(A691="","",IF(IF(价差分析!$W$4="日",--[1]!td(A691-1),IF(价差分析!$W$4="周",--[1]!td(A691-7),--[1]!td(A691-30)))-价差分析!$T$4&gt;0,IF(价差分析!$W$4="日",--[1]!td(A691-1),IF(价差分析!$W$4="周",--[1]!td(A691-7),--[1]!td(A691-30))),""))</f>
        <v/>
      </c>
      <c r="B692" s="1" t="str">
        <f ca="1">IF(A692="","",[1]!s_dq_close($B$1,A692,$M$4))</f>
        <v/>
      </c>
      <c r="C692" s="1" t="str">
        <f ca="1">IF(A692="","",[1]!s_dq_close($C$1,A692,$M$4))</f>
        <v/>
      </c>
      <c r="D692" s="6" t="str">
        <f ca="1">IF($A692="","",[1]!s_dq_close(D$1,$A692,$M$4))</f>
        <v/>
      </c>
      <c r="E692" s="6" t="str">
        <f ca="1">IF($A692="","",[1]!s_dq_close(E$1,$A692,$M$4))</f>
        <v/>
      </c>
      <c r="F692" s="6" t="str">
        <f ca="1">IF($A692="","",[1]!s_dq_close(F$1,$A692,$M$4))</f>
        <v/>
      </c>
      <c r="G692" s="6"/>
      <c r="H692" s="6" t="str">
        <f ca="1">IF($A692="","",[1]!s_dq_close(H$1,$A692,$M$4))</f>
        <v/>
      </c>
      <c r="I692" s="6" t="str">
        <f ca="1">IF($A692="","",[1]!s_dq_close(I$1,$A692,$M$4))</f>
        <v/>
      </c>
      <c r="J692" s="6" t="str">
        <f t="shared" ca="1" si="11"/>
        <v/>
      </c>
    </row>
    <row r="693" spans="1:10">
      <c r="A693" s="2" t="str">
        <f ca="1">IF(A692="","",IF(IF(价差分析!$W$4="日",--[1]!td(A692-1),IF(价差分析!$W$4="周",--[1]!td(A692-7),--[1]!td(A692-30)))-价差分析!$T$4&gt;0,IF(价差分析!$W$4="日",--[1]!td(A692-1),IF(价差分析!$W$4="周",--[1]!td(A692-7),--[1]!td(A692-30))),""))</f>
        <v/>
      </c>
      <c r="B693" s="1" t="str">
        <f ca="1">IF(A693="","",[1]!s_dq_close($B$1,A693,$M$4))</f>
        <v/>
      </c>
      <c r="C693" s="1" t="str">
        <f ca="1">IF(A693="","",[1]!s_dq_close($C$1,A693,$M$4))</f>
        <v/>
      </c>
      <c r="D693" s="6" t="str">
        <f ca="1">IF($A693="","",[1]!s_dq_close(D$1,$A693,$M$4))</f>
        <v/>
      </c>
      <c r="E693" s="6" t="str">
        <f ca="1">IF($A693="","",[1]!s_dq_close(E$1,$A693,$M$4))</f>
        <v/>
      </c>
      <c r="F693" s="6" t="str">
        <f ca="1">IF($A693="","",[1]!s_dq_close(F$1,$A693,$M$4))</f>
        <v/>
      </c>
      <c r="G693" s="6"/>
      <c r="H693" s="6" t="str">
        <f ca="1">IF($A693="","",[1]!s_dq_close(H$1,$A693,$M$4))</f>
        <v/>
      </c>
      <c r="I693" s="6" t="str">
        <f ca="1">IF($A693="","",[1]!s_dq_close(I$1,$A693,$M$4))</f>
        <v/>
      </c>
      <c r="J693" s="6" t="str">
        <f t="shared" ca="1" si="11"/>
        <v/>
      </c>
    </row>
    <row r="694" spans="1:10">
      <c r="A694" s="2" t="str">
        <f ca="1">IF(A693="","",IF(IF(价差分析!$W$4="日",--[1]!td(A693-1),IF(价差分析!$W$4="周",--[1]!td(A693-7),--[1]!td(A693-30)))-价差分析!$T$4&gt;0,IF(价差分析!$W$4="日",--[1]!td(A693-1),IF(价差分析!$W$4="周",--[1]!td(A693-7),--[1]!td(A693-30))),""))</f>
        <v/>
      </c>
      <c r="B694" s="1" t="str">
        <f ca="1">IF(A694="","",[1]!s_dq_close($B$1,A694,$M$4))</f>
        <v/>
      </c>
      <c r="C694" s="1" t="str">
        <f ca="1">IF(A694="","",[1]!s_dq_close($C$1,A694,$M$4))</f>
        <v/>
      </c>
      <c r="D694" s="6" t="str">
        <f ca="1">IF($A694="","",[1]!s_dq_close(D$1,$A694,$M$4))</f>
        <v/>
      </c>
      <c r="E694" s="6" t="str">
        <f ca="1">IF($A694="","",[1]!s_dq_close(E$1,$A694,$M$4))</f>
        <v/>
      </c>
      <c r="F694" s="6" t="str">
        <f ca="1">IF($A694="","",[1]!s_dq_close(F$1,$A694,$M$4))</f>
        <v/>
      </c>
      <c r="G694" s="6"/>
      <c r="H694" s="6" t="str">
        <f ca="1">IF($A694="","",[1]!s_dq_close(H$1,$A694,$M$4))</f>
        <v/>
      </c>
      <c r="I694" s="6" t="str">
        <f ca="1">IF($A694="","",[1]!s_dq_close(I$1,$A694,$M$4))</f>
        <v/>
      </c>
      <c r="J694" s="6" t="str">
        <f t="shared" ca="1" si="11"/>
        <v/>
      </c>
    </row>
    <row r="695" spans="1:10">
      <c r="A695" s="2" t="str">
        <f ca="1">IF(A694="","",IF(IF(价差分析!$W$4="日",--[1]!td(A694-1),IF(价差分析!$W$4="周",--[1]!td(A694-7),--[1]!td(A694-30)))-价差分析!$T$4&gt;0,IF(价差分析!$W$4="日",--[1]!td(A694-1),IF(价差分析!$W$4="周",--[1]!td(A694-7),--[1]!td(A694-30))),""))</f>
        <v/>
      </c>
      <c r="B695" s="1" t="str">
        <f ca="1">IF(A695="","",[1]!s_dq_close($B$1,A695,$M$4))</f>
        <v/>
      </c>
      <c r="C695" s="1" t="str">
        <f ca="1">IF(A695="","",[1]!s_dq_close($C$1,A695,$M$4))</f>
        <v/>
      </c>
      <c r="D695" s="6" t="str">
        <f ca="1">IF($A695="","",[1]!s_dq_close(D$1,$A695,$M$4))</f>
        <v/>
      </c>
      <c r="E695" s="6" t="str">
        <f ca="1">IF($A695="","",[1]!s_dq_close(E$1,$A695,$M$4))</f>
        <v/>
      </c>
      <c r="F695" s="6" t="str">
        <f ca="1">IF($A695="","",[1]!s_dq_close(F$1,$A695,$M$4))</f>
        <v/>
      </c>
      <c r="G695" s="6"/>
      <c r="H695" s="6" t="str">
        <f ca="1">IF($A695="","",[1]!s_dq_close(H$1,$A695,$M$4))</f>
        <v/>
      </c>
      <c r="I695" s="6" t="str">
        <f ca="1">IF($A695="","",[1]!s_dq_close(I$1,$A695,$M$4))</f>
        <v/>
      </c>
      <c r="J695" s="6" t="str">
        <f t="shared" ca="1" si="11"/>
        <v/>
      </c>
    </row>
    <row r="696" spans="1:10">
      <c r="A696" s="2" t="str">
        <f ca="1">IF(A695="","",IF(IF(价差分析!$W$4="日",--[1]!td(A695-1),IF(价差分析!$W$4="周",--[1]!td(A695-7),--[1]!td(A695-30)))-价差分析!$T$4&gt;0,IF(价差分析!$W$4="日",--[1]!td(A695-1),IF(价差分析!$W$4="周",--[1]!td(A695-7),--[1]!td(A695-30))),""))</f>
        <v/>
      </c>
      <c r="B696" s="1" t="str">
        <f ca="1">IF(A696="","",[1]!s_dq_close($B$1,A696,$M$4))</f>
        <v/>
      </c>
      <c r="C696" s="1" t="str">
        <f ca="1">IF(A696="","",[1]!s_dq_close($C$1,A696,$M$4))</f>
        <v/>
      </c>
      <c r="D696" s="6" t="str">
        <f ca="1">IF($A696="","",[1]!s_dq_close(D$1,$A696,$M$4))</f>
        <v/>
      </c>
      <c r="E696" s="6" t="str">
        <f ca="1">IF($A696="","",[1]!s_dq_close(E$1,$A696,$M$4))</f>
        <v/>
      </c>
      <c r="F696" s="6" t="str">
        <f ca="1">IF($A696="","",[1]!s_dq_close(F$1,$A696,$M$4))</f>
        <v/>
      </c>
      <c r="G696" s="6"/>
      <c r="H696" s="6" t="str">
        <f ca="1">IF($A696="","",[1]!s_dq_close(H$1,$A696,$M$4))</f>
        <v/>
      </c>
      <c r="I696" s="6" t="str">
        <f ca="1">IF($A696="","",[1]!s_dq_close(I$1,$A696,$M$4))</f>
        <v/>
      </c>
      <c r="J696" s="6" t="str">
        <f t="shared" ca="1" si="11"/>
        <v/>
      </c>
    </row>
    <row r="697" spans="1:10">
      <c r="A697" s="2" t="str">
        <f ca="1">IF(A696="","",IF(IF(价差分析!$W$4="日",--[1]!td(A696-1),IF(价差分析!$W$4="周",--[1]!td(A696-7),--[1]!td(A696-30)))-价差分析!$T$4&gt;0,IF(价差分析!$W$4="日",--[1]!td(A696-1),IF(价差分析!$W$4="周",--[1]!td(A696-7),--[1]!td(A696-30))),""))</f>
        <v/>
      </c>
      <c r="B697" s="1" t="str">
        <f ca="1">IF(A697="","",[1]!s_dq_close($B$1,A697,$M$4))</f>
        <v/>
      </c>
      <c r="C697" s="1" t="str">
        <f ca="1">IF(A697="","",[1]!s_dq_close($C$1,A697,$M$4))</f>
        <v/>
      </c>
      <c r="D697" s="6" t="str">
        <f ca="1">IF($A697="","",[1]!s_dq_close(D$1,$A697,$M$4))</f>
        <v/>
      </c>
      <c r="E697" s="6" t="str">
        <f ca="1">IF($A697="","",[1]!s_dq_close(E$1,$A697,$M$4))</f>
        <v/>
      </c>
      <c r="F697" s="6" t="str">
        <f ca="1">IF($A697="","",[1]!s_dq_close(F$1,$A697,$M$4))</f>
        <v/>
      </c>
      <c r="G697" s="6"/>
      <c r="H697" s="6" t="str">
        <f ca="1">IF($A697="","",[1]!s_dq_close(H$1,$A697,$M$4))</f>
        <v/>
      </c>
      <c r="I697" s="6" t="str">
        <f ca="1">IF($A697="","",[1]!s_dq_close(I$1,$A697,$M$4))</f>
        <v/>
      </c>
      <c r="J697" s="6" t="str">
        <f t="shared" ca="1" si="11"/>
        <v/>
      </c>
    </row>
    <row r="698" spans="1:10">
      <c r="A698" s="2" t="str">
        <f ca="1">IF(A697="","",IF(IF(价差分析!$W$4="日",--[1]!td(A697-1),IF(价差分析!$W$4="周",--[1]!td(A697-7),--[1]!td(A697-30)))-价差分析!$T$4&gt;0,IF(价差分析!$W$4="日",--[1]!td(A697-1),IF(价差分析!$W$4="周",--[1]!td(A697-7),--[1]!td(A697-30))),""))</f>
        <v/>
      </c>
      <c r="B698" s="1" t="str">
        <f ca="1">IF(A698="","",[1]!s_dq_close($B$1,A698,$M$4))</f>
        <v/>
      </c>
      <c r="C698" s="1" t="str">
        <f ca="1">IF(A698="","",[1]!s_dq_close($C$1,A698,$M$4))</f>
        <v/>
      </c>
      <c r="D698" s="6" t="str">
        <f ca="1">IF($A698="","",[1]!s_dq_close(D$1,$A698,$M$4))</f>
        <v/>
      </c>
      <c r="E698" s="6" t="str">
        <f ca="1">IF($A698="","",[1]!s_dq_close(E$1,$A698,$M$4))</f>
        <v/>
      </c>
      <c r="F698" s="6" t="str">
        <f ca="1">IF($A698="","",[1]!s_dq_close(F$1,$A698,$M$4))</f>
        <v/>
      </c>
      <c r="G698" s="6"/>
      <c r="H698" s="6" t="str">
        <f ca="1">IF($A698="","",[1]!s_dq_close(H$1,$A698,$M$4))</f>
        <v/>
      </c>
      <c r="I698" s="6" t="str">
        <f ca="1">IF($A698="","",[1]!s_dq_close(I$1,$A698,$M$4))</f>
        <v/>
      </c>
      <c r="J698" s="6" t="str">
        <f t="shared" ca="1" si="11"/>
        <v/>
      </c>
    </row>
    <row r="699" spans="1:10">
      <c r="A699" s="2" t="str">
        <f ca="1">IF(A698="","",IF(IF(价差分析!$W$4="日",--[1]!td(A698-1),IF(价差分析!$W$4="周",--[1]!td(A698-7),--[1]!td(A698-30)))-价差分析!$T$4&gt;0,IF(价差分析!$W$4="日",--[1]!td(A698-1),IF(价差分析!$W$4="周",--[1]!td(A698-7),--[1]!td(A698-30))),""))</f>
        <v/>
      </c>
      <c r="B699" s="1" t="str">
        <f ca="1">IF(A699="","",[1]!s_dq_close($B$1,A699,$M$4))</f>
        <v/>
      </c>
      <c r="C699" s="1" t="str">
        <f ca="1">IF(A699="","",[1]!s_dq_close($C$1,A699,$M$4))</f>
        <v/>
      </c>
      <c r="D699" s="6" t="str">
        <f ca="1">IF($A699="","",[1]!s_dq_close(D$1,$A699,$M$4))</f>
        <v/>
      </c>
      <c r="E699" s="6" t="str">
        <f ca="1">IF($A699="","",[1]!s_dq_close(E$1,$A699,$M$4))</f>
        <v/>
      </c>
      <c r="F699" s="6" t="str">
        <f ca="1">IF($A699="","",[1]!s_dq_close(F$1,$A699,$M$4))</f>
        <v/>
      </c>
      <c r="G699" s="6"/>
      <c r="H699" s="6" t="str">
        <f ca="1">IF($A699="","",[1]!s_dq_close(H$1,$A699,$M$4))</f>
        <v/>
      </c>
      <c r="I699" s="6" t="str">
        <f ca="1">IF($A699="","",[1]!s_dq_close(I$1,$A699,$M$4))</f>
        <v/>
      </c>
      <c r="J699" s="6" t="str">
        <f t="shared" ca="1" si="11"/>
        <v/>
      </c>
    </row>
    <row r="700" spans="1:10">
      <c r="A700" s="2" t="str">
        <f ca="1">IF(A699="","",IF(IF(价差分析!$W$4="日",--[1]!td(A699-1),IF(价差分析!$W$4="周",--[1]!td(A699-7),--[1]!td(A699-30)))-价差分析!$T$4&gt;0,IF(价差分析!$W$4="日",--[1]!td(A699-1),IF(价差分析!$W$4="周",--[1]!td(A699-7),--[1]!td(A699-30))),""))</f>
        <v/>
      </c>
      <c r="B700" s="1" t="str">
        <f ca="1">IF(A700="","",[1]!s_dq_close($B$1,A700,$M$4))</f>
        <v/>
      </c>
      <c r="C700" s="1" t="str">
        <f ca="1">IF(A700="","",[1]!s_dq_close($C$1,A700,$M$4))</f>
        <v/>
      </c>
      <c r="D700" s="6" t="str">
        <f ca="1">IF($A700="","",[1]!s_dq_close(D$1,$A700,$M$4))</f>
        <v/>
      </c>
      <c r="E700" s="6" t="str">
        <f ca="1">IF($A700="","",[1]!s_dq_close(E$1,$A700,$M$4))</f>
        <v/>
      </c>
      <c r="F700" s="6" t="str">
        <f ca="1">IF($A700="","",[1]!s_dq_close(F$1,$A700,$M$4))</f>
        <v/>
      </c>
      <c r="G700" s="6"/>
      <c r="H700" s="6" t="str">
        <f ca="1">IF($A700="","",[1]!s_dq_close(H$1,$A700,$M$4))</f>
        <v/>
      </c>
      <c r="I700" s="6" t="str">
        <f ca="1">IF($A700="","",[1]!s_dq_close(I$1,$A700,$M$4))</f>
        <v/>
      </c>
      <c r="J700" s="6" t="str">
        <f t="shared" ca="1" si="11"/>
        <v/>
      </c>
    </row>
    <row r="701" spans="1:10">
      <c r="A701" s="2" t="str">
        <f ca="1">IF(A700="","",IF(IF(价差分析!$W$4="日",--[1]!td(A700-1),IF(价差分析!$W$4="周",--[1]!td(A700-7),--[1]!td(A700-30)))-价差分析!$T$4&gt;0,IF(价差分析!$W$4="日",--[1]!td(A700-1),IF(价差分析!$W$4="周",--[1]!td(A700-7),--[1]!td(A700-30))),""))</f>
        <v/>
      </c>
      <c r="B701" s="1" t="str">
        <f ca="1">IF(A701="","",[1]!s_dq_close($B$1,A701,$M$4))</f>
        <v/>
      </c>
      <c r="C701" s="1" t="str">
        <f ca="1">IF(A701="","",[1]!s_dq_close($C$1,A701,$M$4))</f>
        <v/>
      </c>
      <c r="D701" s="6" t="str">
        <f ca="1">IF($A701="","",[1]!s_dq_close(D$1,$A701,$M$4))</f>
        <v/>
      </c>
      <c r="E701" s="6" t="str">
        <f ca="1">IF($A701="","",[1]!s_dq_close(E$1,$A701,$M$4))</f>
        <v/>
      </c>
      <c r="F701" s="6" t="str">
        <f ca="1">IF($A701="","",[1]!s_dq_close(F$1,$A701,$M$4))</f>
        <v/>
      </c>
      <c r="G701" s="6"/>
      <c r="H701" s="6" t="str">
        <f ca="1">IF($A701="","",[1]!s_dq_close(H$1,$A701,$M$4))</f>
        <v/>
      </c>
      <c r="I701" s="6" t="str">
        <f ca="1">IF($A701="","",[1]!s_dq_close(I$1,$A701,$M$4))</f>
        <v/>
      </c>
      <c r="J701" s="6" t="str">
        <f t="shared" ca="1" si="11"/>
        <v/>
      </c>
    </row>
    <row r="702" spans="1:10">
      <c r="A702" s="2" t="str">
        <f ca="1">IF(A701="","",IF(IF(价差分析!$W$4="日",--[1]!td(A701-1),IF(价差分析!$W$4="周",--[1]!td(A701-7),--[1]!td(A701-30)))-价差分析!$T$4&gt;0,IF(价差分析!$W$4="日",--[1]!td(A701-1),IF(价差分析!$W$4="周",--[1]!td(A701-7),--[1]!td(A701-30))),""))</f>
        <v/>
      </c>
      <c r="B702" s="1" t="str">
        <f ca="1">IF(A702="","",[1]!s_dq_close($B$1,A702,$M$4))</f>
        <v/>
      </c>
      <c r="C702" s="1" t="str">
        <f ca="1">IF(A702="","",[1]!s_dq_close($C$1,A702,$M$4))</f>
        <v/>
      </c>
      <c r="D702" s="6" t="str">
        <f ca="1">IF($A702="","",[1]!s_dq_close(D$1,$A702,$M$4))</f>
        <v/>
      </c>
      <c r="E702" s="6" t="str">
        <f ca="1">IF($A702="","",[1]!s_dq_close(E$1,$A702,$M$4))</f>
        <v/>
      </c>
      <c r="F702" s="6" t="str">
        <f ca="1">IF($A702="","",[1]!s_dq_close(F$1,$A702,$M$4))</f>
        <v/>
      </c>
      <c r="G702" s="6"/>
      <c r="H702" s="6" t="str">
        <f ca="1">IF($A702="","",[1]!s_dq_close(H$1,$A702,$M$4))</f>
        <v/>
      </c>
      <c r="I702" s="6" t="str">
        <f ca="1">IF($A702="","",[1]!s_dq_close(I$1,$A702,$M$4))</f>
        <v/>
      </c>
      <c r="J702" s="6" t="str">
        <f t="shared" ca="1" si="11"/>
        <v/>
      </c>
    </row>
    <row r="703" spans="1:10">
      <c r="A703" s="2" t="str">
        <f ca="1">IF(A702="","",IF(IF(价差分析!$W$4="日",--[1]!td(A702-1),IF(价差分析!$W$4="周",--[1]!td(A702-7),--[1]!td(A702-30)))-价差分析!$T$4&gt;0,IF(价差分析!$W$4="日",--[1]!td(A702-1),IF(价差分析!$W$4="周",--[1]!td(A702-7),--[1]!td(A702-30))),""))</f>
        <v/>
      </c>
      <c r="B703" s="1" t="str">
        <f ca="1">IF(A703="","",[1]!s_dq_close($B$1,A703,$M$4))</f>
        <v/>
      </c>
      <c r="C703" s="1" t="str">
        <f ca="1">IF(A703="","",[1]!s_dq_close($C$1,A703,$M$4))</f>
        <v/>
      </c>
      <c r="D703" s="6" t="str">
        <f ca="1">IF($A703="","",[1]!s_dq_close(D$1,$A703,$M$4))</f>
        <v/>
      </c>
      <c r="E703" s="6" t="str">
        <f ca="1">IF($A703="","",[1]!s_dq_close(E$1,$A703,$M$4))</f>
        <v/>
      </c>
      <c r="F703" s="6" t="str">
        <f ca="1">IF($A703="","",[1]!s_dq_close(F$1,$A703,$M$4))</f>
        <v/>
      </c>
      <c r="G703" s="6"/>
      <c r="H703" s="6" t="str">
        <f ca="1">IF($A703="","",[1]!s_dq_close(H$1,$A703,$M$4))</f>
        <v/>
      </c>
      <c r="I703" s="6" t="str">
        <f ca="1">IF($A703="","",[1]!s_dq_close(I$1,$A703,$M$4))</f>
        <v/>
      </c>
      <c r="J703" s="6" t="str">
        <f t="shared" ca="1" si="11"/>
        <v/>
      </c>
    </row>
    <row r="704" spans="1:10">
      <c r="A704" s="2" t="str">
        <f ca="1">IF(A703="","",IF(IF(价差分析!$W$4="日",--[1]!td(A703-1),IF(价差分析!$W$4="周",--[1]!td(A703-7),--[1]!td(A703-30)))-价差分析!$T$4&gt;0,IF(价差分析!$W$4="日",--[1]!td(A703-1),IF(价差分析!$W$4="周",--[1]!td(A703-7),--[1]!td(A703-30))),""))</f>
        <v/>
      </c>
      <c r="B704" s="1" t="str">
        <f ca="1">IF(A704="","",[1]!s_dq_close($B$1,A704,$M$4))</f>
        <v/>
      </c>
      <c r="C704" s="1" t="str">
        <f ca="1">IF(A704="","",[1]!s_dq_close($C$1,A704,$M$4))</f>
        <v/>
      </c>
      <c r="D704" s="6" t="str">
        <f ca="1">IF($A704="","",[1]!s_dq_close(D$1,$A704,$M$4))</f>
        <v/>
      </c>
      <c r="E704" s="6" t="str">
        <f ca="1">IF($A704="","",[1]!s_dq_close(E$1,$A704,$M$4))</f>
        <v/>
      </c>
      <c r="F704" s="6" t="str">
        <f ca="1">IF($A704="","",[1]!s_dq_close(F$1,$A704,$M$4))</f>
        <v/>
      </c>
      <c r="G704" s="6"/>
      <c r="H704" s="6" t="str">
        <f ca="1">IF($A704="","",[1]!s_dq_close(H$1,$A704,$M$4))</f>
        <v/>
      </c>
      <c r="I704" s="6" t="str">
        <f ca="1">IF($A704="","",[1]!s_dq_close(I$1,$A704,$M$4))</f>
        <v/>
      </c>
      <c r="J704" s="6" t="str">
        <f t="shared" ca="1" si="11"/>
        <v/>
      </c>
    </row>
    <row r="705" spans="1:10">
      <c r="A705" s="2" t="str">
        <f ca="1">IF(A704="","",IF(IF(价差分析!$W$4="日",--[1]!td(A704-1),IF(价差分析!$W$4="周",--[1]!td(A704-7),--[1]!td(A704-30)))-价差分析!$T$4&gt;0,IF(价差分析!$W$4="日",--[1]!td(A704-1),IF(价差分析!$W$4="周",--[1]!td(A704-7),--[1]!td(A704-30))),""))</f>
        <v/>
      </c>
      <c r="B705" s="1" t="str">
        <f ca="1">IF(A705="","",[1]!s_dq_close($B$1,A705,$M$4))</f>
        <v/>
      </c>
      <c r="C705" s="1" t="str">
        <f ca="1">IF(A705="","",[1]!s_dq_close($C$1,A705,$M$4))</f>
        <v/>
      </c>
      <c r="D705" s="6" t="str">
        <f ca="1">IF($A705="","",[1]!s_dq_close(D$1,$A705,$M$4))</f>
        <v/>
      </c>
      <c r="E705" s="6" t="str">
        <f ca="1">IF($A705="","",[1]!s_dq_close(E$1,$A705,$M$4))</f>
        <v/>
      </c>
      <c r="F705" s="6" t="str">
        <f ca="1">IF($A705="","",[1]!s_dq_close(F$1,$A705,$M$4))</f>
        <v/>
      </c>
      <c r="G705" s="6"/>
      <c r="H705" s="6" t="str">
        <f ca="1">IF($A705="","",[1]!s_dq_close(H$1,$A705,$M$4))</f>
        <v/>
      </c>
      <c r="I705" s="6" t="str">
        <f ca="1">IF($A705="","",[1]!s_dq_close(I$1,$A705,$M$4))</f>
        <v/>
      </c>
      <c r="J705" s="6" t="str">
        <f t="shared" ca="1" si="11"/>
        <v/>
      </c>
    </row>
    <row r="706" spans="1:10">
      <c r="A706" s="2" t="str">
        <f ca="1">IF(A705="","",IF(IF(价差分析!$W$4="日",--[1]!td(A705-1),IF(价差分析!$W$4="周",--[1]!td(A705-7),--[1]!td(A705-30)))-价差分析!$T$4&gt;0,IF(价差分析!$W$4="日",--[1]!td(A705-1),IF(价差分析!$W$4="周",--[1]!td(A705-7),--[1]!td(A705-30))),""))</f>
        <v/>
      </c>
      <c r="B706" s="1" t="str">
        <f ca="1">IF(A706="","",[1]!s_dq_close($B$1,A706,$M$4))</f>
        <v/>
      </c>
      <c r="C706" s="1" t="str">
        <f ca="1">IF(A706="","",[1]!s_dq_close($C$1,A706,$M$4))</f>
        <v/>
      </c>
      <c r="D706" s="6" t="str">
        <f ca="1">IF($A706="","",[1]!s_dq_close(D$1,$A706,$M$4))</f>
        <v/>
      </c>
      <c r="E706" s="6" t="str">
        <f ca="1">IF($A706="","",[1]!s_dq_close(E$1,$A706,$M$4))</f>
        <v/>
      </c>
      <c r="F706" s="6" t="str">
        <f ca="1">IF($A706="","",[1]!s_dq_close(F$1,$A706,$M$4))</f>
        <v/>
      </c>
      <c r="G706" s="6"/>
      <c r="H706" s="6" t="str">
        <f ca="1">IF($A706="","",[1]!s_dq_close(H$1,$A706,$M$4))</f>
        <v/>
      </c>
      <c r="I706" s="6" t="str">
        <f ca="1">IF($A706="","",[1]!s_dq_close(I$1,$A706,$M$4))</f>
        <v/>
      </c>
      <c r="J706" s="6" t="str">
        <f t="shared" ca="1" si="11"/>
        <v/>
      </c>
    </row>
    <row r="707" spans="1:10">
      <c r="A707" s="2" t="str">
        <f ca="1">IF(A706="","",IF(IF(价差分析!$W$4="日",--[1]!td(A706-1),IF(价差分析!$W$4="周",--[1]!td(A706-7),--[1]!td(A706-30)))-价差分析!$T$4&gt;0,IF(价差分析!$W$4="日",--[1]!td(A706-1),IF(价差分析!$W$4="周",--[1]!td(A706-7),--[1]!td(A706-30))),""))</f>
        <v/>
      </c>
      <c r="B707" s="1" t="str">
        <f ca="1">IF(A707="","",[1]!s_dq_close($B$1,A707,$M$4))</f>
        <v/>
      </c>
      <c r="C707" s="1" t="str">
        <f ca="1">IF(A707="","",[1]!s_dq_close($C$1,A707,$M$4))</f>
        <v/>
      </c>
      <c r="D707" s="6" t="str">
        <f ca="1">IF($A707="","",[1]!s_dq_close(D$1,$A707,$M$4))</f>
        <v/>
      </c>
      <c r="E707" s="6" t="str">
        <f ca="1">IF($A707="","",[1]!s_dq_close(E$1,$A707,$M$4))</f>
        <v/>
      </c>
      <c r="F707" s="6" t="str">
        <f ca="1">IF($A707="","",[1]!s_dq_close(F$1,$A707,$M$4))</f>
        <v/>
      </c>
      <c r="G707" s="6"/>
      <c r="H707" s="6" t="str">
        <f ca="1">IF($A707="","",[1]!s_dq_close(H$1,$A707,$M$4))</f>
        <v/>
      </c>
      <c r="I707" s="6" t="str">
        <f ca="1">IF($A707="","",[1]!s_dq_close(I$1,$A707,$M$4))</f>
        <v/>
      </c>
      <c r="J707" s="6" t="str">
        <f t="shared" ca="1" si="11"/>
        <v/>
      </c>
    </row>
    <row r="708" spans="1:10">
      <c r="A708" s="2" t="str">
        <f ca="1">IF(A707="","",IF(IF(价差分析!$W$4="日",--[1]!td(A707-1),IF(价差分析!$W$4="周",--[1]!td(A707-7),--[1]!td(A707-30)))-价差分析!$T$4&gt;0,IF(价差分析!$W$4="日",--[1]!td(A707-1),IF(价差分析!$W$4="周",--[1]!td(A707-7),--[1]!td(A707-30))),""))</f>
        <v/>
      </c>
      <c r="B708" s="1" t="str">
        <f ca="1">IF(A708="","",[1]!s_dq_close($B$1,A708,$M$4))</f>
        <v/>
      </c>
      <c r="C708" s="1" t="str">
        <f ca="1">IF(A708="","",[1]!s_dq_close($C$1,A708,$M$4))</f>
        <v/>
      </c>
      <c r="D708" s="6" t="str">
        <f ca="1">IF($A708="","",[1]!s_dq_close(D$1,$A708,$M$4))</f>
        <v/>
      </c>
      <c r="E708" s="6" t="str">
        <f ca="1">IF($A708="","",[1]!s_dq_close(E$1,$A708,$M$4))</f>
        <v/>
      </c>
      <c r="F708" s="6" t="str">
        <f ca="1">IF($A708="","",[1]!s_dq_close(F$1,$A708,$M$4))</f>
        <v/>
      </c>
      <c r="G708" s="6"/>
      <c r="H708" s="6" t="str">
        <f ca="1">IF($A708="","",[1]!s_dq_close(H$1,$A708,$M$4))</f>
        <v/>
      </c>
      <c r="I708" s="6" t="str">
        <f ca="1">IF($A708="","",[1]!s_dq_close(I$1,$A708,$M$4))</f>
        <v/>
      </c>
      <c r="J708" s="6" t="str">
        <f t="shared" ca="1" si="11"/>
        <v/>
      </c>
    </row>
    <row r="709" spans="1:10">
      <c r="A709" s="2" t="str">
        <f ca="1">IF(A708="","",IF(IF(价差分析!$W$4="日",--[1]!td(A708-1),IF(价差分析!$W$4="周",--[1]!td(A708-7),--[1]!td(A708-30)))-价差分析!$T$4&gt;0,IF(价差分析!$W$4="日",--[1]!td(A708-1),IF(价差分析!$W$4="周",--[1]!td(A708-7),--[1]!td(A708-30))),""))</f>
        <v/>
      </c>
      <c r="B709" s="1" t="str">
        <f ca="1">IF(A709="","",[1]!s_dq_close($B$1,A709,$M$4))</f>
        <v/>
      </c>
      <c r="C709" s="1" t="str">
        <f ca="1">IF(A709="","",[1]!s_dq_close($C$1,A709,$M$4))</f>
        <v/>
      </c>
      <c r="D709" s="6" t="str">
        <f ca="1">IF($A709="","",[1]!s_dq_close(D$1,$A709,$M$4))</f>
        <v/>
      </c>
      <c r="E709" s="6" t="str">
        <f ca="1">IF($A709="","",[1]!s_dq_close(E$1,$A709,$M$4))</f>
        <v/>
      </c>
      <c r="F709" s="6" t="str">
        <f ca="1">IF($A709="","",[1]!s_dq_close(F$1,$A709,$M$4))</f>
        <v/>
      </c>
      <c r="G709" s="6"/>
      <c r="H709" s="6" t="str">
        <f ca="1">IF($A709="","",[1]!s_dq_close(H$1,$A709,$M$4))</f>
        <v/>
      </c>
      <c r="I709" s="6" t="str">
        <f ca="1">IF($A709="","",[1]!s_dq_close(I$1,$A709,$M$4))</f>
        <v/>
      </c>
      <c r="J709" s="6" t="str">
        <f t="shared" ref="J709:J772" ca="1" si="12">IF(H709="","",H709-I709)</f>
        <v/>
      </c>
    </row>
    <row r="710" spans="1:10">
      <c r="A710" s="2" t="str">
        <f ca="1">IF(A709="","",IF(IF(价差分析!$W$4="日",--[1]!td(A709-1),IF(价差分析!$W$4="周",--[1]!td(A709-7),--[1]!td(A709-30)))-价差分析!$T$4&gt;0,IF(价差分析!$W$4="日",--[1]!td(A709-1),IF(价差分析!$W$4="周",--[1]!td(A709-7),--[1]!td(A709-30))),""))</f>
        <v/>
      </c>
      <c r="B710" s="1" t="str">
        <f ca="1">IF(A710="","",[1]!s_dq_close($B$1,A710,$M$4))</f>
        <v/>
      </c>
      <c r="C710" s="1" t="str">
        <f ca="1">IF(A710="","",[1]!s_dq_close($C$1,A710,$M$4))</f>
        <v/>
      </c>
      <c r="D710" s="6" t="str">
        <f ca="1">IF($A710="","",[1]!s_dq_close(D$1,$A710,$M$4))</f>
        <v/>
      </c>
      <c r="E710" s="6" t="str">
        <f ca="1">IF($A710="","",[1]!s_dq_close(E$1,$A710,$M$4))</f>
        <v/>
      </c>
      <c r="F710" s="6" t="str">
        <f ca="1">IF($A710="","",[1]!s_dq_close(F$1,$A710,$M$4))</f>
        <v/>
      </c>
      <c r="G710" s="6"/>
      <c r="H710" s="6" t="str">
        <f ca="1">IF($A710="","",[1]!s_dq_close(H$1,$A710,$M$4))</f>
        <v/>
      </c>
      <c r="I710" s="6" t="str">
        <f ca="1">IF($A710="","",[1]!s_dq_close(I$1,$A710,$M$4))</f>
        <v/>
      </c>
      <c r="J710" s="6" t="str">
        <f t="shared" ca="1" si="12"/>
        <v/>
      </c>
    </row>
    <row r="711" spans="1:10">
      <c r="A711" s="2" t="str">
        <f ca="1">IF(A710="","",IF(IF(价差分析!$W$4="日",--[1]!td(A710-1),IF(价差分析!$W$4="周",--[1]!td(A710-7),--[1]!td(A710-30)))-价差分析!$T$4&gt;0,IF(价差分析!$W$4="日",--[1]!td(A710-1),IF(价差分析!$W$4="周",--[1]!td(A710-7),--[1]!td(A710-30))),""))</f>
        <v/>
      </c>
      <c r="B711" s="1" t="str">
        <f ca="1">IF(A711="","",[1]!s_dq_close($B$1,A711,$M$4))</f>
        <v/>
      </c>
      <c r="C711" s="1" t="str">
        <f ca="1">IF(A711="","",[1]!s_dq_close($C$1,A711,$M$4))</f>
        <v/>
      </c>
      <c r="D711" s="6" t="str">
        <f ca="1">IF($A711="","",[1]!s_dq_close(D$1,$A711,$M$4))</f>
        <v/>
      </c>
      <c r="E711" s="6" t="str">
        <f ca="1">IF($A711="","",[1]!s_dq_close(E$1,$A711,$M$4))</f>
        <v/>
      </c>
      <c r="F711" s="6" t="str">
        <f ca="1">IF($A711="","",[1]!s_dq_close(F$1,$A711,$M$4))</f>
        <v/>
      </c>
      <c r="G711" s="6"/>
      <c r="H711" s="6" t="str">
        <f ca="1">IF($A711="","",[1]!s_dq_close(H$1,$A711,$M$4))</f>
        <v/>
      </c>
      <c r="I711" s="6" t="str">
        <f ca="1">IF($A711="","",[1]!s_dq_close(I$1,$A711,$M$4))</f>
        <v/>
      </c>
      <c r="J711" s="6" t="str">
        <f t="shared" ca="1" si="12"/>
        <v/>
      </c>
    </row>
    <row r="712" spans="1:10">
      <c r="A712" s="2" t="str">
        <f ca="1">IF(A711="","",IF(IF(价差分析!$W$4="日",--[1]!td(A711-1),IF(价差分析!$W$4="周",--[1]!td(A711-7),--[1]!td(A711-30)))-价差分析!$T$4&gt;0,IF(价差分析!$W$4="日",--[1]!td(A711-1),IF(价差分析!$W$4="周",--[1]!td(A711-7),--[1]!td(A711-30))),""))</f>
        <v/>
      </c>
      <c r="B712" s="1" t="str">
        <f ca="1">IF(A712="","",[1]!s_dq_close($B$1,A712,$M$4))</f>
        <v/>
      </c>
      <c r="C712" s="1" t="str">
        <f ca="1">IF(A712="","",[1]!s_dq_close($C$1,A712,$M$4))</f>
        <v/>
      </c>
      <c r="D712" s="6" t="str">
        <f ca="1">IF($A712="","",[1]!s_dq_close(D$1,$A712,$M$4))</f>
        <v/>
      </c>
      <c r="E712" s="6" t="str">
        <f ca="1">IF($A712="","",[1]!s_dq_close(E$1,$A712,$M$4))</f>
        <v/>
      </c>
      <c r="F712" s="6" t="str">
        <f ca="1">IF($A712="","",[1]!s_dq_close(F$1,$A712,$M$4))</f>
        <v/>
      </c>
      <c r="G712" s="6"/>
      <c r="H712" s="6" t="str">
        <f ca="1">IF($A712="","",[1]!s_dq_close(H$1,$A712,$M$4))</f>
        <v/>
      </c>
      <c r="I712" s="6" t="str">
        <f ca="1">IF($A712="","",[1]!s_dq_close(I$1,$A712,$M$4))</f>
        <v/>
      </c>
      <c r="J712" s="6" t="str">
        <f t="shared" ca="1" si="12"/>
        <v/>
      </c>
    </row>
    <row r="713" spans="1:10">
      <c r="A713" s="2" t="str">
        <f ca="1">IF(A712="","",IF(IF(价差分析!$W$4="日",--[1]!td(A712-1),IF(价差分析!$W$4="周",--[1]!td(A712-7),--[1]!td(A712-30)))-价差分析!$T$4&gt;0,IF(价差分析!$W$4="日",--[1]!td(A712-1),IF(价差分析!$W$4="周",--[1]!td(A712-7),--[1]!td(A712-30))),""))</f>
        <v/>
      </c>
      <c r="B713" s="1" t="str">
        <f ca="1">IF(A713="","",[1]!s_dq_close($B$1,A713,$M$4))</f>
        <v/>
      </c>
      <c r="C713" s="1" t="str">
        <f ca="1">IF(A713="","",[1]!s_dq_close($C$1,A713,$M$4))</f>
        <v/>
      </c>
      <c r="D713" s="6" t="str">
        <f ca="1">IF($A713="","",[1]!s_dq_close(D$1,$A713,$M$4))</f>
        <v/>
      </c>
      <c r="E713" s="6" t="str">
        <f ca="1">IF($A713="","",[1]!s_dq_close(E$1,$A713,$M$4))</f>
        <v/>
      </c>
      <c r="F713" s="6" t="str">
        <f ca="1">IF($A713="","",[1]!s_dq_close(F$1,$A713,$M$4))</f>
        <v/>
      </c>
      <c r="G713" s="6"/>
      <c r="H713" s="6" t="str">
        <f ca="1">IF($A713="","",[1]!s_dq_close(H$1,$A713,$M$4))</f>
        <v/>
      </c>
      <c r="I713" s="6" t="str">
        <f ca="1">IF($A713="","",[1]!s_dq_close(I$1,$A713,$M$4))</f>
        <v/>
      </c>
      <c r="J713" s="6" t="str">
        <f t="shared" ca="1" si="12"/>
        <v/>
      </c>
    </row>
    <row r="714" spans="1:10">
      <c r="A714" s="2" t="str">
        <f ca="1">IF(A713="","",IF(IF(价差分析!$W$4="日",--[1]!td(A713-1),IF(价差分析!$W$4="周",--[1]!td(A713-7),--[1]!td(A713-30)))-价差分析!$T$4&gt;0,IF(价差分析!$W$4="日",--[1]!td(A713-1),IF(价差分析!$W$4="周",--[1]!td(A713-7),--[1]!td(A713-30))),""))</f>
        <v/>
      </c>
      <c r="B714" s="1" t="str">
        <f ca="1">IF(A714="","",[1]!s_dq_close($B$1,A714,$M$4))</f>
        <v/>
      </c>
      <c r="C714" s="1" t="str">
        <f ca="1">IF(A714="","",[1]!s_dq_close($C$1,A714,$M$4))</f>
        <v/>
      </c>
      <c r="D714" s="6" t="str">
        <f ca="1">IF($A714="","",[1]!s_dq_close(D$1,$A714,$M$4))</f>
        <v/>
      </c>
      <c r="E714" s="6" t="str">
        <f ca="1">IF($A714="","",[1]!s_dq_close(E$1,$A714,$M$4))</f>
        <v/>
      </c>
      <c r="F714" s="6" t="str">
        <f ca="1">IF($A714="","",[1]!s_dq_close(F$1,$A714,$M$4))</f>
        <v/>
      </c>
      <c r="G714" s="6"/>
      <c r="H714" s="6" t="str">
        <f ca="1">IF($A714="","",[1]!s_dq_close(H$1,$A714,$M$4))</f>
        <v/>
      </c>
      <c r="I714" s="6" t="str">
        <f ca="1">IF($A714="","",[1]!s_dq_close(I$1,$A714,$M$4))</f>
        <v/>
      </c>
      <c r="J714" s="6" t="str">
        <f t="shared" ca="1" si="12"/>
        <v/>
      </c>
    </row>
    <row r="715" spans="1:10">
      <c r="A715" s="2" t="str">
        <f ca="1">IF(A714="","",IF(IF(价差分析!$W$4="日",--[1]!td(A714-1),IF(价差分析!$W$4="周",--[1]!td(A714-7),--[1]!td(A714-30)))-价差分析!$T$4&gt;0,IF(价差分析!$W$4="日",--[1]!td(A714-1),IF(价差分析!$W$4="周",--[1]!td(A714-7),--[1]!td(A714-30))),""))</f>
        <v/>
      </c>
      <c r="B715" s="1" t="str">
        <f ca="1">IF(A715="","",[1]!s_dq_close($B$1,A715,$M$4))</f>
        <v/>
      </c>
      <c r="C715" s="1" t="str">
        <f ca="1">IF(A715="","",[1]!s_dq_close($C$1,A715,$M$4))</f>
        <v/>
      </c>
      <c r="D715" s="6" t="str">
        <f ca="1">IF($A715="","",[1]!s_dq_close(D$1,$A715,$M$4))</f>
        <v/>
      </c>
      <c r="E715" s="6" t="str">
        <f ca="1">IF($A715="","",[1]!s_dq_close(E$1,$A715,$M$4))</f>
        <v/>
      </c>
      <c r="F715" s="6" t="str">
        <f ca="1">IF($A715="","",[1]!s_dq_close(F$1,$A715,$M$4))</f>
        <v/>
      </c>
      <c r="G715" s="6"/>
      <c r="H715" s="6" t="str">
        <f ca="1">IF($A715="","",[1]!s_dq_close(H$1,$A715,$M$4))</f>
        <v/>
      </c>
      <c r="I715" s="6" t="str">
        <f ca="1">IF($A715="","",[1]!s_dq_close(I$1,$A715,$M$4))</f>
        <v/>
      </c>
      <c r="J715" s="6" t="str">
        <f t="shared" ca="1" si="12"/>
        <v/>
      </c>
    </row>
    <row r="716" spans="1:10">
      <c r="A716" s="2" t="str">
        <f ca="1">IF(A715="","",IF(IF(价差分析!$W$4="日",--[1]!td(A715-1),IF(价差分析!$W$4="周",--[1]!td(A715-7),--[1]!td(A715-30)))-价差分析!$T$4&gt;0,IF(价差分析!$W$4="日",--[1]!td(A715-1),IF(价差分析!$W$4="周",--[1]!td(A715-7),--[1]!td(A715-30))),""))</f>
        <v/>
      </c>
      <c r="B716" s="1" t="str">
        <f ca="1">IF(A716="","",[1]!s_dq_close($B$1,A716,$M$4))</f>
        <v/>
      </c>
      <c r="C716" s="1" t="str">
        <f ca="1">IF(A716="","",[1]!s_dq_close($C$1,A716,$M$4))</f>
        <v/>
      </c>
      <c r="D716" s="6" t="str">
        <f ca="1">IF($A716="","",[1]!s_dq_close(D$1,$A716,$M$4))</f>
        <v/>
      </c>
      <c r="E716" s="6" t="str">
        <f ca="1">IF($A716="","",[1]!s_dq_close(E$1,$A716,$M$4))</f>
        <v/>
      </c>
      <c r="F716" s="6" t="str">
        <f ca="1">IF($A716="","",[1]!s_dq_close(F$1,$A716,$M$4))</f>
        <v/>
      </c>
      <c r="G716" s="6"/>
      <c r="H716" s="6" t="str">
        <f ca="1">IF($A716="","",[1]!s_dq_close(H$1,$A716,$M$4))</f>
        <v/>
      </c>
      <c r="I716" s="6" t="str">
        <f ca="1">IF($A716="","",[1]!s_dq_close(I$1,$A716,$M$4))</f>
        <v/>
      </c>
      <c r="J716" s="6" t="str">
        <f t="shared" ca="1" si="12"/>
        <v/>
      </c>
    </row>
    <row r="717" spans="1:10">
      <c r="A717" s="2" t="str">
        <f ca="1">IF(A716="","",IF(IF(价差分析!$W$4="日",--[1]!td(A716-1),IF(价差分析!$W$4="周",--[1]!td(A716-7),--[1]!td(A716-30)))-价差分析!$T$4&gt;0,IF(价差分析!$W$4="日",--[1]!td(A716-1),IF(价差分析!$W$4="周",--[1]!td(A716-7),--[1]!td(A716-30))),""))</f>
        <v/>
      </c>
      <c r="B717" s="1" t="str">
        <f ca="1">IF(A717="","",[1]!s_dq_close($B$1,A717,$M$4))</f>
        <v/>
      </c>
      <c r="C717" s="1" t="str">
        <f ca="1">IF(A717="","",[1]!s_dq_close($C$1,A717,$M$4))</f>
        <v/>
      </c>
      <c r="D717" s="6" t="str">
        <f ca="1">IF($A717="","",[1]!s_dq_close(D$1,$A717,$M$4))</f>
        <v/>
      </c>
      <c r="E717" s="6" t="str">
        <f ca="1">IF($A717="","",[1]!s_dq_close(E$1,$A717,$M$4))</f>
        <v/>
      </c>
      <c r="F717" s="6" t="str">
        <f ca="1">IF($A717="","",[1]!s_dq_close(F$1,$A717,$M$4))</f>
        <v/>
      </c>
      <c r="G717" s="6"/>
      <c r="H717" s="6" t="str">
        <f ca="1">IF($A717="","",[1]!s_dq_close(H$1,$A717,$M$4))</f>
        <v/>
      </c>
      <c r="I717" s="6" t="str">
        <f ca="1">IF($A717="","",[1]!s_dq_close(I$1,$A717,$M$4))</f>
        <v/>
      </c>
      <c r="J717" s="6" t="str">
        <f t="shared" ca="1" si="12"/>
        <v/>
      </c>
    </row>
    <row r="718" spans="1:10">
      <c r="A718" s="2" t="str">
        <f ca="1">IF(A717="","",IF(IF(价差分析!$W$4="日",--[1]!td(A717-1),IF(价差分析!$W$4="周",--[1]!td(A717-7),--[1]!td(A717-30)))-价差分析!$T$4&gt;0,IF(价差分析!$W$4="日",--[1]!td(A717-1),IF(价差分析!$W$4="周",--[1]!td(A717-7),--[1]!td(A717-30))),""))</f>
        <v/>
      </c>
      <c r="B718" s="1" t="str">
        <f ca="1">IF(A718="","",[1]!s_dq_close($B$1,A718,$M$4))</f>
        <v/>
      </c>
      <c r="C718" s="1" t="str">
        <f ca="1">IF(A718="","",[1]!s_dq_close($C$1,A718,$M$4))</f>
        <v/>
      </c>
      <c r="D718" s="6" t="str">
        <f ca="1">IF($A718="","",[1]!s_dq_close(D$1,$A718,$M$4))</f>
        <v/>
      </c>
      <c r="E718" s="6" t="str">
        <f ca="1">IF($A718="","",[1]!s_dq_close(E$1,$A718,$M$4))</f>
        <v/>
      </c>
      <c r="F718" s="6" t="str">
        <f ca="1">IF($A718="","",[1]!s_dq_close(F$1,$A718,$M$4))</f>
        <v/>
      </c>
      <c r="G718" s="6"/>
      <c r="H718" s="6" t="str">
        <f ca="1">IF($A718="","",[1]!s_dq_close(H$1,$A718,$M$4))</f>
        <v/>
      </c>
      <c r="I718" s="6" t="str">
        <f ca="1">IF($A718="","",[1]!s_dq_close(I$1,$A718,$M$4))</f>
        <v/>
      </c>
      <c r="J718" s="6" t="str">
        <f t="shared" ca="1" si="12"/>
        <v/>
      </c>
    </row>
    <row r="719" spans="1:10">
      <c r="A719" s="2" t="str">
        <f ca="1">IF(A718="","",IF(IF(价差分析!$W$4="日",--[1]!td(A718-1),IF(价差分析!$W$4="周",--[1]!td(A718-7),--[1]!td(A718-30)))-价差分析!$T$4&gt;0,IF(价差分析!$W$4="日",--[1]!td(A718-1),IF(价差分析!$W$4="周",--[1]!td(A718-7),--[1]!td(A718-30))),""))</f>
        <v/>
      </c>
      <c r="B719" s="1" t="str">
        <f ca="1">IF(A719="","",[1]!s_dq_close($B$1,A719,$M$4))</f>
        <v/>
      </c>
      <c r="C719" s="1" t="str">
        <f ca="1">IF(A719="","",[1]!s_dq_close($C$1,A719,$M$4))</f>
        <v/>
      </c>
      <c r="D719" s="6" t="str">
        <f ca="1">IF($A719="","",[1]!s_dq_close(D$1,$A719,$M$4))</f>
        <v/>
      </c>
      <c r="E719" s="6" t="str">
        <f ca="1">IF($A719="","",[1]!s_dq_close(E$1,$A719,$M$4))</f>
        <v/>
      </c>
      <c r="F719" s="6" t="str">
        <f ca="1">IF($A719="","",[1]!s_dq_close(F$1,$A719,$M$4))</f>
        <v/>
      </c>
      <c r="G719" s="6"/>
      <c r="H719" s="6" t="str">
        <f ca="1">IF($A719="","",[1]!s_dq_close(H$1,$A719,$M$4))</f>
        <v/>
      </c>
      <c r="I719" s="6" t="str">
        <f ca="1">IF($A719="","",[1]!s_dq_close(I$1,$A719,$M$4))</f>
        <v/>
      </c>
      <c r="J719" s="6" t="str">
        <f t="shared" ca="1" si="12"/>
        <v/>
      </c>
    </row>
    <row r="720" spans="1:10">
      <c r="A720" s="2" t="str">
        <f ca="1">IF(A719="","",IF(IF(价差分析!$W$4="日",--[1]!td(A719-1),IF(价差分析!$W$4="周",--[1]!td(A719-7),--[1]!td(A719-30)))-价差分析!$T$4&gt;0,IF(价差分析!$W$4="日",--[1]!td(A719-1),IF(价差分析!$W$4="周",--[1]!td(A719-7),--[1]!td(A719-30))),""))</f>
        <v/>
      </c>
      <c r="B720" s="1" t="str">
        <f ca="1">IF(A720="","",[1]!s_dq_close($B$1,A720,$M$4))</f>
        <v/>
      </c>
      <c r="C720" s="1" t="str">
        <f ca="1">IF(A720="","",[1]!s_dq_close($C$1,A720,$M$4))</f>
        <v/>
      </c>
      <c r="D720" s="6" t="str">
        <f ca="1">IF($A720="","",[1]!s_dq_close(D$1,$A720,$M$4))</f>
        <v/>
      </c>
      <c r="E720" s="6" t="str">
        <f ca="1">IF($A720="","",[1]!s_dq_close(E$1,$A720,$M$4))</f>
        <v/>
      </c>
      <c r="F720" s="6" t="str">
        <f ca="1">IF($A720="","",[1]!s_dq_close(F$1,$A720,$M$4))</f>
        <v/>
      </c>
      <c r="G720" s="6"/>
      <c r="H720" s="6" t="str">
        <f ca="1">IF($A720="","",[1]!s_dq_close(H$1,$A720,$M$4))</f>
        <v/>
      </c>
      <c r="I720" s="6" t="str">
        <f ca="1">IF($A720="","",[1]!s_dq_close(I$1,$A720,$M$4))</f>
        <v/>
      </c>
      <c r="J720" s="6" t="str">
        <f t="shared" ca="1" si="12"/>
        <v/>
      </c>
    </row>
    <row r="721" spans="1:10">
      <c r="A721" s="2" t="str">
        <f ca="1">IF(A720="","",IF(IF(价差分析!$W$4="日",--[1]!td(A720-1),IF(价差分析!$W$4="周",--[1]!td(A720-7),--[1]!td(A720-30)))-价差分析!$T$4&gt;0,IF(价差分析!$W$4="日",--[1]!td(A720-1),IF(价差分析!$W$4="周",--[1]!td(A720-7),--[1]!td(A720-30))),""))</f>
        <v/>
      </c>
      <c r="B721" s="1" t="str">
        <f ca="1">IF(A721="","",[1]!s_dq_close($B$1,A721,$M$4))</f>
        <v/>
      </c>
      <c r="C721" s="1" t="str">
        <f ca="1">IF(A721="","",[1]!s_dq_close($C$1,A721,$M$4))</f>
        <v/>
      </c>
      <c r="D721" s="6" t="str">
        <f ca="1">IF($A721="","",[1]!s_dq_close(D$1,$A721,$M$4))</f>
        <v/>
      </c>
      <c r="E721" s="6" t="str">
        <f ca="1">IF($A721="","",[1]!s_dq_close(E$1,$A721,$M$4))</f>
        <v/>
      </c>
      <c r="F721" s="6" t="str">
        <f ca="1">IF($A721="","",[1]!s_dq_close(F$1,$A721,$M$4))</f>
        <v/>
      </c>
      <c r="G721" s="6"/>
      <c r="H721" s="6" t="str">
        <f ca="1">IF($A721="","",[1]!s_dq_close(H$1,$A721,$M$4))</f>
        <v/>
      </c>
      <c r="I721" s="6" t="str">
        <f ca="1">IF($A721="","",[1]!s_dq_close(I$1,$A721,$M$4))</f>
        <v/>
      </c>
      <c r="J721" s="6" t="str">
        <f t="shared" ca="1" si="12"/>
        <v/>
      </c>
    </row>
    <row r="722" spans="1:10">
      <c r="A722" s="2" t="str">
        <f ca="1">IF(A721="","",IF(IF(价差分析!$W$4="日",--[1]!td(A721-1),IF(价差分析!$W$4="周",--[1]!td(A721-7),--[1]!td(A721-30)))-价差分析!$T$4&gt;0,IF(价差分析!$W$4="日",--[1]!td(A721-1),IF(价差分析!$W$4="周",--[1]!td(A721-7),--[1]!td(A721-30))),""))</f>
        <v/>
      </c>
      <c r="B722" s="1" t="str">
        <f ca="1">IF(A722="","",[1]!s_dq_close($B$1,A722,$M$4))</f>
        <v/>
      </c>
      <c r="C722" s="1" t="str">
        <f ca="1">IF(A722="","",[1]!s_dq_close($C$1,A722,$M$4))</f>
        <v/>
      </c>
      <c r="D722" s="6" t="str">
        <f ca="1">IF($A722="","",[1]!s_dq_close(D$1,$A722,$M$4))</f>
        <v/>
      </c>
      <c r="E722" s="6" t="str">
        <f ca="1">IF($A722="","",[1]!s_dq_close(E$1,$A722,$M$4))</f>
        <v/>
      </c>
      <c r="F722" s="6" t="str">
        <f ca="1">IF($A722="","",[1]!s_dq_close(F$1,$A722,$M$4))</f>
        <v/>
      </c>
      <c r="G722" s="6"/>
      <c r="H722" s="6" t="str">
        <f ca="1">IF($A722="","",[1]!s_dq_close(H$1,$A722,$M$4))</f>
        <v/>
      </c>
      <c r="I722" s="6" t="str">
        <f ca="1">IF($A722="","",[1]!s_dq_close(I$1,$A722,$M$4))</f>
        <v/>
      </c>
      <c r="J722" s="6" t="str">
        <f t="shared" ca="1" si="12"/>
        <v/>
      </c>
    </row>
    <row r="723" spans="1:10">
      <c r="A723" s="2" t="str">
        <f ca="1">IF(A722="","",IF(IF(价差分析!$W$4="日",--[1]!td(A722-1),IF(价差分析!$W$4="周",--[1]!td(A722-7),--[1]!td(A722-30)))-价差分析!$T$4&gt;0,IF(价差分析!$W$4="日",--[1]!td(A722-1),IF(价差分析!$W$4="周",--[1]!td(A722-7),--[1]!td(A722-30))),""))</f>
        <v/>
      </c>
      <c r="B723" s="1" t="str">
        <f ca="1">IF(A723="","",[1]!s_dq_close($B$1,A723,$M$4))</f>
        <v/>
      </c>
      <c r="C723" s="1" t="str">
        <f ca="1">IF(A723="","",[1]!s_dq_close($C$1,A723,$M$4))</f>
        <v/>
      </c>
      <c r="D723" s="6" t="str">
        <f ca="1">IF($A723="","",[1]!s_dq_close(D$1,$A723,$M$4))</f>
        <v/>
      </c>
      <c r="E723" s="6" t="str">
        <f ca="1">IF($A723="","",[1]!s_dq_close(E$1,$A723,$M$4))</f>
        <v/>
      </c>
      <c r="F723" s="6" t="str">
        <f ca="1">IF($A723="","",[1]!s_dq_close(F$1,$A723,$M$4))</f>
        <v/>
      </c>
      <c r="G723" s="6"/>
      <c r="H723" s="6" t="str">
        <f ca="1">IF($A723="","",[1]!s_dq_close(H$1,$A723,$M$4))</f>
        <v/>
      </c>
      <c r="I723" s="6" t="str">
        <f ca="1">IF($A723="","",[1]!s_dq_close(I$1,$A723,$M$4))</f>
        <v/>
      </c>
      <c r="J723" s="6" t="str">
        <f t="shared" ca="1" si="12"/>
        <v/>
      </c>
    </row>
    <row r="724" spans="1:10">
      <c r="A724" s="2" t="str">
        <f ca="1">IF(A723="","",IF(IF(价差分析!$W$4="日",--[1]!td(A723-1),IF(价差分析!$W$4="周",--[1]!td(A723-7),--[1]!td(A723-30)))-价差分析!$T$4&gt;0,IF(价差分析!$W$4="日",--[1]!td(A723-1),IF(价差分析!$W$4="周",--[1]!td(A723-7),--[1]!td(A723-30))),""))</f>
        <v/>
      </c>
      <c r="B724" s="1" t="str">
        <f ca="1">IF(A724="","",[1]!s_dq_close($B$1,A724,$M$4))</f>
        <v/>
      </c>
      <c r="C724" s="1" t="str">
        <f ca="1">IF(A724="","",[1]!s_dq_close($C$1,A724,$M$4))</f>
        <v/>
      </c>
      <c r="D724" s="6" t="str">
        <f ca="1">IF($A724="","",[1]!s_dq_close(D$1,$A724,$M$4))</f>
        <v/>
      </c>
      <c r="E724" s="6" t="str">
        <f ca="1">IF($A724="","",[1]!s_dq_close(E$1,$A724,$M$4))</f>
        <v/>
      </c>
      <c r="F724" s="6" t="str">
        <f ca="1">IF($A724="","",[1]!s_dq_close(F$1,$A724,$M$4))</f>
        <v/>
      </c>
      <c r="G724" s="6"/>
      <c r="H724" s="6" t="str">
        <f ca="1">IF($A724="","",[1]!s_dq_close(H$1,$A724,$M$4))</f>
        <v/>
      </c>
      <c r="I724" s="6" t="str">
        <f ca="1">IF($A724="","",[1]!s_dq_close(I$1,$A724,$M$4))</f>
        <v/>
      </c>
      <c r="J724" s="6" t="str">
        <f t="shared" ca="1" si="12"/>
        <v/>
      </c>
    </row>
    <row r="725" spans="1:10">
      <c r="A725" s="2" t="str">
        <f ca="1">IF(A724="","",IF(IF(价差分析!$W$4="日",--[1]!td(A724-1),IF(价差分析!$W$4="周",--[1]!td(A724-7),--[1]!td(A724-30)))-价差分析!$T$4&gt;0,IF(价差分析!$W$4="日",--[1]!td(A724-1),IF(价差分析!$W$4="周",--[1]!td(A724-7),--[1]!td(A724-30))),""))</f>
        <v/>
      </c>
      <c r="B725" s="1" t="str">
        <f ca="1">IF(A725="","",[1]!s_dq_close($B$1,A725,$M$4))</f>
        <v/>
      </c>
      <c r="C725" s="1" t="str">
        <f ca="1">IF(A725="","",[1]!s_dq_close($C$1,A725,$M$4))</f>
        <v/>
      </c>
      <c r="D725" s="6" t="str">
        <f ca="1">IF($A725="","",[1]!s_dq_close(D$1,$A725,$M$4))</f>
        <v/>
      </c>
      <c r="E725" s="6" t="str">
        <f ca="1">IF($A725="","",[1]!s_dq_close(E$1,$A725,$M$4))</f>
        <v/>
      </c>
      <c r="F725" s="6" t="str">
        <f ca="1">IF($A725="","",[1]!s_dq_close(F$1,$A725,$M$4))</f>
        <v/>
      </c>
      <c r="G725" s="6"/>
      <c r="H725" s="6" t="str">
        <f ca="1">IF($A725="","",[1]!s_dq_close(H$1,$A725,$M$4))</f>
        <v/>
      </c>
      <c r="I725" s="6" t="str">
        <f ca="1">IF($A725="","",[1]!s_dq_close(I$1,$A725,$M$4))</f>
        <v/>
      </c>
      <c r="J725" s="6" t="str">
        <f t="shared" ca="1" si="12"/>
        <v/>
      </c>
    </row>
    <row r="726" spans="1:10">
      <c r="A726" s="2" t="str">
        <f ca="1">IF(A725="","",IF(IF(价差分析!$W$4="日",--[1]!td(A725-1),IF(价差分析!$W$4="周",--[1]!td(A725-7),--[1]!td(A725-30)))-价差分析!$T$4&gt;0,IF(价差分析!$W$4="日",--[1]!td(A725-1),IF(价差分析!$W$4="周",--[1]!td(A725-7),--[1]!td(A725-30))),""))</f>
        <v/>
      </c>
      <c r="B726" s="1" t="str">
        <f ca="1">IF(A726="","",[1]!s_dq_close($B$1,A726,$M$4))</f>
        <v/>
      </c>
      <c r="C726" s="1" t="str">
        <f ca="1">IF(A726="","",[1]!s_dq_close($C$1,A726,$M$4))</f>
        <v/>
      </c>
      <c r="D726" s="6" t="str">
        <f ca="1">IF($A726="","",[1]!s_dq_close(D$1,$A726,$M$4))</f>
        <v/>
      </c>
      <c r="E726" s="6" t="str">
        <f ca="1">IF($A726="","",[1]!s_dq_close(E$1,$A726,$M$4))</f>
        <v/>
      </c>
      <c r="F726" s="6" t="str">
        <f ca="1">IF($A726="","",[1]!s_dq_close(F$1,$A726,$M$4))</f>
        <v/>
      </c>
      <c r="G726" s="6"/>
      <c r="H726" s="6" t="str">
        <f ca="1">IF($A726="","",[1]!s_dq_close(H$1,$A726,$M$4))</f>
        <v/>
      </c>
      <c r="I726" s="6" t="str">
        <f ca="1">IF($A726="","",[1]!s_dq_close(I$1,$A726,$M$4))</f>
        <v/>
      </c>
      <c r="J726" s="6" t="str">
        <f t="shared" ca="1" si="12"/>
        <v/>
      </c>
    </row>
    <row r="727" spans="1:10">
      <c r="A727" s="2" t="str">
        <f ca="1">IF(A726="","",IF(IF(价差分析!$W$4="日",--[1]!td(A726-1),IF(价差分析!$W$4="周",--[1]!td(A726-7),--[1]!td(A726-30)))-价差分析!$T$4&gt;0,IF(价差分析!$W$4="日",--[1]!td(A726-1),IF(价差分析!$W$4="周",--[1]!td(A726-7),--[1]!td(A726-30))),""))</f>
        <v/>
      </c>
      <c r="B727" s="1" t="str">
        <f ca="1">IF(A727="","",[1]!s_dq_close($B$1,A727,$M$4))</f>
        <v/>
      </c>
      <c r="C727" s="1" t="str">
        <f ca="1">IF(A727="","",[1]!s_dq_close($C$1,A727,$M$4))</f>
        <v/>
      </c>
      <c r="D727" s="6" t="str">
        <f ca="1">IF($A727="","",[1]!s_dq_close(D$1,$A727,$M$4))</f>
        <v/>
      </c>
      <c r="E727" s="6" t="str">
        <f ca="1">IF($A727="","",[1]!s_dq_close(E$1,$A727,$M$4))</f>
        <v/>
      </c>
      <c r="F727" s="6" t="str">
        <f ca="1">IF($A727="","",[1]!s_dq_close(F$1,$A727,$M$4))</f>
        <v/>
      </c>
      <c r="G727" s="6"/>
      <c r="H727" s="6" t="str">
        <f ca="1">IF($A727="","",[1]!s_dq_close(H$1,$A727,$M$4))</f>
        <v/>
      </c>
      <c r="I727" s="6" t="str">
        <f ca="1">IF($A727="","",[1]!s_dq_close(I$1,$A727,$M$4))</f>
        <v/>
      </c>
      <c r="J727" s="6" t="str">
        <f t="shared" ca="1" si="12"/>
        <v/>
      </c>
    </row>
    <row r="728" spans="1:10">
      <c r="A728" s="2" t="str">
        <f ca="1">IF(A727="","",IF(IF(价差分析!$W$4="日",--[1]!td(A727-1),IF(价差分析!$W$4="周",--[1]!td(A727-7),--[1]!td(A727-30)))-价差分析!$T$4&gt;0,IF(价差分析!$W$4="日",--[1]!td(A727-1),IF(价差分析!$W$4="周",--[1]!td(A727-7),--[1]!td(A727-30))),""))</f>
        <v/>
      </c>
      <c r="B728" s="1" t="str">
        <f ca="1">IF(A728="","",[1]!s_dq_close($B$1,A728,$M$4))</f>
        <v/>
      </c>
      <c r="C728" s="1" t="str">
        <f ca="1">IF(A728="","",[1]!s_dq_close($C$1,A728,$M$4))</f>
        <v/>
      </c>
      <c r="D728" s="6" t="str">
        <f ca="1">IF($A728="","",[1]!s_dq_close(D$1,$A728,$M$4))</f>
        <v/>
      </c>
      <c r="E728" s="6" t="str">
        <f ca="1">IF($A728="","",[1]!s_dq_close(E$1,$A728,$M$4))</f>
        <v/>
      </c>
      <c r="F728" s="6" t="str">
        <f ca="1">IF($A728="","",[1]!s_dq_close(F$1,$A728,$M$4))</f>
        <v/>
      </c>
      <c r="G728" s="6"/>
      <c r="H728" s="6" t="str">
        <f ca="1">IF($A728="","",[1]!s_dq_close(H$1,$A728,$M$4))</f>
        <v/>
      </c>
      <c r="I728" s="6" t="str">
        <f ca="1">IF($A728="","",[1]!s_dq_close(I$1,$A728,$M$4))</f>
        <v/>
      </c>
      <c r="J728" s="6" t="str">
        <f t="shared" ca="1" si="12"/>
        <v/>
      </c>
    </row>
    <row r="729" spans="1:10">
      <c r="A729" s="2" t="str">
        <f ca="1">IF(A728="","",IF(IF(价差分析!$W$4="日",--[1]!td(A728-1),IF(价差分析!$W$4="周",--[1]!td(A728-7),--[1]!td(A728-30)))-价差分析!$T$4&gt;0,IF(价差分析!$W$4="日",--[1]!td(A728-1),IF(价差分析!$W$4="周",--[1]!td(A728-7),--[1]!td(A728-30))),""))</f>
        <v/>
      </c>
      <c r="B729" s="1" t="str">
        <f ca="1">IF(A729="","",[1]!s_dq_close($B$1,A729,$M$4))</f>
        <v/>
      </c>
      <c r="C729" s="1" t="str">
        <f ca="1">IF(A729="","",[1]!s_dq_close($C$1,A729,$M$4))</f>
        <v/>
      </c>
      <c r="D729" s="6" t="str">
        <f ca="1">IF($A729="","",[1]!s_dq_close(D$1,$A729,$M$4))</f>
        <v/>
      </c>
      <c r="E729" s="6" t="str">
        <f ca="1">IF($A729="","",[1]!s_dq_close(E$1,$A729,$M$4))</f>
        <v/>
      </c>
      <c r="F729" s="6" t="str">
        <f ca="1">IF($A729="","",[1]!s_dq_close(F$1,$A729,$M$4))</f>
        <v/>
      </c>
      <c r="G729" s="6"/>
      <c r="H729" s="6" t="str">
        <f ca="1">IF($A729="","",[1]!s_dq_close(H$1,$A729,$M$4))</f>
        <v/>
      </c>
      <c r="I729" s="6" t="str">
        <f ca="1">IF($A729="","",[1]!s_dq_close(I$1,$A729,$M$4))</f>
        <v/>
      </c>
      <c r="J729" s="6" t="str">
        <f t="shared" ca="1" si="12"/>
        <v/>
      </c>
    </row>
    <row r="730" spans="1:10">
      <c r="A730" s="2" t="str">
        <f ca="1">IF(A729="","",IF(IF(价差分析!$W$4="日",--[1]!td(A729-1),IF(价差分析!$W$4="周",--[1]!td(A729-7),--[1]!td(A729-30)))-价差分析!$T$4&gt;0,IF(价差分析!$W$4="日",--[1]!td(A729-1),IF(价差分析!$W$4="周",--[1]!td(A729-7),--[1]!td(A729-30))),""))</f>
        <v/>
      </c>
      <c r="B730" s="1" t="str">
        <f ca="1">IF(A730="","",[1]!s_dq_close($B$1,A730,$M$4))</f>
        <v/>
      </c>
      <c r="C730" s="1" t="str">
        <f ca="1">IF(A730="","",[1]!s_dq_close($C$1,A730,$M$4))</f>
        <v/>
      </c>
      <c r="D730" s="6" t="str">
        <f ca="1">IF($A730="","",[1]!s_dq_close(D$1,$A730,$M$4))</f>
        <v/>
      </c>
      <c r="E730" s="6" t="str">
        <f ca="1">IF($A730="","",[1]!s_dq_close(E$1,$A730,$M$4))</f>
        <v/>
      </c>
      <c r="F730" s="6" t="str">
        <f ca="1">IF($A730="","",[1]!s_dq_close(F$1,$A730,$M$4))</f>
        <v/>
      </c>
      <c r="G730" s="6"/>
      <c r="H730" s="6" t="str">
        <f ca="1">IF($A730="","",[1]!s_dq_close(H$1,$A730,$M$4))</f>
        <v/>
      </c>
      <c r="I730" s="6" t="str">
        <f ca="1">IF($A730="","",[1]!s_dq_close(I$1,$A730,$M$4))</f>
        <v/>
      </c>
      <c r="J730" s="6" t="str">
        <f t="shared" ca="1" si="12"/>
        <v/>
      </c>
    </row>
    <row r="731" spans="1:10">
      <c r="A731" s="2" t="str">
        <f ca="1">IF(A730="","",IF(IF(价差分析!$W$4="日",--[1]!td(A730-1),IF(价差分析!$W$4="周",--[1]!td(A730-7),--[1]!td(A730-30)))-价差分析!$T$4&gt;0,IF(价差分析!$W$4="日",--[1]!td(A730-1),IF(价差分析!$W$4="周",--[1]!td(A730-7),--[1]!td(A730-30))),""))</f>
        <v/>
      </c>
      <c r="B731" s="1" t="str">
        <f ca="1">IF(A731="","",[1]!s_dq_close($B$1,A731,$M$4))</f>
        <v/>
      </c>
      <c r="C731" s="1" t="str">
        <f ca="1">IF(A731="","",[1]!s_dq_close($C$1,A731,$M$4))</f>
        <v/>
      </c>
      <c r="D731" s="6" t="str">
        <f ca="1">IF($A731="","",[1]!s_dq_close(D$1,$A731,$M$4))</f>
        <v/>
      </c>
      <c r="E731" s="6" t="str">
        <f ca="1">IF($A731="","",[1]!s_dq_close(E$1,$A731,$M$4))</f>
        <v/>
      </c>
      <c r="F731" s="6" t="str">
        <f ca="1">IF($A731="","",[1]!s_dq_close(F$1,$A731,$M$4))</f>
        <v/>
      </c>
      <c r="G731" s="6"/>
      <c r="H731" s="6" t="str">
        <f ca="1">IF($A731="","",[1]!s_dq_close(H$1,$A731,$M$4))</f>
        <v/>
      </c>
      <c r="I731" s="6" t="str">
        <f ca="1">IF($A731="","",[1]!s_dq_close(I$1,$A731,$M$4))</f>
        <v/>
      </c>
      <c r="J731" s="6" t="str">
        <f t="shared" ca="1" si="12"/>
        <v/>
      </c>
    </row>
    <row r="732" spans="1:10">
      <c r="A732" s="2" t="str">
        <f ca="1">IF(A731="","",IF(IF(价差分析!$W$4="日",--[1]!td(A731-1),IF(价差分析!$W$4="周",--[1]!td(A731-7),--[1]!td(A731-30)))-价差分析!$T$4&gt;0,IF(价差分析!$W$4="日",--[1]!td(A731-1),IF(价差分析!$W$4="周",--[1]!td(A731-7),--[1]!td(A731-30))),""))</f>
        <v/>
      </c>
      <c r="B732" s="1" t="str">
        <f ca="1">IF(A732="","",[1]!s_dq_close($B$1,A732,$M$4))</f>
        <v/>
      </c>
      <c r="C732" s="1" t="str">
        <f ca="1">IF(A732="","",[1]!s_dq_close($C$1,A732,$M$4))</f>
        <v/>
      </c>
      <c r="D732" s="6" t="str">
        <f ca="1">IF($A732="","",[1]!s_dq_close(D$1,$A732,$M$4))</f>
        <v/>
      </c>
      <c r="E732" s="6" t="str">
        <f ca="1">IF($A732="","",[1]!s_dq_close(E$1,$A732,$M$4))</f>
        <v/>
      </c>
      <c r="F732" s="6" t="str">
        <f ca="1">IF($A732="","",[1]!s_dq_close(F$1,$A732,$M$4))</f>
        <v/>
      </c>
      <c r="G732" s="6"/>
      <c r="H732" s="6" t="str">
        <f ca="1">IF($A732="","",[1]!s_dq_close(H$1,$A732,$M$4))</f>
        <v/>
      </c>
      <c r="I732" s="6" t="str">
        <f ca="1">IF($A732="","",[1]!s_dq_close(I$1,$A732,$M$4))</f>
        <v/>
      </c>
      <c r="J732" s="6" t="str">
        <f t="shared" ca="1" si="12"/>
        <v/>
      </c>
    </row>
    <row r="733" spans="1:10">
      <c r="A733" s="2" t="str">
        <f ca="1">IF(A732="","",IF(IF(价差分析!$W$4="日",--[1]!td(A732-1),IF(价差分析!$W$4="周",--[1]!td(A732-7),--[1]!td(A732-30)))-价差分析!$T$4&gt;0,IF(价差分析!$W$4="日",--[1]!td(A732-1),IF(价差分析!$W$4="周",--[1]!td(A732-7),--[1]!td(A732-30))),""))</f>
        <v/>
      </c>
      <c r="B733" s="1" t="str">
        <f ca="1">IF(A733="","",[1]!s_dq_close($B$1,A733,$M$4))</f>
        <v/>
      </c>
      <c r="C733" s="1" t="str">
        <f ca="1">IF(A733="","",[1]!s_dq_close($C$1,A733,$M$4))</f>
        <v/>
      </c>
      <c r="D733" s="6" t="str">
        <f ca="1">IF($A733="","",[1]!s_dq_close(D$1,$A733,$M$4))</f>
        <v/>
      </c>
      <c r="E733" s="6" t="str">
        <f ca="1">IF($A733="","",[1]!s_dq_close(E$1,$A733,$M$4))</f>
        <v/>
      </c>
      <c r="F733" s="6" t="str">
        <f ca="1">IF($A733="","",[1]!s_dq_close(F$1,$A733,$M$4))</f>
        <v/>
      </c>
      <c r="G733" s="6"/>
      <c r="H733" s="6" t="str">
        <f ca="1">IF($A733="","",[1]!s_dq_close(H$1,$A733,$M$4))</f>
        <v/>
      </c>
      <c r="I733" s="6" t="str">
        <f ca="1">IF($A733="","",[1]!s_dq_close(I$1,$A733,$M$4))</f>
        <v/>
      </c>
      <c r="J733" s="6" t="str">
        <f t="shared" ca="1" si="12"/>
        <v/>
      </c>
    </row>
    <row r="734" spans="1:10">
      <c r="A734" s="2" t="str">
        <f ca="1">IF(A733="","",IF(IF(价差分析!$W$4="日",--[1]!td(A733-1),IF(价差分析!$W$4="周",--[1]!td(A733-7),--[1]!td(A733-30)))-价差分析!$T$4&gt;0,IF(价差分析!$W$4="日",--[1]!td(A733-1),IF(价差分析!$W$4="周",--[1]!td(A733-7),--[1]!td(A733-30))),""))</f>
        <v/>
      </c>
      <c r="B734" s="1" t="str">
        <f ca="1">IF(A734="","",[1]!s_dq_close($B$1,A734,$M$4))</f>
        <v/>
      </c>
      <c r="C734" s="1" t="str">
        <f ca="1">IF(A734="","",[1]!s_dq_close($C$1,A734,$M$4))</f>
        <v/>
      </c>
      <c r="D734" s="6" t="str">
        <f ca="1">IF($A734="","",[1]!s_dq_close(D$1,$A734,$M$4))</f>
        <v/>
      </c>
      <c r="E734" s="6" t="str">
        <f ca="1">IF($A734="","",[1]!s_dq_close(E$1,$A734,$M$4))</f>
        <v/>
      </c>
      <c r="F734" s="6" t="str">
        <f ca="1">IF($A734="","",[1]!s_dq_close(F$1,$A734,$M$4))</f>
        <v/>
      </c>
      <c r="G734" s="6"/>
      <c r="H734" s="6" t="str">
        <f ca="1">IF($A734="","",[1]!s_dq_close(H$1,$A734,$M$4))</f>
        <v/>
      </c>
      <c r="I734" s="6" t="str">
        <f ca="1">IF($A734="","",[1]!s_dq_close(I$1,$A734,$M$4))</f>
        <v/>
      </c>
      <c r="J734" s="6" t="str">
        <f t="shared" ca="1" si="12"/>
        <v/>
      </c>
    </row>
    <row r="735" spans="1:10">
      <c r="A735" s="2" t="str">
        <f ca="1">IF(A734="","",IF(IF(价差分析!$W$4="日",--[1]!td(A734-1),IF(价差分析!$W$4="周",--[1]!td(A734-7),--[1]!td(A734-30)))-价差分析!$T$4&gt;0,IF(价差分析!$W$4="日",--[1]!td(A734-1),IF(价差分析!$W$4="周",--[1]!td(A734-7),--[1]!td(A734-30))),""))</f>
        <v/>
      </c>
      <c r="B735" s="1" t="str">
        <f ca="1">IF(A735="","",[1]!s_dq_close($B$1,A735,$M$4))</f>
        <v/>
      </c>
      <c r="C735" s="1" t="str">
        <f ca="1">IF(A735="","",[1]!s_dq_close($C$1,A735,$M$4))</f>
        <v/>
      </c>
      <c r="D735" s="6" t="str">
        <f ca="1">IF($A735="","",[1]!s_dq_close(D$1,$A735,$M$4))</f>
        <v/>
      </c>
      <c r="E735" s="6" t="str">
        <f ca="1">IF($A735="","",[1]!s_dq_close(E$1,$A735,$M$4))</f>
        <v/>
      </c>
      <c r="F735" s="6" t="str">
        <f ca="1">IF($A735="","",[1]!s_dq_close(F$1,$A735,$M$4))</f>
        <v/>
      </c>
      <c r="G735" s="6"/>
      <c r="H735" s="6" t="str">
        <f ca="1">IF($A735="","",[1]!s_dq_close(H$1,$A735,$M$4))</f>
        <v/>
      </c>
      <c r="I735" s="6" t="str">
        <f ca="1">IF($A735="","",[1]!s_dq_close(I$1,$A735,$M$4))</f>
        <v/>
      </c>
      <c r="J735" s="6" t="str">
        <f t="shared" ca="1" si="12"/>
        <v/>
      </c>
    </row>
    <row r="736" spans="1:10">
      <c r="A736" s="2" t="str">
        <f ca="1">IF(A735="","",IF(IF(价差分析!$W$4="日",--[1]!td(A735-1),IF(价差分析!$W$4="周",--[1]!td(A735-7),--[1]!td(A735-30)))-价差分析!$T$4&gt;0,IF(价差分析!$W$4="日",--[1]!td(A735-1),IF(价差分析!$W$4="周",--[1]!td(A735-7),--[1]!td(A735-30))),""))</f>
        <v/>
      </c>
      <c r="B736" s="1" t="str">
        <f ca="1">IF(A736="","",[1]!s_dq_close($B$1,A736,$M$4))</f>
        <v/>
      </c>
      <c r="C736" s="1" t="str">
        <f ca="1">IF(A736="","",[1]!s_dq_close($C$1,A736,$M$4))</f>
        <v/>
      </c>
      <c r="D736" s="6" t="str">
        <f ca="1">IF($A736="","",[1]!s_dq_close(D$1,$A736,$M$4))</f>
        <v/>
      </c>
      <c r="E736" s="6" t="str">
        <f ca="1">IF($A736="","",[1]!s_dq_close(E$1,$A736,$M$4))</f>
        <v/>
      </c>
      <c r="F736" s="6" t="str">
        <f ca="1">IF($A736="","",[1]!s_dq_close(F$1,$A736,$M$4))</f>
        <v/>
      </c>
      <c r="G736" s="6"/>
      <c r="H736" s="6" t="str">
        <f ca="1">IF($A736="","",[1]!s_dq_close(H$1,$A736,$M$4))</f>
        <v/>
      </c>
      <c r="I736" s="6" t="str">
        <f ca="1">IF($A736="","",[1]!s_dq_close(I$1,$A736,$M$4))</f>
        <v/>
      </c>
      <c r="J736" s="6" t="str">
        <f t="shared" ca="1" si="12"/>
        <v/>
      </c>
    </row>
    <row r="737" spans="1:10">
      <c r="A737" s="2" t="str">
        <f ca="1">IF(A736="","",IF(IF(价差分析!$W$4="日",--[1]!td(A736-1),IF(价差分析!$W$4="周",--[1]!td(A736-7),--[1]!td(A736-30)))-价差分析!$T$4&gt;0,IF(价差分析!$W$4="日",--[1]!td(A736-1),IF(价差分析!$W$4="周",--[1]!td(A736-7),--[1]!td(A736-30))),""))</f>
        <v/>
      </c>
      <c r="B737" s="1" t="str">
        <f ca="1">IF(A737="","",[1]!s_dq_close($B$1,A737,$M$4))</f>
        <v/>
      </c>
      <c r="C737" s="1" t="str">
        <f ca="1">IF(A737="","",[1]!s_dq_close($C$1,A737,$M$4))</f>
        <v/>
      </c>
      <c r="D737" s="6" t="str">
        <f ca="1">IF($A737="","",[1]!s_dq_close(D$1,$A737,$M$4))</f>
        <v/>
      </c>
      <c r="E737" s="6" t="str">
        <f ca="1">IF($A737="","",[1]!s_dq_close(E$1,$A737,$M$4))</f>
        <v/>
      </c>
      <c r="F737" s="6" t="str">
        <f ca="1">IF($A737="","",[1]!s_dq_close(F$1,$A737,$M$4))</f>
        <v/>
      </c>
      <c r="G737" s="6"/>
      <c r="H737" s="6" t="str">
        <f ca="1">IF($A737="","",[1]!s_dq_close(H$1,$A737,$M$4))</f>
        <v/>
      </c>
      <c r="I737" s="6" t="str">
        <f ca="1">IF($A737="","",[1]!s_dq_close(I$1,$A737,$M$4))</f>
        <v/>
      </c>
      <c r="J737" s="6" t="str">
        <f t="shared" ca="1" si="12"/>
        <v/>
      </c>
    </row>
    <row r="738" spans="1:10">
      <c r="A738" s="2" t="str">
        <f ca="1">IF(A737="","",IF(IF(价差分析!$W$4="日",--[1]!td(A737-1),IF(价差分析!$W$4="周",--[1]!td(A737-7),--[1]!td(A737-30)))-价差分析!$T$4&gt;0,IF(价差分析!$W$4="日",--[1]!td(A737-1),IF(价差分析!$W$4="周",--[1]!td(A737-7),--[1]!td(A737-30))),""))</f>
        <v/>
      </c>
      <c r="B738" s="1" t="str">
        <f ca="1">IF(A738="","",[1]!s_dq_close($B$1,A738,$M$4))</f>
        <v/>
      </c>
      <c r="C738" s="1" t="str">
        <f ca="1">IF(A738="","",[1]!s_dq_close($C$1,A738,$M$4))</f>
        <v/>
      </c>
      <c r="D738" s="6" t="str">
        <f ca="1">IF($A738="","",[1]!s_dq_close(D$1,$A738,$M$4))</f>
        <v/>
      </c>
      <c r="E738" s="6" t="str">
        <f ca="1">IF($A738="","",[1]!s_dq_close(E$1,$A738,$M$4))</f>
        <v/>
      </c>
      <c r="F738" s="6" t="str">
        <f ca="1">IF($A738="","",[1]!s_dq_close(F$1,$A738,$M$4))</f>
        <v/>
      </c>
      <c r="G738" s="6"/>
      <c r="H738" s="6" t="str">
        <f ca="1">IF($A738="","",[1]!s_dq_close(H$1,$A738,$M$4))</f>
        <v/>
      </c>
      <c r="I738" s="6" t="str">
        <f ca="1">IF($A738="","",[1]!s_dq_close(I$1,$A738,$M$4))</f>
        <v/>
      </c>
      <c r="J738" s="6" t="str">
        <f t="shared" ca="1" si="12"/>
        <v/>
      </c>
    </row>
    <row r="739" spans="1:10">
      <c r="A739" s="2" t="str">
        <f ca="1">IF(A738="","",IF(IF(价差分析!$W$4="日",--[1]!td(A738-1),IF(价差分析!$W$4="周",--[1]!td(A738-7),--[1]!td(A738-30)))-价差分析!$T$4&gt;0,IF(价差分析!$W$4="日",--[1]!td(A738-1),IF(价差分析!$W$4="周",--[1]!td(A738-7),--[1]!td(A738-30))),""))</f>
        <v/>
      </c>
      <c r="B739" s="1" t="str">
        <f ca="1">IF(A739="","",[1]!s_dq_close($B$1,A739,$M$4))</f>
        <v/>
      </c>
      <c r="C739" s="1" t="str">
        <f ca="1">IF(A739="","",[1]!s_dq_close($C$1,A739,$M$4))</f>
        <v/>
      </c>
      <c r="D739" s="6" t="str">
        <f ca="1">IF($A739="","",[1]!s_dq_close(D$1,$A739,$M$4))</f>
        <v/>
      </c>
      <c r="E739" s="6" t="str">
        <f ca="1">IF($A739="","",[1]!s_dq_close(E$1,$A739,$M$4))</f>
        <v/>
      </c>
      <c r="F739" s="6" t="str">
        <f ca="1">IF($A739="","",[1]!s_dq_close(F$1,$A739,$M$4))</f>
        <v/>
      </c>
      <c r="G739" s="6"/>
      <c r="H739" s="6" t="str">
        <f ca="1">IF($A739="","",[1]!s_dq_close(H$1,$A739,$M$4))</f>
        <v/>
      </c>
      <c r="I739" s="6" t="str">
        <f ca="1">IF($A739="","",[1]!s_dq_close(I$1,$A739,$M$4))</f>
        <v/>
      </c>
      <c r="J739" s="6" t="str">
        <f t="shared" ca="1" si="12"/>
        <v/>
      </c>
    </row>
    <row r="740" spans="1:10">
      <c r="A740" s="2" t="str">
        <f ca="1">IF(A739="","",IF(IF(价差分析!$W$4="日",--[1]!td(A739-1),IF(价差分析!$W$4="周",--[1]!td(A739-7),--[1]!td(A739-30)))-价差分析!$T$4&gt;0,IF(价差分析!$W$4="日",--[1]!td(A739-1),IF(价差分析!$W$4="周",--[1]!td(A739-7),--[1]!td(A739-30))),""))</f>
        <v/>
      </c>
      <c r="B740" s="1" t="str">
        <f ca="1">IF(A740="","",[1]!s_dq_close($B$1,A740,$M$4))</f>
        <v/>
      </c>
      <c r="C740" s="1" t="str">
        <f ca="1">IF(A740="","",[1]!s_dq_close($C$1,A740,$M$4))</f>
        <v/>
      </c>
      <c r="D740" s="6" t="str">
        <f ca="1">IF($A740="","",[1]!s_dq_close(D$1,$A740,$M$4))</f>
        <v/>
      </c>
      <c r="E740" s="6" t="str">
        <f ca="1">IF($A740="","",[1]!s_dq_close(E$1,$A740,$M$4))</f>
        <v/>
      </c>
      <c r="F740" s="6" t="str">
        <f ca="1">IF($A740="","",[1]!s_dq_close(F$1,$A740,$M$4))</f>
        <v/>
      </c>
      <c r="G740" s="6"/>
      <c r="H740" s="6" t="str">
        <f ca="1">IF($A740="","",[1]!s_dq_close(H$1,$A740,$M$4))</f>
        <v/>
      </c>
      <c r="I740" s="6" t="str">
        <f ca="1">IF($A740="","",[1]!s_dq_close(I$1,$A740,$M$4))</f>
        <v/>
      </c>
      <c r="J740" s="6" t="str">
        <f t="shared" ca="1" si="12"/>
        <v/>
      </c>
    </row>
    <row r="741" spans="1:10">
      <c r="A741" s="2" t="str">
        <f ca="1">IF(A740="","",IF(IF(价差分析!$W$4="日",--[1]!td(A740-1),IF(价差分析!$W$4="周",--[1]!td(A740-7),--[1]!td(A740-30)))-价差分析!$T$4&gt;0,IF(价差分析!$W$4="日",--[1]!td(A740-1),IF(价差分析!$W$4="周",--[1]!td(A740-7),--[1]!td(A740-30))),""))</f>
        <v/>
      </c>
      <c r="B741" s="1" t="str">
        <f ca="1">IF(A741="","",[1]!s_dq_close($B$1,A741,$M$4))</f>
        <v/>
      </c>
      <c r="C741" s="1" t="str">
        <f ca="1">IF(A741="","",[1]!s_dq_close($C$1,A741,$M$4))</f>
        <v/>
      </c>
      <c r="D741" s="6" t="str">
        <f ca="1">IF($A741="","",[1]!s_dq_close(D$1,$A741,$M$4))</f>
        <v/>
      </c>
      <c r="E741" s="6" t="str">
        <f ca="1">IF($A741="","",[1]!s_dq_close(E$1,$A741,$M$4))</f>
        <v/>
      </c>
      <c r="F741" s="6" t="str">
        <f ca="1">IF($A741="","",[1]!s_dq_close(F$1,$A741,$M$4))</f>
        <v/>
      </c>
      <c r="G741" s="6"/>
      <c r="H741" s="6" t="str">
        <f ca="1">IF($A741="","",[1]!s_dq_close(H$1,$A741,$M$4))</f>
        <v/>
      </c>
      <c r="I741" s="6" t="str">
        <f ca="1">IF($A741="","",[1]!s_dq_close(I$1,$A741,$M$4))</f>
        <v/>
      </c>
      <c r="J741" s="6" t="str">
        <f t="shared" ca="1" si="12"/>
        <v/>
      </c>
    </row>
    <row r="742" spans="1:10">
      <c r="A742" s="2" t="str">
        <f ca="1">IF(A741="","",IF(IF(价差分析!$W$4="日",--[1]!td(A741-1),IF(价差分析!$W$4="周",--[1]!td(A741-7),--[1]!td(A741-30)))-价差分析!$T$4&gt;0,IF(价差分析!$W$4="日",--[1]!td(A741-1),IF(价差分析!$W$4="周",--[1]!td(A741-7),--[1]!td(A741-30))),""))</f>
        <v/>
      </c>
      <c r="B742" s="1" t="str">
        <f ca="1">IF(A742="","",[1]!s_dq_close($B$1,A742,$M$4))</f>
        <v/>
      </c>
      <c r="C742" s="1" t="str">
        <f ca="1">IF(A742="","",[1]!s_dq_close($C$1,A742,$M$4))</f>
        <v/>
      </c>
      <c r="D742" s="6" t="str">
        <f ca="1">IF($A742="","",[1]!s_dq_close(D$1,$A742,$M$4))</f>
        <v/>
      </c>
      <c r="E742" s="6" t="str">
        <f ca="1">IF($A742="","",[1]!s_dq_close(E$1,$A742,$M$4))</f>
        <v/>
      </c>
      <c r="F742" s="6" t="str">
        <f ca="1">IF($A742="","",[1]!s_dq_close(F$1,$A742,$M$4))</f>
        <v/>
      </c>
      <c r="G742" s="6"/>
      <c r="H742" s="6" t="str">
        <f ca="1">IF($A742="","",[1]!s_dq_close(H$1,$A742,$M$4))</f>
        <v/>
      </c>
      <c r="I742" s="6" t="str">
        <f ca="1">IF($A742="","",[1]!s_dq_close(I$1,$A742,$M$4))</f>
        <v/>
      </c>
      <c r="J742" s="6" t="str">
        <f t="shared" ca="1" si="12"/>
        <v/>
      </c>
    </row>
    <row r="743" spans="1:10">
      <c r="A743" s="2" t="str">
        <f ca="1">IF(A742="","",IF(IF(价差分析!$W$4="日",--[1]!td(A742-1),IF(价差分析!$W$4="周",--[1]!td(A742-7),--[1]!td(A742-30)))-价差分析!$T$4&gt;0,IF(价差分析!$W$4="日",--[1]!td(A742-1),IF(价差分析!$W$4="周",--[1]!td(A742-7),--[1]!td(A742-30))),""))</f>
        <v/>
      </c>
      <c r="B743" s="1" t="str">
        <f ca="1">IF(A743="","",[1]!s_dq_close($B$1,A743,$M$4))</f>
        <v/>
      </c>
      <c r="C743" s="1" t="str">
        <f ca="1">IF(A743="","",[1]!s_dq_close($C$1,A743,$M$4))</f>
        <v/>
      </c>
      <c r="D743" s="6" t="str">
        <f ca="1">IF($A743="","",[1]!s_dq_close(D$1,$A743,$M$4))</f>
        <v/>
      </c>
      <c r="E743" s="6" t="str">
        <f ca="1">IF($A743="","",[1]!s_dq_close(E$1,$A743,$M$4))</f>
        <v/>
      </c>
      <c r="F743" s="6" t="str">
        <f ca="1">IF($A743="","",[1]!s_dq_close(F$1,$A743,$M$4))</f>
        <v/>
      </c>
      <c r="G743" s="6"/>
      <c r="H743" s="6" t="str">
        <f ca="1">IF($A743="","",[1]!s_dq_close(H$1,$A743,$M$4))</f>
        <v/>
      </c>
      <c r="I743" s="6" t="str">
        <f ca="1">IF($A743="","",[1]!s_dq_close(I$1,$A743,$M$4))</f>
        <v/>
      </c>
      <c r="J743" s="6" t="str">
        <f t="shared" ca="1" si="12"/>
        <v/>
      </c>
    </row>
    <row r="744" spans="1:10">
      <c r="A744" s="2" t="str">
        <f ca="1">IF(A743="","",IF(IF(价差分析!$W$4="日",--[1]!td(A743-1),IF(价差分析!$W$4="周",--[1]!td(A743-7),--[1]!td(A743-30)))-价差分析!$T$4&gt;0,IF(价差分析!$W$4="日",--[1]!td(A743-1),IF(价差分析!$W$4="周",--[1]!td(A743-7),--[1]!td(A743-30))),""))</f>
        <v/>
      </c>
      <c r="B744" s="1" t="str">
        <f ca="1">IF(A744="","",[1]!s_dq_close($B$1,A744,$M$4))</f>
        <v/>
      </c>
      <c r="C744" s="1" t="str">
        <f ca="1">IF(A744="","",[1]!s_dq_close($C$1,A744,$M$4))</f>
        <v/>
      </c>
      <c r="D744" s="6" t="str">
        <f ca="1">IF($A744="","",[1]!s_dq_close(D$1,$A744,$M$4))</f>
        <v/>
      </c>
      <c r="E744" s="6" t="str">
        <f ca="1">IF($A744="","",[1]!s_dq_close(E$1,$A744,$M$4))</f>
        <v/>
      </c>
      <c r="F744" s="6" t="str">
        <f ca="1">IF($A744="","",[1]!s_dq_close(F$1,$A744,$M$4))</f>
        <v/>
      </c>
      <c r="G744" s="6"/>
      <c r="H744" s="6" t="str">
        <f ca="1">IF($A744="","",[1]!s_dq_close(H$1,$A744,$M$4))</f>
        <v/>
      </c>
      <c r="I744" s="6" t="str">
        <f ca="1">IF($A744="","",[1]!s_dq_close(I$1,$A744,$M$4))</f>
        <v/>
      </c>
      <c r="J744" s="6" t="str">
        <f t="shared" ca="1" si="12"/>
        <v/>
      </c>
    </row>
    <row r="745" spans="1:10">
      <c r="A745" s="2" t="str">
        <f ca="1">IF(A744="","",IF(IF(价差分析!$W$4="日",--[1]!td(A744-1),IF(价差分析!$W$4="周",--[1]!td(A744-7),--[1]!td(A744-30)))-价差分析!$T$4&gt;0,IF(价差分析!$W$4="日",--[1]!td(A744-1),IF(价差分析!$W$4="周",--[1]!td(A744-7),--[1]!td(A744-30))),""))</f>
        <v/>
      </c>
      <c r="B745" s="1" t="str">
        <f ca="1">IF(A745="","",[1]!s_dq_close($B$1,A745,$M$4))</f>
        <v/>
      </c>
      <c r="C745" s="1" t="str">
        <f ca="1">IF(A745="","",[1]!s_dq_close($C$1,A745,$M$4))</f>
        <v/>
      </c>
      <c r="D745" s="6" t="str">
        <f ca="1">IF($A745="","",[1]!s_dq_close(D$1,$A745,$M$4))</f>
        <v/>
      </c>
      <c r="E745" s="6" t="str">
        <f ca="1">IF($A745="","",[1]!s_dq_close(E$1,$A745,$M$4))</f>
        <v/>
      </c>
      <c r="F745" s="6" t="str">
        <f ca="1">IF($A745="","",[1]!s_dq_close(F$1,$A745,$M$4))</f>
        <v/>
      </c>
      <c r="G745" s="6"/>
      <c r="H745" s="6" t="str">
        <f ca="1">IF($A745="","",[1]!s_dq_close(H$1,$A745,$M$4))</f>
        <v/>
      </c>
      <c r="I745" s="6" t="str">
        <f ca="1">IF($A745="","",[1]!s_dq_close(I$1,$A745,$M$4))</f>
        <v/>
      </c>
      <c r="J745" s="6" t="str">
        <f t="shared" ca="1" si="12"/>
        <v/>
      </c>
    </row>
    <row r="746" spans="1:10">
      <c r="A746" s="2" t="str">
        <f ca="1">IF(A745="","",IF(IF(价差分析!$W$4="日",--[1]!td(A745-1),IF(价差分析!$W$4="周",--[1]!td(A745-7),--[1]!td(A745-30)))-价差分析!$T$4&gt;0,IF(价差分析!$W$4="日",--[1]!td(A745-1),IF(价差分析!$W$4="周",--[1]!td(A745-7),--[1]!td(A745-30))),""))</f>
        <v/>
      </c>
      <c r="B746" s="1" t="str">
        <f ca="1">IF(A746="","",[1]!s_dq_close($B$1,A746,$M$4))</f>
        <v/>
      </c>
      <c r="C746" s="1" t="str">
        <f ca="1">IF(A746="","",[1]!s_dq_close($C$1,A746,$M$4))</f>
        <v/>
      </c>
      <c r="D746" s="6" t="str">
        <f ca="1">IF($A746="","",[1]!s_dq_close(D$1,$A746,$M$4))</f>
        <v/>
      </c>
      <c r="E746" s="6" t="str">
        <f ca="1">IF($A746="","",[1]!s_dq_close(E$1,$A746,$M$4))</f>
        <v/>
      </c>
      <c r="F746" s="6" t="str">
        <f ca="1">IF($A746="","",[1]!s_dq_close(F$1,$A746,$M$4))</f>
        <v/>
      </c>
      <c r="G746" s="6"/>
      <c r="H746" s="6" t="str">
        <f ca="1">IF($A746="","",[1]!s_dq_close(H$1,$A746,$M$4))</f>
        <v/>
      </c>
      <c r="I746" s="6" t="str">
        <f ca="1">IF($A746="","",[1]!s_dq_close(I$1,$A746,$M$4))</f>
        <v/>
      </c>
      <c r="J746" s="6" t="str">
        <f t="shared" ca="1" si="12"/>
        <v/>
      </c>
    </row>
    <row r="747" spans="1:10">
      <c r="A747" s="2" t="str">
        <f ca="1">IF(A746="","",IF(IF(价差分析!$W$4="日",--[1]!td(A746-1),IF(价差分析!$W$4="周",--[1]!td(A746-7),--[1]!td(A746-30)))-价差分析!$T$4&gt;0,IF(价差分析!$W$4="日",--[1]!td(A746-1),IF(价差分析!$W$4="周",--[1]!td(A746-7),--[1]!td(A746-30))),""))</f>
        <v/>
      </c>
      <c r="B747" s="1" t="str">
        <f ca="1">IF(A747="","",[1]!s_dq_close($B$1,A747,$M$4))</f>
        <v/>
      </c>
      <c r="C747" s="1" t="str">
        <f ca="1">IF(A747="","",[1]!s_dq_close($C$1,A747,$M$4))</f>
        <v/>
      </c>
      <c r="D747" s="6" t="str">
        <f ca="1">IF($A747="","",[1]!s_dq_close(D$1,$A747,$M$4))</f>
        <v/>
      </c>
      <c r="E747" s="6" t="str">
        <f ca="1">IF($A747="","",[1]!s_dq_close(E$1,$A747,$M$4))</f>
        <v/>
      </c>
      <c r="F747" s="6" t="str">
        <f ca="1">IF($A747="","",[1]!s_dq_close(F$1,$A747,$M$4))</f>
        <v/>
      </c>
      <c r="G747" s="6"/>
      <c r="H747" s="6" t="str">
        <f ca="1">IF($A747="","",[1]!s_dq_close(H$1,$A747,$M$4))</f>
        <v/>
      </c>
      <c r="I747" s="6" t="str">
        <f ca="1">IF($A747="","",[1]!s_dq_close(I$1,$A747,$M$4))</f>
        <v/>
      </c>
      <c r="J747" s="6" t="str">
        <f t="shared" ca="1" si="12"/>
        <v/>
      </c>
    </row>
    <row r="748" spans="1:10">
      <c r="A748" s="2" t="str">
        <f ca="1">IF(A747="","",IF(IF(价差分析!$W$4="日",--[1]!td(A747-1),IF(价差分析!$W$4="周",--[1]!td(A747-7),--[1]!td(A747-30)))-价差分析!$T$4&gt;0,IF(价差分析!$W$4="日",--[1]!td(A747-1),IF(价差分析!$W$4="周",--[1]!td(A747-7),--[1]!td(A747-30))),""))</f>
        <v/>
      </c>
      <c r="B748" s="1" t="str">
        <f ca="1">IF(A748="","",[1]!s_dq_close($B$1,A748,$M$4))</f>
        <v/>
      </c>
      <c r="C748" s="1" t="str">
        <f ca="1">IF(A748="","",[1]!s_dq_close($C$1,A748,$M$4))</f>
        <v/>
      </c>
      <c r="D748" s="6" t="str">
        <f ca="1">IF($A748="","",[1]!s_dq_close(D$1,$A748,$M$4))</f>
        <v/>
      </c>
      <c r="E748" s="6" t="str">
        <f ca="1">IF($A748="","",[1]!s_dq_close(E$1,$A748,$M$4))</f>
        <v/>
      </c>
      <c r="F748" s="6" t="str">
        <f ca="1">IF($A748="","",[1]!s_dq_close(F$1,$A748,$M$4))</f>
        <v/>
      </c>
      <c r="G748" s="6"/>
      <c r="H748" s="6" t="str">
        <f ca="1">IF($A748="","",[1]!s_dq_close(H$1,$A748,$M$4))</f>
        <v/>
      </c>
      <c r="I748" s="6" t="str">
        <f ca="1">IF($A748="","",[1]!s_dq_close(I$1,$A748,$M$4))</f>
        <v/>
      </c>
      <c r="J748" s="6" t="str">
        <f t="shared" ca="1" si="12"/>
        <v/>
      </c>
    </row>
    <row r="749" spans="1:10">
      <c r="A749" s="2" t="str">
        <f ca="1">IF(A748="","",IF(IF(价差分析!$W$4="日",--[1]!td(A748-1),IF(价差分析!$W$4="周",--[1]!td(A748-7),--[1]!td(A748-30)))-价差分析!$T$4&gt;0,IF(价差分析!$W$4="日",--[1]!td(A748-1),IF(价差分析!$W$4="周",--[1]!td(A748-7),--[1]!td(A748-30))),""))</f>
        <v/>
      </c>
      <c r="B749" s="1" t="str">
        <f ca="1">IF(A749="","",[1]!s_dq_close($B$1,A749,$M$4))</f>
        <v/>
      </c>
      <c r="C749" s="1" t="str">
        <f ca="1">IF(A749="","",[1]!s_dq_close($C$1,A749,$M$4))</f>
        <v/>
      </c>
      <c r="D749" s="6" t="str">
        <f ca="1">IF($A749="","",[1]!s_dq_close(D$1,$A749,$M$4))</f>
        <v/>
      </c>
      <c r="E749" s="6" t="str">
        <f ca="1">IF($A749="","",[1]!s_dq_close(E$1,$A749,$M$4))</f>
        <v/>
      </c>
      <c r="F749" s="6" t="str">
        <f ca="1">IF($A749="","",[1]!s_dq_close(F$1,$A749,$M$4))</f>
        <v/>
      </c>
      <c r="G749" s="6"/>
      <c r="H749" s="6" t="str">
        <f ca="1">IF($A749="","",[1]!s_dq_close(H$1,$A749,$M$4))</f>
        <v/>
      </c>
      <c r="I749" s="6" t="str">
        <f ca="1">IF($A749="","",[1]!s_dq_close(I$1,$A749,$M$4))</f>
        <v/>
      </c>
      <c r="J749" s="6" t="str">
        <f t="shared" ca="1" si="12"/>
        <v/>
      </c>
    </row>
    <row r="750" spans="1:10">
      <c r="A750" s="2" t="str">
        <f ca="1">IF(A749="","",IF(IF(价差分析!$W$4="日",--[1]!td(A749-1),IF(价差分析!$W$4="周",--[1]!td(A749-7),--[1]!td(A749-30)))-价差分析!$T$4&gt;0,IF(价差分析!$W$4="日",--[1]!td(A749-1),IF(价差分析!$W$4="周",--[1]!td(A749-7),--[1]!td(A749-30))),""))</f>
        <v/>
      </c>
      <c r="B750" s="1" t="str">
        <f ca="1">IF(A750="","",[1]!s_dq_close($B$1,A750,$M$4))</f>
        <v/>
      </c>
      <c r="C750" s="1" t="str">
        <f ca="1">IF(A750="","",[1]!s_dq_close($C$1,A750,$M$4))</f>
        <v/>
      </c>
      <c r="D750" s="6" t="str">
        <f ca="1">IF($A750="","",[1]!s_dq_close(D$1,$A750,$M$4))</f>
        <v/>
      </c>
      <c r="E750" s="6" t="str">
        <f ca="1">IF($A750="","",[1]!s_dq_close(E$1,$A750,$M$4))</f>
        <v/>
      </c>
      <c r="F750" s="6" t="str">
        <f ca="1">IF($A750="","",[1]!s_dq_close(F$1,$A750,$M$4))</f>
        <v/>
      </c>
      <c r="G750" s="6"/>
      <c r="H750" s="6" t="str">
        <f ca="1">IF($A750="","",[1]!s_dq_close(H$1,$A750,$M$4))</f>
        <v/>
      </c>
      <c r="I750" s="6" t="str">
        <f ca="1">IF($A750="","",[1]!s_dq_close(I$1,$A750,$M$4))</f>
        <v/>
      </c>
      <c r="J750" s="6" t="str">
        <f t="shared" ca="1" si="12"/>
        <v/>
      </c>
    </row>
    <row r="751" spans="1:10">
      <c r="A751" s="2" t="str">
        <f ca="1">IF(A750="","",IF(IF(价差分析!$W$4="日",--[1]!td(A750-1),IF(价差分析!$W$4="周",--[1]!td(A750-7),--[1]!td(A750-30)))-价差分析!$T$4&gt;0,IF(价差分析!$W$4="日",--[1]!td(A750-1),IF(价差分析!$W$4="周",--[1]!td(A750-7),--[1]!td(A750-30))),""))</f>
        <v/>
      </c>
      <c r="B751" s="1" t="str">
        <f ca="1">IF(A751="","",[1]!s_dq_close($B$1,A751,$M$4))</f>
        <v/>
      </c>
      <c r="C751" s="1" t="str">
        <f ca="1">IF(A751="","",[1]!s_dq_close($C$1,A751,$M$4))</f>
        <v/>
      </c>
      <c r="D751" s="6" t="str">
        <f ca="1">IF($A751="","",[1]!s_dq_close(D$1,$A751,$M$4))</f>
        <v/>
      </c>
      <c r="E751" s="6" t="str">
        <f ca="1">IF($A751="","",[1]!s_dq_close(E$1,$A751,$M$4))</f>
        <v/>
      </c>
      <c r="F751" s="6" t="str">
        <f ca="1">IF($A751="","",[1]!s_dq_close(F$1,$A751,$M$4))</f>
        <v/>
      </c>
      <c r="G751" s="6"/>
      <c r="H751" s="6" t="str">
        <f ca="1">IF($A751="","",[1]!s_dq_close(H$1,$A751,$M$4))</f>
        <v/>
      </c>
      <c r="I751" s="6" t="str">
        <f ca="1">IF($A751="","",[1]!s_dq_close(I$1,$A751,$M$4))</f>
        <v/>
      </c>
      <c r="J751" s="6" t="str">
        <f t="shared" ca="1" si="12"/>
        <v/>
      </c>
    </row>
    <row r="752" spans="1:10">
      <c r="A752" s="2" t="str">
        <f ca="1">IF(A751="","",IF(IF(价差分析!$W$4="日",--[1]!td(A751-1),IF(价差分析!$W$4="周",--[1]!td(A751-7),--[1]!td(A751-30)))-价差分析!$T$4&gt;0,IF(价差分析!$W$4="日",--[1]!td(A751-1),IF(价差分析!$W$4="周",--[1]!td(A751-7),--[1]!td(A751-30))),""))</f>
        <v/>
      </c>
      <c r="B752" s="1" t="str">
        <f ca="1">IF(A752="","",[1]!s_dq_close($B$1,A752,$M$4))</f>
        <v/>
      </c>
      <c r="C752" s="1" t="str">
        <f ca="1">IF(A752="","",[1]!s_dq_close($C$1,A752,$M$4))</f>
        <v/>
      </c>
      <c r="D752" s="6" t="str">
        <f ca="1">IF($A752="","",[1]!s_dq_close(D$1,$A752,$M$4))</f>
        <v/>
      </c>
      <c r="E752" s="6" t="str">
        <f ca="1">IF($A752="","",[1]!s_dq_close(E$1,$A752,$M$4))</f>
        <v/>
      </c>
      <c r="F752" s="6" t="str">
        <f ca="1">IF($A752="","",[1]!s_dq_close(F$1,$A752,$M$4))</f>
        <v/>
      </c>
      <c r="G752" s="6"/>
      <c r="H752" s="6" t="str">
        <f ca="1">IF($A752="","",[1]!s_dq_close(H$1,$A752,$M$4))</f>
        <v/>
      </c>
      <c r="I752" s="6" t="str">
        <f ca="1">IF($A752="","",[1]!s_dq_close(I$1,$A752,$M$4))</f>
        <v/>
      </c>
      <c r="J752" s="6" t="str">
        <f t="shared" ca="1" si="12"/>
        <v/>
      </c>
    </row>
    <row r="753" spans="1:10">
      <c r="A753" s="2" t="str">
        <f ca="1">IF(A752="","",IF(IF(价差分析!$W$4="日",--[1]!td(A752-1),IF(价差分析!$W$4="周",--[1]!td(A752-7),--[1]!td(A752-30)))-价差分析!$T$4&gt;0,IF(价差分析!$W$4="日",--[1]!td(A752-1),IF(价差分析!$W$4="周",--[1]!td(A752-7),--[1]!td(A752-30))),""))</f>
        <v/>
      </c>
      <c r="B753" s="1" t="str">
        <f ca="1">IF(A753="","",[1]!s_dq_close($B$1,A753,$M$4))</f>
        <v/>
      </c>
      <c r="C753" s="1" t="str">
        <f ca="1">IF(A753="","",[1]!s_dq_close($C$1,A753,$M$4))</f>
        <v/>
      </c>
      <c r="D753" s="6" t="str">
        <f ca="1">IF($A753="","",[1]!s_dq_close(D$1,$A753,$M$4))</f>
        <v/>
      </c>
      <c r="E753" s="6" t="str">
        <f ca="1">IF($A753="","",[1]!s_dq_close(E$1,$A753,$M$4))</f>
        <v/>
      </c>
      <c r="F753" s="6" t="str">
        <f ca="1">IF($A753="","",[1]!s_dq_close(F$1,$A753,$M$4))</f>
        <v/>
      </c>
      <c r="G753" s="6"/>
      <c r="H753" s="6" t="str">
        <f ca="1">IF($A753="","",[1]!s_dq_close(H$1,$A753,$M$4))</f>
        <v/>
      </c>
      <c r="I753" s="6" t="str">
        <f ca="1">IF($A753="","",[1]!s_dq_close(I$1,$A753,$M$4))</f>
        <v/>
      </c>
      <c r="J753" s="6" t="str">
        <f t="shared" ca="1" si="12"/>
        <v/>
      </c>
    </row>
    <row r="754" spans="1:10">
      <c r="A754" s="2" t="str">
        <f ca="1">IF(A753="","",IF(IF(价差分析!$W$4="日",--[1]!td(A753-1),IF(价差分析!$W$4="周",--[1]!td(A753-7),--[1]!td(A753-30)))-价差分析!$T$4&gt;0,IF(价差分析!$W$4="日",--[1]!td(A753-1),IF(价差分析!$W$4="周",--[1]!td(A753-7),--[1]!td(A753-30))),""))</f>
        <v/>
      </c>
      <c r="B754" s="1" t="str">
        <f ca="1">IF(A754="","",[1]!s_dq_close($B$1,A754,$M$4))</f>
        <v/>
      </c>
      <c r="C754" s="1" t="str">
        <f ca="1">IF(A754="","",[1]!s_dq_close($C$1,A754,$M$4))</f>
        <v/>
      </c>
      <c r="D754" s="6" t="str">
        <f ca="1">IF($A754="","",[1]!s_dq_close(D$1,$A754,$M$4))</f>
        <v/>
      </c>
      <c r="E754" s="6" t="str">
        <f ca="1">IF($A754="","",[1]!s_dq_close(E$1,$A754,$M$4))</f>
        <v/>
      </c>
      <c r="F754" s="6" t="str">
        <f ca="1">IF($A754="","",[1]!s_dq_close(F$1,$A754,$M$4))</f>
        <v/>
      </c>
      <c r="G754" s="6"/>
      <c r="H754" s="6" t="str">
        <f ca="1">IF($A754="","",[1]!s_dq_close(H$1,$A754,$M$4))</f>
        <v/>
      </c>
      <c r="I754" s="6" t="str">
        <f ca="1">IF($A754="","",[1]!s_dq_close(I$1,$A754,$M$4))</f>
        <v/>
      </c>
      <c r="J754" s="6" t="str">
        <f t="shared" ca="1" si="12"/>
        <v/>
      </c>
    </row>
    <row r="755" spans="1:10">
      <c r="A755" s="2" t="str">
        <f ca="1">IF(A754="","",IF(IF(价差分析!$W$4="日",--[1]!td(A754-1),IF(价差分析!$W$4="周",--[1]!td(A754-7),--[1]!td(A754-30)))-价差分析!$T$4&gt;0,IF(价差分析!$W$4="日",--[1]!td(A754-1),IF(价差分析!$W$4="周",--[1]!td(A754-7),--[1]!td(A754-30))),""))</f>
        <v/>
      </c>
      <c r="B755" s="1" t="str">
        <f ca="1">IF(A755="","",[1]!s_dq_close($B$1,A755,$M$4))</f>
        <v/>
      </c>
      <c r="C755" s="1" t="str">
        <f ca="1">IF(A755="","",[1]!s_dq_close($C$1,A755,$M$4))</f>
        <v/>
      </c>
      <c r="D755" s="6" t="str">
        <f ca="1">IF($A755="","",[1]!s_dq_close(D$1,$A755,$M$4))</f>
        <v/>
      </c>
      <c r="E755" s="6" t="str">
        <f ca="1">IF($A755="","",[1]!s_dq_close(E$1,$A755,$M$4))</f>
        <v/>
      </c>
      <c r="F755" s="6" t="str">
        <f ca="1">IF($A755="","",[1]!s_dq_close(F$1,$A755,$M$4))</f>
        <v/>
      </c>
      <c r="G755" s="6"/>
      <c r="H755" s="6" t="str">
        <f ca="1">IF($A755="","",[1]!s_dq_close(H$1,$A755,$M$4))</f>
        <v/>
      </c>
      <c r="I755" s="6" t="str">
        <f ca="1">IF($A755="","",[1]!s_dq_close(I$1,$A755,$M$4))</f>
        <v/>
      </c>
      <c r="J755" s="6" t="str">
        <f t="shared" ca="1" si="12"/>
        <v/>
      </c>
    </row>
    <row r="756" spans="1:10">
      <c r="A756" s="2" t="str">
        <f ca="1">IF(A755="","",IF(IF(价差分析!$W$4="日",--[1]!td(A755-1),IF(价差分析!$W$4="周",--[1]!td(A755-7),--[1]!td(A755-30)))-价差分析!$T$4&gt;0,IF(价差分析!$W$4="日",--[1]!td(A755-1),IF(价差分析!$W$4="周",--[1]!td(A755-7),--[1]!td(A755-30))),""))</f>
        <v/>
      </c>
      <c r="B756" s="1" t="str">
        <f ca="1">IF(A756="","",[1]!s_dq_close($B$1,A756,$M$4))</f>
        <v/>
      </c>
      <c r="C756" s="1" t="str">
        <f ca="1">IF(A756="","",[1]!s_dq_close($C$1,A756,$M$4))</f>
        <v/>
      </c>
      <c r="D756" s="6" t="str">
        <f ca="1">IF($A756="","",[1]!s_dq_close(D$1,$A756,$M$4))</f>
        <v/>
      </c>
      <c r="E756" s="6" t="str">
        <f ca="1">IF($A756="","",[1]!s_dq_close(E$1,$A756,$M$4))</f>
        <v/>
      </c>
      <c r="F756" s="6" t="str">
        <f ca="1">IF($A756="","",[1]!s_dq_close(F$1,$A756,$M$4))</f>
        <v/>
      </c>
      <c r="G756" s="6"/>
      <c r="H756" s="6" t="str">
        <f ca="1">IF($A756="","",[1]!s_dq_close(H$1,$A756,$M$4))</f>
        <v/>
      </c>
      <c r="I756" s="6" t="str">
        <f ca="1">IF($A756="","",[1]!s_dq_close(I$1,$A756,$M$4))</f>
        <v/>
      </c>
      <c r="J756" s="6" t="str">
        <f t="shared" ca="1" si="12"/>
        <v/>
      </c>
    </row>
    <row r="757" spans="1:10">
      <c r="A757" s="2" t="str">
        <f ca="1">IF(A756="","",IF(IF(价差分析!$W$4="日",--[1]!td(A756-1),IF(价差分析!$W$4="周",--[1]!td(A756-7),--[1]!td(A756-30)))-价差分析!$T$4&gt;0,IF(价差分析!$W$4="日",--[1]!td(A756-1),IF(价差分析!$W$4="周",--[1]!td(A756-7),--[1]!td(A756-30))),""))</f>
        <v/>
      </c>
      <c r="B757" s="1" t="str">
        <f ca="1">IF(A757="","",[1]!s_dq_close($B$1,A757,$M$4))</f>
        <v/>
      </c>
      <c r="C757" s="1" t="str">
        <f ca="1">IF(A757="","",[1]!s_dq_close($C$1,A757,$M$4))</f>
        <v/>
      </c>
      <c r="D757" s="6" t="str">
        <f ca="1">IF($A757="","",[1]!s_dq_close(D$1,$A757,$M$4))</f>
        <v/>
      </c>
      <c r="E757" s="6" t="str">
        <f ca="1">IF($A757="","",[1]!s_dq_close(E$1,$A757,$M$4))</f>
        <v/>
      </c>
      <c r="F757" s="6" t="str">
        <f ca="1">IF($A757="","",[1]!s_dq_close(F$1,$A757,$M$4))</f>
        <v/>
      </c>
      <c r="G757" s="6"/>
      <c r="H757" s="6" t="str">
        <f ca="1">IF($A757="","",[1]!s_dq_close(H$1,$A757,$M$4))</f>
        <v/>
      </c>
      <c r="I757" s="6" t="str">
        <f ca="1">IF($A757="","",[1]!s_dq_close(I$1,$A757,$M$4))</f>
        <v/>
      </c>
      <c r="J757" s="6" t="str">
        <f t="shared" ca="1" si="12"/>
        <v/>
      </c>
    </row>
    <row r="758" spans="1:10">
      <c r="A758" s="2" t="str">
        <f ca="1">IF(A757="","",IF(IF(价差分析!$W$4="日",--[1]!td(A757-1),IF(价差分析!$W$4="周",--[1]!td(A757-7),--[1]!td(A757-30)))-价差分析!$T$4&gt;0,IF(价差分析!$W$4="日",--[1]!td(A757-1),IF(价差分析!$W$4="周",--[1]!td(A757-7),--[1]!td(A757-30))),""))</f>
        <v/>
      </c>
      <c r="B758" s="1" t="str">
        <f ca="1">IF(A758="","",[1]!s_dq_close($B$1,A758,$M$4))</f>
        <v/>
      </c>
      <c r="C758" s="1" t="str">
        <f ca="1">IF(A758="","",[1]!s_dq_close($C$1,A758,$M$4))</f>
        <v/>
      </c>
      <c r="D758" s="6" t="str">
        <f ca="1">IF($A758="","",[1]!s_dq_close(D$1,$A758,$M$4))</f>
        <v/>
      </c>
      <c r="E758" s="6" t="str">
        <f ca="1">IF($A758="","",[1]!s_dq_close(E$1,$A758,$M$4))</f>
        <v/>
      </c>
      <c r="F758" s="6" t="str">
        <f ca="1">IF($A758="","",[1]!s_dq_close(F$1,$A758,$M$4))</f>
        <v/>
      </c>
      <c r="G758" s="6"/>
      <c r="H758" s="6" t="str">
        <f ca="1">IF($A758="","",[1]!s_dq_close(H$1,$A758,$M$4))</f>
        <v/>
      </c>
      <c r="I758" s="6" t="str">
        <f ca="1">IF($A758="","",[1]!s_dq_close(I$1,$A758,$M$4))</f>
        <v/>
      </c>
      <c r="J758" s="6" t="str">
        <f t="shared" ca="1" si="12"/>
        <v/>
      </c>
    </row>
    <row r="759" spans="1:10">
      <c r="A759" s="2" t="str">
        <f ca="1">IF(A758="","",IF(IF(价差分析!$W$4="日",--[1]!td(A758-1),IF(价差分析!$W$4="周",--[1]!td(A758-7),--[1]!td(A758-30)))-价差分析!$T$4&gt;0,IF(价差分析!$W$4="日",--[1]!td(A758-1),IF(价差分析!$W$4="周",--[1]!td(A758-7),--[1]!td(A758-30))),""))</f>
        <v/>
      </c>
      <c r="B759" s="1" t="str">
        <f ca="1">IF(A759="","",[1]!s_dq_close($B$1,A759,$M$4))</f>
        <v/>
      </c>
      <c r="C759" s="1" t="str">
        <f ca="1">IF(A759="","",[1]!s_dq_close($C$1,A759,$M$4))</f>
        <v/>
      </c>
      <c r="D759" s="6" t="str">
        <f ca="1">IF($A759="","",[1]!s_dq_close(D$1,$A759,$M$4))</f>
        <v/>
      </c>
      <c r="E759" s="6" t="str">
        <f ca="1">IF($A759="","",[1]!s_dq_close(E$1,$A759,$M$4))</f>
        <v/>
      </c>
      <c r="F759" s="6" t="str">
        <f ca="1">IF($A759="","",[1]!s_dq_close(F$1,$A759,$M$4))</f>
        <v/>
      </c>
      <c r="G759" s="6"/>
      <c r="H759" s="6" t="str">
        <f ca="1">IF($A759="","",[1]!s_dq_close(H$1,$A759,$M$4))</f>
        <v/>
      </c>
      <c r="I759" s="6" t="str">
        <f ca="1">IF($A759="","",[1]!s_dq_close(I$1,$A759,$M$4))</f>
        <v/>
      </c>
      <c r="J759" s="6" t="str">
        <f t="shared" ca="1" si="12"/>
        <v/>
      </c>
    </row>
    <row r="760" spans="1:10">
      <c r="A760" s="2" t="str">
        <f ca="1">IF(A759="","",IF(IF(价差分析!$W$4="日",--[1]!td(A759-1),IF(价差分析!$W$4="周",--[1]!td(A759-7),--[1]!td(A759-30)))-价差分析!$T$4&gt;0,IF(价差分析!$W$4="日",--[1]!td(A759-1),IF(价差分析!$W$4="周",--[1]!td(A759-7),--[1]!td(A759-30))),""))</f>
        <v/>
      </c>
      <c r="B760" s="1" t="str">
        <f ca="1">IF(A760="","",[1]!s_dq_close($B$1,A760,$M$4))</f>
        <v/>
      </c>
      <c r="C760" s="1" t="str">
        <f ca="1">IF(A760="","",[1]!s_dq_close($C$1,A760,$M$4))</f>
        <v/>
      </c>
      <c r="D760" s="6" t="str">
        <f ca="1">IF($A760="","",[1]!s_dq_close(D$1,$A760,$M$4))</f>
        <v/>
      </c>
      <c r="E760" s="6" t="str">
        <f ca="1">IF($A760="","",[1]!s_dq_close(E$1,$A760,$M$4))</f>
        <v/>
      </c>
      <c r="F760" s="6" t="str">
        <f ca="1">IF($A760="","",[1]!s_dq_close(F$1,$A760,$M$4))</f>
        <v/>
      </c>
      <c r="G760" s="6"/>
      <c r="H760" s="6" t="str">
        <f ca="1">IF($A760="","",[1]!s_dq_close(H$1,$A760,$M$4))</f>
        <v/>
      </c>
      <c r="I760" s="6" t="str">
        <f ca="1">IF($A760="","",[1]!s_dq_close(I$1,$A760,$M$4))</f>
        <v/>
      </c>
      <c r="J760" s="6" t="str">
        <f t="shared" ca="1" si="12"/>
        <v/>
      </c>
    </row>
    <row r="761" spans="1:10">
      <c r="A761" s="2" t="str">
        <f ca="1">IF(A760="","",IF(IF(价差分析!$W$4="日",--[1]!td(A760-1),IF(价差分析!$W$4="周",--[1]!td(A760-7),--[1]!td(A760-30)))-价差分析!$T$4&gt;0,IF(价差分析!$W$4="日",--[1]!td(A760-1),IF(价差分析!$W$4="周",--[1]!td(A760-7),--[1]!td(A760-30))),""))</f>
        <v/>
      </c>
      <c r="B761" s="1" t="str">
        <f ca="1">IF(A761="","",[1]!s_dq_close($B$1,A761,$M$4))</f>
        <v/>
      </c>
      <c r="C761" s="1" t="str">
        <f ca="1">IF(A761="","",[1]!s_dq_close($C$1,A761,$M$4))</f>
        <v/>
      </c>
      <c r="D761" s="6" t="str">
        <f ca="1">IF($A761="","",[1]!s_dq_close(D$1,$A761,$M$4))</f>
        <v/>
      </c>
      <c r="E761" s="6" t="str">
        <f ca="1">IF($A761="","",[1]!s_dq_close(E$1,$A761,$M$4))</f>
        <v/>
      </c>
      <c r="F761" s="6" t="str">
        <f ca="1">IF($A761="","",[1]!s_dq_close(F$1,$A761,$M$4))</f>
        <v/>
      </c>
      <c r="G761" s="6"/>
      <c r="H761" s="6" t="str">
        <f ca="1">IF($A761="","",[1]!s_dq_close(H$1,$A761,$M$4))</f>
        <v/>
      </c>
      <c r="I761" s="6" t="str">
        <f ca="1">IF($A761="","",[1]!s_dq_close(I$1,$A761,$M$4))</f>
        <v/>
      </c>
      <c r="J761" s="6" t="str">
        <f t="shared" ca="1" si="12"/>
        <v/>
      </c>
    </row>
    <row r="762" spans="1:10">
      <c r="A762" s="2" t="str">
        <f ca="1">IF(A761="","",IF(IF(价差分析!$W$4="日",--[1]!td(A761-1),IF(价差分析!$W$4="周",--[1]!td(A761-7),--[1]!td(A761-30)))-价差分析!$T$4&gt;0,IF(价差分析!$W$4="日",--[1]!td(A761-1),IF(价差分析!$W$4="周",--[1]!td(A761-7),--[1]!td(A761-30))),""))</f>
        <v/>
      </c>
      <c r="B762" s="1" t="str">
        <f ca="1">IF(A762="","",[1]!s_dq_close($B$1,A762,$M$4))</f>
        <v/>
      </c>
      <c r="C762" s="1" t="str">
        <f ca="1">IF(A762="","",[1]!s_dq_close($C$1,A762,$M$4))</f>
        <v/>
      </c>
      <c r="D762" s="6" t="str">
        <f ca="1">IF($A762="","",[1]!s_dq_close(D$1,$A762,$M$4))</f>
        <v/>
      </c>
      <c r="E762" s="6" t="str">
        <f ca="1">IF($A762="","",[1]!s_dq_close(E$1,$A762,$M$4))</f>
        <v/>
      </c>
      <c r="F762" s="6" t="str">
        <f ca="1">IF($A762="","",[1]!s_dq_close(F$1,$A762,$M$4))</f>
        <v/>
      </c>
      <c r="G762" s="6"/>
      <c r="H762" s="6" t="str">
        <f ca="1">IF($A762="","",[1]!s_dq_close(H$1,$A762,$M$4))</f>
        <v/>
      </c>
      <c r="I762" s="6" t="str">
        <f ca="1">IF($A762="","",[1]!s_dq_close(I$1,$A762,$M$4))</f>
        <v/>
      </c>
      <c r="J762" s="6" t="str">
        <f t="shared" ca="1" si="12"/>
        <v/>
      </c>
    </row>
    <row r="763" spans="1:10">
      <c r="A763" s="2" t="str">
        <f ca="1">IF(A762="","",IF(IF(价差分析!$W$4="日",--[1]!td(A762-1),IF(价差分析!$W$4="周",--[1]!td(A762-7),--[1]!td(A762-30)))-价差分析!$T$4&gt;0,IF(价差分析!$W$4="日",--[1]!td(A762-1),IF(价差分析!$W$4="周",--[1]!td(A762-7),--[1]!td(A762-30))),""))</f>
        <v/>
      </c>
      <c r="B763" s="1" t="str">
        <f ca="1">IF(A763="","",[1]!s_dq_close($B$1,A763,$M$4))</f>
        <v/>
      </c>
      <c r="C763" s="1" t="str">
        <f ca="1">IF(A763="","",[1]!s_dq_close($C$1,A763,$M$4))</f>
        <v/>
      </c>
      <c r="D763" s="6" t="str">
        <f ca="1">IF($A763="","",[1]!s_dq_close(D$1,$A763,$M$4))</f>
        <v/>
      </c>
      <c r="E763" s="6" t="str">
        <f ca="1">IF($A763="","",[1]!s_dq_close(E$1,$A763,$M$4))</f>
        <v/>
      </c>
      <c r="F763" s="6" t="str">
        <f ca="1">IF($A763="","",[1]!s_dq_close(F$1,$A763,$M$4))</f>
        <v/>
      </c>
      <c r="G763" s="6"/>
      <c r="H763" s="6" t="str">
        <f ca="1">IF($A763="","",[1]!s_dq_close(H$1,$A763,$M$4))</f>
        <v/>
      </c>
      <c r="I763" s="6" t="str">
        <f ca="1">IF($A763="","",[1]!s_dq_close(I$1,$A763,$M$4))</f>
        <v/>
      </c>
      <c r="J763" s="6" t="str">
        <f t="shared" ca="1" si="12"/>
        <v/>
      </c>
    </row>
    <row r="764" spans="1:10">
      <c r="A764" s="2" t="str">
        <f ca="1">IF(A763="","",IF(IF(价差分析!$W$4="日",--[1]!td(A763-1),IF(价差分析!$W$4="周",--[1]!td(A763-7),--[1]!td(A763-30)))-价差分析!$T$4&gt;0,IF(价差分析!$W$4="日",--[1]!td(A763-1),IF(价差分析!$W$4="周",--[1]!td(A763-7),--[1]!td(A763-30))),""))</f>
        <v/>
      </c>
      <c r="B764" s="1" t="str">
        <f ca="1">IF(A764="","",[1]!s_dq_close($B$1,A764,$M$4))</f>
        <v/>
      </c>
      <c r="C764" s="1" t="str">
        <f ca="1">IF(A764="","",[1]!s_dq_close($C$1,A764,$M$4))</f>
        <v/>
      </c>
      <c r="D764" s="6" t="str">
        <f ca="1">IF($A764="","",[1]!s_dq_close(D$1,$A764,$M$4))</f>
        <v/>
      </c>
      <c r="E764" s="6" t="str">
        <f ca="1">IF($A764="","",[1]!s_dq_close(E$1,$A764,$M$4))</f>
        <v/>
      </c>
      <c r="F764" s="6" t="str">
        <f ca="1">IF($A764="","",[1]!s_dq_close(F$1,$A764,$M$4))</f>
        <v/>
      </c>
      <c r="G764" s="6"/>
      <c r="H764" s="6" t="str">
        <f ca="1">IF($A764="","",[1]!s_dq_close(H$1,$A764,$M$4))</f>
        <v/>
      </c>
      <c r="I764" s="6" t="str">
        <f ca="1">IF($A764="","",[1]!s_dq_close(I$1,$A764,$M$4))</f>
        <v/>
      </c>
      <c r="J764" s="6" t="str">
        <f t="shared" ca="1" si="12"/>
        <v/>
      </c>
    </row>
    <row r="765" spans="1:10">
      <c r="A765" s="2" t="str">
        <f ca="1">IF(A764="","",IF(IF(价差分析!$W$4="日",--[1]!td(A764-1),IF(价差分析!$W$4="周",--[1]!td(A764-7),--[1]!td(A764-30)))-价差分析!$T$4&gt;0,IF(价差分析!$W$4="日",--[1]!td(A764-1),IF(价差分析!$W$4="周",--[1]!td(A764-7),--[1]!td(A764-30))),""))</f>
        <v/>
      </c>
      <c r="B765" s="1" t="str">
        <f ca="1">IF(A765="","",[1]!s_dq_close($B$1,A765,$M$4))</f>
        <v/>
      </c>
      <c r="C765" s="1" t="str">
        <f ca="1">IF(A765="","",[1]!s_dq_close($C$1,A765,$M$4))</f>
        <v/>
      </c>
      <c r="D765" s="6" t="str">
        <f ca="1">IF($A765="","",[1]!s_dq_close(D$1,$A765,$M$4))</f>
        <v/>
      </c>
      <c r="E765" s="6" t="str">
        <f ca="1">IF($A765="","",[1]!s_dq_close(E$1,$A765,$M$4))</f>
        <v/>
      </c>
      <c r="F765" s="6" t="str">
        <f ca="1">IF($A765="","",[1]!s_dq_close(F$1,$A765,$M$4))</f>
        <v/>
      </c>
      <c r="G765" s="6"/>
      <c r="H765" s="6" t="str">
        <f ca="1">IF($A765="","",[1]!s_dq_close(H$1,$A765,$M$4))</f>
        <v/>
      </c>
      <c r="I765" s="6" t="str">
        <f ca="1">IF($A765="","",[1]!s_dq_close(I$1,$A765,$M$4))</f>
        <v/>
      </c>
      <c r="J765" s="6" t="str">
        <f t="shared" ca="1" si="12"/>
        <v/>
      </c>
    </row>
    <row r="766" spans="1:10">
      <c r="A766" s="2" t="str">
        <f ca="1">IF(A765="","",IF(IF(价差分析!$W$4="日",--[1]!td(A765-1),IF(价差分析!$W$4="周",--[1]!td(A765-7),--[1]!td(A765-30)))-价差分析!$T$4&gt;0,IF(价差分析!$W$4="日",--[1]!td(A765-1),IF(价差分析!$W$4="周",--[1]!td(A765-7),--[1]!td(A765-30))),""))</f>
        <v/>
      </c>
      <c r="B766" s="1" t="str">
        <f ca="1">IF(A766="","",[1]!s_dq_close($B$1,A766,$M$4))</f>
        <v/>
      </c>
      <c r="C766" s="1" t="str">
        <f ca="1">IF(A766="","",[1]!s_dq_close($C$1,A766,$M$4))</f>
        <v/>
      </c>
      <c r="D766" s="6" t="str">
        <f ca="1">IF($A766="","",[1]!s_dq_close(D$1,$A766,$M$4))</f>
        <v/>
      </c>
      <c r="E766" s="6" t="str">
        <f ca="1">IF($A766="","",[1]!s_dq_close(E$1,$A766,$M$4))</f>
        <v/>
      </c>
      <c r="F766" s="6" t="str">
        <f ca="1">IF($A766="","",[1]!s_dq_close(F$1,$A766,$M$4))</f>
        <v/>
      </c>
      <c r="G766" s="6"/>
      <c r="H766" s="6" t="str">
        <f ca="1">IF($A766="","",[1]!s_dq_close(H$1,$A766,$M$4))</f>
        <v/>
      </c>
      <c r="I766" s="6" t="str">
        <f ca="1">IF($A766="","",[1]!s_dq_close(I$1,$A766,$M$4))</f>
        <v/>
      </c>
      <c r="J766" s="6" t="str">
        <f t="shared" ca="1" si="12"/>
        <v/>
      </c>
    </row>
    <row r="767" spans="1:10">
      <c r="A767" s="2" t="str">
        <f ca="1">IF(A766="","",IF(IF(价差分析!$W$4="日",--[1]!td(A766-1),IF(价差分析!$W$4="周",--[1]!td(A766-7),--[1]!td(A766-30)))-价差分析!$T$4&gt;0,IF(价差分析!$W$4="日",--[1]!td(A766-1),IF(价差分析!$W$4="周",--[1]!td(A766-7),--[1]!td(A766-30))),""))</f>
        <v/>
      </c>
      <c r="B767" s="1" t="str">
        <f ca="1">IF(A767="","",[1]!s_dq_close($B$1,A767,$M$4))</f>
        <v/>
      </c>
      <c r="C767" s="1" t="str">
        <f ca="1">IF(A767="","",[1]!s_dq_close($C$1,A767,$M$4))</f>
        <v/>
      </c>
      <c r="D767" s="6" t="str">
        <f ca="1">IF($A767="","",[1]!s_dq_close(D$1,$A767,$M$4))</f>
        <v/>
      </c>
      <c r="E767" s="6" t="str">
        <f ca="1">IF($A767="","",[1]!s_dq_close(E$1,$A767,$M$4))</f>
        <v/>
      </c>
      <c r="F767" s="6" t="str">
        <f ca="1">IF($A767="","",[1]!s_dq_close(F$1,$A767,$M$4))</f>
        <v/>
      </c>
      <c r="G767" s="6"/>
      <c r="H767" s="6" t="str">
        <f ca="1">IF($A767="","",[1]!s_dq_close(H$1,$A767,$M$4))</f>
        <v/>
      </c>
      <c r="I767" s="6" t="str">
        <f ca="1">IF($A767="","",[1]!s_dq_close(I$1,$A767,$M$4))</f>
        <v/>
      </c>
      <c r="J767" s="6" t="str">
        <f t="shared" ca="1" si="12"/>
        <v/>
      </c>
    </row>
    <row r="768" spans="1:10">
      <c r="A768" s="2" t="str">
        <f ca="1">IF(A767="","",IF(IF(价差分析!$W$4="日",--[1]!td(A767-1),IF(价差分析!$W$4="周",--[1]!td(A767-7),--[1]!td(A767-30)))-价差分析!$T$4&gt;0,IF(价差分析!$W$4="日",--[1]!td(A767-1),IF(价差分析!$W$4="周",--[1]!td(A767-7),--[1]!td(A767-30))),""))</f>
        <v/>
      </c>
      <c r="B768" s="1" t="str">
        <f ca="1">IF(A768="","",[1]!s_dq_close($B$1,A768,$M$4))</f>
        <v/>
      </c>
      <c r="C768" s="1" t="str">
        <f ca="1">IF(A768="","",[1]!s_dq_close($C$1,A768,$M$4))</f>
        <v/>
      </c>
      <c r="D768" s="6" t="str">
        <f ca="1">IF($A768="","",[1]!s_dq_close(D$1,$A768,$M$4))</f>
        <v/>
      </c>
      <c r="E768" s="6" t="str">
        <f ca="1">IF($A768="","",[1]!s_dq_close(E$1,$A768,$M$4))</f>
        <v/>
      </c>
      <c r="F768" s="6" t="str">
        <f ca="1">IF($A768="","",[1]!s_dq_close(F$1,$A768,$M$4))</f>
        <v/>
      </c>
      <c r="G768" s="6"/>
      <c r="H768" s="6" t="str">
        <f ca="1">IF($A768="","",[1]!s_dq_close(H$1,$A768,$M$4))</f>
        <v/>
      </c>
      <c r="I768" s="6" t="str">
        <f ca="1">IF($A768="","",[1]!s_dq_close(I$1,$A768,$M$4))</f>
        <v/>
      </c>
      <c r="J768" s="6" t="str">
        <f t="shared" ca="1" si="12"/>
        <v/>
      </c>
    </row>
    <row r="769" spans="1:10">
      <c r="A769" s="2" t="str">
        <f ca="1">IF(A768="","",IF(IF(价差分析!$W$4="日",--[1]!td(A768-1),IF(价差分析!$W$4="周",--[1]!td(A768-7),--[1]!td(A768-30)))-价差分析!$T$4&gt;0,IF(价差分析!$W$4="日",--[1]!td(A768-1),IF(价差分析!$W$4="周",--[1]!td(A768-7),--[1]!td(A768-30))),""))</f>
        <v/>
      </c>
      <c r="B769" s="1" t="str">
        <f ca="1">IF(A769="","",[1]!s_dq_close($B$1,A769,$M$4))</f>
        <v/>
      </c>
      <c r="C769" s="1" t="str">
        <f ca="1">IF(A769="","",[1]!s_dq_close($C$1,A769,$M$4))</f>
        <v/>
      </c>
      <c r="D769" s="6" t="str">
        <f ca="1">IF($A769="","",[1]!s_dq_close(D$1,$A769,$M$4))</f>
        <v/>
      </c>
      <c r="E769" s="6" t="str">
        <f ca="1">IF($A769="","",[1]!s_dq_close(E$1,$A769,$M$4))</f>
        <v/>
      </c>
      <c r="F769" s="6" t="str">
        <f ca="1">IF($A769="","",[1]!s_dq_close(F$1,$A769,$M$4))</f>
        <v/>
      </c>
      <c r="G769" s="6"/>
      <c r="H769" s="6" t="str">
        <f ca="1">IF($A769="","",[1]!s_dq_close(H$1,$A769,$M$4))</f>
        <v/>
      </c>
      <c r="I769" s="6" t="str">
        <f ca="1">IF($A769="","",[1]!s_dq_close(I$1,$A769,$M$4))</f>
        <v/>
      </c>
      <c r="J769" s="6" t="str">
        <f t="shared" ca="1" si="12"/>
        <v/>
      </c>
    </row>
    <row r="770" spans="1:10">
      <c r="A770" s="2" t="str">
        <f ca="1">IF(A769="","",IF(IF(价差分析!$W$4="日",--[1]!td(A769-1),IF(价差分析!$W$4="周",--[1]!td(A769-7),--[1]!td(A769-30)))-价差分析!$T$4&gt;0,IF(价差分析!$W$4="日",--[1]!td(A769-1),IF(价差分析!$W$4="周",--[1]!td(A769-7),--[1]!td(A769-30))),""))</f>
        <v/>
      </c>
      <c r="B770" s="1" t="str">
        <f ca="1">IF(A770="","",[1]!s_dq_close($B$1,A770,$M$4))</f>
        <v/>
      </c>
      <c r="C770" s="1" t="str">
        <f ca="1">IF(A770="","",[1]!s_dq_close($C$1,A770,$M$4))</f>
        <v/>
      </c>
      <c r="D770" s="6" t="str">
        <f ca="1">IF($A770="","",[1]!s_dq_close(D$1,$A770,$M$4))</f>
        <v/>
      </c>
      <c r="E770" s="6" t="str">
        <f ca="1">IF($A770="","",[1]!s_dq_close(E$1,$A770,$M$4))</f>
        <v/>
      </c>
      <c r="F770" s="6" t="str">
        <f ca="1">IF($A770="","",[1]!s_dq_close(F$1,$A770,$M$4))</f>
        <v/>
      </c>
      <c r="G770" s="6"/>
      <c r="H770" s="6" t="str">
        <f ca="1">IF($A770="","",[1]!s_dq_close(H$1,$A770,$M$4))</f>
        <v/>
      </c>
      <c r="I770" s="6" t="str">
        <f ca="1">IF($A770="","",[1]!s_dq_close(I$1,$A770,$M$4))</f>
        <v/>
      </c>
      <c r="J770" s="6" t="str">
        <f t="shared" ca="1" si="12"/>
        <v/>
      </c>
    </row>
    <row r="771" spans="1:10">
      <c r="A771" s="2" t="str">
        <f ca="1">IF(A770="","",IF(IF(价差分析!$W$4="日",--[1]!td(A770-1),IF(价差分析!$W$4="周",--[1]!td(A770-7),--[1]!td(A770-30)))-价差分析!$T$4&gt;0,IF(价差分析!$W$4="日",--[1]!td(A770-1),IF(价差分析!$W$4="周",--[1]!td(A770-7),--[1]!td(A770-30))),""))</f>
        <v/>
      </c>
      <c r="B771" s="1" t="str">
        <f ca="1">IF(A771="","",[1]!s_dq_close($B$1,A771,$M$4))</f>
        <v/>
      </c>
      <c r="C771" s="1" t="str">
        <f ca="1">IF(A771="","",[1]!s_dq_close($C$1,A771,$M$4))</f>
        <v/>
      </c>
      <c r="D771" s="6" t="str">
        <f ca="1">IF($A771="","",[1]!s_dq_close(D$1,$A771,$M$4))</f>
        <v/>
      </c>
      <c r="E771" s="6" t="str">
        <f ca="1">IF($A771="","",[1]!s_dq_close(E$1,$A771,$M$4))</f>
        <v/>
      </c>
      <c r="F771" s="6" t="str">
        <f ca="1">IF($A771="","",[1]!s_dq_close(F$1,$A771,$M$4))</f>
        <v/>
      </c>
      <c r="G771" s="6"/>
      <c r="H771" s="6" t="str">
        <f ca="1">IF($A771="","",[1]!s_dq_close(H$1,$A771,$M$4))</f>
        <v/>
      </c>
      <c r="I771" s="6" t="str">
        <f ca="1">IF($A771="","",[1]!s_dq_close(I$1,$A771,$M$4))</f>
        <v/>
      </c>
      <c r="J771" s="6" t="str">
        <f t="shared" ca="1" si="12"/>
        <v/>
      </c>
    </row>
    <row r="772" spans="1:10">
      <c r="A772" s="2" t="str">
        <f ca="1">IF(A771="","",IF(IF(价差分析!$W$4="日",--[1]!td(A771-1),IF(价差分析!$W$4="周",--[1]!td(A771-7),--[1]!td(A771-30)))-价差分析!$T$4&gt;0,IF(价差分析!$W$4="日",--[1]!td(A771-1),IF(价差分析!$W$4="周",--[1]!td(A771-7),--[1]!td(A771-30))),""))</f>
        <v/>
      </c>
      <c r="B772" s="1" t="str">
        <f ca="1">IF(A772="","",[1]!s_dq_close($B$1,A772,$M$4))</f>
        <v/>
      </c>
      <c r="C772" s="1" t="str">
        <f ca="1">IF(A772="","",[1]!s_dq_close($C$1,A772,$M$4))</f>
        <v/>
      </c>
      <c r="D772" s="6" t="str">
        <f ca="1">IF($A772="","",[1]!s_dq_close(D$1,$A772,$M$4))</f>
        <v/>
      </c>
      <c r="E772" s="6" t="str">
        <f ca="1">IF($A772="","",[1]!s_dq_close(E$1,$A772,$M$4))</f>
        <v/>
      </c>
      <c r="F772" s="6" t="str">
        <f ca="1">IF($A772="","",[1]!s_dq_close(F$1,$A772,$M$4))</f>
        <v/>
      </c>
      <c r="G772" s="6"/>
      <c r="H772" s="6" t="str">
        <f ca="1">IF($A772="","",[1]!s_dq_close(H$1,$A772,$M$4))</f>
        <v/>
      </c>
      <c r="I772" s="6" t="str">
        <f ca="1">IF($A772="","",[1]!s_dq_close(I$1,$A772,$M$4))</f>
        <v/>
      </c>
      <c r="J772" s="6" t="str">
        <f t="shared" ca="1" si="12"/>
        <v/>
      </c>
    </row>
    <row r="773" spans="1:10">
      <c r="A773" s="2" t="str">
        <f ca="1">IF(A772="","",IF(IF(价差分析!$W$4="日",--[1]!td(A772-1),IF(价差分析!$W$4="周",--[1]!td(A772-7),--[1]!td(A772-30)))-价差分析!$T$4&gt;0,IF(价差分析!$W$4="日",--[1]!td(A772-1),IF(价差分析!$W$4="周",--[1]!td(A772-7),--[1]!td(A772-30))),""))</f>
        <v/>
      </c>
      <c r="B773" s="1" t="str">
        <f ca="1">IF(A773="","",[1]!s_dq_close($B$1,A773,$M$4))</f>
        <v/>
      </c>
      <c r="C773" s="1" t="str">
        <f ca="1">IF(A773="","",[1]!s_dq_close($C$1,A773,$M$4))</f>
        <v/>
      </c>
      <c r="D773" s="6" t="str">
        <f ca="1">IF($A773="","",[1]!s_dq_close(D$1,$A773,$M$4))</f>
        <v/>
      </c>
      <c r="E773" s="6" t="str">
        <f ca="1">IF($A773="","",[1]!s_dq_close(E$1,$A773,$M$4))</f>
        <v/>
      </c>
      <c r="F773" s="6" t="str">
        <f ca="1">IF($A773="","",[1]!s_dq_close(F$1,$A773,$M$4))</f>
        <v/>
      </c>
      <c r="G773" s="6"/>
      <c r="H773" s="6" t="str">
        <f ca="1">IF($A773="","",[1]!s_dq_close(H$1,$A773,$M$4))</f>
        <v/>
      </c>
      <c r="I773" s="6" t="str">
        <f ca="1">IF($A773="","",[1]!s_dq_close(I$1,$A773,$M$4))</f>
        <v/>
      </c>
      <c r="J773" s="6" t="str">
        <f t="shared" ref="J773:J836" ca="1" si="13">IF(H773="","",H773-I773)</f>
        <v/>
      </c>
    </row>
    <row r="774" spans="1:10">
      <c r="A774" s="2" t="str">
        <f ca="1">IF(A773="","",IF(IF(价差分析!$W$4="日",--[1]!td(A773-1),IF(价差分析!$W$4="周",--[1]!td(A773-7),--[1]!td(A773-30)))-价差分析!$T$4&gt;0,IF(价差分析!$W$4="日",--[1]!td(A773-1),IF(价差分析!$W$4="周",--[1]!td(A773-7),--[1]!td(A773-30))),""))</f>
        <v/>
      </c>
      <c r="B774" s="1" t="str">
        <f ca="1">IF(A774="","",[1]!s_dq_close($B$1,A774,$M$4))</f>
        <v/>
      </c>
      <c r="C774" s="1" t="str">
        <f ca="1">IF(A774="","",[1]!s_dq_close($C$1,A774,$M$4))</f>
        <v/>
      </c>
      <c r="D774" s="6" t="str">
        <f ca="1">IF($A774="","",[1]!s_dq_close(D$1,$A774,$M$4))</f>
        <v/>
      </c>
      <c r="E774" s="6" t="str">
        <f ca="1">IF($A774="","",[1]!s_dq_close(E$1,$A774,$M$4))</f>
        <v/>
      </c>
      <c r="F774" s="6" t="str">
        <f ca="1">IF($A774="","",[1]!s_dq_close(F$1,$A774,$M$4))</f>
        <v/>
      </c>
      <c r="G774" s="6"/>
      <c r="H774" s="6" t="str">
        <f ca="1">IF($A774="","",[1]!s_dq_close(H$1,$A774,$M$4))</f>
        <v/>
      </c>
      <c r="I774" s="6" t="str">
        <f ca="1">IF($A774="","",[1]!s_dq_close(I$1,$A774,$M$4))</f>
        <v/>
      </c>
      <c r="J774" s="6" t="str">
        <f t="shared" ca="1" si="13"/>
        <v/>
      </c>
    </row>
    <row r="775" spans="1:10">
      <c r="A775" s="2" t="str">
        <f ca="1">IF(A774="","",IF(IF(价差分析!$W$4="日",--[1]!td(A774-1),IF(价差分析!$W$4="周",--[1]!td(A774-7),--[1]!td(A774-30)))-价差分析!$T$4&gt;0,IF(价差分析!$W$4="日",--[1]!td(A774-1),IF(价差分析!$W$4="周",--[1]!td(A774-7),--[1]!td(A774-30))),""))</f>
        <v/>
      </c>
      <c r="B775" s="1" t="str">
        <f ca="1">IF(A775="","",[1]!s_dq_close($B$1,A775,$M$4))</f>
        <v/>
      </c>
      <c r="C775" s="1" t="str">
        <f ca="1">IF(A775="","",[1]!s_dq_close($C$1,A775,$M$4))</f>
        <v/>
      </c>
      <c r="D775" s="6" t="str">
        <f ca="1">IF($A775="","",[1]!s_dq_close(D$1,$A775,$M$4))</f>
        <v/>
      </c>
      <c r="E775" s="6" t="str">
        <f ca="1">IF($A775="","",[1]!s_dq_close(E$1,$A775,$M$4))</f>
        <v/>
      </c>
      <c r="F775" s="6" t="str">
        <f ca="1">IF($A775="","",[1]!s_dq_close(F$1,$A775,$M$4))</f>
        <v/>
      </c>
      <c r="G775" s="6"/>
      <c r="H775" s="6" t="str">
        <f ca="1">IF($A775="","",[1]!s_dq_close(H$1,$A775,$M$4))</f>
        <v/>
      </c>
      <c r="I775" s="6" t="str">
        <f ca="1">IF($A775="","",[1]!s_dq_close(I$1,$A775,$M$4))</f>
        <v/>
      </c>
      <c r="J775" s="6" t="str">
        <f t="shared" ca="1" si="13"/>
        <v/>
      </c>
    </row>
    <row r="776" spans="1:10">
      <c r="A776" s="2" t="str">
        <f ca="1">IF(A775="","",IF(IF(价差分析!$W$4="日",--[1]!td(A775-1),IF(价差分析!$W$4="周",--[1]!td(A775-7),--[1]!td(A775-30)))-价差分析!$T$4&gt;0,IF(价差分析!$W$4="日",--[1]!td(A775-1),IF(价差分析!$W$4="周",--[1]!td(A775-7),--[1]!td(A775-30))),""))</f>
        <v/>
      </c>
      <c r="B776" s="1" t="str">
        <f ca="1">IF(A776="","",[1]!s_dq_close($B$1,A776,$M$4))</f>
        <v/>
      </c>
      <c r="C776" s="1" t="str">
        <f ca="1">IF(A776="","",[1]!s_dq_close($C$1,A776,$M$4))</f>
        <v/>
      </c>
      <c r="D776" s="6" t="str">
        <f ca="1">IF($A776="","",[1]!s_dq_close(D$1,$A776,$M$4))</f>
        <v/>
      </c>
      <c r="E776" s="6" t="str">
        <f ca="1">IF($A776="","",[1]!s_dq_close(E$1,$A776,$M$4))</f>
        <v/>
      </c>
      <c r="F776" s="6" t="str">
        <f ca="1">IF($A776="","",[1]!s_dq_close(F$1,$A776,$M$4))</f>
        <v/>
      </c>
      <c r="G776" s="6"/>
      <c r="H776" s="6" t="str">
        <f ca="1">IF($A776="","",[1]!s_dq_close(H$1,$A776,$M$4))</f>
        <v/>
      </c>
      <c r="I776" s="6" t="str">
        <f ca="1">IF($A776="","",[1]!s_dq_close(I$1,$A776,$M$4))</f>
        <v/>
      </c>
      <c r="J776" s="6" t="str">
        <f t="shared" ca="1" si="13"/>
        <v/>
      </c>
    </row>
    <row r="777" spans="1:10">
      <c r="A777" s="2" t="str">
        <f ca="1">IF(A776="","",IF(IF(价差分析!$W$4="日",--[1]!td(A776-1),IF(价差分析!$W$4="周",--[1]!td(A776-7),--[1]!td(A776-30)))-价差分析!$T$4&gt;0,IF(价差分析!$W$4="日",--[1]!td(A776-1),IF(价差分析!$W$4="周",--[1]!td(A776-7),--[1]!td(A776-30))),""))</f>
        <v/>
      </c>
      <c r="B777" s="1" t="str">
        <f ca="1">IF(A777="","",[1]!s_dq_close($B$1,A777,$M$4))</f>
        <v/>
      </c>
      <c r="C777" s="1" t="str">
        <f ca="1">IF(A777="","",[1]!s_dq_close($C$1,A777,$M$4))</f>
        <v/>
      </c>
      <c r="D777" s="6" t="str">
        <f ca="1">IF($A777="","",[1]!s_dq_close(D$1,$A777,$M$4))</f>
        <v/>
      </c>
      <c r="E777" s="6" t="str">
        <f ca="1">IF($A777="","",[1]!s_dq_close(E$1,$A777,$M$4))</f>
        <v/>
      </c>
      <c r="F777" s="6" t="str">
        <f ca="1">IF($A777="","",[1]!s_dq_close(F$1,$A777,$M$4))</f>
        <v/>
      </c>
      <c r="G777" s="6"/>
      <c r="H777" s="6" t="str">
        <f ca="1">IF($A777="","",[1]!s_dq_close(H$1,$A777,$M$4))</f>
        <v/>
      </c>
      <c r="I777" s="6" t="str">
        <f ca="1">IF($A777="","",[1]!s_dq_close(I$1,$A777,$M$4))</f>
        <v/>
      </c>
      <c r="J777" s="6" t="str">
        <f t="shared" ca="1" si="13"/>
        <v/>
      </c>
    </row>
    <row r="778" spans="1:10">
      <c r="A778" s="2" t="str">
        <f ca="1">IF(A777="","",IF(IF(价差分析!$W$4="日",--[1]!td(A777-1),IF(价差分析!$W$4="周",--[1]!td(A777-7),--[1]!td(A777-30)))-价差分析!$T$4&gt;0,IF(价差分析!$W$4="日",--[1]!td(A777-1),IF(价差分析!$W$4="周",--[1]!td(A777-7),--[1]!td(A777-30))),""))</f>
        <v/>
      </c>
      <c r="B778" s="1" t="str">
        <f ca="1">IF(A778="","",[1]!s_dq_close($B$1,A778,$M$4))</f>
        <v/>
      </c>
      <c r="C778" s="1" t="str">
        <f ca="1">IF(A778="","",[1]!s_dq_close($C$1,A778,$M$4))</f>
        <v/>
      </c>
      <c r="D778" s="6" t="str">
        <f ca="1">IF($A778="","",[1]!s_dq_close(D$1,$A778,$M$4))</f>
        <v/>
      </c>
      <c r="E778" s="6" t="str">
        <f ca="1">IF($A778="","",[1]!s_dq_close(E$1,$A778,$M$4))</f>
        <v/>
      </c>
      <c r="F778" s="6" t="str">
        <f ca="1">IF($A778="","",[1]!s_dq_close(F$1,$A778,$M$4))</f>
        <v/>
      </c>
      <c r="G778" s="6"/>
      <c r="H778" s="6" t="str">
        <f ca="1">IF($A778="","",[1]!s_dq_close(H$1,$A778,$M$4))</f>
        <v/>
      </c>
      <c r="I778" s="6" t="str">
        <f ca="1">IF($A778="","",[1]!s_dq_close(I$1,$A778,$M$4))</f>
        <v/>
      </c>
      <c r="J778" s="6" t="str">
        <f t="shared" ca="1" si="13"/>
        <v/>
      </c>
    </row>
    <row r="779" spans="1:10">
      <c r="A779" s="2" t="str">
        <f ca="1">IF(A778="","",IF(IF(价差分析!$W$4="日",--[1]!td(A778-1),IF(价差分析!$W$4="周",--[1]!td(A778-7),--[1]!td(A778-30)))-价差分析!$T$4&gt;0,IF(价差分析!$W$4="日",--[1]!td(A778-1),IF(价差分析!$W$4="周",--[1]!td(A778-7),--[1]!td(A778-30))),""))</f>
        <v/>
      </c>
      <c r="B779" s="1" t="str">
        <f ca="1">IF(A779="","",[1]!s_dq_close($B$1,A779,$M$4))</f>
        <v/>
      </c>
      <c r="C779" s="1" t="str">
        <f ca="1">IF(A779="","",[1]!s_dq_close($C$1,A779,$M$4))</f>
        <v/>
      </c>
      <c r="D779" s="6" t="str">
        <f ca="1">IF($A779="","",[1]!s_dq_close(D$1,$A779,$M$4))</f>
        <v/>
      </c>
      <c r="E779" s="6" t="str">
        <f ca="1">IF($A779="","",[1]!s_dq_close(E$1,$A779,$M$4))</f>
        <v/>
      </c>
      <c r="F779" s="6" t="str">
        <f ca="1">IF($A779="","",[1]!s_dq_close(F$1,$A779,$M$4))</f>
        <v/>
      </c>
      <c r="G779" s="6"/>
      <c r="H779" s="6" t="str">
        <f ca="1">IF($A779="","",[1]!s_dq_close(H$1,$A779,$M$4))</f>
        <v/>
      </c>
      <c r="I779" s="6" t="str">
        <f ca="1">IF($A779="","",[1]!s_dq_close(I$1,$A779,$M$4))</f>
        <v/>
      </c>
      <c r="J779" s="6" t="str">
        <f t="shared" ca="1" si="13"/>
        <v/>
      </c>
    </row>
    <row r="780" spans="1:10">
      <c r="A780" s="2" t="str">
        <f ca="1">IF(A779="","",IF(IF(价差分析!$W$4="日",--[1]!td(A779-1),IF(价差分析!$W$4="周",--[1]!td(A779-7),--[1]!td(A779-30)))-价差分析!$T$4&gt;0,IF(价差分析!$W$4="日",--[1]!td(A779-1),IF(价差分析!$W$4="周",--[1]!td(A779-7),--[1]!td(A779-30))),""))</f>
        <v/>
      </c>
      <c r="B780" s="1" t="str">
        <f ca="1">IF(A780="","",[1]!s_dq_close($B$1,A780,$M$4))</f>
        <v/>
      </c>
      <c r="C780" s="1" t="str">
        <f ca="1">IF(A780="","",[1]!s_dq_close($C$1,A780,$M$4))</f>
        <v/>
      </c>
      <c r="D780" s="6" t="str">
        <f ca="1">IF($A780="","",[1]!s_dq_close(D$1,$A780,$M$4))</f>
        <v/>
      </c>
      <c r="E780" s="6" t="str">
        <f ca="1">IF($A780="","",[1]!s_dq_close(E$1,$A780,$M$4))</f>
        <v/>
      </c>
      <c r="F780" s="6" t="str">
        <f ca="1">IF($A780="","",[1]!s_dq_close(F$1,$A780,$M$4))</f>
        <v/>
      </c>
      <c r="G780" s="6"/>
      <c r="H780" s="6" t="str">
        <f ca="1">IF($A780="","",[1]!s_dq_close(H$1,$A780,$M$4))</f>
        <v/>
      </c>
      <c r="I780" s="6" t="str">
        <f ca="1">IF($A780="","",[1]!s_dq_close(I$1,$A780,$M$4))</f>
        <v/>
      </c>
      <c r="J780" s="6" t="str">
        <f t="shared" ca="1" si="13"/>
        <v/>
      </c>
    </row>
    <row r="781" spans="1:10">
      <c r="A781" s="2" t="str">
        <f ca="1">IF(A780="","",IF(IF(价差分析!$W$4="日",--[1]!td(A780-1),IF(价差分析!$W$4="周",--[1]!td(A780-7),--[1]!td(A780-30)))-价差分析!$T$4&gt;0,IF(价差分析!$W$4="日",--[1]!td(A780-1),IF(价差分析!$W$4="周",--[1]!td(A780-7),--[1]!td(A780-30))),""))</f>
        <v/>
      </c>
      <c r="B781" s="1" t="str">
        <f ca="1">IF(A781="","",[1]!s_dq_close($B$1,A781,$M$4))</f>
        <v/>
      </c>
      <c r="C781" s="1" t="str">
        <f ca="1">IF(A781="","",[1]!s_dq_close($C$1,A781,$M$4))</f>
        <v/>
      </c>
      <c r="D781" s="6" t="str">
        <f ca="1">IF($A781="","",[1]!s_dq_close(D$1,$A781,$M$4))</f>
        <v/>
      </c>
      <c r="E781" s="6" t="str">
        <f ca="1">IF($A781="","",[1]!s_dq_close(E$1,$A781,$M$4))</f>
        <v/>
      </c>
      <c r="F781" s="6" t="str">
        <f ca="1">IF($A781="","",[1]!s_dq_close(F$1,$A781,$M$4))</f>
        <v/>
      </c>
      <c r="G781" s="6"/>
      <c r="H781" s="6" t="str">
        <f ca="1">IF($A781="","",[1]!s_dq_close(H$1,$A781,$M$4))</f>
        <v/>
      </c>
      <c r="I781" s="6" t="str">
        <f ca="1">IF($A781="","",[1]!s_dq_close(I$1,$A781,$M$4))</f>
        <v/>
      </c>
      <c r="J781" s="6" t="str">
        <f t="shared" ca="1" si="13"/>
        <v/>
      </c>
    </row>
    <row r="782" spans="1:10">
      <c r="A782" s="2" t="str">
        <f ca="1">IF(A781="","",IF(IF(价差分析!$W$4="日",--[1]!td(A781-1),IF(价差分析!$W$4="周",--[1]!td(A781-7),--[1]!td(A781-30)))-价差分析!$T$4&gt;0,IF(价差分析!$W$4="日",--[1]!td(A781-1),IF(价差分析!$W$4="周",--[1]!td(A781-7),--[1]!td(A781-30))),""))</f>
        <v/>
      </c>
      <c r="B782" s="1" t="str">
        <f ca="1">IF(A782="","",[1]!s_dq_close($B$1,A782,$M$4))</f>
        <v/>
      </c>
      <c r="C782" s="1" t="str">
        <f ca="1">IF(A782="","",[1]!s_dq_close($C$1,A782,$M$4))</f>
        <v/>
      </c>
      <c r="D782" s="6" t="str">
        <f ca="1">IF($A782="","",[1]!s_dq_close(D$1,$A782,$M$4))</f>
        <v/>
      </c>
      <c r="E782" s="6" t="str">
        <f ca="1">IF($A782="","",[1]!s_dq_close(E$1,$A782,$M$4))</f>
        <v/>
      </c>
      <c r="F782" s="6" t="str">
        <f ca="1">IF($A782="","",[1]!s_dq_close(F$1,$A782,$M$4))</f>
        <v/>
      </c>
      <c r="G782" s="6"/>
      <c r="H782" s="6" t="str">
        <f ca="1">IF($A782="","",[1]!s_dq_close(H$1,$A782,$M$4))</f>
        <v/>
      </c>
      <c r="I782" s="6" t="str">
        <f ca="1">IF($A782="","",[1]!s_dq_close(I$1,$A782,$M$4))</f>
        <v/>
      </c>
      <c r="J782" s="6" t="str">
        <f t="shared" ca="1" si="13"/>
        <v/>
      </c>
    </row>
    <row r="783" spans="1:10">
      <c r="A783" s="2" t="str">
        <f ca="1">IF(A782="","",IF(IF(价差分析!$W$4="日",--[1]!td(A782-1),IF(价差分析!$W$4="周",--[1]!td(A782-7),--[1]!td(A782-30)))-价差分析!$T$4&gt;0,IF(价差分析!$W$4="日",--[1]!td(A782-1),IF(价差分析!$W$4="周",--[1]!td(A782-7),--[1]!td(A782-30))),""))</f>
        <v/>
      </c>
      <c r="B783" s="1" t="str">
        <f ca="1">IF(A783="","",[1]!s_dq_close($B$1,A783,$M$4))</f>
        <v/>
      </c>
      <c r="C783" s="1" t="str">
        <f ca="1">IF(A783="","",[1]!s_dq_close($C$1,A783,$M$4))</f>
        <v/>
      </c>
      <c r="D783" s="6" t="str">
        <f ca="1">IF($A783="","",[1]!s_dq_close(D$1,$A783,$M$4))</f>
        <v/>
      </c>
      <c r="E783" s="6" t="str">
        <f ca="1">IF($A783="","",[1]!s_dq_close(E$1,$A783,$M$4))</f>
        <v/>
      </c>
      <c r="F783" s="6" t="str">
        <f ca="1">IF($A783="","",[1]!s_dq_close(F$1,$A783,$M$4))</f>
        <v/>
      </c>
      <c r="G783" s="6"/>
      <c r="H783" s="6" t="str">
        <f ca="1">IF($A783="","",[1]!s_dq_close(H$1,$A783,$M$4))</f>
        <v/>
      </c>
      <c r="I783" s="6" t="str">
        <f ca="1">IF($A783="","",[1]!s_dq_close(I$1,$A783,$M$4))</f>
        <v/>
      </c>
      <c r="J783" s="6" t="str">
        <f t="shared" ca="1" si="13"/>
        <v/>
      </c>
    </row>
    <row r="784" spans="1:10">
      <c r="A784" s="2" t="str">
        <f ca="1">IF(A783="","",IF(IF(价差分析!$W$4="日",--[1]!td(A783-1),IF(价差分析!$W$4="周",--[1]!td(A783-7),--[1]!td(A783-30)))-价差分析!$T$4&gt;0,IF(价差分析!$W$4="日",--[1]!td(A783-1),IF(价差分析!$W$4="周",--[1]!td(A783-7),--[1]!td(A783-30))),""))</f>
        <v/>
      </c>
      <c r="B784" s="1" t="str">
        <f ca="1">IF(A784="","",[1]!s_dq_close($B$1,A784,$M$4))</f>
        <v/>
      </c>
      <c r="C784" s="1" t="str">
        <f ca="1">IF(A784="","",[1]!s_dq_close($C$1,A784,$M$4))</f>
        <v/>
      </c>
      <c r="D784" s="6" t="str">
        <f ca="1">IF($A784="","",[1]!s_dq_close(D$1,$A784,$M$4))</f>
        <v/>
      </c>
      <c r="E784" s="6" t="str">
        <f ca="1">IF($A784="","",[1]!s_dq_close(E$1,$A784,$M$4))</f>
        <v/>
      </c>
      <c r="F784" s="6" t="str">
        <f ca="1">IF($A784="","",[1]!s_dq_close(F$1,$A784,$M$4))</f>
        <v/>
      </c>
      <c r="G784" s="6"/>
      <c r="H784" s="6" t="str">
        <f ca="1">IF($A784="","",[1]!s_dq_close(H$1,$A784,$M$4))</f>
        <v/>
      </c>
      <c r="I784" s="6" t="str">
        <f ca="1">IF($A784="","",[1]!s_dq_close(I$1,$A784,$M$4))</f>
        <v/>
      </c>
      <c r="J784" s="6" t="str">
        <f t="shared" ca="1" si="13"/>
        <v/>
      </c>
    </row>
    <row r="785" spans="1:10">
      <c r="A785" s="2" t="str">
        <f ca="1">IF(A784="","",IF(IF(价差分析!$W$4="日",--[1]!td(A784-1),IF(价差分析!$W$4="周",--[1]!td(A784-7),--[1]!td(A784-30)))-价差分析!$T$4&gt;0,IF(价差分析!$W$4="日",--[1]!td(A784-1),IF(价差分析!$W$4="周",--[1]!td(A784-7),--[1]!td(A784-30))),""))</f>
        <v/>
      </c>
      <c r="B785" s="1" t="str">
        <f ca="1">IF(A785="","",[1]!s_dq_close($B$1,A785,$M$4))</f>
        <v/>
      </c>
      <c r="C785" s="1" t="str">
        <f ca="1">IF(A785="","",[1]!s_dq_close($C$1,A785,$M$4))</f>
        <v/>
      </c>
      <c r="D785" s="6" t="str">
        <f ca="1">IF($A785="","",[1]!s_dq_close(D$1,$A785,$M$4))</f>
        <v/>
      </c>
      <c r="E785" s="6" t="str">
        <f ca="1">IF($A785="","",[1]!s_dq_close(E$1,$A785,$M$4))</f>
        <v/>
      </c>
      <c r="F785" s="6" t="str">
        <f ca="1">IF($A785="","",[1]!s_dq_close(F$1,$A785,$M$4))</f>
        <v/>
      </c>
      <c r="G785" s="6"/>
      <c r="H785" s="6" t="str">
        <f ca="1">IF($A785="","",[1]!s_dq_close(H$1,$A785,$M$4))</f>
        <v/>
      </c>
      <c r="I785" s="6" t="str">
        <f ca="1">IF($A785="","",[1]!s_dq_close(I$1,$A785,$M$4))</f>
        <v/>
      </c>
      <c r="J785" s="6" t="str">
        <f t="shared" ca="1" si="13"/>
        <v/>
      </c>
    </row>
    <row r="786" spans="1:10">
      <c r="A786" s="2" t="str">
        <f ca="1">IF(A785="","",IF(IF(价差分析!$W$4="日",--[1]!td(A785-1),IF(价差分析!$W$4="周",--[1]!td(A785-7),--[1]!td(A785-30)))-价差分析!$T$4&gt;0,IF(价差分析!$W$4="日",--[1]!td(A785-1),IF(价差分析!$W$4="周",--[1]!td(A785-7),--[1]!td(A785-30))),""))</f>
        <v/>
      </c>
      <c r="B786" s="1" t="str">
        <f ca="1">IF(A786="","",[1]!s_dq_close($B$1,A786,$M$4))</f>
        <v/>
      </c>
      <c r="C786" s="1" t="str">
        <f ca="1">IF(A786="","",[1]!s_dq_close($C$1,A786,$M$4))</f>
        <v/>
      </c>
      <c r="D786" s="6" t="str">
        <f ca="1">IF($A786="","",[1]!s_dq_close(D$1,$A786,$M$4))</f>
        <v/>
      </c>
      <c r="E786" s="6" t="str">
        <f ca="1">IF($A786="","",[1]!s_dq_close(E$1,$A786,$M$4))</f>
        <v/>
      </c>
      <c r="F786" s="6" t="str">
        <f ca="1">IF($A786="","",[1]!s_dq_close(F$1,$A786,$M$4))</f>
        <v/>
      </c>
      <c r="G786" s="6"/>
      <c r="H786" s="6" t="str">
        <f ca="1">IF($A786="","",[1]!s_dq_close(H$1,$A786,$M$4))</f>
        <v/>
      </c>
      <c r="I786" s="6" t="str">
        <f ca="1">IF($A786="","",[1]!s_dq_close(I$1,$A786,$M$4))</f>
        <v/>
      </c>
      <c r="J786" s="6" t="str">
        <f t="shared" ca="1" si="13"/>
        <v/>
      </c>
    </row>
    <row r="787" spans="1:10">
      <c r="A787" s="2" t="str">
        <f ca="1">IF(A786="","",IF(IF(价差分析!$W$4="日",--[1]!td(A786-1),IF(价差分析!$W$4="周",--[1]!td(A786-7),--[1]!td(A786-30)))-价差分析!$T$4&gt;0,IF(价差分析!$W$4="日",--[1]!td(A786-1),IF(价差分析!$W$4="周",--[1]!td(A786-7),--[1]!td(A786-30))),""))</f>
        <v/>
      </c>
      <c r="B787" s="1" t="str">
        <f ca="1">IF(A787="","",[1]!s_dq_close($B$1,A787,$M$4))</f>
        <v/>
      </c>
      <c r="C787" s="1" t="str">
        <f ca="1">IF(A787="","",[1]!s_dq_close($C$1,A787,$M$4))</f>
        <v/>
      </c>
      <c r="D787" s="6" t="str">
        <f ca="1">IF($A787="","",[1]!s_dq_close(D$1,$A787,$M$4))</f>
        <v/>
      </c>
      <c r="E787" s="6" t="str">
        <f ca="1">IF($A787="","",[1]!s_dq_close(E$1,$A787,$M$4))</f>
        <v/>
      </c>
      <c r="F787" s="6" t="str">
        <f ca="1">IF($A787="","",[1]!s_dq_close(F$1,$A787,$M$4))</f>
        <v/>
      </c>
      <c r="G787" s="6"/>
      <c r="H787" s="6" t="str">
        <f ca="1">IF($A787="","",[1]!s_dq_close(H$1,$A787,$M$4))</f>
        <v/>
      </c>
      <c r="I787" s="6" t="str">
        <f ca="1">IF($A787="","",[1]!s_dq_close(I$1,$A787,$M$4))</f>
        <v/>
      </c>
      <c r="J787" s="6" t="str">
        <f t="shared" ca="1" si="13"/>
        <v/>
      </c>
    </row>
    <row r="788" spans="1:10">
      <c r="A788" s="2" t="str">
        <f ca="1">IF(A787="","",IF(IF(价差分析!$W$4="日",--[1]!td(A787-1),IF(价差分析!$W$4="周",--[1]!td(A787-7),--[1]!td(A787-30)))-价差分析!$T$4&gt;0,IF(价差分析!$W$4="日",--[1]!td(A787-1),IF(价差分析!$W$4="周",--[1]!td(A787-7),--[1]!td(A787-30))),""))</f>
        <v/>
      </c>
      <c r="B788" s="1" t="str">
        <f ca="1">IF(A788="","",[1]!s_dq_close($B$1,A788,$M$4))</f>
        <v/>
      </c>
      <c r="C788" s="1" t="str">
        <f ca="1">IF(A788="","",[1]!s_dq_close($C$1,A788,$M$4))</f>
        <v/>
      </c>
      <c r="D788" s="6" t="str">
        <f ca="1">IF($A788="","",[1]!s_dq_close(D$1,$A788,$M$4))</f>
        <v/>
      </c>
      <c r="E788" s="6" t="str">
        <f ca="1">IF($A788="","",[1]!s_dq_close(E$1,$A788,$M$4))</f>
        <v/>
      </c>
      <c r="F788" s="6" t="str">
        <f ca="1">IF($A788="","",[1]!s_dq_close(F$1,$A788,$M$4))</f>
        <v/>
      </c>
      <c r="G788" s="6"/>
      <c r="H788" s="6" t="str">
        <f ca="1">IF($A788="","",[1]!s_dq_close(H$1,$A788,$M$4))</f>
        <v/>
      </c>
      <c r="I788" s="6" t="str">
        <f ca="1">IF($A788="","",[1]!s_dq_close(I$1,$A788,$M$4))</f>
        <v/>
      </c>
      <c r="J788" s="6" t="str">
        <f t="shared" ca="1" si="13"/>
        <v/>
      </c>
    </row>
    <row r="789" spans="1:10">
      <c r="A789" s="2" t="str">
        <f ca="1">IF(A788="","",IF(IF(价差分析!$W$4="日",--[1]!td(A788-1),IF(价差分析!$W$4="周",--[1]!td(A788-7),--[1]!td(A788-30)))-价差分析!$T$4&gt;0,IF(价差分析!$W$4="日",--[1]!td(A788-1),IF(价差分析!$W$4="周",--[1]!td(A788-7),--[1]!td(A788-30))),""))</f>
        <v/>
      </c>
      <c r="B789" s="1" t="str">
        <f ca="1">IF(A789="","",[1]!s_dq_close($B$1,A789,$M$4))</f>
        <v/>
      </c>
      <c r="C789" s="1" t="str">
        <f ca="1">IF(A789="","",[1]!s_dq_close($C$1,A789,$M$4))</f>
        <v/>
      </c>
      <c r="D789" s="6" t="str">
        <f ca="1">IF($A789="","",[1]!s_dq_close(D$1,$A789,$M$4))</f>
        <v/>
      </c>
      <c r="E789" s="6" t="str">
        <f ca="1">IF($A789="","",[1]!s_dq_close(E$1,$A789,$M$4))</f>
        <v/>
      </c>
      <c r="F789" s="6" t="str">
        <f ca="1">IF($A789="","",[1]!s_dq_close(F$1,$A789,$M$4))</f>
        <v/>
      </c>
      <c r="G789" s="6"/>
      <c r="H789" s="6" t="str">
        <f ca="1">IF($A789="","",[1]!s_dq_close(H$1,$A789,$M$4))</f>
        <v/>
      </c>
      <c r="I789" s="6" t="str">
        <f ca="1">IF($A789="","",[1]!s_dq_close(I$1,$A789,$M$4))</f>
        <v/>
      </c>
      <c r="J789" s="6" t="str">
        <f t="shared" ca="1" si="13"/>
        <v/>
      </c>
    </row>
    <row r="790" spans="1:10">
      <c r="A790" s="2" t="str">
        <f ca="1">IF(A789="","",IF(IF(价差分析!$W$4="日",--[1]!td(A789-1),IF(价差分析!$W$4="周",--[1]!td(A789-7),--[1]!td(A789-30)))-价差分析!$T$4&gt;0,IF(价差分析!$W$4="日",--[1]!td(A789-1),IF(价差分析!$W$4="周",--[1]!td(A789-7),--[1]!td(A789-30))),""))</f>
        <v/>
      </c>
      <c r="B790" s="1" t="str">
        <f ca="1">IF(A790="","",[1]!s_dq_close($B$1,A790,$M$4))</f>
        <v/>
      </c>
      <c r="C790" s="1" t="str">
        <f ca="1">IF(A790="","",[1]!s_dq_close($C$1,A790,$M$4))</f>
        <v/>
      </c>
      <c r="D790" s="6" t="str">
        <f ca="1">IF($A790="","",[1]!s_dq_close(D$1,$A790,$M$4))</f>
        <v/>
      </c>
      <c r="E790" s="6" t="str">
        <f ca="1">IF($A790="","",[1]!s_dq_close(E$1,$A790,$M$4))</f>
        <v/>
      </c>
      <c r="F790" s="6" t="str">
        <f ca="1">IF($A790="","",[1]!s_dq_close(F$1,$A790,$M$4))</f>
        <v/>
      </c>
      <c r="G790" s="6"/>
      <c r="H790" s="6" t="str">
        <f ca="1">IF($A790="","",[1]!s_dq_close(H$1,$A790,$M$4))</f>
        <v/>
      </c>
      <c r="I790" s="6" t="str">
        <f ca="1">IF($A790="","",[1]!s_dq_close(I$1,$A790,$M$4))</f>
        <v/>
      </c>
      <c r="J790" s="6" t="str">
        <f t="shared" ca="1" si="13"/>
        <v/>
      </c>
    </row>
    <row r="791" spans="1:10">
      <c r="A791" s="2" t="str">
        <f ca="1">IF(A790="","",IF(IF(价差分析!$W$4="日",--[1]!td(A790-1),IF(价差分析!$W$4="周",--[1]!td(A790-7),--[1]!td(A790-30)))-价差分析!$T$4&gt;0,IF(价差分析!$W$4="日",--[1]!td(A790-1),IF(价差分析!$W$4="周",--[1]!td(A790-7),--[1]!td(A790-30))),""))</f>
        <v/>
      </c>
      <c r="B791" s="1" t="str">
        <f ca="1">IF(A791="","",[1]!s_dq_close($B$1,A791,$M$4))</f>
        <v/>
      </c>
      <c r="C791" s="1" t="str">
        <f ca="1">IF(A791="","",[1]!s_dq_close($C$1,A791,$M$4))</f>
        <v/>
      </c>
      <c r="D791" s="6" t="str">
        <f ca="1">IF($A791="","",[1]!s_dq_close(D$1,$A791,$M$4))</f>
        <v/>
      </c>
      <c r="E791" s="6" t="str">
        <f ca="1">IF($A791="","",[1]!s_dq_close(E$1,$A791,$M$4))</f>
        <v/>
      </c>
      <c r="F791" s="6" t="str">
        <f ca="1">IF($A791="","",[1]!s_dq_close(F$1,$A791,$M$4))</f>
        <v/>
      </c>
      <c r="G791" s="6"/>
      <c r="H791" s="6" t="str">
        <f ca="1">IF($A791="","",[1]!s_dq_close(H$1,$A791,$M$4))</f>
        <v/>
      </c>
      <c r="I791" s="6" t="str">
        <f ca="1">IF($A791="","",[1]!s_dq_close(I$1,$A791,$M$4))</f>
        <v/>
      </c>
      <c r="J791" s="6" t="str">
        <f t="shared" ca="1" si="13"/>
        <v/>
      </c>
    </row>
    <row r="792" spans="1:10">
      <c r="A792" s="2" t="str">
        <f ca="1">IF(A791="","",IF(IF(价差分析!$W$4="日",--[1]!td(A791-1),IF(价差分析!$W$4="周",--[1]!td(A791-7),--[1]!td(A791-30)))-价差分析!$T$4&gt;0,IF(价差分析!$W$4="日",--[1]!td(A791-1),IF(价差分析!$W$4="周",--[1]!td(A791-7),--[1]!td(A791-30))),""))</f>
        <v/>
      </c>
      <c r="B792" s="1" t="str">
        <f ca="1">IF(A792="","",[1]!s_dq_close($B$1,A792,$M$4))</f>
        <v/>
      </c>
      <c r="C792" s="1" t="str">
        <f ca="1">IF(A792="","",[1]!s_dq_close($C$1,A792,$M$4))</f>
        <v/>
      </c>
      <c r="D792" s="6" t="str">
        <f ca="1">IF($A792="","",[1]!s_dq_close(D$1,$A792,$M$4))</f>
        <v/>
      </c>
      <c r="E792" s="6" t="str">
        <f ca="1">IF($A792="","",[1]!s_dq_close(E$1,$A792,$M$4))</f>
        <v/>
      </c>
      <c r="F792" s="6" t="str">
        <f ca="1">IF($A792="","",[1]!s_dq_close(F$1,$A792,$M$4))</f>
        <v/>
      </c>
      <c r="G792" s="6"/>
      <c r="H792" s="6" t="str">
        <f ca="1">IF($A792="","",[1]!s_dq_close(H$1,$A792,$M$4))</f>
        <v/>
      </c>
      <c r="I792" s="6" t="str">
        <f ca="1">IF($A792="","",[1]!s_dq_close(I$1,$A792,$M$4))</f>
        <v/>
      </c>
      <c r="J792" s="6" t="str">
        <f t="shared" ca="1" si="13"/>
        <v/>
      </c>
    </row>
    <row r="793" spans="1:10">
      <c r="A793" s="2" t="str">
        <f ca="1">IF(A792="","",IF(IF(价差分析!$W$4="日",--[1]!td(A792-1),IF(价差分析!$W$4="周",--[1]!td(A792-7),--[1]!td(A792-30)))-价差分析!$T$4&gt;0,IF(价差分析!$W$4="日",--[1]!td(A792-1),IF(价差分析!$W$4="周",--[1]!td(A792-7),--[1]!td(A792-30))),""))</f>
        <v/>
      </c>
      <c r="B793" s="1" t="str">
        <f ca="1">IF(A793="","",[1]!s_dq_close($B$1,A793,$M$4))</f>
        <v/>
      </c>
      <c r="C793" s="1" t="str">
        <f ca="1">IF(A793="","",[1]!s_dq_close($C$1,A793,$M$4))</f>
        <v/>
      </c>
      <c r="D793" s="6" t="str">
        <f ca="1">IF($A793="","",[1]!s_dq_close(D$1,$A793,$M$4))</f>
        <v/>
      </c>
      <c r="E793" s="6" t="str">
        <f ca="1">IF($A793="","",[1]!s_dq_close(E$1,$A793,$M$4))</f>
        <v/>
      </c>
      <c r="F793" s="6" t="str">
        <f ca="1">IF($A793="","",[1]!s_dq_close(F$1,$A793,$M$4))</f>
        <v/>
      </c>
      <c r="G793" s="6"/>
      <c r="H793" s="6" t="str">
        <f ca="1">IF($A793="","",[1]!s_dq_close(H$1,$A793,$M$4))</f>
        <v/>
      </c>
      <c r="I793" s="6" t="str">
        <f ca="1">IF($A793="","",[1]!s_dq_close(I$1,$A793,$M$4))</f>
        <v/>
      </c>
      <c r="J793" s="6" t="str">
        <f t="shared" ca="1" si="13"/>
        <v/>
      </c>
    </row>
    <row r="794" spans="1:10">
      <c r="A794" s="2" t="str">
        <f ca="1">IF(A793="","",IF(IF(价差分析!$W$4="日",--[1]!td(A793-1),IF(价差分析!$W$4="周",--[1]!td(A793-7),--[1]!td(A793-30)))-价差分析!$T$4&gt;0,IF(价差分析!$W$4="日",--[1]!td(A793-1),IF(价差分析!$W$4="周",--[1]!td(A793-7),--[1]!td(A793-30))),""))</f>
        <v/>
      </c>
      <c r="B794" s="1" t="str">
        <f ca="1">IF(A794="","",[1]!s_dq_close($B$1,A794,$M$4))</f>
        <v/>
      </c>
      <c r="C794" s="1" t="str">
        <f ca="1">IF(A794="","",[1]!s_dq_close($C$1,A794,$M$4))</f>
        <v/>
      </c>
      <c r="D794" s="6" t="str">
        <f ca="1">IF($A794="","",[1]!s_dq_close(D$1,$A794,$M$4))</f>
        <v/>
      </c>
      <c r="E794" s="6" t="str">
        <f ca="1">IF($A794="","",[1]!s_dq_close(E$1,$A794,$M$4))</f>
        <v/>
      </c>
      <c r="F794" s="6" t="str">
        <f ca="1">IF($A794="","",[1]!s_dq_close(F$1,$A794,$M$4))</f>
        <v/>
      </c>
      <c r="G794" s="6"/>
      <c r="H794" s="6" t="str">
        <f ca="1">IF($A794="","",[1]!s_dq_close(H$1,$A794,$M$4))</f>
        <v/>
      </c>
      <c r="I794" s="6" t="str">
        <f ca="1">IF($A794="","",[1]!s_dq_close(I$1,$A794,$M$4))</f>
        <v/>
      </c>
      <c r="J794" s="6" t="str">
        <f t="shared" ca="1" si="13"/>
        <v/>
      </c>
    </row>
    <row r="795" spans="1:10">
      <c r="A795" s="2" t="str">
        <f ca="1">IF(A794="","",IF(IF(价差分析!$W$4="日",--[1]!td(A794-1),IF(价差分析!$W$4="周",--[1]!td(A794-7),--[1]!td(A794-30)))-价差分析!$T$4&gt;0,IF(价差分析!$W$4="日",--[1]!td(A794-1),IF(价差分析!$W$4="周",--[1]!td(A794-7),--[1]!td(A794-30))),""))</f>
        <v/>
      </c>
      <c r="B795" s="1" t="str">
        <f ca="1">IF(A795="","",[1]!s_dq_close($B$1,A795,$M$4))</f>
        <v/>
      </c>
      <c r="C795" s="1" t="str">
        <f ca="1">IF(A795="","",[1]!s_dq_close($C$1,A795,$M$4))</f>
        <v/>
      </c>
      <c r="D795" s="6" t="str">
        <f ca="1">IF($A795="","",[1]!s_dq_close(D$1,$A795,$M$4))</f>
        <v/>
      </c>
      <c r="E795" s="6" t="str">
        <f ca="1">IF($A795="","",[1]!s_dq_close(E$1,$A795,$M$4))</f>
        <v/>
      </c>
      <c r="F795" s="6" t="str">
        <f ca="1">IF($A795="","",[1]!s_dq_close(F$1,$A795,$M$4))</f>
        <v/>
      </c>
      <c r="G795" s="6"/>
      <c r="H795" s="6" t="str">
        <f ca="1">IF($A795="","",[1]!s_dq_close(H$1,$A795,$M$4))</f>
        <v/>
      </c>
      <c r="I795" s="6" t="str">
        <f ca="1">IF($A795="","",[1]!s_dq_close(I$1,$A795,$M$4))</f>
        <v/>
      </c>
      <c r="J795" s="6" t="str">
        <f t="shared" ca="1" si="13"/>
        <v/>
      </c>
    </row>
    <row r="796" spans="1:10">
      <c r="A796" s="2" t="str">
        <f ca="1">IF(A795="","",IF(IF(价差分析!$W$4="日",--[1]!td(A795-1),IF(价差分析!$W$4="周",--[1]!td(A795-7),--[1]!td(A795-30)))-价差分析!$T$4&gt;0,IF(价差分析!$W$4="日",--[1]!td(A795-1),IF(价差分析!$W$4="周",--[1]!td(A795-7),--[1]!td(A795-30))),""))</f>
        <v/>
      </c>
      <c r="B796" s="1" t="str">
        <f ca="1">IF(A796="","",[1]!s_dq_close($B$1,A796,$M$4))</f>
        <v/>
      </c>
      <c r="C796" s="1" t="str">
        <f ca="1">IF(A796="","",[1]!s_dq_close($C$1,A796,$M$4))</f>
        <v/>
      </c>
      <c r="D796" s="6" t="str">
        <f ca="1">IF($A796="","",[1]!s_dq_close(D$1,$A796,$M$4))</f>
        <v/>
      </c>
      <c r="E796" s="6" t="str">
        <f ca="1">IF($A796="","",[1]!s_dq_close(E$1,$A796,$M$4))</f>
        <v/>
      </c>
      <c r="F796" s="6" t="str">
        <f ca="1">IF($A796="","",[1]!s_dq_close(F$1,$A796,$M$4))</f>
        <v/>
      </c>
      <c r="G796" s="6"/>
      <c r="H796" s="6" t="str">
        <f ca="1">IF($A796="","",[1]!s_dq_close(H$1,$A796,$M$4))</f>
        <v/>
      </c>
      <c r="I796" s="6" t="str">
        <f ca="1">IF($A796="","",[1]!s_dq_close(I$1,$A796,$M$4))</f>
        <v/>
      </c>
      <c r="J796" s="6" t="str">
        <f t="shared" ca="1" si="13"/>
        <v/>
      </c>
    </row>
    <row r="797" spans="1:10">
      <c r="A797" s="2" t="str">
        <f ca="1">IF(A796="","",IF(IF(价差分析!$W$4="日",--[1]!td(A796-1),IF(价差分析!$W$4="周",--[1]!td(A796-7),--[1]!td(A796-30)))-价差分析!$T$4&gt;0,IF(价差分析!$W$4="日",--[1]!td(A796-1),IF(价差分析!$W$4="周",--[1]!td(A796-7),--[1]!td(A796-30))),""))</f>
        <v/>
      </c>
      <c r="B797" s="1" t="str">
        <f ca="1">IF(A797="","",[1]!s_dq_close($B$1,A797,$M$4))</f>
        <v/>
      </c>
      <c r="C797" s="1" t="str">
        <f ca="1">IF(A797="","",[1]!s_dq_close($C$1,A797,$M$4))</f>
        <v/>
      </c>
      <c r="D797" s="6" t="str">
        <f ca="1">IF($A797="","",[1]!s_dq_close(D$1,$A797,$M$4))</f>
        <v/>
      </c>
      <c r="E797" s="6" t="str">
        <f ca="1">IF($A797="","",[1]!s_dq_close(E$1,$A797,$M$4))</f>
        <v/>
      </c>
      <c r="F797" s="6" t="str">
        <f ca="1">IF($A797="","",[1]!s_dq_close(F$1,$A797,$M$4))</f>
        <v/>
      </c>
      <c r="G797" s="6"/>
      <c r="H797" s="6" t="str">
        <f ca="1">IF($A797="","",[1]!s_dq_close(H$1,$A797,$M$4))</f>
        <v/>
      </c>
      <c r="I797" s="6" t="str">
        <f ca="1">IF($A797="","",[1]!s_dq_close(I$1,$A797,$M$4))</f>
        <v/>
      </c>
      <c r="J797" s="6" t="str">
        <f t="shared" ca="1" si="13"/>
        <v/>
      </c>
    </row>
    <row r="798" spans="1:10">
      <c r="A798" s="2" t="str">
        <f ca="1">IF(A797="","",IF(IF(价差分析!$W$4="日",--[1]!td(A797-1),IF(价差分析!$W$4="周",--[1]!td(A797-7),--[1]!td(A797-30)))-价差分析!$T$4&gt;0,IF(价差分析!$W$4="日",--[1]!td(A797-1),IF(价差分析!$W$4="周",--[1]!td(A797-7),--[1]!td(A797-30))),""))</f>
        <v/>
      </c>
      <c r="B798" s="1" t="str">
        <f ca="1">IF(A798="","",[1]!s_dq_close($B$1,A798,$M$4))</f>
        <v/>
      </c>
      <c r="C798" s="1" t="str">
        <f ca="1">IF(A798="","",[1]!s_dq_close($C$1,A798,$M$4))</f>
        <v/>
      </c>
      <c r="D798" s="6" t="str">
        <f ca="1">IF($A798="","",[1]!s_dq_close(D$1,$A798,$M$4))</f>
        <v/>
      </c>
      <c r="E798" s="6" t="str">
        <f ca="1">IF($A798="","",[1]!s_dq_close(E$1,$A798,$M$4))</f>
        <v/>
      </c>
      <c r="F798" s="6" t="str">
        <f ca="1">IF($A798="","",[1]!s_dq_close(F$1,$A798,$M$4))</f>
        <v/>
      </c>
      <c r="G798" s="6"/>
      <c r="H798" s="6" t="str">
        <f ca="1">IF($A798="","",[1]!s_dq_close(H$1,$A798,$M$4))</f>
        <v/>
      </c>
      <c r="I798" s="6" t="str">
        <f ca="1">IF($A798="","",[1]!s_dq_close(I$1,$A798,$M$4))</f>
        <v/>
      </c>
      <c r="J798" s="6" t="str">
        <f t="shared" ca="1" si="13"/>
        <v/>
      </c>
    </row>
    <row r="799" spans="1:10">
      <c r="A799" s="2" t="str">
        <f ca="1">IF(A798="","",IF(IF(价差分析!$W$4="日",--[1]!td(A798-1),IF(价差分析!$W$4="周",--[1]!td(A798-7),--[1]!td(A798-30)))-价差分析!$T$4&gt;0,IF(价差分析!$W$4="日",--[1]!td(A798-1),IF(价差分析!$W$4="周",--[1]!td(A798-7),--[1]!td(A798-30))),""))</f>
        <v/>
      </c>
      <c r="B799" s="1" t="str">
        <f ca="1">IF(A799="","",[1]!s_dq_close($B$1,A799,$M$4))</f>
        <v/>
      </c>
      <c r="C799" s="1" t="str">
        <f ca="1">IF(A799="","",[1]!s_dq_close($C$1,A799,$M$4))</f>
        <v/>
      </c>
      <c r="D799" s="6" t="str">
        <f ca="1">IF($A799="","",[1]!s_dq_close(D$1,$A799,$M$4))</f>
        <v/>
      </c>
      <c r="E799" s="6" t="str">
        <f ca="1">IF($A799="","",[1]!s_dq_close(E$1,$A799,$M$4))</f>
        <v/>
      </c>
      <c r="F799" s="6" t="str">
        <f ca="1">IF($A799="","",[1]!s_dq_close(F$1,$A799,$M$4))</f>
        <v/>
      </c>
      <c r="G799" s="6"/>
      <c r="H799" s="6" t="str">
        <f ca="1">IF($A799="","",[1]!s_dq_close(H$1,$A799,$M$4))</f>
        <v/>
      </c>
      <c r="I799" s="6" t="str">
        <f ca="1">IF($A799="","",[1]!s_dq_close(I$1,$A799,$M$4))</f>
        <v/>
      </c>
      <c r="J799" s="6" t="str">
        <f t="shared" ca="1" si="13"/>
        <v/>
      </c>
    </row>
    <row r="800" spans="1:10">
      <c r="A800" s="2" t="str">
        <f ca="1">IF(A799="","",IF(IF(价差分析!$W$4="日",--[1]!td(A799-1),IF(价差分析!$W$4="周",--[1]!td(A799-7),--[1]!td(A799-30)))-价差分析!$T$4&gt;0,IF(价差分析!$W$4="日",--[1]!td(A799-1),IF(价差分析!$W$4="周",--[1]!td(A799-7),--[1]!td(A799-30))),""))</f>
        <v/>
      </c>
      <c r="B800" s="1" t="str">
        <f ca="1">IF(A800="","",[1]!s_dq_close($B$1,A800,$M$4))</f>
        <v/>
      </c>
      <c r="C800" s="1" t="str">
        <f ca="1">IF(A800="","",[1]!s_dq_close($C$1,A800,$M$4))</f>
        <v/>
      </c>
      <c r="D800" s="6" t="str">
        <f ca="1">IF($A800="","",[1]!s_dq_close(D$1,$A800,$M$4))</f>
        <v/>
      </c>
      <c r="E800" s="6" t="str">
        <f ca="1">IF($A800="","",[1]!s_dq_close(E$1,$A800,$M$4))</f>
        <v/>
      </c>
      <c r="F800" s="6" t="str">
        <f ca="1">IF($A800="","",[1]!s_dq_close(F$1,$A800,$M$4))</f>
        <v/>
      </c>
      <c r="G800" s="6"/>
      <c r="H800" s="6" t="str">
        <f ca="1">IF($A800="","",[1]!s_dq_close(H$1,$A800,$M$4))</f>
        <v/>
      </c>
      <c r="I800" s="6" t="str">
        <f ca="1">IF($A800="","",[1]!s_dq_close(I$1,$A800,$M$4))</f>
        <v/>
      </c>
      <c r="J800" s="6" t="str">
        <f t="shared" ca="1" si="13"/>
        <v/>
      </c>
    </row>
    <row r="801" spans="1:10">
      <c r="A801" s="2" t="str">
        <f ca="1">IF(A800="","",IF(IF(价差分析!$W$4="日",--[1]!td(A800-1),IF(价差分析!$W$4="周",--[1]!td(A800-7),--[1]!td(A800-30)))-价差分析!$T$4&gt;0,IF(价差分析!$W$4="日",--[1]!td(A800-1),IF(价差分析!$W$4="周",--[1]!td(A800-7),--[1]!td(A800-30))),""))</f>
        <v/>
      </c>
      <c r="B801" s="1" t="str">
        <f ca="1">IF(A801="","",[1]!s_dq_close($B$1,A801,$M$4))</f>
        <v/>
      </c>
      <c r="C801" s="1" t="str">
        <f ca="1">IF(A801="","",[1]!s_dq_close($C$1,A801,$M$4))</f>
        <v/>
      </c>
      <c r="D801" s="6" t="str">
        <f ca="1">IF($A801="","",[1]!s_dq_close(D$1,$A801,$M$4))</f>
        <v/>
      </c>
      <c r="E801" s="6" t="str">
        <f ca="1">IF($A801="","",[1]!s_dq_close(E$1,$A801,$M$4))</f>
        <v/>
      </c>
      <c r="F801" s="6" t="str">
        <f ca="1">IF($A801="","",[1]!s_dq_close(F$1,$A801,$M$4))</f>
        <v/>
      </c>
      <c r="G801" s="6"/>
      <c r="H801" s="6" t="str">
        <f ca="1">IF($A801="","",[1]!s_dq_close(H$1,$A801,$M$4))</f>
        <v/>
      </c>
      <c r="I801" s="6" t="str">
        <f ca="1">IF($A801="","",[1]!s_dq_close(I$1,$A801,$M$4))</f>
        <v/>
      </c>
      <c r="J801" s="6" t="str">
        <f t="shared" ca="1" si="13"/>
        <v/>
      </c>
    </row>
    <row r="802" spans="1:10">
      <c r="A802" s="2" t="str">
        <f ca="1">IF(A801="","",IF(IF(价差分析!$W$4="日",--[1]!td(A801-1),IF(价差分析!$W$4="周",--[1]!td(A801-7),--[1]!td(A801-30)))-价差分析!$T$4&gt;0,IF(价差分析!$W$4="日",--[1]!td(A801-1),IF(价差分析!$W$4="周",--[1]!td(A801-7),--[1]!td(A801-30))),""))</f>
        <v/>
      </c>
      <c r="B802" s="1" t="str">
        <f ca="1">IF(A802="","",[1]!s_dq_close($B$1,A802,$M$4))</f>
        <v/>
      </c>
      <c r="C802" s="1" t="str">
        <f ca="1">IF(A802="","",[1]!s_dq_close($C$1,A802,$M$4))</f>
        <v/>
      </c>
      <c r="D802" s="6" t="str">
        <f ca="1">IF($A802="","",[1]!s_dq_close(D$1,$A802,$M$4))</f>
        <v/>
      </c>
      <c r="E802" s="6" t="str">
        <f ca="1">IF($A802="","",[1]!s_dq_close(E$1,$A802,$M$4))</f>
        <v/>
      </c>
      <c r="F802" s="6" t="str">
        <f ca="1">IF($A802="","",[1]!s_dq_close(F$1,$A802,$M$4))</f>
        <v/>
      </c>
      <c r="G802" s="6"/>
      <c r="H802" s="6" t="str">
        <f ca="1">IF($A802="","",[1]!s_dq_close(H$1,$A802,$M$4))</f>
        <v/>
      </c>
      <c r="I802" s="6" t="str">
        <f ca="1">IF($A802="","",[1]!s_dq_close(I$1,$A802,$M$4))</f>
        <v/>
      </c>
      <c r="J802" s="6" t="str">
        <f t="shared" ca="1" si="13"/>
        <v/>
      </c>
    </row>
    <row r="803" spans="1:10">
      <c r="A803" s="2" t="str">
        <f ca="1">IF(A802="","",IF(IF(价差分析!$W$4="日",--[1]!td(A802-1),IF(价差分析!$W$4="周",--[1]!td(A802-7),--[1]!td(A802-30)))-价差分析!$T$4&gt;0,IF(价差分析!$W$4="日",--[1]!td(A802-1),IF(价差分析!$W$4="周",--[1]!td(A802-7),--[1]!td(A802-30))),""))</f>
        <v/>
      </c>
      <c r="B803" s="1" t="str">
        <f ca="1">IF(A803="","",[1]!s_dq_close($B$1,A803,$M$4))</f>
        <v/>
      </c>
      <c r="C803" s="1" t="str">
        <f ca="1">IF(A803="","",[1]!s_dq_close($C$1,A803,$M$4))</f>
        <v/>
      </c>
      <c r="D803" s="6" t="str">
        <f ca="1">IF($A803="","",[1]!s_dq_close(D$1,$A803,$M$4))</f>
        <v/>
      </c>
      <c r="E803" s="6" t="str">
        <f ca="1">IF($A803="","",[1]!s_dq_close(E$1,$A803,$M$4))</f>
        <v/>
      </c>
      <c r="F803" s="6" t="str">
        <f ca="1">IF($A803="","",[1]!s_dq_close(F$1,$A803,$M$4))</f>
        <v/>
      </c>
      <c r="G803" s="6"/>
      <c r="H803" s="6" t="str">
        <f ca="1">IF($A803="","",[1]!s_dq_close(H$1,$A803,$M$4))</f>
        <v/>
      </c>
      <c r="I803" s="6" t="str">
        <f ca="1">IF($A803="","",[1]!s_dq_close(I$1,$A803,$M$4))</f>
        <v/>
      </c>
      <c r="J803" s="6" t="str">
        <f t="shared" ca="1" si="13"/>
        <v/>
      </c>
    </row>
    <row r="804" spans="1:10">
      <c r="A804" s="2" t="str">
        <f ca="1">IF(A803="","",IF(IF(价差分析!$W$4="日",--[1]!td(A803-1),IF(价差分析!$W$4="周",--[1]!td(A803-7),--[1]!td(A803-30)))-价差分析!$T$4&gt;0,IF(价差分析!$W$4="日",--[1]!td(A803-1),IF(价差分析!$W$4="周",--[1]!td(A803-7),--[1]!td(A803-30))),""))</f>
        <v/>
      </c>
      <c r="B804" s="1" t="str">
        <f ca="1">IF(A804="","",[1]!s_dq_close($B$1,A804,$M$4))</f>
        <v/>
      </c>
      <c r="C804" s="1" t="str">
        <f ca="1">IF(A804="","",[1]!s_dq_close($C$1,A804,$M$4))</f>
        <v/>
      </c>
      <c r="D804" s="6" t="str">
        <f ca="1">IF($A804="","",[1]!s_dq_close(D$1,$A804,$M$4))</f>
        <v/>
      </c>
      <c r="E804" s="6" t="str">
        <f ca="1">IF($A804="","",[1]!s_dq_close(E$1,$A804,$M$4))</f>
        <v/>
      </c>
      <c r="F804" s="6" t="str">
        <f ca="1">IF($A804="","",[1]!s_dq_close(F$1,$A804,$M$4))</f>
        <v/>
      </c>
      <c r="G804" s="6"/>
      <c r="H804" s="6" t="str">
        <f ca="1">IF($A804="","",[1]!s_dq_close(H$1,$A804,$M$4))</f>
        <v/>
      </c>
      <c r="I804" s="6" t="str">
        <f ca="1">IF($A804="","",[1]!s_dq_close(I$1,$A804,$M$4))</f>
        <v/>
      </c>
      <c r="J804" s="6" t="str">
        <f t="shared" ca="1" si="13"/>
        <v/>
      </c>
    </row>
    <row r="805" spans="1:10">
      <c r="A805" s="2" t="str">
        <f ca="1">IF(A804="","",IF(IF(价差分析!$W$4="日",--[1]!td(A804-1),IF(价差分析!$W$4="周",--[1]!td(A804-7),--[1]!td(A804-30)))-价差分析!$T$4&gt;0,IF(价差分析!$W$4="日",--[1]!td(A804-1),IF(价差分析!$W$4="周",--[1]!td(A804-7),--[1]!td(A804-30))),""))</f>
        <v/>
      </c>
      <c r="B805" s="1" t="str">
        <f ca="1">IF(A805="","",[1]!s_dq_close($B$1,A805,$M$4))</f>
        <v/>
      </c>
      <c r="C805" s="1" t="str">
        <f ca="1">IF(A805="","",[1]!s_dq_close($C$1,A805,$M$4))</f>
        <v/>
      </c>
      <c r="D805" s="6" t="str">
        <f ca="1">IF($A805="","",[1]!s_dq_close(D$1,$A805,$M$4))</f>
        <v/>
      </c>
      <c r="E805" s="6" t="str">
        <f ca="1">IF($A805="","",[1]!s_dq_close(E$1,$A805,$M$4))</f>
        <v/>
      </c>
      <c r="F805" s="6" t="str">
        <f ca="1">IF($A805="","",[1]!s_dq_close(F$1,$A805,$M$4))</f>
        <v/>
      </c>
      <c r="G805" s="6"/>
      <c r="H805" s="6" t="str">
        <f ca="1">IF($A805="","",[1]!s_dq_close(H$1,$A805,$M$4))</f>
        <v/>
      </c>
      <c r="I805" s="6" t="str">
        <f ca="1">IF($A805="","",[1]!s_dq_close(I$1,$A805,$M$4))</f>
        <v/>
      </c>
      <c r="J805" s="6" t="str">
        <f t="shared" ca="1" si="13"/>
        <v/>
      </c>
    </row>
    <row r="806" spans="1:10">
      <c r="A806" s="2" t="str">
        <f ca="1">IF(A805="","",IF(IF(价差分析!$W$4="日",--[1]!td(A805-1),IF(价差分析!$W$4="周",--[1]!td(A805-7),--[1]!td(A805-30)))-价差分析!$T$4&gt;0,IF(价差分析!$W$4="日",--[1]!td(A805-1),IF(价差分析!$W$4="周",--[1]!td(A805-7),--[1]!td(A805-30))),""))</f>
        <v/>
      </c>
      <c r="B806" s="1" t="str">
        <f ca="1">IF(A806="","",[1]!s_dq_close($B$1,A806,$M$4))</f>
        <v/>
      </c>
      <c r="C806" s="1" t="str">
        <f ca="1">IF(A806="","",[1]!s_dq_close($C$1,A806,$M$4))</f>
        <v/>
      </c>
      <c r="D806" s="6" t="str">
        <f ca="1">IF($A806="","",[1]!s_dq_close(D$1,$A806,$M$4))</f>
        <v/>
      </c>
      <c r="E806" s="6" t="str">
        <f ca="1">IF($A806="","",[1]!s_dq_close(E$1,$A806,$M$4))</f>
        <v/>
      </c>
      <c r="F806" s="6" t="str">
        <f ca="1">IF($A806="","",[1]!s_dq_close(F$1,$A806,$M$4))</f>
        <v/>
      </c>
      <c r="G806" s="6"/>
      <c r="H806" s="6" t="str">
        <f ca="1">IF($A806="","",[1]!s_dq_close(H$1,$A806,$M$4))</f>
        <v/>
      </c>
      <c r="I806" s="6" t="str">
        <f ca="1">IF($A806="","",[1]!s_dq_close(I$1,$A806,$M$4))</f>
        <v/>
      </c>
      <c r="J806" s="6" t="str">
        <f t="shared" ca="1" si="13"/>
        <v/>
      </c>
    </row>
    <row r="807" spans="1:10">
      <c r="A807" s="2" t="str">
        <f ca="1">IF(A806="","",IF(IF(价差分析!$W$4="日",--[1]!td(A806-1),IF(价差分析!$W$4="周",--[1]!td(A806-7),--[1]!td(A806-30)))-价差分析!$T$4&gt;0,IF(价差分析!$W$4="日",--[1]!td(A806-1),IF(价差分析!$W$4="周",--[1]!td(A806-7),--[1]!td(A806-30))),""))</f>
        <v/>
      </c>
      <c r="B807" s="1" t="str">
        <f ca="1">IF(A807="","",[1]!s_dq_close($B$1,A807,$M$4))</f>
        <v/>
      </c>
      <c r="C807" s="1" t="str">
        <f ca="1">IF(A807="","",[1]!s_dq_close($C$1,A807,$M$4))</f>
        <v/>
      </c>
      <c r="D807" s="6" t="str">
        <f ca="1">IF($A807="","",[1]!s_dq_close(D$1,$A807,$M$4))</f>
        <v/>
      </c>
      <c r="E807" s="6" t="str">
        <f ca="1">IF($A807="","",[1]!s_dq_close(E$1,$A807,$M$4))</f>
        <v/>
      </c>
      <c r="F807" s="6" t="str">
        <f ca="1">IF($A807="","",[1]!s_dq_close(F$1,$A807,$M$4))</f>
        <v/>
      </c>
      <c r="G807" s="6"/>
      <c r="H807" s="6" t="str">
        <f ca="1">IF($A807="","",[1]!s_dq_close(H$1,$A807,$M$4))</f>
        <v/>
      </c>
      <c r="I807" s="6" t="str">
        <f ca="1">IF($A807="","",[1]!s_dq_close(I$1,$A807,$M$4))</f>
        <v/>
      </c>
      <c r="J807" s="6" t="str">
        <f t="shared" ca="1" si="13"/>
        <v/>
      </c>
    </row>
    <row r="808" spans="1:10">
      <c r="A808" s="2" t="str">
        <f ca="1">IF(A807="","",IF(IF(价差分析!$W$4="日",--[1]!td(A807-1),IF(价差分析!$W$4="周",--[1]!td(A807-7),--[1]!td(A807-30)))-价差分析!$T$4&gt;0,IF(价差分析!$W$4="日",--[1]!td(A807-1),IF(价差分析!$W$4="周",--[1]!td(A807-7),--[1]!td(A807-30))),""))</f>
        <v/>
      </c>
      <c r="B808" s="1" t="str">
        <f ca="1">IF(A808="","",[1]!s_dq_close($B$1,A808,$M$4))</f>
        <v/>
      </c>
      <c r="C808" s="1" t="str">
        <f ca="1">IF(A808="","",[1]!s_dq_close($C$1,A808,$M$4))</f>
        <v/>
      </c>
      <c r="D808" s="6" t="str">
        <f ca="1">IF($A808="","",[1]!s_dq_close(D$1,$A808,$M$4))</f>
        <v/>
      </c>
      <c r="E808" s="6" t="str">
        <f ca="1">IF($A808="","",[1]!s_dq_close(E$1,$A808,$M$4))</f>
        <v/>
      </c>
      <c r="F808" s="6" t="str">
        <f ca="1">IF($A808="","",[1]!s_dq_close(F$1,$A808,$M$4))</f>
        <v/>
      </c>
      <c r="G808" s="6"/>
      <c r="H808" s="6" t="str">
        <f ca="1">IF($A808="","",[1]!s_dq_close(H$1,$A808,$M$4))</f>
        <v/>
      </c>
      <c r="I808" s="6" t="str">
        <f ca="1">IF($A808="","",[1]!s_dq_close(I$1,$A808,$M$4))</f>
        <v/>
      </c>
      <c r="J808" s="6" t="str">
        <f t="shared" ca="1" si="13"/>
        <v/>
      </c>
    </row>
    <row r="809" spans="1:10">
      <c r="A809" s="2" t="str">
        <f ca="1">IF(A808="","",IF(IF(价差分析!$W$4="日",--[1]!td(A808-1),IF(价差分析!$W$4="周",--[1]!td(A808-7),--[1]!td(A808-30)))-价差分析!$T$4&gt;0,IF(价差分析!$W$4="日",--[1]!td(A808-1),IF(价差分析!$W$4="周",--[1]!td(A808-7),--[1]!td(A808-30))),""))</f>
        <v/>
      </c>
      <c r="B809" s="1" t="str">
        <f ca="1">IF(A809="","",[1]!s_dq_close($B$1,A809,$M$4))</f>
        <v/>
      </c>
      <c r="C809" s="1" t="str">
        <f ca="1">IF(A809="","",[1]!s_dq_close($C$1,A809,$M$4))</f>
        <v/>
      </c>
      <c r="D809" s="6" t="str">
        <f ca="1">IF($A809="","",[1]!s_dq_close(D$1,$A809,$M$4))</f>
        <v/>
      </c>
      <c r="E809" s="6" t="str">
        <f ca="1">IF($A809="","",[1]!s_dq_close(E$1,$A809,$M$4))</f>
        <v/>
      </c>
      <c r="F809" s="6" t="str">
        <f ca="1">IF($A809="","",[1]!s_dq_close(F$1,$A809,$M$4))</f>
        <v/>
      </c>
      <c r="G809" s="6"/>
      <c r="H809" s="6" t="str">
        <f ca="1">IF($A809="","",[1]!s_dq_close(H$1,$A809,$M$4))</f>
        <v/>
      </c>
      <c r="I809" s="6" t="str">
        <f ca="1">IF($A809="","",[1]!s_dq_close(I$1,$A809,$M$4))</f>
        <v/>
      </c>
      <c r="J809" s="6" t="str">
        <f t="shared" ca="1" si="13"/>
        <v/>
      </c>
    </row>
    <row r="810" spans="1:10">
      <c r="A810" s="2" t="str">
        <f ca="1">IF(A809="","",IF(IF(价差分析!$W$4="日",--[1]!td(A809-1),IF(价差分析!$W$4="周",--[1]!td(A809-7),--[1]!td(A809-30)))-价差分析!$T$4&gt;0,IF(价差分析!$W$4="日",--[1]!td(A809-1),IF(价差分析!$W$4="周",--[1]!td(A809-7),--[1]!td(A809-30))),""))</f>
        <v/>
      </c>
      <c r="B810" s="1" t="str">
        <f ca="1">IF(A810="","",[1]!s_dq_close($B$1,A810,$M$4))</f>
        <v/>
      </c>
      <c r="C810" s="1" t="str">
        <f ca="1">IF(A810="","",[1]!s_dq_close($C$1,A810,$M$4))</f>
        <v/>
      </c>
      <c r="D810" s="6" t="str">
        <f ca="1">IF($A810="","",[1]!s_dq_close(D$1,$A810,$M$4))</f>
        <v/>
      </c>
      <c r="E810" s="6" t="str">
        <f ca="1">IF($A810="","",[1]!s_dq_close(E$1,$A810,$M$4))</f>
        <v/>
      </c>
      <c r="F810" s="6" t="str">
        <f ca="1">IF($A810="","",[1]!s_dq_close(F$1,$A810,$M$4))</f>
        <v/>
      </c>
      <c r="G810" s="6"/>
      <c r="H810" s="6" t="str">
        <f ca="1">IF($A810="","",[1]!s_dq_close(H$1,$A810,$M$4))</f>
        <v/>
      </c>
      <c r="I810" s="6" t="str">
        <f ca="1">IF($A810="","",[1]!s_dq_close(I$1,$A810,$M$4))</f>
        <v/>
      </c>
      <c r="J810" s="6" t="str">
        <f t="shared" ca="1" si="13"/>
        <v/>
      </c>
    </row>
    <row r="811" spans="1:10">
      <c r="A811" s="2" t="str">
        <f ca="1">IF(A810="","",IF(IF(价差分析!$W$4="日",--[1]!td(A810-1),IF(价差分析!$W$4="周",--[1]!td(A810-7),--[1]!td(A810-30)))-价差分析!$T$4&gt;0,IF(价差分析!$W$4="日",--[1]!td(A810-1),IF(价差分析!$W$4="周",--[1]!td(A810-7),--[1]!td(A810-30))),""))</f>
        <v/>
      </c>
      <c r="B811" s="1" t="str">
        <f ca="1">IF(A811="","",[1]!s_dq_close($B$1,A811,$M$4))</f>
        <v/>
      </c>
      <c r="C811" s="1" t="str">
        <f ca="1">IF(A811="","",[1]!s_dq_close($C$1,A811,$M$4))</f>
        <v/>
      </c>
      <c r="D811" s="6" t="str">
        <f ca="1">IF($A811="","",[1]!s_dq_close(D$1,$A811,$M$4))</f>
        <v/>
      </c>
      <c r="E811" s="6" t="str">
        <f ca="1">IF($A811="","",[1]!s_dq_close(E$1,$A811,$M$4))</f>
        <v/>
      </c>
      <c r="F811" s="6" t="str">
        <f ca="1">IF($A811="","",[1]!s_dq_close(F$1,$A811,$M$4))</f>
        <v/>
      </c>
      <c r="G811" s="6"/>
      <c r="H811" s="6" t="str">
        <f ca="1">IF($A811="","",[1]!s_dq_close(H$1,$A811,$M$4))</f>
        <v/>
      </c>
      <c r="I811" s="6" t="str">
        <f ca="1">IF($A811="","",[1]!s_dq_close(I$1,$A811,$M$4))</f>
        <v/>
      </c>
      <c r="J811" s="6" t="str">
        <f t="shared" ca="1" si="13"/>
        <v/>
      </c>
    </row>
    <row r="812" spans="1:10">
      <c r="A812" s="2" t="str">
        <f ca="1">IF(A811="","",IF(IF(价差分析!$W$4="日",--[1]!td(A811-1),IF(价差分析!$W$4="周",--[1]!td(A811-7),--[1]!td(A811-30)))-价差分析!$T$4&gt;0,IF(价差分析!$W$4="日",--[1]!td(A811-1),IF(价差分析!$W$4="周",--[1]!td(A811-7),--[1]!td(A811-30))),""))</f>
        <v/>
      </c>
      <c r="B812" s="1" t="str">
        <f ca="1">IF(A812="","",[1]!s_dq_close($B$1,A812,$M$4))</f>
        <v/>
      </c>
      <c r="C812" s="1" t="str">
        <f ca="1">IF(A812="","",[1]!s_dq_close($C$1,A812,$M$4))</f>
        <v/>
      </c>
      <c r="D812" s="6" t="str">
        <f ca="1">IF($A812="","",[1]!s_dq_close(D$1,$A812,$M$4))</f>
        <v/>
      </c>
      <c r="E812" s="6" t="str">
        <f ca="1">IF($A812="","",[1]!s_dq_close(E$1,$A812,$M$4))</f>
        <v/>
      </c>
      <c r="F812" s="6" t="str">
        <f ca="1">IF($A812="","",[1]!s_dq_close(F$1,$A812,$M$4))</f>
        <v/>
      </c>
      <c r="G812" s="6"/>
      <c r="H812" s="6" t="str">
        <f ca="1">IF($A812="","",[1]!s_dq_close(H$1,$A812,$M$4))</f>
        <v/>
      </c>
      <c r="I812" s="6" t="str">
        <f ca="1">IF($A812="","",[1]!s_dq_close(I$1,$A812,$M$4))</f>
        <v/>
      </c>
      <c r="J812" s="6" t="str">
        <f t="shared" ca="1" si="13"/>
        <v/>
      </c>
    </row>
    <row r="813" spans="1:10">
      <c r="A813" s="2" t="str">
        <f ca="1">IF(A812="","",IF(IF(价差分析!$W$4="日",--[1]!td(A812-1),IF(价差分析!$W$4="周",--[1]!td(A812-7),--[1]!td(A812-30)))-价差分析!$T$4&gt;0,IF(价差分析!$W$4="日",--[1]!td(A812-1),IF(价差分析!$W$4="周",--[1]!td(A812-7),--[1]!td(A812-30))),""))</f>
        <v/>
      </c>
      <c r="B813" s="1" t="str">
        <f ca="1">IF(A813="","",[1]!s_dq_close($B$1,A813,$M$4))</f>
        <v/>
      </c>
      <c r="C813" s="1" t="str">
        <f ca="1">IF(A813="","",[1]!s_dq_close($C$1,A813,$M$4))</f>
        <v/>
      </c>
      <c r="D813" s="6" t="str">
        <f ca="1">IF($A813="","",[1]!s_dq_close(D$1,$A813,$M$4))</f>
        <v/>
      </c>
      <c r="E813" s="6" t="str">
        <f ca="1">IF($A813="","",[1]!s_dq_close(E$1,$A813,$M$4))</f>
        <v/>
      </c>
      <c r="F813" s="6" t="str">
        <f ca="1">IF($A813="","",[1]!s_dq_close(F$1,$A813,$M$4))</f>
        <v/>
      </c>
      <c r="G813" s="6"/>
      <c r="H813" s="6" t="str">
        <f ca="1">IF($A813="","",[1]!s_dq_close(H$1,$A813,$M$4))</f>
        <v/>
      </c>
      <c r="I813" s="6" t="str">
        <f ca="1">IF($A813="","",[1]!s_dq_close(I$1,$A813,$M$4))</f>
        <v/>
      </c>
      <c r="J813" s="6" t="str">
        <f t="shared" ca="1" si="13"/>
        <v/>
      </c>
    </row>
    <row r="814" spans="1:10">
      <c r="A814" s="2" t="str">
        <f ca="1">IF(A813="","",IF(IF(价差分析!$W$4="日",--[1]!td(A813-1),IF(价差分析!$W$4="周",--[1]!td(A813-7),--[1]!td(A813-30)))-价差分析!$T$4&gt;0,IF(价差分析!$W$4="日",--[1]!td(A813-1),IF(价差分析!$W$4="周",--[1]!td(A813-7),--[1]!td(A813-30))),""))</f>
        <v/>
      </c>
      <c r="B814" s="1" t="str">
        <f ca="1">IF(A814="","",[1]!s_dq_close($B$1,A814,$M$4))</f>
        <v/>
      </c>
      <c r="C814" s="1" t="str">
        <f ca="1">IF(A814="","",[1]!s_dq_close($C$1,A814,$M$4))</f>
        <v/>
      </c>
      <c r="D814" s="6" t="str">
        <f ca="1">IF($A814="","",[1]!s_dq_close(D$1,$A814,$M$4))</f>
        <v/>
      </c>
      <c r="E814" s="6" t="str">
        <f ca="1">IF($A814="","",[1]!s_dq_close(E$1,$A814,$M$4))</f>
        <v/>
      </c>
      <c r="F814" s="6" t="str">
        <f ca="1">IF($A814="","",[1]!s_dq_close(F$1,$A814,$M$4))</f>
        <v/>
      </c>
      <c r="G814" s="6"/>
      <c r="H814" s="6" t="str">
        <f ca="1">IF($A814="","",[1]!s_dq_close(H$1,$A814,$M$4))</f>
        <v/>
      </c>
      <c r="I814" s="6" t="str">
        <f ca="1">IF($A814="","",[1]!s_dq_close(I$1,$A814,$M$4))</f>
        <v/>
      </c>
      <c r="J814" s="6" t="str">
        <f t="shared" ca="1" si="13"/>
        <v/>
      </c>
    </row>
    <row r="815" spans="1:10">
      <c r="A815" s="2" t="str">
        <f ca="1">IF(A814="","",IF(IF(价差分析!$W$4="日",--[1]!td(A814-1),IF(价差分析!$W$4="周",--[1]!td(A814-7),--[1]!td(A814-30)))-价差分析!$T$4&gt;0,IF(价差分析!$W$4="日",--[1]!td(A814-1),IF(价差分析!$W$4="周",--[1]!td(A814-7),--[1]!td(A814-30))),""))</f>
        <v/>
      </c>
      <c r="B815" s="1" t="str">
        <f ca="1">IF(A815="","",[1]!s_dq_close($B$1,A815,$M$4))</f>
        <v/>
      </c>
      <c r="C815" s="1" t="str">
        <f ca="1">IF(A815="","",[1]!s_dq_close($C$1,A815,$M$4))</f>
        <v/>
      </c>
      <c r="D815" s="6" t="str">
        <f ca="1">IF($A815="","",[1]!s_dq_close(D$1,$A815,$M$4))</f>
        <v/>
      </c>
      <c r="E815" s="6" t="str">
        <f ca="1">IF($A815="","",[1]!s_dq_close(E$1,$A815,$M$4))</f>
        <v/>
      </c>
      <c r="F815" s="6" t="str">
        <f ca="1">IF($A815="","",[1]!s_dq_close(F$1,$A815,$M$4))</f>
        <v/>
      </c>
      <c r="G815" s="6"/>
      <c r="H815" s="6" t="str">
        <f ca="1">IF($A815="","",[1]!s_dq_close(H$1,$A815,$M$4))</f>
        <v/>
      </c>
      <c r="I815" s="6" t="str">
        <f ca="1">IF($A815="","",[1]!s_dq_close(I$1,$A815,$M$4))</f>
        <v/>
      </c>
      <c r="J815" s="6" t="str">
        <f t="shared" ca="1" si="13"/>
        <v/>
      </c>
    </row>
    <row r="816" spans="1:10">
      <c r="A816" s="2" t="str">
        <f ca="1">IF(A815="","",IF(IF(价差分析!$W$4="日",--[1]!td(A815-1),IF(价差分析!$W$4="周",--[1]!td(A815-7),--[1]!td(A815-30)))-价差分析!$T$4&gt;0,IF(价差分析!$W$4="日",--[1]!td(A815-1),IF(价差分析!$W$4="周",--[1]!td(A815-7),--[1]!td(A815-30))),""))</f>
        <v/>
      </c>
      <c r="B816" s="1" t="str">
        <f ca="1">IF(A816="","",[1]!s_dq_close($B$1,A816,$M$4))</f>
        <v/>
      </c>
      <c r="C816" s="1" t="str">
        <f ca="1">IF(A816="","",[1]!s_dq_close($C$1,A816,$M$4))</f>
        <v/>
      </c>
      <c r="D816" s="6" t="str">
        <f ca="1">IF($A816="","",[1]!s_dq_close(D$1,$A816,$M$4))</f>
        <v/>
      </c>
      <c r="E816" s="6" t="str">
        <f ca="1">IF($A816="","",[1]!s_dq_close(E$1,$A816,$M$4))</f>
        <v/>
      </c>
      <c r="F816" s="6" t="str">
        <f ca="1">IF($A816="","",[1]!s_dq_close(F$1,$A816,$M$4))</f>
        <v/>
      </c>
      <c r="G816" s="6"/>
      <c r="H816" s="6" t="str">
        <f ca="1">IF($A816="","",[1]!s_dq_close(H$1,$A816,$M$4))</f>
        <v/>
      </c>
      <c r="I816" s="6" t="str">
        <f ca="1">IF($A816="","",[1]!s_dq_close(I$1,$A816,$M$4))</f>
        <v/>
      </c>
      <c r="J816" s="6" t="str">
        <f t="shared" ca="1" si="13"/>
        <v/>
      </c>
    </row>
    <row r="817" spans="1:10">
      <c r="A817" s="2" t="str">
        <f ca="1">IF(A816="","",IF(IF(价差分析!$W$4="日",--[1]!td(A816-1),IF(价差分析!$W$4="周",--[1]!td(A816-7),--[1]!td(A816-30)))-价差分析!$T$4&gt;0,IF(价差分析!$W$4="日",--[1]!td(A816-1),IF(价差分析!$W$4="周",--[1]!td(A816-7),--[1]!td(A816-30))),""))</f>
        <v/>
      </c>
      <c r="B817" s="1" t="str">
        <f ca="1">IF(A817="","",[1]!s_dq_close($B$1,A817,$M$4))</f>
        <v/>
      </c>
      <c r="C817" s="1" t="str">
        <f ca="1">IF(A817="","",[1]!s_dq_close($C$1,A817,$M$4))</f>
        <v/>
      </c>
      <c r="D817" s="6" t="str">
        <f ca="1">IF($A817="","",[1]!s_dq_close(D$1,$A817,$M$4))</f>
        <v/>
      </c>
      <c r="E817" s="6" t="str">
        <f ca="1">IF($A817="","",[1]!s_dq_close(E$1,$A817,$M$4))</f>
        <v/>
      </c>
      <c r="F817" s="6" t="str">
        <f ca="1">IF($A817="","",[1]!s_dq_close(F$1,$A817,$M$4))</f>
        <v/>
      </c>
      <c r="G817" s="6"/>
      <c r="H817" s="6" t="str">
        <f ca="1">IF($A817="","",[1]!s_dq_close(H$1,$A817,$M$4))</f>
        <v/>
      </c>
      <c r="I817" s="6" t="str">
        <f ca="1">IF($A817="","",[1]!s_dq_close(I$1,$A817,$M$4))</f>
        <v/>
      </c>
      <c r="J817" s="6" t="str">
        <f t="shared" ca="1" si="13"/>
        <v/>
      </c>
    </row>
    <row r="818" spans="1:10">
      <c r="A818" s="2" t="str">
        <f ca="1">IF(A817="","",IF(IF(价差分析!$W$4="日",--[1]!td(A817-1),IF(价差分析!$W$4="周",--[1]!td(A817-7),--[1]!td(A817-30)))-价差分析!$T$4&gt;0,IF(价差分析!$W$4="日",--[1]!td(A817-1),IF(价差分析!$W$4="周",--[1]!td(A817-7),--[1]!td(A817-30))),""))</f>
        <v/>
      </c>
      <c r="B818" s="1" t="str">
        <f ca="1">IF(A818="","",[1]!s_dq_close($B$1,A818,$M$4))</f>
        <v/>
      </c>
      <c r="C818" s="1" t="str">
        <f ca="1">IF(A818="","",[1]!s_dq_close($C$1,A818,$M$4))</f>
        <v/>
      </c>
      <c r="D818" s="6" t="str">
        <f ca="1">IF($A818="","",[1]!s_dq_close(D$1,$A818,$M$4))</f>
        <v/>
      </c>
      <c r="E818" s="6" t="str">
        <f ca="1">IF($A818="","",[1]!s_dq_close(E$1,$A818,$M$4))</f>
        <v/>
      </c>
      <c r="F818" s="6" t="str">
        <f ca="1">IF($A818="","",[1]!s_dq_close(F$1,$A818,$M$4))</f>
        <v/>
      </c>
      <c r="G818" s="6"/>
      <c r="H818" s="6" t="str">
        <f ca="1">IF($A818="","",[1]!s_dq_close(H$1,$A818,$M$4))</f>
        <v/>
      </c>
      <c r="I818" s="6" t="str">
        <f ca="1">IF($A818="","",[1]!s_dq_close(I$1,$A818,$M$4))</f>
        <v/>
      </c>
      <c r="J818" s="6" t="str">
        <f t="shared" ca="1" si="13"/>
        <v/>
      </c>
    </row>
    <row r="819" spans="1:10">
      <c r="A819" s="2" t="str">
        <f ca="1">IF(A818="","",IF(IF(价差分析!$W$4="日",--[1]!td(A818-1),IF(价差分析!$W$4="周",--[1]!td(A818-7),--[1]!td(A818-30)))-价差分析!$T$4&gt;0,IF(价差分析!$W$4="日",--[1]!td(A818-1),IF(价差分析!$W$4="周",--[1]!td(A818-7),--[1]!td(A818-30))),""))</f>
        <v/>
      </c>
      <c r="B819" s="1" t="str">
        <f ca="1">IF(A819="","",[1]!s_dq_close($B$1,A819,$M$4))</f>
        <v/>
      </c>
      <c r="C819" s="1" t="str">
        <f ca="1">IF(A819="","",[1]!s_dq_close($C$1,A819,$M$4))</f>
        <v/>
      </c>
      <c r="D819" s="6" t="str">
        <f ca="1">IF($A819="","",[1]!s_dq_close(D$1,$A819,$M$4))</f>
        <v/>
      </c>
      <c r="E819" s="6" t="str">
        <f ca="1">IF($A819="","",[1]!s_dq_close(E$1,$A819,$M$4))</f>
        <v/>
      </c>
      <c r="F819" s="6" t="str">
        <f ca="1">IF($A819="","",[1]!s_dq_close(F$1,$A819,$M$4))</f>
        <v/>
      </c>
      <c r="G819" s="6"/>
      <c r="H819" s="6" t="str">
        <f ca="1">IF($A819="","",[1]!s_dq_close(H$1,$A819,$M$4))</f>
        <v/>
      </c>
      <c r="I819" s="6" t="str">
        <f ca="1">IF($A819="","",[1]!s_dq_close(I$1,$A819,$M$4))</f>
        <v/>
      </c>
      <c r="J819" s="6" t="str">
        <f t="shared" ca="1" si="13"/>
        <v/>
      </c>
    </row>
    <row r="820" spans="1:10">
      <c r="A820" s="2" t="str">
        <f ca="1">IF(A819="","",IF(IF(价差分析!$W$4="日",--[1]!td(A819-1),IF(价差分析!$W$4="周",--[1]!td(A819-7),--[1]!td(A819-30)))-价差分析!$T$4&gt;0,IF(价差分析!$W$4="日",--[1]!td(A819-1),IF(价差分析!$W$4="周",--[1]!td(A819-7),--[1]!td(A819-30))),""))</f>
        <v/>
      </c>
      <c r="B820" s="1" t="str">
        <f ca="1">IF(A820="","",[1]!s_dq_close($B$1,A820,$M$4))</f>
        <v/>
      </c>
      <c r="C820" s="1" t="str">
        <f ca="1">IF(A820="","",[1]!s_dq_close($C$1,A820,$M$4))</f>
        <v/>
      </c>
      <c r="D820" s="6" t="str">
        <f ca="1">IF($A820="","",[1]!s_dq_close(D$1,$A820,$M$4))</f>
        <v/>
      </c>
      <c r="E820" s="6" t="str">
        <f ca="1">IF($A820="","",[1]!s_dq_close(E$1,$A820,$M$4))</f>
        <v/>
      </c>
      <c r="F820" s="6" t="str">
        <f ca="1">IF($A820="","",[1]!s_dq_close(F$1,$A820,$M$4))</f>
        <v/>
      </c>
      <c r="G820" s="6"/>
      <c r="H820" s="6" t="str">
        <f ca="1">IF($A820="","",[1]!s_dq_close(H$1,$A820,$M$4))</f>
        <v/>
      </c>
      <c r="I820" s="6" t="str">
        <f ca="1">IF($A820="","",[1]!s_dq_close(I$1,$A820,$M$4))</f>
        <v/>
      </c>
      <c r="J820" s="6" t="str">
        <f t="shared" ca="1" si="13"/>
        <v/>
      </c>
    </row>
    <row r="821" spans="1:10">
      <c r="A821" s="2" t="str">
        <f ca="1">IF(A820="","",IF(IF(价差分析!$W$4="日",--[1]!td(A820-1),IF(价差分析!$W$4="周",--[1]!td(A820-7),--[1]!td(A820-30)))-价差分析!$T$4&gt;0,IF(价差分析!$W$4="日",--[1]!td(A820-1),IF(价差分析!$W$4="周",--[1]!td(A820-7),--[1]!td(A820-30))),""))</f>
        <v/>
      </c>
      <c r="B821" s="1" t="str">
        <f ca="1">IF(A821="","",[1]!s_dq_close($B$1,A821,$M$4))</f>
        <v/>
      </c>
      <c r="C821" s="1" t="str">
        <f ca="1">IF(A821="","",[1]!s_dq_close($C$1,A821,$M$4))</f>
        <v/>
      </c>
      <c r="D821" s="6" t="str">
        <f ca="1">IF($A821="","",[1]!s_dq_close(D$1,$A821,$M$4))</f>
        <v/>
      </c>
      <c r="E821" s="6" t="str">
        <f ca="1">IF($A821="","",[1]!s_dq_close(E$1,$A821,$M$4))</f>
        <v/>
      </c>
      <c r="F821" s="6" t="str">
        <f ca="1">IF($A821="","",[1]!s_dq_close(F$1,$A821,$M$4))</f>
        <v/>
      </c>
      <c r="G821" s="6"/>
      <c r="H821" s="6" t="str">
        <f ca="1">IF($A821="","",[1]!s_dq_close(H$1,$A821,$M$4))</f>
        <v/>
      </c>
      <c r="I821" s="6" t="str">
        <f ca="1">IF($A821="","",[1]!s_dq_close(I$1,$A821,$M$4))</f>
        <v/>
      </c>
      <c r="J821" s="6" t="str">
        <f t="shared" ca="1" si="13"/>
        <v/>
      </c>
    </row>
    <row r="822" spans="1:10">
      <c r="A822" s="2" t="str">
        <f ca="1">IF(A821="","",IF(IF(价差分析!$W$4="日",--[1]!td(A821-1),IF(价差分析!$W$4="周",--[1]!td(A821-7),--[1]!td(A821-30)))-价差分析!$T$4&gt;0,IF(价差分析!$W$4="日",--[1]!td(A821-1),IF(价差分析!$W$4="周",--[1]!td(A821-7),--[1]!td(A821-30))),""))</f>
        <v/>
      </c>
      <c r="B822" s="1" t="str">
        <f ca="1">IF(A822="","",[1]!s_dq_close($B$1,A822,$M$4))</f>
        <v/>
      </c>
      <c r="C822" s="1" t="str">
        <f ca="1">IF(A822="","",[1]!s_dq_close($C$1,A822,$M$4))</f>
        <v/>
      </c>
      <c r="D822" s="6" t="str">
        <f ca="1">IF($A822="","",[1]!s_dq_close(D$1,$A822,$M$4))</f>
        <v/>
      </c>
      <c r="E822" s="6" t="str">
        <f ca="1">IF($A822="","",[1]!s_dq_close(E$1,$A822,$M$4))</f>
        <v/>
      </c>
      <c r="F822" s="6" t="str">
        <f ca="1">IF($A822="","",[1]!s_dq_close(F$1,$A822,$M$4))</f>
        <v/>
      </c>
      <c r="G822" s="6"/>
      <c r="H822" s="6" t="str">
        <f ca="1">IF($A822="","",[1]!s_dq_close(H$1,$A822,$M$4))</f>
        <v/>
      </c>
      <c r="I822" s="6" t="str">
        <f ca="1">IF($A822="","",[1]!s_dq_close(I$1,$A822,$M$4))</f>
        <v/>
      </c>
      <c r="J822" s="6" t="str">
        <f t="shared" ca="1" si="13"/>
        <v/>
      </c>
    </row>
    <row r="823" spans="1:10">
      <c r="A823" s="2" t="str">
        <f ca="1">IF(A822="","",IF(IF(价差分析!$W$4="日",--[1]!td(A822-1),IF(价差分析!$W$4="周",--[1]!td(A822-7),--[1]!td(A822-30)))-价差分析!$T$4&gt;0,IF(价差分析!$W$4="日",--[1]!td(A822-1),IF(价差分析!$W$4="周",--[1]!td(A822-7),--[1]!td(A822-30))),""))</f>
        <v/>
      </c>
      <c r="B823" s="1" t="str">
        <f ca="1">IF(A823="","",[1]!s_dq_close($B$1,A823,$M$4))</f>
        <v/>
      </c>
      <c r="C823" s="1" t="str">
        <f ca="1">IF(A823="","",[1]!s_dq_close($C$1,A823,$M$4))</f>
        <v/>
      </c>
      <c r="D823" s="6" t="str">
        <f ca="1">IF($A823="","",[1]!s_dq_close(D$1,$A823,$M$4))</f>
        <v/>
      </c>
      <c r="E823" s="6" t="str">
        <f ca="1">IF($A823="","",[1]!s_dq_close(E$1,$A823,$M$4))</f>
        <v/>
      </c>
      <c r="F823" s="6" t="str">
        <f ca="1">IF($A823="","",[1]!s_dq_close(F$1,$A823,$M$4))</f>
        <v/>
      </c>
      <c r="G823" s="6"/>
      <c r="H823" s="6" t="str">
        <f ca="1">IF($A823="","",[1]!s_dq_close(H$1,$A823,$M$4))</f>
        <v/>
      </c>
      <c r="I823" s="6" t="str">
        <f ca="1">IF($A823="","",[1]!s_dq_close(I$1,$A823,$M$4))</f>
        <v/>
      </c>
      <c r="J823" s="6" t="str">
        <f t="shared" ca="1" si="13"/>
        <v/>
      </c>
    </row>
    <row r="824" spans="1:10">
      <c r="A824" s="2" t="str">
        <f ca="1">IF(A823="","",IF(IF(价差分析!$W$4="日",--[1]!td(A823-1),IF(价差分析!$W$4="周",--[1]!td(A823-7),--[1]!td(A823-30)))-价差分析!$T$4&gt;0,IF(价差分析!$W$4="日",--[1]!td(A823-1),IF(价差分析!$W$4="周",--[1]!td(A823-7),--[1]!td(A823-30))),""))</f>
        <v/>
      </c>
      <c r="B824" s="1" t="str">
        <f ca="1">IF(A824="","",[1]!s_dq_close($B$1,A824,$M$4))</f>
        <v/>
      </c>
      <c r="C824" s="1" t="str">
        <f ca="1">IF(A824="","",[1]!s_dq_close($C$1,A824,$M$4))</f>
        <v/>
      </c>
      <c r="D824" s="6" t="str">
        <f ca="1">IF($A824="","",[1]!s_dq_close(D$1,$A824,$M$4))</f>
        <v/>
      </c>
      <c r="E824" s="6" t="str">
        <f ca="1">IF($A824="","",[1]!s_dq_close(E$1,$A824,$M$4))</f>
        <v/>
      </c>
      <c r="F824" s="6" t="str">
        <f ca="1">IF($A824="","",[1]!s_dq_close(F$1,$A824,$M$4))</f>
        <v/>
      </c>
      <c r="G824" s="6"/>
      <c r="H824" s="6" t="str">
        <f ca="1">IF($A824="","",[1]!s_dq_close(H$1,$A824,$M$4))</f>
        <v/>
      </c>
      <c r="I824" s="6" t="str">
        <f ca="1">IF($A824="","",[1]!s_dq_close(I$1,$A824,$M$4))</f>
        <v/>
      </c>
      <c r="J824" s="6" t="str">
        <f t="shared" ca="1" si="13"/>
        <v/>
      </c>
    </row>
    <row r="825" spans="1:10">
      <c r="A825" s="2" t="str">
        <f ca="1">IF(A824="","",IF(IF(价差分析!$W$4="日",--[1]!td(A824-1),IF(价差分析!$W$4="周",--[1]!td(A824-7),--[1]!td(A824-30)))-价差分析!$T$4&gt;0,IF(价差分析!$W$4="日",--[1]!td(A824-1),IF(价差分析!$W$4="周",--[1]!td(A824-7),--[1]!td(A824-30))),""))</f>
        <v/>
      </c>
      <c r="B825" s="1" t="str">
        <f ca="1">IF(A825="","",[1]!s_dq_close($B$1,A825,$M$4))</f>
        <v/>
      </c>
      <c r="C825" s="1" t="str">
        <f ca="1">IF(A825="","",[1]!s_dq_close($C$1,A825,$M$4))</f>
        <v/>
      </c>
      <c r="D825" s="6" t="str">
        <f ca="1">IF($A825="","",[1]!s_dq_close(D$1,$A825,$M$4))</f>
        <v/>
      </c>
      <c r="E825" s="6" t="str">
        <f ca="1">IF($A825="","",[1]!s_dq_close(E$1,$A825,$M$4))</f>
        <v/>
      </c>
      <c r="F825" s="6" t="str">
        <f ca="1">IF($A825="","",[1]!s_dq_close(F$1,$A825,$M$4))</f>
        <v/>
      </c>
      <c r="G825" s="6"/>
      <c r="H825" s="6" t="str">
        <f ca="1">IF($A825="","",[1]!s_dq_close(H$1,$A825,$M$4))</f>
        <v/>
      </c>
      <c r="I825" s="6" t="str">
        <f ca="1">IF($A825="","",[1]!s_dq_close(I$1,$A825,$M$4))</f>
        <v/>
      </c>
      <c r="J825" s="6" t="str">
        <f t="shared" ca="1" si="13"/>
        <v/>
      </c>
    </row>
    <row r="826" spans="1:10">
      <c r="A826" s="2" t="str">
        <f ca="1">IF(A825="","",IF(IF(价差分析!$W$4="日",--[1]!td(A825-1),IF(价差分析!$W$4="周",--[1]!td(A825-7),--[1]!td(A825-30)))-价差分析!$T$4&gt;0,IF(价差分析!$W$4="日",--[1]!td(A825-1),IF(价差分析!$W$4="周",--[1]!td(A825-7),--[1]!td(A825-30))),""))</f>
        <v/>
      </c>
      <c r="B826" s="1" t="str">
        <f ca="1">IF(A826="","",[1]!s_dq_close($B$1,A826,$M$4))</f>
        <v/>
      </c>
      <c r="C826" s="1" t="str">
        <f ca="1">IF(A826="","",[1]!s_dq_close($C$1,A826,$M$4))</f>
        <v/>
      </c>
      <c r="D826" s="6" t="str">
        <f ca="1">IF($A826="","",[1]!s_dq_close(D$1,$A826,$M$4))</f>
        <v/>
      </c>
      <c r="E826" s="6" t="str">
        <f ca="1">IF($A826="","",[1]!s_dq_close(E$1,$A826,$M$4))</f>
        <v/>
      </c>
      <c r="F826" s="6" t="str">
        <f ca="1">IF($A826="","",[1]!s_dq_close(F$1,$A826,$M$4))</f>
        <v/>
      </c>
      <c r="G826" s="6"/>
      <c r="H826" s="6" t="str">
        <f ca="1">IF($A826="","",[1]!s_dq_close(H$1,$A826,$M$4))</f>
        <v/>
      </c>
      <c r="I826" s="6" t="str">
        <f ca="1">IF($A826="","",[1]!s_dq_close(I$1,$A826,$M$4))</f>
        <v/>
      </c>
      <c r="J826" s="6" t="str">
        <f t="shared" ca="1" si="13"/>
        <v/>
      </c>
    </row>
    <row r="827" spans="1:10">
      <c r="A827" s="2" t="str">
        <f ca="1">IF(A826="","",IF(IF(价差分析!$W$4="日",--[1]!td(A826-1),IF(价差分析!$W$4="周",--[1]!td(A826-7),--[1]!td(A826-30)))-价差分析!$T$4&gt;0,IF(价差分析!$W$4="日",--[1]!td(A826-1),IF(价差分析!$W$4="周",--[1]!td(A826-7),--[1]!td(A826-30))),""))</f>
        <v/>
      </c>
      <c r="B827" s="1" t="str">
        <f ca="1">IF(A827="","",[1]!s_dq_close($B$1,A827,$M$4))</f>
        <v/>
      </c>
      <c r="C827" s="1" t="str">
        <f ca="1">IF(A827="","",[1]!s_dq_close($C$1,A827,$M$4))</f>
        <v/>
      </c>
      <c r="D827" s="6" t="str">
        <f ca="1">IF($A827="","",[1]!s_dq_close(D$1,$A827,$M$4))</f>
        <v/>
      </c>
      <c r="E827" s="6" t="str">
        <f ca="1">IF($A827="","",[1]!s_dq_close(E$1,$A827,$M$4))</f>
        <v/>
      </c>
      <c r="F827" s="6" t="str">
        <f ca="1">IF($A827="","",[1]!s_dq_close(F$1,$A827,$M$4))</f>
        <v/>
      </c>
      <c r="G827" s="6"/>
      <c r="H827" s="6" t="str">
        <f ca="1">IF($A827="","",[1]!s_dq_close(H$1,$A827,$M$4))</f>
        <v/>
      </c>
      <c r="I827" s="6" t="str">
        <f ca="1">IF($A827="","",[1]!s_dq_close(I$1,$A827,$M$4))</f>
        <v/>
      </c>
      <c r="J827" s="6" t="str">
        <f t="shared" ca="1" si="13"/>
        <v/>
      </c>
    </row>
    <row r="828" spans="1:10">
      <c r="A828" s="2" t="str">
        <f ca="1">IF(A827="","",IF(IF(价差分析!$W$4="日",--[1]!td(A827-1),IF(价差分析!$W$4="周",--[1]!td(A827-7),--[1]!td(A827-30)))-价差分析!$T$4&gt;0,IF(价差分析!$W$4="日",--[1]!td(A827-1),IF(价差分析!$W$4="周",--[1]!td(A827-7),--[1]!td(A827-30))),""))</f>
        <v/>
      </c>
      <c r="B828" s="1" t="str">
        <f ca="1">IF(A828="","",[1]!s_dq_close($B$1,A828,$M$4))</f>
        <v/>
      </c>
      <c r="C828" s="1" t="str">
        <f ca="1">IF(A828="","",[1]!s_dq_close($C$1,A828,$M$4))</f>
        <v/>
      </c>
      <c r="D828" s="6" t="str">
        <f ca="1">IF($A828="","",[1]!s_dq_close(D$1,$A828,$M$4))</f>
        <v/>
      </c>
      <c r="E828" s="6" t="str">
        <f ca="1">IF($A828="","",[1]!s_dq_close(E$1,$A828,$M$4))</f>
        <v/>
      </c>
      <c r="F828" s="6" t="str">
        <f ca="1">IF($A828="","",[1]!s_dq_close(F$1,$A828,$M$4))</f>
        <v/>
      </c>
      <c r="G828" s="6"/>
      <c r="H828" s="6" t="str">
        <f ca="1">IF($A828="","",[1]!s_dq_close(H$1,$A828,$M$4))</f>
        <v/>
      </c>
      <c r="I828" s="6" t="str">
        <f ca="1">IF($A828="","",[1]!s_dq_close(I$1,$A828,$M$4))</f>
        <v/>
      </c>
      <c r="J828" s="6" t="str">
        <f t="shared" ca="1" si="13"/>
        <v/>
      </c>
    </row>
    <row r="829" spans="1:10">
      <c r="A829" s="2" t="str">
        <f ca="1">IF(A828="","",IF(IF(价差分析!$W$4="日",--[1]!td(A828-1),IF(价差分析!$W$4="周",--[1]!td(A828-7),--[1]!td(A828-30)))-价差分析!$T$4&gt;0,IF(价差分析!$W$4="日",--[1]!td(A828-1),IF(价差分析!$W$4="周",--[1]!td(A828-7),--[1]!td(A828-30))),""))</f>
        <v/>
      </c>
      <c r="B829" s="1" t="str">
        <f ca="1">IF(A829="","",[1]!s_dq_close($B$1,A829,$M$4))</f>
        <v/>
      </c>
      <c r="C829" s="1" t="str">
        <f ca="1">IF(A829="","",[1]!s_dq_close($C$1,A829,$M$4))</f>
        <v/>
      </c>
      <c r="D829" s="6" t="str">
        <f ca="1">IF($A829="","",[1]!s_dq_close(D$1,$A829,$M$4))</f>
        <v/>
      </c>
      <c r="E829" s="6" t="str">
        <f ca="1">IF($A829="","",[1]!s_dq_close(E$1,$A829,$M$4))</f>
        <v/>
      </c>
      <c r="F829" s="6" t="str">
        <f ca="1">IF($A829="","",[1]!s_dq_close(F$1,$A829,$M$4))</f>
        <v/>
      </c>
      <c r="G829" s="6"/>
      <c r="H829" s="6" t="str">
        <f ca="1">IF($A829="","",[1]!s_dq_close(H$1,$A829,$M$4))</f>
        <v/>
      </c>
      <c r="I829" s="6" t="str">
        <f ca="1">IF($A829="","",[1]!s_dq_close(I$1,$A829,$M$4))</f>
        <v/>
      </c>
      <c r="J829" s="6" t="str">
        <f t="shared" ca="1" si="13"/>
        <v/>
      </c>
    </row>
    <row r="830" spans="1:10">
      <c r="A830" s="2" t="str">
        <f ca="1">IF(A829="","",IF(IF(价差分析!$W$4="日",--[1]!td(A829-1),IF(价差分析!$W$4="周",--[1]!td(A829-7),--[1]!td(A829-30)))-价差分析!$T$4&gt;0,IF(价差分析!$W$4="日",--[1]!td(A829-1),IF(价差分析!$W$4="周",--[1]!td(A829-7),--[1]!td(A829-30))),""))</f>
        <v/>
      </c>
      <c r="B830" s="1" t="str">
        <f ca="1">IF(A830="","",[1]!s_dq_close($B$1,A830,$M$4))</f>
        <v/>
      </c>
      <c r="C830" s="1" t="str">
        <f ca="1">IF(A830="","",[1]!s_dq_close($C$1,A830,$M$4))</f>
        <v/>
      </c>
      <c r="D830" s="6" t="str">
        <f ca="1">IF($A830="","",[1]!s_dq_close(D$1,$A830,$M$4))</f>
        <v/>
      </c>
      <c r="E830" s="6" t="str">
        <f ca="1">IF($A830="","",[1]!s_dq_close(E$1,$A830,$M$4))</f>
        <v/>
      </c>
      <c r="F830" s="6" t="str">
        <f ca="1">IF($A830="","",[1]!s_dq_close(F$1,$A830,$M$4))</f>
        <v/>
      </c>
      <c r="G830" s="6"/>
      <c r="H830" s="6" t="str">
        <f ca="1">IF($A830="","",[1]!s_dq_close(H$1,$A830,$M$4))</f>
        <v/>
      </c>
      <c r="I830" s="6" t="str">
        <f ca="1">IF($A830="","",[1]!s_dq_close(I$1,$A830,$M$4))</f>
        <v/>
      </c>
      <c r="J830" s="6" t="str">
        <f t="shared" ca="1" si="13"/>
        <v/>
      </c>
    </row>
    <row r="831" spans="1:10">
      <c r="A831" s="2" t="str">
        <f ca="1">IF(A830="","",IF(IF(价差分析!$W$4="日",--[1]!td(A830-1),IF(价差分析!$W$4="周",--[1]!td(A830-7),--[1]!td(A830-30)))-价差分析!$T$4&gt;0,IF(价差分析!$W$4="日",--[1]!td(A830-1),IF(价差分析!$W$4="周",--[1]!td(A830-7),--[1]!td(A830-30))),""))</f>
        <v/>
      </c>
      <c r="B831" s="1" t="str">
        <f ca="1">IF(A831="","",[1]!s_dq_close($B$1,A831,$M$4))</f>
        <v/>
      </c>
      <c r="C831" s="1" t="str">
        <f ca="1">IF(A831="","",[1]!s_dq_close($C$1,A831,$M$4))</f>
        <v/>
      </c>
      <c r="D831" s="6" t="str">
        <f ca="1">IF($A831="","",[1]!s_dq_close(D$1,$A831,$M$4))</f>
        <v/>
      </c>
      <c r="E831" s="6" t="str">
        <f ca="1">IF($A831="","",[1]!s_dq_close(E$1,$A831,$M$4))</f>
        <v/>
      </c>
      <c r="F831" s="6" t="str">
        <f ca="1">IF($A831="","",[1]!s_dq_close(F$1,$A831,$M$4))</f>
        <v/>
      </c>
      <c r="G831" s="6"/>
      <c r="H831" s="6" t="str">
        <f ca="1">IF($A831="","",[1]!s_dq_close(H$1,$A831,$M$4))</f>
        <v/>
      </c>
      <c r="I831" s="6" t="str">
        <f ca="1">IF($A831="","",[1]!s_dq_close(I$1,$A831,$M$4))</f>
        <v/>
      </c>
      <c r="J831" s="6" t="str">
        <f t="shared" ca="1" si="13"/>
        <v/>
      </c>
    </row>
    <row r="832" spans="1:10">
      <c r="A832" s="2" t="str">
        <f ca="1">IF(A831="","",IF(IF(价差分析!$W$4="日",--[1]!td(A831-1),IF(价差分析!$W$4="周",--[1]!td(A831-7),--[1]!td(A831-30)))-价差分析!$T$4&gt;0,IF(价差分析!$W$4="日",--[1]!td(A831-1),IF(价差分析!$W$4="周",--[1]!td(A831-7),--[1]!td(A831-30))),""))</f>
        <v/>
      </c>
      <c r="B832" s="1" t="str">
        <f ca="1">IF(A832="","",[1]!s_dq_close($B$1,A832,$M$4))</f>
        <v/>
      </c>
      <c r="C832" s="1" t="str">
        <f ca="1">IF(A832="","",[1]!s_dq_close($C$1,A832,$M$4))</f>
        <v/>
      </c>
      <c r="D832" s="6" t="str">
        <f ca="1">IF($A832="","",[1]!s_dq_close(D$1,$A832,$M$4))</f>
        <v/>
      </c>
      <c r="E832" s="6" t="str">
        <f ca="1">IF($A832="","",[1]!s_dq_close(E$1,$A832,$M$4))</f>
        <v/>
      </c>
      <c r="F832" s="6" t="str">
        <f ca="1">IF($A832="","",[1]!s_dq_close(F$1,$A832,$M$4))</f>
        <v/>
      </c>
      <c r="G832" s="6"/>
      <c r="H832" s="6" t="str">
        <f ca="1">IF($A832="","",[1]!s_dq_close(H$1,$A832,$M$4))</f>
        <v/>
      </c>
      <c r="I832" s="6" t="str">
        <f ca="1">IF($A832="","",[1]!s_dq_close(I$1,$A832,$M$4))</f>
        <v/>
      </c>
      <c r="J832" s="6" t="str">
        <f t="shared" ca="1" si="13"/>
        <v/>
      </c>
    </row>
    <row r="833" spans="1:10">
      <c r="A833" s="2" t="str">
        <f ca="1">IF(A832="","",IF(IF(价差分析!$W$4="日",--[1]!td(A832-1),IF(价差分析!$W$4="周",--[1]!td(A832-7),--[1]!td(A832-30)))-价差分析!$T$4&gt;0,IF(价差分析!$W$4="日",--[1]!td(A832-1),IF(价差分析!$W$4="周",--[1]!td(A832-7),--[1]!td(A832-30))),""))</f>
        <v/>
      </c>
      <c r="B833" s="1" t="str">
        <f ca="1">IF(A833="","",[1]!s_dq_close($B$1,A833,$M$4))</f>
        <v/>
      </c>
      <c r="C833" s="1" t="str">
        <f ca="1">IF(A833="","",[1]!s_dq_close($C$1,A833,$M$4))</f>
        <v/>
      </c>
      <c r="D833" s="6" t="str">
        <f ca="1">IF($A833="","",[1]!s_dq_close(D$1,$A833,$M$4))</f>
        <v/>
      </c>
      <c r="E833" s="6" t="str">
        <f ca="1">IF($A833="","",[1]!s_dq_close(E$1,$A833,$M$4))</f>
        <v/>
      </c>
      <c r="F833" s="6" t="str">
        <f ca="1">IF($A833="","",[1]!s_dq_close(F$1,$A833,$M$4))</f>
        <v/>
      </c>
      <c r="G833" s="6"/>
      <c r="H833" s="6" t="str">
        <f ca="1">IF($A833="","",[1]!s_dq_close(H$1,$A833,$M$4))</f>
        <v/>
      </c>
      <c r="I833" s="6" t="str">
        <f ca="1">IF($A833="","",[1]!s_dq_close(I$1,$A833,$M$4))</f>
        <v/>
      </c>
      <c r="J833" s="6" t="str">
        <f t="shared" ca="1" si="13"/>
        <v/>
      </c>
    </row>
    <row r="834" spans="1:10">
      <c r="A834" s="2" t="str">
        <f ca="1">IF(A833="","",IF(IF(价差分析!$W$4="日",--[1]!td(A833-1),IF(价差分析!$W$4="周",--[1]!td(A833-7),--[1]!td(A833-30)))-价差分析!$T$4&gt;0,IF(价差分析!$W$4="日",--[1]!td(A833-1),IF(价差分析!$W$4="周",--[1]!td(A833-7),--[1]!td(A833-30))),""))</f>
        <v/>
      </c>
      <c r="B834" s="1" t="str">
        <f ca="1">IF(A834="","",[1]!s_dq_close($B$1,A834,$M$4))</f>
        <v/>
      </c>
      <c r="C834" s="1" t="str">
        <f ca="1">IF(A834="","",[1]!s_dq_close($C$1,A834,$M$4))</f>
        <v/>
      </c>
      <c r="D834" s="6" t="str">
        <f ca="1">IF($A834="","",[1]!s_dq_close(D$1,$A834,$M$4))</f>
        <v/>
      </c>
      <c r="E834" s="6" t="str">
        <f ca="1">IF($A834="","",[1]!s_dq_close(E$1,$A834,$M$4))</f>
        <v/>
      </c>
      <c r="F834" s="6" t="str">
        <f ca="1">IF($A834="","",[1]!s_dq_close(F$1,$A834,$M$4))</f>
        <v/>
      </c>
      <c r="G834" s="6"/>
      <c r="H834" s="6" t="str">
        <f ca="1">IF($A834="","",[1]!s_dq_close(H$1,$A834,$M$4))</f>
        <v/>
      </c>
      <c r="I834" s="6" t="str">
        <f ca="1">IF($A834="","",[1]!s_dq_close(I$1,$A834,$M$4))</f>
        <v/>
      </c>
      <c r="J834" s="6" t="str">
        <f t="shared" ca="1" si="13"/>
        <v/>
      </c>
    </row>
    <row r="835" spans="1:10">
      <c r="A835" s="2" t="str">
        <f ca="1">IF(A834="","",IF(IF(价差分析!$W$4="日",--[1]!td(A834-1),IF(价差分析!$W$4="周",--[1]!td(A834-7),--[1]!td(A834-30)))-价差分析!$T$4&gt;0,IF(价差分析!$W$4="日",--[1]!td(A834-1),IF(价差分析!$W$4="周",--[1]!td(A834-7),--[1]!td(A834-30))),""))</f>
        <v/>
      </c>
      <c r="B835" s="1" t="str">
        <f ca="1">IF(A835="","",[1]!s_dq_close($B$1,A835,$M$4))</f>
        <v/>
      </c>
      <c r="C835" s="1" t="str">
        <f ca="1">IF(A835="","",[1]!s_dq_close($C$1,A835,$M$4))</f>
        <v/>
      </c>
      <c r="D835" s="6" t="str">
        <f ca="1">IF($A835="","",[1]!s_dq_close(D$1,$A835,$M$4))</f>
        <v/>
      </c>
      <c r="E835" s="6" t="str">
        <f ca="1">IF($A835="","",[1]!s_dq_close(E$1,$A835,$M$4))</f>
        <v/>
      </c>
      <c r="F835" s="6" t="str">
        <f ca="1">IF($A835="","",[1]!s_dq_close(F$1,$A835,$M$4))</f>
        <v/>
      </c>
      <c r="G835" s="6"/>
      <c r="H835" s="6" t="str">
        <f ca="1">IF($A835="","",[1]!s_dq_close(H$1,$A835,$M$4))</f>
        <v/>
      </c>
      <c r="I835" s="6" t="str">
        <f ca="1">IF($A835="","",[1]!s_dq_close(I$1,$A835,$M$4))</f>
        <v/>
      </c>
      <c r="J835" s="6" t="str">
        <f t="shared" ca="1" si="13"/>
        <v/>
      </c>
    </row>
    <row r="836" spans="1:10">
      <c r="A836" s="2" t="str">
        <f ca="1">IF(A835="","",IF(IF(价差分析!$W$4="日",--[1]!td(A835-1),IF(价差分析!$W$4="周",--[1]!td(A835-7),--[1]!td(A835-30)))-价差分析!$T$4&gt;0,IF(价差分析!$W$4="日",--[1]!td(A835-1),IF(价差分析!$W$4="周",--[1]!td(A835-7),--[1]!td(A835-30))),""))</f>
        <v/>
      </c>
      <c r="B836" s="1" t="str">
        <f ca="1">IF(A836="","",[1]!s_dq_close($B$1,A836,$M$4))</f>
        <v/>
      </c>
      <c r="C836" s="1" t="str">
        <f ca="1">IF(A836="","",[1]!s_dq_close($C$1,A836,$M$4))</f>
        <v/>
      </c>
      <c r="D836" s="6" t="str">
        <f ca="1">IF($A836="","",[1]!s_dq_close(D$1,$A836,$M$4))</f>
        <v/>
      </c>
      <c r="E836" s="6" t="str">
        <f ca="1">IF($A836="","",[1]!s_dq_close(E$1,$A836,$M$4))</f>
        <v/>
      </c>
      <c r="F836" s="6" t="str">
        <f ca="1">IF($A836="","",[1]!s_dq_close(F$1,$A836,$M$4))</f>
        <v/>
      </c>
      <c r="G836" s="6"/>
      <c r="H836" s="6" t="str">
        <f ca="1">IF($A836="","",[1]!s_dq_close(H$1,$A836,$M$4))</f>
        <v/>
      </c>
      <c r="I836" s="6" t="str">
        <f ca="1">IF($A836="","",[1]!s_dq_close(I$1,$A836,$M$4))</f>
        <v/>
      </c>
      <c r="J836" s="6" t="str">
        <f t="shared" ca="1" si="13"/>
        <v/>
      </c>
    </row>
    <row r="837" spans="1:10">
      <c r="A837" s="2" t="str">
        <f ca="1">IF(A836="","",IF(IF(价差分析!$W$4="日",--[1]!td(A836-1),IF(价差分析!$W$4="周",--[1]!td(A836-7),--[1]!td(A836-30)))-价差分析!$T$4&gt;0,IF(价差分析!$W$4="日",--[1]!td(A836-1),IF(价差分析!$W$4="周",--[1]!td(A836-7),--[1]!td(A836-30))),""))</f>
        <v/>
      </c>
      <c r="B837" s="1" t="str">
        <f ca="1">IF(A837="","",[1]!s_dq_close($B$1,A837,$M$4))</f>
        <v/>
      </c>
      <c r="C837" s="1" t="str">
        <f ca="1">IF(A837="","",[1]!s_dq_close($C$1,A837,$M$4))</f>
        <v/>
      </c>
      <c r="D837" s="6" t="str">
        <f ca="1">IF($A837="","",[1]!s_dq_close(D$1,$A837,$M$4))</f>
        <v/>
      </c>
      <c r="E837" s="6" t="str">
        <f ca="1">IF($A837="","",[1]!s_dq_close(E$1,$A837,$M$4))</f>
        <v/>
      </c>
      <c r="F837" s="6" t="str">
        <f ca="1">IF($A837="","",[1]!s_dq_close(F$1,$A837,$M$4))</f>
        <v/>
      </c>
      <c r="G837" s="6"/>
      <c r="H837" s="6" t="str">
        <f ca="1">IF($A837="","",[1]!s_dq_close(H$1,$A837,$M$4))</f>
        <v/>
      </c>
      <c r="I837" s="6" t="str">
        <f ca="1">IF($A837="","",[1]!s_dq_close(I$1,$A837,$M$4))</f>
        <v/>
      </c>
      <c r="J837" s="6" t="str">
        <f t="shared" ref="J837:J900" ca="1" si="14">IF(H837="","",H837-I837)</f>
        <v/>
      </c>
    </row>
    <row r="838" spans="1:10">
      <c r="A838" s="2" t="str">
        <f ca="1">IF(A837="","",IF(IF(价差分析!$W$4="日",--[1]!td(A837-1),IF(价差分析!$W$4="周",--[1]!td(A837-7),--[1]!td(A837-30)))-价差分析!$T$4&gt;0,IF(价差分析!$W$4="日",--[1]!td(A837-1),IF(价差分析!$W$4="周",--[1]!td(A837-7),--[1]!td(A837-30))),""))</f>
        <v/>
      </c>
      <c r="B838" s="1" t="str">
        <f ca="1">IF(A838="","",[1]!s_dq_close($B$1,A838,$M$4))</f>
        <v/>
      </c>
      <c r="C838" s="1" t="str">
        <f ca="1">IF(A838="","",[1]!s_dq_close($C$1,A838,$M$4))</f>
        <v/>
      </c>
      <c r="D838" s="6" t="str">
        <f ca="1">IF($A838="","",[1]!s_dq_close(D$1,$A838,$M$4))</f>
        <v/>
      </c>
      <c r="E838" s="6" t="str">
        <f ca="1">IF($A838="","",[1]!s_dq_close(E$1,$A838,$M$4))</f>
        <v/>
      </c>
      <c r="F838" s="6" t="str">
        <f ca="1">IF($A838="","",[1]!s_dq_close(F$1,$A838,$M$4))</f>
        <v/>
      </c>
      <c r="G838" s="6"/>
      <c r="H838" s="6" t="str">
        <f ca="1">IF($A838="","",[1]!s_dq_close(H$1,$A838,$M$4))</f>
        <v/>
      </c>
      <c r="I838" s="6" t="str">
        <f ca="1">IF($A838="","",[1]!s_dq_close(I$1,$A838,$M$4))</f>
        <v/>
      </c>
      <c r="J838" s="6" t="str">
        <f t="shared" ca="1" si="14"/>
        <v/>
      </c>
    </row>
    <row r="839" spans="1:10">
      <c r="A839" s="2" t="str">
        <f ca="1">IF(A838="","",IF(IF(价差分析!$W$4="日",--[1]!td(A838-1),IF(价差分析!$W$4="周",--[1]!td(A838-7),--[1]!td(A838-30)))-价差分析!$T$4&gt;0,IF(价差分析!$W$4="日",--[1]!td(A838-1),IF(价差分析!$W$4="周",--[1]!td(A838-7),--[1]!td(A838-30))),""))</f>
        <v/>
      </c>
      <c r="B839" s="1" t="str">
        <f ca="1">IF(A839="","",[1]!s_dq_close($B$1,A839,$M$4))</f>
        <v/>
      </c>
      <c r="C839" s="1" t="str">
        <f ca="1">IF(A839="","",[1]!s_dq_close($C$1,A839,$M$4))</f>
        <v/>
      </c>
      <c r="D839" s="6" t="str">
        <f ca="1">IF($A839="","",[1]!s_dq_close(D$1,$A839,$M$4))</f>
        <v/>
      </c>
      <c r="E839" s="6" t="str">
        <f ca="1">IF($A839="","",[1]!s_dq_close(E$1,$A839,$M$4))</f>
        <v/>
      </c>
      <c r="F839" s="6" t="str">
        <f ca="1">IF($A839="","",[1]!s_dq_close(F$1,$A839,$M$4))</f>
        <v/>
      </c>
      <c r="G839" s="6"/>
      <c r="H839" s="6" t="str">
        <f ca="1">IF($A839="","",[1]!s_dq_close(H$1,$A839,$M$4))</f>
        <v/>
      </c>
      <c r="I839" s="6" t="str">
        <f ca="1">IF($A839="","",[1]!s_dq_close(I$1,$A839,$M$4))</f>
        <v/>
      </c>
      <c r="J839" s="6" t="str">
        <f t="shared" ca="1" si="14"/>
        <v/>
      </c>
    </row>
    <row r="840" spans="1:10">
      <c r="A840" s="2" t="str">
        <f ca="1">IF(A839="","",IF(IF(价差分析!$W$4="日",--[1]!td(A839-1),IF(价差分析!$W$4="周",--[1]!td(A839-7),--[1]!td(A839-30)))-价差分析!$T$4&gt;0,IF(价差分析!$W$4="日",--[1]!td(A839-1),IF(价差分析!$W$4="周",--[1]!td(A839-7),--[1]!td(A839-30))),""))</f>
        <v/>
      </c>
      <c r="B840" s="1" t="str">
        <f ca="1">IF(A840="","",[1]!s_dq_close($B$1,A840,$M$4))</f>
        <v/>
      </c>
      <c r="C840" s="1" t="str">
        <f ca="1">IF(A840="","",[1]!s_dq_close($C$1,A840,$M$4))</f>
        <v/>
      </c>
      <c r="D840" s="6" t="str">
        <f ca="1">IF($A840="","",[1]!s_dq_close(D$1,$A840,$M$4))</f>
        <v/>
      </c>
      <c r="E840" s="6" t="str">
        <f ca="1">IF($A840="","",[1]!s_dq_close(E$1,$A840,$M$4))</f>
        <v/>
      </c>
      <c r="F840" s="6" t="str">
        <f ca="1">IF($A840="","",[1]!s_dq_close(F$1,$A840,$M$4))</f>
        <v/>
      </c>
      <c r="G840" s="6"/>
      <c r="H840" s="6" t="str">
        <f ca="1">IF($A840="","",[1]!s_dq_close(H$1,$A840,$M$4))</f>
        <v/>
      </c>
      <c r="I840" s="6" t="str">
        <f ca="1">IF($A840="","",[1]!s_dq_close(I$1,$A840,$M$4))</f>
        <v/>
      </c>
      <c r="J840" s="6" t="str">
        <f t="shared" ca="1" si="14"/>
        <v/>
      </c>
    </row>
    <row r="841" spans="1:10">
      <c r="A841" s="2" t="str">
        <f ca="1">IF(A840="","",IF(IF(价差分析!$W$4="日",--[1]!td(A840-1),IF(价差分析!$W$4="周",--[1]!td(A840-7),--[1]!td(A840-30)))-价差分析!$T$4&gt;0,IF(价差分析!$W$4="日",--[1]!td(A840-1),IF(价差分析!$W$4="周",--[1]!td(A840-7),--[1]!td(A840-30))),""))</f>
        <v/>
      </c>
      <c r="B841" s="1" t="str">
        <f ca="1">IF(A841="","",[1]!s_dq_close($B$1,A841,$M$4))</f>
        <v/>
      </c>
      <c r="C841" s="1" t="str">
        <f ca="1">IF(A841="","",[1]!s_dq_close($C$1,A841,$M$4))</f>
        <v/>
      </c>
      <c r="D841" s="6" t="str">
        <f ca="1">IF($A841="","",[1]!s_dq_close(D$1,$A841,$M$4))</f>
        <v/>
      </c>
      <c r="E841" s="6" t="str">
        <f ca="1">IF($A841="","",[1]!s_dq_close(E$1,$A841,$M$4))</f>
        <v/>
      </c>
      <c r="F841" s="6" t="str">
        <f ca="1">IF($A841="","",[1]!s_dq_close(F$1,$A841,$M$4))</f>
        <v/>
      </c>
      <c r="G841" s="6"/>
      <c r="H841" s="6" t="str">
        <f ca="1">IF($A841="","",[1]!s_dq_close(H$1,$A841,$M$4))</f>
        <v/>
      </c>
      <c r="I841" s="6" t="str">
        <f ca="1">IF($A841="","",[1]!s_dq_close(I$1,$A841,$M$4))</f>
        <v/>
      </c>
      <c r="J841" s="6" t="str">
        <f t="shared" ca="1" si="14"/>
        <v/>
      </c>
    </row>
    <row r="842" spans="1:10">
      <c r="A842" s="2" t="str">
        <f ca="1">IF(A841="","",IF(IF(价差分析!$W$4="日",--[1]!td(A841-1),IF(价差分析!$W$4="周",--[1]!td(A841-7),--[1]!td(A841-30)))-价差分析!$T$4&gt;0,IF(价差分析!$W$4="日",--[1]!td(A841-1),IF(价差分析!$W$4="周",--[1]!td(A841-7),--[1]!td(A841-30))),""))</f>
        <v/>
      </c>
      <c r="B842" s="1" t="str">
        <f ca="1">IF(A842="","",[1]!s_dq_close($B$1,A842,$M$4))</f>
        <v/>
      </c>
      <c r="C842" s="1" t="str">
        <f ca="1">IF(A842="","",[1]!s_dq_close($C$1,A842,$M$4))</f>
        <v/>
      </c>
      <c r="D842" s="6" t="str">
        <f ca="1">IF($A842="","",[1]!s_dq_close(D$1,$A842,$M$4))</f>
        <v/>
      </c>
      <c r="E842" s="6" t="str">
        <f ca="1">IF($A842="","",[1]!s_dq_close(E$1,$A842,$M$4))</f>
        <v/>
      </c>
      <c r="F842" s="6" t="str">
        <f ca="1">IF($A842="","",[1]!s_dq_close(F$1,$A842,$M$4))</f>
        <v/>
      </c>
      <c r="G842" s="6"/>
      <c r="H842" s="6" t="str">
        <f ca="1">IF($A842="","",[1]!s_dq_close(H$1,$A842,$M$4))</f>
        <v/>
      </c>
      <c r="I842" s="6" t="str">
        <f ca="1">IF($A842="","",[1]!s_dq_close(I$1,$A842,$M$4))</f>
        <v/>
      </c>
      <c r="J842" s="6" t="str">
        <f t="shared" ca="1" si="14"/>
        <v/>
      </c>
    </row>
    <row r="843" spans="1:10">
      <c r="A843" s="2" t="str">
        <f ca="1">IF(A842="","",IF(IF(价差分析!$W$4="日",--[1]!td(A842-1),IF(价差分析!$W$4="周",--[1]!td(A842-7),--[1]!td(A842-30)))-价差分析!$T$4&gt;0,IF(价差分析!$W$4="日",--[1]!td(A842-1),IF(价差分析!$W$4="周",--[1]!td(A842-7),--[1]!td(A842-30))),""))</f>
        <v/>
      </c>
      <c r="B843" s="1" t="str">
        <f ca="1">IF(A843="","",[1]!s_dq_close($B$1,A843,$M$4))</f>
        <v/>
      </c>
      <c r="C843" s="1" t="str">
        <f ca="1">IF(A843="","",[1]!s_dq_close($C$1,A843,$M$4))</f>
        <v/>
      </c>
      <c r="D843" s="6" t="str">
        <f ca="1">IF($A843="","",[1]!s_dq_close(D$1,$A843,$M$4))</f>
        <v/>
      </c>
      <c r="E843" s="6" t="str">
        <f ca="1">IF($A843="","",[1]!s_dq_close(E$1,$A843,$M$4))</f>
        <v/>
      </c>
      <c r="F843" s="6" t="str">
        <f ca="1">IF($A843="","",[1]!s_dq_close(F$1,$A843,$M$4))</f>
        <v/>
      </c>
      <c r="G843" s="6"/>
      <c r="H843" s="6" t="str">
        <f ca="1">IF($A843="","",[1]!s_dq_close(H$1,$A843,$M$4))</f>
        <v/>
      </c>
      <c r="I843" s="6" t="str">
        <f ca="1">IF($A843="","",[1]!s_dq_close(I$1,$A843,$M$4))</f>
        <v/>
      </c>
      <c r="J843" s="6" t="str">
        <f t="shared" ca="1" si="14"/>
        <v/>
      </c>
    </row>
    <row r="844" spans="1:10">
      <c r="A844" s="2" t="str">
        <f ca="1">IF(A843="","",IF(IF(价差分析!$W$4="日",--[1]!td(A843-1),IF(价差分析!$W$4="周",--[1]!td(A843-7),--[1]!td(A843-30)))-价差分析!$T$4&gt;0,IF(价差分析!$W$4="日",--[1]!td(A843-1),IF(价差分析!$W$4="周",--[1]!td(A843-7),--[1]!td(A843-30))),""))</f>
        <v/>
      </c>
      <c r="B844" s="1" t="str">
        <f ca="1">IF(A844="","",[1]!s_dq_close($B$1,A844,$M$4))</f>
        <v/>
      </c>
      <c r="C844" s="1" t="str">
        <f ca="1">IF(A844="","",[1]!s_dq_close($C$1,A844,$M$4))</f>
        <v/>
      </c>
      <c r="D844" s="6" t="str">
        <f ca="1">IF($A844="","",[1]!s_dq_close(D$1,$A844,$M$4))</f>
        <v/>
      </c>
      <c r="E844" s="6" t="str">
        <f ca="1">IF($A844="","",[1]!s_dq_close(E$1,$A844,$M$4))</f>
        <v/>
      </c>
      <c r="F844" s="6" t="str">
        <f ca="1">IF($A844="","",[1]!s_dq_close(F$1,$A844,$M$4))</f>
        <v/>
      </c>
      <c r="G844" s="6"/>
      <c r="H844" s="6" t="str">
        <f ca="1">IF($A844="","",[1]!s_dq_close(H$1,$A844,$M$4))</f>
        <v/>
      </c>
      <c r="I844" s="6" t="str">
        <f ca="1">IF($A844="","",[1]!s_dq_close(I$1,$A844,$M$4))</f>
        <v/>
      </c>
      <c r="J844" s="6" t="str">
        <f t="shared" ca="1" si="14"/>
        <v/>
      </c>
    </row>
    <row r="845" spans="1:10">
      <c r="A845" s="2" t="str">
        <f ca="1">IF(A844="","",IF(IF(价差分析!$W$4="日",--[1]!td(A844-1),IF(价差分析!$W$4="周",--[1]!td(A844-7),--[1]!td(A844-30)))-价差分析!$T$4&gt;0,IF(价差分析!$W$4="日",--[1]!td(A844-1),IF(价差分析!$W$4="周",--[1]!td(A844-7),--[1]!td(A844-30))),""))</f>
        <v/>
      </c>
      <c r="B845" s="1" t="str">
        <f ca="1">IF(A845="","",[1]!s_dq_close($B$1,A845,$M$4))</f>
        <v/>
      </c>
      <c r="C845" s="1" t="str">
        <f ca="1">IF(A845="","",[1]!s_dq_close($C$1,A845,$M$4))</f>
        <v/>
      </c>
      <c r="D845" s="6" t="str">
        <f ca="1">IF($A845="","",[1]!s_dq_close(D$1,$A845,$M$4))</f>
        <v/>
      </c>
      <c r="E845" s="6" t="str">
        <f ca="1">IF($A845="","",[1]!s_dq_close(E$1,$A845,$M$4))</f>
        <v/>
      </c>
      <c r="F845" s="6" t="str">
        <f ca="1">IF($A845="","",[1]!s_dq_close(F$1,$A845,$M$4))</f>
        <v/>
      </c>
      <c r="G845" s="6"/>
      <c r="H845" s="6" t="str">
        <f ca="1">IF($A845="","",[1]!s_dq_close(H$1,$A845,$M$4))</f>
        <v/>
      </c>
      <c r="I845" s="6" t="str">
        <f ca="1">IF($A845="","",[1]!s_dq_close(I$1,$A845,$M$4))</f>
        <v/>
      </c>
      <c r="J845" s="6" t="str">
        <f t="shared" ca="1" si="14"/>
        <v/>
      </c>
    </row>
    <row r="846" spans="1:10">
      <c r="A846" s="2" t="str">
        <f ca="1">IF(A845="","",IF(IF(价差分析!$W$4="日",--[1]!td(A845-1),IF(价差分析!$W$4="周",--[1]!td(A845-7),--[1]!td(A845-30)))-价差分析!$T$4&gt;0,IF(价差分析!$W$4="日",--[1]!td(A845-1),IF(价差分析!$W$4="周",--[1]!td(A845-7),--[1]!td(A845-30))),""))</f>
        <v/>
      </c>
      <c r="B846" s="1" t="str">
        <f ca="1">IF(A846="","",[1]!s_dq_close($B$1,A846,$M$4))</f>
        <v/>
      </c>
      <c r="C846" s="1" t="str">
        <f ca="1">IF(A846="","",[1]!s_dq_close($C$1,A846,$M$4))</f>
        <v/>
      </c>
      <c r="D846" s="6" t="str">
        <f ca="1">IF($A846="","",[1]!s_dq_close(D$1,$A846,$M$4))</f>
        <v/>
      </c>
      <c r="E846" s="6" t="str">
        <f ca="1">IF($A846="","",[1]!s_dq_close(E$1,$A846,$M$4))</f>
        <v/>
      </c>
      <c r="F846" s="6" t="str">
        <f ca="1">IF($A846="","",[1]!s_dq_close(F$1,$A846,$M$4))</f>
        <v/>
      </c>
      <c r="G846" s="6"/>
      <c r="H846" s="6" t="str">
        <f ca="1">IF($A846="","",[1]!s_dq_close(H$1,$A846,$M$4))</f>
        <v/>
      </c>
      <c r="I846" s="6" t="str">
        <f ca="1">IF($A846="","",[1]!s_dq_close(I$1,$A846,$M$4))</f>
        <v/>
      </c>
      <c r="J846" s="6" t="str">
        <f t="shared" ca="1" si="14"/>
        <v/>
      </c>
    </row>
    <row r="847" spans="1:10">
      <c r="A847" s="2" t="str">
        <f ca="1">IF(A846="","",IF(IF(价差分析!$W$4="日",--[1]!td(A846-1),IF(价差分析!$W$4="周",--[1]!td(A846-7),--[1]!td(A846-30)))-价差分析!$T$4&gt;0,IF(价差分析!$W$4="日",--[1]!td(A846-1),IF(价差分析!$W$4="周",--[1]!td(A846-7),--[1]!td(A846-30))),""))</f>
        <v/>
      </c>
      <c r="B847" s="1" t="str">
        <f ca="1">IF(A847="","",[1]!s_dq_close($B$1,A847,$M$4))</f>
        <v/>
      </c>
      <c r="C847" s="1" t="str">
        <f ca="1">IF(A847="","",[1]!s_dq_close($C$1,A847,$M$4))</f>
        <v/>
      </c>
      <c r="D847" s="6" t="str">
        <f ca="1">IF($A847="","",[1]!s_dq_close(D$1,$A847,$M$4))</f>
        <v/>
      </c>
      <c r="E847" s="6" t="str">
        <f ca="1">IF($A847="","",[1]!s_dq_close(E$1,$A847,$M$4))</f>
        <v/>
      </c>
      <c r="F847" s="6" t="str">
        <f ca="1">IF($A847="","",[1]!s_dq_close(F$1,$A847,$M$4))</f>
        <v/>
      </c>
      <c r="G847" s="6"/>
      <c r="H847" s="6" t="str">
        <f ca="1">IF($A847="","",[1]!s_dq_close(H$1,$A847,$M$4))</f>
        <v/>
      </c>
      <c r="I847" s="6" t="str">
        <f ca="1">IF($A847="","",[1]!s_dq_close(I$1,$A847,$M$4))</f>
        <v/>
      </c>
      <c r="J847" s="6" t="str">
        <f t="shared" ca="1" si="14"/>
        <v/>
      </c>
    </row>
    <row r="848" spans="1:10">
      <c r="A848" s="2" t="str">
        <f ca="1">IF(A847="","",IF(IF(价差分析!$W$4="日",--[1]!td(A847-1),IF(价差分析!$W$4="周",--[1]!td(A847-7),--[1]!td(A847-30)))-价差分析!$T$4&gt;0,IF(价差分析!$W$4="日",--[1]!td(A847-1),IF(价差分析!$W$4="周",--[1]!td(A847-7),--[1]!td(A847-30))),""))</f>
        <v/>
      </c>
      <c r="B848" s="1" t="str">
        <f ca="1">IF(A848="","",[1]!s_dq_close($B$1,A848,$M$4))</f>
        <v/>
      </c>
      <c r="C848" s="1" t="str">
        <f ca="1">IF(A848="","",[1]!s_dq_close($C$1,A848,$M$4))</f>
        <v/>
      </c>
      <c r="D848" s="6" t="str">
        <f ca="1">IF($A848="","",[1]!s_dq_close(D$1,$A848,$M$4))</f>
        <v/>
      </c>
      <c r="E848" s="6" t="str">
        <f ca="1">IF($A848="","",[1]!s_dq_close(E$1,$A848,$M$4))</f>
        <v/>
      </c>
      <c r="F848" s="6" t="str">
        <f ca="1">IF($A848="","",[1]!s_dq_close(F$1,$A848,$M$4))</f>
        <v/>
      </c>
      <c r="G848" s="6"/>
      <c r="H848" s="6" t="str">
        <f ca="1">IF($A848="","",[1]!s_dq_close(H$1,$A848,$M$4))</f>
        <v/>
      </c>
      <c r="I848" s="6" t="str">
        <f ca="1">IF($A848="","",[1]!s_dq_close(I$1,$A848,$M$4))</f>
        <v/>
      </c>
      <c r="J848" s="6" t="str">
        <f t="shared" ca="1" si="14"/>
        <v/>
      </c>
    </row>
    <row r="849" spans="1:10">
      <c r="A849" s="2" t="str">
        <f ca="1">IF(A848="","",IF(IF(价差分析!$W$4="日",--[1]!td(A848-1),IF(价差分析!$W$4="周",--[1]!td(A848-7),--[1]!td(A848-30)))-价差分析!$T$4&gt;0,IF(价差分析!$W$4="日",--[1]!td(A848-1),IF(价差分析!$W$4="周",--[1]!td(A848-7),--[1]!td(A848-30))),""))</f>
        <v/>
      </c>
      <c r="B849" s="1" t="str">
        <f ca="1">IF(A849="","",[1]!s_dq_close($B$1,A849,$M$4))</f>
        <v/>
      </c>
      <c r="C849" s="1" t="str">
        <f ca="1">IF(A849="","",[1]!s_dq_close($C$1,A849,$M$4))</f>
        <v/>
      </c>
      <c r="D849" s="6" t="str">
        <f ca="1">IF($A849="","",[1]!s_dq_close(D$1,$A849,$M$4))</f>
        <v/>
      </c>
      <c r="E849" s="6" t="str">
        <f ca="1">IF($A849="","",[1]!s_dq_close(E$1,$A849,$M$4))</f>
        <v/>
      </c>
      <c r="F849" s="6" t="str">
        <f ca="1">IF($A849="","",[1]!s_dq_close(F$1,$A849,$M$4))</f>
        <v/>
      </c>
      <c r="G849" s="6"/>
      <c r="H849" s="6" t="str">
        <f ca="1">IF($A849="","",[1]!s_dq_close(H$1,$A849,$M$4))</f>
        <v/>
      </c>
      <c r="I849" s="6" t="str">
        <f ca="1">IF($A849="","",[1]!s_dq_close(I$1,$A849,$M$4))</f>
        <v/>
      </c>
      <c r="J849" s="6" t="str">
        <f t="shared" ca="1" si="14"/>
        <v/>
      </c>
    </row>
    <row r="850" spans="1:10">
      <c r="A850" s="2" t="str">
        <f ca="1">IF(A849="","",IF(IF(价差分析!$W$4="日",--[1]!td(A849-1),IF(价差分析!$W$4="周",--[1]!td(A849-7),--[1]!td(A849-30)))-价差分析!$T$4&gt;0,IF(价差分析!$W$4="日",--[1]!td(A849-1),IF(价差分析!$W$4="周",--[1]!td(A849-7),--[1]!td(A849-30))),""))</f>
        <v/>
      </c>
      <c r="B850" s="1" t="str">
        <f ca="1">IF(A850="","",[1]!s_dq_close($B$1,A850,$M$4))</f>
        <v/>
      </c>
      <c r="C850" s="1" t="str">
        <f ca="1">IF(A850="","",[1]!s_dq_close($C$1,A850,$M$4))</f>
        <v/>
      </c>
      <c r="D850" s="6" t="str">
        <f ca="1">IF($A850="","",[1]!s_dq_close(D$1,$A850,$M$4))</f>
        <v/>
      </c>
      <c r="E850" s="6" t="str">
        <f ca="1">IF($A850="","",[1]!s_dq_close(E$1,$A850,$M$4))</f>
        <v/>
      </c>
      <c r="F850" s="6" t="str">
        <f ca="1">IF($A850="","",[1]!s_dq_close(F$1,$A850,$M$4))</f>
        <v/>
      </c>
      <c r="G850" s="6"/>
      <c r="H850" s="6" t="str">
        <f ca="1">IF($A850="","",[1]!s_dq_close(H$1,$A850,$M$4))</f>
        <v/>
      </c>
      <c r="I850" s="6" t="str">
        <f ca="1">IF($A850="","",[1]!s_dq_close(I$1,$A850,$M$4))</f>
        <v/>
      </c>
      <c r="J850" s="6" t="str">
        <f t="shared" ca="1" si="14"/>
        <v/>
      </c>
    </row>
    <row r="851" spans="1:10">
      <c r="A851" s="2" t="str">
        <f ca="1">IF(A850="","",IF(IF(价差分析!$W$4="日",--[1]!td(A850-1),IF(价差分析!$W$4="周",--[1]!td(A850-7),--[1]!td(A850-30)))-价差分析!$T$4&gt;0,IF(价差分析!$W$4="日",--[1]!td(A850-1),IF(价差分析!$W$4="周",--[1]!td(A850-7),--[1]!td(A850-30))),""))</f>
        <v/>
      </c>
      <c r="B851" s="1" t="str">
        <f ca="1">IF(A851="","",[1]!s_dq_close($B$1,A851,$M$4))</f>
        <v/>
      </c>
      <c r="C851" s="1" t="str">
        <f ca="1">IF(A851="","",[1]!s_dq_close($C$1,A851,$M$4))</f>
        <v/>
      </c>
      <c r="D851" s="6" t="str">
        <f ca="1">IF($A851="","",[1]!s_dq_close(D$1,$A851,$M$4))</f>
        <v/>
      </c>
      <c r="E851" s="6" t="str">
        <f ca="1">IF($A851="","",[1]!s_dq_close(E$1,$A851,$M$4))</f>
        <v/>
      </c>
      <c r="F851" s="6" t="str">
        <f ca="1">IF($A851="","",[1]!s_dq_close(F$1,$A851,$M$4))</f>
        <v/>
      </c>
      <c r="G851" s="6"/>
      <c r="H851" s="6" t="str">
        <f ca="1">IF($A851="","",[1]!s_dq_close(H$1,$A851,$M$4))</f>
        <v/>
      </c>
      <c r="I851" s="6" t="str">
        <f ca="1">IF($A851="","",[1]!s_dq_close(I$1,$A851,$M$4))</f>
        <v/>
      </c>
      <c r="J851" s="6" t="str">
        <f t="shared" ca="1" si="14"/>
        <v/>
      </c>
    </row>
    <row r="852" spans="1:10">
      <c r="A852" s="2" t="str">
        <f ca="1">IF(A851="","",IF(IF(价差分析!$W$4="日",--[1]!td(A851-1),IF(价差分析!$W$4="周",--[1]!td(A851-7),--[1]!td(A851-30)))-价差分析!$T$4&gt;0,IF(价差分析!$W$4="日",--[1]!td(A851-1),IF(价差分析!$W$4="周",--[1]!td(A851-7),--[1]!td(A851-30))),""))</f>
        <v/>
      </c>
      <c r="B852" s="1" t="str">
        <f ca="1">IF(A852="","",[1]!s_dq_close($B$1,A852,$M$4))</f>
        <v/>
      </c>
      <c r="C852" s="1" t="str">
        <f ca="1">IF(A852="","",[1]!s_dq_close($C$1,A852,$M$4))</f>
        <v/>
      </c>
      <c r="D852" s="6" t="str">
        <f ca="1">IF($A852="","",[1]!s_dq_close(D$1,$A852,$M$4))</f>
        <v/>
      </c>
      <c r="E852" s="6" t="str">
        <f ca="1">IF($A852="","",[1]!s_dq_close(E$1,$A852,$M$4))</f>
        <v/>
      </c>
      <c r="F852" s="6" t="str">
        <f ca="1">IF($A852="","",[1]!s_dq_close(F$1,$A852,$M$4))</f>
        <v/>
      </c>
      <c r="G852" s="6"/>
      <c r="H852" s="6" t="str">
        <f ca="1">IF($A852="","",[1]!s_dq_close(H$1,$A852,$M$4))</f>
        <v/>
      </c>
      <c r="I852" s="6" t="str">
        <f ca="1">IF($A852="","",[1]!s_dq_close(I$1,$A852,$M$4))</f>
        <v/>
      </c>
      <c r="J852" s="6" t="str">
        <f t="shared" ca="1" si="14"/>
        <v/>
      </c>
    </row>
    <row r="853" spans="1:10">
      <c r="A853" s="2" t="str">
        <f ca="1">IF(A852="","",IF(IF(价差分析!$W$4="日",--[1]!td(A852-1),IF(价差分析!$W$4="周",--[1]!td(A852-7),--[1]!td(A852-30)))-价差分析!$T$4&gt;0,IF(价差分析!$W$4="日",--[1]!td(A852-1),IF(价差分析!$W$4="周",--[1]!td(A852-7),--[1]!td(A852-30))),""))</f>
        <v/>
      </c>
      <c r="B853" s="1" t="str">
        <f ca="1">IF(A853="","",[1]!s_dq_close($B$1,A853,$M$4))</f>
        <v/>
      </c>
      <c r="C853" s="1" t="str">
        <f ca="1">IF(A853="","",[1]!s_dq_close($C$1,A853,$M$4))</f>
        <v/>
      </c>
      <c r="D853" s="6" t="str">
        <f ca="1">IF($A853="","",[1]!s_dq_close(D$1,$A853,$M$4))</f>
        <v/>
      </c>
      <c r="E853" s="6" t="str">
        <f ca="1">IF($A853="","",[1]!s_dq_close(E$1,$A853,$M$4))</f>
        <v/>
      </c>
      <c r="F853" s="6" t="str">
        <f ca="1">IF($A853="","",[1]!s_dq_close(F$1,$A853,$M$4))</f>
        <v/>
      </c>
      <c r="G853" s="6"/>
      <c r="H853" s="6" t="str">
        <f ca="1">IF($A853="","",[1]!s_dq_close(H$1,$A853,$M$4))</f>
        <v/>
      </c>
      <c r="I853" s="6" t="str">
        <f ca="1">IF($A853="","",[1]!s_dq_close(I$1,$A853,$M$4))</f>
        <v/>
      </c>
      <c r="J853" s="6" t="str">
        <f t="shared" ca="1" si="14"/>
        <v/>
      </c>
    </row>
    <row r="854" spans="1:10">
      <c r="A854" s="2" t="str">
        <f ca="1">IF(A853="","",IF(IF(价差分析!$W$4="日",--[1]!td(A853-1),IF(价差分析!$W$4="周",--[1]!td(A853-7),--[1]!td(A853-30)))-价差分析!$T$4&gt;0,IF(价差分析!$W$4="日",--[1]!td(A853-1),IF(价差分析!$W$4="周",--[1]!td(A853-7),--[1]!td(A853-30))),""))</f>
        <v/>
      </c>
      <c r="B854" s="1" t="str">
        <f ca="1">IF(A854="","",[1]!s_dq_close($B$1,A854,$M$4))</f>
        <v/>
      </c>
      <c r="C854" s="1" t="str">
        <f ca="1">IF(A854="","",[1]!s_dq_close($C$1,A854,$M$4))</f>
        <v/>
      </c>
      <c r="D854" s="6" t="str">
        <f ca="1">IF($A854="","",[1]!s_dq_close(D$1,$A854,$M$4))</f>
        <v/>
      </c>
      <c r="E854" s="6" t="str">
        <f ca="1">IF($A854="","",[1]!s_dq_close(E$1,$A854,$M$4))</f>
        <v/>
      </c>
      <c r="F854" s="6" t="str">
        <f ca="1">IF($A854="","",[1]!s_dq_close(F$1,$A854,$M$4))</f>
        <v/>
      </c>
      <c r="G854" s="6"/>
      <c r="H854" s="6" t="str">
        <f ca="1">IF($A854="","",[1]!s_dq_close(H$1,$A854,$M$4))</f>
        <v/>
      </c>
      <c r="I854" s="6" t="str">
        <f ca="1">IF($A854="","",[1]!s_dq_close(I$1,$A854,$M$4))</f>
        <v/>
      </c>
      <c r="J854" s="6" t="str">
        <f t="shared" ca="1" si="14"/>
        <v/>
      </c>
    </row>
    <row r="855" spans="1:10">
      <c r="A855" s="2" t="str">
        <f ca="1">IF(A854="","",IF(IF(价差分析!$W$4="日",--[1]!td(A854-1),IF(价差分析!$W$4="周",--[1]!td(A854-7),--[1]!td(A854-30)))-价差分析!$T$4&gt;0,IF(价差分析!$W$4="日",--[1]!td(A854-1),IF(价差分析!$W$4="周",--[1]!td(A854-7),--[1]!td(A854-30))),""))</f>
        <v/>
      </c>
      <c r="B855" s="1" t="str">
        <f ca="1">IF(A855="","",[1]!s_dq_close($B$1,A855,$M$4))</f>
        <v/>
      </c>
      <c r="C855" s="1" t="str">
        <f ca="1">IF(A855="","",[1]!s_dq_close($C$1,A855,$M$4))</f>
        <v/>
      </c>
      <c r="D855" s="6" t="str">
        <f ca="1">IF($A855="","",[1]!s_dq_close(D$1,$A855,$M$4))</f>
        <v/>
      </c>
      <c r="E855" s="6" t="str">
        <f ca="1">IF($A855="","",[1]!s_dq_close(E$1,$A855,$M$4))</f>
        <v/>
      </c>
      <c r="F855" s="6" t="str">
        <f ca="1">IF($A855="","",[1]!s_dq_close(F$1,$A855,$M$4))</f>
        <v/>
      </c>
      <c r="G855" s="6"/>
      <c r="H855" s="6" t="str">
        <f ca="1">IF($A855="","",[1]!s_dq_close(H$1,$A855,$M$4))</f>
        <v/>
      </c>
      <c r="I855" s="6" t="str">
        <f ca="1">IF($A855="","",[1]!s_dq_close(I$1,$A855,$M$4))</f>
        <v/>
      </c>
      <c r="J855" s="6" t="str">
        <f t="shared" ca="1" si="14"/>
        <v/>
      </c>
    </row>
    <row r="856" spans="1:10">
      <c r="A856" s="2" t="str">
        <f ca="1">IF(A855="","",IF(IF(价差分析!$W$4="日",--[1]!td(A855-1),IF(价差分析!$W$4="周",--[1]!td(A855-7),--[1]!td(A855-30)))-价差分析!$T$4&gt;0,IF(价差分析!$W$4="日",--[1]!td(A855-1),IF(价差分析!$W$4="周",--[1]!td(A855-7),--[1]!td(A855-30))),""))</f>
        <v/>
      </c>
      <c r="B856" s="1" t="str">
        <f ca="1">IF(A856="","",[1]!s_dq_close($B$1,A856,$M$4))</f>
        <v/>
      </c>
      <c r="C856" s="1" t="str">
        <f ca="1">IF(A856="","",[1]!s_dq_close($C$1,A856,$M$4))</f>
        <v/>
      </c>
      <c r="D856" s="6" t="str">
        <f ca="1">IF($A856="","",[1]!s_dq_close(D$1,$A856,$M$4))</f>
        <v/>
      </c>
      <c r="E856" s="6" t="str">
        <f ca="1">IF($A856="","",[1]!s_dq_close(E$1,$A856,$M$4))</f>
        <v/>
      </c>
      <c r="F856" s="6" t="str">
        <f ca="1">IF($A856="","",[1]!s_dq_close(F$1,$A856,$M$4))</f>
        <v/>
      </c>
      <c r="G856" s="6"/>
      <c r="H856" s="6" t="str">
        <f ca="1">IF($A856="","",[1]!s_dq_close(H$1,$A856,$M$4))</f>
        <v/>
      </c>
      <c r="I856" s="6" t="str">
        <f ca="1">IF($A856="","",[1]!s_dq_close(I$1,$A856,$M$4))</f>
        <v/>
      </c>
      <c r="J856" s="6" t="str">
        <f t="shared" ca="1" si="14"/>
        <v/>
      </c>
    </row>
    <row r="857" spans="1:10">
      <c r="A857" s="2" t="str">
        <f ca="1">IF(A856="","",IF(IF(价差分析!$W$4="日",--[1]!td(A856-1),IF(价差分析!$W$4="周",--[1]!td(A856-7),--[1]!td(A856-30)))-价差分析!$T$4&gt;0,IF(价差分析!$W$4="日",--[1]!td(A856-1),IF(价差分析!$W$4="周",--[1]!td(A856-7),--[1]!td(A856-30))),""))</f>
        <v/>
      </c>
      <c r="B857" s="1" t="str">
        <f ca="1">IF(A857="","",[1]!s_dq_close($B$1,A857,$M$4))</f>
        <v/>
      </c>
      <c r="C857" s="1" t="str">
        <f ca="1">IF(A857="","",[1]!s_dq_close($C$1,A857,$M$4))</f>
        <v/>
      </c>
      <c r="D857" s="6" t="str">
        <f ca="1">IF($A857="","",[1]!s_dq_close(D$1,$A857,$M$4))</f>
        <v/>
      </c>
      <c r="E857" s="6" t="str">
        <f ca="1">IF($A857="","",[1]!s_dq_close(E$1,$A857,$M$4))</f>
        <v/>
      </c>
      <c r="F857" s="6" t="str">
        <f ca="1">IF($A857="","",[1]!s_dq_close(F$1,$A857,$M$4))</f>
        <v/>
      </c>
      <c r="G857" s="6"/>
      <c r="H857" s="6" t="str">
        <f ca="1">IF($A857="","",[1]!s_dq_close(H$1,$A857,$M$4))</f>
        <v/>
      </c>
      <c r="I857" s="6" t="str">
        <f ca="1">IF($A857="","",[1]!s_dq_close(I$1,$A857,$M$4))</f>
        <v/>
      </c>
      <c r="J857" s="6" t="str">
        <f t="shared" ca="1" si="14"/>
        <v/>
      </c>
    </row>
    <row r="858" spans="1:10">
      <c r="A858" s="2" t="str">
        <f ca="1">IF(A857="","",IF(IF(价差分析!$W$4="日",--[1]!td(A857-1),IF(价差分析!$W$4="周",--[1]!td(A857-7),--[1]!td(A857-30)))-价差分析!$T$4&gt;0,IF(价差分析!$W$4="日",--[1]!td(A857-1),IF(价差分析!$W$4="周",--[1]!td(A857-7),--[1]!td(A857-30))),""))</f>
        <v/>
      </c>
      <c r="B858" s="1" t="str">
        <f ca="1">IF(A858="","",[1]!s_dq_close($B$1,A858,$M$4))</f>
        <v/>
      </c>
      <c r="C858" s="1" t="str">
        <f ca="1">IF(A858="","",[1]!s_dq_close($C$1,A858,$M$4))</f>
        <v/>
      </c>
      <c r="D858" s="6" t="str">
        <f ca="1">IF($A858="","",[1]!s_dq_close(D$1,$A858,$M$4))</f>
        <v/>
      </c>
      <c r="E858" s="6" t="str">
        <f ca="1">IF($A858="","",[1]!s_dq_close(E$1,$A858,$M$4))</f>
        <v/>
      </c>
      <c r="F858" s="6" t="str">
        <f ca="1">IF($A858="","",[1]!s_dq_close(F$1,$A858,$M$4))</f>
        <v/>
      </c>
      <c r="G858" s="6"/>
      <c r="H858" s="6" t="str">
        <f ca="1">IF($A858="","",[1]!s_dq_close(H$1,$A858,$M$4))</f>
        <v/>
      </c>
      <c r="I858" s="6" t="str">
        <f ca="1">IF($A858="","",[1]!s_dq_close(I$1,$A858,$M$4))</f>
        <v/>
      </c>
      <c r="J858" s="6" t="str">
        <f t="shared" ca="1" si="14"/>
        <v/>
      </c>
    </row>
    <row r="859" spans="1:10">
      <c r="A859" s="2" t="str">
        <f ca="1">IF(A858="","",IF(IF(价差分析!$W$4="日",--[1]!td(A858-1),IF(价差分析!$W$4="周",--[1]!td(A858-7),--[1]!td(A858-30)))-价差分析!$T$4&gt;0,IF(价差分析!$W$4="日",--[1]!td(A858-1),IF(价差分析!$W$4="周",--[1]!td(A858-7),--[1]!td(A858-30))),""))</f>
        <v/>
      </c>
      <c r="B859" s="1" t="str">
        <f ca="1">IF(A859="","",[1]!s_dq_close($B$1,A859,$M$4))</f>
        <v/>
      </c>
      <c r="C859" s="1" t="str">
        <f ca="1">IF(A859="","",[1]!s_dq_close($C$1,A859,$M$4))</f>
        <v/>
      </c>
      <c r="D859" s="6" t="str">
        <f ca="1">IF($A859="","",[1]!s_dq_close(D$1,$A859,$M$4))</f>
        <v/>
      </c>
      <c r="E859" s="6" t="str">
        <f ca="1">IF($A859="","",[1]!s_dq_close(E$1,$A859,$M$4))</f>
        <v/>
      </c>
      <c r="F859" s="6" t="str">
        <f ca="1">IF($A859="","",[1]!s_dq_close(F$1,$A859,$M$4))</f>
        <v/>
      </c>
      <c r="G859" s="6"/>
      <c r="H859" s="6" t="str">
        <f ca="1">IF($A859="","",[1]!s_dq_close(H$1,$A859,$M$4))</f>
        <v/>
      </c>
      <c r="I859" s="6" t="str">
        <f ca="1">IF($A859="","",[1]!s_dq_close(I$1,$A859,$M$4))</f>
        <v/>
      </c>
      <c r="J859" s="6" t="str">
        <f t="shared" ca="1" si="14"/>
        <v/>
      </c>
    </row>
    <row r="860" spans="1:10">
      <c r="A860" s="2" t="str">
        <f ca="1">IF(A859="","",IF(IF(价差分析!$W$4="日",--[1]!td(A859-1),IF(价差分析!$W$4="周",--[1]!td(A859-7),--[1]!td(A859-30)))-价差分析!$T$4&gt;0,IF(价差分析!$W$4="日",--[1]!td(A859-1),IF(价差分析!$W$4="周",--[1]!td(A859-7),--[1]!td(A859-30))),""))</f>
        <v/>
      </c>
      <c r="B860" s="1" t="str">
        <f ca="1">IF(A860="","",[1]!s_dq_close($B$1,A860,$M$4))</f>
        <v/>
      </c>
      <c r="C860" s="1" t="str">
        <f ca="1">IF(A860="","",[1]!s_dq_close($C$1,A860,$M$4))</f>
        <v/>
      </c>
      <c r="D860" s="6" t="str">
        <f ca="1">IF($A860="","",[1]!s_dq_close(D$1,$A860,$M$4))</f>
        <v/>
      </c>
      <c r="E860" s="6" t="str">
        <f ca="1">IF($A860="","",[1]!s_dq_close(E$1,$A860,$M$4))</f>
        <v/>
      </c>
      <c r="F860" s="6" t="str">
        <f ca="1">IF($A860="","",[1]!s_dq_close(F$1,$A860,$M$4))</f>
        <v/>
      </c>
      <c r="G860" s="6"/>
      <c r="H860" s="6" t="str">
        <f ca="1">IF($A860="","",[1]!s_dq_close(H$1,$A860,$M$4))</f>
        <v/>
      </c>
      <c r="I860" s="6" t="str">
        <f ca="1">IF($A860="","",[1]!s_dq_close(I$1,$A860,$M$4))</f>
        <v/>
      </c>
      <c r="J860" s="6" t="str">
        <f t="shared" ca="1" si="14"/>
        <v/>
      </c>
    </row>
    <row r="861" spans="1:10">
      <c r="A861" s="2" t="str">
        <f ca="1">IF(A860="","",IF(IF(价差分析!$W$4="日",--[1]!td(A860-1),IF(价差分析!$W$4="周",--[1]!td(A860-7),--[1]!td(A860-30)))-价差分析!$T$4&gt;0,IF(价差分析!$W$4="日",--[1]!td(A860-1),IF(价差分析!$W$4="周",--[1]!td(A860-7),--[1]!td(A860-30))),""))</f>
        <v/>
      </c>
      <c r="B861" s="1" t="str">
        <f ca="1">IF(A861="","",[1]!s_dq_close($B$1,A861,$M$4))</f>
        <v/>
      </c>
      <c r="C861" s="1" t="str">
        <f ca="1">IF(A861="","",[1]!s_dq_close($C$1,A861,$M$4))</f>
        <v/>
      </c>
      <c r="D861" s="6" t="str">
        <f ca="1">IF($A861="","",[1]!s_dq_close(D$1,$A861,$M$4))</f>
        <v/>
      </c>
      <c r="E861" s="6" t="str">
        <f ca="1">IF($A861="","",[1]!s_dq_close(E$1,$A861,$M$4))</f>
        <v/>
      </c>
      <c r="F861" s="6" t="str">
        <f ca="1">IF($A861="","",[1]!s_dq_close(F$1,$A861,$M$4))</f>
        <v/>
      </c>
      <c r="G861" s="6"/>
      <c r="H861" s="6" t="str">
        <f ca="1">IF($A861="","",[1]!s_dq_close(H$1,$A861,$M$4))</f>
        <v/>
      </c>
      <c r="I861" s="6" t="str">
        <f ca="1">IF($A861="","",[1]!s_dq_close(I$1,$A861,$M$4))</f>
        <v/>
      </c>
      <c r="J861" s="6" t="str">
        <f t="shared" ca="1" si="14"/>
        <v/>
      </c>
    </row>
    <row r="862" spans="1:10">
      <c r="A862" s="2" t="str">
        <f ca="1">IF(A861="","",IF(IF(价差分析!$W$4="日",--[1]!td(A861-1),IF(价差分析!$W$4="周",--[1]!td(A861-7),--[1]!td(A861-30)))-价差分析!$T$4&gt;0,IF(价差分析!$W$4="日",--[1]!td(A861-1),IF(价差分析!$W$4="周",--[1]!td(A861-7),--[1]!td(A861-30))),""))</f>
        <v/>
      </c>
      <c r="B862" s="1" t="str">
        <f ca="1">IF(A862="","",[1]!s_dq_close($B$1,A862,$M$4))</f>
        <v/>
      </c>
      <c r="C862" s="1" t="str">
        <f ca="1">IF(A862="","",[1]!s_dq_close($C$1,A862,$M$4))</f>
        <v/>
      </c>
      <c r="D862" s="6" t="str">
        <f ca="1">IF($A862="","",[1]!s_dq_close(D$1,$A862,$M$4))</f>
        <v/>
      </c>
      <c r="E862" s="6" t="str">
        <f ca="1">IF($A862="","",[1]!s_dq_close(E$1,$A862,$M$4))</f>
        <v/>
      </c>
      <c r="F862" s="6" t="str">
        <f ca="1">IF($A862="","",[1]!s_dq_close(F$1,$A862,$M$4))</f>
        <v/>
      </c>
      <c r="G862" s="6"/>
      <c r="H862" s="6" t="str">
        <f ca="1">IF($A862="","",[1]!s_dq_close(H$1,$A862,$M$4))</f>
        <v/>
      </c>
      <c r="I862" s="6" t="str">
        <f ca="1">IF($A862="","",[1]!s_dq_close(I$1,$A862,$M$4))</f>
        <v/>
      </c>
      <c r="J862" s="6" t="str">
        <f t="shared" ca="1" si="14"/>
        <v/>
      </c>
    </row>
    <row r="863" spans="1:10">
      <c r="A863" s="2" t="str">
        <f ca="1">IF(A862="","",IF(IF(价差分析!$W$4="日",--[1]!td(A862-1),IF(价差分析!$W$4="周",--[1]!td(A862-7),--[1]!td(A862-30)))-价差分析!$T$4&gt;0,IF(价差分析!$W$4="日",--[1]!td(A862-1),IF(价差分析!$W$4="周",--[1]!td(A862-7),--[1]!td(A862-30))),""))</f>
        <v/>
      </c>
      <c r="B863" s="1" t="str">
        <f ca="1">IF(A863="","",[1]!s_dq_close($B$1,A863,$M$4))</f>
        <v/>
      </c>
      <c r="C863" s="1" t="str">
        <f ca="1">IF(A863="","",[1]!s_dq_close($C$1,A863,$M$4))</f>
        <v/>
      </c>
      <c r="D863" s="6" t="str">
        <f ca="1">IF($A863="","",[1]!s_dq_close(D$1,$A863,$M$4))</f>
        <v/>
      </c>
      <c r="E863" s="6" t="str">
        <f ca="1">IF($A863="","",[1]!s_dq_close(E$1,$A863,$M$4))</f>
        <v/>
      </c>
      <c r="F863" s="6" t="str">
        <f ca="1">IF($A863="","",[1]!s_dq_close(F$1,$A863,$M$4))</f>
        <v/>
      </c>
      <c r="G863" s="6"/>
      <c r="H863" s="6" t="str">
        <f ca="1">IF($A863="","",[1]!s_dq_close(H$1,$A863,$M$4))</f>
        <v/>
      </c>
      <c r="I863" s="6" t="str">
        <f ca="1">IF($A863="","",[1]!s_dq_close(I$1,$A863,$M$4))</f>
        <v/>
      </c>
      <c r="J863" s="6" t="str">
        <f t="shared" ca="1" si="14"/>
        <v/>
      </c>
    </row>
    <row r="864" spans="1:10">
      <c r="A864" s="2" t="str">
        <f ca="1">IF(A863="","",IF(IF(价差分析!$W$4="日",--[1]!td(A863-1),IF(价差分析!$W$4="周",--[1]!td(A863-7),--[1]!td(A863-30)))-价差分析!$T$4&gt;0,IF(价差分析!$W$4="日",--[1]!td(A863-1),IF(价差分析!$W$4="周",--[1]!td(A863-7),--[1]!td(A863-30))),""))</f>
        <v/>
      </c>
      <c r="B864" s="1" t="str">
        <f ca="1">IF(A864="","",[1]!s_dq_close($B$1,A864,$M$4))</f>
        <v/>
      </c>
      <c r="C864" s="1" t="str">
        <f ca="1">IF(A864="","",[1]!s_dq_close($C$1,A864,$M$4))</f>
        <v/>
      </c>
      <c r="D864" s="6" t="str">
        <f ca="1">IF($A864="","",[1]!s_dq_close(D$1,$A864,$M$4))</f>
        <v/>
      </c>
      <c r="E864" s="6" t="str">
        <f ca="1">IF($A864="","",[1]!s_dq_close(E$1,$A864,$M$4))</f>
        <v/>
      </c>
      <c r="F864" s="6" t="str">
        <f ca="1">IF($A864="","",[1]!s_dq_close(F$1,$A864,$M$4))</f>
        <v/>
      </c>
      <c r="G864" s="6"/>
      <c r="H864" s="6" t="str">
        <f ca="1">IF($A864="","",[1]!s_dq_close(H$1,$A864,$M$4))</f>
        <v/>
      </c>
      <c r="I864" s="6" t="str">
        <f ca="1">IF($A864="","",[1]!s_dq_close(I$1,$A864,$M$4))</f>
        <v/>
      </c>
      <c r="J864" s="6" t="str">
        <f t="shared" ca="1" si="14"/>
        <v/>
      </c>
    </row>
    <row r="865" spans="1:10">
      <c r="A865" s="2" t="str">
        <f ca="1">IF(A864="","",IF(IF(价差分析!$W$4="日",--[1]!td(A864-1),IF(价差分析!$W$4="周",--[1]!td(A864-7),--[1]!td(A864-30)))-价差分析!$T$4&gt;0,IF(价差分析!$W$4="日",--[1]!td(A864-1),IF(价差分析!$W$4="周",--[1]!td(A864-7),--[1]!td(A864-30))),""))</f>
        <v/>
      </c>
      <c r="B865" s="1" t="str">
        <f ca="1">IF(A865="","",[1]!s_dq_close($B$1,A865,$M$4))</f>
        <v/>
      </c>
      <c r="C865" s="1" t="str">
        <f ca="1">IF(A865="","",[1]!s_dq_close($C$1,A865,$M$4))</f>
        <v/>
      </c>
      <c r="D865" s="6" t="str">
        <f ca="1">IF($A865="","",[1]!s_dq_close(D$1,$A865,$M$4))</f>
        <v/>
      </c>
      <c r="E865" s="6" t="str">
        <f ca="1">IF($A865="","",[1]!s_dq_close(E$1,$A865,$M$4))</f>
        <v/>
      </c>
      <c r="F865" s="6" t="str">
        <f ca="1">IF($A865="","",[1]!s_dq_close(F$1,$A865,$M$4))</f>
        <v/>
      </c>
      <c r="G865" s="6"/>
      <c r="H865" s="6" t="str">
        <f ca="1">IF($A865="","",[1]!s_dq_close(H$1,$A865,$M$4))</f>
        <v/>
      </c>
      <c r="I865" s="6" t="str">
        <f ca="1">IF($A865="","",[1]!s_dq_close(I$1,$A865,$M$4))</f>
        <v/>
      </c>
      <c r="J865" s="6" t="str">
        <f t="shared" ca="1" si="14"/>
        <v/>
      </c>
    </row>
    <row r="866" spans="1:10">
      <c r="A866" s="2" t="str">
        <f ca="1">IF(A865="","",IF(IF(价差分析!$W$4="日",--[1]!td(A865-1),IF(价差分析!$W$4="周",--[1]!td(A865-7),--[1]!td(A865-30)))-价差分析!$T$4&gt;0,IF(价差分析!$W$4="日",--[1]!td(A865-1),IF(价差分析!$W$4="周",--[1]!td(A865-7),--[1]!td(A865-30))),""))</f>
        <v/>
      </c>
      <c r="B866" s="1" t="str">
        <f ca="1">IF(A866="","",[1]!s_dq_close($B$1,A866,$M$4))</f>
        <v/>
      </c>
      <c r="C866" s="1" t="str">
        <f ca="1">IF(A866="","",[1]!s_dq_close($C$1,A866,$M$4))</f>
        <v/>
      </c>
      <c r="D866" s="6" t="str">
        <f ca="1">IF($A866="","",[1]!s_dq_close(D$1,$A866,$M$4))</f>
        <v/>
      </c>
      <c r="E866" s="6" t="str">
        <f ca="1">IF($A866="","",[1]!s_dq_close(E$1,$A866,$M$4))</f>
        <v/>
      </c>
      <c r="F866" s="6" t="str">
        <f ca="1">IF($A866="","",[1]!s_dq_close(F$1,$A866,$M$4))</f>
        <v/>
      </c>
      <c r="G866" s="6"/>
      <c r="H866" s="6" t="str">
        <f ca="1">IF($A866="","",[1]!s_dq_close(H$1,$A866,$M$4))</f>
        <v/>
      </c>
      <c r="I866" s="6" t="str">
        <f ca="1">IF($A866="","",[1]!s_dq_close(I$1,$A866,$M$4))</f>
        <v/>
      </c>
      <c r="J866" s="6" t="str">
        <f t="shared" ca="1" si="14"/>
        <v/>
      </c>
    </row>
    <row r="867" spans="1:10">
      <c r="A867" s="2" t="str">
        <f ca="1">IF(A866="","",IF(IF(价差分析!$W$4="日",--[1]!td(A866-1),IF(价差分析!$W$4="周",--[1]!td(A866-7),--[1]!td(A866-30)))-价差分析!$T$4&gt;0,IF(价差分析!$W$4="日",--[1]!td(A866-1),IF(价差分析!$W$4="周",--[1]!td(A866-7),--[1]!td(A866-30))),""))</f>
        <v/>
      </c>
      <c r="B867" s="1" t="str">
        <f ca="1">IF(A867="","",[1]!s_dq_close($B$1,A867,$M$4))</f>
        <v/>
      </c>
      <c r="C867" s="1" t="str">
        <f ca="1">IF(A867="","",[1]!s_dq_close($C$1,A867,$M$4))</f>
        <v/>
      </c>
      <c r="D867" s="6" t="str">
        <f ca="1">IF($A867="","",[1]!s_dq_close(D$1,$A867,$M$4))</f>
        <v/>
      </c>
      <c r="E867" s="6" t="str">
        <f ca="1">IF($A867="","",[1]!s_dq_close(E$1,$A867,$M$4))</f>
        <v/>
      </c>
      <c r="F867" s="6" t="str">
        <f ca="1">IF($A867="","",[1]!s_dq_close(F$1,$A867,$M$4))</f>
        <v/>
      </c>
      <c r="G867" s="6"/>
      <c r="H867" s="6" t="str">
        <f ca="1">IF($A867="","",[1]!s_dq_close(H$1,$A867,$M$4))</f>
        <v/>
      </c>
      <c r="I867" s="6" t="str">
        <f ca="1">IF($A867="","",[1]!s_dq_close(I$1,$A867,$M$4))</f>
        <v/>
      </c>
      <c r="J867" s="6" t="str">
        <f t="shared" ca="1" si="14"/>
        <v/>
      </c>
    </row>
    <row r="868" spans="1:10">
      <c r="A868" s="2" t="str">
        <f ca="1">IF(A867="","",IF(IF(价差分析!$W$4="日",--[1]!td(A867-1),IF(价差分析!$W$4="周",--[1]!td(A867-7),--[1]!td(A867-30)))-价差分析!$T$4&gt;0,IF(价差分析!$W$4="日",--[1]!td(A867-1),IF(价差分析!$W$4="周",--[1]!td(A867-7),--[1]!td(A867-30))),""))</f>
        <v/>
      </c>
      <c r="B868" s="1" t="str">
        <f ca="1">IF(A868="","",[1]!s_dq_close($B$1,A868,$M$4))</f>
        <v/>
      </c>
      <c r="C868" s="1" t="str">
        <f ca="1">IF(A868="","",[1]!s_dq_close($C$1,A868,$M$4))</f>
        <v/>
      </c>
      <c r="D868" s="6" t="str">
        <f ca="1">IF($A868="","",[1]!s_dq_close(D$1,$A868,$M$4))</f>
        <v/>
      </c>
      <c r="E868" s="6" t="str">
        <f ca="1">IF($A868="","",[1]!s_dq_close(E$1,$A868,$M$4))</f>
        <v/>
      </c>
      <c r="F868" s="6" t="str">
        <f ca="1">IF($A868="","",[1]!s_dq_close(F$1,$A868,$M$4))</f>
        <v/>
      </c>
      <c r="G868" s="6"/>
      <c r="H868" s="6" t="str">
        <f ca="1">IF($A868="","",[1]!s_dq_close(H$1,$A868,$M$4))</f>
        <v/>
      </c>
      <c r="I868" s="6" t="str">
        <f ca="1">IF($A868="","",[1]!s_dq_close(I$1,$A868,$M$4))</f>
        <v/>
      </c>
      <c r="J868" s="6" t="str">
        <f t="shared" ca="1" si="14"/>
        <v/>
      </c>
    </row>
    <row r="869" spans="1:10">
      <c r="A869" s="2" t="str">
        <f ca="1">IF(A868="","",IF(IF(价差分析!$W$4="日",--[1]!td(A868-1),IF(价差分析!$W$4="周",--[1]!td(A868-7),--[1]!td(A868-30)))-价差分析!$T$4&gt;0,IF(价差分析!$W$4="日",--[1]!td(A868-1),IF(价差分析!$W$4="周",--[1]!td(A868-7),--[1]!td(A868-30))),""))</f>
        <v/>
      </c>
      <c r="B869" s="1" t="str">
        <f ca="1">IF(A869="","",[1]!s_dq_close($B$1,A869,$M$4))</f>
        <v/>
      </c>
      <c r="C869" s="1" t="str">
        <f ca="1">IF(A869="","",[1]!s_dq_close($C$1,A869,$M$4))</f>
        <v/>
      </c>
      <c r="D869" s="6" t="str">
        <f ca="1">IF($A869="","",[1]!s_dq_close(D$1,$A869,$M$4))</f>
        <v/>
      </c>
      <c r="E869" s="6" t="str">
        <f ca="1">IF($A869="","",[1]!s_dq_close(E$1,$A869,$M$4))</f>
        <v/>
      </c>
      <c r="F869" s="6" t="str">
        <f ca="1">IF($A869="","",[1]!s_dq_close(F$1,$A869,$M$4))</f>
        <v/>
      </c>
      <c r="G869" s="6"/>
      <c r="H869" s="6" t="str">
        <f ca="1">IF($A869="","",[1]!s_dq_close(H$1,$A869,$M$4))</f>
        <v/>
      </c>
      <c r="I869" s="6" t="str">
        <f ca="1">IF($A869="","",[1]!s_dq_close(I$1,$A869,$M$4))</f>
        <v/>
      </c>
      <c r="J869" s="6" t="str">
        <f t="shared" ca="1" si="14"/>
        <v/>
      </c>
    </row>
    <row r="870" spans="1:10">
      <c r="A870" s="2" t="str">
        <f ca="1">IF(A869="","",IF(IF(价差分析!$W$4="日",--[1]!td(A869-1),IF(价差分析!$W$4="周",--[1]!td(A869-7),--[1]!td(A869-30)))-价差分析!$T$4&gt;0,IF(价差分析!$W$4="日",--[1]!td(A869-1),IF(价差分析!$W$4="周",--[1]!td(A869-7),--[1]!td(A869-30))),""))</f>
        <v/>
      </c>
      <c r="B870" s="1" t="str">
        <f ca="1">IF(A870="","",[1]!s_dq_close($B$1,A870,$M$4))</f>
        <v/>
      </c>
      <c r="C870" s="1" t="str">
        <f ca="1">IF(A870="","",[1]!s_dq_close($C$1,A870,$M$4))</f>
        <v/>
      </c>
      <c r="D870" s="6" t="str">
        <f ca="1">IF($A870="","",[1]!s_dq_close(D$1,$A870,$M$4))</f>
        <v/>
      </c>
      <c r="E870" s="6" t="str">
        <f ca="1">IF($A870="","",[1]!s_dq_close(E$1,$A870,$M$4))</f>
        <v/>
      </c>
      <c r="F870" s="6" t="str">
        <f ca="1">IF($A870="","",[1]!s_dq_close(F$1,$A870,$M$4))</f>
        <v/>
      </c>
      <c r="G870" s="6"/>
      <c r="H870" s="6" t="str">
        <f ca="1">IF($A870="","",[1]!s_dq_close(H$1,$A870,$M$4))</f>
        <v/>
      </c>
      <c r="I870" s="6" t="str">
        <f ca="1">IF($A870="","",[1]!s_dq_close(I$1,$A870,$M$4))</f>
        <v/>
      </c>
      <c r="J870" s="6" t="str">
        <f t="shared" ca="1" si="14"/>
        <v/>
      </c>
    </row>
    <row r="871" spans="1:10">
      <c r="A871" s="2" t="str">
        <f ca="1">IF(A870="","",IF(IF(价差分析!$W$4="日",--[1]!td(A870-1),IF(价差分析!$W$4="周",--[1]!td(A870-7),--[1]!td(A870-30)))-价差分析!$T$4&gt;0,IF(价差分析!$W$4="日",--[1]!td(A870-1),IF(价差分析!$W$4="周",--[1]!td(A870-7),--[1]!td(A870-30))),""))</f>
        <v/>
      </c>
      <c r="B871" s="1" t="str">
        <f ca="1">IF(A871="","",[1]!s_dq_close($B$1,A871,$M$4))</f>
        <v/>
      </c>
      <c r="C871" s="1" t="str">
        <f ca="1">IF(A871="","",[1]!s_dq_close($C$1,A871,$M$4))</f>
        <v/>
      </c>
      <c r="D871" s="6" t="str">
        <f ca="1">IF($A871="","",[1]!s_dq_close(D$1,$A871,$M$4))</f>
        <v/>
      </c>
      <c r="E871" s="6" t="str">
        <f ca="1">IF($A871="","",[1]!s_dq_close(E$1,$A871,$M$4))</f>
        <v/>
      </c>
      <c r="F871" s="6" t="str">
        <f ca="1">IF($A871="","",[1]!s_dq_close(F$1,$A871,$M$4))</f>
        <v/>
      </c>
      <c r="G871" s="6"/>
      <c r="H871" s="6" t="str">
        <f ca="1">IF($A871="","",[1]!s_dq_close(H$1,$A871,$M$4))</f>
        <v/>
      </c>
      <c r="I871" s="6" t="str">
        <f ca="1">IF($A871="","",[1]!s_dq_close(I$1,$A871,$M$4))</f>
        <v/>
      </c>
      <c r="J871" s="6" t="str">
        <f t="shared" ca="1" si="14"/>
        <v/>
      </c>
    </row>
    <row r="872" spans="1:10">
      <c r="A872" s="2" t="str">
        <f ca="1">IF(A871="","",IF(IF(价差分析!$W$4="日",--[1]!td(A871-1),IF(价差分析!$W$4="周",--[1]!td(A871-7),--[1]!td(A871-30)))-价差分析!$T$4&gt;0,IF(价差分析!$W$4="日",--[1]!td(A871-1),IF(价差分析!$W$4="周",--[1]!td(A871-7),--[1]!td(A871-30))),""))</f>
        <v/>
      </c>
      <c r="B872" s="1" t="str">
        <f ca="1">IF(A872="","",[1]!s_dq_close($B$1,A872,$M$4))</f>
        <v/>
      </c>
      <c r="C872" s="1" t="str">
        <f ca="1">IF(A872="","",[1]!s_dq_close($C$1,A872,$M$4))</f>
        <v/>
      </c>
      <c r="D872" s="6" t="str">
        <f ca="1">IF($A872="","",[1]!s_dq_close(D$1,$A872,$M$4))</f>
        <v/>
      </c>
      <c r="E872" s="6" t="str">
        <f ca="1">IF($A872="","",[1]!s_dq_close(E$1,$A872,$M$4))</f>
        <v/>
      </c>
      <c r="F872" s="6" t="str">
        <f ca="1">IF($A872="","",[1]!s_dq_close(F$1,$A872,$M$4))</f>
        <v/>
      </c>
      <c r="G872" s="6"/>
      <c r="H872" s="6" t="str">
        <f ca="1">IF($A872="","",[1]!s_dq_close(H$1,$A872,$M$4))</f>
        <v/>
      </c>
      <c r="I872" s="6" t="str">
        <f ca="1">IF($A872="","",[1]!s_dq_close(I$1,$A872,$M$4))</f>
        <v/>
      </c>
      <c r="J872" s="6" t="str">
        <f t="shared" ca="1" si="14"/>
        <v/>
      </c>
    </row>
    <row r="873" spans="1:10">
      <c r="A873" s="2" t="str">
        <f ca="1">IF(A872="","",IF(IF(价差分析!$W$4="日",--[1]!td(A872-1),IF(价差分析!$W$4="周",--[1]!td(A872-7),--[1]!td(A872-30)))-价差分析!$T$4&gt;0,IF(价差分析!$W$4="日",--[1]!td(A872-1),IF(价差分析!$W$4="周",--[1]!td(A872-7),--[1]!td(A872-30))),""))</f>
        <v/>
      </c>
      <c r="B873" s="1" t="str">
        <f ca="1">IF(A873="","",[1]!s_dq_close($B$1,A873,$M$4))</f>
        <v/>
      </c>
      <c r="C873" s="1" t="str">
        <f ca="1">IF(A873="","",[1]!s_dq_close($C$1,A873,$M$4))</f>
        <v/>
      </c>
      <c r="D873" s="6" t="str">
        <f ca="1">IF($A873="","",[1]!s_dq_close(D$1,$A873,$M$4))</f>
        <v/>
      </c>
      <c r="E873" s="6" t="str">
        <f ca="1">IF($A873="","",[1]!s_dq_close(E$1,$A873,$M$4))</f>
        <v/>
      </c>
      <c r="F873" s="6" t="str">
        <f ca="1">IF($A873="","",[1]!s_dq_close(F$1,$A873,$M$4))</f>
        <v/>
      </c>
      <c r="G873" s="6"/>
      <c r="H873" s="6" t="str">
        <f ca="1">IF($A873="","",[1]!s_dq_close(H$1,$A873,$M$4))</f>
        <v/>
      </c>
      <c r="I873" s="6" t="str">
        <f ca="1">IF($A873="","",[1]!s_dq_close(I$1,$A873,$M$4))</f>
        <v/>
      </c>
      <c r="J873" s="6" t="str">
        <f t="shared" ca="1" si="14"/>
        <v/>
      </c>
    </row>
    <row r="874" spans="1:10">
      <c r="A874" s="2" t="str">
        <f ca="1">IF(A873="","",IF(IF(价差分析!$W$4="日",--[1]!td(A873-1),IF(价差分析!$W$4="周",--[1]!td(A873-7),--[1]!td(A873-30)))-价差分析!$T$4&gt;0,IF(价差分析!$W$4="日",--[1]!td(A873-1),IF(价差分析!$W$4="周",--[1]!td(A873-7),--[1]!td(A873-30))),""))</f>
        <v/>
      </c>
      <c r="B874" s="1" t="str">
        <f ca="1">IF(A874="","",[1]!s_dq_close($B$1,A874,$M$4))</f>
        <v/>
      </c>
      <c r="C874" s="1" t="str">
        <f ca="1">IF(A874="","",[1]!s_dq_close($C$1,A874,$M$4))</f>
        <v/>
      </c>
      <c r="D874" s="6" t="str">
        <f ca="1">IF($A874="","",[1]!s_dq_close(D$1,$A874,$M$4))</f>
        <v/>
      </c>
      <c r="E874" s="6" t="str">
        <f ca="1">IF($A874="","",[1]!s_dq_close(E$1,$A874,$M$4))</f>
        <v/>
      </c>
      <c r="F874" s="6" t="str">
        <f ca="1">IF($A874="","",[1]!s_dq_close(F$1,$A874,$M$4))</f>
        <v/>
      </c>
      <c r="G874" s="6"/>
      <c r="H874" s="6" t="str">
        <f ca="1">IF($A874="","",[1]!s_dq_close(H$1,$A874,$M$4))</f>
        <v/>
      </c>
      <c r="I874" s="6" t="str">
        <f ca="1">IF($A874="","",[1]!s_dq_close(I$1,$A874,$M$4))</f>
        <v/>
      </c>
      <c r="J874" s="6" t="str">
        <f t="shared" ca="1" si="14"/>
        <v/>
      </c>
    </row>
    <row r="875" spans="1:10">
      <c r="A875" s="2" t="str">
        <f ca="1">IF(A874="","",IF(IF(价差分析!$W$4="日",--[1]!td(A874-1),IF(价差分析!$W$4="周",--[1]!td(A874-7),--[1]!td(A874-30)))-价差分析!$T$4&gt;0,IF(价差分析!$W$4="日",--[1]!td(A874-1),IF(价差分析!$W$4="周",--[1]!td(A874-7),--[1]!td(A874-30))),""))</f>
        <v/>
      </c>
      <c r="B875" s="1" t="str">
        <f ca="1">IF(A875="","",[1]!s_dq_close($B$1,A875,$M$4))</f>
        <v/>
      </c>
      <c r="C875" s="1" t="str">
        <f ca="1">IF(A875="","",[1]!s_dq_close($C$1,A875,$M$4))</f>
        <v/>
      </c>
      <c r="D875" s="6" t="str">
        <f ca="1">IF($A875="","",[1]!s_dq_close(D$1,$A875,$M$4))</f>
        <v/>
      </c>
      <c r="E875" s="6" t="str">
        <f ca="1">IF($A875="","",[1]!s_dq_close(E$1,$A875,$M$4))</f>
        <v/>
      </c>
      <c r="F875" s="6" t="str">
        <f ca="1">IF($A875="","",[1]!s_dq_close(F$1,$A875,$M$4))</f>
        <v/>
      </c>
      <c r="G875" s="6"/>
      <c r="H875" s="6" t="str">
        <f ca="1">IF($A875="","",[1]!s_dq_close(H$1,$A875,$M$4))</f>
        <v/>
      </c>
      <c r="I875" s="6" t="str">
        <f ca="1">IF($A875="","",[1]!s_dq_close(I$1,$A875,$M$4))</f>
        <v/>
      </c>
      <c r="J875" s="6" t="str">
        <f t="shared" ca="1" si="14"/>
        <v/>
      </c>
    </row>
    <row r="876" spans="1:10">
      <c r="A876" s="2" t="str">
        <f ca="1">IF(A875="","",IF(IF(价差分析!$W$4="日",--[1]!td(A875-1),IF(价差分析!$W$4="周",--[1]!td(A875-7),--[1]!td(A875-30)))-价差分析!$T$4&gt;0,IF(价差分析!$W$4="日",--[1]!td(A875-1),IF(价差分析!$W$4="周",--[1]!td(A875-7),--[1]!td(A875-30))),""))</f>
        <v/>
      </c>
      <c r="B876" s="1" t="str">
        <f ca="1">IF(A876="","",[1]!s_dq_close($B$1,A876,$M$4))</f>
        <v/>
      </c>
      <c r="C876" s="1" t="str">
        <f ca="1">IF(A876="","",[1]!s_dq_close($C$1,A876,$M$4))</f>
        <v/>
      </c>
      <c r="D876" s="6" t="str">
        <f ca="1">IF($A876="","",[1]!s_dq_close(D$1,$A876,$M$4))</f>
        <v/>
      </c>
      <c r="E876" s="6" t="str">
        <f ca="1">IF($A876="","",[1]!s_dq_close(E$1,$A876,$M$4))</f>
        <v/>
      </c>
      <c r="F876" s="6" t="str">
        <f ca="1">IF($A876="","",[1]!s_dq_close(F$1,$A876,$M$4))</f>
        <v/>
      </c>
      <c r="G876" s="6"/>
      <c r="H876" s="6" t="str">
        <f ca="1">IF($A876="","",[1]!s_dq_close(H$1,$A876,$M$4))</f>
        <v/>
      </c>
      <c r="I876" s="6" t="str">
        <f ca="1">IF($A876="","",[1]!s_dq_close(I$1,$A876,$M$4))</f>
        <v/>
      </c>
      <c r="J876" s="6" t="str">
        <f t="shared" ca="1" si="14"/>
        <v/>
      </c>
    </row>
    <row r="877" spans="1:10">
      <c r="A877" s="2" t="str">
        <f ca="1">IF(A876="","",IF(IF(价差分析!$W$4="日",--[1]!td(A876-1),IF(价差分析!$W$4="周",--[1]!td(A876-7),--[1]!td(A876-30)))-价差分析!$T$4&gt;0,IF(价差分析!$W$4="日",--[1]!td(A876-1),IF(价差分析!$W$4="周",--[1]!td(A876-7),--[1]!td(A876-30))),""))</f>
        <v/>
      </c>
      <c r="B877" s="1" t="str">
        <f ca="1">IF(A877="","",[1]!s_dq_close($B$1,A877,$M$4))</f>
        <v/>
      </c>
      <c r="C877" s="1" t="str">
        <f ca="1">IF(A877="","",[1]!s_dq_close($C$1,A877,$M$4))</f>
        <v/>
      </c>
      <c r="D877" s="6" t="str">
        <f ca="1">IF($A877="","",[1]!s_dq_close(D$1,$A877,$M$4))</f>
        <v/>
      </c>
      <c r="E877" s="6" t="str">
        <f ca="1">IF($A877="","",[1]!s_dq_close(E$1,$A877,$M$4))</f>
        <v/>
      </c>
      <c r="F877" s="6" t="str">
        <f ca="1">IF($A877="","",[1]!s_dq_close(F$1,$A877,$M$4))</f>
        <v/>
      </c>
      <c r="G877" s="6"/>
      <c r="H877" s="6" t="str">
        <f ca="1">IF($A877="","",[1]!s_dq_close(H$1,$A877,$M$4))</f>
        <v/>
      </c>
      <c r="I877" s="6" t="str">
        <f ca="1">IF($A877="","",[1]!s_dq_close(I$1,$A877,$M$4))</f>
        <v/>
      </c>
      <c r="J877" s="6" t="str">
        <f t="shared" ca="1" si="14"/>
        <v/>
      </c>
    </row>
    <row r="878" spans="1:10">
      <c r="A878" s="2" t="str">
        <f ca="1">IF(A877="","",IF(IF(价差分析!$W$4="日",--[1]!td(A877-1),IF(价差分析!$W$4="周",--[1]!td(A877-7),--[1]!td(A877-30)))-价差分析!$T$4&gt;0,IF(价差分析!$W$4="日",--[1]!td(A877-1),IF(价差分析!$W$4="周",--[1]!td(A877-7),--[1]!td(A877-30))),""))</f>
        <v/>
      </c>
      <c r="B878" s="1" t="str">
        <f ca="1">IF(A878="","",[1]!s_dq_close($B$1,A878,$M$4))</f>
        <v/>
      </c>
      <c r="C878" s="1" t="str">
        <f ca="1">IF(A878="","",[1]!s_dq_close($C$1,A878,$M$4))</f>
        <v/>
      </c>
      <c r="D878" s="6" t="str">
        <f ca="1">IF($A878="","",[1]!s_dq_close(D$1,$A878,$M$4))</f>
        <v/>
      </c>
      <c r="E878" s="6" t="str">
        <f ca="1">IF($A878="","",[1]!s_dq_close(E$1,$A878,$M$4))</f>
        <v/>
      </c>
      <c r="F878" s="6" t="str">
        <f ca="1">IF($A878="","",[1]!s_dq_close(F$1,$A878,$M$4))</f>
        <v/>
      </c>
      <c r="G878" s="6"/>
      <c r="H878" s="6" t="str">
        <f ca="1">IF($A878="","",[1]!s_dq_close(H$1,$A878,$M$4))</f>
        <v/>
      </c>
      <c r="I878" s="6" t="str">
        <f ca="1">IF($A878="","",[1]!s_dq_close(I$1,$A878,$M$4))</f>
        <v/>
      </c>
      <c r="J878" s="6" t="str">
        <f t="shared" ca="1" si="14"/>
        <v/>
      </c>
    </row>
    <row r="879" spans="1:10">
      <c r="A879" s="2" t="str">
        <f ca="1">IF(A878="","",IF(IF(价差分析!$W$4="日",--[1]!td(A878-1),IF(价差分析!$W$4="周",--[1]!td(A878-7),--[1]!td(A878-30)))-价差分析!$T$4&gt;0,IF(价差分析!$W$4="日",--[1]!td(A878-1),IF(价差分析!$W$4="周",--[1]!td(A878-7),--[1]!td(A878-30))),""))</f>
        <v/>
      </c>
      <c r="B879" s="1" t="str">
        <f ca="1">IF(A879="","",[1]!s_dq_close($B$1,A879,$M$4))</f>
        <v/>
      </c>
      <c r="C879" s="1" t="str">
        <f ca="1">IF(A879="","",[1]!s_dq_close($C$1,A879,$M$4))</f>
        <v/>
      </c>
      <c r="D879" s="6" t="str">
        <f ca="1">IF($A879="","",[1]!s_dq_close(D$1,$A879,$M$4))</f>
        <v/>
      </c>
      <c r="E879" s="6" t="str">
        <f ca="1">IF($A879="","",[1]!s_dq_close(E$1,$A879,$M$4))</f>
        <v/>
      </c>
      <c r="F879" s="6" t="str">
        <f ca="1">IF($A879="","",[1]!s_dq_close(F$1,$A879,$M$4))</f>
        <v/>
      </c>
      <c r="G879" s="6"/>
      <c r="H879" s="6" t="str">
        <f ca="1">IF($A879="","",[1]!s_dq_close(H$1,$A879,$M$4))</f>
        <v/>
      </c>
      <c r="I879" s="6" t="str">
        <f ca="1">IF($A879="","",[1]!s_dq_close(I$1,$A879,$M$4))</f>
        <v/>
      </c>
      <c r="J879" s="6" t="str">
        <f t="shared" ca="1" si="14"/>
        <v/>
      </c>
    </row>
    <row r="880" spans="1:10">
      <c r="A880" s="2" t="str">
        <f ca="1">IF(A879="","",IF(IF(价差分析!$W$4="日",--[1]!td(A879-1),IF(价差分析!$W$4="周",--[1]!td(A879-7),--[1]!td(A879-30)))-价差分析!$T$4&gt;0,IF(价差分析!$W$4="日",--[1]!td(A879-1),IF(价差分析!$W$4="周",--[1]!td(A879-7),--[1]!td(A879-30))),""))</f>
        <v/>
      </c>
      <c r="B880" s="1" t="str">
        <f ca="1">IF(A880="","",[1]!s_dq_close($B$1,A880,$M$4))</f>
        <v/>
      </c>
      <c r="C880" s="1" t="str">
        <f ca="1">IF(A880="","",[1]!s_dq_close($C$1,A880,$M$4))</f>
        <v/>
      </c>
      <c r="D880" s="6" t="str">
        <f ca="1">IF($A880="","",[1]!s_dq_close(D$1,$A880,$M$4))</f>
        <v/>
      </c>
      <c r="E880" s="6" t="str">
        <f ca="1">IF($A880="","",[1]!s_dq_close(E$1,$A880,$M$4))</f>
        <v/>
      </c>
      <c r="F880" s="6" t="str">
        <f ca="1">IF($A880="","",[1]!s_dq_close(F$1,$A880,$M$4))</f>
        <v/>
      </c>
      <c r="G880" s="6"/>
      <c r="H880" s="6" t="str">
        <f ca="1">IF($A880="","",[1]!s_dq_close(H$1,$A880,$M$4))</f>
        <v/>
      </c>
      <c r="I880" s="6" t="str">
        <f ca="1">IF($A880="","",[1]!s_dq_close(I$1,$A880,$M$4))</f>
        <v/>
      </c>
      <c r="J880" s="6" t="str">
        <f t="shared" ca="1" si="14"/>
        <v/>
      </c>
    </row>
    <row r="881" spans="1:10">
      <c r="A881" s="2" t="str">
        <f ca="1">IF(A880="","",IF(IF(价差分析!$W$4="日",--[1]!td(A880-1),IF(价差分析!$W$4="周",--[1]!td(A880-7),--[1]!td(A880-30)))-价差分析!$T$4&gt;0,IF(价差分析!$W$4="日",--[1]!td(A880-1),IF(价差分析!$W$4="周",--[1]!td(A880-7),--[1]!td(A880-30))),""))</f>
        <v/>
      </c>
      <c r="B881" s="1" t="str">
        <f ca="1">IF(A881="","",[1]!s_dq_close($B$1,A881,$M$4))</f>
        <v/>
      </c>
      <c r="C881" s="1" t="str">
        <f ca="1">IF(A881="","",[1]!s_dq_close($C$1,A881,$M$4))</f>
        <v/>
      </c>
      <c r="D881" s="6" t="str">
        <f ca="1">IF($A881="","",[1]!s_dq_close(D$1,$A881,$M$4))</f>
        <v/>
      </c>
      <c r="E881" s="6" t="str">
        <f ca="1">IF($A881="","",[1]!s_dq_close(E$1,$A881,$M$4))</f>
        <v/>
      </c>
      <c r="F881" s="6" t="str">
        <f ca="1">IF($A881="","",[1]!s_dq_close(F$1,$A881,$M$4))</f>
        <v/>
      </c>
      <c r="G881" s="6"/>
      <c r="H881" s="6" t="str">
        <f ca="1">IF($A881="","",[1]!s_dq_close(H$1,$A881,$M$4))</f>
        <v/>
      </c>
      <c r="I881" s="6" t="str">
        <f ca="1">IF($A881="","",[1]!s_dq_close(I$1,$A881,$M$4))</f>
        <v/>
      </c>
      <c r="J881" s="6" t="str">
        <f t="shared" ca="1" si="14"/>
        <v/>
      </c>
    </row>
    <row r="882" spans="1:10">
      <c r="A882" s="2" t="str">
        <f ca="1">IF(A881="","",IF(IF(价差分析!$W$4="日",--[1]!td(A881-1),IF(价差分析!$W$4="周",--[1]!td(A881-7),--[1]!td(A881-30)))-价差分析!$T$4&gt;0,IF(价差分析!$W$4="日",--[1]!td(A881-1),IF(价差分析!$W$4="周",--[1]!td(A881-7),--[1]!td(A881-30))),""))</f>
        <v/>
      </c>
      <c r="B882" s="1" t="str">
        <f ca="1">IF(A882="","",[1]!s_dq_close($B$1,A882,$M$4))</f>
        <v/>
      </c>
      <c r="C882" s="1" t="str">
        <f ca="1">IF(A882="","",[1]!s_dq_close($C$1,A882,$M$4))</f>
        <v/>
      </c>
      <c r="D882" s="6" t="str">
        <f ca="1">IF($A882="","",[1]!s_dq_close(D$1,$A882,$M$4))</f>
        <v/>
      </c>
      <c r="E882" s="6" t="str">
        <f ca="1">IF($A882="","",[1]!s_dq_close(E$1,$A882,$M$4))</f>
        <v/>
      </c>
      <c r="F882" s="6" t="str">
        <f ca="1">IF($A882="","",[1]!s_dq_close(F$1,$A882,$M$4))</f>
        <v/>
      </c>
      <c r="G882" s="6"/>
      <c r="H882" s="6" t="str">
        <f ca="1">IF($A882="","",[1]!s_dq_close(H$1,$A882,$M$4))</f>
        <v/>
      </c>
      <c r="I882" s="6" t="str">
        <f ca="1">IF($A882="","",[1]!s_dq_close(I$1,$A882,$M$4))</f>
        <v/>
      </c>
      <c r="J882" s="6" t="str">
        <f t="shared" ca="1" si="14"/>
        <v/>
      </c>
    </row>
    <row r="883" spans="1:10">
      <c r="A883" s="2" t="str">
        <f ca="1">IF(A882="","",IF(IF(价差分析!$W$4="日",--[1]!td(A882-1),IF(价差分析!$W$4="周",--[1]!td(A882-7),--[1]!td(A882-30)))-价差分析!$T$4&gt;0,IF(价差分析!$W$4="日",--[1]!td(A882-1),IF(价差分析!$W$4="周",--[1]!td(A882-7),--[1]!td(A882-30))),""))</f>
        <v/>
      </c>
      <c r="B883" s="1" t="str">
        <f ca="1">IF(A883="","",[1]!s_dq_close($B$1,A883,$M$4))</f>
        <v/>
      </c>
      <c r="C883" s="1" t="str">
        <f ca="1">IF(A883="","",[1]!s_dq_close($C$1,A883,$M$4))</f>
        <v/>
      </c>
      <c r="D883" s="6" t="str">
        <f ca="1">IF($A883="","",[1]!s_dq_close(D$1,$A883,$M$4))</f>
        <v/>
      </c>
      <c r="E883" s="6" t="str">
        <f ca="1">IF($A883="","",[1]!s_dq_close(E$1,$A883,$M$4))</f>
        <v/>
      </c>
      <c r="F883" s="6" t="str">
        <f ca="1">IF($A883="","",[1]!s_dq_close(F$1,$A883,$M$4))</f>
        <v/>
      </c>
      <c r="G883" s="6"/>
      <c r="H883" s="6" t="str">
        <f ca="1">IF($A883="","",[1]!s_dq_close(H$1,$A883,$M$4))</f>
        <v/>
      </c>
      <c r="I883" s="6" t="str">
        <f ca="1">IF($A883="","",[1]!s_dq_close(I$1,$A883,$M$4))</f>
        <v/>
      </c>
      <c r="J883" s="6" t="str">
        <f t="shared" ca="1" si="14"/>
        <v/>
      </c>
    </row>
    <row r="884" spans="1:10">
      <c r="A884" s="2" t="str">
        <f ca="1">IF(A883="","",IF(IF(价差分析!$W$4="日",--[1]!td(A883-1),IF(价差分析!$W$4="周",--[1]!td(A883-7),--[1]!td(A883-30)))-价差分析!$T$4&gt;0,IF(价差分析!$W$4="日",--[1]!td(A883-1),IF(价差分析!$W$4="周",--[1]!td(A883-7),--[1]!td(A883-30))),""))</f>
        <v/>
      </c>
      <c r="B884" s="1" t="str">
        <f ca="1">IF(A884="","",[1]!s_dq_close($B$1,A884,$M$4))</f>
        <v/>
      </c>
      <c r="C884" s="1" t="str">
        <f ca="1">IF(A884="","",[1]!s_dq_close($C$1,A884,$M$4))</f>
        <v/>
      </c>
      <c r="D884" s="6" t="str">
        <f ca="1">IF($A884="","",[1]!s_dq_close(D$1,$A884,$M$4))</f>
        <v/>
      </c>
      <c r="E884" s="6" t="str">
        <f ca="1">IF($A884="","",[1]!s_dq_close(E$1,$A884,$M$4))</f>
        <v/>
      </c>
      <c r="F884" s="6" t="str">
        <f ca="1">IF($A884="","",[1]!s_dq_close(F$1,$A884,$M$4))</f>
        <v/>
      </c>
      <c r="G884" s="6"/>
      <c r="H884" s="6" t="str">
        <f ca="1">IF($A884="","",[1]!s_dq_close(H$1,$A884,$M$4))</f>
        <v/>
      </c>
      <c r="I884" s="6" t="str">
        <f ca="1">IF($A884="","",[1]!s_dq_close(I$1,$A884,$M$4))</f>
        <v/>
      </c>
      <c r="J884" s="6" t="str">
        <f t="shared" ca="1" si="14"/>
        <v/>
      </c>
    </row>
    <row r="885" spans="1:10">
      <c r="A885" s="2" t="str">
        <f ca="1">IF(A884="","",IF(IF(价差分析!$W$4="日",--[1]!td(A884-1),IF(价差分析!$W$4="周",--[1]!td(A884-7),--[1]!td(A884-30)))-价差分析!$T$4&gt;0,IF(价差分析!$W$4="日",--[1]!td(A884-1),IF(价差分析!$W$4="周",--[1]!td(A884-7),--[1]!td(A884-30))),""))</f>
        <v/>
      </c>
      <c r="B885" s="1" t="str">
        <f ca="1">IF(A885="","",[1]!s_dq_close($B$1,A885,$M$4))</f>
        <v/>
      </c>
      <c r="C885" s="1" t="str">
        <f ca="1">IF(A885="","",[1]!s_dq_close($C$1,A885,$M$4))</f>
        <v/>
      </c>
      <c r="D885" s="6" t="str">
        <f ca="1">IF($A885="","",[1]!s_dq_close(D$1,$A885,$M$4))</f>
        <v/>
      </c>
      <c r="E885" s="6" t="str">
        <f ca="1">IF($A885="","",[1]!s_dq_close(E$1,$A885,$M$4))</f>
        <v/>
      </c>
      <c r="F885" s="6" t="str">
        <f ca="1">IF($A885="","",[1]!s_dq_close(F$1,$A885,$M$4))</f>
        <v/>
      </c>
      <c r="G885" s="6"/>
      <c r="H885" s="6" t="str">
        <f ca="1">IF($A885="","",[1]!s_dq_close(H$1,$A885,$M$4))</f>
        <v/>
      </c>
      <c r="I885" s="6" t="str">
        <f ca="1">IF($A885="","",[1]!s_dq_close(I$1,$A885,$M$4))</f>
        <v/>
      </c>
      <c r="J885" s="6" t="str">
        <f t="shared" ca="1" si="14"/>
        <v/>
      </c>
    </row>
    <row r="886" spans="1:10">
      <c r="A886" s="2" t="str">
        <f ca="1">IF(A885="","",IF(IF(价差分析!$W$4="日",--[1]!td(A885-1),IF(价差分析!$W$4="周",--[1]!td(A885-7),--[1]!td(A885-30)))-价差分析!$T$4&gt;0,IF(价差分析!$W$4="日",--[1]!td(A885-1),IF(价差分析!$W$4="周",--[1]!td(A885-7),--[1]!td(A885-30))),""))</f>
        <v/>
      </c>
      <c r="B886" s="1" t="str">
        <f ca="1">IF(A886="","",[1]!s_dq_close($B$1,A886,$M$4))</f>
        <v/>
      </c>
      <c r="C886" s="1" t="str">
        <f ca="1">IF(A886="","",[1]!s_dq_close($C$1,A886,$M$4))</f>
        <v/>
      </c>
      <c r="D886" s="6" t="str">
        <f ca="1">IF($A886="","",[1]!s_dq_close(D$1,$A886,$M$4))</f>
        <v/>
      </c>
      <c r="E886" s="6" t="str">
        <f ca="1">IF($A886="","",[1]!s_dq_close(E$1,$A886,$M$4))</f>
        <v/>
      </c>
      <c r="F886" s="6" t="str">
        <f ca="1">IF($A886="","",[1]!s_dq_close(F$1,$A886,$M$4))</f>
        <v/>
      </c>
      <c r="G886" s="6"/>
      <c r="H886" s="6" t="str">
        <f ca="1">IF($A886="","",[1]!s_dq_close(H$1,$A886,$M$4))</f>
        <v/>
      </c>
      <c r="I886" s="6" t="str">
        <f ca="1">IF($A886="","",[1]!s_dq_close(I$1,$A886,$M$4))</f>
        <v/>
      </c>
      <c r="J886" s="6" t="str">
        <f t="shared" ca="1" si="14"/>
        <v/>
      </c>
    </row>
    <row r="887" spans="1:10">
      <c r="A887" s="2" t="str">
        <f ca="1">IF(A886="","",IF(IF(价差分析!$W$4="日",--[1]!td(A886-1),IF(价差分析!$W$4="周",--[1]!td(A886-7),--[1]!td(A886-30)))-价差分析!$T$4&gt;0,IF(价差分析!$W$4="日",--[1]!td(A886-1),IF(价差分析!$W$4="周",--[1]!td(A886-7),--[1]!td(A886-30))),""))</f>
        <v/>
      </c>
      <c r="B887" s="1" t="str">
        <f ca="1">IF(A887="","",[1]!s_dq_close($B$1,A887,$M$4))</f>
        <v/>
      </c>
      <c r="C887" s="1" t="str">
        <f ca="1">IF(A887="","",[1]!s_dq_close($C$1,A887,$M$4))</f>
        <v/>
      </c>
      <c r="D887" s="6" t="str">
        <f ca="1">IF($A887="","",[1]!s_dq_close(D$1,$A887,$M$4))</f>
        <v/>
      </c>
      <c r="E887" s="6" t="str">
        <f ca="1">IF($A887="","",[1]!s_dq_close(E$1,$A887,$M$4))</f>
        <v/>
      </c>
      <c r="F887" s="6" t="str">
        <f ca="1">IF($A887="","",[1]!s_dq_close(F$1,$A887,$M$4))</f>
        <v/>
      </c>
      <c r="G887" s="6"/>
      <c r="H887" s="6" t="str">
        <f ca="1">IF($A887="","",[1]!s_dq_close(H$1,$A887,$M$4))</f>
        <v/>
      </c>
      <c r="I887" s="6" t="str">
        <f ca="1">IF($A887="","",[1]!s_dq_close(I$1,$A887,$M$4))</f>
        <v/>
      </c>
      <c r="J887" s="6" t="str">
        <f t="shared" ca="1" si="14"/>
        <v/>
      </c>
    </row>
    <row r="888" spans="1:10">
      <c r="A888" s="2" t="str">
        <f ca="1">IF(A887="","",IF(IF(价差分析!$W$4="日",--[1]!td(A887-1),IF(价差分析!$W$4="周",--[1]!td(A887-7),--[1]!td(A887-30)))-价差分析!$T$4&gt;0,IF(价差分析!$W$4="日",--[1]!td(A887-1),IF(价差分析!$W$4="周",--[1]!td(A887-7),--[1]!td(A887-30))),""))</f>
        <v/>
      </c>
      <c r="B888" s="1" t="str">
        <f ca="1">IF(A888="","",[1]!s_dq_close($B$1,A888,$M$4))</f>
        <v/>
      </c>
      <c r="C888" s="1" t="str">
        <f ca="1">IF(A888="","",[1]!s_dq_close($C$1,A888,$M$4))</f>
        <v/>
      </c>
      <c r="D888" s="6" t="str">
        <f ca="1">IF($A888="","",[1]!s_dq_close(D$1,$A888,$M$4))</f>
        <v/>
      </c>
      <c r="E888" s="6" t="str">
        <f ca="1">IF($A888="","",[1]!s_dq_close(E$1,$A888,$M$4))</f>
        <v/>
      </c>
      <c r="F888" s="6" t="str">
        <f ca="1">IF($A888="","",[1]!s_dq_close(F$1,$A888,$M$4))</f>
        <v/>
      </c>
      <c r="G888" s="6"/>
      <c r="H888" s="6" t="str">
        <f ca="1">IF($A888="","",[1]!s_dq_close(H$1,$A888,$M$4))</f>
        <v/>
      </c>
      <c r="I888" s="6" t="str">
        <f ca="1">IF($A888="","",[1]!s_dq_close(I$1,$A888,$M$4))</f>
        <v/>
      </c>
      <c r="J888" s="6" t="str">
        <f t="shared" ca="1" si="14"/>
        <v/>
      </c>
    </row>
    <row r="889" spans="1:10">
      <c r="A889" s="2" t="str">
        <f ca="1">IF(A888="","",IF(IF(价差分析!$W$4="日",--[1]!td(A888-1),IF(价差分析!$W$4="周",--[1]!td(A888-7),--[1]!td(A888-30)))-价差分析!$T$4&gt;0,IF(价差分析!$W$4="日",--[1]!td(A888-1),IF(价差分析!$W$4="周",--[1]!td(A888-7),--[1]!td(A888-30))),""))</f>
        <v/>
      </c>
      <c r="B889" s="1" t="str">
        <f ca="1">IF(A889="","",[1]!s_dq_close($B$1,A889,$M$4))</f>
        <v/>
      </c>
      <c r="C889" s="1" t="str">
        <f ca="1">IF(A889="","",[1]!s_dq_close($C$1,A889,$M$4))</f>
        <v/>
      </c>
      <c r="D889" s="6" t="str">
        <f ca="1">IF($A889="","",[1]!s_dq_close(D$1,$A889,$M$4))</f>
        <v/>
      </c>
      <c r="E889" s="6" t="str">
        <f ca="1">IF($A889="","",[1]!s_dq_close(E$1,$A889,$M$4))</f>
        <v/>
      </c>
      <c r="F889" s="6" t="str">
        <f ca="1">IF($A889="","",[1]!s_dq_close(F$1,$A889,$M$4))</f>
        <v/>
      </c>
      <c r="G889" s="6"/>
      <c r="H889" s="6" t="str">
        <f ca="1">IF($A889="","",[1]!s_dq_close(H$1,$A889,$M$4))</f>
        <v/>
      </c>
      <c r="I889" s="6" t="str">
        <f ca="1">IF($A889="","",[1]!s_dq_close(I$1,$A889,$M$4))</f>
        <v/>
      </c>
      <c r="J889" s="6" t="str">
        <f t="shared" ca="1" si="14"/>
        <v/>
      </c>
    </row>
    <row r="890" spans="1:10">
      <c r="A890" s="2" t="str">
        <f ca="1">IF(A889="","",IF(IF(价差分析!$W$4="日",--[1]!td(A889-1),IF(价差分析!$W$4="周",--[1]!td(A889-7),--[1]!td(A889-30)))-价差分析!$T$4&gt;0,IF(价差分析!$W$4="日",--[1]!td(A889-1),IF(价差分析!$W$4="周",--[1]!td(A889-7),--[1]!td(A889-30))),""))</f>
        <v/>
      </c>
      <c r="B890" s="1" t="str">
        <f ca="1">IF(A890="","",[1]!s_dq_close($B$1,A890,$M$4))</f>
        <v/>
      </c>
      <c r="C890" s="1" t="str">
        <f ca="1">IF(A890="","",[1]!s_dq_close($C$1,A890,$M$4))</f>
        <v/>
      </c>
      <c r="D890" s="6" t="str">
        <f ca="1">IF($A890="","",[1]!s_dq_close(D$1,$A890,$M$4))</f>
        <v/>
      </c>
      <c r="E890" s="6" t="str">
        <f ca="1">IF($A890="","",[1]!s_dq_close(E$1,$A890,$M$4))</f>
        <v/>
      </c>
      <c r="F890" s="6" t="str">
        <f ca="1">IF($A890="","",[1]!s_dq_close(F$1,$A890,$M$4))</f>
        <v/>
      </c>
      <c r="G890" s="6"/>
      <c r="H890" s="6" t="str">
        <f ca="1">IF($A890="","",[1]!s_dq_close(H$1,$A890,$M$4))</f>
        <v/>
      </c>
      <c r="I890" s="6" t="str">
        <f ca="1">IF($A890="","",[1]!s_dq_close(I$1,$A890,$M$4))</f>
        <v/>
      </c>
      <c r="J890" s="6" t="str">
        <f t="shared" ca="1" si="14"/>
        <v/>
      </c>
    </row>
    <row r="891" spans="1:10">
      <c r="A891" s="2" t="str">
        <f ca="1">IF(A890="","",IF(IF(价差分析!$W$4="日",--[1]!td(A890-1),IF(价差分析!$W$4="周",--[1]!td(A890-7),--[1]!td(A890-30)))-价差分析!$T$4&gt;0,IF(价差分析!$W$4="日",--[1]!td(A890-1),IF(价差分析!$W$4="周",--[1]!td(A890-7),--[1]!td(A890-30))),""))</f>
        <v/>
      </c>
      <c r="B891" s="1" t="str">
        <f ca="1">IF(A891="","",[1]!s_dq_close($B$1,A891,$M$4))</f>
        <v/>
      </c>
      <c r="C891" s="1" t="str">
        <f ca="1">IF(A891="","",[1]!s_dq_close($C$1,A891,$M$4))</f>
        <v/>
      </c>
      <c r="D891" s="6" t="str">
        <f ca="1">IF($A891="","",[1]!s_dq_close(D$1,$A891,$M$4))</f>
        <v/>
      </c>
      <c r="E891" s="6" t="str">
        <f ca="1">IF($A891="","",[1]!s_dq_close(E$1,$A891,$M$4))</f>
        <v/>
      </c>
      <c r="F891" s="6" t="str">
        <f ca="1">IF($A891="","",[1]!s_dq_close(F$1,$A891,$M$4))</f>
        <v/>
      </c>
      <c r="G891" s="6"/>
      <c r="H891" s="6" t="str">
        <f ca="1">IF($A891="","",[1]!s_dq_close(H$1,$A891,$M$4))</f>
        <v/>
      </c>
      <c r="I891" s="6" t="str">
        <f ca="1">IF($A891="","",[1]!s_dq_close(I$1,$A891,$M$4))</f>
        <v/>
      </c>
      <c r="J891" s="6" t="str">
        <f t="shared" ca="1" si="14"/>
        <v/>
      </c>
    </row>
    <row r="892" spans="1:10">
      <c r="A892" s="2" t="str">
        <f ca="1">IF(A891="","",IF(IF(价差分析!$W$4="日",--[1]!td(A891-1),IF(价差分析!$W$4="周",--[1]!td(A891-7),--[1]!td(A891-30)))-价差分析!$T$4&gt;0,IF(价差分析!$W$4="日",--[1]!td(A891-1),IF(价差分析!$W$4="周",--[1]!td(A891-7),--[1]!td(A891-30))),""))</f>
        <v/>
      </c>
      <c r="B892" s="1" t="str">
        <f ca="1">IF(A892="","",[1]!s_dq_close($B$1,A892,$M$4))</f>
        <v/>
      </c>
      <c r="C892" s="1" t="str">
        <f ca="1">IF(A892="","",[1]!s_dq_close($C$1,A892,$M$4))</f>
        <v/>
      </c>
      <c r="D892" s="6" t="str">
        <f ca="1">IF($A892="","",[1]!s_dq_close(D$1,$A892,$M$4))</f>
        <v/>
      </c>
      <c r="E892" s="6" t="str">
        <f ca="1">IF($A892="","",[1]!s_dq_close(E$1,$A892,$M$4))</f>
        <v/>
      </c>
      <c r="F892" s="6" t="str">
        <f ca="1">IF($A892="","",[1]!s_dq_close(F$1,$A892,$M$4))</f>
        <v/>
      </c>
      <c r="G892" s="6"/>
      <c r="H892" s="6" t="str">
        <f ca="1">IF($A892="","",[1]!s_dq_close(H$1,$A892,$M$4))</f>
        <v/>
      </c>
      <c r="I892" s="6" t="str">
        <f ca="1">IF($A892="","",[1]!s_dq_close(I$1,$A892,$M$4))</f>
        <v/>
      </c>
      <c r="J892" s="6" t="str">
        <f t="shared" ca="1" si="14"/>
        <v/>
      </c>
    </row>
    <row r="893" spans="1:10">
      <c r="A893" s="2" t="str">
        <f ca="1">IF(A892="","",IF(IF(价差分析!$W$4="日",--[1]!td(A892-1),IF(价差分析!$W$4="周",--[1]!td(A892-7),--[1]!td(A892-30)))-价差分析!$T$4&gt;0,IF(价差分析!$W$4="日",--[1]!td(A892-1),IF(价差分析!$W$4="周",--[1]!td(A892-7),--[1]!td(A892-30))),""))</f>
        <v/>
      </c>
      <c r="B893" s="1" t="str">
        <f ca="1">IF(A893="","",[1]!s_dq_close($B$1,A893,$M$4))</f>
        <v/>
      </c>
      <c r="C893" s="1" t="str">
        <f ca="1">IF(A893="","",[1]!s_dq_close($C$1,A893,$M$4))</f>
        <v/>
      </c>
      <c r="D893" s="6" t="str">
        <f ca="1">IF($A893="","",[1]!s_dq_close(D$1,$A893,$M$4))</f>
        <v/>
      </c>
      <c r="E893" s="6" t="str">
        <f ca="1">IF($A893="","",[1]!s_dq_close(E$1,$A893,$M$4))</f>
        <v/>
      </c>
      <c r="F893" s="6" t="str">
        <f ca="1">IF($A893="","",[1]!s_dq_close(F$1,$A893,$M$4))</f>
        <v/>
      </c>
      <c r="G893" s="6"/>
      <c r="H893" s="6" t="str">
        <f ca="1">IF($A893="","",[1]!s_dq_close(H$1,$A893,$M$4))</f>
        <v/>
      </c>
      <c r="I893" s="6" t="str">
        <f ca="1">IF($A893="","",[1]!s_dq_close(I$1,$A893,$M$4))</f>
        <v/>
      </c>
      <c r="J893" s="6" t="str">
        <f t="shared" ca="1" si="14"/>
        <v/>
      </c>
    </row>
    <row r="894" spans="1:10">
      <c r="A894" s="2" t="str">
        <f ca="1">IF(A893="","",IF(IF(价差分析!$W$4="日",--[1]!td(A893-1),IF(价差分析!$W$4="周",--[1]!td(A893-7),--[1]!td(A893-30)))-价差分析!$T$4&gt;0,IF(价差分析!$W$4="日",--[1]!td(A893-1),IF(价差分析!$W$4="周",--[1]!td(A893-7),--[1]!td(A893-30))),""))</f>
        <v/>
      </c>
      <c r="B894" s="1" t="str">
        <f ca="1">IF(A894="","",[1]!s_dq_close($B$1,A894,$M$4))</f>
        <v/>
      </c>
      <c r="C894" s="1" t="str">
        <f ca="1">IF(A894="","",[1]!s_dq_close($C$1,A894,$M$4))</f>
        <v/>
      </c>
      <c r="D894" s="6" t="str">
        <f ca="1">IF($A894="","",[1]!s_dq_close(D$1,$A894,$M$4))</f>
        <v/>
      </c>
      <c r="E894" s="6" t="str">
        <f ca="1">IF($A894="","",[1]!s_dq_close(E$1,$A894,$M$4))</f>
        <v/>
      </c>
      <c r="F894" s="6" t="str">
        <f ca="1">IF($A894="","",[1]!s_dq_close(F$1,$A894,$M$4))</f>
        <v/>
      </c>
      <c r="G894" s="6"/>
      <c r="H894" s="6" t="str">
        <f ca="1">IF($A894="","",[1]!s_dq_close(H$1,$A894,$M$4))</f>
        <v/>
      </c>
      <c r="I894" s="6" t="str">
        <f ca="1">IF($A894="","",[1]!s_dq_close(I$1,$A894,$M$4))</f>
        <v/>
      </c>
      <c r="J894" s="6" t="str">
        <f t="shared" ca="1" si="14"/>
        <v/>
      </c>
    </row>
    <row r="895" spans="1:10">
      <c r="A895" s="2" t="str">
        <f ca="1">IF(A894="","",IF(IF(价差分析!$W$4="日",--[1]!td(A894-1),IF(价差分析!$W$4="周",--[1]!td(A894-7),--[1]!td(A894-30)))-价差分析!$T$4&gt;0,IF(价差分析!$W$4="日",--[1]!td(A894-1),IF(价差分析!$W$4="周",--[1]!td(A894-7),--[1]!td(A894-30))),""))</f>
        <v/>
      </c>
      <c r="B895" s="1" t="str">
        <f ca="1">IF(A895="","",[1]!s_dq_close($B$1,A895,$M$4))</f>
        <v/>
      </c>
      <c r="C895" s="1" t="str">
        <f ca="1">IF(A895="","",[1]!s_dq_close($C$1,A895,$M$4))</f>
        <v/>
      </c>
      <c r="D895" s="6" t="str">
        <f ca="1">IF($A895="","",[1]!s_dq_close(D$1,$A895,$M$4))</f>
        <v/>
      </c>
      <c r="E895" s="6" t="str">
        <f ca="1">IF($A895="","",[1]!s_dq_close(E$1,$A895,$M$4))</f>
        <v/>
      </c>
      <c r="F895" s="6" t="str">
        <f ca="1">IF($A895="","",[1]!s_dq_close(F$1,$A895,$M$4))</f>
        <v/>
      </c>
      <c r="G895" s="6"/>
      <c r="H895" s="6" t="str">
        <f ca="1">IF($A895="","",[1]!s_dq_close(H$1,$A895,$M$4))</f>
        <v/>
      </c>
      <c r="I895" s="6" t="str">
        <f ca="1">IF($A895="","",[1]!s_dq_close(I$1,$A895,$M$4))</f>
        <v/>
      </c>
      <c r="J895" s="6" t="str">
        <f t="shared" ca="1" si="14"/>
        <v/>
      </c>
    </row>
    <row r="896" spans="1:10">
      <c r="A896" s="2" t="str">
        <f ca="1">IF(A895="","",IF(IF(价差分析!$W$4="日",--[1]!td(A895-1),IF(价差分析!$W$4="周",--[1]!td(A895-7),--[1]!td(A895-30)))-价差分析!$T$4&gt;0,IF(价差分析!$W$4="日",--[1]!td(A895-1),IF(价差分析!$W$4="周",--[1]!td(A895-7),--[1]!td(A895-30))),""))</f>
        <v/>
      </c>
      <c r="B896" s="1" t="str">
        <f ca="1">IF(A896="","",[1]!s_dq_close($B$1,A896,$M$4))</f>
        <v/>
      </c>
      <c r="C896" s="1" t="str">
        <f ca="1">IF(A896="","",[1]!s_dq_close($C$1,A896,$M$4))</f>
        <v/>
      </c>
      <c r="D896" s="6" t="str">
        <f ca="1">IF($A896="","",[1]!s_dq_close(D$1,$A896,$M$4))</f>
        <v/>
      </c>
      <c r="E896" s="6" t="str">
        <f ca="1">IF($A896="","",[1]!s_dq_close(E$1,$A896,$M$4))</f>
        <v/>
      </c>
      <c r="F896" s="6" t="str">
        <f ca="1">IF($A896="","",[1]!s_dq_close(F$1,$A896,$M$4))</f>
        <v/>
      </c>
      <c r="G896" s="6"/>
      <c r="H896" s="6" t="str">
        <f ca="1">IF($A896="","",[1]!s_dq_close(H$1,$A896,$M$4))</f>
        <v/>
      </c>
      <c r="I896" s="6" t="str">
        <f ca="1">IF($A896="","",[1]!s_dq_close(I$1,$A896,$M$4))</f>
        <v/>
      </c>
      <c r="J896" s="6" t="str">
        <f t="shared" ca="1" si="14"/>
        <v/>
      </c>
    </row>
    <row r="897" spans="1:10">
      <c r="A897" s="2" t="str">
        <f ca="1">IF(A896="","",IF(IF(价差分析!$W$4="日",--[1]!td(A896-1),IF(价差分析!$W$4="周",--[1]!td(A896-7),--[1]!td(A896-30)))-价差分析!$T$4&gt;0,IF(价差分析!$W$4="日",--[1]!td(A896-1),IF(价差分析!$W$4="周",--[1]!td(A896-7),--[1]!td(A896-30))),""))</f>
        <v/>
      </c>
      <c r="B897" s="1" t="str">
        <f ca="1">IF(A897="","",[1]!s_dq_close($B$1,A897,$M$4))</f>
        <v/>
      </c>
      <c r="C897" s="1" t="str">
        <f ca="1">IF(A897="","",[1]!s_dq_close($C$1,A897,$M$4))</f>
        <v/>
      </c>
      <c r="D897" s="6" t="str">
        <f ca="1">IF($A897="","",[1]!s_dq_close(D$1,$A897,$M$4))</f>
        <v/>
      </c>
      <c r="E897" s="6" t="str">
        <f ca="1">IF($A897="","",[1]!s_dq_close(E$1,$A897,$M$4))</f>
        <v/>
      </c>
      <c r="F897" s="6" t="str">
        <f ca="1">IF($A897="","",[1]!s_dq_close(F$1,$A897,$M$4))</f>
        <v/>
      </c>
      <c r="G897" s="6"/>
      <c r="H897" s="6" t="str">
        <f ca="1">IF($A897="","",[1]!s_dq_close(H$1,$A897,$M$4))</f>
        <v/>
      </c>
      <c r="I897" s="6" t="str">
        <f ca="1">IF($A897="","",[1]!s_dq_close(I$1,$A897,$M$4))</f>
        <v/>
      </c>
      <c r="J897" s="6" t="str">
        <f t="shared" ca="1" si="14"/>
        <v/>
      </c>
    </row>
    <row r="898" spans="1:10">
      <c r="A898" s="2" t="str">
        <f ca="1">IF(A897="","",IF(IF(价差分析!$W$4="日",--[1]!td(A897-1),IF(价差分析!$W$4="周",--[1]!td(A897-7),--[1]!td(A897-30)))-价差分析!$T$4&gt;0,IF(价差分析!$W$4="日",--[1]!td(A897-1),IF(价差分析!$W$4="周",--[1]!td(A897-7),--[1]!td(A897-30))),""))</f>
        <v/>
      </c>
      <c r="B898" s="1" t="str">
        <f ca="1">IF(A898="","",[1]!s_dq_close($B$1,A898,$M$4))</f>
        <v/>
      </c>
      <c r="C898" s="1" t="str">
        <f ca="1">IF(A898="","",[1]!s_dq_close($C$1,A898,$M$4))</f>
        <v/>
      </c>
      <c r="D898" s="6" t="str">
        <f ca="1">IF($A898="","",[1]!s_dq_close(D$1,$A898,$M$4))</f>
        <v/>
      </c>
      <c r="E898" s="6" t="str">
        <f ca="1">IF($A898="","",[1]!s_dq_close(E$1,$A898,$M$4))</f>
        <v/>
      </c>
      <c r="F898" s="6" t="str">
        <f ca="1">IF($A898="","",[1]!s_dq_close(F$1,$A898,$M$4))</f>
        <v/>
      </c>
      <c r="G898" s="6"/>
      <c r="H898" s="6" t="str">
        <f ca="1">IF($A898="","",[1]!s_dq_close(H$1,$A898,$M$4))</f>
        <v/>
      </c>
      <c r="I898" s="6" t="str">
        <f ca="1">IF($A898="","",[1]!s_dq_close(I$1,$A898,$M$4))</f>
        <v/>
      </c>
      <c r="J898" s="6" t="str">
        <f t="shared" ca="1" si="14"/>
        <v/>
      </c>
    </row>
    <row r="899" spans="1:10">
      <c r="A899" s="2" t="str">
        <f ca="1">IF(A898="","",IF(IF(价差分析!$W$4="日",--[1]!td(A898-1),IF(价差分析!$W$4="周",--[1]!td(A898-7),--[1]!td(A898-30)))-价差分析!$T$4&gt;0,IF(价差分析!$W$4="日",--[1]!td(A898-1),IF(价差分析!$W$4="周",--[1]!td(A898-7),--[1]!td(A898-30))),""))</f>
        <v/>
      </c>
      <c r="B899" s="1" t="str">
        <f ca="1">IF(A899="","",[1]!s_dq_close($B$1,A899,$M$4))</f>
        <v/>
      </c>
      <c r="C899" s="1" t="str">
        <f ca="1">IF(A899="","",[1]!s_dq_close($C$1,A899,$M$4))</f>
        <v/>
      </c>
      <c r="D899" s="6" t="str">
        <f ca="1">IF($A899="","",[1]!s_dq_close(D$1,$A899,$M$4))</f>
        <v/>
      </c>
      <c r="E899" s="6" t="str">
        <f ca="1">IF($A899="","",[1]!s_dq_close(E$1,$A899,$M$4))</f>
        <v/>
      </c>
      <c r="F899" s="6" t="str">
        <f ca="1">IF($A899="","",[1]!s_dq_close(F$1,$A899,$M$4))</f>
        <v/>
      </c>
      <c r="G899" s="6"/>
      <c r="H899" s="6" t="str">
        <f ca="1">IF($A899="","",[1]!s_dq_close(H$1,$A899,$M$4))</f>
        <v/>
      </c>
      <c r="I899" s="6" t="str">
        <f ca="1">IF($A899="","",[1]!s_dq_close(I$1,$A899,$M$4))</f>
        <v/>
      </c>
      <c r="J899" s="6" t="str">
        <f t="shared" ca="1" si="14"/>
        <v/>
      </c>
    </row>
    <row r="900" spans="1:10">
      <c r="A900" s="2" t="str">
        <f ca="1">IF(A899="","",IF(IF(价差分析!$W$4="日",--[1]!td(A899-1),IF(价差分析!$W$4="周",--[1]!td(A899-7),--[1]!td(A899-30)))-价差分析!$T$4&gt;0,IF(价差分析!$W$4="日",--[1]!td(A899-1),IF(价差分析!$W$4="周",--[1]!td(A899-7),--[1]!td(A899-30))),""))</f>
        <v/>
      </c>
      <c r="B900" s="1" t="str">
        <f ca="1">IF(A900="","",[1]!s_dq_close($B$1,A900,$M$4))</f>
        <v/>
      </c>
      <c r="C900" s="1" t="str">
        <f ca="1">IF(A900="","",[1]!s_dq_close($C$1,A900,$M$4))</f>
        <v/>
      </c>
      <c r="D900" s="6" t="str">
        <f ca="1">IF($A900="","",[1]!s_dq_close(D$1,$A900,$M$4))</f>
        <v/>
      </c>
      <c r="E900" s="6" t="str">
        <f ca="1">IF($A900="","",[1]!s_dq_close(E$1,$A900,$M$4))</f>
        <v/>
      </c>
      <c r="F900" s="6" t="str">
        <f ca="1">IF($A900="","",[1]!s_dq_close(F$1,$A900,$M$4))</f>
        <v/>
      </c>
      <c r="G900" s="6"/>
      <c r="H900" s="6" t="str">
        <f ca="1">IF($A900="","",[1]!s_dq_close(H$1,$A900,$M$4))</f>
        <v/>
      </c>
      <c r="I900" s="6" t="str">
        <f ca="1">IF($A900="","",[1]!s_dq_close(I$1,$A900,$M$4))</f>
        <v/>
      </c>
      <c r="J900" s="6" t="str">
        <f t="shared" ca="1" si="14"/>
        <v/>
      </c>
    </row>
    <row r="901" spans="1:10">
      <c r="A901" s="2" t="str">
        <f ca="1">IF(A900="","",IF(IF(价差分析!$W$4="日",--[1]!td(A900-1),IF(价差分析!$W$4="周",--[1]!td(A900-7),--[1]!td(A900-30)))-价差分析!$T$4&gt;0,IF(价差分析!$W$4="日",--[1]!td(A900-1),IF(价差分析!$W$4="周",--[1]!td(A900-7),--[1]!td(A900-30))),""))</f>
        <v/>
      </c>
      <c r="B901" s="1" t="str">
        <f ca="1">IF(A901="","",[1]!s_dq_close($B$1,A901,$M$4))</f>
        <v/>
      </c>
      <c r="C901" s="1" t="str">
        <f ca="1">IF(A901="","",[1]!s_dq_close($C$1,A901,$M$4))</f>
        <v/>
      </c>
      <c r="D901" s="6" t="str">
        <f ca="1">IF($A901="","",[1]!s_dq_close(D$1,$A901,$M$4))</f>
        <v/>
      </c>
      <c r="E901" s="6" t="str">
        <f ca="1">IF($A901="","",[1]!s_dq_close(E$1,$A901,$M$4))</f>
        <v/>
      </c>
      <c r="F901" s="6" t="str">
        <f ca="1">IF($A901="","",[1]!s_dq_close(F$1,$A901,$M$4))</f>
        <v/>
      </c>
      <c r="G901" s="6"/>
      <c r="H901" s="6" t="str">
        <f ca="1">IF($A901="","",[1]!s_dq_close(H$1,$A901,$M$4))</f>
        <v/>
      </c>
      <c r="I901" s="6" t="str">
        <f ca="1">IF($A901="","",[1]!s_dq_close(I$1,$A901,$M$4))</f>
        <v/>
      </c>
      <c r="J901" s="6" t="str">
        <f t="shared" ref="J901:J964" ca="1" si="15">IF(H901="","",H901-I901)</f>
        <v/>
      </c>
    </row>
    <row r="902" spans="1:10">
      <c r="A902" s="2" t="str">
        <f ca="1">IF(A901="","",IF(IF(价差分析!$W$4="日",--[1]!td(A901-1),IF(价差分析!$W$4="周",--[1]!td(A901-7),--[1]!td(A901-30)))-价差分析!$T$4&gt;0,IF(价差分析!$W$4="日",--[1]!td(A901-1),IF(价差分析!$W$4="周",--[1]!td(A901-7),--[1]!td(A901-30))),""))</f>
        <v/>
      </c>
      <c r="B902" s="1" t="str">
        <f ca="1">IF(A902="","",[1]!s_dq_close($B$1,A902,$M$4))</f>
        <v/>
      </c>
      <c r="C902" s="1" t="str">
        <f ca="1">IF(A902="","",[1]!s_dq_close($C$1,A902,$M$4))</f>
        <v/>
      </c>
      <c r="D902" s="6" t="str">
        <f ca="1">IF($A902="","",[1]!s_dq_close(D$1,$A902,$M$4))</f>
        <v/>
      </c>
      <c r="E902" s="6" t="str">
        <f ca="1">IF($A902="","",[1]!s_dq_close(E$1,$A902,$M$4))</f>
        <v/>
      </c>
      <c r="F902" s="6" t="str">
        <f ca="1">IF($A902="","",[1]!s_dq_close(F$1,$A902,$M$4))</f>
        <v/>
      </c>
      <c r="G902" s="6"/>
      <c r="H902" s="6" t="str">
        <f ca="1">IF($A902="","",[1]!s_dq_close(H$1,$A902,$M$4))</f>
        <v/>
      </c>
      <c r="I902" s="6" t="str">
        <f ca="1">IF($A902="","",[1]!s_dq_close(I$1,$A902,$M$4))</f>
        <v/>
      </c>
      <c r="J902" s="6" t="str">
        <f t="shared" ca="1" si="15"/>
        <v/>
      </c>
    </row>
    <row r="903" spans="1:10">
      <c r="A903" s="2" t="str">
        <f ca="1">IF(A902="","",IF(IF(价差分析!$W$4="日",--[1]!td(A902-1),IF(价差分析!$W$4="周",--[1]!td(A902-7),--[1]!td(A902-30)))-价差分析!$T$4&gt;0,IF(价差分析!$W$4="日",--[1]!td(A902-1),IF(价差分析!$W$4="周",--[1]!td(A902-7),--[1]!td(A902-30))),""))</f>
        <v/>
      </c>
      <c r="B903" s="1" t="str">
        <f ca="1">IF(A903="","",[1]!s_dq_close($B$1,A903,$M$4))</f>
        <v/>
      </c>
      <c r="C903" s="1" t="str">
        <f ca="1">IF(A903="","",[1]!s_dq_close($C$1,A903,$M$4))</f>
        <v/>
      </c>
      <c r="D903" s="6" t="str">
        <f ca="1">IF($A903="","",[1]!s_dq_close(D$1,$A903,$M$4))</f>
        <v/>
      </c>
      <c r="E903" s="6" t="str">
        <f ca="1">IF($A903="","",[1]!s_dq_close(E$1,$A903,$M$4))</f>
        <v/>
      </c>
      <c r="F903" s="6" t="str">
        <f ca="1">IF($A903="","",[1]!s_dq_close(F$1,$A903,$M$4))</f>
        <v/>
      </c>
      <c r="G903" s="6"/>
      <c r="H903" s="6" t="str">
        <f ca="1">IF($A903="","",[1]!s_dq_close(H$1,$A903,$M$4))</f>
        <v/>
      </c>
      <c r="I903" s="6" t="str">
        <f ca="1">IF($A903="","",[1]!s_dq_close(I$1,$A903,$M$4))</f>
        <v/>
      </c>
      <c r="J903" s="6" t="str">
        <f t="shared" ca="1" si="15"/>
        <v/>
      </c>
    </row>
    <row r="904" spans="1:10">
      <c r="A904" s="2" t="str">
        <f ca="1">IF(A903="","",IF(IF(价差分析!$W$4="日",--[1]!td(A903-1),IF(价差分析!$W$4="周",--[1]!td(A903-7),--[1]!td(A903-30)))-价差分析!$T$4&gt;0,IF(价差分析!$W$4="日",--[1]!td(A903-1),IF(价差分析!$W$4="周",--[1]!td(A903-7),--[1]!td(A903-30))),""))</f>
        <v/>
      </c>
      <c r="B904" s="1" t="str">
        <f ca="1">IF(A904="","",[1]!s_dq_close($B$1,A904,$M$4))</f>
        <v/>
      </c>
      <c r="C904" s="1" t="str">
        <f ca="1">IF(A904="","",[1]!s_dq_close($C$1,A904,$M$4))</f>
        <v/>
      </c>
      <c r="D904" s="6" t="str">
        <f ca="1">IF($A904="","",[1]!s_dq_close(D$1,$A904,$M$4))</f>
        <v/>
      </c>
      <c r="E904" s="6" t="str">
        <f ca="1">IF($A904="","",[1]!s_dq_close(E$1,$A904,$M$4))</f>
        <v/>
      </c>
      <c r="F904" s="6" t="str">
        <f ca="1">IF($A904="","",[1]!s_dq_close(F$1,$A904,$M$4))</f>
        <v/>
      </c>
      <c r="G904" s="6"/>
      <c r="H904" s="6" t="str">
        <f ca="1">IF($A904="","",[1]!s_dq_close(H$1,$A904,$M$4))</f>
        <v/>
      </c>
      <c r="I904" s="6" t="str">
        <f ca="1">IF($A904="","",[1]!s_dq_close(I$1,$A904,$M$4))</f>
        <v/>
      </c>
      <c r="J904" s="6" t="str">
        <f t="shared" ca="1" si="15"/>
        <v/>
      </c>
    </row>
    <row r="905" spans="1:10">
      <c r="A905" s="2" t="str">
        <f ca="1">IF(A904="","",IF(IF(价差分析!$W$4="日",--[1]!td(A904-1),IF(价差分析!$W$4="周",--[1]!td(A904-7),--[1]!td(A904-30)))-价差分析!$T$4&gt;0,IF(价差分析!$W$4="日",--[1]!td(A904-1),IF(价差分析!$W$4="周",--[1]!td(A904-7),--[1]!td(A904-30))),""))</f>
        <v/>
      </c>
      <c r="B905" s="1" t="str">
        <f ca="1">IF(A905="","",[1]!s_dq_close($B$1,A905,$M$4))</f>
        <v/>
      </c>
      <c r="C905" s="1" t="str">
        <f ca="1">IF(A905="","",[1]!s_dq_close($C$1,A905,$M$4))</f>
        <v/>
      </c>
      <c r="D905" s="6" t="str">
        <f ca="1">IF($A905="","",[1]!s_dq_close(D$1,$A905,$M$4))</f>
        <v/>
      </c>
      <c r="E905" s="6" t="str">
        <f ca="1">IF($A905="","",[1]!s_dq_close(E$1,$A905,$M$4))</f>
        <v/>
      </c>
      <c r="F905" s="6" t="str">
        <f ca="1">IF($A905="","",[1]!s_dq_close(F$1,$A905,$M$4))</f>
        <v/>
      </c>
      <c r="G905" s="6"/>
      <c r="H905" s="6" t="str">
        <f ca="1">IF($A905="","",[1]!s_dq_close(H$1,$A905,$M$4))</f>
        <v/>
      </c>
      <c r="I905" s="6" t="str">
        <f ca="1">IF($A905="","",[1]!s_dq_close(I$1,$A905,$M$4))</f>
        <v/>
      </c>
      <c r="J905" s="6" t="str">
        <f t="shared" ca="1" si="15"/>
        <v/>
      </c>
    </row>
    <row r="906" spans="1:10">
      <c r="A906" s="2" t="str">
        <f ca="1">IF(A905="","",IF(IF(价差分析!$W$4="日",--[1]!td(A905-1),IF(价差分析!$W$4="周",--[1]!td(A905-7),--[1]!td(A905-30)))-价差分析!$T$4&gt;0,IF(价差分析!$W$4="日",--[1]!td(A905-1),IF(价差分析!$W$4="周",--[1]!td(A905-7),--[1]!td(A905-30))),""))</f>
        <v/>
      </c>
      <c r="B906" s="1" t="str">
        <f ca="1">IF(A906="","",[1]!s_dq_close($B$1,A906,$M$4))</f>
        <v/>
      </c>
      <c r="C906" s="1" t="str">
        <f ca="1">IF(A906="","",[1]!s_dq_close($C$1,A906,$M$4))</f>
        <v/>
      </c>
      <c r="D906" s="6" t="str">
        <f ca="1">IF($A906="","",[1]!s_dq_close(D$1,$A906,$M$4))</f>
        <v/>
      </c>
      <c r="E906" s="6" t="str">
        <f ca="1">IF($A906="","",[1]!s_dq_close(E$1,$A906,$M$4))</f>
        <v/>
      </c>
      <c r="F906" s="6" t="str">
        <f ca="1">IF($A906="","",[1]!s_dq_close(F$1,$A906,$M$4))</f>
        <v/>
      </c>
      <c r="G906" s="6"/>
      <c r="H906" s="6" t="str">
        <f ca="1">IF($A906="","",[1]!s_dq_close(H$1,$A906,$M$4))</f>
        <v/>
      </c>
      <c r="I906" s="6" t="str">
        <f ca="1">IF($A906="","",[1]!s_dq_close(I$1,$A906,$M$4))</f>
        <v/>
      </c>
      <c r="J906" s="6" t="str">
        <f t="shared" ca="1" si="15"/>
        <v/>
      </c>
    </row>
    <row r="907" spans="1:10">
      <c r="A907" s="2" t="str">
        <f ca="1">IF(A906="","",IF(IF(价差分析!$W$4="日",--[1]!td(A906-1),IF(价差分析!$W$4="周",--[1]!td(A906-7),--[1]!td(A906-30)))-价差分析!$T$4&gt;0,IF(价差分析!$W$4="日",--[1]!td(A906-1),IF(价差分析!$W$4="周",--[1]!td(A906-7),--[1]!td(A906-30))),""))</f>
        <v/>
      </c>
      <c r="B907" s="1" t="str">
        <f ca="1">IF(A907="","",[1]!s_dq_close($B$1,A907,$M$4))</f>
        <v/>
      </c>
      <c r="C907" s="1" t="str">
        <f ca="1">IF(A907="","",[1]!s_dq_close($C$1,A907,$M$4))</f>
        <v/>
      </c>
      <c r="D907" s="6" t="str">
        <f ca="1">IF($A907="","",[1]!s_dq_close(D$1,$A907,$M$4))</f>
        <v/>
      </c>
      <c r="E907" s="6" t="str">
        <f ca="1">IF($A907="","",[1]!s_dq_close(E$1,$A907,$M$4))</f>
        <v/>
      </c>
      <c r="F907" s="6" t="str">
        <f ca="1">IF($A907="","",[1]!s_dq_close(F$1,$A907,$M$4))</f>
        <v/>
      </c>
      <c r="G907" s="6"/>
      <c r="H907" s="6" t="str">
        <f ca="1">IF($A907="","",[1]!s_dq_close(H$1,$A907,$M$4))</f>
        <v/>
      </c>
      <c r="I907" s="6" t="str">
        <f ca="1">IF($A907="","",[1]!s_dq_close(I$1,$A907,$M$4))</f>
        <v/>
      </c>
      <c r="J907" s="6" t="str">
        <f t="shared" ca="1" si="15"/>
        <v/>
      </c>
    </row>
    <row r="908" spans="1:10">
      <c r="A908" s="2" t="str">
        <f ca="1">IF(A907="","",IF(IF(价差分析!$W$4="日",--[1]!td(A907-1),IF(价差分析!$W$4="周",--[1]!td(A907-7),--[1]!td(A907-30)))-价差分析!$T$4&gt;0,IF(价差分析!$W$4="日",--[1]!td(A907-1),IF(价差分析!$W$4="周",--[1]!td(A907-7),--[1]!td(A907-30))),""))</f>
        <v/>
      </c>
      <c r="B908" s="1" t="str">
        <f ca="1">IF(A908="","",[1]!s_dq_close($B$1,A908,$M$4))</f>
        <v/>
      </c>
      <c r="C908" s="1" t="str">
        <f ca="1">IF(A908="","",[1]!s_dq_close($C$1,A908,$M$4))</f>
        <v/>
      </c>
      <c r="D908" s="6" t="str">
        <f ca="1">IF($A908="","",[1]!s_dq_close(D$1,$A908,$M$4))</f>
        <v/>
      </c>
      <c r="E908" s="6" t="str">
        <f ca="1">IF($A908="","",[1]!s_dq_close(E$1,$A908,$M$4))</f>
        <v/>
      </c>
      <c r="F908" s="6" t="str">
        <f ca="1">IF($A908="","",[1]!s_dq_close(F$1,$A908,$M$4))</f>
        <v/>
      </c>
      <c r="G908" s="6"/>
      <c r="H908" s="6" t="str">
        <f ca="1">IF($A908="","",[1]!s_dq_close(H$1,$A908,$M$4))</f>
        <v/>
      </c>
      <c r="I908" s="6" t="str">
        <f ca="1">IF($A908="","",[1]!s_dq_close(I$1,$A908,$M$4))</f>
        <v/>
      </c>
      <c r="J908" s="6" t="str">
        <f t="shared" ca="1" si="15"/>
        <v/>
      </c>
    </row>
    <row r="909" spans="1:10">
      <c r="A909" s="2" t="str">
        <f ca="1">IF(A908="","",IF(IF(价差分析!$W$4="日",--[1]!td(A908-1),IF(价差分析!$W$4="周",--[1]!td(A908-7),--[1]!td(A908-30)))-价差分析!$T$4&gt;0,IF(价差分析!$W$4="日",--[1]!td(A908-1),IF(价差分析!$W$4="周",--[1]!td(A908-7),--[1]!td(A908-30))),""))</f>
        <v/>
      </c>
      <c r="B909" s="1" t="str">
        <f ca="1">IF(A909="","",[1]!s_dq_close($B$1,A909,$M$4))</f>
        <v/>
      </c>
      <c r="C909" s="1" t="str">
        <f ca="1">IF(A909="","",[1]!s_dq_close($C$1,A909,$M$4))</f>
        <v/>
      </c>
      <c r="D909" s="6" t="str">
        <f ca="1">IF($A909="","",[1]!s_dq_close(D$1,$A909,$M$4))</f>
        <v/>
      </c>
      <c r="E909" s="6" t="str">
        <f ca="1">IF($A909="","",[1]!s_dq_close(E$1,$A909,$M$4))</f>
        <v/>
      </c>
      <c r="F909" s="6" t="str">
        <f ca="1">IF($A909="","",[1]!s_dq_close(F$1,$A909,$M$4))</f>
        <v/>
      </c>
      <c r="G909" s="6"/>
      <c r="H909" s="6" t="str">
        <f ca="1">IF($A909="","",[1]!s_dq_close(H$1,$A909,$M$4))</f>
        <v/>
      </c>
      <c r="I909" s="6" t="str">
        <f ca="1">IF($A909="","",[1]!s_dq_close(I$1,$A909,$M$4))</f>
        <v/>
      </c>
      <c r="J909" s="6" t="str">
        <f t="shared" ca="1" si="15"/>
        <v/>
      </c>
    </row>
    <row r="910" spans="1:10">
      <c r="A910" s="2" t="str">
        <f ca="1">IF(A909="","",IF(IF(价差分析!$W$4="日",--[1]!td(A909-1),IF(价差分析!$W$4="周",--[1]!td(A909-7),--[1]!td(A909-30)))-价差分析!$T$4&gt;0,IF(价差分析!$W$4="日",--[1]!td(A909-1),IF(价差分析!$W$4="周",--[1]!td(A909-7),--[1]!td(A909-30))),""))</f>
        <v/>
      </c>
      <c r="B910" s="1" t="str">
        <f ca="1">IF(A910="","",[1]!s_dq_close($B$1,A910,$M$4))</f>
        <v/>
      </c>
      <c r="C910" s="1" t="str">
        <f ca="1">IF(A910="","",[1]!s_dq_close($C$1,A910,$M$4))</f>
        <v/>
      </c>
      <c r="D910" s="6" t="str">
        <f ca="1">IF($A910="","",[1]!s_dq_close(D$1,$A910,$M$4))</f>
        <v/>
      </c>
      <c r="E910" s="6" t="str">
        <f ca="1">IF($A910="","",[1]!s_dq_close(E$1,$A910,$M$4))</f>
        <v/>
      </c>
      <c r="F910" s="6" t="str">
        <f ca="1">IF($A910="","",[1]!s_dq_close(F$1,$A910,$M$4))</f>
        <v/>
      </c>
      <c r="G910" s="6"/>
      <c r="H910" s="6" t="str">
        <f ca="1">IF($A910="","",[1]!s_dq_close(H$1,$A910,$M$4))</f>
        <v/>
      </c>
      <c r="I910" s="6" t="str">
        <f ca="1">IF($A910="","",[1]!s_dq_close(I$1,$A910,$M$4))</f>
        <v/>
      </c>
      <c r="J910" s="6" t="str">
        <f t="shared" ca="1" si="15"/>
        <v/>
      </c>
    </row>
    <row r="911" spans="1:10">
      <c r="A911" s="2" t="str">
        <f ca="1">IF(A910="","",IF(IF(价差分析!$W$4="日",--[1]!td(A910-1),IF(价差分析!$W$4="周",--[1]!td(A910-7),--[1]!td(A910-30)))-价差分析!$T$4&gt;0,IF(价差分析!$W$4="日",--[1]!td(A910-1),IF(价差分析!$W$4="周",--[1]!td(A910-7),--[1]!td(A910-30))),""))</f>
        <v/>
      </c>
      <c r="B911" s="1" t="str">
        <f ca="1">IF(A911="","",[1]!s_dq_close($B$1,A911,$M$4))</f>
        <v/>
      </c>
      <c r="C911" s="1" t="str">
        <f ca="1">IF(A911="","",[1]!s_dq_close($C$1,A911,$M$4))</f>
        <v/>
      </c>
      <c r="D911" s="6" t="str">
        <f ca="1">IF($A911="","",[1]!s_dq_close(D$1,$A911,$M$4))</f>
        <v/>
      </c>
      <c r="E911" s="6" t="str">
        <f ca="1">IF($A911="","",[1]!s_dq_close(E$1,$A911,$M$4))</f>
        <v/>
      </c>
      <c r="F911" s="6" t="str">
        <f ca="1">IF($A911="","",[1]!s_dq_close(F$1,$A911,$M$4))</f>
        <v/>
      </c>
      <c r="G911" s="6"/>
      <c r="H911" s="6" t="str">
        <f ca="1">IF($A911="","",[1]!s_dq_close(H$1,$A911,$M$4))</f>
        <v/>
      </c>
      <c r="I911" s="6" t="str">
        <f ca="1">IF($A911="","",[1]!s_dq_close(I$1,$A911,$M$4))</f>
        <v/>
      </c>
      <c r="J911" s="6" t="str">
        <f t="shared" ca="1" si="15"/>
        <v/>
      </c>
    </row>
    <row r="912" spans="1:10">
      <c r="A912" s="2" t="str">
        <f ca="1">IF(A911="","",IF(IF(价差分析!$W$4="日",--[1]!td(A911-1),IF(价差分析!$W$4="周",--[1]!td(A911-7),--[1]!td(A911-30)))-价差分析!$T$4&gt;0,IF(价差分析!$W$4="日",--[1]!td(A911-1),IF(价差分析!$W$4="周",--[1]!td(A911-7),--[1]!td(A911-30))),""))</f>
        <v/>
      </c>
      <c r="B912" s="1" t="str">
        <f ca="1">IF(A912="","",[1]!s_dq_close($B$1,A912,$M$4))</f>
        <v/>
      </c>
      <c r="C912" s="1" t="str">
        <f ca="1">IF(A912="","",[1]!s_dq_close($C$1,A912,$M$4))</f>
        <v/>
      </c>
      <c r="D912" s="6" t="str">
        <f ca="1">IF($A912="","",[1]!s_dq_close(D$1,$A912,$M$4))</f>
        <v/>
      </c>
      <c r="E912" s="6" t="str">
        <f ca="1">IF($A912="","",[1]!s_dq_close(E$1,$A912,$M$4))</f>
        <v/>
      </c>
      <c r="F912" s="6" t="str">
        <f ca="1">IF($A912="","",[1]!s_dq_close(F$1,$A912,$M$4))</f>
        <v/>
      </c>
      <c r="G912" s="6"/>
      <c r="H912" s="6" t="str">
        <f ca="1">IF($A912="","",[1]!s_dq_close(H$1,$A912,$M$4))</f>
        <v/>
      </c>
      <c r="I912" s="6" t="str">
        <f ca="1">IF($A912="","",[1]!s_dq_close(I$1,$A912,$M$4))</f>
        <v/>
      </c>
      <c r="J912" s="6" t="str">
        <f t="shared" ca="1" si="15"/>
        <v/>
      </c>
    </row>
    <row r="913" spans="1:10">
      <c r="A913" s="2" t="str">
        <f ca="1">IF(A912="","",IF(IF(价差分析!$W$4="日",--[1]!td(A912-1),IF(价差分析!$W$4="周",--[1]!td(A912-7),--[1]!td(A912-30)))-价差分析!$T$4&gt;0,IF(价差分析!$W$4="日",--[1]!td(A912-1),IF(价差分析!$W$4="周",--[1]!td(A912-7),--[1]!td(A912-30))),""))</f>
        <v/>
      </c>
      <c r="B913" s="1" t="str">
        <f ca="1">IF(A913="","",[1]!s_dq_close($B$1,A913,$M$4))</f>
        <v/>
      </c>
      <c r="C913" s="1" t="str">
        <f ca="1">IF(A913="","",[1]!s_dq_close($C$1,A913,$M$4))</f>
        <v/>
      </c>
      <c r="D913" s="6" t="str">
        <f ca="1">IF($A913="","",[1]!s_dq_close(D$1,$A913,$M$4))</f>
        <v/>
      </c>
      <c r="E913" s="6" t="str">
        <f ca="1">IF($A913="","",[1]!s_dq_close(E$1,$A913,$M$4))</f>
        <v/>
      </c>
      <c r="F913" s="6" t="str">
        <f ca="1">IF($A913="","",[1]!s_dq_close(F$1,$A913,$M$4))</f>
        <v/>
      </c>
      <c r="G913" s="6"/>
      <c r="H913" s="6" t="str">
        <f ca="1">IF($A913="","",[1]!s_dq_close(H$1,$A913,$M$4))</f>
        <v/>
      </c>
      <c r="I913" s="6" t="str">
        <f ca="1">IF($A913="","",[1]!s_dq_close(I$1,$A913,$M$4))</f>
        <v/>
      </c>
      <c r="J913" s="6" t="str">
        <f t="shared" ca="1" si="15"/>
        <v/>
      </c>
    </row>
    <row r="914" spans="1:10">
      <c r="A914" s="2" t="str">
        <f ca="1">IF(A913="","",IF(IF(价差分析!$W$4="日",--[1]!td(A913-1),IF(价差分析!$W$4="周",--[1]!td(A913-7),--[1]!td(A913-30)))-价差分析!$T$4&gt;0,IF(价差分析!$W$4="日",--[1]!td(A913-1),IF(价差分析!$W$4="周",--[1]!td(A913-7),--[1]!td(A913-30))),""))</f>
        <v/>
      </c>
      <c r="B914" s="1" t="str">
        <f ca="1">IF(A914="","",[1]!s_dq_close($B$1,A914,$M$4))</f>
        <v/>
      </c>
      <c r="C914" s="1" t="str">
        <f ca="1">IF(A914="","",[1]!s_dq_close($C$1,A914,$M$4))</f>
        <v/>
      </c>
      <c r="D914" s="6" t="str">
        <f ca="1">IF($A914="","",[1]!s_dq_close(D$1,$A914,$M$4))</f>
        <v/>
      </c>
      <c r="E914" s="6" t="str">
        <f ca="1">IF($A914="","",[1]!s_dq_close(E$1,$A914,$M$4))</f>
        <v/>
      </c>
      <c r="F914" s="6" t="str">
        <f ca="1">IF($A914="","",[1]!s_dq_close(F$1,$A914,$M$4))</f>
        <v/>
      </c>
      <c r="G914" s="6"/>
      <c r="H914" s="6" t="str">
        <f ca="1">IF($A914="","",[1]!s_dq_close(H$1,$A914,$M$4))</f>
        <v/>
      </c>
      <c r="I914" s="6" t="str">
        <f ca="1">IF($A914="","",[1]!s_dq_close(I$1,$A914,$M$4))</f>
        <v/>
      </c>
      <c r="J914" s="6" t="str">
        <f t="shared" ca="1" si="15"/>
        <v/>
      </c>
    </row>
    <row r="915" spans="1:10">
      <c r="A915" s="2" t="str">
        <f ca="1">IF(A914="","",IF(IF(价差分析!$W$4="日",--[1]!td(A914-1),IF(价差分析!$W$4="周",--[1]!td(A914-7),--[1]!td(A914-30)))-价差分析!$T$4&gt;0,IF(价差分析!$W$4="日",--[1]!td(A914-1),IF(价差分析!$W$4="周",--[1]!td(A914-7),--[1]!td(A914-30))),""))</f>
        <v/>
      </c>
      <c r="B915" s="1" t="str">
        <f ca="1">IF(A915="","",[1]!s_dq_close($B$1,A915,$M$4))</f>
        <v/>
      </c>
      <c r="C915" s="1" t="str">
        <f ca="1">IF(A915="","",[1]!s_dq_close($C$1,A915,$M$4))</f>
        <v/>
      </c>
      <c r="D915" s="6" t="str">
        <f ca="1">IF($A915="","",[1]!s_dq_close(D$1,$A915,$M$4))</f>
        <v/>
      </c>
      <c r="E915" s="6" t="str">
        <f ca="1">IF($A915="","",[1]!s_dq_close(E$1,$A915,$M$4))</f>
        <v/>
      </c>
      <c r="F915" s="6" t="str">
        <f ca="1">IF($A915="","",[1]!s_dq_close(F$1,$A915,$M$4))</f>
        <v/>
      </c>
      <c r="G915" s="6"/>
      <c r="H915" s="6" t="str">
        <f ca="1">IF($A915="","",[1]!s_dq_close(H$1,$A915,$M$4))</f>
        <v/>
      </c>
      <c r="I915" s="6" t="str">
        <f ca="1">IF($A915="","",[1]!s_dq_close(I$1,$A915,$M$4))</f>
        <v/>
      </c>
      <c r="J915" s="6" t="str">
        <f t="shared" ca="1" si="15"/>
        <v/>
      </c>
    </row>
    <row r="916" spans="1:10">
      <c r="A916" s="2" t="str">
        <f ca="1">IF(A915="","",IF(IF(价差分析!$W$4="日",--[1]!td(A915-1),IF(价差分析!$W$4="周",--[1]!td(A915-7),--[1]!td(A915-30)))-价差分析!$T$4&gt;0,IF(价差分析!$W$4="日",--[1]!td(A915-1),IF(价差分析!$W$4="周",--[1]!td(A915-7),--[1]!td(A915-30))),""))</f>
        <v/>
      </c>
      <c r="B916" s="1" t="str">
        <f ca="1">IF(A916="","",[1]!s_dq_close($B$1,A916,$M$4))</f>
        <v/>
      </c>
      <c r="C916" s="1" t="str">
        <f ca="1">IF(A916="","",[1]!s_dq_close($C$1,A916,$M$4))</f>
        <v/>
      </c>
      <c r="D916" s="6" t="str">
        <f ca="1">IF($A916="","",[1]!s_dq_close(D$1,$A916,$M$4))</f>
        <v/>
      </c>
      <c r="E916" s="6" t="str">
        <f ca="1">IF($A916="","",[1]!s_dq_close(E$1,$A916,$M$4))</f>
        <v/>
      </c>
      <c r="F916" s="6" t="str">
        <f ca="1">IF($A916="","",[1]!s_dq_close(F$1,$A916,$M$4))</f>
        <v/>
      </c>
      <c r="G916" s="6"/>
      <c r="H916" s="6" t="str">
        <f ca="1">IF($A916="","",[1]!s_dq_close(H$1,$A916,$M$4))</f>
        <v/>
      </c>
      <c r="I916" s="6" t="str">
        <f ca="1">IF($A916="","",[1]!s_dq_close(I$1,$A916,$M$4))</f>
        <v/>
      </c>
      <c r="J916" s="6" t="str">
        <f t="shared" ca="1" si="15"/>
        <v/>
      </c>
    </row>
    <row r="917" spans="1:10">
      <c r="A917" s="2" t="str">
        <f ca="1">IF(A916="","",IF(IF(价差分析!$W$4="日",--[1]!td(A916-1),IF(价差分析!$W$4="周",--[1]!td(A916-7),--[1]!td(A916-30)))-价差分析!$T$4&gt;0,IF(价差分析!$W$4="日",--[1]!td(A916-1),IF(价差分析!$W$4="周",--[1]!td(A916-7),--[1]!td(A916-30))),""))</f>
        <v/>
      </c>
      <c r="B917" s="1" t="str">
        <f ca="1">IF(A917="","",[1]!s_dq_close($B$1,A917,$M$4))</f>
        <v/>
      </c>
      <c r="C917" s="1" t="str">
        <f ca="1">IF(A917="","",[1]!s_dq_close($C$1,A917,$M$4))</f>
        <v/>
      </c>
      <c r="D917" s="6" t="str">
        <f ca="1">IF($A917="","",[1]!s_dq_close(D$1,$A917,$M$4))</f>
        <v/>
      </c>
      <c r="E917" s="6" t="str">
        <f ca="1">IF($A917="","",[1]!s_dq_close(E$1,$A917,$M$4))</f>
        <v/>
      </c>
      <c r="F917" s="6" t="str">
        <f ca="1">IF($A917="","",[1]!s_dq_close(F$1,$A917,$M$4))</f>
        <v/>
      </c>
      <c r="G917" s="6"/>
      <c r="H917" s="6" t="str">
        <f ca="1">IF($A917="","",[1]!s_dq_close(H$1,$A917,$M$4))</f>
        <v/>
      </c>
      <c r="I917" s="6" t="str">
        <f ca="1">IF($A917="","",[1]!s_dq_close(I$1,$A917,$M$4))</f>
        <v/>
      </c>
      <c r="J917" s="6" t="str">
        <f t="shared" ca="1" si="15"/>
        <v/>
      </c>
    </row>
    <row r="918" spans="1:10">
      <c r="A918" s="2" t="str">
        <f ca="1">IF(A917="","",IF(IF(价差分析!$W$4="日",--[1]!td(A917-1),IF(价差分析!$W$4="周",--[1]!td(A917-7),--[1]!td(A917-30)))-价差分析!$T$4&gt;0,IF(价差分析!$W$4="日",--[1]!td(A917-1),IF(价差分析!$W$4="周",--[1]!td(A917-7),--[1]!td(A917-30))),""))</f>
        <v/>
      </c>
      <c r="B918" s="1" t="str">
        <f ca="1">IF(A918="","",[1]!s_dq_close($B$1,A918,$M$4))</f>
        <v/>
      </c>
      <c r="C918" s="1" t="str">
        <f ca="1">IF(A918="","",[1]!s_dq_close($C$1,A918,$M$4))</f>
        <v/>
      </c>
      <c r="D918" s="6" t="str">
        <f ca="1">IF($A918="","",[1]!s_dq_close(D$1,$A918,$M$4))</f>
        <v/>
      </c>
      <c r="E918" s="6" t="str">
        <f ca="1">IF($A918="","",[1]!s_dq_close(E$1,$A918,$M$4))</f>
        <v/>
      </c>
      <c r="F918" s="6" t="str">
        <f ca="1">IF($A918="","",[1]!s_dq_close(F$1,$A918,$M$4))</f>
        <v/>
      </c>
      <c r="G918" s="6"/>
      <c r="H918" s="6" t="str">
        <f ca="1">IF($A918="","",[1]!s_dq_close(H$1,$A918,$M$4))</f>
        <v/>
      </c>
      <c r="I918" s="6" t="str">
        <f ca="1">IF($A918="","",[1]!s_dq_close(I$1,$A918,$M$4))</f>
        <v/>
      </c>
      <c r="J918" s="6" t="str">
        <f t="shared" ca="1" si="15"/>
        <v/>
      </c>
    </row>
    <row r="919" spans="1:10">
      <c r="A919" s="2" t="str">
        <f ca="1">IF(A918="","",IF(IF(价差分析!$W$4="日",--[1]!td(A918-1),IF(价差分析!$W$4="周",--[1]!td(A918-7),--[1]!td(A918-30)))-价差分析!$T$4&gt;0,IF(价差分析!$W$4="日",--[1]!td(A918-1),IF(价差分析!$W$4="周",--[1]!td(A918-7),--[1]!td(A918-30))),""))</f>
        <v/>
      </c>
      <c r="B919" s="1" t="str">
        <f ca="1">IF(A919="","",[1]!s_dq_close($B$1,A919,$M$4))</f>
        <v/>
      </c>
      <c r="C919" s="1" t="str">
        <f ca="1">IF(A919="","",[1]!s_dq_close($C$1,A919,$M$4))</f>
        <v/>
      </c>
      <c r="D919" s="6" t="str">
        <f ca="1">IF($A919="","",[1]!s_dq_close(D$1,$A919,$M$4))</f>
        <v/>
      </c>
      <c r="E919" s="6" t="str">
        <f ca="1">IF($A919="","",[1]!s_dq_close(E$1,$A919,$M$4))</f>
        <v/>
      </c>
      <c r="F919" s="6" t="str">
        <f ca="1">IF($A919="","",[1]!s_dq_close(F$1,$A919,$M$4))</f>
        <v/>
      </c>
      <c r="G919" s="6"/>
      <c r="H919" s="6" t="str">
        <f ca="1">IF($A919="","",[1]!s_dq_close(H$1,$A919,$M$4))</f>
        <v/>
      </c>
      <c r="I919" s="6" t="str">
        <f ca="1">IF($A919="","",[1]!s_dq_close(I$1,$A919,$M$4))</f>
        <v/>
      </c>
      <c r="J919" s="6" t="str">
        <f t="shared" ca="1" si="15"/>
        <v/>
      </c>
    </row>
    <row r="920" spans="1:10">
      <c r="A920" s="2" t="str">
        <f ca="1">IF(A919="","",IF(IF(价差分析!$W$4="日",--[1]!td(A919-1),IF(价差分析!$W$4="周",--[1]!td(A919-7),--[1]!td(A919-30)))-价差分析!$T$4&gt;0,IF(价差分析!$W$4="日",--[1]!td(A919-1),IF(价差分析!$W$4="周",--[1]!td(A919-7),--[1]!td(A919-30))),""))</f>
        <v/>
      </c>
      <c r="B920" s="1" t="str">
        <f ca="1">IF(A920="","",[1]!s_dq_close($B$1,A920,$M$4))</f>
        <v/>
      </c>
      <c r="C920" s="1" t="str">
        <f ca="1">IF(A920="","",[1]!s_dq_close($C$1,A920,$M$4))</f>
        <v/>
      </c>
      <c r="D920" s="6" t="str">
        <f ca="1">IF($A920="","",[1]!s_dq_close(D$1,$A920,$M$4))</f>
        <v/>
      </c>
      <c r="E920" s="6" t="str">
        <f ca="1">IF($A920="","",[1]!s_dq_close(E$1,$A920,$M$4))</f>
        <v/>
      </c>
      <c r="F920" s="6" t="str">
        <f ca="1">IF($A920="","",[1]!s_dq_close(F$1,$A920,$M$4))</f>
        <v/>
      </c>
      <c r="G920" s="6"/>
      <c r="H920" s="6" t="str">
        <f ca="1">IF($A920="","",[1]!s_dq_close(H$1,$A920,$M$4))</f>
        <v/>
      </c>
      <c r="I920" s="6" t="str">
        <f ca="1">IF($A920="","",[1]!s_dq_close(I$1,$A920,$M$4))</f>
        <v/>
      </c>
      <c r="J920" s="6" t="str">
        <f t="shared" ca="1" si="15"/>
        <v/>
      </c>
    </row>
    <row r="921" spans="1:10">
      <c r="A921" s="2" t="str">
        <f ca="1">IF(A920="","",IF(IF(价差分析!$W$4="日",--[1]!td(A920-1),IF(价差分析!$W$4="周",--[1]!td(A920-7),--[1]!td(A920-30)))-价差分析!$T$4&gt;0,IF(价差分析!$W$4="日",--[1]!td(A920-1),IF(价差分析!$W$4="周",--[1]!td(A920-7),--[1]!td(A920-30))),""))</f>
        <v/>
      </c>
      <c r="B921" s="1" t="str">
        <f ca="1">IF(A921="","",[1]!s_dq_close($B$1,A921,$M$4))</f>
        <v/>
      </c>
      <c r="C921" s="1" t="str">
        <f ca="1">IF(A921="","",[1]!s_dq_close($C$1,A921,$M$4))</f>
        <v/>
      </c>
      <c r="D921" s="6" t="str">
        <f ca="1">IF($A921="","",[1]!s_dq_close(D$1,$A921,$M$4))</f>
        <v/>
      </c>
      <c r="E921" s="6" t="str">
        <f ca="1">IF($A921="","",[1]!s_dq_close(E$1,$A921,$M$4))</f>
        <v/>
      </c>
      <c r="F921" s="6" t="str">
        <f ca="1">IF($A921="","",[1]!s_dq_close(F$1,$A921,$M$4))</f>
        <v/>
      </c>
      <c r="G921" s="6"/>
      <c r="H921" s="6" t="str">
        <f ca="1">IF($A921="","",[1]!s_dq_close(H$1,$A921,$M$4))</f>
        <v/>
      </c>
      <c r="I921" s="6" t="str">
        <f ca="1">IF($A921="","",[1]!s_dq_close(I$1,$A921,$M$4))</f>
        <v/>
      </c>
      <c r="J921" s="6" t="str">
        <f t="shared" ca="1" si="15"/>
        <v/>
      </c>
    </row>
    <row r="922" spans="1:10">
      <c r="A922" s="2" t="str">
        <f ca="1">IF(A921="","",IF(IF(价差分析!$W$4="日",--[1]!td(A921-1),IF(价差分析!$W$4="周",--[1]!td(A921-7),--[1]!td(A921-30)))-价差分析!$T$4&gt;0,IF(价差分析!$W$4="日",--[1]!td(A921-1),IF(价差分析!$W$4="周",--[1]!td(A921-7),--[1]!td(A921-30))),""))</f>
        <v/>
      </c>
      <c r="B922" s="1" t="str">
        <f ca="1">IF(A922="","",[1]!s_dq_close($B$1,A922,$M$4))</f>
        <v/>
      </c>
      <c r="C922" s="1" t="str">
        <f ca="1">IF(A922="","",[1]!s_dq_close($C$1,A922,$M$4))</f>
        <v/>
      </c>
      <c r="D922" s="6" t="str">
        <f ca="1">IF($A922="","",[1]!s_dq_close(D$1,$A922,$M$4))</f>
        <v/>
      </c>
      <c r="E922" s="6" t="str">
        <f ca="1">IF($A922="","",[1]!s_dq_close(E$1,$A922,$M$4))</f>
        <v/>
      </c>
      <c r="F922" s="6" t="str">
        <f ca="1">IF($A922="","",[1]!s_dq_close(F$1,$A922,$M$4))</f>
        <v/>
      </c>
      <c r="G922" s="6"/>
      <c r="H922" s="6" t="str">
        <f ca="1">IF($A922="","",[1]!s_dq_close(H$1,$A922,$M$4))</f>
        <v/>
      </c>
      <c r="I922" s="6" t="str">
        <f ca="1">IF($A922="","",[1]!s_dq_close(I$1,$A922,$M$4))</f>
        <v/>
      </c>
      <c r="J922" s="6" t="str">
        <f t="shared" ca="1" si="15"/>
        <v/>
      </c>
    </row>
    <row r="923" spans="1:10">
      <c r="A923" s="2" t="str">
        <f ca="1">IF(A922="","",IF(IF(价差分析!$W$4="日",--[1]!td(A922-1),IF(价差分析!$W$4="周",--[1]!td(A922-7),--[1]!td(A922-30)))-价差分析!$T$4&gt;0,IF(价差分析!$W$4="日",--[1]!td(A922-1),IF(价差分析!$W$4="周",--[1]!td(A922-7),--[1]!td(A922-30))),""))</f>
        <v/>
      </c>
      <c r="B923" s="1" t="str">
        <f ca="1">IF(A923="","",[1]!s_dq_close($B$1,A923,$M$4))</f>
        <v/>
      </c>
      <c r="C923" s="1" t="str">
        <f ca="1">IF(A923="","",[1]!s_dq_close($C$1,A923,$M$4))</f>
        <v/>
      </c>
      <c r="D923" s="6" t="str">
        <f ca="1">IF($A923="","",[1]!s_dq_close(D$1,$A923,$M$4))</f>
        <v/>
      </c>
      <c r="E923" s="6" t="str">
        <f ca="1">IF($A923="","",[1]!s_dq_close(E$1,$A923,$M$4))</f>
        <v/>
      </c>
      <c r="F923" s="6" t="str">
        <f ca="1">IF($A923="","",[1]!s_dq_close(F$1,$A923,$M$4))</f>
        <v/>
      </c>
      <c r="G923" s="6"/>
      <c r="H923" s="6" t="str">
        <f ca="1">IF($A923="","",[1]!s_dq_close(H$1,$A923,$M$4))</f>
        <v/>
      </c>
      <c r="I923" s="6" t="str">
        <f ca="1">IF($A923="","",[1]!s_dq_close(I$1,$A923,$M$4))</f>
        <v/>
      </c>
      <c r="J923" s="6" t="str">
        <f t="shared" ca="1" si="15"/>
        <v/>
      </c>
    </row>
    <row r="924" spans="1:10">
      <c r="A924" s="2" t="str">
        <f ca="1">IF(A923="","",IF(IF(价差分析!$W$4="日",--[1]!td(A923-1),IF(价差分析!$W$4="周",--[1]!td(A923-7),--[1]!td(A923-30)))-价差分析!$T$4&gt;0,IF(价差分析!$W$4="日",--[1]!td(A923-1),IF(价差分析!$W$4="周",--[1]!td(A923-7),--[1]!td(A923-30))),""))</f>
        <v/>
      </c>
      <c r="B924" s="1" t="str">
        <f ca="1">IF(A924="","",[1]!s_dq_close($B$1,A924,$M$4))</f>
        <v/>
      </c>
      <c r="C924" s="1" t="str">
        <f ca="1">IF(A924="","",[1]!s_dq_close($C$1,A924,$M$4))</f>
        <v/>
      </c>
      <c r="D924" s="6" t="str">
        <f ca="1">IF($A924="","",[1]!s_dq_close(D$1,$A924,$M$4))</f>
        <v/>
      </c>
      <c r="E924" s="6" t="str">
        <f ca="1">IF($A924="","",[1]!s_dq_close(E$1,$A924,$M$4))</f>
        <v/>
      </c>
      <c r="F924" s="6" t="str">
        <f ca="1">IF($A924="","",[1]!s_dq_close(F$1,$A924,$M$4))</f>
        <v/>
      </c>
      <c r="G924" s="6"/>
      <c r="H924" s="6" t="str">
        <f ca="1">IF($A924="","",[1]!s_dq_close(H$1,$A924,$M$4))</f>
        <v/>
      </c>
      <c r="I924" s="6" t="str">
        <f ca="1">IF($A924="","",[1]!s_dq_close(I$1,$A924,$M$4))</f>
        <v/>
      </c>
      <c r="J924" s="6" t="str">
        <f t="shared" ca="1" si="15"/>
        <v/>
      </c>
    </row>
    <row r="925" spans="1:10">
      <c r="A925" s="2" t="str">
        <f ca="1">IF(A924="","",IF(IF(价差分析!$W$4="日",--[1]!td(A924-1),IF(价差分析!$W$4="周",--[1]!td(A924-7),--[1]!td(A924-30)))-价差分析!$T$4&gt;0,IF(价差分析!$W$4="日",--[1]!td(A924-1),IF(价差分析!$W$4="周",--[1]!td(A924-7),--[1]!td(A924-30))),""))</f>
        <v/>
      </c>
      <c r="B925" s="1" t="str">
        <f ca="1">IF(A925="","",[1]!s_dq_close($B$1,A925,$M$4))</f>
        <v/>
      </c>
      <c r="C925" s="1" t="str">
        <f ca="1">IF(A925="","",[1]!s_dq_close($C$1,A925,$M$4))</f>
        <v/>
      </c>
      <c r="D925" s="6" t="str">
        <f ca="1">IF($A925="","",[1]!s_dq_close(D$1,$A925,$M$4))</f>
        <v/>
      </c>
      <c r="E925" s="6" t="str">
        <f ca="1">IF($A925="","",[1]!s_dq_close(E$1,$A925,$M$4))</f>
        <v/>
      </c>
      <c r="F925" s="6" t="str">
        <f ca="1">IF($A925="","",[1]!s_dq_close(F$1,$A925,$M$4))</f>
        <v/>
      </c>
      <c r="G925" s="6"/>
      <c r="H925" s="6" t="str">
        <f ca="1">IF($A925="","",[1]!s_dq_close(H$1,$A925,$M$4))</f>
        <v/>
      </c>
      <c r="I925" s="6" t="str">
        <f ca="1">IF($A925="","",[1]!s_dq_close(I$1,$A925,$M$4))</f>
        <v/>
      </c>
      <c r="J925" s="6" t="str">
        <f t="shared" ca="1" si="15"/>
        <v/>
      </c>
    </row>
    <row r="926" spans="1:10">
      <c r="A926" s="2" t="str">
        <f ca="1">IF(A925="","",IF(IF(价差分析!$W$4="日",--[1]!td(A925-1),IF(价差分析!$W$4="周",--[1]!td(A925-7),--[1]!td(A925-30)))-价差分析!$T$4&gt;0,IF(价差分析!$W$4="日",--[1]!td(A925-1),IF(价差分析!$W$4="周",--[1]!td(A925-7),--[1]!td(A925-30))),""))</f>
        <v/>
      </c>
      <c r="B926" s="1" t="str">
        <f ca="1">IF(A926="","",[1]!s_dq_close($B$1,A926,$M$4))</f>
        <v/>
      </c>
      <c r="C926" s="1" t="str">
        <f ca="1">IF(A926="","",[1]!s_dq_close($C$1,A926,$M$4))</f>
        <v/>
      </c>
      <c r="D926" s="6" t="str">
        <f ca="1">IF($A926="","",[1]!s_dq_close(D$1,$A926,$M$4))</f>
        <v/>
      </c>
      <c r="E926" s="6" t="str">
        <f ca="1">IF($A926="","",[1]!s_dq_close(E$1,$A926,$M$4))</f>
        <v/>
      </c>
      <c r="F926" s="6" t="str">
        <f ca="1">IF($A926="","",[1]!s_dq_close(F$1,$A926,$M$4))</f>
        <v/>
      </c>
      <c r="G926" s="6"/>
      <c r="H926" s="6" t="str">
        <f ca="1">IF($A926="","",[1]!s_dq_close(H$1,$A926,$M$4))</f>
        <v/>
      </c>
      <c r="I926" s="6" t="str">
        <f ca="1">IF($A926="","",[1]!s_dq_close(I$1,$A926,$M$4))</f>
        <v/>
      </c>
      <c r="J926" s="6" t="str">
        <f t="shared" ca="1" si="15"/>
        <v/>
      </c>
    </row>
    <row r="927" spans="1:10">
      <c r="A927" s="2" t="str">
        <f ca="1">IF(A926="","",IF(IF(价差分析!$W$4="日",--[1]!td(A926-1),IF(价差分析!$W$4="周",--[1]!td(A926-7),--[1]!td(A926-30)))-价差分析!$T$4&gt;0,IF(价差分析!$W$4="日",--[1]!td(A926-1),IF(价差分析!$W$4="周",--[1]!td(A926-7),--[1]!td(A926-30))),""))</f>
        <v/>
      </c>
      <c r="B927" s="1" t="str">
        <f ca="1">IF(A927="","",[1]!s_dq_close($B$1,A927,$M$4))</f>
        <v/>
      </c>
      <c r="C927" s="1" t="str">
        <f ca="1">IF(A927="","",[1]!s_dq_close($C$1,A927,$M$4))</f>
        <v/>
      </c>
      <c r="D927" s="6" t="str">
        <f ca="1">IF($A927="","",[1]!s_dq_close(D$1,$A927,$M$4))</f>
        <v/>
      </c>
      <c r="E927" s="6" t="str">
        <f ca="1">IF($A927="","",[1]!s_dq_close(E$1,$A927,$M$4))</f>
        <v/>
      </c>
      <c r="F927" s="6" t="str">
        <f ca="1">IF($A927="","",[1]!s_dq_close(F$1,$A927,$M$4))</f>
        <v/>
      </c>
      <c r="G927" s="6"/>
      <c r="H927" s="6" t="str">
        <f ca="1">IF($A927="","",[1]!s_dq_close(H$1,$A927,$M$4))</f>
        <v/>
      </c>
      <c r="I927" s="6" t="str">
        <f ca="1">IF($A927="","",[1]!s_dq_close(I$1,$A927,$M$4))</f>
        <v/>
      </c>
      <c r="J927" s="6" t="str">
        <f t="shared" ca="1" si="15"/>
        <v/>
      </c>
    </row>
    <row r="928" spans="1:10">
      <c r="A928" s="2" t="str">
        <f ca="1">IF(A927="","",IF(IF(价差分析!$W$4="日",--[1]!td(A927-1),IF(价差分析!$W$4="周",--[1]!td(A927-7),--[1]!td(A927-30)))-价差分析!$T$4&gt;0,IF(价差分析!$W$4="日",--[1]!td(A927-1),IF(价差分析!$W$4="周",--[1]!td(A927-7),--[1]!td(A927-30))),""))</f>
        <v/>
      </c>
      <c r="B928" s="1" t="str">
        <f ca="1">IF(A928="","",[1]!s_dq_close($B$1,A928,$M$4))</f>
        <v/>
      </c>
      <c r="C928" s="1" t="str">
        <f ca="1">IF(A928="","",[1]!s_dq_close($C$1,A928,$M$4))</f>
        <v/>
      </c>
      <c r="D928" s="6" t="str">
        <f ca="1">IF($A928="","",[1]!s_dq_close(D$1,$A928,$M$4))</f>
        <v/>
      </c>
      <c r="E928" s="6" t="str">
        <f ca="1">IF($A928="","",[1]!s_dq_close(E$1,$A928,$M$4))</f>
        <v/>
      </c>
      <c r="F928" s="6" t="str">
        <f ca="1">IF($A928="","",[1]!s_dq_close(F$1,$A928,$M$4))</f>
        <v/>
      </c>
      <c r="G928" s="6"/>
      <c r="H928" s="6" t="str">
        <f ca="1">IF($A928="","",[1]!s_dq_close(H$1,$A928,$M$4))</f>
        <v/>
      </c>
      <c r="I928" s="6" t="str">
        <f ca="1">IF($A928="","",[1]!s_dq_close(I$1,$A928,$M$4))</f>
        <v/>
      </c>
      <c r="J928" s="6" t="str">
        <f t="shared" ca="1" si="15"/>
        <v/>
      </c>
    </row>
    <row r="929" spans="1:10">
      <c r="A929" s="2" t="str">
        <f ca="1">IF(A928="","",IF(IF(价差分析!$W$4="日",--[1]!td(A928-1),IF(价差分析!$W$4="周",--[1]!td(A928-7),--[1]!td(A928-30)))-价差分析!$T$4&gt;0,IF(价差分析!$W$4="日",--[1]!td(A928-1),IF(价差分析!$W$4="周",--[1]!td(A928-7),--[1]!td(A928-30))),""))</f>
        <v/>
      </c>
      <c r="B929" s="1" t="str">
        <f ca="1">IF(A929="","",[1]!s_dq_close($B$1,A929,$M$4))</f>
        <v/>
      </c>
      <c r="C929" s="1" t="str">
        <f ca="1">IF(A929="","",[1]!s_dq_close($C$1,A929,$M$4))</f>
        <v/>
      </c>
      <c r="D929" s="6" t="str">
        <f ca="1">IF($A929="","",[1]!s_dq_close(D$1,$A929,$M$4))</f>
        <v/>
      </c>
      <c r="E929" s="6" t="str">
        <f ca="1">IF($A929="","",[1]!s_dq_close(E$1,$A929,$M$4))</f>
        <v/>
      </c>
      <c r="F929" s="6" t="str">
        <f ca="1">IF($A929="","",[1]!s_dq_close(F$1,$A929,$M$4))</f>
        <v/>
      </c>
      <c r="G929" s="6"/>
      <c r="H929" s="6" t="str">
        <f ca="1">IF($A929="","",[1]!s_dq_close(H$1,$A929,$M$4))</f>
        <v/>
      </c>
      <c r="I929" s="6" t="str">
        <f ca="1">IF($A929="","",[1]!s_dq_close(I$1,$A929,$M$4))</f>
        <v/>
      </c>
      <c r="J929" s="6" t="str">
        <f t="shared" ca="1" si="15"/>
        <v/>
      </c>
    </row>
    <row r="930" spans="1:10">
      <c r="A930" s="2" t="str">
        <f ca="1">IF(A929="","",IF(IF(价差分析!$W$4="日",--[1]!td(A929-1),IF(价差分析!$W$4="周",--[1]!td(A929-7),--[1]!td(A929-30)))-价差分析!$T$4&gt;0,IF(价差分析!$W$4="日",--[1]!td(A929-1),IF(价差分析!$W$4="周",--[1]!td(A929-7),--[1]!td(A929-30))),""))</f>
        <v/>
      </c>
      <c r="B930" s="1" t="str">
        <f ca="1">IF(A930="","",[1]!s_dq_close($B$1,A930,$M$4))</f>
        <v/>
      </c>
      <c r="C930" s="1" t="str">
        <f ca="1">IF(A930="","",[1]!s_dq_close($C$1,A930,$M$4))</f>
        <v/>
      </c>
      <c r="D930" s="6" t="str">
        <f ca="1">IF($A930="","",[1]!s_dq_close(D$1,$A930,$M$4))</f>
        <v/>
      </c>
      <c r="E930" s="6" t="str">
        <f ca="1">IF($A930="","",[1]!s_dq_close(E$1,$A930,$M$4))</f>
        <v/>
      </c>
      <c r="F930" s="6" t="str">
        <f ca="1">IF($A930="","",[1]!s_dq_close(F$1,$A930,$M$4))</f>
        <v/>
      </c>
      <c r="G930" s="6"/>
      <c r="H930" s="6" t="str">
        <f ca="1">IF($A930="","",[1]!s_dq_close(H$1,$A930,$M$4))</f>
        <v/>
      </c>
      <c r="I930" s="6" t="str">
        <f ca="1">IF($A930="","",[1]!s_dq_close(I$1,$A930,$M$4))</f>
        <v/>
      </c>
      <c r="J930" s="6" t="str">
        <f t="shared" ca="1" si="15"/>
        <v/>
      </c>
    </row>
    <row r="931" spans="1:10">
      <c r="A931" s="2" t="str">
        <f ca="1">IF(A930="","",IF(IF(价差分析!$W$4="日",--[1]!td(A930-1),IF(价差分析!$W$4="周",--[1]!td(A930-7),--[1]!td(A930-30)))-价差分析!$T$4&gt;0,IF(价差分析!$W$4="日",--[1]!td(A930-1),IF(价差分析!$W$4="周",--[1]!td(A930-7),--[1]!td(A930-30))),""))</f>
        <v/>
      </c>
      <c r="B931" s="1" t="str">
        <f ca="1">IF(A931="","",[1]!s_dq_close($B$1,A931,$M$4))</f>
        <v/>
      </c>
      <c r="C931" s="1" t="str">
        <f ca="1">IF(A931="","",[1]!s_dq_close($C$1,A931,$M$4))</f>
        <v/>
      </c>
      <c r="D931" s="6" t="str">
        <f ca="1">IF($A931="","",[1]!s_dq_close(D$1,$A931,$M$4))</f>
        <v/>
      </c>
      <c r="E931" s="6" t="str">
        <f ca="1">IF($A931="","",[1]!s_dq_close(E$1,$A931,$M$4))</f>
        <v/>
      </c>
      <c r="F931" s="6" t="str">
        <f ca="1">IF($A931="","",[1]!s_dq_close(F$1,$A931,$M$4))</f>
        <v/>
      </c>
      <c r="G931" s="6"/>
      <c r="H931" s="6" t="str">
        <f ca="1">IF($A931="","",[1]!s_dq_close(H$1,$A931,$M$4))</f>
        <v/>
      </c>
      <c r="I931" s="6" t="str">
        <f ca="1">IF($A931="","",[1]!s_dq_close(I$1,$A931,$M$4))</f>
        <v/>
      </c>
      <c r="J931" s="6" t="str">
        <f t="shared" ca="1" si="15"/>
        <v/>
      </c>
    </row>
    <row r="932" spans="1:10">
      <c r="A932" s="2" t="str">
        <f ca="1">IF(A931="","",IF(IF(价差分析!$W$4="日",--[1]!td(A931-1),IF(价差分析!$W$4="周",--[1]!td(A931-7),--[1]!td(A931-30)))-价差分析!$T$4&gt;0,IF(价差分析!$W$4="日",--[1]!td(A931-1),IF(价差分析!$W$4="周",--[1]!td(A931-7),--[1]!td(A931-30))),""))</f>
        <v/>
      </c>
      <c r="B932" s="1" t="str">
        <f ca="1">IF(A932="","",[1]!s_dq_close($B$1,A932,$M$4))</f>
        <v/>
      </c>
      <c r="C932" s="1" t="str">
        <f ca="1">IF(A932="","",[1]!s_dq_close($C$1,A932,$M$4))</f>
        <v/>
      </c>
      <c r="D932" s="6" t="str">
        <f ca="1">IF($A932="","",[1]!s_dq_close(D$1,$A932,$M$4))</f>
        <v/>
      </c>
      <c r="E932" s="6" t="str">
        <f ca="1">IF($A932="","",[1]!s_dq_close(E$1,$A932,$M$4))</f>
        <v/>
      </c>
      <c r="F932" s="6" t="str">
        <f ca="1">IF($A932="","",[1]!s_dq_close(F$1,$A932,$M$4))</f>
        <v/>
      </c>
      <c r="G932" s="6"/>
      <c r="H932" s="6" t="str">
        <f ca="1">IF($A932="","",[1]!s_dq_close(H$1,$A932,$M$4))</f>
        <v/>
      </c>
      <c r="I932" s="6" t="str">
        <f ca="1">IF($A932="","",[1]!s_dq_close(I$1,$A932,$M$4))</f>
        <v/>
      </c>
      <c r="J932" s="6" t="str">
        <f t="shared" ca="1" si="15"/>
        <v/>
      </c>
    </row>
    <row r="933" spans="1:10">
      <c r="A933" s="2" t="str">
        <f ca="1">IF(A932="","",IF(IF(价差分析!$W$4="日",--[1]!td(A932-1),IF(价差分析!$W$4="周",--[1]!td(A932-7),--[1]!td(A932-30)))-价差分析!$T$4&gt;0,IF(价差分析!$W$4="日",--[1]!td(A932-1),IF(价差分析!$W$4="周",--[1]!td(A932-7),--[1]!td(A932-30))),""))</f>
        <v/>
      </c>
      <c r="B933" s="1" t="str">
        <f ca="1">IF(A933="","",[1]!s_dq_close($B$1,A933,$M$4))</f>
        <v/>
      </c>
      <c r="C933" s="1" t="str">
        <f ca="1">IF(A933="","",[1]!s_dq_close($C$1,A933,$M$4))</f>
        <v/>
      </c>
      <c r="D933" s="6" t="str">
        <f ca="1">IF($A933="","",[1]!s_dq_close(D$1,$A933,$M$4))</f>
        <v/>
      </c>
      <c r="E933" s="6" t="str">
        <f ca="1">IF($A933="","",[1]!s_dq_close(E$1,$A933,$M$4))</f>
        <v/>
      </c>
      <c r="F933" s="6" t="str">
        <f ca="1">IF($A933="","",[1]!s_dq_close(F$1,$A933,$M$4))</f>
        <v/>
      </c>
      <c r="G933" s="6"/>
      <c r="H933" s="6" t="str">
        <f ca="1">IF($A933="","",[1]!s_dq_close(H$1,$A933,$M$4))</f>
        <v/>
      </c>
      <c r="I933" s="6" t="str">
        <f ca="1">IF($A933="","",[1]!s_dq_close(I$1,$A933,$M$4))</f>
        <v/>
      </c>
      <c r="J933" s="6" t="str">
        <f t="shared" ca="1" si="15"/>
        <v/>
      </c>
    </row>
    <row r="934" spans="1:10">
      <c r="A934" s="2" t="str">
        <f ca="1">IF(A933="","",IF(IF(价差分析!$W$4="日",--[1]!td(A933-1),IF(价差分析!$W$4="周",--[1]!td(A933-7),--[1]!td(A933-30)))-价差分析!$T$4&gt;0,IF(价差分析!$W$4="日",--[1]!td(A933-1),IF(价差分析!$W$4="周",--[1]!td(A933-7),--[1]!td(A933-30))),""))</f>
        <v/>
      </c>
      <c r="B934" s="1" t="str">
        <f ca="1">IF(A934="","",[1]!s_dq_close($B$1,A934,$M$4))</f>
        <v/>
      </c>
      <c r="C934" s="1" t="str">
        <f ca="1">IF(A934="","",[1]!s_dq_close($C$1,A934,$M$4))</f>
        <v/>
      </c>
      <c r="D934" s="6" t="str">
        <f ca="1">IF($A934="","",[1]!s_dq_close(D$1,$A934,$M$4))</f>
        <v/>
      </c>
      <c r="E934" s="6" t="str">
        <f ca="1">IF($A934="","",[1]!s_dq_close(E$1,$A934,$M$4))</f>
        <v/>
      </c>
      <c r="F934" s="6" t="str">
        <f ca="1">IF($A934="","",[1]!s_dq_close(F$1,$A934,$M$4))</f>
        <v/>
      </c>
      <c r="G934" s="6"/>
      <c r="H934" s="6" t="str">
        <f ca="1">IF($A934="","",[1]!s_dq_close(H$1,$A934,$M$4))</f>
        <v/>
      </c>
      <c r="I934" s="6" t="str">
        <f ca="1">IF($A934="","",[1]!s_dq_close(I$1,$A934,$M$4))</f>
        <v/>
      </c>
      <c r="J934" s="6" t="str">
        <f t="shared" ca="1" si="15"/>
        <v/>
      </c>
    </row>
    <row r="935" spans="1:10">
      <c r="A935" s="2" t="str">
        <f ca="1">IF(A934="","",IF(IF(价差分析!$W$4="日",--[1]!td(A934-1),IF(价差分析!$W$4="周",--[1]!td(A934-7),--[1]!td(A934-30)))-价差分析!$T$4&gt;0,IF(价差分析!$W$4="日",--[1]!td(A934-1),IF(价差分析!$W$4="周",--[1]!td(A934-7),--[1]!td(A934-30))),""))</f>
        <v/>
      </c>
      <c r="B935" s="1" t="str">
        <f ca="1">IF(A935="","",[1]!s_dq_close($B$1,A935,$M$4))</f>
        <v/>
      </c>
      <c r="C935" s="1" t="str">
        <f ca="1">IF(A935="","",[1]!s_dq_close($C$1,A935,$M$4))</f>
        <v/>
      </c>
      <c r="D935" s="6" t="str">
        <f ca="1">IF($A935="","",[1]!s_dq_close(D$1,$A935,$M$4))</f>
        <v/>
      </c>
      <c r="E935" s="6" t="str">
        <f ca="1">IF($A935="","",[1]!s_dq_close(E$1,$A935,$M$4))</f>
        <v/>
      </c>
      <c r="F935" s="6" t="str">
        <f ca="1">IF($A935="","",[1]!s_dq_close(F$1,$A935,$M$4))</f>
        <v/>
      </c>
      <c r="G935" s="6"/>
      <c r="H935" s="6" t="str">
        <f ca="1">IF($A935="","",[1]!s_dq_close(H$1,$A935,$M$4))</f>
        <v/>
      </c>
      <c r="I935" s="6" t="str">
        <f ca="1">IF($A935="","",[1]!s_dq_close(I$1,$A935,$M$4))</f>
        <v/>
      </c>
      <c r="J935" s="6" t="str">
        <f t="shared" ca="1" si="15"/>
        <v/>
      </c>
    </row>
    <row r="936" spans="1:10">
      <c r="A936" s="2" t="str">
        <f ca="1">IF(A935="","",IF(IF(价差分析!$W$4="日",--[1]!td(A935-1),IF(价差分析!$W$4="周",--[1]!td(A935-7),--[1]!td(A935-30)))-价差分析!$T$4&gt;0,IF(价差分析!$W$4="日",--[1]!td(A935-1),IF(价差分析!$W$4="周",--[1]!td(A935-7),--[1]!td(A935-30))),""))</f>
        <v/>
      </c>
      <c r="B936" s="1" t="str">
        <f ca="1">IF(A936="","",[1]!s_dq_close($B$1,A936,$M$4))</f>
        <v/>
      </c>
      <c r="C936" s="1" t="str">
        <f ca="1">IF(A936="","",[1]!s_dq_close($C$1,A936,$M$4))</f>
        <v/>
      </c>
      <c r="D936" s="6" t="str">
        <f ca="1">IF($A936="","",[1]!s_dq_close(D$1,$A936,$M$4))</f>
        <v/>
      </c>
      <c r="E936" s="6" t="str">
        <f ca="1">IF($A936="","",[1]!s_dq_close(E$1,$A936,$M$4))</f>
        <v/>
      </c>
      <c r="F936" s="6" t="str">
        <f ca="1">IF($A936="","",[1]!s_dq_close(F$1,$A936,$M$4))</f>
        <v/>
      </c>
      <c r="G936" s="6"/>
      <c r="H936" s="6" t="str">
        <f ca="1">IF($A936="","",[1]!s_dq_close(H$1,$A936,$M$4))</f>
        <v/>
      </c>
      <c r="I936" s="6" t="str">
        <f ca="1">IF($A936="","",[1]!s_dq_close(I$1,$A936,$M$4))</f>
        <v/>
      </c>
      <c r="J936" s="6" t="str">
        <f t="shared" ca="1" si="15"/>
        <v/>
      </c>
    </row>
    <row r="937" spans="1:10">
      <c r="A937" s="2" t="str">
        <f ca="1">IF(A936="","",IF(IF(价差分析!$W$4="日",--[1]!td(A936-1),IF(价差分析!$W$4="周",--[1]!td(A936-7),--[1]!td(A936-30)))-价差分析!$T$4&gt;0,IF(价差分析!$W$4="日",--[1]!td(A936-1),IF(价差分析!$W$4="周",--[1]!td(A936-7),--[1]!td(A936-30))),""))</f>
        <v/>
      </c>
      <c r="B937" s="1" t="str">
        <f ca="1">IF(A937="","",[1]!s_dq_close($B$1,A937,$M$4))</f>
        <v/>
      </c>
      <c r="C937" s="1" t="str">
        <f ca="1">IF(A937="","",[1]!s_dq_close($C$1,A937,$M$4))</f>
        <v/>
      </c>
      <c r="D937" s="6" t="str">
        <f ca="1">IF($A937="","",[1]!s_dq_close(D$1,$A937,$M$4))</f>
        <v/>
      </c>
      <c r="E937" s="6" t="str">
        <f ca="1">IF($A937="","",[1]!s_dq_close(E$1,$A937,$M$4))</f>
        <v/>
      </c>
      <c r="F937" s="6" t="str">
        <f ca="1">IF($A937="","",[1]!s_dq_close(F$1,$A937,$M$4))</f>
        <v/>
      </c>
      <c r="G937" s="6"/>
      <c r="H937" s="6" t="str">
        <f ca="1">IF($A937="","",[1]!s_dq_close(H$1,$A937,$M$4))</f>
        <v/>
      </c>
      <c r="I937" s="6" t="str">
        <f ca="1">IF($A937="","",[1]!s_dq_close(I$1,$A937,$M$4))</f>
        <v/>
      </c>
      <c r="J937" s="6" t="str">
        <f t="shared" ca="1" si="15"/>
        <v/>
      </c>
    </row>
    <row r="938" spans="1:10">
      <c r="A938" s="2" t="str">
        <f ca="1">IF(A937="","",IF(IF(价差分析!$W$4="日",--[1]!td(A937-1),IF(价差分析!$W$4="周",--[1]!td(A937-7),--[1]!td(A937-30)))-价差分析!$T$4&gt;0,IF(价差分析!$W$4="日",--[1]!td(A937-1),IF(价差分析!$W$4="周",--[1]!td(A937-7),--[1]!td(A937-30))),""))</f>
        <v/>
      </c>
      <c r="B938" s="1" t="str">
        <f ca="1">IF(A938="","",[1]!s_dq_close($B$1,A938,$M$4))</f>
        <v/>
      </c>
      <c r="C938" s="1" t="str">
        <f ca="1">IF(A938="","",[1]!s_dq_close($C$1,A938,$M$4))</f>
        <v/>
      </c>
      <c r="D938" s="6" t="str">
        <f ca="1">IF($A938="","",[1]!s_dq_close(D$1,$A938,$M$4))</f>
        <v/>
      </c>
      <c r="E938" s="6" t="str">
        <f ca="1">IF($A938="","",[1]!s_dq_close(E$1,$A938,$M$4))</f>
        <v/>
      </c>
      <c r="F938" s="6" t="str">
        <f ca="1">IF($A938="","",[1]!s_dq_close(F$1,$A938,$M$4))</f>
        <v/>
      </c>
      <c r="G938" s="6"/>
      <c r="H938" s="6" t="str">
        <f ca="1">IF($A938="","",[1]!s_dq_close(H$1,$A938,$M$4))</f>
        <v/>
      </c>
      <c r="I938" s="6" t="str">
        <f ca="1">IF($A938="","",[1]!s_dq_close(I$1,$A938,$M$4))</f>
        <v/>
      </c>
      <c r="J938" s="6" t="str">
        <f t="shared" ca="1" si="15"/>
        <v/>
      </c>
    </row>
    <row r="939" spans="1:10">
      <c r="A939" s="2" t="str">
        <f ca="1">IF(A938="","",IF(IF(价差分析!$W$4="日",--[1]!td(A938-1),IF(价差分析!$W$4="周",--[1]!td(A938-7),--[1]!td(A938-30)))-价差分析!$T$4&gt;0,IF(价差分析!$W$4="日",--[1]!td(A938-1),IF(价差分析!$W$4="周",--[1]!td(A938-7),--[1]!td(A938-30))),""))</f>
        <v/>
      </c>
      <c r="B939" s="1" t="str">
        <f ca="1">IF(A939="","",[1]!s_dq_close($B$1,A939,$M$4))</f>
        <v/>
      </c>
      <c r="C939" s="1" t="str">
        <f ca="1">IF(A939="","",[1]!s_dq_close($C$1,A939,$M$4))</f>
        <v/>
      </c>
      <c r="D939" s="6" t="str">
        <f ca="1">IF($A939="","",[1]!s_dq_close(D$1,$A939,$M$4))</f>
        <v/>
      </c>
      <c r="E939" s="6" t="str">
        <f ca="1">IF($A939="","",[1]!s_dq_close(E$1,$A939,$M$4))</f>
        <v/>
      </c>
      <c r="F939" s="6" t="str">
        <f ca="1">IF($A939="","",[1]!s_dq_close(F$1,$A939,$M$4))</f>
        <v/>
      </c>
      <c r="G939" s="6"/>
      <c r="H939" s="6" t="str">
        <f ca="1">IF($A939="","",[1]!s_dq_close(H$1,$A939,$M$4))</f>
        <v/>
      </c>
      <c r="I939" s="6" t="str">
        <f ca="1">IF($A939="","",[1]!s_dq_close(I$1,$A939,$M$4))</f>
        <v/>
      </c>
      <c r="J939" s="6" t="str">
        <f t="shared" ca="1" si="15"/>
        <v/>
      </c>
    </row>
    <row r="940" spans="1:10">
      <c r="A940" s="2" t="str">
        <f ca="1">IF(A939="","",IF(IF(价差分析!$W$4="日",--[1]!td(A939-1),IF(价差分析!$W$4="周",--[1]!td(A939-7),--[1]!td(A939-30)))-价差分析!$T$4&gt;0,IF(价差分析!$W$4="日",--[1]!td(A939-1),IF(价差分析!$W$4="周",--[1]!td(A939-7),--[1]!td(A939-30))),""))</f>
        <v/>
      </c>
      <c r="B940" s="1" t="str">
        <f ca="1">IF(A940="","",[1]!s_dq_close($B$1,A940,$M$4))</f>
        <v/>
      </c>
      <c r="C940" s="1" t="str">
        <f ca="1">IF(A940="","",[1]!s_dq_close($C$1,A940,$M$4))</f>
        <v/>
      </c>
      <c r="D940" s="6" t="str">
        <f ca="1">IF($A940="","",[1]!s_dq_close(D$1,$A940,$M$4))</f>
        <v/>
      </c>
      <c r="E940" s="6" t="str">
        <f ca="1">IF($A940="","",[1]!s_dq_close(E$1,$A940,$M$4))</f>
        <v/>
      </c>
      <c r="F940" s="6" t="str">
        <f ca="1">IF($A940="","",[1]!s_dq_close(F$1,$A940,$M$4))</f>
        <v/>
      </c>
      <c r="G940" s="6"/>
      <c r="H940" s="6" t="str">
        <f ca="1">IF($A940="","",[1]!s_dq_close(H$1,$A940,$M$4))</f>
        <v/>
      </c>
      <c r="I940" s="6" t="str">
        <f ca="1">IF($A940="","",[1]!s_dq_close(I$1,$A940,$M$4))</f>
        <v/>
      </c>
      <c r="J940" s="6" t="str">
        <f t="shared" ca="1" si="15"/>
        <v/>
      </c>
    </row>
    <row r="941" spans="1:10">
      <c r="A941" s="2" t="str">
        <f ca="1">IF(A940="","",IF(IF(价差分析!$W$4="日",--[1]!td(A940-1),IF(价差分析!$W$4="周",--[1]!td(A940-7),--[1]!td(A940-30)))-价差分析!$T$4&gt;0,IF(价差分析!$W$4="日",--[1]!td(A940-1),IF(价差分析!$W$4="周",--[1]!td(A940-7),--[1]!td(A940-30))),""))</f>
        <v/>
      </c>
      <c r="B941" s="1" t="str">
        <f ca="1">IF(A941="","",[1]!s_dq_close($B$1,A941,$M$4))</f>
        <v/>
      </c>
      <c r="C941" s="1" t="str">
        <f ca="1">IF(A941="","",[1]!s_dq_close($C$1,A941,$M$4))</f>
        <v/>
      </c>
      <c r="D941" s="6" t="str">
        <f ca="1">IF($A941="","",[1]!s_dq_close(D$1,$A941,$M$4))</f>
        <v/>
      </c>
      <c r="E941" s="6" t="str">
        <f ca="1">IF($A941="","",[1]!s_dq_close(E$1,$A941,$M$4))</f>
        <v/>
      </c>
      <c r="F941" s="6" t="str">
        <f ca="1">IF($A941="","",[1]!s_dq_close(F$1,$A941,$M$4))</f>
        <v/>
      </c>
      <c r="G941" s="6"/>
      <c r="H941" s="6" t="str">
        <f ca="1">IF($A941="","",[1]!s_dq_close(H$1,$A941,$M$4))</f>
        <v/>
      </c>
      <c r="I941" s="6" t="str">
        <f ca="1">IF($A941="","",[1]!s_dq_close(I$1,$A941,$M$4))</f>
        <v/>
      </c>
      <c r="J941" s="6" t="str">
        <f t="shared" ca="1" si="15"/>
        <v/>
      </c>
    </row>
    <row r="942" spans="1:10">
      <c r="A942" s="2" t="str">
        <f ca="1">IF(A941="","",IF(IF(价差分析!$W$4="日",--[1]!td(A941-1),IF(价差分析!$W$4="周",--[1]!td(A941-7),--[1]!td(A941-30)))-价差分析!$T$4&gt;0,IF(价差分析!$W$4="日",--[1]!td(A941-1),IF(价差分析!$W$4="周",--[1]!td(A941-7),--[1]!td(A941-30))),""))</f>
        <v/>
      </c>
      <c r="B942" s="1" t="str">
        <f ca="1">IF(A942="","",[1]!s_dq_close($B$1,A942,$M$4))</f>
        <v/>
      </c>
      <c r="C942" s="1" t="str">
        <f ca="1">IF(A942="","",[1]!s_dq_close($C$1,A942,$M$4))</f>
        <v/>
      </c>
      <c r="D942" s="6" t="str">
        <f ca="1">IF($A942="","",[1]!s_dq_close(D$1,$A942,$M$4))</f>
        <v/>
      </c>
      <c r="E942" s="6" t="str">
        <f ca="1">IF($A942="","",[1]!s_dq_close(E$1,$A942,$M$4))</f>
        <v/>
      </c>
      <c r="F942" s="6" t="str">
        <f ca="1">IF($A942="","",[1]!s_dq_close(F$1,$A942,$M$4))</f>
        <v/>
      </c>
      <c r="G942" s="6"/>
      <c r="H942" s="6" t="str">
        <f ca="1">IF($A942="","",[1]!s_dq_close(H$1,$A942,$M$4))</f>
        <v/>
      </c>
      <c r="I942" s="6" t="str">
        <f ca="1">IF($A942="","",[1]!s_dq_close(I$1,$A942,$M$4))</f>
        <v/>
      </c>
      <c r="J942" s="6" t="str">
        <f t="shared" ca="1" si="15"/>
        <v/>
      </c>
    </row>
    <row r="943" spans="1:10">
      <c r="A943" s="2" t="str">
        <f ca="1">IF(A942="","",IF(IF(价差分析!$W$4="日",--[1]!td(A942-1),IF(价差分析!$W$4="周",--[1]!td(A942-7),--[1]!td(A942-30)))-价差分析!$T$4&gt;0,IF(价差分析!$W$4="日",--[1]!td(A942-1),IF(价差分析!$W$4="周",--[1]!td(A942-7),--[1]!td(A942-30))),""))</f>
        <v/>
      </c>
      <c r="B943" s="1" t="str">
        <f ca="1">IF(A943="","",[1]!s_dq_close($B$1,A943,$M$4))</f>
        <v/>
      </c>
      <c r="C943" s="1" t="str">
        <f ca="1">IF(A943="","",[1]!s_dq_close($C$1,A943,$M$4))</f>
        <v/>
      </c>
      <c r="D943" s="6" t="str">
        <f ca="1">IF($A943="","",[1]!s_dq_close(D$1,$A943,$M$4))</f>
        <v/>
      </c>
      <c r="E943" s="6" t="str">
        <f ca="1">IF($A943="","",[1]!s_dq_close(E$1,$A943,$M$4))</f>
        <v/>
      </c>
      <c r="F943" s="6" t="str">
        <f ca="1">IF($A943="","",[1]!s_dq_close(F$1,$A943,$M$4))</f>
        <v/>
      </c>
      <c r="G943" s="6"/>
      <c r="H943" s="6" t="str">
        <f ca="1">IF($A943="","",[1]!s_dq_close(H$1,$A943,$M$4))</f>
        <v/>
      </c>
      <c r="I943" s="6" t="str">
        <f ca="1">IF($A943="","",[1]!s_dq_close(I$1,$A943,$M$4))</f>
        <v/>
      </c>
      <c r="J943" s="6" t="str">
        <f t="shared" ca="1" si="15"/>
        <v/>
      </c>
    </row>
    <row r="944" spans="1:10">
      <c r="A944" s="2" t="str">
        <f ca="1">IF(A943="","",IF(IF(价差分析!$W$4="日",--[1]!td(A943-1),IF(价差分析!$W$4="周",--[1]!td(A943-7),--[1]!td(A943-30)))-价差分析!$T$4&gt;0,IF(价差分析!$W$4="日",--[1]!td(A943-1),IF(价差分析!$W$4="周",--[1]!td(A943-7),--[1]!td(A943-30))),""))</f>
        <v/>
      </c>
      <c r="B944" s="1" t="str">
        <f ca="1">IF(A944="","",[1]!s_dq_close($B$1,A944,$M$4))</f>
        <v/>
      </c>
      <c r="C944" s="1" t="str">
        <f ca="1">IF(A944="","",[1]!s_dq_close($C$1,A944,$M$4))</f>
        <v/>
      </c>
      <c r="D944" s="6" t="str">
        <f ca="1">IF($A944="","",[1]!s_dq_close(D$1,$A944,$M$4))</f>
        <v/>
      </c>
      <c r="E944" s="6" t="str">
        <f ca="1">IF($A944="","",[1]!s_dq_close(E$1,$A944,$M$4))</f>
        <v/>
      </c>
      <c r="F944" s="6" t="str">
        <f ca="1">IF($A944="","",[1]!s_dq_close(F$1,$A944,$M$4))</f>
        <v/>
      </c>
      <c r="G944" s="6"/>
      <c r="H944" s="6" t="str">
        <f ca="1">IF($A944="","",[1]!s_dq_close(H$1,$A944,$M$4))</f>
        <v/>
      </c>
      <c r="I944" s="6" t="str">
        <f ca="1">IF($A944="","",[1]!s_dq_close(I$1,$A944,$M$4))</f>
        <v/>
      </c>
      <c r="J944" s="6" t="str">
        <f t="shared" ca="1" si="15"/>
        <v/>
      </c>
    </row>
    <row r="945" spans="1:10">
      <c r="A945" s="2" t="str">
        <f ca="1">IF(A944="","",IF(IF(价差分析!$W$4="日",--[1]!td(A944-1),IF(价差分析!$W$4="周",--[1]!td(A944-7),--[1]!td(A944-30)))-价差分析!$T$4&gt;0,IF(价差分析!$W$4="日",--[1]!td(A944-1),IF(价差分析!$W$4="周",--[1]!td(A944-7),--[1]!td(A944-30))),""))</f>
        <v/>
      </c>
      <c r="B945" s="1" t="str">
        <f ca="1">IF(A945="","",[1]!s_dq_close($B$1,A945,$M$4))</f>
        <v/>
      </c>
      <c r="C945" s="1" t="str">
        <f ca="1">IF(A945="","",[1]!s_dq_close($C$1,A945,$M$4))</f>
        <v/>
      </c>
      <c r="D945" s="6" t="str">
        <f ca="1">IF($A945="","",[1]!s_dq_close(D$1,$A945,$M$4))</f>
        <v/>
      </c>
      <c r="E945" s="6" t="str">
        <f ca="1">IF($A945="","",[1]!s_dq_close(E$1,$A945,$M$4))</f>
        <v/>
      </c>
      <c r="F945" s="6" t="str">
        <f ca="1">IF($A945="","",[1]!s_dq_close(F$1,$A945,$M$4))</f>
        <v/>
      </c>
      <c r="G945" s="6"/>
      <c r="H945" s="6" t="str">
        <f ca="1">IF($A945="","",[1]!s_dq_close(H$1,$A945,$M$4))</f>
        <v/>
      </c>
      <c r="I945" s="6" t="str">
        <f ca="1">IF($A945="","",[1]!s_dq_close(I$1,$A945,$M$4))</f>
        <v/>
      </c>
      <c r="J945" s="6" t="str">
        <f t="shared" ca="1" si="15"/>
        <v/>
      </c>
    </row>
    <row r="946" spans="1:10">
      <c r="A946" s="2" t="str">
        <f ca="1">IF(A945="","",IF(IF(价差分析!$W$4="日",--[1]!td(A945-1),IF(价差分析!$W$4="周",--[1]!td(A945-7),--[1]!td(A945-30)))-价差分析!$T$4&gt;0,IF(价差分析!$W$4="日",--[1]!td(A945-1),IF(价差分析!$W$4="周",--[1]!td(A945-7),--[1]!td(A945-30))),""))</f>
        <v/>
      </c>
      <c r="B946" s="1" t="str">
        <f ca="1">IF(A946="","",[1]!s_dq_close($B$1,A946,$M$4))</f>
        <v/>
      </c>
      <c r="C946" s="1" t="str">
        <f ca="1">IF(A946="","",[1]!s_dq_close($C$1,A946,$M$4))</f>
        <v/>
      </c>
      <c r="D946" s="6" t="str">
        <f ca="1">IF($A946="","",[1]!s_dq_close(D$1,$A946,$M$4))</f>
        <v/>
      </c>
      <c r="E946" s="6" t="str">
        <f ca="1">IF($A946="","",[1]!s_dq_close(E$1,$A946,$M$4))</f>
        <v/>
      </c>
      <c r="F946" s="6" t="str">
        <f ca="1">IF($A946="","",[1]!s_dq_close(F$1,$A946,$M$4))</f>
        <v/>
      </c>
      <c r="G946" s="6"/>
      <c r="H946" s="6" t="str">
        <f ca="1">IF($A946="","",[1]!s_dq_close(H$1,$A946,$M$4))</f>
        <v/>
      </c>
      <c r="I946" s="6" t="str">
        <f ca="1">IF($A946="","",[1]!s_dq_close(I$1,$A946,$M$4))</f>
        <v/>
      </c>
      <c r="J946" s="6" t="str">
        <f t="shared" ca="1" si="15"/>
        <v/>
      </c>
    </row>
    <row r="947" spans="1:10">
      <c r="A947" s="2" t="str">
        <f ca="1">IF(A946="","",IF(IF(价差分析!$W$4="日",--[1]!td(A946-1),IF(价差分析!$W$4="周",--[1]!td(A946-7),--[1]!td(A946-30)))-价差分析!$T$4&gt;0,IF(价差分析!$W$4="日",--[1]!td(A946-1),IF(价差分析!$W$4="周",--[1]!td(A946-7),--[1]!td(A946-30))),""))</f>
        <v/>
      </c>
      <c r="B947" s="1" t="str">
        <f ca="1">IF(A947="","",[1]!s_dq_close($B$1,A947,$M$4))</f>
        <v/>
      </c>
      <c r="C947" s="1" t="str">
        <f ca="1">IF(A947="","",[1]!s_dq_close($C$1,A947,$M$4))</f>
        <v/>
      </c>
      <c r="D947" s="6" t="str">
        <f ca="1">IF($A947="","",[1]!s_dq_close(D$1,$A947,$M$4))</f>
        <v/>
      </c>
      <c r="E947" s="6" t="str">
        <f ca="1">IF($A947="","",[1]!s_dq_close(E$1,$A947,$M$4))</f>
        <v/>
      </c>
      <c r="F947" s="6" t="str">
        <f ca="1">IF($A947="","",[1]!s_dq_close(F$1,$A947,$M$4))</f>
        <v/>
      </c>
      <c r="G947" s="6"/>
      <c r="H947" s="6" t="str">
        <f ca="1">IF($A947="","",[1]!s_dq_close(H$1,$A947,$M$4))</f>
        <v/>
      </c>
      <c r="I947" s="6" t="str">
        <f ca="1">IF($A947="","",[1]!s_dq_close(I$1,$A947,$M$4))</f>
        <v/>
      </c>
      <c r="J947" s="6" t="str">
        <f t="shared" ca="1" si="15"/>
        <v/>
      </c>
    </row>
    <row r="948" spans="1:10">
      <c r="A948" s="2" t="str">
        <f ca="1">IF(A947="","",IF(IF(价差分析!$W$4="日",--[1]!td(A947-1),IF(价差分析!$W$4="周",--[1]!td(A947-7),--[1]!td(A947-30)))-价差分析!$T$4&gt;0,IF(价差分析!$W$4="日",--[1]!td(A947-1),IF(价差分析!$W$4="周",--[1]!td(A947-7),--[1]!td(A947-30))),""))</f>
        <v/>
      </c>
      <c r="B948" s="1" t="str">
        <f ca="1">IF(A948="","",[1]!s_dq_close($B$1,A948,$M$4))</f>
        <v/>
      </c>
      <c r="C948" s="1" t="str">
        <f ca="1">IF(A948="","",[1]!s_dq_close($C$1,A948,$M$4))</f>
        <v/>
      </c>
      <c r="D948" s="6" t="str">
        <f ca="1">IF($A948="","",[1]!s_dq_close(D$1,$A948,$M$4))</f>
        <v/>
      </c>
      <c r="E948" s="6" t="str">
        <f ca="1">IF($A948="","",[1]!s_dq_close(E$1,$A948,$M$4))</f>
        <v/>
      </c>
      <c r="F948" s="6" t="str">
        <f ca="1">IF($A948="","",[1]!s_dq_close(F$1,$A948,$M$4))</f>
        <v/>
      </c>
      <c r="G948" s="6"/>
      <c r="H948" s="6" t="str">
        <f ca="1">IF($A948="","",[1]!s_dq_close(H$1,$A948,$M$4))</f>
        <v/>
      </c>
      <c r="I948" s="6" t="str">
        <f ca="1">IF($A948="","",[1]!s_dq_close(I$1,$A948,$M$4))</f>
        <v/>
      </c>
      <c r="J948" s="6" t="str">
        <f t="shared" ca="1" si="15"/>
        <v/>
      </c>
    </row>
    <row r="949" spans="1:10">
      <c r="A949" s="2" t="str">
        <f ca="1">IF(A948="","",IF(IF(价差分析!$W$4="日",--[1]!td(A948-1),IF(价差分析!$W$4="周",--[1]!td(A948-7),--[1]!td(A948-30)))-价差分析!$T$4&gt;0,IF(价差分析!$W$4="日",--[1]!td(A948-1),IF(价差分析!$W$4="周",--[1]!td(A948-7),--[1]!td(A948-30))),""))</f>
        <v/>
      </c>
      <c r="B949" s="1" t="str">
        <f ca="1">IF(A949="","",[1]!s_dq_close($B$1,A949,$M$4))</f>
        <v/>
      </c>
      <c r="C949" s="1" t="str">
        <f ca="1">IF(A949="","",[1]!s_dq_close($C$1,A949,$M$4))</f>
        <v/>
      </c>
      <c r="D949" s="6" t="str">
        <f ca="1">IF($A949="","",[1]!s_dq_close(D$1,$A949,$M$4))</f>
        <v/>
      </c>
      <c r="E949" s="6" t="str">
        <f ca="1">IF($A949="","",[1]!s_dq_close(E$1,$A949,$M$4))</f>
        <v/>
      </c>
      <c r="F949" s="6" t="str">
        <f ca="1">IF($A949="","",[1]!s_dq_close(F$1,$A949,$M$4))</f>
        <v/>
      </c>
      <c r="G949" s="6"/>
      <c r="H949" s="6" t="str">
        <f ca="1">IF($A949="","",[1]!s_dq_close(H$1,$A949,$M$4))</f>
        <v/>
      </c>
      <c r="I949" s="6" t="str">
        <f ca="1">IF($A949="","",[1]!s_dq_close(I$1,$A949,$M$4))</f>
        <v/>
      </c>
      <c r="J949" s="6" t="str">
        <f t="shared" ca="1" si="15"/>
        <v/>
      </c>
    </row>
    <row r="950" spans="1:10">
      <c r="A950" s="2" t="str">
        <f ca="1">IF(A949="","",IF(IF(价差分析!$W$4="日",--[1]!td(A949-1),IF(价差分析!$W$4="周",--[1]!td(A949-7),--[1]!td(A949-30)))-价差分析!$T$4&gt;0,IF(价差分析!$W$4="日",--[1]!td(A949-1),IF(价差分析!$W$4="周",--[1]!td(A949-7),--[1]!td(A949-30))),""))</f>
        <v/>
      </c>
      <c r="B950" s="1" t="str">
        <f ca="1">IF(A950="","",[1]!s_dq_close($B$1,A950,$M$4))</f>
        <v/>
      </c>
      <c r="C950" s="1" t="str">
        <f ca="1">IF(A950="","",[1]!s_dq_close($C$1,A950,$M$4))</f>
        <v/>
      </c>
      <c r="D950" s="6" t="str">
        <f ca="1">IF($A950="","",[1]!s_dq_close(D$1,$A950,$M$4))</f>
        <v/>
      </c>
      <c r="E950" s="6" t="str">
        <f ca="1">IF($A950="","",[1]!s_dq_close(E$1,$A950,$M$4))</f>
        <v/>
      </c>
      <c r="F950" s="6" t="str">
        <f ca="1">IF($A950="","",[1]!s_dq_close(F$1,$A950,$M$4))</f>
        <v/>
      </c>
      <c r="G950" s="6"/>
      <c r="H950" s="6" t="str">
        <f ca="1">IF($A950="","",[1]!s_dq_close(H$1,$A950,$M$4))</f>
        <v/>
      </c>
      <c r="I950" s="6" t="str">
        <f ca="1">IF($A950="","",[1]!s_dq_close(I$1,$A950,$M$4))</f>
        <v/>
      </c>
      <c r="J950" s="6" t="str">
        <f t="shared" ca="1" si="15"/>
        <v/>
      </c>
    </row>
    <row r="951" spans="1:10">
      <c r="A951" s="2" t="str">
        <f ca="1">IF(A950="","",IF(IF(价差分析!$W$4="日",--[1]!td(A950-1),IF(价差分析!$W$4="周",--[1]!td(A950-7),--[1]!td(A950-30)))-价差分析!$T$4&gt;0,IF(价差分析!$W$4="日",--[1]!td(A950-1),IF(价差分析!$W$4="周",--[1]!td(A950-7),--[1]!td(A950-30))),""))</f>
        <v/>
      </c>
      <c r="B951" s="1" t="str">
        <f ca="1">IF(A951="","",[1]!s_dq_close($B$1,A951,$M$4))</f>
        <v/>
      </c>
      <c r="C951" s="1" t="str">
        <f ca="1">IF(A951="","",[1]!s_dq_close($C$1,A951,$M$4))</f>
        <v/>
      </c>
      <c r="D951" s="6" t="str">
        <f ca="1">IF($A951="","",[1]!s_dq_close(D$1,$A951,$M$4))</f>
        <v/>
      </c>
      <c r="E951" s="6" t="str">
        <f ca="1">IF($A951="","",[1]!s_dq_close(E$1,$A951,$M$4))</f>
        <v/>
      </c>
      <c r="F951" s="6" t="str">
        <f ca="1">IF($A951="","",[1]!s_dq_close(F$1,$A951,$M$4))</f>
        <v/>
      </c>
      <c r="G951" s="6"/>
      <c r="H951" s="6" t="str">
        <f ca="1">IF($A951="","",[1]!s_dq_close(H$1,$A951,$M$4))</f>
        <v/>
      </c>
      <c r="I951" s="6" t="str">
        <f ca="1">IF($A951="","",[1]!s_dq_close(I$1,$A951,$M$4))</f>
        <v/>
      </c>
      <c r="J951" s="6" t="str">
        <f t="shared" ca="1" si="15"/>
        <v/>
      </c>
    </row>
    <row r="952" spans="1:10">
      <c r="A952" s="2" t="str">
        <f ca="1">IF(A951="","",IF(IF(价差分析!$W$4="日",--[1]!td(A951-1),IF(价差分析!$W$4="周",--[1]!td(A951-7),--[1]!td(A951-30)))-价差分析!$T$4&gt;0,IF(价差分析!$W$4="日",--[1]!td(A951-1),IF(价差分析!$W$4="周",--[1]!td(A951-7),--[1]!td(A951-30))),""))</f>
        <v/>
      </c>
      <c r="B952" s="1" t="str">
        <f ca="1">IF(A952="","",[1]!s_dq_close($B$1,A952,$M$4))</f>
        <v/>
      </c>
      <c r="C952" s="1" t="str">
        <f ca="1">IF(A952="","",[1]!s_dq_close($C$1,A952,$M$4))</f>
        <v/>
      </c>
      <c r="D952" s="6" t="str">
        <f ca="1">IF($A952="","",[1]!s_dq_close(D$1,$A952,$M$4))</f>
        <v/>
      </c>
      <c r="E952" s="6" t="str">
        <f ca="1">IF($A952="","",[1]!s_dq_close(E$1,$A952,$M$4))</f>
        <v/>
      </c>
      <c r="F952" s="6" t="str">
        <f ca="1">IF($A952="","",[1]!s_dq_close(F$1,$A952,$M$4))</f>
        <v/>
      </c>
      <c r="G952" s="6"/>
      <c r="H952" s="6" t="str">
        <f ca="1">IF($A952="","",[1]!s_dq_close(H$1,$A952,$M$4))</f>
        <v/>
      </c>
      <c r="I952" s="6" t="str">
        <f ca="1">IF($A952="","",[1]!s_dq_close(I$1,$A952,$M$4))</f>
        <v/>
      </c>
      <c r="J952" s="6" t="str">
        <f t="shared" ca="1" si="15"/>
        <v/>
      </c>
    </row>
    <row r="953" spans="1:10">
      <c r="A953" s="2" t="str">
        <f ca="1">IF(A952="","",IF(IF(价差分析!$W$4="日",--[1]!td(A952-1),IF(价差分析!$W$4="周",--[1]!td(A952-7),--[1]!td(A952-30)))-价差分析!$T$4&gt;0,IF(价差分析!$W$4="日",--[1]!td(A952-1),IF(价差分析!$W$4="周",--[1]!td(A952-7),--[1]!td(A952-30))),""))</f>
        <v/>
      </c>
      <c r="B953" s="1" t="str">
        <f ca="1">IF(A953="","",[1]!s_dq_close($B$1,A953,$M$4))</f>
        <v/>
      </c>
      <c r="C953" s="1" t="str">
        <f ca="1">IF(A953="","",[1]!s_dq_close($C$1,A953,$M$4))</f>
        <v/>
      </c>
      <c r="D953" s="6" t="str">
        <f ca="1">IF($A953="","",[1]!s_dq_close(D$1,$A953,$M$4))</f>
        <v/>
      </c>
      <c r="E953" s="6" t="str">
        <f ca="1">IF($A953="","",[1]!s_dq_close(E$1,$A953,$M$4))</f>
        <v/>
      </c>
      <c r="F953" s="6" t="str">
        <f ca="1">IF($A953="","",[1]!s_dq_close(F$1,$A953,$M$4))</f>
        <v/>
      </c>
      <c r="G953" s="6"/>
      <c r="H953" s="6" t="str">
        <f ca="1">IF($A953="","",[1]!s_dq_close(H$1,$A953,$M$4))</f>
        <v/>
      </c>
      <c r="I953" s="6" t="str">
        <f ca="1">IF($A953="","",[1]!s_dq_close(I$1,$A953,$M$4))</f>
        <v/>
      </c>
      <c r="J953" s="6" t="str">
        <f t="shared" ca="1" si="15"/>
        <v/>
      </c>
    </row>
    <row r="954" spans="1:10">
      <c r="A954" s="2" t="str">
        <f ca="1">IF(A953="","",IF(IF(价差分析!$W$4="日",--[1]!td(A953-1),IF(价差分析!$W$4="周",--[1]!td(A953-7),--[1]!td(A953-30)))-价差分析!$T$4&gt;0,IF(价差分析!$W$4="日",--[1]!td(A953-1),IF(价差分析!$W$4="周",--[1]!td(A953-7),--[1]!td(A953-30))),""))</f>
        <v/>
      </c>
      <c r="B954" s="1" t="str">
        <f ca="1">IF(A954="","",[1]!s_dq_close($B$1,A954,$M$4))</f>
        <v/>
      </c>
      <c r="C954" s="1" t="str">
        <f ca="1">IF(A954="","",[1]!s_dq_close($C$1,A954,$M$4))</f>
        <v/>
      </c>
      <c r="D954" s="6" t="str">
        <f ca="1">IF($A954="","",[1]!s_dq_close(D$1,$A954,$M$4))</f>
        <v/>
      </c>
      <c r="E954" s="6" t="str">
        <f ca="1">IF($A954="","",[1]!s_dq_close(E$1,$A954,$M$4))</f>
        <v/>
      </c>
      <c r="F954" s="6" t="str">
        <f ca="1">IF($A954="","",[1]!s_dq_close(F$1,$A954,$M$4))</f>
        <v/>
      </c>
      <c r="G954" s="6"/>
      <c r="H954" s="6" t="str">
        <f ca="1">IF($A954="","",[1]!s_dq_close(H$1,$A954,$M$4))</f>
        <v/>
      </c>
      <c r="I954" s="6" t="str">
        <f ca="1">IF($A954="","",[1]!s_dq_close(I$1,$A954,$M$4))</f>
        <v/>
      </c>
      <c r="J954" s="6" t="str">
        <f t="shared" ca="1" si="15"/>
        <v/>
      </c>
    </row>
    <row r="955" spans="1:10">
      <c r="A955" s="2" t="str">
        <f ca="1">IF(A954="","",IF(IF(价差分析!$W$4="日",--[1]!td(A954-1),IF(价差分析!$W$4="周",--[1]!td(A954-7),--[1]!td(A954-30)))-价差分析!$T$4&gt;0,IF(价差分析!$W$4="日",--[1]!td(A954-1),IF(价差分析!$W$4="周",--[1]!td(A954-7),--[1]!td(A954-30))),""))</f>
        <v/>
      </c>
      <c r="B955" s="1" t="str">
        <f ca="1">IF(A955="","",[1]!s_dq_close($B$1,A955,$M$4))</f>
        <v/>
      </c>
      <c r="C955" s="1" t="str">
        <f ca="1">IF(A955="","",[1]!s_dq_close($C$1,A955,$M$4))</f>
        <v/>
      </c>
      <c r="D955" s="6" t="str">
        <f ca="1">IF($A955="","",[1]!s_dq_close(D$1,$A955,$M$4))</f>
        <v/>
      </c>
      <c r="E955" s="6" t="str">
        <f ca="1">IF($A955="","",[1]!s_dq_close(E$1,$A955,$M$4))</f>
        <v/>
      </c>
      <c r="F955" s="6" t="str">
        <f ca="1">IF($A955="","",[1]!s_dq_close(F$1,$A955,$M$4))</f>
        <v/>
      </c>
      <c r="G955" s="6"/>
      <c r="H955" s="6" t="str">
        <f ca="1">IF($A955="","",[1]!s_dq_close(H$1,$A955,$M$4))</f>
        <v/>
      </c>
      <c r="I955" s="6" t="str">
        <f ca="1">IF($A955="","",[1]!s_dq_close(I$1,$A955,$M$4))</f>
        <v/>
      </c>
      <c r="J955" s="6" t="str">
        <f t="shared" ca="1" si="15"/>
        <v/>
      </c>
    </row>
    <row r="956" spans="1:10">
      <c r="A956" s="2" t="str">
        <f ca="1">IF(A955="","",IF(IF(价差分析!$W$4="日",--[1]!td(A955-1),IF(价差分析!$W$4="周",--[1]!td(A955-7),--[1]!td(A955-30)))-价差分析!$T$4&gt;0,IF(价差分析!$W$4="日",--[1]!td(A955-1),IF(价差分析!$W$4="周",--[1]!td(A955-7),--[1]!td(A955-30))),""))</f>
        <v/>
      </c>
      <c r="B956" s="1" t="str">
        <f ca="1">IF(A956="","",[1]!s_dq_close($B$1,A956,$M$4))</f>
        <v/>
      </c>
      <c r="C956" s="1" t="str">
        <f ca="1">IF(A956="","",[1]!s_dq_close($C$1,A956,$M$4))</f>
        <v/>
      </c>
      <c r="D956" s="6" t="str">
        <f ca="1">IF($A956="","",[1]!s_dq_close(D$1,$A956,$M$4))</f>
        <v/>
      </c>
      <c r="E956" s="6" t="str">
        <f ca="1">IF($A956="","",[1]!s_dq_close(E$1,$A956,$M$4))</f>
        <v/>
      </c>
      <c r="F956" s="6" t="str">
        <f ca="1">IF($A956="","",[1]!s_dq_close(F$1,$A956,$M$4))</f>
        <v/>
      </c>
      <c r="G956" s="6"/>
      <c r="H956" s="6" t="str">
        <f ca="1">IF($A956="","",[1]!s_dq_close(H$1,$A956,$M$4))</f>
        <v/>
      </c>
      <c r="I956" s="6" t="str">
        <f ca="1">IF($A956="","",[1]!s_dq_close(I$1,$A956,$M$4))</f>
        <v/>
      </c>
      <c r="J956" s="6" t="str">
        <f t="shared" ca="1" si="15"/>
        <v/>
      </c>
    </row>
    <row r="957" spans="1:10">
      <c r="A957" s="2" t="str">
        <f ca="1">IF(A956="","",IF(IF(价差分析!$W$4="日",--[1]!td(A956-1),IF(价差分析!$W$4="周",--[1]!td(A956-7),--[1]!td(A956-30)))-价差分析!$T$4&gt;0,IF(价差分析!$W$4="日",--[1]!td(A956-1),IF(价差分析!$W$4="周",--[1]!td(A956-7),--[1]!td(A956-30))),""))</f>
        <v/>
      </c>
      <c r="B957" s="1" t="str">
        <f ca="1">IF(A957="","",[1]!s_dq_close($B$1,A957,$M$4))</f>
        <v/>
      </c>
      <c r="C957" s="1" t="str">
        <f ca="1">IF(A957="","",[1]!s_dq_close($C$1,A957,$M$4))</f>
        <v/>
      </c>
      <c r="D957" s="6" t="str">
        <f ca="1">IF($A957="","",[1]!s_dq_close(D$1,$A957,$M$4))</f>
        <v/>
      </c>
      <c r="E957" s="6" t="str">
        <f ca="1">IF($A957="","",[1]!s_dq_close(E$1,$A957,$M$4))</f>
        <v/>
      </c>
      <c r="F957" s="6" t="str">
        <f ca="1">IF($A957="","",[1]!s_dq_close(F$1,$A957,$M$4))</f>
        <v/>
      </c>
      <c r="G957" s="6"/>
      <c r="H957" s="6" t="str">
        <f ca="1">IF($A957="","",[1]!s_dq_close(H$1,$A957,$M$4))</f>
        <v/>
      </c>
      <c r="I957" s="6" t="str">
        <f ca="1">IF($A957="","",[1]!s_dq_close(I$1,$A957,$M$4))</f>
        <v/>
      </c>
      <c r="J957" s="6" t="str">
        <f t="shared" ca="1" si="15"/>
        <v/>
      </c>
    </row>
    <row r="958" spans="1:10">
      <c r="A958" s="2" t="str">
        <f ca="1">IF(A957="","",IF(IF(价差分析!$W$4="日",--[1]!td(A957-1),IF(价差分析!$W$4="周",--[1]!td(A957-7),--[1]!td(A957-30)))-价差分析!$T$4&gt;0,IF(价差分析!$W$4="日",--[1]!td(A957-1),IF(价差分析!$W$4="周",--[1]!td(A957-7),--[1]!td(A957-30))),""))</f>
        <v/>
      </c>
      <c r="B958" s="1" t="str">
        <f ca="1">IF(A958="","",[1]!s_dq_close($B$1,A958,$M$4))</f>
        <v/>
      </c>
      <c r="C958" s="1" t="str">
        <f ca="1">IF(A958="","",[1]!s_dq_close($C$1,A958,$M$4))</f>
        <v/>
      </c>
      <c r="D958" s="6" t="str">
        <f ca="1">IF($A958="","",[1]!s_dq_close(D$1,$A958,$M$4))</f>
        <v/>
      </c>
      <c r="E958" s="6" t="str">
        <f ca="1">IF($A958="","",[1]!s_dq_close(E$1,$A958,$M$4))</f>
        <v/>
      </c>
      <c r="F958" s="6" t="str">
        <f ca="1">IF($A958="","",[1]!s_dq_close(F$1,$A958,$M$4))</f>
        <v/>
      </c>
      <c r="G958" s="6"/>
      <c r="H958" s="6" t="str">
        <f ca="1">IF($A958="","",[1]!s_dq_close(H$1,$A958,$M$4))</f>
        <v/>
      </c>
      <c r="I958" s="6" t="str">
        <f ca="1">IF($A958="","",[1]!s_dq_close(I$1,$A958,$M$4))</f>
        <v/>
      </c>
      <c r="J958" s="6" t="str">
        <f t="shared" ca="1" si="15"/>
        <v/>
      </c>
    </row>
    <row r="959" spans="1:10">
      <c r="A959" s="2" t="str">
        <f ca="1">IF(A958="","",IF(IF(价差分析!$W$4="日",--[1]!td(A958-1),IF(价差分析!$W$4="周",--[1]!td(A958-7),--[1]!td(A958-30)))-价差分析!$T$4&gt;0,IF(价差分析!$W$4="日",--[1]!td(A958-1),IF(价差分析!$W$4="周",--[1]!td(A958-7),--[1]!td(A958-30))),""))</f>
        <v/>
      </c>
      <c r="B959" s="1" t="str">
        <f ca="1">IF(A959="","",[1]!s_dq_close($B$1,A959,$M$4))</f>
        <v/>
      </c>
      <c r="C959" s="1" t="str">
        <f ca="1">IF(A959="","",[1]!s_dq_close($C$1,A959,$M$4))</f>
        <v/>
      </c>
      <c r="D959" s="6" t="str">
        <f ca="1">IF($A959="","",[1]!s_dq_close(D$1,$A959,$M$4))</f>
        <v/>
      </c>
      <c r="E959" s="6" t="str">
        <f ca="1">IF($A959="","",[1]!s_dq_close(E$1,$A959,$M$4))</f>
        <v/>
      </c>
      <c r="F959" s="6" t="str">
        <f ca="1">IF($A959="","",[1]!s_dq_close(F$1,$A959,$M$4))</f>
        <v/>
      </c>
      <c r="G959" s="6"/>
      <c r="H959" s="6" t="str">
        <f ca="1">IF($A959="","",[1]!s_dq_close(H$1,$A959,$M$4))</f>
        <v/>
      </c>
      <c r="I959" s="6" t="str">
        <f ca="1">IF($A959="","",[1]!s_dq_close(I$1,$A959,$M$4))</f>
        <v/>
      </c>
      <c r="J959" s="6" t="str">
        <f t="shared" ca="1" si="15"/>
        <v/>
      </c>
    </row>
    <row r="960" spans="1:10">
      <c r="A960" s="2" t="str">
        <f ca="1">IF(A959="","",IF(IF(价差分析!$W$4="日",--[1]!td(A959-1),IF(价差分析!$W$4="周",--[1]!td(A959-7),--[1]!td(A959-30)))-价差分析!$T$4&gt;0,IF(价差分析!$W$4="日",--[1]!td(A959-1),IF(价差分析!$W$4="周",--[1]!td(A959-7),--[1]!td(A959-30))),""))</f>
        <v/>
      </c>
      <c r="B960" s="1" t="str">
        <f ca="1">IF(A960="","",[1]!s_dq_close($B$1,A960,$M$4))</f>
        <v/>
      </c>
      <c r="C960" s="1" t="str">
        <f ca="1">IF(A960="","",[1]!s_dq_close($C$1,A960,$M$4))</f>
        <v/>
      </c>
      <c r="D960" s="6" t="str">
        <f ca="1">IF($A960="","",[1]!s_dq_close(D$1,$A960,$M$4))</f>
        <v/>
      </c>
      <c r="E960" s="6" t="str">
        <f ca="1">IF($A960="","",[1]!s_dq_close(E$1,$A960,$M$4))</f>
        <v/>
      </c>
      <c r="F960" s="6" t="str">
        <f ca="1">IF($A960="","",[1]!s_dq_close(F$1,$A960,$M$4))</f>
        <v/>
      </c>
      <c r="G960" s="6"/>
      <c r="H960" s="6" t="str">
        <f ca="1">IF($A960="","",[1]!s_dq_close(H$1,$A960,$M$4))</f>
        <v/>
      </c>
      <c r="I960" s="6" t="str">
        <f ca="1">IF($A960="","",[1]!s_dq_close(I$1,$A960,$M$4))</f>
        <v/>
      </c>
      <c r="J960" s="6" t="str">
        <f t="shared" ca="1" si="15"/>
        <v/>
      </c>
    </row>
    <row r="961" spans="1:10">
      <c r="A961" s="2" t="str">
        <f ca="1">IF(A960="","",IF(IF(价差分析!$W$4="日",--[1]!td(A960-1),IF(价差分析!$W$4="周",--[1]!td(A960-7),--[1]!td(A960-30)))-价差分析!$T$4&gt;0,IF(价差分析!$W$4="日",--[1]!td(A960-1),IF(价差分析!$W$4="周",--[1]!td(A960-7),--[1]!td(A960-30))),""))</f>
        <v/>
      </c>
      <c r="B961" s="1" t="str">
        <f ca="1">IF(A961="","",[1]!s_dq_close($B$1,A961,$M$4))</f>
        <v/>
      </c>
      <c r="C961" s="1" t="str">
        <f ca="1">IF(A961="","",[1]!s_dq_close($C$1,A961,$M$4))</f>
        <v/>
      </c>
      <c r="D961" s="6" t="str">
        <f ca="1">IF($A961="","",[1]!s_dq_close(D$1,$A961,$M$4))</f>
        <v/>
      </c>
      <c r="E961" s="6" t="str">
        <f ca="1">IF($A961="","",[1]!s_dq_close(E$1,$A961,$M$4))</f>
        <v/>
      </c>
      <c r="F961" s="6" t="str">
        <f ca="1">IF($A961="","",[1]!s_dq_close(F$1,$A961,$M$4))</f>
        <v/>
      </c>
      <c r="G961" s="6"/>
      <c r="H961" s="6" t="str">
        <f ca="1">IF($A961="","",[1]!s_dq_close(H$1,$A961,$M$4))</f>
        <v/>
      </c>
      <c r="I961" s="6" t="str">
        <f ca="1">IF($A961="","",[1]!s_dq_close(I$1,$A961,$M$4))</f>
        <v/>
      </c>
      <c r="J961" s="6" t="str">
        <f t="shared" ca="1" si="15"/>
        <v/>
      </c>
    </row>
    <row r="962" spans="1:10">
      <c r="A962" s="2" t="str">
        <f ca="1">IF(A961="","",IF(IF(价差分析!$W$4="日",--[1]!td(A961-1),IF(价差分析!$W$4="周",--[1]!td(A961-7),--[1]!td(A961-30)))-价差分析!$T$4&gt;0,IF(价差分析!$W$4="日",--[1]!td(A961-1),IF(价差分析!$W$4="周",--[1]!td(A961-7),--[1]!td(A961-30))),""))</f>
        <v/>
      </c>
      <c r="B962" s="1" t="str">
        <f ca="1">IF(A962="","",[1]!s_dq_close($B$1,A962,$M$4))</f>
        <v/>
      </c>
      <c r="C962" s="1" t="str">
        <f ca="1">IF(A962="","",[1]!s_dq_close($C$1,A962,$M$4))</f>
        <v/>
      </c>
      <c r="D962" s="6" t="str">
        <f ca="1">IF($A962="","",[1]!s_dq_close(D$1,$A962,$M$4))</f>
        <v/>
      </c>
      <c r="E962" s="6" t="str">
        <f ca="1">IF($A962="","",[1]!s_dq_close(E$1,$A962,$M$4))</f>
        <v/>
      </c>
      <c r="F962" s="6" t="str">
        <f ca="1">IF($A962="","",[1]!s_dq_close(F$1,$A962,$M$4))</f>
        <v/>
      </c>
      <c r="G962" s="6"/>
      <c r="H962" s="6" t="str">
        <f ca="1">IF($A962="","",[1]!s_dq_close(H$1,$A962,$M$4))</f>
        <v/>
      </c>
      <c r="I962" s="6" t="str">
        <f ca="1">IF($A962="","",[1]!s_dq_close(I$1,$A962,$M$4))</f>
        <v/>
      </c>
      <c r="J962" s="6" t="str">
        <f t="shared" ca="1" si="15"/>
        <v/>
      </c>
    </row>
    <row r="963" spans="1:10">
      <c r="A963" s="2" t="str">
        <f ca="1">IF(A962="","",IF(IF(价差分析!$W$4="日",--[1]!td(A962-1),IF(价差分析!$W$4="周",--[1]!td(A962-7),--[1]!td(A962-30)))-价差分析!$T$4&gt;0,IF(价差分析!$W$4="日",--[1]!td(A962-1),IF(价差分析!$W$4="周",--[1]!td(A962-7),--[1]!td(A962-30))),""))</f>
        <v/>
      </c>
      <c r="B963" s="1" t="str">
        <f ca="1">IF(A963="","",[1]!s_dq_close($B$1,A963,$M$4))</f>
        <v/>
      </c>
      <c r="C963" s="1" t="str">
        <f ca="1">IF(A963="","",[1]!s_dq_close($C$1,A963,$M$4))</f>
        <v/>
      </c>
      <c r="D963" s="6" t="str">
        <f ca="1">IF($A963="","",[1]!s_dq_close(D$1,$A963,$M$4))</f>
        <v/>
      </c>
      <c r="E963" s="6" t="str">
        <f ca="1">IF($A963="","",[1]!s_dq_close(E$1,$A963,$M$4))</f>
        <v/>
      </c>
      <c r="F963" s="6" t="str">
        <f ca="1">IF($A963="","",[1]!s_dq_close(F$1,$A963,$M$4))</f>
        <v/>
      </c>
      <c r="G963" s="6"/>
      <c r="H963" s="6" t="str">
        <f ca="1">IF($A963="","",[1]!s_dq_close(H$1,$A963,$M$4))</f>
        <v/>
      </c>
      <c r="I963" s="6" t="str">
        <f ca="1">IF($A963="","",[1]!s_dq_close(I$1,$A963,$M$4))</f>
        <v/>
      </c>
      <c r="J963" s="6" t="str">
        <f t="shared" ca="1" si="15"/>
        <v/>
      </c>
    </row>
    <row r="964" spans="1:10">
      <c r="A964" s="2" t="str">
        <f ca="1">IF(A963="","",IF(IF(价差分析!$W$4="日",--[1]!td(A963-1),IF(价差分析!$W$4="周",--[1]!td(A963-7),--[1]!td(A963-30)))-价差分析!$T$4&gt;0,IF(价差分析!$W$4="日",--[1]!td(A963-1),IF(价差分析!$W$4="周",--[1]!td(A963-7),--[1]!td(A963-30))),""))</f>
        <v/>
      </c>
      <c r="B964" s="1" t="str">
        <f ca="1">IF(A964="","",[1]!s_dq_close($B$1,A964,$M$4))</f>
        <v/>
      </c>
      <c r="C964" s="1" t="str">
        <f ca="1">IF(A964="","",[1]!s_dq_close($C$1,A964,$M$4))</f>
        <v/>
      </c>
      <c r="D964" s="6" t="str">
        <f ca="1">IF($A964="","",[1]!s_dq_close(D$1,$A964,$M$4))</f>
        <v/>
      </c>
      <c r="E964" s="6" t="str">
        <f ca="1">IF($A964="","",[1]!s_dq_close(E$1,$A964,$M$4))</f>
        <v/>
      </c>
      <c r="F964" s="6" t="str">
        <f ca="1">IF($A964="","",[1]!s_dq_close(F$1,$A964,$M$4))</f>
        <v/>
      </c>
      <c r="G964" s="6"/>
      <c r="H964" s="6" t="str">
        <f ca="1">IF($A964="","",[1]!s_dq_close(H$1,$A964,$M$4))</f>
        <v/>
      </c>
      <c r="I964" s="6" t="str">
        <f ca="1">IF($A964="","",[1]!s_dq_close(I$1,$A964,$M$4))</f>
        <v/>
      </c>
      <c r="J964" s="6" t="str">
        <f t="shared" ca="1" si="15"/>
        <v/>
      </c>
    </row>
    <row r="965" spans="1:10">
      <c r="A965" s="2" t="str">
        <f ca="1">IF(A964="","",IF(IF(价差分析!$W$4="日",--[1]!td(A964-1),IF(价差分析!$W$4="周",--[1]!td(A964-7),--[1]!td(A964-30)))-价差分析!$T$4&gt;0,IF(价差分析!$W$4="日",--[1]!td(A964-1),IF(价差分析!$W$4="周",--[1]!td(A964-7),--[1]!td(A964-30))),""))</f>
        <v/>
      </c>
      <c r="B965" s="1" t="str">
        <f ca="1">IF(A965="","",[1]!s_dq_close($B$1,A965,$M$4))</f>
        <v/>
      </c>
      <c r="C965" s="1" t="str">
        <f ca="1">IF(A965="","",[1]!s_dq_close($C$1,A965,$M$4))</f>
        <v/>
      </c>
      <c r="D965" s="6" t="str">
        <f ca="1">IF($A965="","",[1]!s_dq_close(D$1,$A965,$M$4))</f>
        <v/>
      </c>
      <c r="E965" s="6" t="str">
        <f ca="1">IF($A965="","",[1]!s_dq_close(E$1,$A965,$M$4))</f>
        <v/>
      </c>
      <c r="F965" s="6" t="str">
        <f ca="1">IF($A965="","",[1]!s_dq_close(F$1,$A965,$M$4))</f>
        <v/>
      </c>
      <c r="G965" s="6"/>
      <c r="H965" s="6" t="str">
        <f ca="1">IF($A965="","",[1]!s_dq_close(H$1,$A965,$M$4))</f>
        <v/>
      </c>
      <c r="I965" s="6" t="str">
        <f ca="1">IF($A965="","",[1]!s_dq_close(I$1,$A965,$M$4))</f>
        <v/>
      </c>
      <c r="J965" s="6" t="str">
        <f t="shared" ref="J965:J1028" ca="1" si="16">IF(H965="","",H965-I965)</f>
        <v/>
      </c>
    </row>
    <row r="966" spans="1:10">
      <c r="A966" s="2" t="str">
        <f ca="1">IF(A965="","",IF(IF(价差分析!$W$4="日",--[1]!td(A965-1),IF(价差分析!$W$4="周",--[1]!td(A965-7),--[1]!td(A965-30)))-价差分析!$T$4&gt;0,IF(价差分析!$W$4="日",--[1]!td(A965-1),IF(价差分析!$W$4="周",--[1]!td(A965-7),--[1]!td(A965-30))),""))</f>
        <v/>
      </c>
      <c r="B966" s="1" t="str">
        <f ca="1">IF(A966="","",[1]!s_dq_close($B$1,A966,$M$4))</f>
        <v/>
      </c>
      <c r="C966" s="1" t="str">
        <f ca="1">IF(A966="","",[1]!s_dq_close($C$1,A966,$M$4))</f>
        <v/>
      </c>
      <c r="D966" s="6" t="str">
        <f ca="1">IF($A966="","",[1]!s_dq_close(D$1,$A966,$M$4))</f>
        <v/>
      </c>
      <c r="E966" s="6" t="str">
        <f ca="1">IF($A966="","",[1]!s_dq_close(E$1,$A966,$M$4))</f>
        <v/>
      </c>
      <c r="F966" s="6" t="str">
        <f ca="1">IF($A966="","",[1]!s_dq_close(F$1,$A966,$M$4))</f>
        <v/>
      </c>
      <c r="G966" s="6"/>
      <c r="H966" s="6" t="str">
        <f ca="1">IF($A966="","",[1]!s_dq_close(H$1,$A966,$M$4))</f>
        <v/>
      </c>
      <c r="I966" s="6" t="str">
        <f ca="1">IF($A966="","",[1]!s_dq_close(I$1,$A966,$M$4))</f>
        <v/>
      </c>
      <c r="J966" s="6" t="str">
        <f t="shared" ca="1" si="16"/>
        <v/>
      </c>
    </row>
    <row r="967" spans="1:10">
      <c r="A967" s="2" t="str">
        <f ca="1">IF(A966="","",IF(IF(价差分析!$W$4="日",--[1]!td(A966-1),IF(价差分析!$W$4="周",--[1]!td(A966-7),--[1]!td(A966-30)))-价差分析!$T$4&gt;0,IF(价差分析!$W$4="日",--[1]!td(A966-1),IF(价差分析!$W$4="周",--[1]!td(A966-7),--[1]!td(A966-30))),""))</f>
        <v/>
      </c>
      <c r="B967" s="1" t="str">
        <f ca="1">IF(A967="","",[1]!s_dq_close($B$1,A967,$M$4))</f>
        <v/>
      </c>
      <c r="C967" s="1" t="str">
        <f ca="1">IF(A967="","",[1]!s_dq_close($C$1,A967,$M$4))</f>
        <v/>
      </c>
      <c r="D967" s="6" t="str">
        <f ca="1">IF($A967="","",[1]!s_dq_close(D$1,$A967,$M$4))</f>
        <v/>
      </c>
      <c r="E967" s="6" t="str">
        <f ca="1">IF($A967="","",[1]!s_dq_close(E$1,$A967,$M$4))</f>
        <v/>
      </c>
      <c r="F967" s="6" t="str">
        <f ca="1">IF($A967="","",[1]!s_dq_close(F$1,$A967,$M$4))</f>
        <v/>
      </c>
      <c r="G967" s="6"/>
      <c r="H967" s="6" t="str">
        <f ca="1">IF($A967="","",[1]!s_dq_close(H$1,$A967,$M$4))</f>
        <v/>
      </c>
      <c r="I967" s="6" t="str">
        <f ca="1">IF($A967="","",[1]!s_dq_close(I$1,$A967,$M$4))</f>
        <v/>
      </c>
      <c r="J967" s="6" t="str">
        <f t="shared" ca="1" si="16"/>
        <v/>
      </c>
    </row>
    <row r="968" spans="1:10">
      <c r="A968" s="2" t="str">
        <f ca="1">IF(A967="","",IF(IF(价差分析!$W$4="日",--[1]!td(A967-1),IF(价差分析!$W$4="周",--[1]!td(A967-7),--[1]!td(A967-30)))-价差分析!$T$4&gt;0,IF(价差分析!$W$4="日",--[1]!td(A967-1),IF(价差分析!$W$4="周",--[1]!td(A967-7),--[1]!td(A967-30))),""))</f>
        <v/>
      </c>
      <c r="B968" s="1" t="str">
        <f ca="1">IF(A968="","",[1]!s_dq_close($B$1,A968,$M$4))</f>
        <v/>
      </c>
      <c r="C968" s="1" t="str">
        <f ca="1">IF(A968="","",[1]!s_dq_close($C$1,A968,$M$4))</f>
        <v/>
      </c>
      <c r="D968" s="6" t="str">
        <f ca="1">IF($A968="","",[1]!s_dq_close(D$1,$A968,$M$4))</f>
        <v/>
      </c>
      <c r="E968" s="6" t="str">
        <f ca="1">IF($A968="","",[1]!s_dq_close(E$1,$A968,$M$4))</f>
        <v/>
      </c>
      <c r="F968" s="6" t="str">
        <f ca="1">IF($A968="","",[1]!s_dq_close(F$1,$A968,$M$4))</f>
        <v/>
      </c>
      <c r="G968" s="6"/>
      <c r="H968" s="6" t="str">
        <f ca="1">IF($A968="","",[1]!s_dq_close(H$1,$A968,$M$4))</f>
        <v/>
      </c>
      <c r="I968" s="6" t="str">
        <f ca="1">IF($A968="","",[1]!s_dq_close(I$1,$A968,$M$4))</f>
        <v/>
      </c>
      <c r="J968" s="6" t="str">
        <f t="shared" ca="1" si="16"/>
        <v/>
      </c>
    </row>
    <row r="969" spans="1:10">
      <c r="A969" s="2" t="str">
        <f ca="1">IF(A968="","",IF(IF(价差分析!$W$4="日",--[1]!td(A968-1),IF(价差分析!$W$4="周",--[1]!td(A968-7),--[1]!td(A968-30)))-价差分析!$T$4&gt;0,IF(价差分析!$W$4="日",--[1]!td(A968-1),IF(价差分析!$W$4="周",--[1]!td(A968-7),--[1]!td(A968-30))),""))</f>
        <v/>
      </c>
      <c r="B969" s="1" t="str">
        <f ca="1">IF(A969="","",[1]!s_dq_close($B$1,A969,$M$4))</f>
        <v/>
      </c>
      <c r="C969" s="1" t="str">
        <f ca="1">IF(A969="","",[1]!s_dq_close($C$1,A969,$M$4))</f>
        <v/>
      </c>
      <c r="D969" s="6" t="str">
        <f ca="1">IF($A969="","",[1]!s_dq_close(D$1,$A969,$M$4))</f>
        <v/>
      </c>
      <c r="E969" s="6" t="str">
        <f ca="1">IF($A969="","",[1]!s_dq_close(E$1,$A969,$M$4))</f>
        <v/>
      </c>
      <c r="F969" s="6" t="str">
        <f ca="1">IF($A969="","",[1]!s_dq_close(F$1,$A969,$M$4))</f>
        <v/>
      </c>
      <c r="G969" s="6"/>
      <c r="H969" s="6" t="str">
        <f ca="1">IF($A969="","",[1]!s_dq_close(H$1,$A969,$M$4))</f>
        <v/>
      </c>
      <c r="I969" s="6" t="str">
        <f ca="1">IF($A969="","",[1]!s_dq_close(I$1,$A969,$M$4))</f>
        <v/>
      </c>
      <c r="J969" s="6" t="str">
        <f t="shared" ca="1" si="16"/>
        <v/>
      </c>
    </row>
    <row r="970" spans="1:10">
      <c r="A970" s="2" t="str">
        <f ca="1">IF(A969="","",IF(IF(价差分析!$W$4="日",--[1]!td(A969-1),IF(价差分析!$W$4="周",--[1]!td(A969-7),--[1]!td(A969-30)))-价差分析!$T$4&gt;0,IF(价差分析!$W$4="日",--[1]!td(A969-1),IF(价差分析!$W$4="周",--[1]!td(A969-7),--[1]!td(A969-30))),""))</f>
        <v/>
      </c>
      <c r="B970" s="1" t="str">
        <f ca="1">IF(A970="","",[1]!s_dq_close($B$1,A970,$M$4))</f>
        <v/>
      </c>
      <c r="C970" s="1" t="str">
        <f ca="1">IF(A970="","",[1]!s_dq_close($C$1,A970,$M$4))</f>
        <v/>
      </c>
      <c r="D970" s="6" t="str">
        <f ca="1">IF($A970="","",[1]!s_dq_close(D$1,$A970,$M$4))</f>
        <v/>
      </c>
      <c r="E970" s="6" t="str">
        <f ca="1">IF($A970="","",[1]!s_dq_close(E$1,$A970,$M$4))</f>
        <v/>
      </c>
      <c r="F970" s="6" t="str">
        <f ca="1">IF($A970="","",[1]!s_dq_close(F$1,$A970,$M$4))</f>
        <v/>
      </c>
      <c r="G970" s="6"/>
      <c r="H970" s="6" t="str">
        <f ca="1">IF($A970="","",[1]!s_dq_close(H$1,$A970,$M$4))</f>
        <v/>
      </c>
      <c r="I970" s="6" t="str">
        <f ca="1">IF($A970="","",[1]!s_dq_close(I$1,$A970,$M$4))</f>
        <v/>
      </c>
      <c r="J970" s="6" t="str">
        <f t="shared" ca="1" si="16"/>
        <v/>
      </c>
    </row>
    <row r="971" spans="1:10">
      <c r="A971" s="2" t="str">
        <f ca="1">IF(A970="","",IF(IF(价差分析!$W$4="日",--[1]!td(A970-1),IF(价差分析!$W$4="周",--[1]!td(A970-7),--[1]!td(A970-30)))-价差分析!$T$4&gt;0,IF(价差分析!$W$4="日",--[1]!td(A970-1),IF(价差分析!$W$4="周",--[1]!td(A970-7),--[1]!td(A970-30))),""))</f>
        <v/>
      </c>
      <c r="B971" s="1" t="str">
        <f ca="1">IF(A971="","",[1]!s_dq_close($B$1,A971,$M$4))</f>
        <v/>
      </c>
      <c r="C971" s="1" t="str">
        <f ca="1">IF(A971="","",[1]!s_dq_close($C$1,A971,$M$4))</f>
        <v/>
      </c>
      <c r="D971" s="6" t="str">
        <f ca="1">IF($A971="","",[1]!s_dq_close(D$1,$A971,$M$4))</f>
        <v/>
      </c>
      <c r="E971" s="6" t="str">
        <f ca="1">IF($A971="","",[1]!s_dq_close(E$1,$A971,$M$4))</f>
        <v/>
      </c>
      <c r="F971" s="6" t="str">
        <f ca="1">IF($A971="","",[1]!s_dq_close(F$1,$A971,$M$4))</f>
        <v/>
      </c>
      <c r="G971" s="6"/>
      <c r="H971" s="6" t="str">
        <f ca="1">IF($A971="","",[1]!s_dq_close(H$1,$A971,$M$4))</f>
        <v/>
      </c>
      <c r="I971" s="6" t="str">
        <f ca="1">IF($A971="","",[1]!s_dq_close(I$1,$A971,$M$4))</f>
        <v/>
      </c>
      <c r="J971" s="6" t="str">
        <f t="shared" ca="1" si="16"/>
        <v/>
      </c>
    </row>
    <row r="972" spans="1:10">
      <c r="A972" s="2" t="str">
        <f ca="1">IF(A971="","",IF(IF(价差分析!$W$4="日",--[1]!td(A971-1),IF(价差分析!$W$4="周",--[1]!td(A971-7),--[1]!td(A971-30)))-价差分析!$T$4&gt;0,IF(价差分析!$W$4="日",--[1]!td(A971-1),IF(价差分析!$W$4="周",--[1]!td(A971-7),--[1]!td(A971-30))),""))</f>
        <v/>
      </c>
      <c r="B972" s="1" t="str">
        <f ca="1">IF(A972="","",[1]!s_dq_close($B$1,A972,$M$4))</f>
        <v/>
      </c>
      <c r="C972" s="1" t="str">
        <f ca="1">IF(A972="","",[1]!s_dq_close($C$1,A972,$M$4))</f>
        <v/>
      </c>
      <c r="D972" s="6" t="str">
        <f ca="1">IF($A972="","",[1]!s_dq_close(D$1,$A972,$M$4))</f>
        <v/>
      </c>
      <c r="E972" s="6" t="str">
        <f ca="1">IF($A972="","",[1]!s_dq_close(E$1,$A972,$M$4))</f>
        <v/>
      </c>
      <c r="F972" s="6" t="str">
        <f ca="1">IF($A972="","",[1]!s_dq_close(F$1,$A972,$M$4))</f>
        <v/>
      </c>
      <c r="G972" s="6"/>
      <c r="H972" s="6" t="str">
        <f ca="1">IF($A972="","",[1]!s_dq_close(H$1,$A972,$M$4))</f>
        <v/>
      </c>
      <c r="I972" s="6" t="str">
        <f ca="1">IF($A972="","",[1]!s_dq_close(I$1,$A972,$M$4))</f>
        <v/>
      </c>
      <c r="J972" s="6" t="str">
        <f t="shared" ca="1" si="16"/>
        <v/>
      </c>
    </row>
    <row r="973" spans="1:10">
      <c r="A973" s="2" t="str">
        <f ca="1">IF(A972="","",IF(IF(价差分析!$W$4="日",--[1]!td(A972-1),IF(价差分析!$W$4="周",--[1]!td(A972-7),--[1]!td(A972-30)))-价差分析!$T$4&gt;0,IF(价差分析!$W$4="日",--[1]!td(A972-1),IF(价差分析!$W$4="周",--[1]!td(A972-7),--[1]!td(A972-30))),""))</f>
        <v/>
      </c>
      <c r="B973" s="1" t="str">
        <f ca="1">IF(A973="","",[1]!s_dq_close($B$1,A973,$M$4))</f>
        <v/>
      </c>
      <c r="C973" s="1" t="str">
        <f ca="1">IF(A973="","",[1]!s_dq_close($C$1,A973,$M$4))</f>
        <v/>
      </c>
      <c r="D973" s="6" t="str">
        <f ca="1">IF($A973="","",[1]!s_dq_close(D$1,$A973,$M$4))</f>
        <v/>
      </c>
      <c r="E973" s="6" t="str">
        <f ca="1">IF($A973="","",[1]!s_dq_close(E$1,$A973,$M$4))</f>
        <v/>
      </c>
      <c r="F973" s="6" t="str">
        <f ca="1">IF($A973="","",[1]!s_dq_close(F$1,$A973,$M$4))</f>
        <v/>
      </c>
      <c r="G973" s="6"/>
      <c r="H973" s="6" t="str">
        <f ca="1">IF($A973="","",[1]!s_dq_close(H$1,$A973,$M$4))</f>
        <v/>
      </c>
      <c r="I973" s="6" t="str">
        <f ca="1">IF($A973="","",[1]!s_dq_close(I$1,$A973,$M$4))</f>
        <v/>
      </c>
      <c r="J973" s="6" t="str">
        <f t="shared" ca="1" si="16"/>
        <v/>
      </c>
    </row>
    <row r="974" spans="1:10">
      <c r="A974" s="2" t="str">
        <f ca="1">IF(A973="","",IF(IF(价差分析!$W$4="日",--[1]!td(A973-1),IF(价差分析!$W$4="周",--[1]!td(A973-7),--[1]!td(A973-30)))-价差分析!$T$4&gt;0,IF(价差分析!$W$4="日",--[1]!td(A973-1),IF(价差分析!$W$4="周",--[1]!td(A973-7),--[1]!td(A973-30))),""))</f>
        <v/>
      </c>
      <c r="B974" s="1" t="str">
        <f ca="1">IF(A974="","",[1]!s_dq_close($B$1,A974,$M$4))</f>
        <v/>
      </c>
      <c r="C974" s="1" t="str">
        <f ca="1">IF(A974="","",[1]!s_dq_close($C$1,A974,$M$4))</f>
        <v/>
      </c>
      <c r="D974" s="6" t="str">
        <f ca="1">IF($A974="","",[1]!s_dq_close(D$1,$A974,$M$4))</f>
        <v/>
      </c>
      <c r="E974" s="6" t="str">
        <f ca="1">IF($A974="","",[1]!s_dq_close(E$1,$A974,$M$4))</f>
        <v/>
      </c>
      <c r="F974" s="6" t="str">
        <f ca="1">IF($A974="","",[1]!s_dq_close(F$1,$A974,$M$4))</f>
        <v/>
      </c>
      <c r="G974" s="6"/>
      <c r="H974" s="6" t="str">
        <f ca="1">IF($A974="","",[1]!s_dq_close(H$1,$A974,$M$4))</f>
        <v/>
      </c>
      <c r="I974" s="6" t="str">
        <f ca="1">IF($A974="","",[1]!s_dq_close(I$1,$A974,$M$4))</f>
        <v/>
      </c>
      <c r="J974" s="6" t="str">
        <f t="shared" ca="1" si="16"/>
        <v/>
      </c>
    </row>
    <row r="975" spans="1:10">
      <c r="A975" s="2" t="str">
        <f ca="1">IF(A974="","",IF(IF(价差分析!$W$4="日",--[1]!td(A974-1),IF(价差分析!$W$4="周",--[1]!td(A974-7),--[1]!td(A974-30)))-价差分析!$T$4&gt;0,IF(价差分析!$W$4="日",--[1]!td(A974-1),IF(价差分析!$W$4="周",--[1]!td(A974-7),--[1]!td(A974-30))),""))</f>
        <v/>
      </c>
      <c r="B975" s="1" t="str">
        <f ca="1">IF(A975="","",[1]!s_dq_close($B$1,A975,$M$4))</f>
        <v/>
      </c>
      <c r="C975" s="1" t="str">
        <f ca="1">IF(A975="","",[1]!s_dq_close($C$1,A975,$M$4))</f>
        <v/>
      </c>
      <c r="D975" s="6" t="str">
        <f ca="1">IF($A975="","",[1]!s_dq_close(D$1,$A975,$M$4))</f>
        <v/>
      </c>
      <c r="E975" s="6" t="str">
        <f ca="1">IF($A975="","",[1]!s_dq_close(E$1,$A975,$M$4))</f>
        <v/>
      </c>
      <c r="F975" s="6" t="str">
        <f ca="1">IF($A975="","",[1]!s_dq_close(F$1,$A975,$M$4))</f>
        <v/>
      </c>
      <c r="G975" s="6"/>
      <c r="H975" s="6" t="str">
        <f ca="1">IF($A975="","",[1]!s_dq_close(H$1,$A975,$M$4))</f>
        <v/>
      </c>
      <c r="I975" s="6" t="str">
        <f ca="1">IF($A975="","",[1]!s_dq_close(I$1,$A975,$M$4))</f>
        <v/>
      </c>
      <c r="J975" s="6" t="str">
        <f t="shared" ca="1" si="16"/>
        <v/>
      </c>
    </row>
    <row r="976" spans="1:10">
      <c r="A976" s="2" t="str">
        <f ca="1">IF(A975="","",IF(IF(价差分析!$W$4="日",--[1]!td(A975-1),IF(价差分析!$W$4="周",--[1]!td(A975-7),--[1]!td(A975-30)))-价差分析!$T$4&gt;0,IF(价差分析!$W$4="日",--[1]!td(A975-1),IF(价差分析!$W$4="周",--[1]!td(A975-7),--[1]!td(A975-30))),""))</f>
        <v/>
      </c>
      <c r="B976" s="1" t="str">
        <f ca="1">IF(A976="","",[1]!s_dq_close($B$1,A976,$M$4))</f>
        <v/>
      </c>
      <c r="C976" s="1" t="str">
        <f ca="1">IF(A976="","",[1]!s_dq_close($C$1,A976,$M$4))</f>
        <v/>
      </c>
      <c r="D976" s="6" t="str">
        <f ca="1">IF($A976="","",[1]!s_dq_close(D$1,$A976,$M$4))</f>
        <v/>
      </c>
      <c r="E976" s="6" t="str">
        <f ca="1">IF($A976="","",[1]!s_dq_close(E$1,$A976,$M$4))</f>
        <v/>
      </c>
      <c r="F976" s="6" t="str">
        <f ca="1">IF($A976="","",[1]!s_dq_close(F$1,$A976,$M$4))</f>
        <v/>
      </c>
      <c r="G976" s="6"/>
      <c r="H976" s="6" t="str">
        <f ca="1">IF($A976="","",[1]!s_dq_close(H$1,$A976,$M$4))</f>
        <v/>
      </c>
      <c r="I976" s="6" t="str">
        <f ca="1">IF($A976="","",[1]!s_dq_close(I$1,$A976,$M$4))</f>
        <v/>
      </c>
      <c r="J976" s="6" t="str">
        <f t="shared" ca="1" si="16"/>
        <v/>
      </c>
    </row>
    <row r="977" spans="1:10">
      <c r="A977" s="2" t="str">
        <f ca="1">IF(A976="","",IF(IF(价差分析!$W$4="日",--[1]!td(A976-1),IF(价差分析!$W$4="周",--[1]!td(A976-7),--[1]!td(A976-30)))-价差分析!$T$4&gt;0,IF(价差分析!$W$4="日",--[1]!td(A976-1),IF(价差分析!$W$4="周",--[1]!td(A976-7),--[1]!td(A976-30))),""))</f>
        <v/>
      </c>
      <c r="B977" s="1" t="str">
        <f ca="1">IF(A977="","",[1]!s_dq_close($B$1,A977,$M$4))</f>
        <v/>
      </c>
      <c r="C977" s="1" t="str">
        <f ca="1">IF(A977="","",[1]!s_dq_close($C$1,A977,$M$4))</f>
        <v/>
      </c>
      <c r="D977" s="6" t="str">
        <f ca="1">IF($A977="","",[1]!s_dq_close(D$1,$A977,$M$4))</f>
        <v/>
      </c>
      <c r="E977" s="6" t="str">
        <f ca="1">IF($A977="","",[1]!s_dq_close(E$1,$A977,$M$4))</f>
        <v/>
      </c>
      <c r="F977" s="6" t="str">
        <f ca="1">IF($A977="","",[1]!s_dq_close(F$1,$A977,$M$4))</f>
        <v/>
      </c>
      <c r="G977" s="6"/>
      <c r="H977" s="6" t="str">
        <f ca="1">IF($A977="","",[1]!s_dq_close(H$1,$A977,$M$4))</f>
        <v/>
      </c>
      <c r="I977" s="6" t="str">
        <f ca="1">IF($A977="","",[1]!s_dq_close(I$1,$A977,$M$4))</f>
        <v/>
      </c>
      <c r="J977" s="6" t="str">
        <f t="shared" ca="1" si="16"/>
        <v/>
      </c>
    </row>
    <row r="978" spans="1:10">
      <c r="A978" s="2" t="str">
        <f ca="1">IF(A977="","",IF(IF(价差分析!$W$4="日",--[1]!td(A977-1),IF(价差分析!$W$4="周",--[1]!td(A977-7),--[1]!td(A977-30)))-价差分析!$T$4&gt;0,IF(价差分析!$W$4="日",--[1]!td(A977-1),IF(价差分析!$W$4="周",--[1]!td(A977-7),--[1]!td(A977-30))),""))</f>
        <v/>
      </c>
      <c r="B978" s="1" t="str">
        <f ca="1">IF(A978="","",[1]!s_dq_close($B$1,A978,$M$4))</f>
        <v/>
      </c>
      <c r="C978" s="1" t="str">
        <f ca="1">IF(A978="","",[1]!s_dq_close($C$1,A978,$M$4))</f>
        <v/>
      </c>
      <c r="D978" s="6" t="str">
        <f ca="1">IF($A978="","",[1]!s_dq_close(D$1,$A978,$M$4))</f>
        <v/>
      </c>
      <c r="E978" s="6" t="str">
        <f ca="1">IF($A978="","",[1]!s_dq_close(E$1,$A978,$M$4))</f>
        <v/>
      </c>
      <c r="F978" s="6" t="str">
        <f ca="1">IF($A978="","",[1]!s_dq_close(F$1,$A978,$M$4))</f>
        <v/>
      </c>
      <c r="G978" s="6"/>
      <c r="H978" s="6" t="str">
        <f ca="1">IF($A978="","",[1]!s_dq_close(H$1,$A978,$M$4))</f>
        <v/>
      </c>
      <c r="I978" s="6" t="str">
        <f ca="1">IF($A978="","",[1]!s_dq_close(I$1,$A978,$M$4))</f>
        <v/>
      </c>
      <c r="J978" s="6" t="str">
        <f t="shared" ca="1" si="16"/>
        <v/>
      </c>
    </row>
    <row r="979" spans="1:10">
      <c r="A979" s="2" t="str">
        <f ca="1">IF(A978="","",IF(IF(价差分析!$W$4="日",--[1]!td(A978-1),IF(价差分析!$W$4="周",--[1]!td(A978-7),--[1]!td(A978-30)))-价差分析!$T$4&gt;0,IF(价差分析!$W$4="日",--[1]!td(A978-1),IF(价差分析!$W$4="周",--[1]!td(A978-7),--[1]!td(A978-30))),""))</f>
        <v/>
      </c>
      <c r="B979" s="1" t="str">
        <f ca="1">IF(A979="","",[1]!s_dq_close($B$1,A979,$M$4))</f>
        <v/>
      </c>
      <c r="C979" s="1" t="str">
        <f ca="1">IF(A979="","",[1]!s_dq_close($C$1,A979,$M$4))</f>
        <v/>
      </c>
      <c r="D979" s="6" t="str">
        <f ca="1">IF($A979="","",[1]!s_dq_close(D$1,$A979,$M$4))</f>
        <v/>
      </c>
      <c r="E979" s="6" t="str">
        <f ca="1">IF($A979="","",[1]!s_dq_close(E$1,$A979,$M$4))</f>
        <v/>
      </c>
      <c r="F979" s="6" t="str">
        <f ca="1">IF($A979="","",[1]!s_dq_close(F$1,$A979,$M$4))</f>
        <v/>
      </c>
      <c r="G979" s="6"/>
      <c r="H979" s="6" t="str">
        <f ca="1">IF($A979="","",[1]!s_dq_close(H$1,$A979,$M$4))</f>
        <v/>
      </c>
      <c r="I979" s="6" t="str">
        <f ca="1">IF($A979="","",[1]!s_dq_close(I$1,$A979,$M$4))</f>
        <v/>
      </c>
      <c r="J979" s="6" t="str">
        <f t="shared" ca="1" si="16"/>
        <v/>
      </c>
    </row>
    <row r="980" spans="1:10">
      <c r="A980" s="2" t="str">
        <f ca="1">IF(A979="","",IF(IF(价差分析!$W$4="日",--[1]!td(A979-1),IF(价差分析!$W$4="周",--[1]!td(A979-7),--[1]!td(A979-30)))-价差分析!$T$4&gt;0,IF(价差分析!$W$4="日",--[1]!td(A979-1),IF(价差分析!$W$4="周",--[1]!td(A979-7),--[1]!td(A979-30))),""))</f>
        <v/>
      </c>
      <c r="B980" s="1" t="str">
        <f ca="1">IF(A980="","",[1]!s_dq_close($B$1,A980,$M$4))</f>
        <v/>
      </c>
      <c r="C980" s="1" t="str">
        <f ca="1">IF(A980="","",[1]!s_dq_close($C$1,A980,$M$4))</f>
        <v/>
      </c>
      <c r="D980" s="6" t="str">
        <f ca="1">IF($A980="","",[1]!s_dq_close(D$1,$A980,$M$4))</f>
        <v/>
      </c>
      <c r="E980" s="6" t="str">
        <f ca="1">IF($A980="","",[1]!s_dq_close(E$1,$A980,$M$4))</f>
        <v/>
      </c>
      <c r="F980" s="6" t="str">
        <f ca="1">IF($A980="","",[1]!s_dq_close(F$1,$A980,$M$4))</f>
        <v/>
      </c>
      <c r="G980" s="6"/>
      <c r="H980" s="6" t="str">
        <f ca="1">IF($A980="","",[1]!s_dq_close(H$1,$A980,$M$4))</f>
        <v/>
      </c>
      <c r="I980" s="6" t="str">
        <f ca="1">IF($A980="","",[1]!s_dq_close(I$1,$A980,$M$4))</f>
        <v/>
      </c>
      <c r="J980" s="6" t="str">
        <f t="shared" ca="1" si="16"/>
        <v/>
      </c>
    </row>
    <row r="981" spans="1:10">
      <c r="A981" s="2" t="str">
        <f ca="1">IF(A980="","",IF(IF(价差分析!$W$4="日",--[1]!td(A980-1),IF(价差分析!$W$4="周",--[1]!td(A980-7),--[1]!td(A980-30)))-价差分析!$T$4&gt;0,IF(价差分析!$W$4="日",--[1]!td(A980-1),IF(价差分析!$W$4="周",--[1]!td(A980-7),--[1]!td(A980-30))),""))</f>
        <v/>
      </c>
      <c r="B981" s="1" t="str">
        <f ca="1">IF(A981="","",[1]!s_dq_close($B$1,A981,$M$4))</f>
        <v/>
      </c>
      <c r="C981" s="1" t="str">
        <f ca="1">IF(A981="","",[1]!s_dq_close($C$1,A981,$M$4))</f>
        <v/>
      </c>
      <c r="D981" s="6" t="str">
        <f ca="1">IF($A981="","",[1]!s_dq_close(D$1,$A981,$M$4))</f>
        <v/>
      </c>
      <c r="E981" s="6" t="str">
        <f ca="1">IF($A981="","",[1]!s_dq_close(E$1,$A981,$M$4))</f>
        <v/>
      </c>
      <c r="F981" s="6" t="str">
        <f ca="1">IF($A981="","",[1]!s_dq_close(F$1,$A981,$M$4))</f>
        <v/>
      </c>
      <c r="G981" s="6"/>
      <c r="H981" s="6" t="str">
        <f ca="1">IF($A981="","",[1]!s_dq_close(H$1,$A981,$M$4))</f>
        <v/>
      </c>
      <c r="I981" s="6" t="str">
        <f ca="1">IF($A981="","",[1]!s_dq_close(I$1,$A981,$M$4))</f>
        <v/>
      </c>
      <c r="J981" s="6" t="str">
        <f t="shared" ca="1" si="16"/>
        <v/>
      </c>
    </row>
    <row r="982" spans="1:10">
      <c r="A982" s="2" t="str">
        <f ca="1">IF(A981="","",IF(IF(价差分析!$W$4="日",--[1]!td(A981-1),IF(价差分析!$W$4="周",--[1]!td(A981-7),--[1]!td(A981-30)))-价差分析!$T$4&gt;0,IF(价差分析!$W$4="日",--[1]!td(A981-1),IF(价差分析!$W$4="周",--[1]!td(A981-7),--[1]!td(A981-30))),""))</f>
        <v/>
      </c>
      <c r="B982" s="1" t="str">
        <f ca="1">IF(A982="","",[1]!s_dq_close($B$1,A982,$M$4))</f>
        <v/>
      </c>
      <c r="C982" s="1" t="str">
        <f ca="1">IF(A982="","",[1]!s_dq_close($C$1,A982,$M$4))</f>
        <v/>
      </c>
      <c r="D982" s="6" t="str">
        <f ca="1">IF($A982="","",[1]!s_dq_close(D$1,$A982,$M$4))</f>
        <v/>
      </c>
      <c r="E982" s="6" t="str">
        <f ca="1">IF($A982="","",[1]!s_dq_close(E$1,$A982,$M$4))</f>
        <v/>
      </c>
      <c r="F982" s="6" t="str">
        <f ca="1">IF($A982="","",[1]!s_dq_close(F$1,$A982,$M$4))</f>
        <v/>
      </c>
      <c r="G982" s="6"/>
      <c r="H982" s="6" t="str">
        <f ca="1">IF($A982="","",[1]!s_dq_close(H$1,$A982,$M$4))</f>
        <v/>
      </c>
      <c r="I982" s="6" t="str">
        <f ca="1">IF($A982="","",[1]!s_dq_close(I$1,$A982,$M$4))</f>
        <v/>
      </c>
      <c r="J982" s="6" t="str">
        <f t="shared" ca="1" si="16"/>
        <v/>
      </c>
    </row>
    <row r="983" spans="1:10">
      <c r="A983" s="2" t="str">
        <f ca="1">IF(A982="","",IF(IF(价差分析!$W$4="日",--[1]!td(A982-1),IF(价差分析!$W$4="周",--[1]!td(A982-7),--[1]!td(A982-30)))-价差分析!$T$4&gt;0,IF(价差分析!$W$4="日",--[1]!td(A982-1),IF(价差分析!$W$4="周",--[1]!td(A982-7),--[1]!td(A982-30))),""))</f>
        <v/>
      </c>
      <c r="B983" s="1" t="str">
        <f ca="1">IF(A983="","",[1]!s_dq_close($B$1,A983,$M$4))</f>
        <v/>
      </c>
      <c r="C983" s="1" t="str">
        <f ca="1">IF(A983="","",[1]!s_dq_close($C$1,A983,$M$4))</f>
        <v/>
      </c>
      <c r="D983" s="6" t="str">
        <f ca="1">IF($A983="","",[1]!s_dq_close(D$1,$A983,$M$4))</f>
        <v/>
      </c>
      <c r="E983" s="6" t="str">
        <f ca="1">IF($A983="","",[1]!s_dq_close(E$1,$A983,$M$4))</f>
        <v/>
      </c>
      <c r="F983" s="6" t="str">
        <f ca="1">IF($A983="","",[1]!s_dq_close(F$1,$A983,$M$4))</f>
        <v/>
      </c>
      <c r="G983" s="6"/>
      <c r="H983" s="6" t="str">
        <f ca="1">IF($A983="","",[1]!s_dq_close(H$1,$A983,$M$4))</f>
        <v/>
      </c>
      <c r="I983" s="6" t="str">
        <f ca="1">IF($A983="","",[1]!s_dq_close(I$1,$A983,$M$4))</f>
        <v/>
      </c>
      <c r="J983" s="6" t="str">
        <f t="shared" ca="1" si="16"/>
        <v/>
      </c>
    </row>
    <row r="984" spans="1:10">
      <c r="A984" s="2" t="str">
        <f ca="1">IF(A983="","",IF(IF(价差分析!$W$4="日",--[1]!td(A983-1),IF(价差分析!$W$4="周",--[1]!td(A983-7),--[1]!td(A983-30)))-价差分析!$T$4&gt;0,IF(价差分析!$W$4="日",--[1]!td(A983-1),IF(价差分析!$W$4="周",--[1]!td(A983-7),--[1]!td(A983-30))),""))</f>
        <v/>
      </c>
      <c r="B984" s="1" t="str">
        <f ca="1">IF(A984="","",[1]!s_dq_close($B$1,A984,$M$4))</f>
        <v/>
      </c>
      <c r="C984" s="1" t="str">
        <f ca="1">IF(A984="","",[1]!s_dq_close($C$1,A984,$M$4))</f>
        <v/>
      </c>
      <c r="D984" s="6" t="str">
        <f ca="1">IF($A984="","",[1]!s_dq_close(D$1,$A984,$M$4))</f>
        <v/>
      </c>
      <c r="E984" s="6" t="str">
        <f ca="1">IF($A984="","",[1]!s_dq_close(E$1,$A984,$M$4))</f>
        <v/>
      </c>
      <c r="F984" s="6" t="str">
        <f ca="1">IF($A984="","",[1]!s_dq_close(F$1,$A984,$M$4))</f>
        <v/>
      </c>
      <c r="G984" s="6"/>
      <c r="H984" s="6" t="str">
        <f ca="1">IF($A984="","",[1]!s_dq_close(H$1,$A984,$M$4))</f>
        <v/>
      </c>
      <c r="I984" s="6" t="str">
        <f ca="1">IF($A984="","",[1]!s_dq_close(I$1,$A984,$M$4))</f>
        <v/>
      </c>
      <c r="J984" s="6" t="str">
        <f t="shared" ca="1" si="16"/>
        <v/>
      </c>
    </row>
    <row r="985" spans="1:10">
      <c r="A985" s="2" t="str">
        <f ca="1">IF(A984="","",IF(IF(价差分析!$W$4="日",--[1]!td(A984-1),IF(价差分析!$W$4="周",--[1]!td(A984-7),--[1]!td(A984-30)))-价差分析!$T$4&gt;0,IF(价差分析!$W$4="日",--[1]!td(A984-1),IF(价差分析!$W$4="周",--[1]!td(A984-7),--[1]!td(A984-30))),""))</f>
        <v/>
      </c>
      <c r="B985" s="1" t="str">
        <f ca="1">IF(A985="","",[1]!s_dq_close($B$1,A985,$M$4))</f>
        <v/>
      </c>
      <c r="C985" s="1" t="str">
        <f ca="1">IF(A985="","",[1]!s_dq_close($C$1,A985,$M$4))</f>
        <v/>
      </c>
      <c r="D985" s="6" t="str">
        <f ca="1">IF($A985="","",[1]!s_dq_close(D$1,$A985,$M$4))</f>
        <v/>
      </c>
      <c r="E985" s="6" t="str">
        <f ca="1">IF($A985="","",[1]!s_dq_close(E$1,$A985,$M$4))</f>
        <v/>
      </c>
      <c r="F985" s="6" t="str">
        <f ca="1">IF($A985="","",[1]!s_dq_close(F$1,$A985,$M$4))</f>
        <v/>
      </c>
      <c r="G985" s="6"/>
      <c r="H985" s="6" t="str">
        <f ca="1">IF($A985="","",[1]!s_dq_close(H$1,$A985,$M$4))</f>
        <v/>
      </c>
      <c r="I985" s="6" t="str">
        <f ca="1">IF($A985="","",[1]!s_dq_close(I$1,$A985,$M$4))</f>
        <v/>
      </c>
      <c r="J985" s="6" t="str">
        <f t="shared" ca="1" si="16"/>
        <v/>
      </c>
    </row>
    <row r="986" spans="1:10">
      <c r="A986" s="2" t="str">
        <f ca="1">IF(A985="","",IF(IF(价差分析!$W$4="日",--[1]!td(A985-1),IF(价差分析!$W$4="周",--[1]!td(A985-7),--[1]!td(A985-30)))-价差分析!$T$4&gt;0,IF(价差分析!$W$4="日",--[1]!td(A985-1),IF(价差分析!$W$4="周",--[1]!td(A985-7),--[1]!td(A985-30))),""))</f>
        <v/>
      </c>
      <c r="B986" s="1" t="str">
        <f ca="1">IF(A986="","",[1]!s_dq_close($B$1,A986,$M$4))</f>
        <v/>
      </c>
      <c r="C986" s="1" t="str">
        <f ca="1">IF(A986="","",[1]!s_dq_close($C$1,A986,$M$4))</f>
        <v/>
      </c>
      <c r="D986" s="6" t="str">
        <f ca="1">IF($A986="","",[1]!s_dq_close(D$1,$A986,$M$4))</f>
        <v/>
      </c>
      <c r="E986" s="6" t="str">
        <f ca="1">IF($A986="","",[1]!s_dq_close(E$1,$A986,$M$4))</f>
        <v/>
      </c>
      <c r="F986" s="6" t="str">
        <f ca="1">IF($A986="","",[1]!s_dq_close(F$1,$A986,$M$4))</f>
        <v/>
      </c>
      <c r="G986" s="6"/>
      <c r="H986" s="6" t="str">
        <f ca="1">IF($A986="","",[1]!s_dq_close(H$1,$A986,$M$4))</f>
        <v/>
      </c>
      <c r="I986" s="6" t="str">
        <f ca="1">IF($A986="","",[1]!s_dq_close(I$1,$A986,$M$4))</f>
        <v/>
      </c>
      <c r="J986" s="6" t="str">
        <f t="shared" ca="1" si="16"/>
        <v/>
      </c>
    </row>
    <row r="987" spans="1:10">
      <c r="A987" s="2" t="str">
        <f ca="1">IF(A986="","",IF(IF(价差分析!$W$4="日",--[1]!td(A986-1),IF(价差分析!$W$4="周",--[1]!td(A986-7),--[1]!td(A986-30)))-价差分析!$T$4&gt;0,IF(价差分析!$W$4="日",--[1]!td(A986-1),IF(价差分析!$W$4="周",--[1]!td(A986-7),--[1]!td(A986-30))),""))</f>
        <v/>
      </c>
      <c r="B987" s="1" t="str">
        <f ca="1">IF(A987="","",[1]!s_dq_close($B$1,A987,$M$4))</f>
        <v/>
      </c>
      <c r="C987" s="1" t="str">
        <f ca="1">IF(A987="","",[1]!s_dq_close($C$1,A987,$M$4))</f>
        <v/>
      </c>
      <c r="D987" s="6" t="str">
        <f ca="1">IF($A987="","",[1]!s_dq_close(D$1,$A987,$M$4))</f>
        <v/>
      </c>
      <c r="E987" s="6" t="str">
        <f ca="1">IF($A987="","",[1]!s_dq_close(E$1,$A987,$M$4))</f>
        <v/>
      </c>
      <c r="F987" s="6" t="str">
        <f ca="1">IF($A987="","",[1]!s_dq_close(F$1,$A987,$M$4))</f>
        <v/>
      </c>
      <c r="G987" s="6"/>
      <c r="H987" s="6" t="str">
        <f ca="1">IF($A987="","",[1]!s_dq_close(H$1,$A987,$M$4))</f>
        <v/>
      </c>
      <c r="I987" s="6" t="str">
        <f ca="1">IF($A987="","",[1]!s_dq_close(I$1,$A987,$M$4))</f>
        <v/>
      </c>
      <c r="J987" s="6" t="str">
        <f t="shared" ca="1" si="16"/>
        <v/>
      </c>
    </row>
    <row r="988" spans="1:10">
      <c r="A988" s="2" t="str">
        <f ca="1">IF(A987="","",IF(IF(价差分析!$W$4="日",--[1]!td(A987-1),IF(价差分析!$W$4="周",--[1]!td(A987-7),--[1]!td(A987-30)))-价差分析!$T$4&gt;0,IF(价差分析!$W$4="日",--[1]!td(A987-1),IF(价差分析!$W$4="周",--[1]!td(A987-7),--[1]!td(A987-30))),""))</f>
        <v/>
      </c>
      <c r="B988" s="1" t="str">
        <f ca="1">IF(A988="","",[1]!s_dq_close($B$1,A988,$M$4))</f>
        <v/>
      </c>
      <c r="C988" s="1" t="str">
        <f ca="1">IF(A988="","",[1]!s_dq_close($C$1,A988,$M$4))</f>
        <v/>
      </c>
      <c r="D988" s="6" t="str">
        <f ca="1">IF($A988="","",[1]!s_dq_close(D$1,$A988,$M$4))</f>
        <v/>
      </c>
      <c r="E988" s="6" t="str">
        <f ca="1">IF($A988="","",[1]!s_dq_close(E$1,$A988,$M$4))</f>
        <v/>
      </c>
      <c r="F988" s="6" t="str">
        <f ca="1">IF($A988="","",[1]!s_dq_close(F$1,$A988,$M$4))</f>
        <v/>
      </c>
      <c r="G988" s="6"/>
      <c r="H988" s="6" t="str">
        <f ca="1">IF($A988="","",[1]!s_dq_close(H$1,$A988,$M$4))</f>
        <v/>
      </c>
      <c r="I988" s="6" t="str">
        <f ca="1">IF($A988="","",[1]!s_dq_close(I$1,$A988,$M$4))</f>
        <v/>
      </c>
      <c r="J988" s="6" t="str">
        <f t="shared" ca="1" si="16"/>
        <v/>
      </c>
    </row>
    <row r="989" spans="1:10">
      <c r="A989" s="2" t="str">
        <f ca="1">IF(A988="","",IF(IF(价差分析!$W$4="日",--[1]!td(A988-1),IF(价差分析!$W$4="周",--[1]!td(A988-7),--[1]!td(A988-30)))-价差分析!$T$4&gt;0,IF(价差分析!$W$4="日",--[1]!td(A988-1),IF(价差分析!$W$4="周",--[1]!td(A988-7),--[1]!td(A988-30))),""))</f>
        <v/>
      </c>
      <c r="B989" s="1" t="str">
        <f ca="1">IF(A989="","",[1]!s_dq_close($B$1,A989,$M$4))</f>
        <v/>
      </c>
      <c r="C989" s="1" t="str">
        <f ca="1">IF(A989="","",[1]!s_dq_close($C$1,A989,$M$4))</f>
        <v/>
      </c>
      <c r="D989" s="6" t="str">
        <f ca="1">IF($A989="","",[1]!s_dq_close(D$1,$A989,$M$4))</f>
        <v/>
      </c>
      <c r="E989" s="6" t="str">
        <f ca="1">IF($A989="","",[1]!s_dq_close(E$1,$A989,$M$4))</f>
        <v/>
      </c>
      <c r="F989" s="6" t="str">
        <f ca="1">IF($A989="","",[1]!s_dq_close(F$1,$A989,$M$4))</f>
        <v/>
      </c>
      <c r="G989" s="6"/>
      <c r="H989" s="6" t="str">
        <f ca="1">IF($A989="","",[1]!s_dq_close(H$1,$A989,$M$4))</f>
        <v/>
      </c>
      <c r="I989" s="6" t="str">
        <f ca="1">IF($A989="","",[1]!s_dq_close(I$1,$A989,$M$4))</f>
        <v/>
      </c>
      <c r="J989" s="6" t="str">
        <f t="shared" ca="1" si="16"/>
        <v/>
      </c>
    </row>
    <row r="990" spans="1:10">
      <c r="A990" s="2" t="str">
        <f ca="1">IF(A989="","",IF(IF(价差分析!$W$4="日",--[1]!td(A989-1),IF(价差分析!$W$4="周",--[1]!td(A989-7),--[1]!td(A989-30)))-价差分析!$T$4&gt;0,IF(价差分析!$W$4="日",--[1]!td(A989-1),IF(价差分析!$W$4="周",--[1]!td(A989-7),--[1]!td(A989-30))),""))</f>
        <v/>
      </c>
      <c r="B990" s="1" t="str">
        <f ca="1">IF(A990="","",[1]!s_dq_close($B$1,A990,$M$4))</f>
        <v/>
      </c>
      <c r="C990" s="1" t="str">
        <f ca="1">IF(A990="","",[1]!s_dq_close($C$1,A990,$M$4))</f>
        <v/>
      </c>
      <c r="D990" s="6" t="str">
        <f ca="1">IF($A990="","",[1]!s_dq_close(D$1,$A990,$M$4))</f>
        <v/>
      </c>
      <c r="E990" s="6" t="str">
        <f ca="1">IF($A990="","",[1]!s_dq_close(E$1,$A990,$M$4))</f>
        <v/>
      </c>
      <c r="F990" s="6" t="str">
        <f ca="1">IF($A990="","",[1]!s_dq_close(F$1,$A990,$M$4))</f>
        <v/>
      </c>
      <c r="G990" s="6"/>
      <c r="H990" s="6" t="str">
        <f ca="1">IF($A990="","",[1]!s_dq_close(H$1,$A990,$M$4))</f>
        <v/>
      </c>
      <c r="I990" s="6" t="str">
        <f ca="1">IF($A990="","",[1]!s_dq_close(I$1,$A990,$M$4))</f>
        <v/>
      </c>
      <c r="J990" s="6" t="str">
        <f t="shared" ca="1" si="16"/>
        <v/>
      </c>
    </row>
    <row r="991" spans="1:10">
      <c r="A991" s="2" t="str">
        <f ca="1">IF(A990="","",IF(IF(价差分析!$W$4="日",--[1]!td(A990-1),IF(价差分析!$W$4="周",--[1]!td(A990-7),--[1]!td(A990-30)))-价差分析!$T$4&gt;0,IF(价差分析!$W$4="日",--[1]!td(A990-1),IF(价差分析!$W$4="周",--[1]!td(A990-7),--[1]!td(A990-30))),""))</f>
        <v/>
      </c>
      <c r="B991" s="1" t="str">
        <f ca="1">IF(A991="","",[1]!s_dq_close($B$1,A991,$M$4))</f>
        <v/>
      </c>
      <c r="C991" s="1" t="str">
        <f ca="1">IF(A991="","",[1]!s_dq_close($C$1,A991,$M$4))</f>
        <v/>
      </c>
      <c r="D991" s="6" t="str">
        <f ca="1">IF($A991="","",[1]!s_dq_close(D$1,$A991,$M$4))</f>
        <v/>
      </c>
      <c r="E991" s="6" t="str">
        <f ca="1">IF($A991="","",[1]!s_dq_close(E$1,$A991,$M$4))</f>
        <v/>
      </c>
      <c r="F991" s="6" t="str">
        <f ca="1">IF($A991="","",[1]!s_dq_close(F$1,$A991,$M$4))</f>
        <v/>
      </c>
      <c r="G991" s="6"/>
      <c r="H991" s="6" t="str">
        <f ca="1">IF($A991="","",[1]!s_dq_close(H$1,$A991,$M$4))</f>
        <v/>
      </c>
      <c r="I991" s="6" t="str">
        <f ca="1">IF($A991="","",[1]!s_dq_close(I$1,$A991,$M$4))</f>
        <v/>
      </c>
      <c r="J991" s="6" t="str">
        <f t="shared" ca="1" si="16"/>
        <v/>
      </c>
    </row>
    <row r="992" spans="1:10">
      <c r="A992" s="2" t="str">
        <f ca="1">IF(A991="","",IF(IF(价差分析!$W$4="日",--[1]!td(A991-1),IF(价差分析!$W$4="周",--[1]!td(A991-7),--[1]!td(A991-30)))-价差分析!$T$4&gt;0,IF(价差分析!$W$4="日",--[1]!td(A991-1),IF(价差分析!$W$4="周",--[1]!td(A991-7),--[1]!td(A991-30))),""))</f>
        <v/>
      </c>
      <c r="B992" s="1" t="str">
        <f ca="1">IF(A992="","",[1]!s_dq_close($B$1,A992,$M$4))</f>
        <v/>
      </c>
      <c r="C992" s="1" t="str">
        <f ca="1">IF(A992="","",[1]!s_dq_close($C$1,A992,$M$4))</f>
        <v/>
      </c>
      <c r="D992" s="6" t="str">
        <f ca="1">IF($A992="","",[1]!s_dq_close(D$1,$A992,$M$4))</f>
        <v/>
      </c>
      <c r="E992" s="6" t="str">
        <f ca="1">IF($A992="","",[1]!s_dq_close(E$1,$A992,$M$4))</f>
        <v/>
      </c>
      <c r="F992" s="6" t="str">
        <f ca="1">IF($A992="","",[1]!s_dq_close(F$1,$A992,$M$4))</f>
        <v/>
      </c>
      <c r="G992" s="6"/>
      <c r="H992" s="6" t="str">
        <f ca="1">IF($A992="","",[1]!s_dq_close(H$1,$A992,$M$4))</f>
        <v/>
      </c>
      <c r="I992" s="6" t="str">
        <f ca="1">IF($A992="","",[1]!s_dq_close(I$1,$A992,$M$4))</f>
        <v/>
      </c>
      <c r="J992" s="6" t="str">
        <f t="shared" ca="1" si="16"/>
        <v/>
      </c>
    </row>
    <row r="993" spans="1:10">
      <c r="A993" s="2" t="str">
        <f ca="1">IF(A992="","",IF(IF(价差分析!$W$4="日",--[1]!td(A992-1),IF(价差分析!$W$4="周",--[1]!td(A992-7),--[1]!td(A992-30)))-价差分析!$T$4&gt;0,IF(价差分析!$W$4="日",--[1]!td(A992-1),IF(价差分析!$W$4="周",--[1]!td(A992-7),--[1]!td(A992-30))),""))</f>
        <v/>
      </c>
      <c r="B993" s="1" t="str">
        <f ca="1">IF(A993="","",[1]!s_dq_close($B$1,A993,$M$4))</f>
        <v/>
      </c>
      <c r="C993" s="1" t="str">
        <f ca="1">IF(A993="","",[1]!s_dq_close($C$1,A993,$M$4))</f>
        <v/>
      </c>
      <c r="D993" s="6" t="str">
        <f ca="1">IF($A993="","",[1]!s_dq_close(D$1,$A993,$M$4))</f>
        <v/>
      </c>
      <c r="E993" s="6" t="str">
        <f ca="1">IF($A993="","",[1]!s_dq_close(E$1,$A993,$M$4))</f>
        <v/>
      </c>
      <c r="F993" s="6" t="str">
        <f ca="1">IF($A993="","",[1]!s_dq_close(F$1,$A993,$M$4))</f>
        <v/>
      </c>
      <c r="G993" s="6"/>
      <c r="H993" s="6" t="str">
        <f ca="1">IF($A993="","",[1]!s_dq_close(H$1,$A993,$M$4))</f>
        <v/>
      </c>
      <c r="I993" s="6" t="str">
        <f ca="1">IF($A993="","",[1]!s_dq_close(I$1,$A993,$M$4))</f>
        <v/>
      </c>
      <c r="J993" s="6" t="str">
        <f t="shared" ca="1" si="16"/>
        <v/>
      </c>
    </row>
    <row r="994" spans="1:10">
      <c r="A994" s="2" t="str">
        <f ca="1">IF(A993="","",IF(IF(价差分析!$W$4="日",--[1]!td(A993-1),IF(价差分析!$W$4="周",--[1]!td(A993-7),--[1]!td(A993-30)))-价差分析!$T$4&gt;0,IF(价差分析!$W$4="日",--[1]!td(A993-1),IF(价差分析!$W$4="周",--[1]!td(A993-7),--[1]!td(A993-30))),""))</f>
        <v/>
      </c>
      <c r="B994" s="1" t="str">
        <f ca="1">IF(A994="","",[1]!s_dq_close($B$1,A994,$M$4))</f>
        <v/>
      </c>
      <c r="C994" s="1" t="str">
        <f ca="1">IF(A994="","",[1]!s_dq_close($C$1,A994,$M$4))</f>
        <v/>
      </c>
      <c r="D994" s="6" t="str">
        <f ca="1">IF($A994="","",[1]!s_dq_close(D$1,$A994,$M$4))</f>
        <v/>
      </c>
      <c r="E994" s="6" t="str">
        <f ca="1">IF($A994="","",[1]!s_dq_close(E$1,$A994,$M$4))</f>
        <v/>
      </c>
      <c r="F994" s="6" t="str">
        <f ca="1">IF($A994="","",[1]!s_dq_close(F$1,$A994,$M$4))</f>
        <v/>
      </c>
      <c r="G994" s="6"/>
      <c r="H994" s="6" t="str">
        <f ca="1">IF($A994="","",[1]!s_dq_close(H$1,$A994,$M$4))</f>
        <v/>
      </c>
      <c r="I994" s="6" t="str">
        <f ca="1">IF($A994="","",[1]!s_dq_close(I$1,$A994,$M$4))</f>
        <v/>
      </c>
      <c r="J994" s="6" t="str">
        <f t="shared" ca="1" si="16"/>
        <v/>
      </c>
    </row>
    <row r="995" spans="1:10">
      <c r="A995" s="2" t="str">
        <f ca="1">IF(A994="","",IF(IF(价差分析!$W$4="日",--[1]!td(A994-1),IF(价差分析!$W$4="周",--[1]!td(A994-7),--[1]!td(A994-30)))-价差分析!$T$4&gt;0,IF(价差分析!$W$4="日",--[1]!td(A994-1),IF(价差分析!$W$4="周",--[1]!td(A994-7),--[1]!td(A994-30))),""))</f>
        <v/>
      </c>
      <c r="B995" s="1" t="str">
        <f ca="1">IF(A995="","",[1]!s_dq_close($B$1,A995,$M$4))</f>
        <v/>
      </c>
      <c r="C995" s="1" t="str">
        <f ca="1">IF(A995="","",[1]!s_dq_close($C$1,A995,$M$4))</f>
        <v/>
      </c>
      <c r="D995" s="6" t="str">
        <f ca="1">IF($A995="","",[1]!s_dq_close(D$1,$A995,$M$4))</f>
        <v/>
      </c>
      <c r="E995" s="6" t="str">
        <f ca="1">IF($A995="","",[1]!s_dq_close(E$1,$A995,$M$4))</f>
        <v/>
      </c>
      <c r="F995" s="6" t="str">
        <f ca="1">IF($A995="","",[1]!s_dq_close(F$1,$A995,$M$4))</f>
        <v/>
      </c>
      <c r="G995" s="6"/>
      <c r="H995" s="6" t="str">
        <f ca="1">IF($A995="","",[1]!s_dq_close(H$1,$A995,$M$4))</f>
        <v/>
      </c>
      <c r="I995" s="6" t="str">
        <f ca="1">IF($A995="","",[1]!s_dq_close(I$1,$A995,$M$4))</f>
        <v/>
      </c>
      <c r="J995" s="6" t="str">
        <f t="shared" ca="1" si="16"/>
        <v/>
      </c>
    </row>
    <row r="996" spans="1:10">
      <c r="A996" s="2" t="str">
        <f ca="1">IF(A995="","",IF(IF(价差分析!$W$4="日",--[1]!td(A995-1),IF(价差分析!$W$4="周",--[1]!td(A995-7),--[1]!td(A995-30)))-价差分析!$T$4&gt;0,IF(价差分析!$W$4="日",--[1]!td(A995-1),IF(价差分析!$W$4="周",--[1]!td(A995-7),--[1]!td(A995-30))),""))</f>
        <v/>
      </c>
      <c r="B996" s="1" t="str">
        <f ca="1">IF(A996="","",[1]!s_dq_close($B$1,A996,$M$4))</f>
        <v/>
      </c>
      <c r="C996" s="1" t="str">
        <f ca="1">IF(A996="","",[1]!s_dq_close($C$1,A996,$M$4))</f>
        <v/>
      </c>
      <c r="D996" s="6" t="str">
        <f ca="1">IF($A996="","",[1]!s_dq_close(D$1,$A996,$M$4))</f>
        <v/>
      </c>
      <c r="E996" s="6" t="str">
        <f ca="1">IF($A996="","",[1]!s_dq_close(E$1,$A996,$M$4))</f>
        <v/>
      </c>
      <c r="F996" s="6" t="str">
        <f ca="1">IF($A996="","",[1]!s_dq_close(F$1,$A996,$M$4))</f>
        <v/>
      </c>
      <c r="G996" s="6"/>
      <c r="H996" s="6" t="str">
        <f ca="1">IF($A996="","",[1]!s_dq_close(H$1,$A996,$M$4))</f>
        <v/>
      </c>
      <c r="I996" s="6" t="str">
        <f ca="1">IF($A996="","",[1]!s_dq_close(I$1,$A996,$M$4))</f>
        <v/>
      </c>
      <c r="J996" s="6" t="str">
        <f t="shared" ca="1" si="16"/>
        <v/>
      </c>
    </row>
    <row r="997" spans="1:10">
      <c r="A997" s="2" t="str">
        <f ca="1">IF(A996="","",IF(IF(价差分析!$W$4="日",--[1]!td(A996-1),IF(价差分析!$W$4="周",--[1]!td(A996-7),--[1]!td(A996-30)))-价差分析!$T$4&gt;0,IF(价差分析!$W$4="日",--[1]!td(A996-1),IF(价差分析!$W$4="周",--[1]!td(A996-7),--[1]!td(A996-30))),""))</f>
        <v/>
      </c>
      <c r="B997" s="1" t="str">
        <f ca="1">IF(A997="","",[1]!s_dq_close($B$1,A997,$M$4))</f>
        <v/>
      </c>
      <c r="C997" s="1" t="str">
        <f ca="1">IF(A997="","",[1]!s_dq_close($C$1,A997,$M$4))</f>
        <v/>
      </c>
      <c r="D997" s="6" t="str">
        <f ca="1">IF($A997="","",[1]!s_dq_close(D$1,$A997,$M$4))</f>
        <v/>
      </c>
      <c r="E997" s="6" t="str">
        <f ca="1">IF($A997="","",[1]!s_dq_close(E$1,$A997,$M$4))</f>
        <v/>
      </c>
      <c r="F997" s="6" t="str">
        <f ca="1">IF($A997="","",[1]!s_dq_close(F$1,$A997,$M$4))</f>
        <v/>
      </c>
      <c r="G997" s="6"/>
      <c r="H997" s="6" t="str">
        <f ca="1">IF($A997="","",[1]!s_dq_close(H$1,$A997,$M$4))</f>
        <v/>
      </c>
      <c r="I997" s="6" t="str">
        <f ca="1">IF($A997="","",[1]!s_dq_close(I$1,$A997,$M$4))</f>
        <v/>
      </c>
      <c r="J997" s="6" t="str">
        <f t="shared" ca="1" si="16"/>
        <v/>
      </c>
    </row>
    <row r="998" spans="1:10">
      <c r="A998" s="2" t="str">
        <f ca="1">IF(A997="","",IF(IF(价差分析!$W$4="日",--[1]!td(A997-1),IF(价差分析!$W$4="周",--[1]!td(A997-7),--[1]!td(A997-30)))-价差分析!$T$4&gt;0,IF(价差分析!$W$4="日",--[1]!td(A997-1),IF(价差分析!$W$4="周",--[1]!td(A997-7),--[1]!td(A997-30))),""))</f>
        <v/>
      </c>
      <c r="B998" s="1" t="str">
        <f ca="1">IF(A998="","",[1]!s_dq_close($B$1,A998,$M$4))</f>
        <v/>
      </c>
      <c r="C998" s="1" t="str">
        <f ca="1">IF(A998="","",[1]!s_dq_close($C$1,A998,$M$4))</f>
        <v/>
      </c>
      <c r="D998" s="6" t="str">
        <f ca="1">IF($A998="","",[1]!s_dq_close(D$1,$A998,$M$4))</f>
        <v/>
      </c>
      <c r="E998" s="6" t="str">
        <f ca="1">IF($A998="","",[1]!s_dq_close(E$1,$A998,$M$4))</f>
        <v/>
      </c>
      <c r="F998" s="6" t="str">
        <f ca="1">IF($A998="","",[1]!s_dq_close(F$1,$A998,$M$4))</f>
        <v/>
      </c>
      <c r="G998" s="6"/>
      <c r="H998" s="6" t="str">
        <f ca="1">IF($A998="","",[1]!s_dq_close(H$1,$A998,$M$4))</f>
        <v/>
      </c>
      <c r="I998" s="6" t="str">
        <f ca="1">IF($A998="","",[1]!s_dq_close(I$1,$A998,$M$4))</f>
        <v/>
      </c>
      <c r="J998" s="6" t="str">
        <f t="shared" ca="1" si="16"/>
        <v/>
      </c>
    </row>
    <row r="999" spans="1:10">
      <c r="A999" s="2" t="str">
        <f ca="1">IF(A998="","",IF(IF(价差分析!$W$4="日",--[1]!td(A998-1),IF(价差分析!$W$4="周",--[1]!td(A998-7),--[1]!td(A998-30)))-价差分析!$T$4&gt;0,IF(价差分析!$W$4="日",--[1]!td(A998-1),IF(价差分析!$W$4="周",--[1]!td(A998-7),--[1]!td(A998-30))),""))</f>
        <v/>
      </c>
      <c r="B999" s="1" t="str">
        <f ca="1">IF(A999="","",[1]!s_dq_close($B$1,A999,$M$4))</f>
        <v/>
      </c>
      <c r="C999" s="1" t="str">
        <f ca="1">IF(A999="","",[1]!s_dq_close($C$1,A999,$M$4))</f>
        <v/>
      </c>
      <c r="D999" s="6" t="str">
        <f ca="1">IF($A999="","",[1]!s_dq_close(D$1,$A999,$M$4))</f>
        <v/>
      </c>
      <c r="E999" s="6" t="str">
        <f ca="1">IF($A999="","",[1]!s_dq_close(E$1,$A999,$M$4))</f>
        <v/>
      </c>
      <c r="F999" s="6" t="str">
        <f ca="1">IF($A999="","",[1]!s_dq_close(F$1,$A999,$M$4))</f>
        <v/>
      </c>
      <c r="G999" s="6"/>
      <c r="H999" s="6" t="str">
        <f ca="1">IF($A999="","",[1]!s_dq_close(H$1,$A999,$M$4))</f>
        <v/>
      </c>
      <c r="I999" s="6" t="str">
        <f ca="1">IF($A999="","",[1]!s_dq_close(I$1,$A999,$M$4))</f>
        <v/>
      </c>
      <c r="J999" s="6" t="str">
        <f t="shared" ca="1" si="16"/>
        <v/>
      </c>
    </row>
    <row r="1000" spans="1:10">
      <c r="A1000" s="2" t="str">
        <f ca="1">IF(A999="","",IF(IF(价差分析!$W$4="日",--[1]!td(A999-1),IF(价差分析!$W$4="周",--[1]!td(A999-7),--[1]!td(A999-30)))-价差分析!$T$4&gt;0,IF(价差分析!$W$4="日",--[1]!td(A999-1),IF(价差分析!$W$4="周",--[1]!td(A999-7),--[1]!td(A999-30))),""))</f>
        <v/>
      </c>
      <c r="B1000" s="1" t="str">
        <f ca="1">IF(A1000="","",[1]!s_dq_close($B$1,A1000,$M$4))</f>
        <v/>
      </c>
      <c r="C1000" s="1" t="str">
        <f ca="1">IF(A1000="","",[1]!s_dq_close($C$1,A1000,$M$4))</f>
        <v/>
      </c>
      <c r="D1000" s="6" t="str">
        <f ca="1">IF($A1000="","",[1]!s_dq_close(D$1,$A1000,$M$4))</f>
        <v/>
      </c>
      <c r="E1000" s="6" t="str">
        <f ca="1">IF($A1000="","",[1]!s_dq_close(E$1,$A1000,$M$4))</f>
        <v/>
      </c>
      <c r="F1000" s="6" t="str">
        <f ca="1">IF($A1000="","",[1]!s_dq_close(F$1,$A1000,$M$4))</f>
        <v/>
      </c>
      <c r="G1000" s="6"/>
      <c r="H1000" s="6" t="str">
        <f ca="1">IF($A1000="","",[1]!s_dq_close(H$1,$A1000,$M$4))</f>
        <v/>
      </c>
      <c r="I1000" s="6" t="str">
        <f ca="1">IF($A1000="","",[1]!s_dq_close(I$1,$A1000,$M$4))</f>
        <v/>
      </c>
      <c r="J1000" s="6" t="str">
        <f t="shared" ca="1" si="16"/>
        <v/>
      </c>
    </row>
    <row r="1001" spans="1:10">
      <c r="A1001" s="2" t="str">
        <f ca="1">IF(A1000="","",IF(IF(价差分析!$W$4="日",--[1]!td(A1000-1),IF(价差分析!$W$4="周",--[1]!td(A1000-7),--[1]!td(A1000-30)))-价差分析!$T$4&gt;0,IF(价差分析!$W$4="日",--[1]!td(A1000-1),IF(价差分析!$W$4="周",--[1]!td(A1000-7),--[1]!td(A1000-30))),""))</f>
        <v/>
      </c>
      <c r="B1001" s="1" t="str">
        <f ca="1">IF(A1001="","",[1]!s_dq_close($B$1,A1001,$M$4))</f>
        <v/>
      </c>
      <c r="C1001" s="1" t="str">
        <f ca="1">IF(A1001="","",[1]!s_dq_close($C$1,A1001,$M$4))</f>
        <v/>
      </c>
      <c r="D1001" s="6" t="str">
        <f ca="1">IF($A1001="","",[1]!s_dq_close(D$1,$A1001,$M$4))</f>
        <v/>
      </c>
      <c r="E1001" s="6" t="str">
        <f ca="1">IF($A1001="","",[1]!s_dq_close(E$1,$A1001,$M$4))</f>
        <v/>
      </c>
      <c r="F1001" s="6" t="str">
        <f ca="1">IF($A1001="","",[1]!s_dq_close(F$1,$A1001,$M$4))</f>
        <v/>
      </c>
      <c r="G1001" s="6"/>
      <c r="H1001" s="6" t="str">
        <f ca="1">IF($A1001="","",[1]!s_dq_close(H$1,$A1001,$M$4))</f>
        <v/>
      </c>
      <c r="I1001" s="6" t="str">
        <f ca="1">IF($A1001="","",[1]!s_dq_close(I$1,$A1001,$M$4))</f>
        <v/>
      </c>
      <c r="J1001" s="6" t="str">
        <f t="shared" ca="1" si="16"/>
        <v/>
      </c>
    </row>
    <row r="1002" spans="1:10">
      <c r="A1002" s="2" t="str">
        <f ca="1">IF(A1001="","",IF(IF(价差分析!$W$4="日",--[1]!td(A1001-1),IF(价差分析!$W$4="周",--[1]!td(A1001-7),--[1]!td(A1001-30)))-价差分析!$T$4&gt;0,IF(价差分析!$W$4="日",--[1]!td(A1001-1),IF(价差分析!$W$4="周",--[1]!td(A1001-7),--[1]!td(A1001-30))),""))</f>
        <v/>
      </c>
      <c r="B1002" s="1" t="str">
        <f ca="1">IF(A1002="","",[1]!s_dq_close($B$1,A1002,$M$4))</f>
        <v/>
      </c>
      <c r="C1002" s="1" t="str">
        <f ca="1">IF(A1002="","",[1]!s_dq_close($C$1,A1002,$M$4))</f>
        <v/>
      </c>
      <c r="D1002" s="6" t="str">
        <f ca="1">IF($A1002="","",[1]!s_dq_close(D$1,$A1002,$M$4))</f>
        <v/>
      </c>
      <c r="E1002" s="6" t="str">
        <f ca="1">IF($A1002="","",[1]!s_dq_close(E$1,$A1002,$M$4))</f>
        <v/>
      </c>
      <c r="F1002" s="6" t="str">
        <f ca="1">IF($A1002="","",[1]!s_dq_close(F$1,$A1002,$M$4))</f>
        <v/>
      </c>
      <c r="G1002" s="6"/>
      <c r="H1002" s="6" t="str">
        <f ca="1">IF($A1002="","",[1]!s_dq_close(H$1,$A1002,$M$4))</f>
        <v/>
      </c>
      <c r="I1002" s="6" t="str">
        <f ca="1">IF($A1002="","",[1]!s_dq_close(I$1,$A1002,$M$4))</f>
        <v/>
      </c>
      <c r="J1002" s="6" t="str">
        <f t="shared" ca="1" si="16"/>
        <v/>
      </c>
    </row>
    <row r="1003" spans="1:10">
      <c r="A1003" s="2" t="str">
        <f ca="1">IF(A1002="","",IF(IF(价差分析!$W$4="日",--[1]!td(A1002-1),IF(价差分析!$W$4="周",--[1]!td(A1002-7),--[1]!td(A1002-30)))-价差分析!$T$4&gt;0,IF(价差分析!$W$4="日",--[1]!td(A1002-1),IF(价差分析!$W$4="周",--[1]!td(A1002-7),--[1]!td(A1002-30))),""))</f>
        <v/>
      </c>
      <c r="B1003" s="1" t="str">
        <f ca="1">IF(A1003="","",[1]!s_dq_close($B$1,A1003,$M$4))</f>
        <v/>
      </c>
      <c r="C1003" s="1" t="str">
        <f ca="1">IF(A1003="","",[1]!s_dq_close($C$1,A1003,$M$4))</f>
        <v/>
      </c>
      <c r="D1003" s="6" t="str">
        <f ca="1">IF($A1003="","",[1]!s_dq_close(D$1,$A1003,$M$4))</f>
        <v/>
      </c>
      <c r="E1003" s="6" t="str">
        <f ca="1">IF($A1003="","",[1]!s_dq_close(E$1,$A1003,$M$4))</f>
        <v/>
      </c>
      <c r="F1003" s="6" t="str">
        <f ca="1">IF($A1003="","",[1]!s_dq_close(F$1,$A1003,$M$4))</f>
        <v/>
      </c>
      <c r="G1003" s="6"/>
      <c r="H1003" s="6" t="str">
        <f ca="1">IF($A1003="","",[1]!s_dq_close(H$1,$A1003,$M$4))</f>
        <v/>
      </c>
      <c r="I1003" s="6" t="str">
        <f ca="1">IF($A1003="","",[1]!s_dq_close(I$1,$A1003,$M$4))</f>
        <v/>
      </c>
      <c r="J1003" s="6" t="str">
        <f t="shared" ca="1" si="16"/>
        <v/>
      </c>
    </row>
    <row r="1004" spans="1:10">
      <c r="A1004" s="2" t="str">
        <f ca="1">IF(A1003="","",IF(IF(价差分析!$W$4="日",--[1]!td(A1003-1),IF(价差分析!$W$4="周",--[1]!td(A1003-7),--[1]!td(A1003-30)))-价差分析!$T$4&gt;0,IF(价差分析!$W$4="日",--[1]!td(A1003-1),IF(价差分析!$W$4="周",--[1]!td(A1003-7),--[1]!td(A1003-30))),""))</f>
        <v/>
      </c>
      <c r="B1004" s="1" t="str">
        <f ca="1">IF(A1004="","",[1]!s_dq_close($B$1,A1004,$M$4))</f>
        <v/>
      </c>
      <c r="C1004" s="1" t="str">
        <f ca="1">IF(A1004="","",[1]!s_dq_close($C$1,A1004,$M$4))</f>
        <v/>
      </c>
      <c r="D1004" s="6" t="str">
        <f ca="1">IF($A1004="","",[1]!s_dq_close(D$1,$A1004,$M$4))</f>
        <v/>
      </c>
      <c r="E1004" s="6" t="str">
        <f ca="1">IF($A1004="","",[1]!s_dq_close(E$1,$A1004,$M$4))</f>
        <v/>
      </c>
      <c r="F1004" s="6" t="str">
        <f ca="1">IF($A1004="","",[1]!s_dq_close(F$1,$A1004,$M$4))</f>
        <v/>
      </c>
      <c r="G1004" s="6"/>
      <c r="H1004" s="6" t="str">
        <f ca="1">IF($A1004="","",[1]!s_dq_close(H$1,$A1004,$M$4))</f>
        <v/>
      </c>
      <c r="I1004" s="6" t="str">
        <f ca="1">IF($A1004="","",[1]!s_dq_close(I$1,$A1004,$M$4))</f>
        <v/>
      </c>
      <c r="J1004" s="6" t="str">
        <f t="shared" ca="1" si="16"/>
        <v/>
      </c>
    </row>
    <row r="1005" spans="1:10">
      <c r="A1005" s="2" t="str">
        <f ca="1">IF(A1004="","",IF(IF(价差分析!$W$4="日",--[1]!td(A1004-1),IF(价差分析!$W$4="周",--[1]!td(A1004-7),--[1]!td(A1004-30)))-价差分析!$T$4&gt;0,IF(价差分析!$W$4="日",--[1]!td(A1004-1),IF(价差分析!$W$4="周",--[1]!td(A1004-7),--[1]!td(A1004-30))),""))</f>
        <v/>
      </c>
      <c r="B1005" s="1" t="str">
        <f ca="1">IF(A1005="","",[1]!s_dq_close($B$1,A1005,$M$4))</f>
        <v/>
      </c>
      <c r="C1005" s="1" t="str">
        <f ca="1">IF(A1005="","",[1]!s_dq_close($C$1,A1005,$M$4))</f>
        <v/>
      </c>
      <c r="D1005" s="6" t="str">
        <f ca="1">IF($A1005="","",[1]!s_dq_close(D$1,$A1005,$M$4))</f>
        <v/>
      </c>
      <c r="E1005" s="6" t="str">
        <f ca="1">IF($A1005="","",[1]!s_dq_close(E$1,$A1005,$M$4))</f>
        <v/>
      </c>
      <c r="F1005" s="6" t="str">
        <f ca="1">IF($A1005="","",[1]!s_dq_close(F$1,$A1005,$M$4))</f>
        <v/>
      </c>
      <c r="G1005" s="6"/>
      <c r="H1005" s="6" t="str">
        <f ca="1">IF($A1005="","",[1]!s_dq_close(H$1,$A1005,$M$4))</f>
        <v/>
      </c>
      <c r="I1005" s="6" t="str">
        <f ca="1">IF($A1005="","",[1]!s_dq_close(I$1,$A1005,$M$4))</f>
        <v/>
      </c>
      <c r="J1005" s="6" t="str">
        <f t="shared" ca="1" si="16"/>
        <v/>
      </c>
    </row>
    <row r="1006" spans="1:10">
      <c r="A1006" s="2" t="str">
        <f ca="1">IF(A1005="","",IF(IF(价差分析!$W$4="日",--[1]!td(A1005-1),IF(价差分析!$W$4="周",--[1]!td(A1005-7),--[1]!td(A1005-30)))-价差分析!$T$4&gt;0,IF(价差分析!$W$4="日",--[1]!td(A1005-1),IF(价差分析!$W$4="周",--[1]!td(A1005-7),--[1]!td(A1005-30))),""))</f>
        <v/>
      </c>
      <c r="B1006" s="1" t="str">
        <f ca="1">IF(A1006="","",[1]!s_dq_close($B$1,A1006,$M$4))</f>
        <v/>
      </c>
      <c r="C1006" s="1" t="str">
        <f ca="1">IF(A1006="","",[1]!s_dq_close($C$1,A1006,$M$4))</f>
        <v/>
      </c>
      <c r="D1006" s="6" t="str">
        <f ca="1">IF($A1006="","",[1]!s_dq_close(D$1,$A1006,$M$4))</f>
        <v/>
      </c>
      <c r="E1006" s="6" t="str">
        <f ca="1">IF($A1006="","",[1]!s_dq_close(E$1,$A1006,$M$4))</f>
        <v/>
      </c>
      <c r="F1006" s="6" t="str">
        <f ca="1">IF($A1006="","",[1]!s_dq_close(F$1,$A1006,$M$4))</f>
        <v/>
      </c>
      <c r="G1006" s="6"/>
      <c r="H1006" s="6" t="str">
        <f ca="1">IF($A1006="","",[1]!s_dq_close(H$1,$A1006,$M$4))</f>
        <v/>
      </c>
      <c r="I1006" s="6" t="str">
        <f ca="1">IF($A1006="","",[1]!s_dq_close(I$1,$A1006,$M$4))</f>
        <v/>
      </c>
      <c r="J1006" s="6" t="str">
        <f t="shared" ca="1" si="16"/>
        <v/>
      </c>
    </row>
    <row r="1007" spans="1:10">
      <c r="A1007" s="2" t="str">
        <f ca="1">IF(A1006="","",IF(IF(价差分析!$W$4="日",--[1]!td(A1006-1),IF(价差分析!$W$4="周",--[1]!td(A1006-7),--[1]!td(A1006-30)))-价差分析!$T$4&gt;0,IF(价差分析!$W$4="日",--[1]!td(A1006-1),IF(价差分析!$W$4="周",--[1]!td(A1006-7),--[1]!td(A1006-30))),""))</f>
        <v/>
      </c>
      <c r="B1007" s="1" t="str">
        <f ca="1">IF(A1007="","",[1]!s_dq_close($B$1,A1007,$M$4))</f>
        <v/>
      </c>
      <c r="C1007" s="1" t="str">
        <f ca="1">IF(A1007="","",[1]!s_dq_close($C$1,A1007,$M$4))</f>
        <v/>
      </c>
      <c r="D1007" s="6" t="str">
        <f ca="1">IF($A1007="","",[1]!s_dq_close(D$1,$A1007,$M$4))</f>
        <v/>
      </c>
      <c r="E1007" s="6" t="str">
        <f ca="1">IF($A1007="","",[1]!s_dq_close(E$1,$A1007,$M$4))</f>
        <v/>
      </c>
      <c r="F1007" s="6" t="str">
        <f ca="1">IF($A1007="","",[1]!s_dq_close(F$1,$A1007,$M$4))</f>
        <v/>
      </c>
      <c r="G1007" s="6"/>
      <c r="H1007" s="6" t="str">
        <f ca="1">IF($A1007="","",[1]!s_dq_close(H$1,$A1007,$M$4))</f>
        <v/>
      </c>
      <c r="I1007" s="6" t="str">
        <f ca="1">IF($A1007="","",[1]!s_dq_close(I$1,$A1007,$M$4))</f>
        <v/>
      </c>
      <c r="J1007" s="6" t="str">
        <f t="shared" ca="1" si="16"/>
        <v/>
      </c>
    </row>
    <row r="1008" spans="1:10">
      <c r="A1008" s="2" t="str">
        <f ca="1">IF(A1007="","",IF(IF(价差分析!$W$4="日",--[1]!td(A1007-1),IF(价差分析!$W$4="周",--[1]!td(A1007-7),--[1]!td(A1007-30)))-价差分析!$T$4&gt;0,IF(价差分析!$W$4="日",--[1]!td(A1007-1),IF(价差分析!$W$4="周",--[1]!td(A1007-7),--[1]!td(A1007-30))),""))</f>
        <v/>
      </c>
      <c r="B1008" s="1" t="str">
        <f ca="1">IF(A1008="","",[1]!s_dq_close($B$1,A1008,$M$4))</f>
        <v/>
      </c>
      <c r="C1008" s="1" t="str">
        <f ca="1">IF(A1008="","",[1]!s_dq_close($C$1,A1008,$M$4))</f>
        <v/>
      </c>
      <c r="D1008" s="6" t="str">
        <f ca="1">IF($A1008="","",[1]!s_dq_close(D$1,$A1008,$M$4))</f>
        <v/>
      </c>
      <c r="E1008" s="6" t="str">
        <f ca="1">IF($A1008="","",[1]!s_dq_close(E$1,$A1008,$M$4))</f>
        <v/>
      </c>
      <c r="F1008" s="6" t="str">
        <f ca="1">IF($A1008="","",[1]!s_dq_close(F$1,$A1008,$M$4))</f>
        <v/>
      </c>
      <c r="G1008" s="6"/>
      <c r="H1008" s="6" t="str">
        <f ca="1">IF($A1008="","",[1]!s_dq_close(H$1,$A1008,$M$4))</f>
        <v/>
      </c>
      <c r="I1008" s="6" t="str">
        <f ca="1">IF($A1008="","",[1]!s_dq_close(I$1,$A1008,$M$4))</f>
        <v/>
      </c>
      <c r="J1008" s="6" t="str">
        <f t="shared" ca="1" si="16"/>
        <v/>
      </c>
    </row>
    <row r="1009" spans="1:10">
      <c r="A1009" s="2" t="str">
        <f ca="1">IF(A1008="","",IF(IF(价差分析!$W$4="日",--[1]!td(A1008-1),IF(价差分析!$W$4="周",--[1]!td(A1008-7),--[1]!td(A1008-30)))-价差分析!$T$4&gt;0,IF(价差分析!$W$4="日",--[1]!td(A1008-1),IF(价差分析!$W$4="周",--[1]!td(A1008-7),--[1]!td(A1008-30))),""))</f>
        <v/>
      </c>
      <c r="B1009" s="1" t="str">
        <f ca="1">IF(A1009="","",[1]!s_dq_close($B$1,A1009,$M$4))</f>
        <v/>
      </c>
      <c r="C1009" s="1" t="str">
        <f ca="1">IF(A1009="","",[1]!s_dq_close($C$1,A1009,$M$4))</f>
        <v/>
      </c>
      <c r="D1009" s="6" t="str">
        <f ca="1">IF($A1009="","",[1]!s_dq_close(D$1,$A1009,$M$4))</f>
        <v/>
      </c>
      <c r="E1009" s="6" t="str">
        <f ca="1">IF($A1009="","",[1]!s_dq_close(E$1,$A1009,$M$4))</f>
        <v/>
      </c>
      <c r="F1009" s="6" t="str">
        <f ca="1">IF($A1009="","",[1]!s_dq_close(F$1,$A1009,$M$4))</f>
        <v/>
      </c>
      <c r="G1009" s="6"/>
      <c r="H1009" s="6" t="str">
        <f ca="1">IF($A1009="","",[1]!s_dq_close(H$1,$A1009,$M$4))</f>
        <v/>
      </c>
      <c r="I1009" s="6" t="str">
        <f ca="1">IF($A1009="","",[1]!s_dq_close(I$1,$A1009,$M$4))</f>
        <v/>
      </c>
      <c r="J1009" s="6" t="str">
        <f t="shared" ca="1" si="16"/>
        <v/>
      </c>
    </row>
    <row r="1010" spans="1:10">
      <c r="A1010" s="2" t="str">
        <f ca="1">IF(A1009="","",IF(IF(价差分析!$W$4="日",--[1]!td(A1009-1),IF(价差分析!$W$4="周",--[1]!td(A1009-7),--[1]!td(A1009-30)))-价差分析!$T$4&gt;0,IF(价差分析!$W$4="日",--[1]!td(A1009-1),IF(价差分析!$W$4="周",--[1]!td(A1009-7),--[1]!td(A1009-30))),""))</f>
        <v/>
      </c>
      <c r="B1010" s="1" t="str">
        <f ca="1">IF(A1010="","",[1]!s_dq_close($B$1,A1010,$M$4))</f>
        <v/>
      </c>
      <c r="C1010" s="1" t="str">
        <f ca="1">IF(A1010="","",[1]!s_dq_close($C$1,A1010,$M$4))</f>
        <v/>
      </c>
      <c r="D1010" s="6" t="str">
        <f ca="1">IF($A1010="","",[1]!s_dq_close(D$1,$A1010,$M$4))</f>
        <v/>
      </c>
      <c r="E1010" s="6" t="str">
        <f ca="1">IF($A1010="","",[1]!s_dq_close(E$1,$A1010,$M$4))</f>
        <v/>
      </c>
      <c r="F1010" s="6" t="str">
        <f ca="1">IF($A1010="","",[1]!s_dq_close(F$1,$A1010,$M$4))</f>
        <v/>
      </c>
      <c r="G1010" s="6"/>
      <c r="H1010" s="6" t="str">
        <f ca="1">IF($A1010="","",[1]!s_dq_close(H$1,$A1010,$M$4))</f>
        <v/>
      </c>
      <c r="I1010" s="6" t="str">
        <f ca="1">IF($A1010="","",[1]!s_dq_close(I$1,$A1010,$M$4))</f>
        <v/>
      </c>
      <c r="J1010" s="6" t="str">
        <f t="shared" ca="1" si="16"/>
        <v/>
      </c>
    </row>
    <row r="1011" spans="1:10">
      <c r="A1011" s="2" t="str">
        <f ca="1">IF(A1010="","",IF(IF(价差分析!$W$4="日",--[1]!td(A1010-1),IF(价差分析!$W$4="周",--[1]!td(A1010-7),--[1]!td(A1010-30)))-价差分析!$T$4&gt;0,IF(价差分析!$W$4="日",--[1]!td(A1010-1),IF(价差分析!$W$4="周",--[1]!td(A1010-7),--[1]!td(A1010-30))),""))</f>
        <v/>
      </c>
      <c r="B1011" s="1" t="str">
        <f ca="1">IF(A1011="","",[1]!s_dq_close($B$1,A1011,$M$4))</f>
        <v/>
      </c>
      <c r="C1011" s="1" t="str">
        <f ca="1">IF(A1011="","",[1]!s_dq_close($C$1,A1011,$M$4))</f>
        <v/>
      </c>
      <c r="D1011" s="6" t="str">
        <f ca="1">IF($A1011="","",[1]!s_dq_close(D$1,$A1011,$M$4))</f>
        <v/>
      </c>
      <c r="E1011" s="6" t="str">
        <f ca="1">IF($A1011="","",[1]!s_dq_close(E$1,$A1011,$M$4))</f>
        <v/>
      </c>
      <c r="F1011" s="6" t="str">
        <f ca="1">IF($A1011="","",[1]!s_dq_close(F$1,$A1011,$M$4))</f>
        <v/>
      </c>
      <c r="G1011" s="6"/>
      <c r="H1011" s="6" t="str">
        <f ca="1">IF($A1011="","",[1]!s_dq_close(H$1,$A1011,$M$4))</f>
        <v/>
      </c>
      <c r="I1011" s="6" t="str">
        <f ca="1">IF($A1011="","",[1]!s_dq_close(I$1,$A1011,$M$4))</f>
        <v/>
      </c>
      <c r="J1011" s="6" t="str">
        <f t="shared" ca="1" si="16"/>
        <v/>
      </c>
    </row>
    <row r="1012" spans="1:10">
      <c r="A1012" s="2" t="str">
        <f ca="1">IF(A1011="","",IF(IF(价差分析!$W$4="日",--[1]!td(A1011-1),IF(价差分析!$W$4="周",--[1]!td(A1011-7),--[1]!td(A1011-30)))-价差分析!$T$4&gt;0,IF(价差分析!$W$4="日",--[1]!td(A1011-1),IF(价差分析!$W$4="周",--[1]!td(A1011-7),--[1]!td(A1011-30))),""))</f>
        <v/>
      </c>
      <c r="B1012" s="1" t="str">
        <f ca="1">IF(A1012="","",[1]!s_dq_close($B$1,A1012,$M$4))</f>
        <v/>
      </c>
      <c r="C1012" s="1" t="str">
        <f ca="1">IF(A1012="","",[1]!s_dq_close($C$1,A1012,$M$4))</f>
        <v/>
      </c>
      <c r="D1012" s="6" t="str">
        <f ca="1">IF($A1012="","",[1]!s_dq_close(D$1,$A1012,$M$4))</f>
        <v/>
      </c>
      <c r="E1012" s="6" t="str">
        <f ca="1">IF($A1012="","",[1]!s_dq_close(E$1,$A1012,$M$4))</f>
        <v/>
      </c>
      <c r="F1012" s="6" t="str">
        <f ca="1">IF($A1012="","",[1]!s_dq_close(F$1,$A1012,$M$4))</f>
        <v/>
      </c>
      <c r="G1012" s="6"/>
      <c r="H1012" s="6" t="str">
        <f ca="1">IF($A1012="","",[1]!s_dq_close(H$1,$A1012,$M$4))</f>
        <v/>
      </c>
      <c r="I1012" s="6" t="str">
        <f ca="1">IF($A1012="","",[1]!s_dq_close(I$1,$A1012,$M$4))</f>
        <v/>
      </c>
      <c r="J1012" s="6" t="str">
        <f t="shared" ca="1" si="16"/>
        <v/>
      </c>
    </row>
    <row r="1013" spans="1:10">
      <c r="A1013" s="2" t="str">
        <f ca="1">IF(A1012="","",IF(IF(价差分析!$W$4="日",--[1]!td(A1012-1),IF(价差分析!$W$4="周",--[1]!td(A1012-7),--[1]!td(A1012-30)))-价差分析!$T$4&gt;0,IF(价差分析!$W$4="日",--[1]!td(A1012-1),IF(价差分析!$W$4="周",--[1]!td(A1012-7),--[1]!td(A1012-30))),""))</f>
        <v/>
      </c>
      <c r="B1013" s="1" t="str">
        <f ca="1">IF(A1013="","",[1]!s_dq_close($B$1,A1013,$M$4))</f>
        <v/>
      </c>
      <c r="C1013" s="1" t="str">
        <f ca="1">IF(A1013="","",[1]!s_dq_close($C$1,A1013,$M$4))</f>
        <v/>
      </c>
      <c r="D1013" s="6" t="str">
        <f ca="1">IF($A1013="","",[1]!s_dq_close(D$1,$A1013,$M$4))</f>
        <v/>
      </c>
      <c r="E1013" s="6" t="str">
        <f ca="1">IF($A1013="","",[1]!s_dq_close(E$1,$A1013,$M$4))</f>
        <v/>
      </c>
      <c r="F1013" s="6" t="str">
        <f ca="1">IF($A1013="","",[1]!s_dq_close(F$1,$A1013,$M$4))</f>
        <v/>
      </c>
      <c r="G1013" s="6"/>
      <c r="H1013" s="6" t="str">
        <f ca="1">IF($A1013="","",[1]!s_dq_close(H$1,$A1013,$M$4))</f>
        <v/>
      </c>
      <c r="I1013" s="6" t="str">
        <f ca="1">IF($A1013="","",[1]!s_dq_close(I$1,$A1013,$M$4))</f>
        <v/>
      </c>
      <c r="J1013" s="6" t="str">
        <f t="shared" ca="1" si="16"/>
        <v/>
      </c>
    </row>
    <row r="1014" spans="1:10">
      <c r="A1014" s="2" t="str">
        <f ca="1">IF(A1013="","",IF(IF(价差分析!$W$4="日",--[1]!td(A1013-1),IF(价差分析!$W$4="周",--[1]!td(A1013-7),--[1]!td(A1013-30)))-价差分析!$T$4&gt;0,IF(价差分析!$W$4="日",--[1]!td(A1013-1),IF(价差分析!$W$4="周",--[1]!td(A1013-7),--[1]!td(A1013-30))),""))</f>
        <v/>
      </c>
      <c r="B1014" s="1" t="str">
        <f ca="1">IF(A1014="","",[1]!s_dq_close($B$1,A1014,$M$4))</f>
        <v/>
      </c>
      <c r="C1014" s="1" t="str">
        <f ca="1">IF(A1014="","",[1]!s_dq_close($C$1,A1014,$M$4))</f>
        <v/>
      </c>
      <c r="D1014" s="6" t="str">
        <f ca="1">IF($A1014="","",[1]!s_dq_close(D$1,$A1014,$M$4))</f>
        <v/>
      </c>
      <c r="E1014" s="6" t="str">
        <f ca="1">IF($A1014="","",[1]!s_dq_close(E$1,$A1014,$M$4))</f>
        <v/>
      </c>
      <c r="F1014" s="6" t="str">
        <f ca="1">IF($A1014="","",[1]!s_dq_close(F$1,$A1014,$M$4))</f>
        <v/>
      </c>
      <c r="G1014" s="6"/>
      <c r="H1014" s="6" t="str">
        <f ca="1">IF($A1014="","",[1]!s_dq_close(H$1,$A1014,$M$4))</f>
        <v/>
      </c>
      <c r="I1014" s="6" t="str">
        <f ca="1">IF($A1014="","",[1]!s_dq_close(I$1,$A1014,$M$4))</f>
        <v/>
      </c>
      <c r="J1014" s="6" t="str">
        <f t="shared" ca="1" si="16"/>
        <v/>
      </c>
    </row>
    <row r="1015" spans="1:10">
      <c r="A1015" s="2" t="str">
        <f ca="1">IF(A1014="","",IF(IF(价差分析!$W$4="日",--[1]!td(A1014-1),IF(价差分析!$W$4="周",--[1]!td(A1014-7),--[1]!td(A1014-30)))-价差分析!$T$4&gt;0,IF(价差分析!$W$4="日",--[1]!td(A1014-1),IF(价差分析!$W$4="周",--[1]!td(A1014-7),--[1]!td(A1014-30))),""))</f>
        <v/>
      </c>
      <c r="B1015" s="1" t="str">
        <f ca="1">IF(A1015="","",[1]!s_dq_close($B$1,A1015,$M$4))</f>
        <v/>
      </c>
      <c r="C1015" s="1" t="str">
        <f ca="1">IF(A1015="","",[1]!s_dq_close($C$1,A1015,$M$4))</f>
        <v/>
      </c>
      <c r="D1015" s="6" t="str">
        <f ca="1">IF($A1015="","",[1]!s_dq_close(D$1,$A1015,$M$4))</f>
        <v/>
      </c>
      <c r="E1015" s="6" t="str">
        <f ca="1">IF($A1015="","",[1]!s_dq_close(E$1,$A1015,$M$4))</f>
        <v/>
      </c>
      <c r="F1015" s="6" t="str">
        <f ca="1">IF($A1015="","",[1]!s_dq_close(F$1,$A1015,$M$4))</f>
        <v/>
      </c>
      <c r="G1015" s="6"/>
      <c r="H1015" s="6" t="str">
        <f ca="1">IF($A1015="","",[1]!s_dq_close(H$1,$A1015,$M$4))</f>
        <v/>
      </c>
      <c r="I1015" s="6" t="str">
        <f ca="1">IF($A1015="","",[1]!s_dq_close(I$1,$A1015,$M$4))</f>
        <v/>
      </c>
      <c r="J1015" s="6" t="str">
        <f t="shared" ca="1" si="16"/>
        <v/>
      </c>
    </row>
    <row r="1016" spans="1:10">
      <c r="A1016" s="2" t="str">
        <f ca="1">IF(A1015="","",IF(IF(价差分析!$W$4="日",--[1]!td(A1015-1),IF(价差分析!$W$4="周",--[1]!td(A1015-7),--[1]!td(A1015-30)))-价差分析!$T$4&gt;0,IF(价差分析!$W$4="日",--[1]!td(A1015-1),IF(价差分析!$W$4="周",--[1]!td(A1015-7),--[1]!td(A1015-30))),""))</f>
        <v/>
      </c>
      <c r="B1016" s="1" t="str">
        <f ca="1">IF(A1016="","",[1]!s_dq_close($B$1,A1016,$M$4))</f>
        <v/>
      </c>
      <c r="C1016" s="1" t="str">
        <f ca="1">IF(A1016="","",[1]!s_dq_close($C$1,A1016,$M$4))</f>
        <v/>
      </c>
      <c r="D1016" s="6" t="str">
        <f ca="1">IF($A1016="","",[1]!s_dq_close(D$1,$A1016,$M$4))</f>
        <v/>
      </c>
      <c r="E1016" s="6" t="str">
        <f ca="1">IF($A1016="","",[1]!s_dq_close(E$1,$A1016,$M$4))</f>
        <v/>
      </c>
      <c r="F1016" s="6" t="str">
        <f ca="1">IF($A1016="","",[1]!s_dq_close(F$1,$A1016,$M$4))</f>
        <v/>
      </c>
      <c r="G1016" s="6"/>
      <c r="H1016" s="6" t="str">
        <f ca="1">IF($A1016="","",[1]!s_dq_close(H$1,$A1016,$M$4))</f>
        <v/>
      </c>
      <c r="I1016" s="6" t="str">
        <f ca="1">IF($A1016="","",[1]!s_dq_close(I$1,$A1016,$M$4))</f>
        <v/>
      </c>
      <c r="J1016" s="6" t="str">
        <f t="shared" ca="1" si="16"/>
        <v/>
      </c>
    </row>
    <row r="1017" spans="1:10">
      <c r="A1017" s="2" t="str">
        <f ca="1">IF(A1016="","",IF(IF(价差分析!$W$4="日",--[1]!td(A1016-1),IF(价差分析!$W$4="周",--[1]!td(A1016-7),--[1]!td(A1016-30)))-价差分析!$T$4&gt;0,IF(价差分析!$W$4="日",--[1]!td(A1016-1),IF(价差分析!$W$4="周",--[1]!td(A1016-7),--[1]!td(A1016-30))),""))</f>
        <v/>
      </c>
      <c r="B1017" s="1" t="str">
        <f ca="1">IF(A1017="","",[1]!s_dq_close($B$1,A1017,$M$4))</f>
        <v/>
      </c>
      <c r="C1017" s="1" t="str">
        <f ca="1">IF(A1017="","",[1]!s_dq_close($C$1,A1017,$M$4))</f>
        <v/>
      </c>
      <c r="D1017" s="6" t="str">
        <f ca="1">IF($A1017="","",[1]!s_dq_close(D$1,$A1017,$M$4))</f>
        <v/>
      </c>
      <c r="E1017" s="6" t="str">
        <f ca="1">IF($A1017="","",[1]!s_dq_close(E$1,$A1017,$M$4))</f>
        <v/>
      </c>
      <c r="F1017" s="6" t="str">
        <f ca="1">IF($A1017="","",[1]!s_dq_close(F$1,$A1017,$M$4))</f>
        <v/>
      </c>
      <c r="G1017" s="6"/>
      <c r="H1017" s="6" t="str">
        <f ca="1">IF($A1017="","",[1]!s_dq_close(H$1,$A1017,$M$4))</f>
        <v/>
      </c>
      <c r="I1017" s="6" t="str">
        <f ca="1">IF($A1017="","",[1]!s_dq_close(I$1,$A1017,$M$4))</f>
        <v/>
      </c>
      <c r="J1017" s="6" t="str">
        <f t="shared" ca="1" si="16"/>
        <v/>
      </c>
    </row>
    <row r="1018" spans="1:10">
      <c r="A1018" s="2" t="str">
        <f ca="1">IF(A1017="","",IF(IF(价差分析!$W$4="日",--[1]!td(A1017-1),IF(价差分析!$W$4="周",--[1]!td(A1017-7),--[1]!td(A1017-30)))-价差分析!$T$4&gt;0,IF(价差分析!$W$4="日",--[1]!td(A1017-1),IF(价差分析!$W$4="周",--[1]!td(A1017-7),--[1]!td(A1017-30))),""))</f>
        <v/>
      </c>
      <c r="B1018" s="1" t="str">
        <f ca="1">IF(A1018="","",[1]!s_dq_close($B$1,A1018,$M$4))</f>
        <v/>
      </c>
      <c r="C1018" s="1" t="str">
        <f ca="1">IF(A1018="","",[1]!s_dq_close($C$1,A1018,$M$4))</f>
        <v/>
      </c>
      <c r="D1018" s="6" t="str">
        <f ca="1">IF($A1018="","",[1]!s_dq_close(D$1,$A1018,$M$4))</f>
        <v/>
      </c>
      <c r="E1018" s="6" t="str">
        <f ca="1">IF($A1018="","",[1]!s_dq_close(E$1,$A1018,$M$4))</f>
        <v/>
      </c>
      <c r="F1018" s="6" t="str">
        <f ca="1">IF($A1018="","",[1]!s_dq_close(F$1,$A1018,$M$4))</f>
        <v/>
      </c>
      <c r="G1018" s="6"/>
      <c r="H1018" s="6" t="str">
        <f ca="1">IF($A1018="","",[1]!s_dq_close(H$1,$A1018,$M$4))</f>
        <v/>
      </c>
      <c r="I1018" s="6" t="str">
        <f ca="1">IF($A1018="","",[1]!s_dq_close(I$1,$A1018,$M$4))</f>
        <v/>
      </c>
      <c r="J1018" s="6" t="str">
        <f t="shared" ca="1" si="16"/>
        <v/>
      </c>
    </row>
    <row r="1019" spans="1:10">
      <c r="A1019" s="2" t="str">
        <f ca="1">IF(A1018="","",IF(IF(价差分析!$W$4="日",--[1]!td(A1018-1),IF(价差分析!$W$4="周",--[1]!td(A1018-7),--[1]!td(A1018-30)))-价差分析!$T$4&gt;0,IF(价差分析!$W$4="日",--[1]!td(A1018-1),IF(价差分析!$W$4="周",--[1]!td(A1018-7),--[1]!td(A1018-30))),""))</f>
        <v/>
      </c>
      <c r="B1019" s="1" t="str">
        <f ca="1">IF(A1019="","",[1]!s_dq_close($B$1,A1019,$M$4))</f>
        <v/>
      </c>
      <c r="C1019" s="1" t="str">
        <f ca="1">IF(A1019="","",[1]!s_dq_close($C$1,A1019,$M$4))</f>
        <v/>
      </c>
      <c r="D1019" s="6" t="str">
        <f ca="1">IF($A1019="","",[1]!s_dq_close(D$1,$A1019,$M$4))</f>
        <v/>
      </c>
      <c r="E1019" s="6" t="str">
        <f ca="1">IF($A1019="","",[1]!s_dq_close(E$1,$A1019,$M$4))</f>
        <v/>
      </c>
      <c r="F1019" s="6" t="str">
        <f ca="1">IF($A1019="","",[1]!s_dq_close(F$1,$A1019,$M$4))</f>
        <v/>
      </c>
      <c r="G1019" s="6"/>
      <c r="H1019" s="6" t="str">
        <f ca="1">IF($A1019="","",[1]!s_dq_close(H$1,$A1019,$M$4))</f>
        <v/>
      </c>
      <c r="I1019" s="6" t="str">
        <f ca="1">IF($A1019="","",[1]!s_dq_close(I$1,$A1019,$M$4))</f>
        <v/>
      </c>
      <c r="J1019" s="6" t="str">
        <f t="shared" ca="1" si="16"/>
        <v/>
      </c>
    </row>
    <row r="1020" spans="1:10">
      <c r="A1020" s="2" t="str">
        <f ca="1">IF(A1019="","",IF(IF(价差分析!$W$4="日",--[1]!td(A1019-1),IF(价差分析!$W$4="周",--[1]!td(A1019-7),--[1]!td(A1019-30)))-价差分析!$T$4&gt;0,IF(价差分析!$W$4="日",--[1]!td(A1019-1),IF(价差分析!$W$4="周",--[1]!td(A1019-7),--[1]!td(A1019-30))),""))</f>
        <v/>
      </c>
      <c r="B1020" s="1" t="str">
        <f ca="1">IF(A1020="","",[1]!s_dq_close($B$1,A1020,$M$4))</f>
        <v/>
      </c>
      <c r="C1020" s="1" t="str">
        <f ca="1">IF(A1020="","",[1]!s_dq_close($C$1,A1020,$M$4))</f>
        <v/>
      </c>
      <c r="D1020" s="6" t="str">
        <f ca="1">IF($A1020="","",[1]!s_dq_close(D$1,$A1020,$M$4))</f>
        <v/>
      </c>
      <c r="E1020" s="6" t="str">
        <f ca="1">IF($A1020="","",[1]!s_dq_close(E$1,$A1020,$M$4))</f>
        <v/>
      </c>
      <c r="F1020" s="6" t="str">
        <f ca="1">IF($A1020="","",[1]!s_dq_close(F$1,$A1020,$M$4))</f>
        <v/>
      </c>
      <c r="G1020" s="6"/>
      <c r="H1020" s="6" t="str">
        <f ca="1">IF($A1020="","",[1]!s_dq_close(H$1,$A1020,$M$4))</f>
        <v/>
      </c>
      <c r="I1020" s="6" t="str">
        <f ca="1">IF($A1020="","",[1]!s_dq_close(I$1,$A1020,$M$4))</f>
        <v/>
      </c>
      <c r="J1020" s="6" t="str">
        <f t="shared" ca="1" si="16"/>
        <v/>
      </c>
    </row>
    <row r="1021" spans="1:10">
      <c r="A1021" s="2" t="str">
        <f ca="1">IF(A1020="","",IF(IF(价差分析!$W$4="日",--[1]!td(A1020-1),IF(价差分析!$W$4="周",--[1]!td(A1020-7),--[1]!td(A1020-30)))-价差分析!$T$4&gt;0,IF(价差分析!$W$4="日",--[1]!td(A1020-1),IF(价差分析!$W$4="周",--[1]!td(A1020-7),--[1]!td(A1020-30))),""))</f>
        <v/>
      </c>
      <c r="B1021" s="1" t="str">
        <f ca="1">IF(A1021="","",[1]!s_dq_close($B$1,A1021,$M$4))</f>
        <v/>
      </c>
      <c r="C1021" s="1" t="str">
        <f ca="1">IF(A1021="","",[1]!s_dq_close($C$1,A1021,$M$4))</f>
        <v/>
      </c>
      <c r="D1021" s="6" t="str">
        <f ca="1">IF($A1021="","",[1]!s_dq_close(D$1,$A1021,$M$4))</f>
        <v/>
      </c>
      <c r="E1021" s="6" t="str">
        <f ca="1">IF($A1021="","",[1]!s_dq_close(E$1,$A1021,$M$4))</f>
        <v/>
      </c>
      <c r="F1021" s="6" t="str">
        <f ca="1">IF($A1021="","",[1]!s_dq_close(F$1,$A1021,$M$4))</f>
        <v/>
      </c>
      <c r="G1021" s="6"/>
      <c r="H1021" s="6" t="str">
        <f ca="1">IF($A1021="","",[1]!s_dq_close(H$1,$A1021,$M$4))</f>
        <v/>
      </c>
      <c r="I1021" s="6" t="str">
        <f ca="1">IF($A1021="","",[1]!s_dq_close(I$1,$A1021,$M$4))</f>
        <v/>
      </c>
      <c r="J1021" s="6" t="str">
        <f t="shared" ca="1" si="16"/>
        <v/>
      </c>
    </row>
    <row r="1022" spans="1:10">
      <c r="A1022" s="2" t="str">
        <f ca="1">IF(A1021="","",IF(IF(价差分析!$W$4="日",--[1]!td(A1021-1),IF(价差分析!$W$4="周",--[1]!td(A1021-7),--[1]!td(A1021-30)))-价差分析!$T$4&gt;0,IF(价差分析!$W$4="日",--[1]!td(A1021-1),IF(价差分析!$W$4="周",--[1]!td(A1021-7),--[1]!td(A1021-30))),""))</f>
        <v/>
      </c>
      <c r="B1022" s="1" t="str">
        <f ca="1">IF(A1022="","",[1]!s_dq_close($B$1,A1022,$M$4))</f>
        <v/>
      </c>
      <c r="C1022" s="1" t="str">
        <f ca="1">IF(A1022="","",[1]!s_dq_close($C$1,A1022,$M$4))</f>
        <v/>
      </c>
      <c r="D1022" s="6" t="str">
        <f ca="1">IF($A1022="","",[1]!s_dq_close(D$1,$A1022,$M$4))</f>
        <v/>
      </c>
      <c r="E1022" s="6" t="str">
        <f ca="1">IF($A1022="","",[1]!s_dq_close(E$1,$A1022,$M$4))</f>
        <v/>
      </c>
      <c r="F1022" s="6" t="str">
        <f ca="1">IF($A1022="","",[1]!s_dq_close(F$1,$A1022,$M$4))</f>
        <v/>
      </c>
      <c r="G1022" s="6"/>
      <c r="H1022" s="6" t="str">
        <f ca="1">IF($A1022="","",[1]!s_dq_close(H$1,$A1022,$M$4))</f>
        <v/>
      </c>
      <c r="I1022" s="6" t="str">
        <f ca="1">IF($A1022="","",[1]!s_dq_close(I$1,$A1022,$M$4))</f>
        <v/>
      </c>
      <c r="J1022" s="6" t="str">
        <f t="shared" ca="1" si="16"/>
        <v/>
      </c>
    </row>
    <row r="1023" spans="1:10">
      <c r="A1023" s="2" t="str">
        <f ca="1">IF(A1022="","",IF(IF(价差分析!$W$4="日",--[1]!td(A1022-1),IF(价差分析!$W$4="周",--[1]!td(A1022-7),--[1]!td(A1022-30)))-价差分析!$T$4&gt;0,IF(价差分析!$W$4="日",--[1]!td(A1022-1),IF(价差分析!$W$4="周",--[1]!td(A1022-7),--[1]!td(A1022-30))),""))</f>
        <v/>
      </c>
      <c r="B1023" s="1" t="str">
        <f ca="1">IF(A1023="","",[1]!s_dq_close($B$1,A1023,$M$4))</f>
        <v/>
      </c>
      <c r="C1023" s="1" t="str">
        <f ca="1">IF(A1023="","",[1]!s_dq_close($C$1,A1023,$M$4))</f>
        <v/>
      </c>
      <c r="D1023" s="6" t="str">
        <f ca="1">IF($A1023="","",[1]!s_dq_close(D$1,$A1023,$M$4))</f>
        <v/>
      </c>
      <c r="E1023" s="6" t="str">
        <f ca="1">IF($A1023="","",[1]!s_dq_close(E$1,$A1023,$M$4))</f>
        <v/>
      </c>
      <c r="F1023" s="6" t="str">
        <f ca="1">IF($A1023="","",[1]!s_dq_close(F$1,$A1023,$M$4))</f>
        <v/>
      </c>
      <c r="G1023" s="6"/>
      <c r="H1023" s="6" t="str">
        <f ca="1">IF($A1023="","",[1]!s_dq_close(H$1,$A1023,$M$4))</f>
        <v/>
      </c>
      <c r="I1023" s="6" t="str">
        <f ca="1">IF($A1023="","",[1]!s_dq_close(I$1,$A1023,$M$4))</f>
        <v/>
      </c>
      <c r="J1023" s="6" t="str">
        <f t="shared" ca="1" si="16"/>
        <v/>
      </c>
    </row>
    <row r="1024" spans="1:10">
      <c r="A1024" s="2" t="str">
        <f ca="1">IF(A1023="","",IF(IF(价差分析!$W$4="日",--[1]!td(A1023-1),IF(价差分析!$W$4="周",--[1]!td(A1023-7),--[1]!td(A1023-30)))-价差分析!$T$4&gt;0,IF(价差分析!$W$4="日",--[1]!td(A1023-1),IF(价差分析!$W$4="周",--[1]!td(A1023-7),--[1]!td(A1023-30))),""))</f>
        <v/>
      </c>
      <c r="B1024" s="1" t="str">
        <f ca="1">IF(A1024="","",[1]!s_dq_close($B$1,A1024,$M$4))</f>
        <v/>
      </c>
      <c r="C1024" s="1" t="str">
        <f ca="1">IF(A1024="","",[1]!s_dq_close($C$1,A1024,$M$4))</f>
        <v/>
      </c>
      <c r="D1024" s="6" t="str">
        <f ca="1">IF($A1024="","",[1]!s_dq_close(D$1,$A1024,$M$4))</f>
        <v/>
      </c>
      <c r="E1024" s="6" t="str">
        <f ca="1">IF($A1024="","",[1]!s_dq_close(E$1,$A1024,$M$4))</f>
        <v/>
      </c>
      <c r="F1024" s="6" t="str">
        <f ca="1">IF($A1024="","",[1]!s_dq_close(F$1,$A1024,$M$4))</f>
        <v/>
      </c>
      <c r="G1024" s="6"/>
      <c r="H1024" s="6" t="str">
        <f ca="1">IF($A1024="","",[1]!s_dq_close(H$1,$A1024,$M$4))</f>
        <v/>
      </c>
      <c r="I1024" s="6" t="str">
        <f ca="1">IF($A1024="","",[1]!s_dq_close(I$1,$A1024,$M$4))</f>
        <v/>
      </c>
      <c r="J1024" s="6" t="str">
        <f t="shared" ca="1" si="16"/>
        <v/>
      </c>
    </row>
    <row r="1025" spans="1:10">
      <c r="A1025" s="2" t="str">
        <f ca="1">IF(A1024="","",IF(IF(价差分析!$W$4="日",--[1]!td(A1024-1),IF(价差分析!$W$4="周",--[1]!td(A1024-7),--[1]!td(A1024-30)))-价差分析!$T$4&gt;0,IF(价差分析!$W$4="日",--[1]!td(A1024-1),IF(价差分析!$W$4="周",--[1]!td(A1024-7),--[1]!td(A1024-30))),""))</f>
        <v/>
      </c>
      <c r="B1025" s="1" t="str">
        <f ca="1">IF(A1025="","",[1]!s_dq_close($B$1,A1025,$M$4))</f>
        <v/>
      </c>
      <c r="C1025" s="1" t="str">
        <f ca="1">IF(A1025="","",[1]!s_dq_close($C$1,A1025,$M$4))</f>
        <v/>
      </c>
      <c r="D1025" s="6" t="str">
        <f ca="1">IF($A1025="","",[1]!s_dq_close(D$1,$A1025,$M$4))</f>
        <v/>
      </c>
      <c r="E1025" s="6" t="str">
        <f ca="1">IF($A1025="","",[1]!s_dq_close(E$1,$A1025,$M$4))</f>
        <v/>
      </c>
      <c r="F1025" s="6" t="str">
        <f ca="1">IF($A1025="","",[1]!s_dq_close(F$1,$A1025,$M$4))</f>
        <v/>
      </c>
      <c r="G1025" s="6"/>
      <c r="H1025" s="6" t="str">
        <f ca="1">IF($A1025="","",[1]!s_dq_close(H$1,$A1025,$M$4))</f>
        <v/>
      </c>
      <c r="I1025" s="6" t="str">
        <f ca="1">IF($A1025="","",[1]!s_dq_close(I$1,$A1025,$M$4))</f>
        <v/>
      </c>
      <c r="J1025" s="6" t="str">
        <f t="shared" ca="1" si="16"/>
        <v/>
      </c>
    </row>
    <row r="1026" spans="1:10">
      <c r="A1026" s="2" t="str">
        <f ca="1">IF(A1025="","",IF(IF(价差分析!$W$4="日",--[1]!td(A1025-1),IF(价差分析!$W$4="周",--[1]!td(A1025-7),--[1]!td(A1025-30)))-价差分析!$T$4&gt;0,IF(价差分析!$W$4="日",--[1]!td(A1025-1),IF(价差分析!$W$4="周",--[1]!td(A1025-7),--[1]!td(A1025-30))),""))</f>
        <v/>
      </c>
      <c r="B1026" s="1" t="str">
        <f ca="1">IF(A1026="","",[1]!s_dq_close($B$1,A1026,$M$4))</f>
        <v/>
      </c>
      <c r="C1026" s="1" t="str">
        <f ca="1">IF(A1026="","",[1]!s_dq_close($C$1,A1026,$M$4))</f>
        <v/>
      </c>
      <c r="D1026" s="6" t="str">
        <f ca="1">IF($A1026="","",[1]!s_dq_close(D$1,$A1026,$M$4))</f>
        <v/>
      </c>
      <c r="E1026" s="6" t="str">
        <f ca="1">IF($A1026="","",[1]!s_dq_close(E$1,$A1026,$M$4))</f>
        <v/>
      </c>
      <c r="F1026" s="6" t="str">
        <f ca="1">IF($A1026="","",[1]!s_dq_close(F$1,$A1026,$M$4))</f>
        <v/>
      </c>
      <c r="G1026" s="6"/>
      <c r="H1026" s="6" t="str">
        <f ca="1">IF($A1026="","",[1]!s_dq_close(H$1,$A1026,$M$4))</f>
        <v/>
      </c>
      <c r="I1026" s="6" t="str">
        <f ca="1">IF($A1026="","",[1]!s_dq_close(I$1,$A1026,$M$4))</f>
        <v/>
      </c>
      <c r="J1026" s="6" t="str">
        <f t="shared" ca="1" si="16"/>
        <v/>
      </c>
    </row>
    <row r="1027" spans="1:10">
      <c r="A1027" s="2" t="str">
        <f ca="1">IF(A1026="","",IF(IF(价差分析!$W$4="日",--[1]!td(A1026-1),IF(价差分析!$W$4="周",--[1]!td(A1026-7),--[1]!td(A1026-30)))-价差分析!$T$4&gt;0,IF(价差分析!$W$4="日",--[1]!td(A1026-1),IF(价差分析!$W$4="周",--[1]!td(A1026-7),--[1]!td(A1026-30))),""))</f>
        <v/>
      </c>
      <c r="B1027" s="1" t="str">
        <f ca="1">IF(A1027="","",[1]!s_dq_close($B$1,A1027,$M$4))</f>
        <v/>
      </c>
      <c r="C1027" s="1" t="str">
        <f ca="1">IF(A1027="","",[1]!s_dq_close($C$1,A1027,$M$4))</f>
        <v/>
      </c>
      <c r="D1027" s="6" t="str">
        <f ca="1">IF($A1027="","",[1]!s_dq_close(D$1,$A1027,$M$4))</f>
        <v/>
      </c>
      <c r="E1027" s="6" t="str">
        <f ca="1">IF($A1027="","",[1]!s_dq_close(E$1,$A1027,$M$4))</f>
        <v/>
      </c>
      <c r="F1027" s="6" t="str">
        <f ca="1">IF($A1027="","",[1]!s_dq_close(F$1,$A1027,$M$4))</f>
        <v/>
      </c>
      <c r="G1027" s="6"/>
      <c r="H1027" s="6" t="str">
        <f ca="1">IF($A1027="","",[1]!s_dq_close(H$1,$A1027,$M$4))</f>
        <v/>
      </c>
      <c r="I1027" s="6" t="str">
        <f ca="1">IF($A1027="","",[1]!s_dq_close(I$1,$A1027,$M$4))</f>
        <v/>
      </c>
      <c r="J1027" s="6" t="str">
        <f t="shared" ca="1" si="16"/>
        <v/>
      </c>
    </row>
    <row r="1028" spans="1:10">
      <c r="A1028" s="2" t="str">
        <f ca="1">IF(A1027="","",IF(IF(价差分析!$W$4="日",--[1]!td(A1027-1),IF(价差分析!$W$4="周",--[1]!td(A1027-7),--[1]!td(A1027-30)))-价差分析!$T$4&gt;0,IF(价差分析!$W$4="日",--[1]!td(A1027-1),IF(价差分析!$W$4="周",--[1]!td(A1027-7),--[1]!td(A1027-30))),""))</f>
        <v/>
      </c>
      <c r="B1028" s="1" t="str">
        <f ca="1">IF(A1028="","",[1]!s_dq_close($B$1,A1028,$M$4))</f>
        <v/>
      </c>
      <c r="C1028" s="1" t="str">
        <f ca="1">IF(A1028="","",[1]!s_dq_close($C$1,A1028,$M$4))</f>
        <v/>
      </c>
      <c r="D1028" s="6" t="str">
        <f ca="1">IF($A1028="","",[1]!s_dq_close(D$1,$A1028,$M$4))</f>
        <v/>
      </c>
      <c r="E1028" s="6" t="str">
        <f ca="1">IF($A1028="","",[1]!s_dq_close(E$1,$A1028,$M$4))</f>
        <v/>
      </c>
      <c r="F1028" s="6" t="str">
        <f ca="1">IF($A1028="","",[1]!s_dq_close(F$1,$A1028,$M$4))</f>
        <v/>
      </c>
      <c r="G1028" s="6"/>
      <c r="H1028" s="6" t="str">
        <f ca="1">IF($A1028="","",[1]!s_dq_close(H$1,$A1028,$M$4))</f>
        <v/>
      </c>
      <c r="I1028" s="6" t="str">
        <f ca="1">IF($A1028="","",[1]!s_dq_close(I$1,$A1028,$M$4))</f>
        <v/>
      </c>
      <c r="J1028" s="6" t="str">
        <f t="shared" ca="1" si="16"/>
        <v/>
      </c>
    </row>
    <row r="1029" spans="1:10">
      <c r="A1029" s="2" t="str">
        <f ca="1">IF(A1028="","",IF(IF(价差分析!$W$4="日",--[1]!td(A1028-1),IF(价差分析!$W$4="周",--[1]!td(A1028-7),--[1]!td(A1028-30)))-价差分析!$T$4&gt;0,IF(价差分析!$W$4="日",--[1]!td(A1028-1),IF(价差分析!$W$4="周",--[1]!td(A1028-7),--[1]!td(A1028-30))),""))</f>
        <v/>
      </c>
      <c r="B1029" s="1" t="str">
        <f ca="1">IF(A1029="","",[1]!s_dq_close($B$1,A1029,$M$4))</f>
        <v/>
      </c>
      <c r="C1029" s="1" t="str">
        <f ca="1">IF(A1029="","",[1]!s_dq_close($C$1,A1029,$M$4))</f>
        <v/>
      </c>
      <c r="D1029" s="6" t="str">
        <f ca="1">IF($A1029="","",[1]!s_dq_close(D$1,$A1029,$M$4))</f>
        <v/>
      </c>
      <c r="E1029" s="6" t="str">
        <f ca="1">IF($A1029="","",[1]!s_dq_close(E$1,$A1029,$M$4))</f>
        <v/>
      </c>
      <c r="F1029" s="6" t="str">
        <f ca="1">IF($A1029="","",[1]!s_dq_close(F$1,$A1029,$M$4))</f>
        <v/>
      </c>
      <c r="G1029" s="6"/>
      <c r="H1029" s="6" t="str">
        <f ca="1">IF($A1029="","",[1]!s_dq_close(H$1,$A1029,$M$4))</f>
        <v/>
      </c>
      <c r="I1029" s="6" t="str">
        <f ca="1">IF($A1029="","",[1]!s_dq_close(I$1,$A1029,$M$4))</f>
        <v/>
      </c>
      <c r="J1029" s="6" t="str">
        <f t="shared" ref="J1029:J1092" ca="1" si="17">IF(H1029="","",H1029-I1029)</f>
        <v/>
      </c>
    </row>
    <row r="1030" spans="1:10">
      <c r="A1030" s="2" t="str">
        <f ca="1">IF(A1029="","",IF(IF(价差分析!$W$4="日",--[1]!td(A1029-1),IF(价差分析!$W$4="周",--[1]!td(A1029-7),--[1]!td(A1029-30)))-价差分析!$T$4&gt;0,IF(价差分析!$W$4="日",--[1]!td(A1029-1),IF(价差分析!$W$4="周",--[1]!td(A1029-7),--[1]!td(A1029-30))),""))</f>
        <v/>
      </c>
      <c r="B1030" s="1" t="str">
        <f ca="1">IF(A1030="","",[1]!s_dq_close($B$1,A1030,$M$4))</f>
        <v/>
      </c>
      <c r="C1030" s="1" t="str">
        <f ca="1">IF(A1030="","",[1]!s_dq_close($C$1,A1030,$M$4))</f>
        <v/>
      </c>
      <c r="D1030" s="6" t="str">
        <f ca="1">IF($A1030="","",[1]!s_dq_close(D$1,$A1030,$M$4))</f>
        <v/>
      </c>
      <c r="E1030" s="6" t="str">
        <f ca="1">IF($A1030="","",[1]!s_dq_close(E$1,$A1030,$M$4))</f>
        <v/>
      </c>
      <c r="F1030" s="6" t="str">
        <f ca="1">IF($A1030="","",[1]!s_dq_close(F$1,$A1030,$M$4))</f>
        <v/>
      </c>
      <c r="G1030" s="6"/>
      <c r="H1030" s="6" t="str">
        <f ca="1">IF($A1030="","",[1]!s_dq_close(H$1,$A1030,$M$4))</f>
        <v/>
      </c>
      <c r="I1030" s="6" t="str">
        <f ca="1">IF($A1030="","",[1]!s_dq_close(I$1,$A1030,$M$4))</f>
        <v/>
      </c>
      <c r="J1030" s="6" t="str">
        <f t="shared" ca="1" si="17"/>
        <v/>
      </c>
    </row>
    <row r="1031" spans="1:10">
      <c r="A1031" s="2" t="str">
        <f ca="1">IF(A1030="","",IF(IF(价差分析!$W$4="日",--[1]!td(A1030-1),IF(价差分析!$W$4="周",--[1]!td(A1030-7),--[1]!td(A1030-30)))-价差分析!$T$4&gt;0,IF(价差分析!$W$4="日",--[1]!td(A1030-1),IF(价差分析!$W$4="周",--[1]!td(A1030-7),--[1]!td(A1030-30))),""))</f>
        <v/>
      </c>
      <c r="B1031" s="1" t="str">
        <f ca="1">IF(A1031="","",[1]!s_dq_close($B$1,A1031,$M$4))</f>
        <v/>
      </c>
      <c r="C1031" s="1" t="str">
        <f ca="1">IF(A1031="","",[1]!s_dq_close($C$1,A1031,$M$4))</f>
        <v/>
      </c>
      <c r="D1031" s="6" t="str">
        <f ca="1">IF($A1031="","",[1]!s_dq_close(D$1,$A1031,$M$4))</f>
        <v/>
      </c>
      <c r="E1031" s="6" t="str">
        <f ca="1">IF($A1031="","",[1]!s_dq_close(E$1,$A1031,$M$4))</f>
        <v/>
      </c>
      <c r="F1031" s="6" t="str">
        <f ca="1">IF($A1031="","",[1]!s_dq_close(F$1,$A1031,$M$4))</f>
        <v/>
      </c>
      <c r="G1031" s="6"/>
      <c r="H1031" s="6" t="str">
        <f ca="1">IF($A1031="","",[1]!s_dq_close(H$1,$A1031,$M$4))</f>
        <v/>
      </c>
      <c r="I1031" s="6" t="str">
        <f ca="1">IF($A1031="","",[1]!s_dq_close(I$1,$A1031,$M$4))</f>
        <v/>
      </c>
      <c r="J1031" s="6" t="str">
        <f t="shared" ca="1" si="17"/>
        <v/>
      </c>
    </row>
    <row r="1032" spans="1:10">
      <c r="A1032" s="2" t="str">
        <f ca="1">IF(A1031="","",IF(IF(价差分析!$W$4="日",--[1]!td(A1031-1),IF(价差分析!$W$4="周",--[1]!td(A1031-7),--[1]!td(A1031-30)))-价差分析!$T$4&gt;0,IF(价差分析!$W$4="日",--[1]!td(A1031-1),IF(价差分析!$W$4="周",--[1]!td(A1031-7),--[1]!td(A1031-30))),""))</f>
        <v/>
      </c>
      <c r="B1032" s="1" t="str">
        <f ca="1">IF(A1032="","",[1]!s_dq_close($B$1,A1032,$M$4))</f>
        <v/>
      </c>
      <c r="C1032" s="1" t="str">
        <f ca="1">IF(A1032="","",[1]!s_dq_close($C$1,A1032,$M$4))</f>
        <v/>
      </c>
      <c r="D1032" s="6" t="str">
        <f ca="1">IF($A1032="","",[1]!s_dq_close(D$1,$A1032,$M$4))</f>
        <v/>
      </c>
      <c r="E1032" s="6" t="str">
        <f ca="1">IF($A1032="","",[1]!s_dq_close(E$1,$A1032,$M$4))</f>
        <v/>
      </c>
      <c r="F1032" s="6" t="str">
        <f ca="1">IF($A1032="","",[1]!s_dq_close(F$1,$A1032,$M$4))</f>
        <v/>
      </c>
      <c r="G1032" s="6"/>
      <c r="H1032" s="6" t="str">
        <f ca="1">IF($A1032="","",[1]!s_dq_close(H$1,$A1032,$M$4))</f>
        <v/>
      </c>
      <c r="I1032" s="6" t="str">
        <f ca="1">IF($A1032="","",[1]!s_dq_close(I$1,$A1032,$M$4))</f>
        <v/>
      </c>
      <c r="J1032" s="6" t="str">
        <f t="shared" ca="1" si="17"/>
        <v/>
      </c>
    </row>
    <row r="1033" spans="1:10">
      <c r="A1033" s="2" t="str">
        <f ca="1">IF(A1032="","",IF(IF(价差分析!$W$4="日",--[1]!td(A1032-1),IF(价差分析!$W$4="周",--[1]!td(A1032-7),--[1]!td(A1032-30)))-价差分析!$T$4&gt;0,IF(价差分析!$W$4="日",--[1]!td(A1032-1),IF(价差分析!$W$4="周",--[1]!td(A1032-7),--[1]!td(A1032-30))),""))</f>
        <v/>
      </c>
      <c r="B1033" s="1" t="str">
        <f ca="1">IF(A1033="","",[1]!s_dq_close($B$1,A1033,$M$4))</f>
        <v/>
      </c>
      <c r="C1033" s="1" t="str">
        <f ca="1">IF(A1033="","",[1]!s_dq_close($C$1,A1033,$M$4))</f>
        <v/>
      </c>
      <c r="D1033" s="6" t="str">
        <f ca="1">IF($A1033="","",[1]!s_dq_close(D$1,$A1033,$M$4))</f>
        <v/>
      </c>
      <c r="E1033" s="6" t="str">
        <f ca="1">IF($A1033="","",[1]!s_dq_close(E$1,$A1033,$M$4))</f>
        <v/>
      </c>
      <c r="F1033" s="6" t="str">
        <f ca="1">IF($A1033="","",[1]!s_dq_close(F$1,$A1033,$M$4))</f>
        <v/>
      </c>
      <c r="G1033" s="6"/>
      <c r="H1033" s="6" t="str">
        <f ca="1">IF($A1033="","",[1]!s_dq_close(H$1,$A1033,$M$4))</f>
        <v/>
      </c>
      <c r="I1033" s="6" t="str">
        <f ca="1">IF($A1033="","",[1]!s_dq_close(I$1,$A1033,$M$4))</f>
        <v/>
      </c>
      <c r="J1033" s="6" t="str">
        <f t="shared" ca="1" si="17"/>
        <v/>
      </c>
    </row>
    <row r="1034" spans="1:10">
      <c r="A1034" s="2" t="str">
        <f ca="1">IF(A1033="","",IF(IF(价差分析!$W$4="日",--[1]!td(A1033-1),IF(价差分析!$W$4="周",--[1]!td(A1033-7),--[1]!td(A1033-30)))-价差分析!$T$4&gt;0,IF(价差分析!$W$4="日",--[1]!td(A1033-1),IF(价差分析!$W$4="周",--[1]!td(A1033-7),--[1]!td(A1033-30))),""))</f>
        <v/>
      </c>
      <c r="B1034" s="1" t="str">
        <f ca="1">IF(A1034="","",[1]!s_dq_close($B$1,A1034,$M$4))</f>
        <v/>
      </c>
      <c r="C1034" s="1" t="str">
        <f ca="1">IF(A1034="","",[1]!s_dq_close($C$1,A1034,$M$4))</f>
        <v/>
      </c>
      <c r="D1034" s="6" t="str">
        <f ca="1">IF($A1034="","",[1]!s_dq_close(D$1,$A1034,$M$4))</f>
        <v/>
      </c>
      <c r="E1034" s="6" t="str">
        <f ca="1">IF($A1034="","",[1]!s_dq_close(E$1,$A1034,$M$4))</f>
        <v/>
      </c>
      <c r="F1034" s="6" t="str">
        <f ca="1">IF($A1034="","",[1]!s_dq_close(F$1,$A1034,$M$4))</f>
        <v/>
      </c>
      <c r="G1034" s="6"/>
      <c r="H1034" s="6" t="str">
        <f ca="1">IF($A1034="","",[1]!s_dq_close(H$1,$A1034,$M$4))</f>
        <v/>
      </c>
      <c r="I1034" s="6" t="str">
        <f ca="1">IF($A1034="","",[1]!s_dq_close(I$1,$A1034,$M$4))</f>
        <v/>
      </c>
      <c r="J1034" s="6" t="str">
        <f t="shared" ca="1" si="17"/>
        <v/>
      </c>
    </row>
    <row r="1035" spans="1:10">
      <c r="A1035" s="2" t="str">
        <f ca="1">IF(A1034="","",IF(IF(价差分析!$W$4="日",--[1]!td(A1034-1),IF(价差分析!$W$4="周",--[1]!td(A1034-7),--[1]!td(A1034-30)))-价差分析!$T$4&gt;0,IF(价差分析!$W$4="日",--[1]!td(A1034-1),IF(价差分析!$W$4="周",--[1]!td(A1034-7),--[1]!td(A1034-30))),""))</f>
        <v/>
      </c>
      <c r="B1035" s="1" t="str">
        <f ca="1">IF(A1035="","",[1]!s_dq_close($B$1,A1035,$M$4))</f>
        <v/>
      </c>
      <c r="C1035" s="1" t="str">
        <f ca="1">IF(A1035="","",[1]!s_dq_close($C$1,A1035,$M$4))</f>
        <v/>
      </c>
      <c r="D1035" s="6" t="str">
        <f ca="1">IF($A1035="","",[1]!s_dq_close(D$1,$A1035,$M$4))</f>
        <v/>
      </c>
      <c r="E1035" s="6" t="str">
        <f ca="1">IF($A1035="","",[1]!s_dq_close(E$1,$A1035,$M$4))</f>
        <v/>
      </c>
      <c r="F1035" s="6" t="str">
        <f ca="1">IF($A1035="","",[1]!s_dq_close(F$1,$A1035,$M$4))</f>
        <v/>
      </c>
      <c r="G1035" s="6"/>
      <c r="H1035" s="6" t="str">
        <f ca="1">IF($A1035="","",[1]!s_dq_close(H$1,$A1035,$M$4))</f>
        <v/>
      </c>
      <c r="I1035" s="6" t="str">
        <f ca="1">IF($A1035="","",[1]!s_dq_close(I$1,$A1035,$M$4))</f>
        <v/>
      </c>
      <c r="J1035" s="6" t="str">
        <f t="shared" ca="1" si="17"/>
        <v/>
      </c>
    </row>
    <row r="1036" spans="1:10">
      <c r="A1036" s="2" t="str">
        <f ca="1">IF(A1035="","",IF(IF(价差分析!$W$4="日",--[1]!td(A1035-1),IF(价差分析!$W$4="周",--[1]!td(A1035-7),--[1]!td(A1035-30)))-价差分析!$T$4&gt;0,IF(价差分析!$W$4="日",--[1]!td(A1035-1),IF(价差分析!$W$4="周",--[1]!td(A1035-7),--[1]!td(A1035-30))),""))</f>
        <v/>
      </c>
      <c r="B1036" s="1" t="str">
        <f ca="1">IF(A1036="","",[1]!s_dq_close($B$1,A1036,$M$4))</f>
        <v/>
      </c>
      <c r="C1036" s="1" t="str">
        <f ca="1">IF(A1036="","",[1]!s_dq_close($C$1,A1036,$M$4))</f>
        <v/>
      </c>
      <c r="D1036" s="6" t="str">
        <f ca="1">IF($A1036="","",[1]!s_dq_close(D$1,$A1036,$M$4))</f>
        <v/>
      </c>
      <c r="E1036" s="6" t="str">
        <f ca="1">IF($A1036="","",[1]!s_dq_close(E$1,$A1036,$M$4))</f>
        <v/>
      </c>
      <c r="F1036" s="6" t="str">
        <f ca="1">IF($A1036="","",[1]!s_dq_close(F$1,$A1036,$M$4))</f>
        <v/>
      </c>
      <c r="G1036" s="6"/>
      <c r="H1036" s="6" t="str">
        <f ca="1">IF($A1036="","",[1]!s_dq_close(H$1,$A1036,$M$4))</f>
        <v/>
      </c>
      <c r="I1036" s="6" t="str">
        <f ca="1">IF($A1036="","",[1]!s_dq_close(I$1,$A1036,$M$4))</f>
        <v/>
      </c>
      <c r="J1036" s="6" t="str">
        <f t="shared" ca="1" si="17"/>
        <v/>
      </c>
    </row>
    <row r="1037" spans="1:10">
      <c r="A1037" s="2" t="str">
        <f ca="1">IF(A1036="","",IF(IF(价差分析!$W$4="日",--[1]!td(A1036-1),IF(价差分析!$W$4="周",--[1]!td(A1036-7),--[1]!td(A1036-30)))-价差分析!$T$4&gt;0,IF(价差分析!$W$4="日",--[1]!td(A1036-1),IF(价差分析!$W$4="周",--[1]!td(A1036-7),--[1]!td(A1036-30))),""))</f>
        <v/>
      </c>
      <c r="B1037" s="1" t="str">
        <f ca="1">IF(A1037="","",[1]!s_dq_close($B$1,A1037,$M$4))</f>
        <v/>
      </c>
      <c r="C1037" s="1" t="str">
        <f ca="1">IF(A1037="","",[1]!s_dq_close($C$1,A1037,$M$4))</f>
        <v/>
      </c>
      <c r="D1037" s="6" t="str">
        <f ca="1">IF($A1037="","",[1]!s_dq_close(D$1,$A1037,$M$4))</f>
        <v/>
      </c>
      <c r="E1037" s="6" t="str">
        <f ca="1">IF($A1037="","",[1]!s_dq_close(E$1,$A1037,$M$4))</f>
        <v/>
      </c>
      <c r="F1037" s="6" t="str">
        <f ca="1">IF($A1037="","",[1]!s_dq_close(F$1,$A1037,$M$4))</f>
        <v/>
      </c>
      <c r="G1037" s="6"/>
      <c r="H1037" s="6" t="str">
        <f ca="1">IF($A1037="","",[1]!s_dq_close(H$1,$A1037,$M$4))</f>
        <v/>
      </c>
      <c r="I1037" s="6" t="str">
        <f ca="1">IF($A1037="","",[1]!s_dq_close(I$1,$A1037,$M$4))</f>
        <v/>
      </c>
      <c r="J1037" s="6" t="str">
        <f t="shared" ca="1" si="17"/>
        <v/>
      </c>
    </row>
    <row r="1038" spans="1:10">
      <c r="A1038" s="2" t="str">
        <f ca="1">IF(A1037="","",IF(IF(价差分析!$W$4="日",--[1]!td(A1037-1),IF(价差分析!$W$4="周",--[1]!td(A1037-7),--[1]!td(A1037-30)))-价差分析!$T$4&gt;0,IF(价差分析!$W$4="日",--[1]!td(A1037-1),IF(价差分析!$W$4="周",--[1]!td(A1037-7),--[1]!td(A1037-30))),""))</f>
        <v/>
      </c>
      <c r="B1038" s="1" t="str">
        <f ca="1">IF(A1038="","",[1]!s_dq_close($B$1,A1038,$M$4))</f>
        <v/>
      </c>
      <c r="C1038" s="1" t="str">
        <f ca="1">IF(A1038="","",[1]!s_dq_close($C$1,A1038,$M$4))</f>
        <v/>
      </c>
      <c r="D1038" s="6" t="str">
        <f ca="1">IF($A1038="","",[1]!s_dq_close(D$1,$A1038,$M$4))</f>
        <v/>
      </c>
      <c r="E1038" s="6" t="str">
        <f ca="1">IF($A1038="","",[1]!s_dq_close(E$1,$A1038,$M$4))</f>
        <v/>
      </c>
      <c r="F1038" s="6" t="str">
        <f ca="1">IF($A1038="","",[1]!s_dq_close(F$1,$A1038,$M$4))</f>
        <v/>
      </c>
      <c r="G1038" s="6"/>
      <c r="H1038" s="6" t="str">
        <f ca="1">IF($A1038="","",[1]!s_dq_close(H$1,$A1038,$M$4))</f>
        <v/>
      </c>
      <c r="I1038" s="6" t="str">
        <f ca="1">IF($A1038="","",[1]!s_dq_close(I$1,$A1038,$M$4))</f>
        <v/>
      </c>
      <c r="J1038" s="6" t="str">
        <f t="shared" ca="1" si="17"/>
        <v/>
      </c>
    </row>
    <row r="1039" spans="1:10">
      <c r="A1039" s="2" t="str">
        <f ca="1">IF(A1038="","",IF(IF(价差分析!$W$4="日",--[1]!td(A1038-1),IF(价差分析!$W$4="周",--[1]!td(A1038-7),--[1]!td(A1038-30)))-价差分析!$T$4&gt;0,IF(价差分析!$W$4="日",--[1]!td(A1038-1),IF(价差分析!$W$4="周",--[1]!td(A1038-7),--[1]!td(A1038-30))),""))</f>
        <v/>
      </c>
      <c r="B1039" s="1" t="str">
        <f ca="1">IF(A1039="","",[1]!s_dq_close($B$1,A1039,$M$4))</f>
        <v/>
      </c>
      <c r="C1039" s="1" t="str">
        <f ca="1">IF(A1039="","",[1]!s_dq_close($C$1,A1039,$M$4))</f>
        <v/>
      </c>
      <c r="D1039" s="6" t="str">
        <f ca="1">IF($A1039="","",[1]!s_dq_close(D$1,$A1039,$M$4))</f>
        <v/>
      </c>
      <c r="E1039" s="6" t="str">
        <f ca="1">IF($A1039="","",[1]!s_dq_close(E$1,$A1039,$M$4))</f>
        <v/>
      </c>
      <c r="F1039" s="6" t="str">
        <f ca="1">IF($A1039="","",[1]!s_dq_close(F$1,$A1039,$M$4))</f>
        <v/>
      </c>
      <c r="G1039" s="6"/>
      <c r="H1039" s="6" t="str">
        <f ca="1">IF($A1039="","",[1]!s_dq_close(H$1,$A1039,$M$4))</f>
        <v/>
      </c>
      <c r="I1039" s="6" t="str">
        <f ca="1">IF($A1039="","",[1]!s_dq_close(I$1,$A1039,$M$4))</f>
        <v/>
      </c>
      <c r="J1039" s="6" t="str">
        <f t="shared" ca="1" si="17"/>
        <v/>
      </c>
    </row>
    <row r="1040" spans="1:10">
      <c r="A1040" s="2" t="str">
        <f ca="1">IF(A1039="","",IF(IF(价差分析!$W$4="日",--[1]!td(A1039-1),IF(价差分析!$W$4="周",--[1]!td(A1039-7),--[1]!td(A1039-30)))-价差分析!$T$4&gt;0,IF(价差分析!$W$4="日",--[1]!td(A1039-1),IF(价差分析!$W$4="周",--[1]!td(A1039-7),--[1]!td(A1039-30))),""))</f>
        <v/>
      </c>
      <c r="B1040" s="1" t="str">
        <f ca="1">IF(A1040="","",[1]!s_dq_close($B$1,A1040,$M$4))</f>
        <v/>
      </c>
      <c r="C1040" s="1" t="str">
        <f ca="1">IF(A1040="","",[1]!s_dq_close($C$1,A1040,$M$4))</f>
        <v/>
      </c>
      <c r="D1040" s="6" t="str">
        <f ca="1">IF($A1040="","",[1]!s_dq_close(D$1,$A1040,$M$4))</f>
        <v/>
      </c>
      <c r="E1040" s="6" t="str">
        <f ca="1">IF($A1040="","",[1]!s_dq_close(E$1,$A1040,$M$4))</f>
        <v/>
      </c>
      <c r="F1040" s="6" t="str">
        <f ca="1">IF($A1040="","",[1]!s_dq_close(F$1,$A1040,$M$4))</f>
        <v/>
      </c>
      <c r="G1040" s="6"/>
      <c r="H1040" s="6" t="str">
        <f ca="1">IF($A1040="","",[1]!s_dq_close(H$1,$A1040,$M$4))</f>
        <v/>
      </c>
      <c r="I1040" s="6" t="str">
        <f ca="1">IF($A1040="","",[1]!s_dq_close(I$1,$A1040,$M$4))</f>
        <v/>
      </c>
      <c r="J1040" s="6" t="str">
        <f t="shared" ca="1" si="17"/>
        <v/>
      </c>
    </row>
    <row r="1041" spans="1:10">
      <c r="A1041" s="2" t="str">
        <f ca="1">IF(A1040="","",IF(IF(价差分析!$W$4="日",--[1]!td(A1040-1),IF(价差分析!$W$4="周",--[1]!td(A1040-7),--[1]!td(A1040-30)))-价差分析!$T$4&gt;0,IF(价差分析!$W$4="日",--[1]!td(A1040-1),IF(价差分析!$W$4="周",--[1]!td(A1040-7),--[1]!td(A1040-30))),""))</f>
        <v/>
      </c>
      <c r="B1041" s="1" t="str">
        <f ca="1">IF(A1041="","",[1]!s_dq_close($B$1,A1041,$M$4))</f>
        <v/>
      </c>
      <c r="C1041" s="1" t="str">
        <f ca="1">IF(A1041="","",[1]!s_dq_close($C$1,A1041,$M$4))</f>
        <v/>
      </c>
      <c r="D1041" s="6" t="str">
        <f ca="1">IF($A1041="","",[1]!s_dq_close(D$1,$A1041,$M$4))</f>
        <v/>
      </c>
      <c r="E1041" s="6" t="str">
        <f ca="1">IF($A1041="","",[1]!s_dq_close(E$1,$A1041,$M$4))</f>
        <v/>
      </c>
      <c r="F1041" s="6" t="str">
        <f ca="1">IF($A1041="","",[1]!s_dq_close(F$1,$A1041,$M$4))</f>
        <v/>
      </c>
      <c r="G1041" s="6"/>
      <c r="H1041" s="6" t="str">
        <f ca="1">IF($A1041="","",[1]!s_dq_close(H$1,$A1041,$M$4))</f>
        <v/>
      </c>
      <c r="I1041" s="6" t="str">
        <f ca="1">IF($A1041="","",[1]!s_dq_close(I$1,$A1041,$M$4))</f>
        <v/>
      </c>
      <c r="J1041" s="6" t="str">
        <f t="shared" ca="1" si="17"/>
        <v/>
      </c>
    </row>
    <row r="1042" spans="1:10">
      <c r="A1042" s="2" t="str">
        <f ca="1">IF(A1041="","",IF(IF(价差分析!$W$4="日",--[1]!td(A1041-1),IF(价差分析!$W$4="周",--[1]!td(A1041-7),--[1]!td(A1041-30)))-价差分析!$T$4&gt;0,IF(价差分析!$W$4="日",--[1]!td(A1041-1),IF(价差分析!$W$4="周",--[1]!td(A1041-7),--[1]!td(A1041-30))),""))</f>
        <v/>
      </c>
      <c r="B1042" s="1" t="str">
        <f ca="1">IF(A1042="","",[1]!s_dq_close($B$1,A1042,$M$4))</f>
        <v/>
      </c>
      <c r="C1042" s="1" t="str">
        <f ca="1">IF(A1042="","",[1]!s_dq_close($C$1,A1042,$M$4))</f>
        <v/>
      </c>
      <c r="D1042" s="6" t="str">
        <f ca="1">IF($A1042="","",[1]!s_dq_close(D$1,$A1042,$M$4))</f>
        <v/>
      </c>
      <c r="E1042" s="6" t="str">
        <f ca="1">IF($A1042="","",[1]!s_dq_close(E$1,$A1042,$M$4))</f>
        <v/>
      </c>
      <c r="F1042" s="6" t="str">
        <f ca="1">IF($A1042="","",[1]!s_dq_close(F$1,$A1042,$M$4))</f>
        <v/>
      </c>
      <c r="G1042" s="6"/>
      <c r="H1042" s="6" t="str">
        <f ca="1">IF($A1042="","",[1]!s_dq_close(H$1,$A1042,$M$4))</f>
        <v/>
      </c>
      <c r="I1042" s="6" t="str">
        <f ca="1">IF($A1042="","",[1]!s_dq_close(I$1,$A1042,$M$4))</f>
        <v/>
      </c>
      <c r="J1042" s="6" t="str">
        <f t="shared" ca="1" si="17"/>
        <v/>
      </c>
    </row>
    <row r="1043" spans="1:10">
      <c r="A1043" s="2" t="str">
        <f ca="1">IF(A1042="","",IF(IF(价差分析!$W$4="日",--[1]!td(A1042-1),IF(价差分析!$W$4="周",--[1]!td(A1042-7),--[1]!td(A1042-30)))-价差分析!$T$4&gt;0,IF(价差分析!$W$4="日",--[1]!td(A1042-1),IF(价差分析!$W$4="周",--[1]!td(A1042-7),--[1]!td(A1042-30))),""))</f>
        <v/>
      </c>
      <c r="B1043" s="1" t="str">
        <f ca="1">IF(A1043="","",[1]!s_dq_close($B$1,A1043,$M$4))</f>
        <v/>
      </c>
      <c r="C1043" s="1" t="str">
        <f ca="1">IF(A1043="","",[1]!s_dq_close($C$1,A1043,$M$4))</f>
        <v/>
      </c>
      <c r="D1043" s="6" t="str">
        <f ca="1">IF($A1043="","",[1]!s_dq_close(D$1,$A1043,$M$4))</f>
        <v/>
      </c>
      <c r="E1043" s="6" t="str">
        <f ca="1">IF($A1043="","",[1]!s_dq_close(E$1,$A1043,$M$4))</f>
        <v/>
      </c>
      <c r="F1043" s="6" t="str">
        <f ca="1">IF($A1043="","",[1]!s_dq_close(F$1,$A1043,$M$4))</f>
        <v/>
      </c>
      <c r="G1043" s="6"/>
      <c r="H1043" s="6" t="str">
        <f ca="1">IF($A1043="","",[1]!s_dq_close(H$1,$A1043,$M$4))</f>
        <v/>
      </c>
      <c r="I1043" s="6" t="str">
        <f ca="1">IF($A1043="","",[1]!s_dq_close(I$1,$A1043,$M$4))</f>
        <v/>
      </c>
      <c r="J1043" s="6" t="str">
        <f t="shared" ca="1" si="17"/>
        <v/>
      </c>
    </row>
    <row r="1044" spans="1:10">
      <c r="A1044" s="2" t="str">
        <f ca="1">IF(A1043="","",IF(IF(价差分析!$W$4="日",--[1]!td(A1043-1),IF(价差分析!$W$4="周",--[1]!td(A1043-7),--[1]!td(A1043-30)))-价差分析!$T$4&gt;0,IF(价差分析!$W$4="日",--[1]!td(A1043-1),IF(价差分析!$W$4="周",--[1]!td(A1043-7),--[1]!td(A1043-30))),""))</f>
        <v/>
      </c>
      <c r="B1044" s="1" t="str">
        <f ca="1">IF(A1044="","",[1]!s_dq_close($B$1,A1044,$M$4))</f>
        <v/>
      </c>
      <c r="C1044" s="1" t="str">
        <f ca="1">IF(A1044="","",[1]!s_dq_close($C$1,A1044,$M$4))</f>
        <v/>
      </c>
      <c r="D1044" s="6" t="str">
        <f ca="1">IF($A1044="","",[1]!s_dq_close(D$1,$A1044,$M$4))</f>
        <v/>
      </c>
      <c r="E1044" s="6" t="str">
        <f ca="1">IF($A1044="","",[1]!s_dq_close(E$1,$A1044,$M$4))</f>
        <v/>
      </c>
      <c r="F1044" s="6" t="str">
        <f ca="1">IF($A1044="","",[1]!s_dq_close(F$1,$A1044,$M$4))</f>
        <v/>
      </c>
      <c r="G1044" s="6"/>
      <c r="H1044" s="6" t="str">
        <f ca="1">IF($A1044="","",[1]!s_dq_close(H$1,$A1044,$M$4))</f>
        <v/>
      </c>
      <c r="I1044" s="6" t="str">
        <f ca="1">IF($A1044="","",[1]!s_dq_close(I$1,$A1044,$M$4))</f>
        <v/>
      </c>
      <c r="J1044" s="6" t="str">
        <f t="shared" ca="1" si="17"/>
        <v/>
      </c>
    </row>
    <row r="1045" spans="1:10">
      <c r="A1045" s="2" t="str">
        <f ca="1">IF(A1044="","",IF(IF(价差分析!$W$4="日",--[1]!td(A1044-1),IF(价差分析!$W$4="周",--[1]!td(A1044-7),--[1]!td(A1044-30)))-价差分析!$T$4&gt;0,IF(价差分析!$W$4="日",--[1]!td(A1044-1),IF(价差分析!$W$4="周",--[1]!td(A1044-7),--[1]!td(A1044-30))),""))</f>
        <v/>
      </c>
      <c r="B1045" s="1" t="str">
        <f ca="1">IF(A1045="","",[1]!s_dq_close($B$1,A1045,$M$4))</f>
        <v/>
      </c>
      <c r="C1045" s="1" t="str">
        <f ca="1">IF(A1045="","",[1]!s_dq_close($C$1,A1045,$M$4))</f>
        <v/>
      </c>
      <c r="D1045" s="6" t="str">
        <f ca="1">IF($A1045="","",[1]!s_dq_close(D$1,$A1045,$M$4))</f>
        <v/>
      </c>
      <c r="E1045" s="6" t="str">
        <f ca="1">IF($A1045="","",[1]!s_dq_close(E$1,$A1045,$M$4))</f>
        <v/>
      </c>
      <c r="F1045" s="6" t="str">
        <f ca="1">IF($A1045="","",[1]!s_dq_close(F$1,$A1045,$M$4))</f>
        <v/>
      </c>
      <c r="G1045" s="6"/>
      <c r="H1045" s="6" t="str">
        <f ca="1">IF($A1045="","",[1]!s_dq_close(H$1,$A1045,$M$4))</f>
        <v/>
      </c>
      <c r="I1045" s="6" t="str">
        <f ca="1">IF($A1045="","",[1]!s_dq_close(I$1,$A1045,$M$4))</f>
        <v/>
      </c>
      <c r="J1045" s="6" t="str">
        <f t="shared" ca="1" si="17"/>
        <v/>
      </c>
    </row>
    <row r="1046" spans="1:10">
      <c r="A1046" s="2" t="str">
        <f ca="1">IF(A1045="","",IF(IF(价差分析!$W$4="日",--[1]!td(A1045-1),IF(价差分析!$W$4="周",--[1]!td(A1045-7),--[1]!td(A1045-30)))-价差分析!$T$4&gt;0,IF(价差分析!$W$4="日",--[1]!td(A1045-1),IF(价差分析!$W$4="周",--[1]!td(A1045-7),--[1]!td(A1045-30))),""))</f>
        <v/>
      </c>
      <c r="B1046" s="1" t="str">
        <f ca="1">IF(A1046="","",[1]!s_dq_close($B$1,A1046,$M$4))</f>
        <v/>
      </c>
      <c r="C1046" s="1" t="str">
        <f ca="1">IF(A1046="","",[1]!s_dq_close($C$1,A1046,$M$4))</f>
        <v/>
      </c>
      <c r="D1046" s="6" t="str">
        <f ca="1">IF($A1046="","",[1]!s_dq_close(D$1,$A1046,$M$4))</f>
        <v/>
      </c>
      <c r="E1046" s="6" t="str">
        <f ca="1">IF($A1046="","",[1]!s_dq_close(E$1,$A1046,$M$4))</f>
        <v/>
      </c>
      <c r="F1046" s="6" t="str">
        <f ca="1">IF($A1046="","",[1]!s_dq_close(F$1,$A1046,$M$4))</f>
        <v/>
      </c>
      <c r="G1046" s="6"/>
      <c r="H1046" s="6" t="str">
        <f ca="1">IF($A1046="","",[1]!s_dq_close(H$1,$A1046,$M$4))</f>
        <v/>
      </c>
      <c r="I1046" s="6" t="str">
        <f ca="1">IF($A1046="","",[1]!s_dq_close(I$1,$A1046,$M$4))</f>
        <v/>
      </c>
      <c r="J1046" s="6" t="str">
        <f t="shared" ca="1" si="17"/>
        <v/>
      </c>
    </row>
    <row r="1047" spans="1:10">
      <c r="A1047" s="2" t="str">
        <f ca="1">IF(A1046="","",IF(IF(价差分析!$W$4="日",--[1]!td(A1046-1),IF(价差分析!$W$4="周",--[1]!td(A1046-7),--[1]!td(A1046-30)))-价差分析!$T$4&gt;0,IF(价差分析!$W$4="日",--[1]!td(A1046-1),IF(价差分析!$W$4="周",--[1]!td(A1046-7),--[1]!td(A1046-30))),""))</f>
        <v/>
      </c>
      <c r="B1047" s="1" t="str">
        <f ca="1">IF(A1047="","",[1]!s_dq_close($B$1,A1047,$M$4))</f>
        <v/>
      </c>
      <c r="C1047" s="1" t="str">
        <f ca="1">IF(A1047="","",[1]!s_dq_close($C$1,A1047,$M$4))</f>
        <v/>
      </c>
      <c r="D1047" s="6" t="str">
        <f ca="1">IF($A1047="","",[1]!s_dq_close(D$1,$A1047,$M$4))</f>
        <v/>
      </c>
      <c r="E1047" s="6" t="str">
        <f ca="1">IF($A1047="","",[1]!s_dq_close(E$1,$A1047,$M$4))</f>
        <v/>
      </c>
      <c r="F1047" s="6" t="str">
        <f ca="1">IF($A1047="","",[1]!s_dq_close(F$1,$A1047,$M$4))</f>
        <v/>
      </c>
      <c r="G1047" s="6"/>
      <c r="H1047" s="6" t="str">
        <f ca="1">IF($A1047="","",[1]!s_dq_close(H$1,$A1047,$M$4))</f>
        <v/>
      </c>
      <c r="I1047" s="6" t="str">
        <f ca="1">IF($A1047="","",[1]!s_dq_close(I$1,$A1047,$M$4))</f>
        <v/>
      </c>
      <c r="J1047" s="6" t="str">
        <f t="shared" ca="1" si="17"/>
        <v/>
      </c>
    </row>
    <row r="1048" spans="1:10">
      <c r="A1048" s="2" t="str">
        <f ca="1">IF(A1047="","",IF(IF(价差分析!$W$4="日",--[1]!td(A1047-1),IF(价差分析!$W$4="周",--[1]!td(A1047-7),--[1]!td(A1047-30)))-价差分析!$T$4&gt;0,IF(价差分析!$W$4="日",--[1]!td(A1047-1),IF(价差分析!$W$4="周",--[1]!td(A1047-7),--[1]!td(A1047-30))),""))</f>
        <v/>
      </c>
      <c r="B1048" s="1" t="str">
        <f ca="1">IF(A1048="","",[1]!s_dq_close($B$1,A1048,$M$4))</f>
        <v/>
      </c>
      <c r="C1048" s="1" t="str">
        <f ca="1">IF(A1048="","",[1]!s_dq_close($C$1,A1048,$M$4))</f>
        <v/>
      </c>
      <c r="D1048" s="6" t="str">
        <f ca="1">IF($A1048="","",[1]!s_dq_close(D$1,$A1048,$M$4))</f>
        <v/>
      </c>
      <c r="E1048" s="6" t="str">
        <f ca="1">IF($A1048="","",[1]!s_dq_close(E$1,$A1048,$M$4))</f>
        <v/>
      </c>
      <c r="F1048" s="6" t="str">
        <f ca="1">IF($A1048="","",[1]!s_dq_close(F$1,$A1048,$M$4))</f>
        <v/>
      </c>
      <c r="G1048" s="6"/>
      <c r="H1048" s="6" t="str">
        <f ca="1">IF($A1048="","",[1]!s_dq_close(H$1,$A1048,$M$4))</f>
        <v/>
      </c>
      <c r="I1048" s="6" t="str">
        <f ca="1">IF($A1048="","",[1]!s_dq_close(I$1,$A1048,$M$4))</f>
        <v/>
      </c>
      <c r="J1048" s="6" t="str">
        <f t="shared" ca="1" si="17"/>
        <v/>
      </c>
    </row>
    <row r="1049" spans="1:10">
      <c r="A1049" s="2" t="str">
        <f ca="1">IF(A1048="","",IF(IF(价差分析!$W$4="日",--[1]!td(A1048-1),IF(价差分析!$W$4="周",--[1]!td(A1048-7),--[1]!td(A1048-30)))-价差分析!$T$4&gt;0,IF(价差分析!$W$4="日",--[1]!td(A1048-1),IF(价差分析!$W$4="周",--[1]!td(A1048-7),--[1]!td(A1048-30))),""))</f>
        <v/>
      </c>
      <c r="B1049" s="1" t="str">
        <f ca="1">IF(A1049="","",[1]!s_dq_close($B$1,A1049,$M$4))</f>
        <v/>
      </c>
      <c r="C1049" s="1" t="str">
        <f ca="1">IF(A1049="","",[1]!s_dq_close($C$1,A1049,$M$4))</f>
        <v/>
      </c>
      <c r="D1049" s="6" t="str">
        <f ca="1">IF($A1049="","",[1]!s_dq_close(D$1,$A1049,$M$4))</f>
        <v/>
      </c>
      <c r="E1049" s="6" t="str">
        <f ca="1">IF($A1049="","",[1]!s_dq_close(E$1,$A1049,$M$4))</f>
        <v/>
      </c>
      <c r="F1049" s="6" t="str">
        <f ca="1">IF($A1049="","",[1]!s_dq_close(F$1,$A1049,$M$4))</f>
        <v/>
      </c>
      <c r="G1049" s="6"/>
      <c r="H1049" s="6" t="str">
        <f ca="1">IF($A1049="","",[1]!s_dq_close(H$1,$A1049,$M$4))</f>
        <v/>
      </c>
      <c r="I1049" s="6" t="str">
        <f ca="1">IF($A1049="","",[1]!s_dq_close(I$1,$A1049,$M$4))</f>
        <v/>
      </c>
      <c r="J1049" s="6" t="str">
        <f t="shared" ca="1" si="17"/>
        <v/>
      </c>
    </row>
    <row r="1050" spans="1:10">
      <c r="A1050" s="2" t="str">
        <f ca="1">IF(A1049="","",IF(IF(价差分析!$W$4="日",--[1]!td(A1049-1),IF(价差分析!$W$4="周",--[1]!td(A1049-7),--[1]!td(A1049-30)))-价差分析!$T$4&gt;0,IF(价差分析!$W$4="日",--[1]!td(A1049-1),IF(价差分析!$W$4="周",--[1]!td(A1049-7),--[1]!td(A1049-30))),""))</f>
        <v/>
      </c>
      <c r="B1050" s="1" t="str">
        <f ca="1">IF(A1050="","",[1]!s_dq_close($B$1,A1050,$M$4))</f>
        <v/>
      </c>
      <c r="C1050" s="1" t="str">
        <f ca="1">IF(A1050="","",[1]!s_dq_close($C$1,A1050,$M$4))</f>
        <v/>
      </c>
      <c r="D1050" s="6" t="str">
        <f ca="1">IF($A1050="","",[1]!s_dq_close(D$1,$A1050,$M$4))</f>
        <v/>
      </c>
      <c r="E1050" s="6" t="str">
        <f ca="1">IF($A1050="","",[1]!s_dq_close(E$1,$A1050,$M$4))</f>
        <v/>
      </c>
      <c r="F1050" s="6" t="str">
        <f ca="1">IF($A1050="","",[1]!s_dq_close(F$1,$A1050,$M$4))</f>
        <v/>
      </c>
      <c r="G1050" s="6"/>
      <c r="H1050" s="6" t="str">
        <f ca="1">IF($A1050="","",[1]!s_dq_close(H$1,$A1050,$M$4))</f>
        <v/>
      </c>
      <c r="I1050" s="6" t="str">
        <f ca="1">IF($A1050="","",[1]!s_dq_close(I$1,$A1050,$M$4))</f>
        <v/>
      </c>
      <c r="J1050" s="6" t="str">
        <f t="shared" ca="1" si="17"/>
        <v/>
      </c>
    </row>
    <row r="1051" spans="1:10">
      <c r="A1051" s="2" t="str">
        <f ca="1">IF(A1050="","",IF(IF(价差分析!$W$4="日",--[1]!td(A1050-1),IF(价差分析!$W$4="周",--[1]!td(A1050-7),--[1]!td(A1050-30)))-价差分析!$T$4&gt;0,IF(价差分析!$W$4="日",--[1]!td(A1050-1),IF(价差分析!$W$4="周",--[1]!td(A1050-7),--[1]!td(A1050-30))),""))</f>
        <v/>
      </c>
      <c r="B1051" s="1" t="str">
        <f ca="1">IF(A1051="","",[1]!s_dq_close($B$1,A1051,$M$4))</f>
        <v/>
      </c>
      <c r="C1051" s="1" t="str">
        <f ca="1">IF(A1051="","",[1]!s_dq_close($C$1,A1051,$M$4))</f>
        <v/>
      </c>
      <c r="D1051" s="6" t="str">
        <f ca="1">IF($A1051="","",[1]!s_dq_close(D$1,$A1051,$M$4))</f>
        <v/>
      </c>
      <c r="E1051" s="6" t="str">
        <f ca="1">IF($A1051="","",[1]!s_dq_close(E$1,$A1051,$M$4))</f>
        <v/>
      </c>
      <c r="F1051" s="6" t="str">
        <f ca="1">IF($A1051="","",[1]!s_dq_close(F$1,$A1051,$M$4))</f>
        <v/>
      </c>
      <c r="G1051" s="6"/>
      <c r="H1051" s="6" t="str">
        <f ca="1">IF($A1051="","",[1]!s_dq_close(H$1,$A1051,$M$4))</f>
        <v/>
      </c>
      <c r="I1051" s="6" t="str">
        <f ca="1">IF($A1051="","",[1]!s_dq_close(I$1,$A1051,$M$4))</f>
        <v/>
      </c>
      <c r="J1051" s="6" t="str">
        <f t="shared" ca="1" si="17"/>
        <v/>
      </c>
    </row>
    <row r="1052" spans="1:10">
      <c r="A1052" s="2" t="str">
        <f ca="1">IF(A1051="","",IF(IF(价差分析!$W$4="日",--[1]!td(A1051-1),IF(价差分析!$W$4="周",--[1]!td(A1051-7),--[1]!td(A1051-30)))-价差分析!$T$4&gt;0,IF(价差分析!$W$4="日",--[1]!td(A1051-1),IF(价差分析!$W$4="周",--[1]!td(A1051-7),--[1]!td(A1051-30))),""))</f>
        <v/>
      </c>
      <c r="B1052" s="1" t="str">
        <f ca="1">IF(A1052="","",[1]!s_dq_close($B$1,A1052,$M$4))</f>
        <v/>
      </c>
      <c r="C1052" s="1" t="str">
        <f ca="1">IF(A1052="","",[1]!s_dq_close($C$1,A1052,$M$4))</f>
        <v/>
      </c>
      <c r="D1052" s="6" t="str">
        <f ca="1">IF($A1052="","",[1]!s_dq_close(D$1,$A1052,$M$4))</f>
        <v/>
      </c>
      <c r="E1052" s="6" t="str">
        <f ca="1">IF($A1052="","",[1]!s_dq_close(E$1,$A1052,$M$4))</f>
        <v/>
      </c>
      <c r="F1052" s="6" t="str">
        <f ca="1">IF($A1052="","",[1]!s_dq_close(F$1,$A1052,$M$4))</f>
        <v/>
      </c>
      <c r="G1052" s="6"/>
      <c r="H1052" s="6" t="str">
        <f ca="1">IF($A1052="","",[1]!s_dq_close(H$1,$A1052,$M$4))</f>
        <v/>
      </c>
      <c r="I1052" s="6" t="str">
        <f ca="1">IF($A1052="","",[1]!s_dq_close(I$1,$A1052,$M$4))</f>
        <v/>
      </c>
      <c r="J1052" s="6" t="str">
        <f t="shared" ca="1" si="17"/>
        <v/>
      </c>
    </row>
    <row r="1053" spans="1:10">
      <c r="A1053" s="2" t="str">
        <f ca="1">IF(A1052="","",IF(IF(价差分析!$W$4="日",--[1]!td(A1052-1),IF(价差分析!$W$4="周",--[1]!td(A1052-7),--[1]!td(A1052-30)))-价差分析!$T$4&gt;0,IF(价差分析!$W$4="日",--[1]!td(A1052-1),IF(价差分析!$W$4="周",--[1]!td(A1052-7),--[1]!td(A1052-30))),""))</f>
        <v/>
      </c>
      <c r="B1053" s="1" t="str">
        <f ca="1">IF(A1053="","",[1]!s_dq_close($B$1,A1053,$M$4))</f>
        <v/>
      </c>
      <c r="C1053" s="1" t="str">
        <f ca="1">IF(A1053="","",[1]!s_dq_close($C$1,A1053,$M$4))</f>
        <v/>
      </c>
      <c r="D1053" s="6" t="str">
        <f ca="1">IF($A1053="","",[1]!s_dq_close(D$1,$A1053,$M$4))</f>
        <v/>
      </c>
      <c r="E1053" s="6" t="str">
        <f ca="1">IF($A1053="","",[1]!s_dq_close(E$1,$A1053,$M$4))</f>
        <v/>
      </c>
      <c r="F1053" s="6" t="str">
        <f ca="1">IF($A1053="","",[1]!s_dq_close(F$1,$A1053,$M$4))</f>
        <v/>
      </c>
      <c r="G1053" s="6"/>
      <c r="H1053" s="6" t="str">
        <f ca="1">IF($A1053="","",[1]!s_dq_close(H$1,$A1053,$M$4))</f>
        <v/>
      </c>
      <c r="I1053" s="6" t="str">
        <f ca="1">IF($A1053="","",[1]!s_dq_close(I$1,$A1053,$M$4))</f>
        <v/>
      </c>
      <c r="J1053" s="6" t="str">
        <f t="shared" ca="1" si="17"/>
        <v/>
      </c>
    </row>
    <row r="1054" spans="1:10">
      <c r="A1054" s="2" t="str">
        <f ca="1">IF(A1053="","",IF(IF(价差分析!$W$4="日",--[1]!td(A1053-1),IF(价差分析!$W$4="周",--[1]!td(A1053-7),--[1]!td(A1053-30)))-价差分析!$T$4&gt;0,IF(价差分析!$W$4="日",--[1]!td(A1053-1),IF(价差分析!$W$4="周",--[1]!td(A1053-7),--[1]!td(A1053-30))),""))</f>
        <v/>
      </c>
      <c r="B1054" s="1" t="str">
        <f ca="1">IF(A1054="","",[1]!s_dq_close($B$1,A1054,$M$4))</f>
        <v/>
      </c>
      <c r="C1054" s="1" t="str">
        <f ca="1">IF(A1054="","",[1]!s_dq_close($C$1,A1054,$M$4))</f>
        <v/>
      </c>
      <c r="D1054" s="6" t="str">
        <f ca="1">IF($A1054="","",[1]!s_dq_close(D$1,$A1054,$M$4))</f>
        <v/>
      </c>
      <c r="E1054" s="6" t="str">
        <f ca="1">IF($A1054="","",[1]!s_dq_close(E$1,$A1054,$M$4))</f>
        <v/>
      </c>
      <c r="F1054" s="6" t="str">
        <f ca="1">IF($A1054="","",[1]!s_dq_close(F$1,$A1054,$M$4))</f>
        <v/>
      </c>
      <c r="G1054" s="6"/>
      <c r="H1054" s="6" t="str">
        <f ca="1">IF($A1054="","",[1]!s_dq_close(H$1,$A1054,$M$4))</f>
        <v/>
      </c>
      <c r="I1054" s="6" t="str">
        <f ca="1">IF($A1054="","",[1]!s_dq_close(I$1,$A1054,$M$4))</f>
        <v/>
      </c>
      <c r="J1054" s="6" t="str">
        <f t="shared" ca="1" si="17"/>
        <v/>
      </c>
    </row>
    <row r="1055" spans="1:10">
      <c r="A1055" s="2" t="str">
        <f ca="1">IF(A1054="","",IF(IF(价差分析!$W$4="日",--[1]!td(A1054-1),IF(价差分析!$W$4="周",--[1]!td(A1054-7),--[1]!td(A1054-30)))-价差分析!$T$4&gt;0,IF(价差分析!$W$4="日",--[1]!td(A1054-1),IF(价差分析!$W$4="周",--[1]!td(A1054-7),--[1]!td(A1054-30))),""))</f>
        <v/>
      </c>
      <c r="B1055" s="1" t="str">
        <f ca="1">IF(A1055="","",[1]!s_dq_close($B$1,A1055,$M$4))</f>
        <v/>
      </c>
      <c r="C1055" s="1" t="str">
        <f ca="1">IF(A1055="","",[1]!s_dq_close($C$1,A1055,$M$4))</f>
        <v/>
      </c>
      <c r="D1055" s="6" t="str">
        <f ca="1">IF($A1055="","",[1]!s_dq_close(D$1,$A1055,$M$4))</f>
        <v/>
      </c>
      <c r="E1055" s="6" t="str">
        <f ca="1">IF($A1055="","",[1]!s_dq_close(E$1,$A1055,$M$4))</f>
        <v/>
      </c>
      <c r="F1055" s="6" t="str">
        <f ca="1">IF($A1055="","",[1]!s_dq_close(F$1,$A1055,$M$4))</f>
        <v/>
      </c>
      <c r="G1055" s="6"/>
      <c r="H1055" s="6" t="str">
        <f ca="1">IF($A1055="","",[1]!s_dq_close(H$1,$A1055,$M$4))</f>
        <v/>
      </c>
      <c r="I1055" s="6" t="str">
        <f ca="1">IF($A1055="","",[1]!s_dq_close(I$1,$A1055,$M$4))</f>
        <v/>
      </c>
      <c r="J1055" s="6" t="str">
        <f t="shared" ca="1" si="17"/>
        <v/>
      </c>
    </row>
    <row r="1056" spans="1:10">
      <c r="A1056" s="2" t="str">
        <f ca="1">IF(A1055="","",IF(IF(价差分析!$W$4="日",--[1]!td(A1055-1),IF(价差分析!$W$4="周",--[1]!td(A1055-7),--[1]!td(A1055-30)))-价差分析!$T$4&gt;0,IF(价差分析!$W$4="日",--[1]!td(A1055-1),IF(价差分析!$W$4="周",--[1]!td(A1055-7),--[1]!td(A1055-30))),""))</f>
        <v/>
      </c>
      <c r="B1056" s="1" t="str">
        <f ca="1">IF(A1056="","",[1]!s_dq_close($B$1,A1056,$M$4))</f>
        <v/>
      </c>
      <c r="C1056" s="1" t="str">
        <f ca="1">IF(A1056="","",[1]!s_dq_close($C$1,A1056,$M$4))</f>
        <v/>
      </c>
      <c r="D1056" s="6" t="str">
        <f ca="1">IF($A1056="","",[1]!s_dq_close(D$1,$A1056,$M$4))</f>
        <v/>
      </c>
      <c r="E1056" s="6" t="str">
        <f ca="1">IF($A1056="","",[1]!s_dq_close(E$1,$A1056,$M$4))</f>
        <v/>
      </c>
      <c r="F1056" s="6" t="str">
        <f ca="1">IF($A1056="","",[1]!s_dq_close(F$1,$A1056,$M$4))</f>
        <v/>
      </c>
      <c r="G1056" s="6"/>
      <c r="H1056" s="6" t="str">
        <f ca="1">IF($A1056="","",[1]!s_dq_close(H$1,$A1056,$M$4))</f>
        <v/>
      </c>
      <c r="I1056" s="6" t="str">
        <f ca="1">IF($A1056="","",[1]!s_dq_close(I$1,$A1056,$M$4))</f>
        <v/>
      </c>
      <c r="J1056" s="6" t="str">
        <f t="shared" ca="1" si="17"/>
        <v/>
      </c>
    </row>
    <row r="1057" spans="1:10">
      <c r="A1057" s="2" t="str">
        <f ca="1">IF(A1056="","",IF(IF(价差分析!$W$4="日",--[1]!td(A1056-1),IF(价差分析!$W$4="周",--[1]!td(A1056-7),--[1]!td(A1056-30)))-价差分析!$T$4&gt;0,IF(价差分析!$W$4="日",--[1]!td(A1056-1),IF(价差分析!$W$4="周",--[1]!td(A1056-7),--[1]!td(A1056-30))),""))</f>
        <v/>
      </c>
      <c r="B1057" s="1" t="str">
        <f ca="1">IF(A1057="","",[1]!s_dq_close($B$1,A1057,$M$4))</f>
        <v/>
      </c>
      <c r="C1057" s="1" t="str">
        <f ca="1">IF(A1057="","",[1]!s_dq_close($C$1,A1057,$M$4))</f>
        <v/>
      </c>
      <c r="D1057" s="6" t="str">
        <f ca="1">IF($A1057="","",[1]!s_dq_close(D$1,$A1057,$M$4))</f>
        <v/>
      </c>
      <c r="E1057" s="6" t="str">
        <f ca="1">IF($A1057="","",[1]!s_dq_close(E$1,$A1057,$M$4))</f>
        <v/>
      </c>
      <c r="F1057" s="6" t="str">
        <f ca="1">IF($A1057="","",[1]!s_dq_close(F$1,$A1057,$M$4))</f>
        <v/>
      </c>
      <c r="G1057" s="6"/>
      <c r="H1057" s="6" t="str">
        <f ca="1">IF($A1057="","",[1]!s_dq_close(H$1,$A1057,$M$4))</f>
        <v/>
      </c>
      <c r="I1057" s="6" t="str">
        <f ca="1">IF($A1057="","",[1]!s_dq_close(I$1,$A1057,$M$4))</f>
        <v/>
      </c>
      <c r="J1057" s="6" t="str">
        <f t="shared" ca="1" si="17"/>
        <v/>
      </c>
    </row>
    <row r="1058" spans="1:10">
      <c r="A1058" s="2" t="str">
        <f ca="1">IF(A1057="","",IF(IF(价差分析!$W$4="日",--[1]!td(A1057-1),IF(价差分析!$W$4="周",--[1]!td(A1057-7),--[1]!td(A1057-30)))-价差分析!$T$4&gt;0,IF(价差分析!$W$4="日",--[1]!td(A1057-1),IF(价差分析!$W$4="周",--[1]!td(A1057-7),--[1]!td(A1057-30))),""))</f>
        <v/>
      </c>
      <c r="B1058" s="1" t="str">
        <f ca="1">IF(A1058="","",[1]!s_dq_close($B$1,A1058,$M$4))</f>
        <v/>
      </c>
      <c r="C1058" s="1" t="str">
        <f ca="1">IF(A1058="","",[1]!s_dq_close($C$1,A1058,$M$4))</f>
        <v/>
      </c>
      <c r="D1058" s="6" t="str">
        <f ca="1">IF($A1058="","",[1]!s_dq_close(D$1,$A1058,$M$4))</f>
        <v/>
      </c>
      <c r="E1058" s="6" t="str">
        <f ca="1">IF($A1058="","",[1]!s_dq_close(E$1,$A1058,$M$4))</f>
        <v/>
      </c>
      <c r="F1058" s="6" t="str">
        <f ca="1">IF($A1058="","",[1]!s_dq_close(F$1,$A1058,$M$4))</f>
        <v/>
      </c>
      <c r="G1058" s="6"/>
      <c r="H1058" s="6" t="str">
        <f ca="1">IF($A1058="","",[1]!s_dq_close(H$1,$A1058,$M$4))</f>
        <v/>
      </c>
      <c r="I1058" s="6" t="str">
        <f ca="1">IF($A1058="","",[1]!s_dq_close(I$1,$A1058,$M$4))</f>
        <v/>
      </c>
      <c r="J1058" s="6" t="str">
        <f t="shared" ca="1" si="17"/>
        <v/>
      </c>
    </row>
    <row r="1059" spans="1:10">
      <c r="A1059" s="2" t="str">
        <f ca="1">IF(A1058="","",IF(IF(价差分析!$W$4="日",--[1]!td(A1058-1),IF(价差分析!$W$4="周",--[1]!td(A1058-7),--[1]!td(A1058-30)))-价差分析!$T$4&gt;0,IF(价差分析!$W$4="日",--[1]!td(A1058-1),IF(价差分析!$W$4="周",--[1]!td(A1058-7),--[1]!td(A1058-30))),""))</f>
        <v/>
      </c>
      <c r="B1059" s="1" t="str">
        <f ca="1">IF(A1059="","",[1]!s_dq_close($B$1,A1059,$M$4))</f>
        <v/>
      </c>
      <c r="C1059" s="1" t="str">
        <f ca="1">IF(A1059="","",[1]!s_dq_close($C$1,A1059,$M$4))</f>
        <v/>
      </c>
      <c r="D1059" s="6" t="str">
        <f ca="1">IF($A1059="","",[1]!s_dq_close(D$1,$A1059,$M$4))</f>
        <v/>
      </c>
      <c r="E1059" s="6" t="str">
        <f ca="1">IF($A1059="","",[1]!s_dq_close(E$1,$A1059,$M$4))</f>
        <v/>
      </c>
      <c r="F1059" s="6" t="str">
        <f ca="1">IF($A1059="","",[1]!s_dq_close(F$1,$A1059,$M$4))</f>
        <v/>
      </c>
      <c r="G1059" s="6"/>
      <c r="H1059" s="6" t="str">
        <f ca="1">IF($A1059="","",[1]!s_dq_close(H$1,$A1059,$M$4))</f>
        <v/>
      </c>
      <c r="I1059" s="6" t="str">
        <f ca="1">IF($A1059="","",[1]!s_dq_close(I$1,$A1059,$M$4))</f>
        <v/>
      </c>
      <c r="J1059" s="6" t="str">
        <f t="shared" ca="1" si="17"/>
        <v/>
      </c>
    </row>
    <row r="1060" spans="1:10">
      <c r="A1060" s="2" t="str">
        <f ca="1">IF(A1059="","",IF(IF(价差分析!$W$4="日",--[1]!td(A1059-1),IF(价差分析!$W$4="周",--[1]!td(A1059-7),--[1]!td(A1059-30)))-价差分析!$T$4&gt;0,IF(价差分析!$W$4="日",--[1]!td(A1059-1),IF(价差分析!$W$4="周",--[1]!td(A1059-7),--[1]!td(A1059-30))),""))</f>
        <v/>
      </c>
      <c r="B1060" s="1" t="str">
        <f ca="1">IF(A1060="","",[1]!s_dq_close($B$1,A1060,$M$4))</f>
        <v/>
      </c>
      <c r="C1060" s="1" t="str">
        <f ca="1">IF(A1060="","",[1]!s_dq_close($C$1,A1060,$M$4))</f>
        <v/>
      </c>
      <c r="D1060" s="6" t="str">
        <f ca="1">IF($A1060="","",[1]!s_dq_close(D$1,$A1060,$M$4))</f>
        <v/>
      </c>
      <c r="E1060" s="6" t="str">
        <f ca="1">IF($A1060="","",[1]!s_dq_close(E$1,$A1060,$M$4))</f>
        <v/>
      </c>
      <c r="F1060" s="6" t="str">
        <f ca="1">IF($A1060="","",[1]!s_dq_close(F$1,$A1060,$M$4))</f>
        <v/>
      </c>
      <c r="G1060" s="6"/>
      <c r="H1060" s="6" t="str">
        <f ca="1">IF($A1060="","",[1]!s_dq_close(H$1,$A1060,$M$4))</f>
        <v/>
      </c>
      <c r="I1060" s="6" t="str">
        <f ca="1">IF($A1060="","",[1]!s_dq_close(I$1,$A1060,$M$4))</f>
        <v/>
      </c>
      <c r="J1060" s="6" t="str">
        <f t="shared" ca="1" si="17"/>
        <v/>
      </c>
    </row>
    <row r="1061" spans="1:10">
      <c r="A1061" s="2" t="str">
        <f ca="1">IF(A1060="","",IF(IF(价差分析!$W$4="日",--[1]!td(A1060-1),IF(价差分析!$W$4="周",--[1]!td(A1060-7),--[1]!td(A1060-30)))-价差分析!$T$4&gt;0,IF(价差分析!$W$4="日",--[1]!td(A1060-1),IF(价差分析!$W$4="周",--[1]!td(A1060-7),--[1]!td(A1060-30))),""))</f>
        <v/>
      </c>
      <c r="B1061" s="1" t="str">
        <f ca="1">IF(A1061="","",[1]!s_dq_close($B$1,A1061,$M$4))</f>
        <v/>
      </c>
      <c r="C1061" s="1" t="str">
        <f ca="1">IF(A1061="","",[1]!s_dq_close($C$1,A1061,$M$4))</f>
        <v/>
      </c>
      <c r="D1061" s="6" t="str">
        <f ca="1">IF($A1061="","",[1]!s_dq_close(D$1,$A1061,$M$4))</f>
        <v/>
      </c>
      <c r="E1061" s="6" t="str">
        <f ca="1">IF($A1061="","",[1]!s_dq_close(E$1,$A1061,$M$4))</f>
        <v/>
      </c>
      <c r="F1061" s="6" t="str">
        <f ca="1">IF($A1061="","",[1]!s_dq_close(F$1,$A1061,$M$4))</f>
        <v/>
      </c>
      <c r="G1061" s="6"/>
      <c r="H1061" s="6" t="str">
        <f ca="1">IF($A1061="","",[1]!s_dq_close(H$1,$A1061,$M$4))</f>
        <v/>
      </c>
      <c r="I1061" s="6" t="str">
        <f ca="1">IF($A1061="","",[1]!s_dq_close(I$1,$A1061,$M$4))</f>
        <v/>
      </c>
      <c r="J1061" s="6" t="str">
        <f t="shared" ca="1" si="17"/>
        <v/>
      </c>
    </row>
    <row r="1062" spans="1:10">
      <c r="A1062" s="2" t="str">
        <f ca="1">IF(A1061="","",IF(IF(价差分析!$W$4="日",--[1]!td(A1061-1),IF(价差分析!$W$4="周",--[1]!td(A1061-7),--[1]!td(A1061-30)))-价差分析!$T$4&gt;0,IF(价差分析!$W$4="日",--[1]!td(A1061-1),IF(价差分析!$W$4="周",--[1]!td(A1061-7),--[1]!td(A1061-30))),""))</f>
        <v/>
      </c>
      <c r="B1062" s="1" t="str">
        <f ca="1">IF(A1062="","",[1]!s_dq_close($B$1,A1062,$M$4))</f>
        <v/>
      </c>
      <c r="C1062" s="1" t="str">
        <f ca="1">IF(A1062="","",[1]!s_dq_close($C$1,A1062,$M$4))</f>
        <v/>
      </c>
      <c r="D1062" s="6" t="str">
        <f ca="1">IF($A1062="","",[1]!s_dq_close(D$1,$A1062,$M$4))</f>
        <v/>
      </c>
      <c r="E1062" s="6" t="str">
        <f ca="1">IF($A1062="","",[1]!s_dq_close(E$1,$A1062,$M$4))</f>
        <v/>
      </c>
      <c r="F1062" s="6" t="str">
        <f ca="1">IF($A1062="","",[1]!s_dq_close(F$1,$A1062,$M$4))</f>
        <v/>
      </c>
      <c r="G1062" s="6"/>
      <c r="H1062" s="6" t="str">
        <f ca="1">IF($A1062="","",[1]!s_dq_close(H$1,$A1062,$M$4))</f>
        <v/>
      </c>
      <c r="I1062" s="6" t="str">
        <f ca="1">IF($A1062="","",[1]!s_dq_close(I$1,$A1062,$M$4))</f>
        <v/>
      </c>
      <c r="J1062" s="6" t="str">
        <f t="shared" ca="1" si="17"/>
        <v/>
      </c>
    </row>
    <row r="1063" spans="1:10">
      <c r="A1063" s="2" t="str">
        <f ca="1">IF(A1062="","",IF(IF(价差分析!$W$4="日",--[1]!td(A1062-1),IF(价差分析!$W$4="周",--[1]!td(A1062-7),--[1]!td(A1062-30)))-价差分析!$T$4&gt;0,IF(价差分析!$W$4="日",--[1]!td(A1062-1),IF(价差分析!$W$4="周",--[1]!td(A1062-7),--[1]!td(A1062-30))),""))</f>
        <v/>
      </c>
      <c r="B1063" s="1" t="str">
        <f ca="1">IF(A1063="","",[1]!s_dq_close($B$1,A1063,$M$4))</f>
        <v/>
      </c>
      <c r="C1063" s="1" t="str">
        <f ca="1">IF(A1063="","",[1]!s_dq_close($C$1,A1063,$M$4))</f>
        <v/>
      </c>
      <c r="D1063" s="6" t="str">
        <f ca="1">IF($A1063="","",[1]!s_dq_close(D$1,$A1063,$M$4))</f>
        <v/>
      </c>
      <c r="E1063" s="6" t="str">
        <f ca="1">IF($A1063="","",[1]!s_dq_close(E$1,$A1063,$M$4))</f>
        <v/>
      </c>
      <c r="F1063" s="6" t="str">
        <f ca="1">IF($A1063="","",[1]!s_dq_close(F$1,$A1063,$M$4))</f>
        <v/>
      </c>
      <c r="G1063" s="6"/>
      <c r="H1063" s="6" t="str">
        <f ca="1">IF($A1063="","",[1]!s_dq_close(H$1,$A1063,$M$4))</f>
        <v/>
      </c>
      <c r="I1063" s="6" t="str">
        <f ca="1">IF($A1063="","",[1]!s_dq_close(I$1,$A1063,$M$4))</f>
        <v/>
      </c>
      <c r="J1063" s="6" t="str">
        <f t="shared" ca="1" si="17"/>
        <v/>
      </c>
    </row>
    <row r="1064" spans="1:10">
      <c r="A1064" s="2" t="str">
        <f ca="1">IF(A1063="","",IF(IF(价差分析!$W$4="日",--[1]!td(A1063-1),IF(价差分析!$W$4="周",--[1]!td(A1063-7),--[1]!td(A1063-30)))-价差分析!$T$4&gt;0,IF(价差分析!$W$4="日",--[1]!td(A1063-1),IF(价差分析!$W$4="周",--[1]!td(A1063-7),--[1]!td(A1063-30))),""))</f>
        <v/>
      </c>
      <c r="B1064" s="1" t="str">
        <f ca="1">IF(A1064="","",[1]!s_dq_close($B$1,A1064,$M$4))</f>
        <v/>
      </c>
      <c r="C1064" s="1" t="str">
        <f ca="1">IF(A1064="","",[1]!s_dq_close($C$1,A1064,$M$4))</f>
        <v/>
      </c>
      <c r="D1064" s="6" t="str">
        <f ca="1">IF($A1064="","",[1]!s_dq_close(D$1,$A1064,$M$4))</f>
        <v/>
      </c>
      <c r="E1064" s="6" t="str">
        <f ca="1">IF($A1064="","",[1]!s_dq_close(E$1,$A1064,$M$4))</f>
        <v/>
      </c>
      <c r="F1064" s="6" t="str">
        <f ca="1">IF($A1064="","",[1]!s_dq_close(F$1,$A1064,$M$4))</f>
        <v/>
      </c>
      <c r="G1064" s="6"/>
      <c r="H1064" s="6" t="str">
        <f ca="1">IF($A1064="","",[1]!s_dq_close(H$1,$A1064,$M$4))</f>
        <v/>
      </c>
      <c r="I1064" s="6" t="str">
        <f ca="1">IF($A1064="","",[1]!s_dq_close(I$1,$A1064,$M$4))</f>
        <v/>
      </c>
      <c r="J1064" s="6" t="str">
        <f t="shared" ca="1" si="17"/>
        <v/>
      </c>
    </row>
    <row r="1065" spans="1:10">
      <c r="A1065" s="2" t="str">
        <f ca="1">IF(A1064="","",IF(IF(价差分析!$W$4="日",--[1]!td(A1064-1),IF(价差分析!$W$4="周",--[1]!td(A1064-7),--[1]!td(A1064-30)))-价差分析!$T$4&gt;0,IF(价差分析!$W$4="日",--[1]!td(A1064-1),IF(价差分析!$W$4="周",--[1]!td(A1064-7),--[1]!td(A1064-30))),""))</f>
        <v/>
      </c>
      <c r="B1065" s="1" t="str">
        <f ca="1">IF(A1065="","",[1]!s_dq_close($B$1,A1065,$M$4))</f>
        <v/>
      </c>
      <c r="C1065" s="1" t="str">
        <f ca="1">IF(A1065="","",[1]!s_dq_close($C$1,A1065,$M$4))</f>
        <v/>
      </c>
      <c r="D1065" s="6" t="str">
        <f ca="1">IF($A1065="","",[1]!s_dq_close(D$1,$A1065,$M$4))</f>
        <v/>
      </c>
      <c r="E1065" s="6" t="str">
        <f ca="1">IF($A1065="","",[1]!s_dq_close(E$1,$A1065,$M$4))</f>
        <v/>
      </c>
      <c r="F1065" s="6" t="str">
        <f ca="1">IF($A1065="","",[1]!s_dq_close(F$1,$A1065,$M$4))</f>
        <v/>
      </c>
      <c r="G1065" s="6"/>
      <c r="H1065" s="6" t="str">
        <f ca="1">IF($A1065="","",[1]!s_dq_close(H$1,$A1065,$M$4))</f>
        <v/>
      </c>
      <c r="I1065" s="6" t="str">
        <f ca="1">IF($A1065="","",[1]!s_dq_close(I$1,$A1065,$M$4))</f>
        <v/>
      </c>
      <c r="J1065" s="6" t="str">
        <f t="shared" ca="1" si="17"/>
        <v/>
      </c>
    </row>
    <row r="1066" spans="1:10">
      <c r="A1066" s="2" t="str">
        <f ca="1">IF(A1065="","",IF(IF(价差分析!$W$4="日",--[1]!td(A1065-1),IF(价差分析!$W$4="周",--[1]!td(A1065-7),--[1]!td(A1065-30)))-价差分析!$T$4&gt;0,IF(价差分析!$W$4="日",--[1]!td(A1065-1),IF(价差分析!$W$4="周",--[1]!td(A1065-7),--[1]!td(A1065-30))),""))</f>
        <v/>
      </c>
      <c r="B1066" s="1" t="str">
        <f ca="1">IF(A1066="","",[1]!s_dq_close($B$1,A1066,$M$4))</f>
        <v/>
      </c>
      <c r="C1066" s="1" t="str">
        <f ca="1">IF(A1066="","",[1]!s_dq_close($C$1,A1066,$M$4))</f>
        <v/>
      </c>
      <c r="D1066" s="6" t="str">
        <f ca="1">IF($A1066="","",[1]!s_dq_close(D$1,$A1066,$M$4))</f>
        <v/>
      </c>
      <c r="E1066" s="6" t="str">
        <f ca="1">IF($A1066="","",[1]!s_dq_close(E$1,$A1066,$M$4))</f>
        <v/>
      </c>
      <c r="F1066" s="6" t="str">
        <f ca="1">IF($A1066="","",[1]!s_dq_close(F$1,$A1066,$M$4))</f>
        <v/>
      </c>
      <c r="G1066" s="6"/>
      <c r="H1066" s="6" t="str">
        <f ca="1">IF($A1066="","",[1]!s_dq_close(H$1,$A1066,$M$4))</f>
        <v/>
      </c>
      <c r="I1066" s="6" t="str">
        <f ca="1">IF($A1066="","",[1]!s_dq_close(I$1,$A1066,$M$4))</f>
        <v/>
      </c>
      <c r="J1066" s="6" t="str">
        <f t="shared" ca="1" si="17"/>
        <v/>
      </c>
    </row>
    <row r="1067" spans="1:10">
      <c r="A1067" s="2" t="str">
        <f ca="1">IF(A1066="","",IF(IF(价差分析!$W$4="日",--[1]!td(A1066-1),IF(价差分析!$W$4="周",--[1]!td(A1066-7),--[1]!td(A1066-30)))-价差分析!$T$4&gt;0,IF(价差分析!$W$4="日",--[1]!td(A1066-1),IF(价差分析!$W$4="周",--[1]!td(A1066-7),--[1]!td(A1066-30))),""))</f>
        <v/>
      </c>
      <c r="B1067" s="1" t="str">
        <f ca="1">IF(A1067="","",[1]!s_dq_close($B$1,A1067,$M$4))</f>
        <v/>
      </c>
      <c r="C1067" s="1" t="str">
        <f ca="1">IF(A1067="","",[1]!s_dq_close($C$1,A1067,$M$4))</f>
        <v/>
      </c>
      <c r="D1067" s="6" t="str">
        <f ca="1">IF($A1067="","",[1]!s_dq_close(D$1,$A1067,$M$4))</f>
        <v/>
      </c>
      <c r="E1067" s="6" t="str">
        <f ca="1">IF($A1067="","",[1]!s_dq_close(E$1,$A1067,$M$4))</f>
        <v/>
      </c>
      <c r="F1067" s="6" t="str">
        <f ca="1">IF($A1067="","",[1]!s_dq_close(F$1,$A1067,$M$4))</f>
        <v/>
      </c>
      <c r="G1067" s="6"/>
      <c r="H1067" s="6" t="str">
        <f ca="1">IF($A1067="","",[1]!s_dq_close(H$1,$A1067,$M$4))</f>
        <v/>
      </c>
      <c r="I1067" s="6" t="str">
        <f ca="1">IF($A1067="","",[1]!s_dq_close(I$1,$A1067,$M$4))</f>
        <v/>
      </c>
      <c r="J1067" s="6" t="str">
        <f t="shared" ca="1" si="17"/>
        <v/>
      </c>
    </row>
    <row r="1068" spans="1:10">
      <c r="A1068" s="2" t="str">
        <f ca="1">IF(A1067="","",IF(IF(价差分析!$W$4="日",--[1]!td(A1067-1),IF(价差分析!$W$4="周",--[1]!td(A1067-7),--[1]!td(A1067-30)))-价差分析!$T$4&gt;0,IF(价差分析!$W$4="日",--[1]!td(A1067-1),IF(价差分析!$W$4="周",--[1]!td(A1067-7),--[1]!td(A1067-30))),""))</f>
        <v/>
      </c>
      <c r="B1068" s="1" t="str">
        <f ca="1">IF(A1068="","",[1]!s_dq_close($B$1,A1068,$M$4))</f>
        <v/>
      </c>
      <c r="C1068" s="1" t="str">
        <f ca="1">IF(A1068="","",[1]!s_dq_close($C$1,A1068,$M$4))</f>
        <v/>
      </c>
      <c r="D1068" s="6" t="str">
        <f ca="1">IF($A1068="","",[1]!s_dq_close(D$1,$A1068,$M$4))</f>
        <v/>
      </c>
      <c r="E1068" s="6" t="str">
        <f ca="1">IF($A1068="","",[1]!s_dq_close(E$1,$A1068,$M$4))</f>
        <v/>
      </c>
      <c r="F1068" s="6" t="str">
        <f ca="1">IF($A1068="","",[1]!s_dq_close(F$1,$A1068,$M$4))</f>
        <v/>
      </c>
      <c r="G1068" s="6"/>
      <c r="H1068" s="6" t="str">
        <f ca="1">IF($A1068="","",[1]!s_dq_close(H$1,$A1068,$M$4))</f>
        <v/>
      </c>
      <c r="I1068" s="6" t="str">
        <f ca="1">IF($A1068="","",[1]!s_dq_close(I$1,$A1068,$M$4))</f>
        <v/>
      </c>
      <c r="J1068" s="6" t="str">
        <f t="shared" ca="1" si="17"/>
        <v/>
      </c>
    </row>
    <row r="1069" spans="1:10">
      <c r="A1069" s="2" t="str">
        <f ca="1">IF(A1068="","",IF(IF(价差分析!$W$4="日",--[1]!td(A1068-1),IF(价差分析!$W$4="周",--[1]!td(A1068-7),--[1]!td(A1068-30)))-价差分析!$T$4&gt;0,IF(价差分析!$W$4="日",--[1]!td(A1068-1),IF(价差分析!$W$4="周",--[1]!td(A1068-7),--[1]!td(A1068-30))),""))</f>
        <v/>
      </c>
      <c r="B1069" s="1" t="str">
        <f ca="1">IF(A1069="","",[1]!s_dq_close($B$1,A1069,$M$4))</f>
        <v/>
      </c>
      <c r="C1069" s="1" t="str">
        <f ca="1">IF(A1069="","",[1]!s_dq_close($C$1,A1069,$M$4))</f>
        <v/>
      </c>
      <c r="D1069" s="6" t="str">
        <f ca="1">IF($A1069="","",[1]!s_dq_close(D$1,$A1069,$M$4))</f>
        <v/>
      </c>
      <c r="E1069" s="6" t="str">
        <f ca="1">IF($A1069="","",[1]!s_dq_close(E$1,$A1069,$M$4))</f>
        <v/>
      </c>
      <c r="F1069" s="6" t="str">
        <f ca="1">IF($A1069="","",[1]!s_dq_close(F$1,$A1069,$M$4))</f>
        <v/>
      </c>
      <c r="G1069" s="6"/>
      <c r="H1069" s="6" t="str">
        <f ca="1">IF($A1069="","",[1]!s_dq_close(H$1,$A1069,$M$4))</f>
        <v/>
      </c>
      <c r="I1069" s="6" t="str">
        <f ca="1">IF($A1069="","",[1]!s_dq_close(I$1,$A1069,$M$4))</f>
        <v/>
      </c>
      <c r="J1069" s="6" t="str">
        <f t="shared" ca="1" si="17"/>
        <v/>
      </c>
    </row>
    <row r="1070" spans="1:10">
      <c r="A1070" s="2" t="str">
        <f ca="1">IF(A1069="","",IF(IF(价差分析!$W$4="日",--[1]!td(A1069-1),IF(价差分析!$W$4="周",--[1]!td(A1069-7),--[1]!td(A1069-30)))-价差分析!$T$4&gt;0,IF(价差分析!$W$4="日",--[1]!td(A1069-1),IF(价差分析!$W$4="周",--[1]!td(A1069-7),--[1]!td(A1069-30))),""))</f>
        <v/>
      </c>
      <c r="B1070" s="1" t="str">
        <f ca="1">IF(A1070="","",[1]!s_dq_close($B$1,A1070,$M$4))</f>
        <v/>
      </c>
      <c r="C1070" s="1" t="str">
        <f ca="1">IF(A1070="","",[1]!s_dq_close($C$1,A1070,$M$4))</f>
        <v/>
      </c>
      <c r="D1070" s="6" t="str">
        <f ca="1">IF($A1070="","",[1]!s_dq_close(D$1,$A1070,$M$4))</f>
        <v/>
      </c>
      <c r="E1070" s="6" t="str">
        <f ca="1">IF($A1070="","",[1]!s_dq_close(E$1,$A1070,$M$4))</f>
        <v/>
      </c>
      <c r="F1070" s="6" t="str">
        <f ca="1">IF($A1070="","",[1]!s_dq_close(F$1,$A1070,$M$4))</f>
        <v/>
      </c>
      <c r="G1070" s="6"/>
      <c r="H1070" s="6" t="str">
        <f ca="1">IF($A1070="","",[1]!s_dq_close(H$1,$A1070,$M$4))</f>
        <v/>
      </c>
      <c r="I1070" s="6" t="str">
        <f ca="1">IF($A1070="","",[1]!s_dq_close(I$1,$A1070,$M$4))</f>
        <v/>
      </c>
      <c r="J1070" s="6" t="str">
        <f t="shared" ca="1" si="17"/>
        <v/>
      </c>
    </row>
    <row r="1071" spans="1:10">
      <c r="A1071" s="2" t="str">
        <f ca="1">IF(A1070="","",IF(IF(价差分析!$W$4="日",--[1]!td(A1070-1),IF(价差分析!$W$4="周",--[1]!td(A1070-7),--[1]!td(A1070-30)))-价差分析!$T$4&gt;0,IF(价差分析!$W$4="日",--[1]!td(A1070-1),IF(价差分析!$W$4="周",--[1]!td(A1070-7),--[1]!td(A1070-30))),""))</f>
        <v/>
      </c>
      <c r="B1071" s="1" t="str">
        <f ca="1">IF(A1071="","",[1]!s_dq_close($B$1,A1071,$M$4))</f>
        <v/>
      </c>
      <c r="C1071" s="1" t="str">
        <f ca="1">IF(A1071="","",[1]!s_dq_close($C$1,A1071,$M$4))</f>
        <v/>
      </c>
      <c r="D1071" s="6" t="str">
        <f ca="1">IF($A1071="","",[1]!s_dq_close(D$1,$A1071,$M$4))</f>
        <v/>
      </c>
      <c r="E1071" s="6" t="str">
        <f ca="1">IF($A1071="","",[1]!s_dq_close(E$1,$A1071,$M$4))</f>
        <v/>
      </c>
      <c r="F1071" s="6" t="str">
        <f ca="1">IF($A1071="","",[1]!s_dq_close(F$1,$A1071,$M$4))</f>
        <v/>
      </c>
      <c r="G1071" s="6"/>
      <c r="H1071" s="6" t="str">
        <f ca="1">IF($A1071="","",[1]!s_dq_close(H$1,$A1071,$M$4))</f>
        <v/>
      </c>
      <c r="I1071" s="6" t="str">
        <f ca="1">IF($A1071="","",[1]!s_dq_close(I$1,$A1071,$M$4))</f>
        <v/>
      </c>
      <c r="J1071" s="6" t="str">
        <f t="shared" ca="1" si="17"/>
        <v/>
      </c>
    </row>
    <row r="1072" spans="1:10">
      <c r="A1072" s="2" t="str">
        <f ca="1">IF(A1071="","",IF(IF(价差分析!$W$4="日",--[1]!td(A1071-1),IF(价差分析!$W$4="周",--[1]!td(A1071-7),--[1]!td(A1071-30)))-价差分析!$T$4&gt;0,IF(价差分析!$W$4="日",--[1]!td(A1071-1),IF(价差分析!$W$4="周",--[1]!td(A1071-7),--[1]!td(A1071-30))),""))</f>
        <v/>
      </c>
      <c r="B1072" s="1" t="str">
        <f ca="1">IF(A1072="","",[1]!s_dq_close($B$1,A1072,$M$4))</f>
        <v/>
      </c>
      <c r="C1072" s="1" t="str">
        <f ca="1">IF(A1072="","",[1]!s_dq_close($C$1,A1072,$M$4))</f>
        <v/>
      </c>
      <c r="D1072" s="6" t="str">
        <f ca="1">IF($A1072="","",[1]!s_dq_close(D$1,$A1072,$M$4))</f>
        <v/>
      </c>
      <c r="E1072" s="6" t="str">
        <f ca="1">IF($A1072="","",[1]!s_dq_close(E$1,$A1072,$M$4))</f>
        <v/>
      </c>
      <c r="F1072" s="6" t="str">
        <f ca="1">IF($A1072="","",[1]!s_dq_close(F$1,$A1072,$M$4))</f>
        <v/>
      </c>
      <c r="G1072" s="6"/>
      <c r="H1072" s="6" t="str">
        <f ca="1">IF($A1072="","",[1]!s_dq_close(H$1,$A1072,$M$4))</f>
        <v/>
      </c>
      <c r="I1072" s="6" t="str">
        <f ca="1">IF($A1072="","",[1]!s_dq_close(I$1,$A1072,$M$4))</f>
        <v/>
      </c>
      <c r="J1072" s="6" t="str">
        <f t="shared" ca="1" si="17"/>
        <v/>
      </c>
    </row>
    <row r="1073" spans="1:10">
      <c r="A1073" s="2" t="str">
        <f ca="1">IF(A1072="","",IF(IF(价差分析!$W$4="日",--[1]!td(A1072-1),IF(价差分析!$W$4="周",--[1]!td(A1072-7),--[1]!td(A1072-30)))-价差分析!$T$4&gt;0,IF(价差分析!$W$4="日",--[1]!td(A1072-1),IF(价差分析!$W$4="周",--[1]!td(A1072-7),--[1]!td(A1072-30))),""))</f>
        <v/>
      </c>
      <c r="B1073" s="1" t="str">
        <f ca="1">IF(A1073="","",[1]!s_dq_close($B$1,A1073,$M$4))</f>
        <v/>
      </c>
      <c r="C1073" s="1" t="str">
        <f ca="1">IF(A1073="","",[1]!s_dq_close($C$1,A1073,$M$4))</f>
        <v/>
      </c>
      <c r="D1073" s="6" t="str">
        <f ca="1">IF($A1073="","",[1]!s_dq_close(D$1,$A1073,$M$4))</f>
        <v/>
      </c>
      <c r="E1073" s="6" t="str">
        <f ca="1">IF($A1073="","",[1]!s_dq_close(E$1,$A1073,$M$4))</f>
        <v/>
      </c>
      <c r="F1073" s="6" t="str">
        <f ca="1">IF($A1073="","",[1]!s_dq_close(F$1,$A1073,$M$4))</f>
        <v/>
      </c>
      <c r="G1073" s="6"/>
      <c r="H1073" s="6" t="str">
        <f ca="1">IF($A1073="","",[1]!s_dq_close(H$1,$A1073,$M$4))</f>
        <v/>
      </c>
      <c r="I1073" s="6" t="str">
        <f ca="1">IF($A1073="","",[1]!s_dq_close(I$1,$A1073,$M$4))</f>
        <v/>
      </c>
      <c r="J1073" s="6" t="str">
        <f t="shared" ca="1" si="17"/>
        <v/>
      </c>
    </row>
    <row r="1074" spans="1:10">
      <c r="A1074" s="2" t="str">
        <f ca="1">IF(A1073="","",IF(IF(价差分析!$W$4="日",--[1]!td(A1073-1),IF(价差分析!$W$4="周",--[1]!td(A1073-7),--[1]!td(A1073-30)))-价差分析!$T$4&gt;0,IF(价差分析!$W$4="日",--[1]!td(A1073-1),IF(价差分析!$W$4="周",--[1]!td(A1073-7),--[1]!td(A1073-30))),""))</f>
        <v/>
      </c>
      <c r="B1074" s="1" t="str">
        <f ca="1">IF(A1074="","",[1]!s_dq_close($B$1,A1074,$M$4))</f>
        <v/>
      </c>
      <c r="C1074" s="1" t="str">
        <f ca="1">IF(A1074="","",[1]!s_dq_close($C$1,A1074,$M$4))</f>
        <v/>
      </c>
      <c r="D1074" s="6" t="str">
        <f ca="1">IF($A1074="","",[1]!s_dq_close(D$1,$A1074,$M$4))</f>
        <v/>
      </c>
      <c r="E1074" s="6" t="str">
        <f ca="1">IF($A1074="","",[1]!s_dq_close(E$1,$A1074,$M$4))</f>
        <v/>
      </c>
      <c r="F1074" s="6" t="str">
        <f ca="1">IF($A1074="","",[1]!s_dq_close(F$1,$A1074,$M$4))</f>
        <v/>
      </c>
      <c r="G1074" s="6"/>
      <c r="H1074" s="6" t="str">
        <f ca="1">IF($A1074="","",[1]!s_dq_close(H$1,$A1074,$M$4))</f>
        <v/>
      </c>
      <c r="I1074" s="6" t="str">
        <f ca="1">IF($A1074="","",[1]!s_dq_close(I$1,$A1074,$M$4))</f>
        <v/>
      </c>
      <c r="J1074" s="6" t="str">
        <f t="shared" ca="1" si="17"/>
        <v/>
      </c>
    </row>
    <row r="1075" spans="1:10">
      <c r="A1075" s="2" t="str">
        <f ca="1">IF(A1074="","",IF(IF(价差分析!$W$4="日",--[1]!td(A1074-1),IF(价差分析!$W$4="周",--[1]!td(A1074-7),--[1]!td(A1074-30)))-价差分析!$T$4&gt;0,IF(价差分析!$W$4="日",--[1]!td(A1074-1),IF(价差分析!$W$4="周",--[1]!td(A1074-7),--[1]!td(A1074-30))),""))</f>
        <v/>
      </c>
      <c r="B1075" s="1" t="str">
        <f ca="1">IF(A1075="","",[1]!s_dq_close($B$1,A1075,$M$4))</f>
        <v/>
      </c>
      <c r="C1075" s="1" t="str">
        <f ca="1">IF(A1075="","",[1]!s_dq_close($C$1,A1075,$M$4))</f>
        <v/>
      </c>
      <c r="D1075" s="6" t="str">
        <f ca="1">IF($A1075="","",[1]!s_dq_close(D$1,$A1075,$M$4))</f>
        <v/>
      </c>
      <c r="E1075" s="6" t="str">
        <f ca="1">IF($A1075="","",[1]!s_dq_close(E$1,$A1075,$M$4))</f>
        <v/>
      </c>
      <c r="F1075" s="6" t="str">
        <f ca="1">IF($A1075="","",[1]!s_dq_close(F$1,$A1075,$M$4))</f>
        <v/>
      </c>
      <c r="G1075" s="6"/>
      <c r="H1075" s="6" t="str">
        <f ca="1">IF($A1075="","",[1]!s_dq_close(H$1,$A1075,$M$4))</f>
        <v/>
      </c>
      <c r="I1075" s="6" t="str">
        <f ca="1">IF($A1075="","",[1]!s_dq_close(I$1,$A1075,$M$4))</f>
        <v/>
      </c>
      <c r="J1075" s="6" t="str">
        <f t="shared" ca="1" si="17"/>
        <v/>
      </c>
    </row>
    <row r="1076" spans="1:10">
      <c r="A1076" s="2" t="str">
        <f ca="1">IF(A1075="","",IF(IF(价差分析!$W$4="日",--[1]!td(A1075-1),IF(价差分析!$W$4="周",--[1]!td(A1075-7),--[1]!td(A1075-30)))-价差分析!$T$4&gt;0,IF(价差分析!$W$4="日",--[1]!td(A1075-1),IF(价差分析!$W$4="周",--[1]!td(A1075-7),--[1]!td(A1075-30))),""))</f>
        <v/>
      </c>
      <c r="B1076" s="1" t="str">
        <f ca="1">IF(A1076="","",[1]!s_dq_close($B$1,A1076,$M$4))</f>
        <v/>
      </c>
      <c r="C1076" s="1" t="str">
        <f ca="1">IF(A1076="","",[1]!s_dq_close($C$1,A1076,$M$4))</f>
        <v/>
      </c>
      <c r="D1076" s="6" t="str">
        <f ca="1">IF($A1076="","",[1]!s_dq_close(D$1,$A1076,$M$4))</f>
        <v/>
      </c>
      <c r="E1076" s="6" t="str">
        <f ca="1">IF($A1076="","",[1]!s_dq_close(E$1,$A1076,$M$4))</f>
        <v/>
      </c>
      <c r="F1076" s="6" t="str">
        <f ca="1">IF($A1076="","",[1]!s_dq_close(F$1,$A1076,$M$4))</f>
        <v/>
      </c>
      <c r="G1076" s="6"/>
      <c r="H1076" s="6" t="str">
        <f ca="1">IF($A1076="","",[1]!s_dq_close(H$1,$A1076,$M$4))</f>
        <v/>
      </c>
      <c r="I1076" s="6" t="str">
        <f ca="1">IF($A1076="","",[1]!s_dq_close(I$1,$A1076,$M$4))</f>
        <v/>
      </c>
      <c r="J1076" s="6" t="str">
        <f t="shared" ca="1" si="17"/>
        <v/>
      </c>
    </row>
    <row r="1077" spans="1:10">
      <c r="A1077" s="2" t="str">
        <f ca="1">IF(A1076="","",IF(IF(价差分析!$W$4="日",--[1]!td(A1076-1),IF(价差分析!$W$4="周",--[1]!td(A1076-7),--[1]!td(A1076-30)))-价差分析!$T$4&gt;0,IF(价差分析!$W$4="日",--[1]!td(A1076-1),IF(价差分析!$W$4="周",--[1]!td(A1076-7),--[1]!td(A1076-30))),""))</f>
        <v/>
      </c>
      <c r="B1077" s="1" t="str">
        <f ca="1">IF(A1077="","",[1]!s_dq_close($B$1,A1077,$M$4))</f>
        <v/>
      </c>
      <c r="C1077" s="1" t="str">
        <f ca="1">IF(A1077="","",[1]!s_dq_close($C$1,A1077,$M$4))</f>
        <v/>
      </c>
      <c r="D1077" s="6" t="str">
        <f ca="1">IF($A1077="","",[1]!s_dq_close(D$1,$A1077,$M$4))</f>
        <v/>
      </c>
      <c r="E1077" s="6" t="str">
        <f ca="1">IF($A1077="","",[1]!s_dq_close(E$1,$A1077,$M$4))</f>
        <v/>
      </c>
      <c r="F1077" s="6" t="str">
        <f ca="1">IF($A1077="","",[1]!s_dq_close(F$1,$A1077,$M$4))</f>
        <v/>
      </c>
      <c r="G1077" s="6"/>
      <c r="H1077" s="6" t="str">
        <f ca="1">IF($A1077="","",[1]!s_dq_close(H$1,$A1077,$M$4))</f>
        <v/>
      </c>
      <c r="I1077" s="6" t="str">
        <f ca="1">IF($A1077="","",[1]!s_dq_close(I$1,$A1077,$M$4))</f>
        <v/>
      </c>
      <c r="J1077" s="6" t="str">
        <f t="shared" ca="1" si="17"/>
        <v/>
      </c>
    </row>
    <row r="1078" spans="1:10">
      <c r="A1078" s="2" t="str">
        <f ca="1">IF(A1077="","",IF(IF(价差分析!$W$4="日",--[1]!td(A1077-1),IF(价差分析!$W$4="周",--[1]!td(A1077-7),--[1]!td(A1077-30)))-价差分析!$T$4&gt;0,IF(价差分析!$W$4="日",--[1]!td(A1077-1),IF(价差分析!$W$4="周",--[1]!td(A1077-7),--[1]!td(A1077-30))),""))</f>
        <v/>
      </c>
      <c r="B1078" s="1" t="str">
        <f ca="1">IF(A1078="","",[1]!s_dq_close($B$1,A1078,$M$4))</f>
        <v/>
      </c>
      <c r="C1078" s="1" t="str">
        <f ca="1">IF(A1078="","",[1]!s_dq_close($C$1,A1078,$M$4))</f>
        <v/>
      </c>
      <c r="D1078" s="6" t="str">
        <f ca="1">IF($A1078="","",[1]!s_dq_close(D$1,$A1078,$M$4))</f>
        <v/>
      </c>
      <c r="E1078" s="6" t="str">
        <f ca="1">IF($A1078="","",[1]!s_dq_close(E$1,$A1078,$M$4))</f>
        <v/>
      </c>
      <c r="F1078" s="6" t="str">
        <f ca="1">IF($A1078="","",[1]!s_dq_close(F$1,$A1078,$M$4))</f>
        <v/>
      </c>
      <c r="G1078" s="6"/>
      <c r="H1078" s="6" t="str">
        <f ca="1">IF($A1078="","",[1]!s_dq_close(H$1,$A1078,$M$4))</f>
        <v/>
      </c>
      <c r="I1078" s="6" t="str">
        <f ca="1">IF($A1078="","",[1]!s_dq_close(I$1,$A1078,$M$4))</f>
        <v/>
      </c>
      <c r="J1078" s="6" t="str">
        <f t="shared" ca="1" si="17"/>
        <v/>
      </c>
    </row>
    <row r="1079" spans="1:10">
      <c r="A1079" s="2" t="str">
        <f ca="1">IF(A1078="","",IF(IF(价差分析!$W$4="日",--[1]!td(A1078-1),IF(价差分析!$W$4="周",--[1]!td(A1078-7),--[1]!td(A1078-30)))-价差分析!$T$4&gt;0,IF(价差分析!$W$4="日",--[1]!td(A1078-1),IF(价差分析!$W$4="周",--[1]!td(A1078-7),--[1]!td(A1078-30))),""))</f>
        <v/>
      </c>
      <c r="B1079" s="1" t="str">
        <f ca="1">IF(A1079="","",[1]!s_dq_close($B$1,A1079,$M$4))</f>
        <v/>
      </c>
      <c r="C1079" s="1" t="str">
        <f ca="1">IF(A1079="","",[1]!s_dq_close($C$1,A1079,$M$4))</f>
        <v/>
      </c>
      <c r="D1079" s="6" t="str">
        <f ca="1">IF($A1079="","",[1]!s_dq_close(D$1,$A1079,$M$4))</f>
        <v/>
      </c>
      <c r="E1079" s="6" t="str">
        <f ca="1">IF($A1079="","",[1]!s_dq_close(E$1,$A1079,$M$4))</f>
        <v/>
      </c>
      <c r="F1079" s="6" t="str">
        <f ca="1">IF($A1079="","",[1]!s_dq_close(F$1,$A1079,$M$4))</f>
        <v/>
      </c>
      <c r="G1079" s="6"/>
      <c r="H1079" s="6" t="str">
        <f ca="1">IF($A1079="","",[1]!s_dq_close(H$1,$A1079,$M$4))</f>
        <v/>
      </c>
      <c r="I1079" s="6" t="str">
        <f ca="1">IF($A1079="","",[1]!s_dq_close(I$1,$A1079,$M$4))</f>
        <v/>
      </c>
      <c r="J1079" s="6" t="str">
        <f t="shared" ca="1" si="17"/>
        <v/>
      </c>
    </row>
    <row r="1080" spans="1:10">
      <c r="A1080" s="2" t="str">
        <f ca="1">IF(A1079="","",IF(IF(价差分析!$W$4="日",--[1]!td(A1079-1),IF(价差分析!$W$4="周",--[1]!td(A1079-7),--[1]!td(A1079-30)))-价差分析!$T$4&gt;0,IF(价差分析!$W$4="日",--[1]!td(A1079-1),IF(价差分析!$W$4="周",--[1]!td(A1079-7),--[1]!td(A1079-30))),""))</f>
        <v/>
      </c>
      <c r="B1080" s="1" t="str">
        <f ca="1">IF(A1080="","",[1]!s_dq_close($B$1,A1080,$M$4))</f>
        <v/>
      </c>
      <c r="C1080" s="1" t="str">
        <f ca="1">IF(A1080="","",[1]!s_dq_close($C$1,A1080,$M$4))</f>
        <v/>
      </c>
      <c r="D1080" s="6" t="str">
        <f ca="1">IF($A1080="","",[1]!s_dq_close(D$1,$A1080,$M$4))</f>
        <v/>
      </c>
      <c r="E1080" s="6" t="str">
        <f ca="1">IF($A1080="","",[1]!s_dq_close(E$1,$A1080,$M$4))</f>
        <v/>
      </c>
      <c r="F1080" s="6" t="str">
        <f ca="1">IF($A1080="","",[1]!s_dq_close(F$1,$A1080,$M$4))</f>
        <v/>
      </c>
      <c r="G1080" s="6"/>
      <c r="H1080" s="6" t="str">
        <f ca="1">IF($A1080="","",[1]!s_dq_close(H$1,$A1080,$M$4))</f>
        <v/>
      </c>
      <c r="I1080" s="6" t="str">
        <f ca="1">IF($A1080="","",[1]!s_dq_close(I$1,$A1080,$M$4))</f>
        <v/>
      </c>
      <c r="J1080" s="6" t="str">
        <f t="shared" ca="1" si="17"/>
        <v/>
      </c>
    </row>
    <row r="1081" spans="1:10">
      <c r="A1081" s="2" t="str">
        <f ca="1">IF(A1080="","",IF(IF(价差分析!$W$4="日",--[1]!td(A1080-1),IF(价差分析!$W$4="周",--[1]!td(A1080-7),--[1]!td(A1080-30)))-价差分析!$T$4&gt;0,IF(价差分析!$W$4="日",--[1]!td(A1080-1),IF(价差分析!$W$4="周",--[1]!td(A1080-7),--[1]!td(A1080-30))),""))</f>
        <v/>
      </c>
      <c r="B1081" s="1" t="str">
        <f ca="1">IF(A1081="","",[1]!s_dq_close($B$1,A1081,$M$4))</f>
        <v/>
      </c>
      <c r="C1081" s="1" t="str">
        <f ca="1">IF(A1081="","",[1]!s_dq_close($C$1,A1081,$M$4))</f>
        <v/>
      </c>
      <c r="D1081" s="6" t="str">
        <f ca="1">IF($A1081="","",[1]!s_dq_close(D$1,$A1081,$M$4))</f>
        <v/>
      </c>
      <c r="E1081" s="6" t="str">
        <f ca="1">IF($A1081="","",[1]!s_dq_close(E$1,$A1081,$M$4))</f>
        <v/>
      </c>
      <c r="F1081" s="6" t="str">
        <f ca="1">IF($A1081="","",[1]!s_dq_close(F$1,$A1081,$M$4))</f>
        <v/>
      </c>
      <c r="G1081" s="6"/>
      <c r="H1081" s="6" t="str">
        <f ca="1">IF($A1081="","",[1]!s_dq_close(H$1,$A1081,$M$4))</f>
        <v/>
      </c>
      <c r="I1081" s="6" t="str">
        <f ca="1">IF($A1081="","",[1]!s_dq_close(I$1,$A1081,$M$4))</f>
        <v/>
      </c>
      <c r="J1081" s="6" t="str">
        <f t="shared" ca="1" si="17"/>
        <v/>
      </c>
    </row>
    <row r="1082" spans="1:10">
      <c r="A1082" s="2" t="str">
        <f ca="1">IF(A1081="","",IF(IF(价差分析!$W$4="日",--[1]!td(A1081-1),IF(价差分析!$W$4="周",--[1]!td(A1081-7),--[1]!td(A1081-30)))-价差分析!$T$4&gt;0,IF(价差分析!$W$4="日",--[1]!td(A1081-1),IF(价差分析!$W$4="周",--[1]!td(A1081-7),--[1]!td(A1081-30))),""))</f>
        <v/>
      </c>
      <c r="B1082" s="1" t="str">
        <f ca="1">IF(A1082="","",[1]!s_dq_close($B$1,A1082,$M$4))</f>
        <v/>
      </c>
      <c r="C1082" s="1" t="str">
        <f ca="1">IF(A1082="","",[1]!s_dq_close($C$1,A1082,$M$4))</f>
        <v/>
      </c>
      <c r="D1082" s="6" t="str">
        <f ca="1">IF($A1082="","",[1]!s_dq_close(D$1,$A1082,$M$4))</f>
        <v/>
      </c>
      <c r="E1082" s="6" t="str">
        <f ca="1">IF($A1082="","",[1]!s_dq_close(E$1,$A1082,$M$4))</f>
        <v/>
      </c>
      <c r="F1082" s="6" t="str">
        <f ca="1">IF($A1082="","",[1]!s_dq_close(F$1,$A1082,$M$4))</f>
        <v/>
      </c>
      <c r="G1082" s="6"/>
      <c r="H1082" s="6" t="str">
        <f ca="1">IF($A1082="","",[1]!s_dq_close(H$1,$A1082,$M$4))</f>
        <v/>
      </c>
      <c r="I1082" s="6" t="str">
        <f ca="1">IF($A1082="","",[1]!s_dq_close(I$1,$A1082,$M$4))</f>
        <v/>
      </c>
      <c r="J1082" s="6" t="str">
        <f t="shared" ca="1" si="17"/>
        <v/>
      </c>
    </row>
    <row r="1083" spans="1:10">
      <c r="A1083" s="2" t="str">
        <f ca="1">IF(A1082="","",IF(IF(价差分析!$W$4="日",--[1]!td(A1082-1),IF(价差分析!$W$4="周",--[1]!td(A1082-7),--[1]!td(A1082-30)))-价差分析!$T$4&gt;0,IF(价差分析!$W$4="日",--[1]!td(A1082-1),IF(价差分析!$W$4="周",--[1]!td(A1082-7),--[1]!td(A1082-30))),""))</f>
        <v/>
      </c>
      <c r="B1083" s="1" t="str">
        <f ca="1">IF(A1083="","",[1]!s_dq_close($B$1,A1083,$M$4))</f>
        <v/>
      </c>
      <c r="C1083" s="1" t="str">
        <f ca="1">IF(A1083="","",[1]!s_dq_close($C$1,A1083,$M$4))</f>
        <v/>
      </c>
      <c r="D1083" s="6" t="str">
        <f ca="1">IF($A1083="","",[1]!s_dq_close(D$1,$A1083,$M$4))</f>
        <v/>
      </c>
      <c r="E1083" s="6" t="str">
        <f ca="1">IF($A1083="","",[1]!s_dq_close(E$1,$A1083,$M$4))</f>
        <v/>
      </c>
      <c r="F1083" s="6" t="str">
        <f ca="1">IF($A1083="","",[1]!s_dq_close(F$1,$A1083,$M$4))</f>
        <v/>
      </c>
      <c r="G1083" s="6"/>
      <c r="H1083" s="6" t="str">
        <f ca="1">IF($A1083="","",[1]!s_dq_close(H$1,$A1083,$M$4))</f>
        <v/>
      </c>
      <c r="I1083" s="6" t="str">
        <f ca="1">IF($A1083="","",[1]!s_dq_close(I$1,$A1083,$M$4))</f>
        <v/>
      </c>
      <c r="J1083" s="6" t="str">
        <f t="shared" ca="1" si="17"/>
        <v/>
      </c>
    </row>
    <row r="1084" spans="1:10">
      <c r="A1084" s="2" t="str">
        <f ca="1">IF(A1083="","",IF(IF(价差分析!$W$4="日",--[1]!td(A1083-1),IF(价差分析!$W$4="周",--[1]!td(A1083-7),--[1]!td(A1083-30)))-价差分析!$T$4&gt;0,IF(价差分析!$W$4="日",--[1]!td(A1083-1),IF(价差分析!$W$4="周",--[1]!td(A1083-7),--[1]!td(A1083-30))),""))</f>
        <v/>
      </c>
      <c r="B1084" s="1" t="str">
        <f ca="1">IF(A1084="","",[1]!s_dq_close($B$1,A1084,$M$4))</f>
        <v/>
      </c>
      <c r="C1084" s="1" t="str">
        <f ca="1">IF(A1084="","",[1]!s_dq_close($C$1,A1084,$M$4))</f>
        <v/>
      </c>
      <c r="D1084" s="6" t="str">
        <f ca="1">IF($A1084="","",[1]!s_dq_close(D$1,$A1084,$M$4))</f>
        <v/>
      </c>
      <c r="E1084" s="6" t="str">
        <f ca="1">IF($A1084="","",[1]!s_dq_close(E$1,$A1084,$M$4))</f>
        <v/>
      </c>
      <c r="F1084" s="6" t="str">
        <f ca="1">IF($A1084="","",[1]!s_dq_close(F$1,$A1084,$M$4))</f>
        <v/>
      </c>
      <c r="G1084" s="6"/>
      <c r="H1084" s="6" t="str">
        <f ca="1">IF($A1084="","",[1]!s_dq_close(H$1,$A1084,$M$4))</f>
        <v/>
      </c>
      <c r="I1084" s="6" t="str">
        <f ca="1">IF($A1084="","",[1]!s_dq_close(I$1,$A1084,$M$4))</f>
        <v/>
      </c>
      <c r="J1084" s="6" t="str">
        <f t="shared" ca="1" si="17"/>
        <v/>
      </c>
    </row>
    <row r="1085" spans="1:10">
      <c r="A1085" s="2" t="str">
        <f ca="1">IF(A1084="","",IF(IF(价差分析!$W$4="日",--[1]!td(A1084-1),IF(价差分析!$W$4="周",--[1]!td(A1084-7),--[1]!td(A1084-30)))-价差分析!$T$4&gt;0,IF(价差分析!$W$4="日",--[1]!td(A1084-1),IF(价差分析!$W$4="周",--[1]!td(A1084-7),--[1]!td(A1084-30))),""))</f>
        <v/>
      </c>
      <c r="B1085" s="1" t="str">
        <f ca="1">IF(A1085="","",[1]!s_dq_close($B$1,A1085,$M$4))</f>
        <v/>
      </c>
      <c r="C1085" s="1" t="str">
        <f ca="1">IF(A1085="","",[1]!s_dq_close($C$1,A1085,$M$4))</f>
        <v/>
      </c>
      <c r="D1085" s="6" t="str">
        <f ca="1">IF($A1085="","",[1]!s_dq_close(D$1,$A1085,$M$4))</f>
        <v/>
      </c>
      <c r="E1085" s="6" t="str">
        <f ca="1">IF($A1085="","",[1]!s_dq_close(E$1,$A1085,$M$4))</f>
        <v/>
      </c>
      <c r="F1085" s="6" t="str">
        <f ca="1">IF($A1085="","",[1]!s_dq_close(F$1,$A1085,$M$4))</f>
        <v/>
      </c>
      <c r="G1085" s="6"/>
      <c r="H1085" s="6" t="str">
        <f ca="1">IF($A1085="","",[1]!s_dq_close(H$1,$A1085,$M$4))</f>
        <v/>
      </c>
      <c r="I1085" s="6" t="str">
        <f ca="1">IF($A1085="","",[1]!s_dq_close(I$1,$A1085,$M$4))</f>
        <v/>
      </c>
      <c r="J1085" s="6" t="str">
        <f t="shared" ca="1" si="17"/>
        <v/>
      </c>
    </row>
    <row r="1086" spans="1:10">
      <c r="A1086" s="2" t="str">
        <f ca="1">IF(A1085="","",IF(IF(价差分析!$W$4="日",--[1]!td(A1085-1),IF(价差分析!$W$4="周",--[1]!td(A1085-7),--[1]!td(A1085-30)))-价差分析!$T$4&gt;0,IF(价差分析!$W$4="日",--[1]!td(A1085-1),IF(价差分析!$W$4="周",--[1]!td(A1085-7),--[1]!td(A1085-30))),""))</f>
        <v/>
      </c>
      <c r="B1086" s="1" t="str">
        <f ca="1">IF(A1086="","",[1]!s_dq_close($B$1,A1086,$M$4))</f>
        <v/>
      </c>
      <c r="C1086" s="1" t="str">
        <f ca="1">IF(A1086="","",[1]!s_dq_close($C$1,A1086,$M$4))</f>
        <v/>
      </c>
      <c r="D1086" s="6" t="str">
        <f ca="1">IF($A1086="","",[1]!s_dq_close(D$1,$A1086,$M$4))</f>
        <v/>
      </c>
      <c r="E1086" s="6" t="str">
        <f ca="1">IF($A1086="","",[1]!s_dq_close(E$1,$A1086,$M$4))</f>
        <v/>
      </c>
      <c r="F1086" s="6" t="str">
        <f ca="1">IF($A1086="","",[1]!s_dq_close(F$1,$A1086,$M$4))</f>
        <v/>
      </c>
      <c r="G1086" s="6"/>
      <c r="H1086" s="6" t="str">
        <f ca="1">IF($A1086="","",[1]!s_dq_close(H$1,$A1086,$M$4))</f>
        <v/>
      </c>
      <c r="I1086" s="6" t="str">
        <f ca="1">IF($A1086="","",[1]!s_dq_close(I$1,$A1086,$M$4))</f>
        <v/>
      </c>
      <c r="J1086" s="6" t="str">
        <f t="shared" ca="1" si="17"/>
        <v/>
      </c>
    </row>
    <row r="1087" spans="1:10">
      <c r="A1087" s="2" t="str">
        <f ca="1">IF(A1086="","",IF(IF(价差分析!$W$4="日",--[1]!td(A1086-1),IF(价差分析!$W$4="周",--[1]!td(A1086-7),--[1]!td(A1086-30)))-价差分析!$T$4&gt;0,IF(价差分析!$W$4="日",--[1]!td(A1086-1),IF(价差分析!$W$4="周",--[1]!td(A1086-7),--[1]!td(A1086-30))),""))</f>
        <v/>
      </c>
      <c r="B1087" s="1" t="str">
        <f ca="1">IF(A1087="","",[1]!s_dq_close($B$1,A1087,$M$4))</f>
        <v/>
      </c>
      <c r="C1087" s="1" t="str">
        <f ca="1">IF(A1087="","",[1]!s_dq_close($C$1,A1087,$M$4))</f>
        <v/>
      </c>
      <c r="D1087" s="6" t="str">
        <f ca="1">IF($A1087="","",[1]!s_dq_close(D$1,$A1087,$M$4))</f>
        <v/>
      </c>
      <c r="E1087" s="6" t="str">
        <f ca="1">IF($A1087="","",[1]!s_dq_close(E$1,$A1087,$M$4))</f>
        <v/>
      </c>
      <c r="F1087" s="6" t="str">
        <f ca="1">IF($A1087="","",[1]!s_dq_close(F$1,$A1087,$M$4))</f>
        <v/>
      </c>
      <c r="G1087" s="6"/>
      <c r="H1087" s="6" t="str">
        <f ca="1">IF($A1087="","",[1]!s_dq_close(H$1,$A1087,$M$4))</f>
        <v/>
      </c>
      <c r="I1087" s="6" t="str">
        <f ca="1">IF($A1087="","",[1]!s_dq_close(I$1,$A1087,$M$4))</f>
        <v/>
      </c>
      <c r="J1087" s="6" t="str">
        <f t="shared" ca="1" si="17"/>
        <v/>
      </c>
    </row>
    <row r="1088" spans="1:10">
      <c r="A1088" s="2" t="str">
        <f ca="1">IF(A1087="","",IF(IF(价差分析!$W$4="日",--[1]!td(A1087-1),IF(价差分析!$W$4="周",--[1]!td(A1087-7),--[1]!td(A1087-30)))-价差分析!$T$4&gt;0,IF(价差分析!$W$4="日",--[1]!td(A1087-1),IF(价差分析!$W$4="周",--[1]!td(A1087-7),--[1]!td(A1087-30))),""))</f>
        <v/>
      </c>
      <c r="B1088" s="1" t="str">
        <f ca="1">IF(A1088="","",[1]!s_dq_close($B$1,A1088,$M$4))</f>
        <v/>
      </c>
      <c r="C1088" s="1" t="str">
        <f ca="1">IF(A1088="","",[1]!s_dq_close($C$1,A1088,$M$4))</f>
        <v/>
      </c>
      <c r="D1088" s="6" t="str">
        <f ca="1">IF($A1088="","",[1]!s_dq_close(D$1,$A1088,$M$4))</f>
        <v/>
      </c>
      <c r="E1088" s="6" t="str">
        <f ca="1">IF($A1088="","",[1]!s_dq_close(E$1,$A1088,$M$4))</f>
        <v/>
      </c>
      <c r="F1088" s="6" t="str">
        <f ca="1">IF($A1088="","",[1]!s_dq_close(F$1,$A1088,$M$4))</f>
        <v/>
      </c>
      <c r="G1088" s="6"/>
      <c r="H1088" s="6" t="str">
        <f ca="1">IF($A1088="","",[1]!s_dq_close(H$1,$A1088,$M$4))</f>
        <v/>
      </c>
      <c r="I1088" s="6" t="str">
        <f ca="1">IF($A1088="","",[1]!s_dq_close(I$1,$A1088,$M$4))</f>
        <v/>
      </c>
      <c r="J1088" s="6" t="str">
        <f t="shared" ca="1" si="17"/>
        <v/>
      </c>
    </row>
    <row r="1089" spans="1:10">
      <c r="A1089" s="2" t="str">
        <f ca="1">IF(A1088="","",IF(IF(价差分析!$W$4="日",--[1]!td(A1088-1),IF(价差分析!$W$4="周",--[1]!td(A1088-7),--[1]!td(A1088-30)))-价差分析!$T$4&gt;0,IF(价差分析!$W$4="日",--[1]!td(A1088-1),IF(价差分析!$W$4="周",--[1]!td(A1088-7),--[1]!td(A1088-30))),""))</f>
        <v/>
      </c>
      <c r="B1089" s="1" t="str">
        <f ca="1">IF(A1089="","",[1]!s_dq_close($B$1,A1089,$M$4))</f>
        <v/>
      </c>
      <c r="C1089" s="1" t="str">
        <f ca="1">IF(A1089="","",[1]!s_dq_close($C$1,A1089,$M$4))</f>
        <v/>
      </c>
      <c r="D1089" s="6" t="str">
        <f ca="1">IF($A1089="","",[1]!s_dq_close(D$1,$A1089,$M$4))</f>
        <v/>
      </c>
      <c r="E1089" s="6" t="str">
        <f ca="1">IF($A1089="","",[1]!s_dq_close(E$1,$A1089,$M$4))</f>
        <v/>
      </c>
      <c r="F1089" s="6" t="str">
        <f ca="1">IF($A1089="","",[1]!s_dq_close(F$1,$A1089,$M$4))</f>
        <v/>
      </c>
      <c r="G1089" s="6"/>
      <c r="H1089" s="6" t="str">
        <f ca="1">IF($A1089="","",[1]!s_dq_close(H$1,$A1089,$M$4))</f>
        <v/>
      </c>
      <c r="I1089" s="6" t="str">
        <f ca="1">IF($A1089="","",[1]!s_dq_close(I$1,$A1089,$M$4))</f>
        <v/>
      </c>
      <c r="J1089" s="6" t="str">
        <f t="shared" ca="1" si="17"/>
        <v/>
      </c>
    </row>
    <row r="1090" spans="1:10">
      <c r="A1090" s="2" t="str">
        <f ca="1">IF(A1089="","",IF(IF(价差分析!$W$4="日",--[1]!td(A1089-1),IF(价差分析!$W$4="周",--[1]!td(A1089-7),--[1]!td(A1089-30)))-价差分析!$T$4&gt;0,IF(价差分析!$W$4="日",--[1]!td(A1089-1),IF(价差分析!$W$4="周",--[1]!td(A1089-7),--[1]!td(A1089-30))),""))</f>
        <v/>
      </c>
      <c r="B1090" s="1" t="str">
        <f ca="1">IF(A1090="","",[1]!s_dq_close($B$1,A1090,$M$4))</f>
        <v/>
      </c>
      <c r="C1090" s="1" t="str">
        <f ca="1">IF(A1090="","",[1]!s_dq_close($C$1,A1090,$M$4))</f>
        <v/>
      </c>
      <c r="D1090" s="6" t="str">
        <f ca="1">IF($A1090="","",[1]!s_dq_close(D$1,$A1090,$M$4))</f>
        <v/>
      </c>
      <c r="E1090" s="6" t="str">
        <f ca="1">IF($A1090="","",[1]!s_dq_close(E$1,$A1090,$M$4))</f>
        <v/>
      </c>
      <c r="F1090" s="6" t="str">
        <f ca="1">IF($A1090="","",[1]!s_dq_close(F$1,$A1090,$M$4))</f>
        <v/>
      </c>
      <c r="G1090" s="6"/>
      <c r="H1090" s="6" t="str">
        <f ca="1">IF($A1090="","",[1]!s_dq_close(H$1,$A1090,$M$4))</f>
        <v/>
      </c>
      <c r="I1090" s="6" t="str">
        <f ca="1">IF($A1090="","",[1]!s_dq_close(I$1,$A1090,$M$4))</f>
        <v/>
      </c>
      <c r="J1090" s="6" t="str">
        <f t="shared" ca="1" si="17"/>
        <v/>
      </c>
    </row>
    <row r="1091" spans="1:10">
      <c r="A1091" s="2" t="str">
        <f ca="1">IF(A1090="","",IF(IF(价差分析!$W$4="日",--[1]!td(A1090-1),IF(价差分析!$W$4="周",--[1]!td(A1090-7),--[1]!td(A1090-30)))-价差分析!$T$4&gt;0,IF(价差分析!$W$4="日",--[1]!td(A1090-1),IF(价差分析!$W$4="周",--[1]!td(A1090-7),--[1]!td(A1090-30))),""))</f>
        <v/>
      </c>
      <c r="B1091" s="1" t="str">
        <f ca="1">IF(A1091="","",[1]!s_dq_close($B$1,A1091,$M$4))</f>
        <v/>
      </c>
      <c r="C1091" s="1" t="str">
        <f ca="1">IF(A1091="","",[1]!s_dq_close($C$1,A1091,$M$4))</f>
        <v/>
      </c>
      <c r="D1091" s="6" t="str">
        <f ca="1">IF($A1091="","",[1]!s_dq_close(D$1,$A1091,$M$4))</f>
        <v/>
      </c>
      <c r="E1091" s="6" t="str">
        <f ca="1">IF($A1091="","",[1]!s_dq_close(E$1,$A1091,$M$4))</f>
        <v/>
      </c>
      <c r="F1091" s="6" t="str">
        <f ca="1">IF($A1091="","",[1]!s_dq_close(F$1,$A1091,$M$4))</f>
        <v/>
      </c>
      <c r="G1091" s="6"/>
      <c r="H1091" s="6" t="str">
        <f ca="1">IF($A1091="","",[1]!s_dq_close(H$1,$A1091,$M$4))</f>
        <v/>
      </c>
      <c r="I1091" s="6" t="str">
        <f ca="1">IF($A1091="","",[1]!s_dq_close(I$1,$A1091,$M$4))</f>
        <v/>
      </c>
      <c r="J1091" s="6" t="str">
        <f t="shared" ca="1" si="17"/>
        <v/>
      </c>
    </row>
    <row r="1092" spans="1:10">
      <c r="A1092" s="2" t="str">
        <f ca="1">IF(A1091="","",IF(IF(价差分析!$W$4="日",--[1]!td(A1091-1),IF(价差分析!$W$4="周",--[1]!td(A1091-7),--[1]!td(A1091-30)))-价差分析!$T$4&gt;0,IF(价差分析!$W$4="日",--[1]!td(A1091-1),IF(价差分析!$W$4="周",--[1]!td(A1091-7),--[1]!td(A1091-30))),""))</f>
        <v/>
      </c>
      <c r="B1092" s="1" t="str">
        <f ca="1">IF(A1092="","",[1]!s_dq_close($B$1,A1092,$M$4))</f>
        <v/>
      </c>
      <c r="C1092" s="1" t="str">
        <f ca="1">IF(A1092="","",[1]!s_dq_close($C$1,A1092,$M$4))</f>
        <v/>
      </c>
      <c r="D1092" s="6" t="str">
        <f ca="1">IF($A1092="","",[1]!s_dq_close(D$1,$A1092,$M$4))</f>
        <v/>
      </c>
      <c r="E1092" s="6" t="str">
        <f ca="1">IF($A1092="","",[1]!s_dq_close(E$1,$A1092,$M$4))</f>
        <v/>
      </c>
      <c r="F1092" s="6" t="str">
        <f ca="1">IF($A1092="","",[1]!s_dq_close(F$1,$A1092,$M$4))</f>
        <v/>
      </c>
      <c r="G1092" s="6"/>
      <c r="H1092" s="6" t="str">
        <f ca="1">IF($A1092="","",[1]!s_dq_close(H$1,$A1092,$M$4))</f>
        <v/>
      </c>
      <c r="I1092" s="6" t="str">
        <f ca="1">IF($A1092="","",[1]!s_dq_close(I$1,$A1092,$M$4))</f>
        <v/>
      </c>
      <c r="J1092" s="6" t="str">
        <f t="shared" ca="1" si="17"/>
        <v/>
      </c>
    </row>
    <row r="1093" spans="1:10">
      <c r="A1093" s="2" t="str">
        <f ca="1">IF(A1092="","",IF(IF(价差分析!$W$4="日",--[1]!td(A1092-1),IF(价差分析!$W$4="周",--[1]!td(A1092-7),--[1]!td(A1092-30)))-价差分析!$T$4&gt;0,IF(价差分析!$W$4="日",--[1]!td(A1092-1),IF(价差分析!$W$4="周",--[1]!td(A1092-7),--[1]!td(A1092-30))),""))</f>
        <v/>
      </c>
      <c r="B1093" s="1" t="str">
        <f ca="1">IF(A1093="","",[1]!s_dq_close($B$1,A1093,$M$4))</f>
        <v/>
      </c>
      <c r="C1093" s="1" t="str">
        <f ca="1">IF(A1093="","",[1]!s_dq_close($C$1,A1093,$M$4))</f>
        <v/>
      </c>
      <c r="D1093" s="6" t="str">
        <f ca="1">IF($A1093="","",[1]!s_dq_close(D$1,$A1093,$M$4))</f>
        <v/>
      </c>
      <c r="E1093" s="6" t="str">
        <f ca="1">IF($A1093="","",[1]!s_dq_close(E$1,$A1093,$M$4))</f>
        <v/>
      </c>
      <c r="F1093" s="6" t="str">
        <f ca="1">IF($A1093="","",[1]!s_dq_close(F$1,$A1093,$M$4))</f>
        <v/>
      </c>
      <c r="G1093" s="6"/>
      <c r="H1093" s="6" t="str">
        <f ca="1">IF($A1093="","",[1]!s_dq_close(H$1,$A1093,$M$4))</f>
        <v/>
      </c>
      <c r="I1093" s="6" t="str">
        <f ca="1">IF($A1093="","",[1]!s_dq_close(I$1,$A1093,$M$4))</f>
        <v/>
      </c>
      <c r="J1093" s="6" t="str">
        <f t="shared" ref="J1093:J1156" ca="1" si="18">IF(H1093="","",H1093-I1093)</f>
        <v/>
      </c>
    </row>
    <row r="1094" spans="1:10">
      <c r="A1094" s="2" t="str">
        <f ca="1">IF(A1093="","",IF(IF(价差分析!$W$4="日",--[1]!td(A1093-1),IF(价差分析!$W$4="周",--[1]!td(A1093-7),--[1]!td(A1093-30)))-价差分析!$T$4&gt;0,IF(价差分析!$W$4="日",--[1]!td(A1093-1),IF(价差分析!$W$4="周",--[1]!td(A1093-7),--[1]!td(A1093-30))),""))</f>
        <v/>
      </c>
      <c r="B1094" s="1" t="str">
        <f ca="1">IF(A1094="","",[1]!s_dq_close($B$1,A1094,$M$4))</f>
        <v/>
      </c>
      <c r="C1094" s="1" t="str">
        <f ca="1">IF(A1094="","",[1]!s_dq_close($C$1,A1094,$M$4))</f>
        <v/>
      </c>
      <c r="D1094" s="6" t="str">
        <f ca="1">IF($A1094="","",[1]!s_dq_close(D$1,$A1094,$M$4))</f>
        <v/>
      </c>
      <c r="E1094" s="6" t="str">
        <f ca="1">IF($A1094="","",[1]!s_dq_close(E$1,$A1094,$M$4))</f>
        <v/>
      </c>
      <c r="F1094" s="6" t="str">
        <f ca="1">IF($A1094="","",[1]!s_dq_close(F$1,$A1094,$M$4))</f>
        <v/>
      </c>
      <c r="G1094" s="6"/>
      <c r="H1094" s="6" t="str">
        <f ca="1">IF($A1094="","",[1]!s_dq_close(H$1,$A1094,$M$4))</f>
        <v/>
      </c>
      <c r="I1094" s="6" t="str">
        <f ca="1">IF($A1094="","",[1]!s_dq_close(I$1,$A1094,$M$4))</f>
        <v/>
      </c>
      <c r="J1094" s="6" t="str">
        <f t="shared" ca="1" si="18"/>
        <v/>
      </c>
    </row>
    <row r="1095" spans="1:10">
      <c r="A1095" s="2" t="str">
        <f ca="1">IF(A1094="","",IF(IF(价差分析!$W$4="日",--[1]!td(A1094-1),IF(价差分析!$W$4="周",--[1]!td(A1094-7),--[1]!td(A1094-30)))-价差分析!$T$4&gt;0,IF(价差分析!$W$4="日",--[1]!td(A1094-1),IF(价差分析!$W$4="周",--[1]!td(A1094-7),--[1]!td(A1094-30))),""))</f>
        <v/>
      </c>
      <c r="B1095" s="1" t="str">
        <f ca="1">IF(A1095="","",[1]!s_dq_close($B$1,A1095,$M$4))</f>
        <v/>
      </c>
      <c r="C1095" s="1" t="str">
        <f ca="1">IF(A1095="","",[1]!s_dq_close($C$1,A1095,$M$4))</f>
        <v/>
      </c>
      <c r="D1095" s="6" t="str">
        <f ca="1">IF($A1095="","",[1]!s_dq_close(D$1,$A1095,$M$4))</f>
        <v/>
      </c>
      <c r="E1095" s="6" t="str">
        <f ca="1">IF($A1095="","",[1]!s_dq_close(E$1,$A1095,$M$4))</f>
        <v/>
      </c>
      <c r="F1095" s="6" t="str">
        <f ca="1">IF($A1095="","",[1]!s_dq_close(F$1,$A1095,$M$4))</f>
        <v/>
      </c>
      <c r="G1095" s="6"/>
      <c r="H1095" s="6" t="str">
        <f ca="1">IF($A1095="","",[1]!s_dq_close(H$1,$A1095,$M$4))</f>
        <v/>
      </c>
      <c r="I1095" s="6" t="str">
        <f ca="1">IF($A1095="","",[1]!s_dq_close(I$1,$A1095,$M$4))</f>
        <v/>
      </c>
      <c r="J1095" s="6" t="str">
        <f t="shared" ca="1" si="18"/>
        <v/>
      </c>
    </row>
    <row r="1096" spans="1:10">
      <c r="A1096" s="2" t="str">
        <f ca="1">IF(A1095="","",IF(IF(价差分析!$W$4="日",--[1]!td(A1095-1),IF(价差分析!$W$4="周",--[1]!td(A1095-7),--[1]!td(A1095-30)))-价差分析!$T$4&gt;0,IF(价差分析!$W$4="日",--[1]!td(A1095-1),IF(价差分析!$W$4="周",--[1]!td(A1095-7),--[1]!td(A1095-30))),""))</f>
        <v/>
      </c>
      <c r="B1096" s="1" t="str">
        <f ca="1">IF(A1096="","",[1]!s_dq_close($B$1,A1096,$M$4))</f>
        <v/>
      </c>
      <c r="C1096" s="1" t="str">
        <f ca="1">IF(A1096="","",[1]!s_dq_close($C$1,A1096,$M$4))</f>
        <v/>
      </c>
      <c r="D1096" s="6" t="str">
        <f ca="1">IF($A1096="","",[1]!s_dq_close(D$1,$A1096,$M$4))</f>
        <v/>
      </c>
      <c r="E1096" s="6" t="str">
        <f ca="1">IF($A1096="","",[1]!s_dq_close(E$1,$A1096,$M$4))</f>
        <v/>
      </c>
      <c r="F1096" s="6" t="str">
        <f ca="1">IF($A1096="","",[1]!s_dq_close(F$1,$A1096,$M$4))</f>
        <v/>
      </c>
      <c r="G1096" s="6"/>
      <c r="H1096" s="6" t="str">
        <f ca="1">IF($A1096="","",[1]!s_dq_close(H$1,$A1096,$M$4))</f>
        <v/>
      </c>
      <c r="I1096" s="6" t="str">
        <f ca="1">IF($A1096="","",[1]!s_dq_close(I$1,$A1096,$M$4))</f>
        <v/>
      </c>
      <c r="J1096" s="6" t="str">
        <f t="shared" ca="1" si="18"/>
        <v/>
      </c>
    </row>
    <row r="1097" spans="1:10">
      <c r="A1097" s="2" t="str">
        <f ca="1">IF(A1096="","",IF(IF(价差分析!$W$4="日",--[1]!td(A1096-1),IF(价差分析!$W$4="周",--[1]!td(A1096-7),--[1]!td(A1096-30)))-价差分析!$T$4&gt;0,IF(价差分析!$W$4="日",--[1]!td(A1096-1),IF(价差分析!$W$4="周",--[1]!td(A1096-7),--[1]!td(A1096-30))),""))</f>
        <v/>
      </c>
      <c r="B1097" s="1" t="str">
        <f ca="1">IF(A1097="","",[1]!s_dq_close($B$1,A1097,$M$4))</f>
        <v/>
      </c>
      <c r="C1097" s="1" t="str">
        <f ca="1">IF(A1097="","",[1]!s_dq_close($C$1,A1097,$M$4))</f>
        <v/>
      </c>
      <c r="D1097" s="6" t="str">
        <f ca="1">IF($A1097="","",[1]!s_dq_close(D$1,$A1097,$M$4))</f>
        <v/>
      </c>
      <c r="E1097" s="6" t="str">
        <f ca="1">IF($A1097="","",[1]!s_dq_close(E$1,$A1097,$M$4))</f>
        <v/>
      </c>
      <c r="F1097" s="6" t="str">
        <f ca="1">IF($A1097="","",[1]!s_dq_close(F$1,$A1097,$M$4))</f>
        <v/>
      </c>
      <c r="G1097" s="6"/>
      <c r="H1097" s="6" t="str">
        <f ca="1">IF($A1097="","",[1]!s_dq_close(H$1,$A1097,$M$4))</f>
        <v/>
      </c>
      <c r="I1097" s="6" t="str">
        <f ca="1">IF($A1097="","",[1]!s_dq_close(I$1,$A1097,$M$4))</f>
        <v/>
      </c>
      <c r="J1097" s="6" t="str">
        <f t="shared" ca="1" si="18"/>
        <v/>
      </c>
    </row>
    <row r="1098" spans="1:10">
      <c r="A1098" s="2" t="str">
        <f ca="1">IF(A1097="","",IF(IF(价差分析!$W$4="日",--[1]!td(A1097-1),IF(价差分析!$W$4="周",--[1]!td(A1097-7),--[1]!td(A1097-30)))-价差分析!$T$4&gt;0,IF(价差分析!$W$4="日",--[1]!td(A1097-1),IF(价差分析!$W$4="周",--[1]!td(A1097-7),--[1]!td(A1097-30))),""))</f>
        <v/>
      </c>
      <c r="B1098" s="1" t="str">
        <f ca="1">IF(A1098="","",[1]!s_dq_close($B$1,A1098,$M$4))</f>
        <v/>
      </c>
      <c r="C1098" s="1" t="str">
        <f ca="1">IF(A1098="","",[1]!s_dq_close($C$1,A1098,$M$4))</f>
        <v/>
      </c>
      <c r="D1098" s="6" t="str">
        <f ca="1">IF($A1098="","",[1]!s_dq_close(D$1,$A1098,$M$4))</f>
        <v/>
      </c>
      <c r="E1098" s="6" t="str">
        <f ca="1">IF($A1098="","",[1]!s_dq_close(E$1,$A1098,$M$4))</f>
        <v/>
      </c>
      <c r="F1098" s="6" t="str">
        <f ca="1">IF($A1098="","",[1]!s_dq_close(F$1,$A1098,$M$4))</f>
        <v/>
      </c>
      <c r="G1098" s="6"/>
      <c r="H1098" s="6" t="str">
        <f ca="1">IF($A1098="","",[1]!s_dq_close(H$1,$A1098,$M$4))</f>
        <v/>
      </c>
      <c r="I1098" s="6" t="str">
        <f ca="1">IF($A1098="","",[1]!s_dq_close(I$1,$A1098,$M$4))</f>
        <v/>
      </c>
      <c r="J1098" s="6" t="str">
        <f t="shared" ca="1" si="18"/>
        <v/>
      </c>
    </row>
    <row r="1099" spans="1:10">
      <c r="A1099" s="2" t="str">
        <f ca="1">IF(A1098="","",IF(IF(价差分析!$W$4="日",--[1]!td(A1098-1),IF(价差分析!$W$4="周",--[1]!td(A1098-7),--[1]!td(A1098-30)))-价差分析!$T$4&gt;0,IF(价差分析!$W$4="日",--[1]!td(A1098-1),IF(价差分析!$W$4="周",--[1]!td(A1098-7),--[1]!td(A1098-30))),""))</f>
        <v/>
      </c>
      <c r="B1099" s="1" t="str">
        <f ca="1">IF(A1099="","",[1]!s_dq_close($B$1,A1099,$M$4))</f>
        <v/>
      </c>
      <c r="C1099" s="1" t="str">
        <f ca="1">IF(A1099="","",[1]!s_dq_close($C$1,A1099,$M$4))</f>
        <v/>
      </c>
      <c r="D1099" s="6" t="str">
        <f ca="1">IF($A1099="","",[1]!s_dq_close(D$1,$A1099,$M$4))</f>
        <v/>
      </c>
      <c r="E1099" s="6" t="str">
        <f ca="1">IF($A1099="","",[1]!s_dq_close(E$1,$A1099,$M$4))</f>
        <v/>
      </c>
      <c r="F1099" s="6" t="str">
        <f ca="1">IF($A1099="","",[1]!s_dq_close(F$1,$A1099,$M$4))</f>
        <v/>
      </c>
      <c r="G1099" s="6"/>
      <c r="H1099" s="6" t="str">
        <f ca="1">IF($A1099="","",[1]!s_dq_close(H$1,$A1099,$M$4))</f>
        <v/>
      </c>
      <c r="I1099" s="6" t="str">
        <f ca="1">IF($A1099="","",[1]!s_dq_close(I$1,$A1099,$M$4))</f>
        <v/>
      </c>
      <c r="J1099" s="6" t="str">
        <f t="shared" ca="1" si="18"/>
        <v/>
      </c>
    </row>
    <row r="1100" spans="1:10">
      <c r="A1100" s="2" t="str">
        <f ca="1">IF(A1099="","",IF(IF(价差分析!$W$4="日",--[1]!td(A1099-1),IF(价差分析!$W$4="周",--[1]!td(A1099-7),--[1]!td(A1099-30)))-价差分析!$T$4&gt;0,IF(价差分析!$W$4="日",--[1]!td(A1099-1),IF(价差分析!$W$4="周",--[1]!td(A1099-7),--[1]!td(A1099-30))),""))</f>
        <v/>
      </c>
      <c r="B1100" s="1" t="str">
        <f ca="1">IF(A1100="","",[1]!s_dq_close($B$1,A1100,$M$4))</f>
        <v/>
      </c>
      <c r="C1100" s="1" t="str">
        <f ca="1">IF(A1100="","",[1]!s_dq_close($C$1,A1100,$M$4))</f>
        <v/>
      </c>
      <c r="D1100" s="6" t="str">
        <f ca="1">IF($A1100="","",[1]!s_dq_close(D$1,$A1100,$M$4))</f>
        <v/>
      </c>
      <c r="E1100" s="6" t="str">
        <f ca="1">IF($A1100="","",[1]!s_dq_close(E$1,$A1100,$M$4))</f>
        <v/>
      </c>
      <c r="F1100" s="6" t="str">
        <f ca="1">IF($A1100="","",[1]!s_dq_close(F$1,$A1100,$M$4))</f>
        <v/>
      </c>
      <c r="G1100" s="6"/>
      <c r="H1100" s="6" t="str">
        <f ca="1">IF($A1100="","",[1]!s_dq_close(H$1,$A1100,$M$4))</f>
        <v/>
      </c>
      <c r="I1100" s="6" t="str">
        <f ca="1">IF($A1100="","",[1]!s_dq_close(I$1,$A1100,$M$4))</f>
        <v/>
      </c>
      <c r="J1100" s="6" t="str">
        <f t="shared" ca="1" si="18"/>
        <v/>
      </c>
    </row>
    <row r="1101" spans="1:10">
      <c r="A1101" s="2" t="str">
        <f ca="1">IF(A1100="","",IF(IF(价差分析!$W$4="日",--[1]!td(A1100-1),IF(价差分析!$W$4="周",--[1]!td(A1100-7),--[1]!td(A1100-30)))-价差分析!$T$4&gt;0,IF(价差分析!$W$4="日",--[1]!td(A1100-1),IF(价差分析!$W$4="周",--[1]!td(A1100-7),--[1]!td(A1100-30))),""))</f>
        <v/>
      </c>
      <c r="B1101" s="1" t="str">
        <f ca="1">IF(A1101="","",[1]!s_dq_close($B$1,A1101,$M$4))</f>
        <v/>
      </c>
      <c r="C1101" s="1" t="str">
        <f ca="1">IF(A1101="","",[1]!s_dq_close($C$1,A1101,$M$4))</f>
        <v/>
      </c>
      <c r="D1101" s="6" t="str">
        <f ca="1">IF($A1101="","",[1]!s_dq_close(D$1,$A1101,$M$4))</f>
        <v/>
      </c>
      <c r="E1101" s="6" t="str">
        <f ca="1">IF($A1101="","",[1]!s_dq_close(E$1,$A1101,$M$4))</f>
        <v/>
      </c>
      <c r="F1101" s="6" t="str">
        <f ca="1">IF($A1101="","",[1]!s_dq_close(F$1,$A1101,$M$4))</f>
        <v/>
      </c>
      <c r="G1101" s="6"/>
      <c r="H1101" s="6" t="str">
        <f ca="1">IF($A1101="","",[1]!s_dq_close(H$1,$A1101,$M$4))</f>
        <v/>
      </c>
      <c r="I1101" s="6" t="str">
        <f ca="1">IF($A1101="","",[1]!s_dq_close(I$1,$A1101,$M$4))</f>
        <v/>
      </c>
      <c r="J1101" s="6" t="str">
        <f t="shared" ca="1" si="18"/>
        <v/>
      </c>
    </row>
    <row r="1102" spans="1:10">
      <c r="A1102" s="2" t="str">
        <f ca="1">IF(A1101="","",IF(IF(价差分析!$W$4="日",--[1]!td(A1101-1),IF(价差分析!$W$4="周",--[1]!td(A1101-7),--[1]!td(A1101-30)))-价差分析!$T$4&gt;0,IF(价差分析!$W$4="日",--[1]!td(A1101-1),IF(价差分析!$W$4="周",--[1]!td(A1101-7),--[1]!td(A1101-30))),""))</f>
        <v/>
      </c>
      <c r="B1102" s="1" t="str">
        <f ca="1">IF(A1102="","",[1]!s_dq_close($B$1,A1102,$M$4))</f>
        <v/>
      </c>
      <c r="C1102" s="1" t="str">
        <f ca="1">IF(A1102="","",[1]!s_dq_close($C$1,A1102,$M$4))</f>
        <v/>
      </c>
      <c r="D1102" s="6" t="str">
        <f ca="1">IF($A1102="","",[1]!s_dq_close(D$1,$A1102,$M$4))</f>
        <v/>
      </c>
      <c r="E1102" s="6" t="str">
        <f ca="1">IF($A1102="","",[1]!s_dq_close(E$1,$A1102,$M$4))</f>
        <v/>
      </c>
      <c r="F1102" s="6" t="str">
        <f ca="1">IF($A1102="","",[1]!s_dq_close(F$1,$A1102,$M$4))</f>
        <v/>
      </c>
      <c r="G1102" s="6"/>
      <c r="H1102" s="6" t="str">
        <f ca="1">IF($A1102="","",[1]!s_dq_close(H$1,$A1102,$M$4))</f>
        <v/>
      </c>
      <c r="I1102" s="6" t="str">
        <f ca="1">IF($A1102="","",[1]!s_dq_close(I$1,$A1102,$M$4))</f>
        <v/>
      </c>
      <c r="J1102" s="6" t="str">
        <f t="shared" ca="1" si="18"/>
        <v/>
      </c>
    </row>
    <row r="1103" spans="1:10">
      <c r="A1103" s="2" t="str">
        <f ca="1">IF(A1102="","",IF(IF(价差分析!$W$4="日",--[1]!td(A1102-1),IF(价差分析!$W$4="周",--[1]!td(A1102-7),--[1]!td(A1102-30)))-价差分析!$T$4&gt;0,IF(价差分析!$W$4="日",--[1]!td(A1102-1),IF(价差分析!$W$4="周",--[1]!td(A1102-7),--[1]!td(A1102-30))),""))</f>
        <v/>
      </c>
      <c r="B1103" s="1" t="str">
        <f ca="1">IF(A1103="","",[1]!s_dq_close($B$1,A1103,$M$4))</f>
        <v/>
      </c>
      <c r="C1103" s="1" t="str">
        <f ca="1">IF(A1103="","",[1]!s_dq_close($C$1,A1103,$M$4))</f>
        <v/>
      </c>
      <c r="D1103" s="6" t="str">
        <f ca="1">IF($A1103="","",[1]!s_dq_close(D$1,$A1103,$M$4))</f>
        <v/>
      </c>
      <c r="E1103" s="6" t="str">
        <f ca="1">IF($A1103="","",[1]!s_dq_close(E$1,$A1103,$M$4))</f>
        <v/>
      </c>
      <c r="F1103" s="6" t="str">
        <f ca="1">IF($A1103="","",[1]!s_dq_close(F$1,$A1103,$M$4))</f>
        <v/>
      </c>
      <c r="G1103" s="6"/>
      <c r="H1103" s="6" t="str">
        <f ca="1">IF($A1103="","",[1]!s_dq_close(H$1,$A1103,$M$4))</f>
        <v/>
      </c>
      <c r="I1103" s="6" t="str">
        <f ca="1">IF($A1103="","",[1]!s_dq_close(I$1,$A1103,$M$4))</f>
        <v/>
      </c>
      <c r="J1103" s="6" t="str">
        <f t="shared" ca="1" si="18"/>
        <v/>
      </c>
    </row>
    <row r="1104" spans="1:10">
      <c r="A1104" s="2" t="str">
        <f ca="1">IF(A1103="","",IF(IF(价差分析!$W$4="日",--[1]!td(A1103-1),IF(价差分析!$W$4="周",--[1]!td(A1103-7),--[1]!td(A1103-30)))-价差分析!$T$4&gt;0,IF(价差分析!$W$4="日",--[1]!td(A1103-1),IF(价差分析!$W$4="周",--[1]!td(A1103-7),--[1]!td(A1103-30))),""))</f>
        <v/>
      </c>
      <c r="B1104" s="1" t="str">
        <f ca="1">IF(A1104="","",[1]!s_dq_close($B$1,A1104,$M$4))</f>
        <v/>
      </c>
      <c r="C1104" s="1" t="str">
        <f ca="1">IF(A1104="","",[1]!s_dq_close($C$1,A1104,$M$4))</f>
        <v/>
      </c>
      <c r="D1104" s="6" t="str">
        <f ca="1">IF($A1104="","",[1]!s_dq_close(D$1,$A1104,$M$4))</f>
        <v/>
      </c>
      <c r="E1104" s="6" t="str">
        <f ca="1">IF($A1104="","",[1]!s_dq_close(E$1,$A1104,$M$4))</f>
        <v/>
      </c>
      <c r="F1104" s="6" t="str">
        <f ca="1">IF($A1104="","",[1]!s_dq_close(F$1,$A1104,$M$4))</f>
        <v/>
      </c>
      <c r="G1104" s="6"/>
      <c r="H1104" s="6" t="str">
        <f ca="1">IF($A1104="","",[1]!s_dq_close(H$1,$A1104,$M$4))</f>
        <v/>
      </c>
      <c r="I1104" s="6" t="str">
        <f ca="1">IF($A1104="","",[1]!s_dq_close(I$1,$A1104,$M$4))</f>
        <v/>
      </c>
      <c r="J1104" s="6" t="str">
        <f t="shared" ca="1" si="18"/>
        <v/>
      </c>
    </row>
    <row r="1105" spans="1:10">
      <c r="A1105" s="2" t="str">
        <f ca="1">IF(A1104="","",IF(IF(价差分析!$W$4="日",--[1]!td(A1104-1),IF(价差分析!$W$4="周",--[1]!td(A1104-7),--[1]!td(A1104-30)))-价差分析!$T$4&gt;0,IF(价差分析!$W$4="日",--[1]!td(A1104-1),IF(价差分析!$W$4="周",--[1]!td(A1104-7),--[1]!td(A1104-30))),""))</f>
        <v/>
      </c>
      <c r="B1105" s="1" t="str">
        <f ca="1">IF(A1105="","",[1]!s_dq_close($B$1,A1105,$M$4))</f>
        <v/>
      </c>
      <c r="C1105" s="1" t="str">
        <f ca="1">IF(A1105="","",[1]!s_dq_close($C$1,A1105,$M$4))</f>
        <v/>
      </c>
      <c r="D1105" s="6" t="str">
        <f ca="1">IF($A1105="","",[1]!s_dq_close(D$1,$A1105,$M$4))</f>
        <v/>
      </c>
      <c r="E1105" s="6" t="str">
        <f ca="1">IF($A1105="","",[1]!s_dq_close(E$1,$A1105,$M$4))</f>
        <v/>
      </c>
      <c r="F1105" s="6" t="str">
        <f ca="1">IF($A1105="","",[1]!s_dq_close(F$1,$A1105,$M$4))</f>
        <v/>
      </c>
      <c r="G1105" s="6"/>
      <c r="H1105" s="6" t="str">
        <f ca="1">IF($A1105="","",[1]!s_dq_close(H$1,$A1105,$M$4))</f>
        <v/>
      </c>
      <c r="I1105" s="6" t="str">
        <f ca="1">IF($A1105="","",[1]!s_dq_close(I$1,$A1105,$M$4))</f>
        <v/>
      </c>
      <c r="J1105" s="6" t="str">
        <f t="shared" ca="1" si="18"/>
        <v/>
      </c>
    </row>
    <row r="1106" spans="1:10">
      <c r="A1106" s="2" t="str">
        <f ca="1">IF(A1105="","",IF(IF(价差分析!$W$4="日",--[1]!td(A1105-1),IF(价差分析!$W$4="周",--[1]!td(A1105-7),--[1]!td(A1105-30)))-价差分析!$T$4&gt;0,IF(价差分析!$W$4="日",--[1]!td(A1105-1),IF(价差分析!$W$4="周",--[1]!td(A1105-7),--[1]!td(A1105-30))),""))</f>
        <v/>
      </c>
      <c r="B1106" s="1" t="str">
        <f ca="1">IF(A1106="","",[1]!s_dq_close($B$1,A1106,$M$4))</f>
        <v/>
      </c>
      <c r="C1106" s="1" t="str">
        <f ca="1">IF(A1106="","",[1]!s_dq_close($C$1,A1106,$M$4))</f>
        <v/>
      </c>
      <c r="D1106" s="6" t="str">
        <f ca="1">IF($A1106="","",[1]!s_dq_close(D$1,$A1106,$M$4))</f>
        <v/>
      </c>
      <c r="E1106" s="6" t="str">
        <f ca="1">IF($A1106="","",[1]!s_dq_close(E$1,$A1106,$M$4))</f>
        <v/>
      </c>
      <c r="F1106" s="6" t="str">
        <f ca="1">IF($A1106="","",[1]!s_dq_close(F$1,$A1106,$M$4))</f>
        <v/>
      </c>
      <c r="G1106" s="6"/>
      <c r="H1106" s="6" t="str">
        <f ca="1">IF($A1106="","",[1]!s_dq_close(H$1,$A1106,$M$4))</f>
        <v/>
      </c>
      <c r="I1106" s="6" t="str">
        <f ca="1">IF($A1106="","",[1]!s_dq_close(I$1,$A1106,$M$4))</f>
        <v/>
      </c>
      <c r="J1106" s="6" t="str">
        <f t="shared" ca="1" si="18"/>
        <v/>
      </c>
    </row>
    <row r="1107" spans="1:10">
      <c r="A1107" s="2" t="str">
        <f ca="1">IF(A1106="","",IF(IF(价差分析!$W$4="日",--[1]!td(A1106-1),IF(价差分析!$W$4="周",--[1]!td(A1106-7),--[1]!td(A1106-30)))-价差分析!$T$4&gt;0,IF(价差分析!$W$4="日",--[1]!td(A1106-1),IF(价差分析!$W$4="周",--[1]!td(A1106-7),--[1]!td(A1106-30))),""))</f>
        <v/>
      </c>
      <c r="B1107" s="1" t="str">
        <f ca="1">IF(A1107="","",[1]!s_dq_close($B$1,A1107,$M$4))</f>
        <v/>
      </c>
      <c r="C1107" s="1" t="str">
        <f ca="1">IF(A1107="","",[1]!s_dq_close($C$1,A1107,$M$4))</f>
        <v/>
      </c>
      <c r="D1107" s="6" t="str">
        <f ca="1">IF($A1107="","",[1]!s_dq_close(D$1,$A1107,$M$4))</f>
        <v/>
      </c>
      <c r="E1107" s="6" t="str">
        <f ca="1">IF($A1107="","",[1]!s_dq_close(E$1,$A1107,$M$4))</f>
        <v/>
      </c>
      <c r="F1107" s="6" t="str">
        <f ca="1">IF($A1107="","",[1]!s_dq_close(F$1,$A1107,$M$4))</f>
        <v/>
      </c>
      <c r="G1107" s="6"/>
      <c r="H1107" s="6" t="str">
        <f ca="1">IF($A1107="","",[1]!s_dq_close(H$1,$A1107,$M$4))</f>
        <v/>
      </c>
      <c r="I1107" s="6" t="str">
        <f ca="1">IF($A1107="","",[1]!s_dq_close(I$1,$A1107,$M$4))</f>
        <v/>
      </c>
      <c r="J1107" s="6" t="str">
        <f t="shared" ca="1" si="18"/>
        <v/>
      </c>
    </row>
    <row r="1108" spans="1:10">
      <c r="A1108" s="2" t="str">
        <f ca="1">IF(A1107="","",IF(IF(价差分析!$W$4="日",--[1]!td(A1107-1),IF(价差分析!$W$4="周",--[1]!td(A1107-7),--[1]!td(A1107-30)))-价差分析!$T$4&gt;0,IF(价差分析!$W$4="日",--[1]!td(A1107-1),IF(价差分析!$W$4="周",--[1]!td(A1107-7),--[1]!td(A1107-30))),""))</f>
        <v/>
      </c>
      <c r="B1108" s="1" t="str">
        <f ca="1">IF(A1108="","",[1]!s_dq_close($B$1,A1108,$M$4))</f>
        <v/>
      </c>
      <c r="C1108" s="1" t="str">
        <f ca="1">IF(A1108="","",[1]!s_dq_close($C$1,A1108,$M$4))</f>
        <v/>
      </c>
      <c r="D1108" s="6" t="str">
        <f ca="1">IF($A1108="","",[1]!s_dq_close(D$1,$A1108,$M$4))</f>
        <v/>
      </c>
      <c r="E1108" s="6" t="str">
        <f ca="1">IF($A1108="","",[1]!s_dq_close(E$1,$A1108,$M$4))</f>
        <v/>
      </c>
      <c r="F1108" s="6" t="str">
        <f ca="1">IF($A1108="","",[1]!s_dq_close(F$1,$A1108,$M$4))</f>
        <v/>
      </c>
      <c r="G1108" s="6"/>
      <c r="H1108" s="6" t="str">
        <f ca="1">IF($A1108="","",[1]!s_dq_close(H$1,$A1108,$M$4))</f>
        <v/>
      </c>
      <c r="I1108" s="6" t="str">
        <f ca="1">IF($A1108="","",[1]!s_dq_close(I$1,$A1108,$M$4))</f>
        <v/>
      </c>
      <c r="J1108" s="6" t="str">
        <f t="shared" ca="1" si="18"/>
        <v/>
      </c>
    </row>
    <row r="1109" spans="1:10">
      <c r="A1109" s="2" t="str">
        <f ca="1">IF(A1108="","",IF(IF(价差分析!$W$4="日",--[1]!td(A1108-1),IF(价差分析!$W$4="周",--[1]!td(A1108-7),--[1]!td(A1108-30)))-价差分析!$T$4&gt;0,IF(价差分析!$W$4="日",--[1]!td(A1108-1),IF(价差分析!$W$4="周",--[1]!td(A1108-7),--[1]!td(A1108-30))),""))</f>
        <v/>
      </c>
      <c r="B1109" s="1" t="str">
        <f ca="1">IF(A1109="","",[1]!s_dq_close($B$1,A1109,$M$4))</f>
        <v/>
      </c>
      <c r="C1109" s="1" t="str">
        <f ca="1">IF(A1109="","",[1]!s_dq_close($C$1,A1109,$M$4))</f>
        <v/>
      </c>
      <c r="D1109" s="6" t="str">
        <f ca="1">IF($A1109="","",[1]!s_dq_close(D$1,$A1109,$M$4))</f>
        <v/>
      </c>
      <c r="E1109" s="6" t="str">
        <f ca="1">IF($A1109="","",[1]!s_dq_close(E$1,$A1109,$M$4))</f>
        <v/>
      </c>
      <c r="F1109" s="6" t="str">
        <f ca="1">IF($A1109="","",[1]!s_dq_close(F$1,$A1109,$M$4))</f>
        <v/>
      </c>
      <c r="G1109" s="6"/>
      <c r="H1109" s="6" t="str">
        <f ca="1">IF($A1109="","",[1]!s_dq_close(H$1,$A1109,$M$4))</f>
        <v/>
      </c>
      <c r="I1109" s="6" t="str">
        <f ca="1">IF($A1109="","",[1]!s_dq_close(I$1,$A1109,$M$4))</f>
        <v/>
      </c>
      <c r="J1109" s="6" t="str">
        <f t="shared" ca="1" si="18"/>
        <v/>
      </c>
    </row>
    <row r="1110" spans="1:10">
      <c r="A1110" s="2" t="str">
        <f ca="1">IF(A1109="","",IF(IF(价差分析!$W$4="日",--[1]!td(A1109-1),IF(价差分析!$W$4="周",--[1]!td(A1109-7),--[1]!td(A1109-30)))-价差分析!$T$4&gt;0,IF(价差分析!$W$4="日",--[1]!td(A1109-1),IF(价差分析!$W$4="周",--[1]!td(A1109-7),--[1]!td(A1109-30))),""))</f>
        <v/>
      </c>
      <c r="B1110" s="1" t="str">
        <f ca="1">IF(A1110="","",[1]!s_dq_close($B$1,A1110,$M$4))</f>
        <v/>
      </c>
      <c r="C1110" s="1" t="str">
        <f ca="1">IF(A1110="","",[1]!s_dq_close($C$1,A1110,$M$4))</f>
        <v/>
      </c>
      <c r="D1110" s="6" t="str">
        <f ca="1">IF($A1110="","",[1]!s_dq_close(D$1,$A1110,$M$4))</f>
        <v/>
      </c>
      <c r="E1110" s="6" t="str">
        <f ca="1">IF($A1110="","",[1]!s_dq_close(E$1,$A1110,$M$4))</f>
        <v/>
      </c>
      <c r="F1110" s="6" t="str">
        <f ca="1">IF($A1110="","",[1]!s_dq_close(F$1,$A1110,$M$4))</f>
        <v/>
      </c>
      <c r="G1110" s="6"/>
      <c r="H1110" s="6" t="str">
        <f ca="1">IF($A1110="","",[1]!s_dq_close(H$1,$A1110,$M$4))</f>
        <v/>
      </c>
      <c r="I1110" s="6" t="str">
        <f ca="1">IF($A1110="","",[1]!s_dq_close(I$1,$A1110,$M$4))</f>
        <v/>
      </c>
      <c r="J1110" s="6" t="str">
        <f t="shared" ca="1" si="18"/>
        <v/>
      </c>
    </row>
    <row r="1111" spans="1:10">
      <c r="A1111" s="2" t="str">
        <f ca="1">IF(A1110="","",IF(IF(价差分析!$W$4="日",--[1]!td(A1110-1),IF(价差分析!$W$4="周",--[1]!td(A1110-7),--[1]!td(A1110-30)))-价差分析!$T$4&gt;0,IF(价差分析!$W$4="日",--[1]!td(A1110-1),IF(价差分析!$W$4="周",--[1]!td(A1110-7),--[1]!td(A1110-30))),""))</f>
        <v/>
      </c>
      <c r="B1111" s="1" t="str">
        <f ca="1">IF(A1111="","",[1]!s_dq_close($B$1,A1111,$M$4))</f>
        <v/>
      </c>
      <c r="C1111" s="1" t="str">
        <f ca="1">IF(A1111="","",[1]!s_dq_close($C$1,A1111,$M$4))</f>
        <v/>
      </c>
      <c r="D1111" s="6" t="str">
        <f ca="1">IF($A1111="","",[1]!s_dq_close(D$1,$A1111,$M$4))</f>
        <v/>
      </c>
      <c r="E1111" s="6" t="str">
        <f ca="1">IF($A1111="","",[1]!s_dq_close(E$1,$A1111,$M$4))</f>
        <v/>
      </c>
      <c r="F1111" s="6" t="str">
        <f ca="1">IF($A1111="","",[1]!s_dq_close(F$1,$A1111,$M$4))</f>
        <v/>
      </c>
      <c r="G1111" s="6"/>
      <c r="H1111" s="6" t="str">
        <f ca="1">IF($A1111="","",[1]!s_dq_close(H$1,$A1111,$M$4))</f>
        <v/>
      </c>
      <c r="I1111" s="6" t="str">
        <f ca="1">IF($A1111="","",[1]!s_dq_close(I$1,$A1111,$M$4))</f>
        <v/>
      </c>
      <c r="J1111" s="6" t="str">
        <f t="shared" ca="1" si="18"/>
        <v/>
      </c>
    </row>
    <row r="1112" spans="1:10">
      <c r="A1112" s="2" t="str">
        <f ca="1">IF(A1111="","",IF(IF(价差分析!$W$4="日",--[1]!td(A1111-1),IF(价差分析!$W$4="周",--[1]!td(A1111-7),--[1]!td(A1111-30)))-价差分析!$T$4&gt;0,IF(价差分析!$W$4="日",--[1]!td(A1111-1),IF(价差分析!$W$4="周",--[1]!td(A1111-7),--[1]!td(A1111-30))),""))</f>
        <v/>
      </c>
      <c r="B1112" s="1" t="str">
        <f ca="1">IF(A1112="","",[1]!s_dq_close($B$1,A1112,$M$4))</f>
        <v/>
      </c>
      <c r="C1112" s="1" t="str">
        <f ca="1">IF(A1112="","",[1]!s_dq_close($C$1,A1112,$M$4))</f>
        <v/>
      </c>
      <c r="D1112" s="6" t="str">
        <f ca="1">IF($A1112="","",[1]!s_dq_close(D$1,$A1112,$M$4))</f>
        <v/>
      </c>
      <c r="E1112" s="6" t="str">
        <f ca="1">IF($A1112="","",[1]!s_dq_close(E$1,$A1112,$M$4))</f>
        <v/>
      </c>
      <c r="F1112" s="6" t="str">
        <f ca="1">IF($A1112="","",[1]!s_dq_close(F$1,$A1112,$M$4))</f>
        <v/>
      </c>
      <c r="G1112" s="6"/>
      <c r="H1112" s="6" t="str">
        <f ca="1">IF($A1112="","",[1]!s_dq_close(H$1,$A1112,$M$4))</f>
        <v/>
      </c>
      <c r="I1112" s="6" t="str">
        <f ca="1">IF($A1112="","",[1]!s_dq_close(I$1,$A1112,$M$4))</f>
        <v/>
      </c>
      <c r="J1112" s="6" t="str">
        <f t="shared" ca="1" si="18"/>
        <v/>
      </c>
    </row>
    <row r="1113" spans="1:10">
      <c r="A1113" s="2" t="str">
        <f ca="1">IF(A1112="","",IF(IF(价差分析!$W$4="日",--[1]!td(A1112-1),IF(价差分析!$W$4="周",--[1]!td(A1112-7),--[1]!td(A1112-30)))-价差分析!$T$4&gt;0,IF(价差分析!$W$4="日",--[1]!td(A1112-1),IF(价差分析!$W$4="周",--[1]!td(A1112-7),--[1]!td(A1112-30))),""))</f>
        <v/>
      </c>
      <c r="B1113" s="1" t="str">
        <f ca="1">IF(A1113="","",[1]!s_dq_close($B$1,A1113,$M$4))</f>
        <v/>
      </c>
      <c r="C1113" s="1" t="str">
        <f ca="1">IF(A1113="","",[1]!s_dq_close($C$1,A1113,$M$4))</f>
        <v/>
      </c>
      <c r="D1113" s="6" t="str">
        <f ca="1">IF($A1113="","",[1]!s_dq_close(D$1,$A1113,$M$4))</f>
        <v/>
      </c>
      <c r="E1113" s="6" t="str">
        <f ca="1">IF($A1113="","",[1]!s_dq_close(E$1,$A1113,$M$4))</f>
        <v/>
      </c>
      <c r="F1113" s="6" t="str">
        <f ca="1">IF($A1113="","",[1]!s_dq_close(F$1,$A1113,$M$4))</f>
        <v/>
      </c>
      <c r="G1113" s="6"/>
      <c r="H1113" s="6" t="str">
        <f ca="1">IF($A1113="","",[1]!s_dq_close(H$1,$A1113,$M$4))</f>
        <v/>
      </c>
      <c r="I1113" s="6" t="str">
        <f ca="1">IF($A1113="","",[1]!s_dq_close(I$1,$A1113,$M$4))</f>
        <v/>
      </c>
      <c r="J1113" s="6" t="str">
        <f t="shared" ca="1" si="18"/>
        <v/>
      </c>
    </row>
    <row r="1114" spans="1:10">
      <c r="A1114" s="2" t="str">
        <f ca="1">IF(A1113="","",IF(IF(价差分析!$W$4="日",--[1]!td(A1113-1),IF(价差分析!$W$4="周",--[1]!td(A1113-7),--[1]!td(A1113-30)))-价差分析!$T$4&gt;0,IF(价差分析!$W$4="日",--[1]!td(A1113-1),IF(价差分析!$W$4="周",--[1]!td(A1113-7),--[1]!td(A1113-30))),""))</f>
        <v/>
      </c>
      <c r="B1114" s="1" t="str">
        <f ca="1">IF(A1114="","",[1]!s_dq_close($B$1,A1114,$M$4))</f>
        <v/>
      </c>
      <c r="C1114" s="1" t="str">
        <f ca="1">IF(A1114="","",[1]!s_dq_close($C$1,A1114,$M$4))</f>
        <v/>
      </c>
      <c r="D1114" s="6" t="str">
        <f ca="1">IF($A1114="","",[1]!s_dq_close(D$1,$A1114,$M$4))</f>
        <v/>
      </c>
      <c r="E1114" s="6" t="str">
        <f ca="1">IF($A1114="","",[1]!s_dq_close(E$1,$A1114,$M$4))</f>
        <v/>
      </c>
      <c r="F1114" s="6" t="str">
        <f ca="1">IF($A1114="","",[1]!s_dq_close(F$1,$A1114,$M$4))</f>
        <v/>
      </c>
      <c r="G1114" s="6"/>
      <c r="H1114" s="6" t="str">
        <f ca="1">IF($A1114="","",[1]!s_dq_close(H$1,$A1114,$M$4))</f>
        <v/>
      </c>
      <c r="I1114" s="6" t="str">
        <f ca="1">IF($A1114="","",[1]!s_dq_close(I$1,$A1114,$M$4))</f>
        <v/>
      </c>
      <c r="J1114" s="6" t="str">
        <f t="shared" ca="1" si="18"/>
        <v/>
      </c>
    </row>
    <row r="1115" spans="1:10">
      <c r="A1115" s="2" t="str">
        <f ca="1">IF(A1114="","",IF(IF(价差分析!$W$4="日",--[1]!td(A1114-1),IF(价差分析!$W$4="周",--[1]!td(A1114-7),--[1]!td(A1114-30)))-价差分析!$T$4&gt;0,IF(价差分析!$W$4="日",--[1]!td(A1114-1),IF(价差分析!$W$4="周",--[1]!td(A1114-7),--[1]!td(A1114-30))),""))</f>
        <v/>
      </c>
      <c r="B1115" s="1" t="str">
        <f ca="1">IF(A1115="","",[1]!s_dq_close($B$1,A1115,$M$4))</f>
        <v/>
      </c>
      <c r="C1115" s="1" t="str">
        <f ca="1">IF(A1115="","",[1]!s_dq_close($C$1,A1115,$M$4))</f>
        <v/>
      </c>
      <c r="D1115" s="6" t="str">
        <f ca="1">IF($A1115="","",[1]!s_dq_close(D$1,$A1115,$M$4))</f>
        <v/>
      </c>
      <c r="E1115" s="6" t="str">
        <f ca="1">IF($A1115="","",[1]!s_dq_close(E$1,$A1115,$M$4))</f>
        <v/>
      </c>
      <c r="F1115" s="6" t="str">
        <f ca="1">IF($A1115="","",[1]!s_dq_close(F$1,$A1115,$M$4))</f>
        <v/>
      </c>
      <c r="G1115" s="6"/>
      <c r="H1115" s="6" t="str">
        <f ca="1">IF($A1115="","",[1]!s_dq_close(H$1,$A1115,$M$4))</f>
        <v/>
      </c>
      <c r="I1115" s="6" t="str">
        <f ca="1">IF($A1115="","",[1]!s_dq_close(I$1,$A1115,$M$4))</f>
        <v/>
      </c>
      <c r="J1115" s="6" t="str">
        <f t="shared" ca="1" si="18"/>
        <v/>
      </c>
    </row>
    <row r="1116" spans="1:10">
      <c r="A1116" s="2" t="str">
        <f ca="1">IF(A1115="","",IF(IF(价差分析!$W$4="日",--[1]!td(A1115-1),IF(价差分析!$W$4="周",--[1]!td(A1115-7),--[1]!td(A1115-30)))-价差分析!$T$4&gt;0,IF(价差分析!$W$4="日",--[1]!td(A1115-1),IF(价差分析!$W$4="周",--[1]!td(A1115-7),--[1]!td(A1115-30))),""))</f>
        <v/>
      </c>
      <c r="B1116" s="1" t="str">
        <f ca="1">IF(A1116="","",[1]!s_dq_close($B$1,A1116,$M$4))</f>
        <v/>
      </c>
      <c r="C1116" s="1" t="str">
        <f ca="1">IF(A1116="","",[1]!s_dq_close($C$1,A1116,$M$4))</f>
        <v/>
      </c>
      <c r="D1116" s="6" t="str">
        <f ca="1">IF($A1116="","",[1]!s_dq_close(D$1,$A1116,$M$4))</f>
        <v/>
      </c>
      <c r="E1116" s="6" t="str">
        <f ca="1">IF($A1116="","",[1]!s_dq_close(E$1,$A1116,$M$4))</f>
        <v/>
      </c>
      <c r="F1116" s="6" t="str">
        <f ca="1">IF($A1116="","",[1]!s_dq_close(F$1,$A1116,$M$4))</f>
        <v/>
      </c>
      <c r="G1116" s="6"/>
      <c r="H1116" s="6" t="str">
        <f ca="1">IF($A1116="","",[1]!s_dq_close(H$1,$A1116,$M$4))</f>
        <v/>
      </c>
      <c r="I1116" s="6" t="str">
        <f ca="1">IF($A1116="","",[1]!s_dq_close(I$1,$A1116,$M$4))</f>
        <v/>
      </c>
      <c r="J1116" s="6" t="str">
        <f t="shared" ca="1" si="18"/>
        <v/>
      </c>
    </row>
    <row r="1117" spans="1:10">
      <c r="A1117" s="2" t="str">
        <f ca="1">IF(A1116="","",IF(IF(价差分析!$W$4="日",--[1]!td(A1116-1),IF(价差分析!$W$4="周",--[1]!td(A1116-7),--[1]!td(A1116-30)))-价差分析!$T$4&gt;0,IF(价差分析!$W$4="日",--[1]!td(A1116-1),IF(价差分析!$W$4="周",--[1]!td(A1116-7),--[1]!td(A1116-30))),""))</f>
        <v/>
      </c>
      <c r="B1117" s="1" t="str">
        <f ca="1">IF(A1117="","",[1]!s_dq_close($B$1,A1117,$M$4))</f>
        <v/>
      </c>
      <c r="C1117" s="1" t="str">
        <f ca="1">IF(A1117="","",[1]!s_dq_close($C$1,A1117,$M$4))</f>
        <v/>
      </c>
      <c r="D1117" s="6" t="str">
        <f ca="1">IF($A1117="","",[1]!s_dq_close(D$1,$A1117,$M$4))</f>
        <v/>
      </c>
      <c r="E1117" s="6" t="str">
        <f ca="1">IF($A1117="","",[1]!s_dq_close(E$1,$A1117,$M$4))</f>
        <v/>
      </c>
      <c r="F1117" s="6" t="str">
        <f ca="1">IF($A1117="","",[1]!s_dq_close(F$1,$A1117,$M$4))</f>
        <v/>
      </c>
      <c r="G1117" s="6"/>
      <c r="H1117" s="6" t="str">
        <f ca="1">IF($A1117="","",[1]!s_dq_close(H$1,$A1117,$M$4))</f>
        <v/>
      </c>
      <c r="I1117" s="6" t="str">
        <f ca="1">IF($A1117="","",[1]!s_dq_close(I$1,$A1117,$M$4))</f>
        <v/>
      </c>
      <c r="J1117" s="6" t="str">
        <f t="shared" ca="1" si="18"/>
        <v/>
      </c>
    </row>
    <row r="1118" spans="1:10">
      <c r="A1118" s="2" t="str">
        <f ca="1">IF(A1117="","",IF(IF(价差分析!$W$4="日",--[1]!td(A1117-1),IF(价差分析!$W$4="周",--[1]!td(A1117-7),--[1]!td(A1117-30)))-价差分析!$T$4&gt;0,IF(价差分析!$W$4="日",--[1]!td(A1117-1),IF(价差分析!$W$4="周",--[1]!td(A1117-7),--[1]!td(A1117-30))),""))</f>
        <v/>
      </c>
      <c r="B1118" s="1" t="str">
        <f ca="1">IF(A1118="","",[1]!s_dq_close($B$1,A1118,$M$4))</f>
        <v/>
      </c>
      <c r="C1118" s="1" t="str">
        <f ca="1">IF(A1118="","",[1]!s_dq_close($C$1,A1118,$M$4))</f>
        <v/>
      </c>
      <c r="D1118" s="6" t="str">
        <f ca="1">IF($A1118="","",[1]!s_dq_close(D$1,$A1118,$M$4))</f>
        <v/>
      </c>
      <c r="E1118" s="6" t="str">
        <f ca="1">IF($A1118="","",[1]!s_dq_close(E$1,$A1118,$M$4))</f>
        <v/>
      </c>
      <c r="F1118" s="6" t="str">
        <f ca="1">IF($A1118="","",[1]!s_dq_close(F$1,$A1118,$M$4))</f>
        <v/>
      </c>
      <c r="G1118" s="6"/>
      <c r="H1118" s="6" t="str">
        <f ca="1">IF($A1118="","",[1]!s_dq_close(H$1,$A1118,$M$4))</f>
        <v/>
      </c>
      <c r="I1118" s="6" t="str">
        <f ca="1">IF($A1118="","",[1]!s_dq_close(I$1,$A1118,$M$4))</f>
        <v/>
      </c>
      <c r="J1118" s="6" t="str">
        <f t="shared" ca="1" si="18"/>
        <v/>
      </c>
    </row>
    <row r="1119" spans="1:10">
      <c r="A1119" s="2" t="str">
        <f ca="1">IF(A1118="","",IF(IF(价差分析!$W$4="日",--[1]!td(A1118-1),IF(价差分析!$W$4="周",--[1]!td(A1118-7),--[1]!td(A1118-30)))-价差分析!$T$4&gt;0,IF(价差分析!$W$4="日",--[1]!td(A1118-1),IF(价差分析!$W$4="周",--[1]!td(A1118-7),--[1]!td(A1118-30))),""))</f>
        <v/>
      </c>
      <c r="B1119" s="1" t="str">
        <f ca="1">IF(A1119="","",[1]!s_dq_close($B$1,A1119,$M$4))</f>
        <v/>
      </c>
      <c r="C1119" s="1" t="str">
        <f ca="1">IF(A1119="","",[1]!s_dq_close($C$1,A1119,$M$4))</f>
        <v/>
      </c>
      <c r="D1119" s="6" t="str">
        <f ca="1">IF($A1119="","",[1]!s_dq_close(D$1,$A1119,$M$4))</f>
        <v/>
      </c>
      <c r="E1119" s="6" t="str">
        <f ca="1">IF($A1119="","",[1]!s_dq_close(E$1,$A1119,$M$4))</f>
        <v/>
      </c>
      <c r="F1119" s="6" t="str">
        <f ca="1">IF($A1119="","",[1]!s_dq_close(F$1,$A1119,$M$4))</f>
        <v/>
      </c>
      <c r="G1119" s="6"/>
      <c r="H1119" s="6" t="str">
        <f ca="1">IF($A1119="","",[1]!s_dq_close(H$1,$A1119,$M$4))</f>
        <v/>
      </c>
      <c r="I1119" s="6" t="str">
        <f ca="1">IF($A1119="","",[1]!s_dq_close(I$1,$A1119,$M$4))</f>
        <v/>
      </c>
      <c r="J1119" s="6" t="str">
        <f t="shared" ca="1" si="18"/>
        <v/>
      </c>
    </row>
    <row r="1120" spans="1:10">
      <c r="A1120" s="2" t="str">
        <f ca="1">IF(A1119="","",IF(IF(价差分析!$W$4="日",--[1]!td(A1119-1),IF(价差分析!$W$4="周",--[1]!td(A1119-7),--[1]!td(A1119-30)))-价差分析!$T$4&gt;0,IF(价差分析!$W$4="日",--[1]!td(A1119-1),IF(价差分析!$W$4="周",--[1]!td(A1119-7),--[1]!td(A1119-30))),""))</f>
        <v/>
      </c>
      <c r="B1120" s="1" t="str">
        <f ca="1">IF(A1120="","",[1]!s_dq_close($B$1,A1120,$M$4))</f>
        <v/>
      </c>
      <c r="C1120" s="1" t="str">
        <f ca="1">IF(A1120="","",[1]!s_dq_close($C$1,A1120,$M$4))</f>
        <v/>
      </c>
      <c r="D1120" s="6" t="str">
        <f ca="1">IF($A1120="","",[1]!s_dq_close(D$1,$A1120,$M$4))</f>
        <v/>
      </c>
      <c r="E1120" s="6" t="str">
        <f ca="1">IF($A1120="","",[1]!s_dq_close(E$1,$A1120,$M$4))</f>
        <v/>
      </c>
      <c r="F1120" s="6" t="str">
        <f ca="1">IF($A1120="","",[1]!s_dq_close(F$1,$A1120,$M$4))</f>
        <v/>
      </c>
      <c r="G1120" s="6"/>
      <c r="H1120" s="6" t="str">
        <f ca="1">IF($A1120="","",[1]!s_dq_close(H$1,$A1120,$M$4))</f>
        <v/>
      </c>
      <c r="I1120" s="6" t="str">
        <f ca="1">IF($A1120="","",[1]!s_dq_close(I$1,$A1120,$M$4))</f>
        <v/>
      </c>
      <c r="J1120" s="6" t="str">
        <f t="shared" ca="1" si="18"/>
        <v/>
      </c>
    </row>
    <row r="1121" spans="1:10">
      <c r="A1121" s="2" t="str">
        <f ca="1">IF(A1120="","",IF(IF(价差分析!$W$4="日",--[1]!td(A1120-1),IF(价差分析!$W$4="周",--[1]!td(A1120-7),--[1]!td(A1120-30)))-价差分析!$T$4&gt;0,IF(价差分析!$W$4="日",--[1]!td(A1120-1),IF(价差分析!$W$4="周",--[1]!td(A1120-7),--[1]!td(A1120-30))),""))</f>
        <v/>
      </c>
      <c r="B1121" s="1" t="str">
        <f ca="1">IF(A1121="","",[1]!s_dq_close($B$1,A1121,$M$4))</f>
        <v/>
      </c>
      <c r="C1121" s="1" t="str">
        <f ca="1">IF(A1121="","",[1]!s_dq_close($C$1,A1121,$M$4))</f>
        <v/>
      </c>
      <c r="D1121" s="6" t="str">
        <f ca="1">IF($A1121="","",[1]!s_dq_close(D$1,$A1121,$M$4))</f>
        <v/>
      </c>
      <c r="E1121" s="6" t="str">
        <f ca="1">IF($A1121="","",[1]!s_dq_close(E$1,$A1121,$M$4))</f>
        <v/>
      </c>
      <c r="F1121" s="6" t="str">
        <f ca="1">IF($A1121="","",[1]!s_dq_close(F$1,$A1121,$M$4))</f>
        <v/>
      </c>
      <c r="G1121" s="6"/>
      <c r="H1121" s="6" t="str">
        <f ca="1">IF($A1121="","",[1]!s_dq_close(H$1,$A1121,$M$4))</f>
        <v/>
      </c>
      <c r="I1121" s="6" t="str">
        <f ca="1">IF($A1121="","",[1]!s_dq_close(I$1,$A1121,$M$4))</f>
        <v/>
      </c>
      <c r="J1121" s="6" t="str">
        <f t="shared" ca="1" si="18"/>
        <v/>
      </c>
    </row>
    <row r="1122" spans="1:10">
      <c r="A1122" s="2" t="str">
        <f ca="1">IF(A1121="","",IF(IF(价差分析!$W$4="日",--[1]!td(A1121-1),IF(价差分析!$W$4="周",--[1]!td(A1121-7),--[1]!td(A1121-30)))-价差分析!$T$4&gt;0,IF(价差分析!$W$4="日",--[1]!td(A1121-1),IF(价差分析!$W$4="周",--[1]!td(A1121-7),--[1]!td(A1121-30))),""))</f>
        <v/>
      </c>
      <c r="B1122" s="1" t="str">
        <f ca="1">IF(A1122="","",[1]!s_dq_close($B$1,A1122,$M$4))</f>
        <v/>
      </c>
      <c r="C1122" s="1" t="str">
        <f ca="1">IF(A1122="","",[1]!s_dq_close($C$1,A1122,$M$4))</f>
        <v/>
      </c>
      <c r="D1122" s="6" t="str">
        <f ca="1">IF($A1122="","",[1]!s_dq_close(D$1,$A1122,$M$4))</f>
        <v/>
      </c>
      <c r="E1122" s="6" t="str">
        <f ca="1">IF($A1122="","",[1]!s_dq_close(E$1,$A1122,$M$4))</f>
        <v/>
      </c>
      <c r="F1122" s="6" t="str">
        <f ca="1">IF($A1122="","",[1]!s_dq_close(F$1,$A1122,$M$4))</f>
        <v/>
      </c>
      <c r="G1122" s="6"/>
      <c r="H1122" s="6" t="str">
        <f ca="1">IF($A1122="","",[1]!s_dq_close(H$1,$A1122,$M$4))</f>
        <v/>
      </c>
      <c r="I1122" s="6" t="str">
        <f ca="1">IF($A1122="","",[1]!s_dq_close(I$1,$A1122,$M$4))</f>
        <v/>
      </c>
      <c r="J1122" s="6" t="str">
        <f t="shared" ca="1" si="18"/>
        <v/>
      </c>
    </row>
    <row r="1123" spans="1:10">
      <c r="A1123" s="2" t="str">
        <f ca="1">IF(A1122="","",IF(IF(价差分析!$W$4="日",--[1]!td(A1122-1),IF(价差分析!$W$4="周",--[1]!td(A1122-7),--[1]!td(A1122-30)))-价差分析!$T$4&gt;0,IF(价差分析!$W$4="日",--[1]!td(A1122-1),IF(价差分析!$W$4="周",--[1]!td(A1122-7),--[1]!td(A1122-30))),""))</f>
        <v/>
      </c>
      <c r="B1123" s="1" t="str">
        <f ca="1">IF(A1123="","",[1]!s_dq_close($B$1,A1123,$M$4))</f>
        <v/>
      </c>
      <c r="C1123" s="1" t="str">
        <f ca="1">IF(A1123="","",[1]!s_dq_close($C$1,A1123,$M$4))</f>
        <v/>
      </c>
      <c r="D1123" s="6" t="str">
        <f ca="1">IF($A1123="","",[1]!s_dq_close(D$1,$A1123,$M$4))</f>
        <v/>
      </c>
      <c r="E1123" s="6" t="str">
        <f ca="1">IF($A1123="","",[1]!s_dq_close(E$1,$A1123,$M$4))</f>
        <v/>
      </c>
      <c r="F1123" s="6" t="str">
        <f ca="1">IF($A1123="","",[1]!s_dq_close(F$1,$A1123,$M$4))</f>
        <v/>
      </c>
      <c r="G1123" s="6"/>
      <c r="H1123" s="6" t="str">
        <f ca="1">IF($A1123="","",[1]!s_dq_close(H$1,$A1123,$M$4))</f>
        <v/>
      </c>
      <c r="I1123" s="6" t="str">
        <f ca="1">IF($A1123="","",[1]!s_dq_close(I$1,$A1123,$M$4))</f>
        <v/>
      </c>
      <c r="J1123" s="6" t="str">
        <f t="shared" ca="1" si="18"/>
        <v/>
      </c>
    </row>
    <row r="1124" spans="1:10">
      <c r="A1124" s="2" t="str">
        <f ca="1">IF(A1123="","",IF(IF(价差分析!$W$4="日",--[1]!td(A1123-1),IF(价差分析!$W$4="周",--[1]!td(A1123-7),--[1]!td(A1123-30)))-价差分析!$T$4&gt;0,IF(价差分析!$W$4="日",--[1]!td(A1123-1),IF(价差分析!$W$4="周",--[1]!td(A1123-7),--[1]!td(A1123-30))),""))</f>
        <v/>
      </c>
      <c r="B1124" s="1" t="str">
        <f ca="1">IF(A1124="","",[1]!s_dq_close($B$1,A1124,$M$4))</f>
        <v/>
      </c>
      <c r="C1124" s="1" t="str">
        <f ca="1">IF(A1124="","",[1]!s_dq_close($C$1,A1124,$M$4))</f>
        <v/>
      </c>
      <c r="D1124" s="6" t="str">
        <f ca="1">IF($A1124="","",[1]!s_dq_close(D$1,$A1124,$M$4))</f>
        <v/>
      </c>
      <c r="E1124" s="6" t="str">
        <f ca="1">IF($A1124="","",[1]!s_dq_close(E$1,$A1124,$M$4))</f>
        <v/>
      </c>
      <c r="F1124" s="6" t="str">
        <f ca="1">IF($A1124="","",[1]!s_dq_close(F$1,$A1124,$M$4))</f>
        <v/>
      </c>
      <c r="G1124" s="6"/>
      <c r="H1124" s="6" t="str">
        <f ca="1">IF($A1124="","",[1]!s_dq_close(H$1,$A1124,$M$4))</f>
        <v/>
      </c>
      <c r="I1124" s="6" t="str">
        <f ca="1">IF($A1124="","",[1]!s_dq_close(I$1,$A1124,$M$4))</f>
        <v/>
      </c>
      <c r="J1124" s="6" t="str">
        <f t="shared" ca="1" si="18"/>
        <v/>
      </c>
    </row>
    <row r="1125" spans="1:10">
      <c r="A1125" s="2" t="str">
        <f ca="1">IF(A1124="","",IF(IF(价差分析!$W$4="日",--[1]!td(A1124-1),IF(价差分析!$W$4="周",--[1]!td(A1124-7),--[1]!td(A1124-30)))-价差分析!$T$4&gt;0,IF(价差分析!$W$4="日",--[1]!td(A1124-1),IF(价差分析!$W$4="周",--[1]!td(A1124-7),--[1]!td(A1124-30))),""))</f>
        <v/>
      </c>
      <c r="B1125" s="1" t="str">
        <f ca="1">IF(A1125="","",[1]!s_dq_close($B$1,A1125,$M$4))</f>
        <v/>
      </c>
      <c r="C1125" s="1" t="str">
        <f ca="1">IF(A1125="","",[1]!s_dq_close($C$1,A1125,$M$4))</f>
        <v/>
      </c>
      <c r="D1125" s="6" t="str">
        <f ca="1">IF($A1125="","",[1]!s_dq_close(D$1,$A1125,$M$4))</f>
        <v/>
      </c>
      <c r="E1125" s="6" t="str">
        <f ca="1">IF($A1125="","",[1]!s_dq_close(E$1,$A1125,$M$4))</f>
        <v/>
      </c>
      <c r="F1125" s="6" t="str">
        <f ca="1">IF($A1125="","",[1]!s_dq_close(F$1,$A1125,$M$4))</f>
        <v/>
      </c>
      <c r="G1125" s="6"/>
      <c r="H1125" s="6" t="str">
        <f ca="1">IF($A1125="","",[1]!s_dq_close(H$1,$A1125,$M$4))</f>
        <v/>
      </c>
      <c r="I1125" s="6" t="str">
        <f ca="1">IF($A1125="","",[1]!s_dq_close(I$1,$A1125,$M$4))</f>
        <v/>
      </c>
      <c r="J1125" s="6" t="str">
        <f t="shared" ca="1" si="18"/>
        <v/>
      </c>
    </row>
    <row r="1126" spans="1:10">
      <c r="A1126" s="2" t="str">
        <f ca="1">IF(A1125="","",IF(IF(价差分析!$W$4="日",--[1]!td(A1125-1),IF(价差分析!$W$4="周",--[1]!td(A1125-7),--[1]!td(A1125-30)))-价差分析!$T$4&gt;0,IF(价差分析!$W$4="日",--[1]!td(A1125-1),IF(价差分析!$W$4="周",--[1]!td(A1125-7),--[1]!td(A1125-30))),""))</f>
        <v/>
      </c>
      <c r="B1126" s="1" t="str">
        <f ca="1">IF(A1126="","",[1]!s_dq_close($B$1,A1126,$M$4))</f>
        <v/>
      </c>
      <c r="C1126" s="1" t="str">
        <f ca="1">IF(A1126="","",[1]!s_dq_close($C$1,A1126,$M$4))</f>
        <v/>
      </c>
      <c r="D1126" s="6" t="str">
        <f ca="1">IF($A1126="","",[1]!s_dq_close(D$1,$A1126,$M$4))</f>
        <v/>
      </c>
      <c r="E1126" s="6" t="str">
        <f ca="1">IF($A1126="","",[1]!s_dq_close(E$1,$A1126,$M$4))</f>
        <v/>
      </c>
      <c r="F1126" s="6" t="str">
        <f ca="1">IF($A1126="","",[1]!s_dq_close(F$1,$A1126,$M$4))</f>
        <v/>
      </c>
      <c r="G1126" s="6"/>
      <c r="H1126" s="6" t="str">
        <f ca="1">IF($A1126="","",[1]!s_dq_close(H$1,$A1126,$M$4))</f>
        <v/>
      </c>
      <c r="I1126" s="6" t="str">
        <f ca="1">IF($A1126="","",[1]!s_dq_close(I$1,$A1126,$M$4))</f>
        <v/>
      </c>
      <c r="J1126" s="6" t="str">
        <f t="shared" ca="1" si="18"/>
        <v/>
      </c>
    </row>
    <row r="1127" spans="1:10">
      <c r="A1127" s="2" t="str">
        <f ca="1">IF(A1126="","",IF(IF(价差分析!$W$4="日",--[1]!td(A1126-1),IF(价差分析!$W$4="周",--[1]!td(A1126-7),--[1]!td(A1126-30)))-价差分析!$T$4&gt;0,IF(价差分析!$W$4="日",--[1]!td(A1126-1),IF(价差分析!$W$4="周",--[1]!td(A1126-7),--[1]!td(A1126-30))),""))</f>
        <v/>
      </c>
      <c r="B1127" s="1" t="str">
        <f ca="1">IF(A1127="","",[1]!s_dq_close($B$1,A1127,$M$4))</f>
        <v/>
      </c>
      <c r="C1127" s="1" t="str">
        <f ca="1">IF(A1127="","",[1]!s_dq_close($C$1,A1127,$M$4))</f>
        <v/>
      </c>
      <c r="D1127" s="6" t="str">
        <f ca="1">IF($A1127="","",[1]!s_dq_close(D$1,$A1127,$M$4))</f>
        <v/>
      </c>
      <c r="E1127" s="6" t="str">
        <f ca="1">IF($A1127="","",[1]!s_dq_close(E$1,$A1127,$M$4))</f>
        <v/>
      </c>
      <c r="F1127" s="6" t="str">
        <f ca="1">IF($A1127="","",[1]!s_dq_close(F$1,$A1127,$M$4))</f>
        <v/>
      </c>
      <c r="G1127" s="6"/>
      <c r="H1127" s="6" t="str">
        <f ca="1">IF($A1127="","",[1]!s_dq_close(H$1,$A1127,$M$4))</f>
        <v/>
      </c>
      <c r="I1127" s="6" t="str">
        <f ca="1">IF($A1127="","",[1]!s_dq_close(I$1,$A1127,$M$4))</f>
        <v/>
      </c>
      <c r="J1127" s="6" t="str">
        <f t="shared" ca="1" si="18"/>
        <v/>
      </c>
    </row>
    <row r="1128" spans="1:10">
      <c r="A1128" s="2" t="str">
        <f ca="1">IF(A1127="","",IF(IF(价差分析!$W$4="日",--[1]!td(A1127-1),IF(价差分析!$W$4="周",--[1]!td(A1127-7),--[1]!td(A1127-30)))-价差分析!$T$4&gt;0,IF(价差分析!$W$4="日",--[1]!td(A1127-1),IF(价差分析!$W$4="周",--[1]!td(A1127-7),--[1]!td(A1127-30))),""))</f>
        <v/>
      </c>
      <c r="B1128" s="1" t="str">
        <f ca="1">IF(A1128="","",[1]!s_dq_close($B$1,A1128,$M$4))</f>
        <v/>
      </c>
      <c r="C1128" s="1" t="str">
        <f ca="1">IF(A1128="","",[1]!s_dq_close($C$1,A1128,$M$4))</f>
        <v/>
      </c>
      <c r="D1128" s="6" t="str">
        <f ca="1">IF($A1128="","",[1]!s_dq_close(D$1,$A1128,$M$4))</f>
        <v/>
      </c>
      <c r="E1128" s="6" t="str">
        <f ca="1">IF($A1128="","",[1]!s_dq_close(E$1,$A1128,$M$4))</f>
        <v/>
      </c>
      <c r="F1128" s="6" t="str">
        <f ca="1">IF($A1128="","",[1]!s_dq_close(F$1,$A1128,$M$4))</f>
        <v/>
      </c>
      <c r="G1128" s="6"/>
      <c r="H1128" s="6" t="str">
        <f ca="1">IF($A1128="","",[1]!s_dq_close(H$1,$A1128,$M$4))</f>
        <v/>
      </c>
      <c r="I1128" s="6" t="str">
        <f ca="1">IF($A1128="","",[1]!s_dq_close(I$1,$A1128,$M$4))</f>
        <v/>
      </c>
      <c r="J1128" s="6" t="str">
        <f t="shared" ca="1" si="18"/>
        <v/>
      </c>
    </row>
    <row r="1129" spans="1:10">
      <c r="A1129" s="2" t="str">
        <f ca="1">IF(A1128="","",IF(IF(价差分析!$W$4="日",--[1]!td(A1128-1),IF(价差分析!$W$4="周",--[1]!td(A1128-7),--[1]!td(A1128-30)))-价差分析!$T$4&gt;0,IF(价差分析!$W$4="日",--[1]!td(A1128-1),IF(价差分析!$W$4="周",--[1]!td(A1128-7),--[1]!td(A1128-30))),""))</f>
        <v/>
      </c>
      <c r="B1129" s="1" t="str">
        <f ca="1">IF(A1129="","",[1]!s_dq_close($B$1,A1129,$M$4))</f>
        <v/>
      </c>
      <c r="C1129" s="1" t="str">
        <f ca="1">IF(A1129="","",[1]!s_dq_close($C$1,A1129,$M$4))</f>
        <v/>
      </c>
      <c r="D1129" s="6" t="str">
        <f ca="1">IF($A1129="","",[1]!s_dq_close(D$1,$A1129,$M$4))</f>
        <v/>
      </c>
      <c r="E1129" s="6" t="str">
        <f ca="1">IF($A1129="","",[1]!s_dq_close(E$1,$A1129,$M$4))</f>
        <v/>
      </c>
      <c r="F1129" s="6" t="str">
        <f ca="1">IF($A1129="","",[1]!s_dq_close(F$1,$A1129,$M$4))</f>
        <v/>
      </c>
      <c r="G1129" s="6"/>
      <c r="H1129" s="6" t="str">
        <f ca="1">IF($A1129="","",[1]!s_dq_close(H$1,$A1129,$M$4))</f>
        <v/>
      </c>
      <c r="I1129" s="6" t="str">
        <f ca="1">IF($A1129="","",[1]!s_dq_close(I$1,$A1129,$M$4))</f>
        <v/>
      </c>
      <c r="J1129" s="6" t="str">
        <f t="shared" ca="1" si="18"/>
        <v/>
      </c>
    </row>
    <row r="1130" spans="1:10">
      <c r="A1130" s="2" t="str">
        <f ca="1">IF(A1129="","",IF(IF(价差分析!$W$4="日",--[1]!td(A1129-1),IF(价差分析!$W$4="周",--[1]!td(A1129-7),--[1]!td(A1129-30)))-价差分析!$T$4&gt;0,IF(价差分析!$W$4="日",--[1]!td(A1129-1),IF(价差分析!$W$4="周",--[1]!td(A1129-7),--[1]!td(A1129-30))),""))</f>
        <v/>
      </c>
      <c r="B1130" s="1" t="str">
        <f ca="1">IF(A1130="","",[1]!s_dq_close($B$1,A1130,$M$4))</f>
        <v/>
      </c>
      <c r="C1130" s="1" t="str">
        <f ca="1">IF(A1130="","",[1]!s_dq_close($C$1,A1130,$M$4))</f>
        <v/>
      </c>
      <c r="D1130" s="6" t="str">
        <f ca="1">IF($A1130="","",[1]!s_dq_close(D$1,$A1130,$M$4))</f>
        <v/>
      </c>
      <c r="E1130" s="6" t="str">
        <f ca="1">IF($A1130="","",[1]!s_dq_close(E$1,$A1130,$M$4))</f>
        <v/>
      </c>
      <c r="F1130" s="6" t="str">
        <f ca="1">IF($A1130="","",[1]!s_dq_close(F$1,$A1130,$M$4))</f>
        <v/>
      </c>
      <c r="G1130" s="6"/>
      <c r="H1130" s="6" t="str">
        <f ca="1">IF($A1130="","",[1]!s_dq_close(H$1,$A1130,$M$4))</f>
        <v/>
      </c>
      <c r="I1130" s="6" t="str">
        <f ca="1">IF($A1130="","",[1]!s_dq_close(I$1,$A1130,$M$4))</f>
        <v/>
      </c>
      <c r="J1130" s="6" t="str">
        <f t="shared" ca="1" si="18"/>
        <v/>
      </c>
    </row>
    <row r="1131" spans="1:10">
      <c r="A1131" s="2" t="str">
        <f ca="1">IF(A1130="","",IF(IF(价差分析!$W$4="日",--[1]!td(A1130-1),IF(价差分析!$W$4="周",--[1]!td(A1130-7),--[1]!td(A1130-30)))-价差分析!$T$4&gt;0,IF(价差分析!$W$4="日",--[1]!td(A1130-1),IF(价差分析!$W$4="周",--[1]!td(A1130-7),--[1]!td(A1130-30))),""))</f>
        <v/>
      </c>
      <c r="B1131" s="1" t="str">
        <f ca="1">IF(A1131="","",[1]!s_dq_close($B$1,A1131,$M$4))</f>
        <v/>
      </c>
      <c r="C1131" s="1" t="str">
        <f ca="1">IF(A1131="","",[1]!s_dq_close($C$1,A1131,$M$4))</f>
        <v/>
      </c>
      <c r="D1131" s="6" t="str">
        <f ca="1">IF($A1131="","",[1]!s_dq_close(D$1,$A1131,$M$4))</f>
        <v/>
      </c>
      <c r="E1131" s="6" t="str">
        <f ca="1">IF($A1131="","",[1]!s_dq_close(E$1,$A1131,$M$4))</f>
        <v/>
      </c>
      <c r="F1131" s="6" t="str">
        <f ca="1">IF($A1131="","",[1]!s_dq_close(F$1,$A1131,$M$4))</f>
        <v/>
      </c>
      <c r="G1131" s="6"/>
      <c r="H1131" s="6" t="str">
        <f ca="1">IF($A1131="","",[1]!s_dq_close(H$1,$A1131,$M$4))</f>
        <v/>
      </c>
      <c r="I1131" s="6" t="str">
        <f ca="1">IF($A1131="","",[1]!s_dq_close(I$1,$A1131,$M$4))</f>
        <v/>
      </c>
      <c r="J1131" s="6" t="str">
        <f t="shared" ca="1" si="18"/>
        <v/>
      </c>
    </row>
    <row r="1132" spans="1:10">
      <c r="A1132" s="2" t="str">
        <f ca="1">IF(A1131="","",IF(IF(价差分析!$W$4="日",--[1]!td(A1131-1),IF(价差分析!$W$4="周",--[1]!td(A1131-7),--[1]!td(A1131-30)))-价差分析!$T$4&gt;0,IF(价差分析!$W$4="日",--[1]!td(A1131-1),IF(价差分析!$W$4="周",--[1]!td(A1131-7),--[1]!td(A1131-30))),""))</f>
        <v/>
      </c>
      <c r="B1132" s="1" t="str">
        <f ca="1">IF(A1132="","",[1]!s_dq_close($B$1,A1132,$M$4))</f>
        <v/>
      </c>
      <c r="C1132" s="1" t="str">
        <f ca="1">IF(A1132="","",[1]!s_dq_close($C$1,A1132,$M$4))</f>
        <v/>
      </c>
      <c r="D1132" s="6" t="str">
        <f ca="1">IF($A1132="","",[1]!s_dq_close(D$1,$A1132,$M$4))</f>
        <v/>
      </c>
      <c r="E1132" s="6" t="str">
        <f ca="1">IF($A1132="","",[1]!s_dq_close(E$1,$A1132,$M$4))</f>
        <v/>
      </c>
      <c r="F1132" s="6" t="str">
        <f ca="1">IF($A1132="","",[1]!s_dq_close(F$1,$A1132,$M$4))</f>
        <v/>
      </c>
      <c r="G1132" s="6"/>
      <c r="H1132" s="6" t="str">
        <f ca="1">IF($A1132="","",[1]!s_dq_close(H$1,$A1132,$M$4))</f>
        <v/>
      </c>
      <c r="I1132" s="6" t="str">
        <f ca="1">IF($A1132="","",[1]!s_dq_close(I$1,$A1132,$M$4))</f>
        <v/>
      </c>
      <c r="J1132" s="6" t="str">
        <f t="shared" ca="1" si="18"/>
        <v/>
      </c>
    </row>
    <row r="1133" spans="1:10">
      <c r="A1133" s="2" t="str">
        <f ca="1">IF(A1132="","",IF(IF(价差分析!$W$4="日",--[1]!td(A1132-1),IF(价差分析!$W$4="周",--[1]!td(A1132-7),--[1]!td(A1132-30)))-价差分析!$T$4&gt;0,IF(价差分析!$W$4="日",--[1]!td(A1132-1),IF(价差分析!$W$4="周",--[1]!td(A1132-7),--[1]!td(A1132-30))),""))</f>
        <v/>
      </c>
      <c r="B1133" s="1" t="str">
        <f ca="1">IF(A1133="","",[1]!s_dq_close($B$1,A1133,$M$4))</f>
        <v/>
      </c>
      <c r="C1133" s="1" t="str">
        <f ca="1">IF(A1133="","",[1]!s_dq_close($C$1,A1133,$M$4))</f>
        <v/>
      </c>
      <c r="D1133" s="6" t="str">
        <f ca="1">IF($A1133="","",[1]!s_dq_close(D$1,$A1133,$M$4))</f>
        <v/>
      </c>
      <c r="E1133" s="6" t="str">
        <f ca="1">IF($A1133="","",[1]!s_dq_close(E$1,$A1133,$M$4))</f>
        <v/>
      </c>
      <c r="F1133" s="6" t="str">
        <f ca="1">IF($A1133="","",[1]!s_dq_close(F$1,$A1133,$M$4))</f>
        <v/>
      </c>
      <c r="G1133" s="6"/>
      <c r="H1133" s="6" t="str">
        <f ca="1">IF($A1133="","",[1]!s_dq_close(H$1,$A1133,$M$4))</f>
        <v/>
      </c>
      <c r="I1133" s="6" t="str">
        <f ca="1">IF($A1133="","",[1]!s_dq_close(I$1,$A1133,$M$4))</f>
        <v/>
      </c>
      <c r="J1133" s="6" t="str">
        <f t="shared" ca="1" si="18"/>
        <v/>
      </c>
    </row>
    <row r="1134" spans="1:10">
      <c r="A1134" s="2" t="str">
        <f ca="1">IF(A1133="","",IF(IF(价差分析!$W$4="日",--[1]!td(A1133-1),IF(价差分析!$W$4="周",--[1]!td(A1133-7),--[1]!td(A1133-30)))-价差分析!$T$4&gt;0,IF(价差分析!$W$4="日",--[1]!td(A1133-1),IF(价差分析!$W$4="周",--[1]!td(A1133-7),--[1]!td(A1133-30))),""))</f>
        <v/>
      </c>
      <c r="B1134" s="1" t="str">
        <f ca="1">IF(A1134="","",[1]!s_dq_close($B$1,A1134,$M$4))</f>
        <v/>
      </c>
      <c r="C1134" s="1" t="str">
        <f ca="1">IF(A1134="","",[1]!s_dq_close($C$1,A1134,$M$4))</f>
        <v/>
      </c>
      <c r="D1134" s="6" t="str">
        <f ca="1">IF($A1134="","",[1]!s_dq_close(D$1,$A1134,$M$4))</f>
        <v/>
      </c>
      <c r="E1134" s="6" t="str">
        <f ca="1">IF($A1134="","",[1]!s_dq_close(E$1,$A1134,$M$4))</f>
        <v/>
      </c>
      <c r="F1134" s="6" t="str">
        <f ca="1">IF($A1134="","",[1]!s_dq_close(F$1,$A1134,$M$4))</f>
        <v/>
      </c>
      <c r="G1134" s="6"/>
      <c r="H1134" s="6" t="str">
        <f ca="1">IF($A1134="","",[1]!s_dq_close(H$1,$A1134,$M$4))</f>
        <v/>
      </c>
      <c r="I1134" s="6" t="str">
        <f ca="1">IF($A1134="","",[1]!s_dq_close(I$1,$A1134,$M$4))</f>
        <v/>
      </c>
      <c r="J1134" s="6" t="str">
        <f t="shared" ca="1" si="18"/>
        <v/>
      </c>
    </row>
    <row r="1135" spans="1:10">
      <c r="A1135" s="2" t="str">
        <f ca="1">IF(A1134="","",IF(IF(价差分析!$W$4="日",--[1]!td(A1134-1),IF(价差分析!$W$4="周",--[1]!td(A1134-7),--[1]!td(A1134-30)))-价差分析!$T$4&gt;0,IF(价差分析!$W$4="日",--[1]!td(A1134-1),IF(价差分析!$W$4="周",--[1]!td(A1134-7),--[1]!td(A1134-30))),""))</f>
        <v/>
      </c>
      <c r="B1135" s="1" t="str">
        <f ca="1">IF(A1135="","",[1]!s_dq_close($B$1,A1135,$M$4))</f>
        <v/>
      </c>
      <c r="C1135" s="1" t="str">
        <f ca="1">IF(A1135="","",[1]!s_dq_close($C$1,A1135,$M$4))</f>
        <v/>
      </c>
      <c r="D1135" s="6" t="str">
        <f ca="1">IF($A1135="","",[1]!s_dq_close(D$1,$A1135,$M$4))</f>
        <v/>
      </c>
      <c r="E1135" s="6" t="str">
        <f ca="1">IF($A1135="","",[1]!s_dq_close(E$1,$A1135,$M$4))</f>
        <v/>
      </c>
      <c r="F1135" s="6" t="str">
        <f ca="1">IF($A1135="","",[1]!s_dq_close(F$1,$A1135,$M$4))</f>
        <v/>
      </c>
      <c r="G1135" s="6"/>
      <c r="H1135" s="6" t="str">
        <f ca="1">IF($A1135="","",[1]!s_dq_close(H$1,$A1135,$M$4))</f>
        <v/>
      </c>
      <c r="I1135" s="6" t="str">
        <f ca="1">IF($A1135="","",[1]!s_dq_close(I$1,$A1135,$M$4))</f>
        <v/>
      </c>
      <c r="J1135" s="6" t="str">
        <f t="shared" ca="1" si="18"/>
        <v/>
      </c>
    </row>
    <row r="1136" spans="1:10">
      <c r="A1136" s="2" t="str">
        <f ca="1">IF(A1135="","",IF(IF(价差分析!$W$4="日",--[1]!td(A1135-1),IF(价差分析!$W$4="周",--[1]!td(A1135-7),--[1]!td(A1135-30)))-价差分析!$T$4&gt;0,IF(价差分析!$W$4="日",--[1]!td(A1135-1),IF(价差分析!$W$4="周",--[1]!td(A1135-7),--[1]!td(A1135-30))),""))</f>
        <v/>
      </c>
      <c r="B1136" s="1" t="str">
        <f ca="1">IF(A1136="","",[1]!s_dq_close($B$1,A1136,$M$4))</f>
        <v/>
      </c>
      <c r="C1136" s="1" t="str">
        <f ca="1">IF(A1136="","",[1]!s_dq_close($C$1,A1136,$M$4))</f>
        <v/>
      </c>
      <c r="D1136" s="6" t="str">
        <f ca="1">IF($A1136="","",[1]!s_dq_close(D$1,$A1136,$M$4))</f>
        <v/>
      </c>
      <c r="E1136" s="6" t="str">
        <f ca="1">IF($A1136="","",[1]!s_dq_close(E$1,$A1136,$M$4))</f>
        <v/>
      </c>
      <c r="F1136" s="6" t="str">
        <f ca="1">IF($A1136="","",[1]!s_dq_close(F$1,$A1136,$M$4))</f>
        <v/>
      </c>
      <c r="G1136" s="6"/>
      <c r="H1136" s="6" t="str">
        <f ca="1">IF($A1136="","",[1]!s_dq_close(H$1,$A1136,$M$4))</f>
        <v/>
      </c>
      <c r="I1136" s="6" t="str">
        <f ca="1">IF($A1136="","",[1]!s_dq_close(I$1,$A1136,$M$4))</f>
        <v/>
      </c>
      <c r="J1136" s="6" t="str">
        <f t="shared" ca="1" si="18"/>
        <v/>
      </c>
    </row>
    <row r="1137" spans="1:10">
      <c r="A1137" s="2" t="str">
        <f ca="1">IF(A1136="","",IF(IF(价差分析!$W$4="日",--[1]!td(A1136-1),IF(价差分析!$W$4="周",--[1]!td(A1136-7),--[1]!td(A1136-30)))-价差分析!$T$4&gt;0,IF(价差分析!$W$4="日",--[1]!td(A1136-1),IF(价差分析!$W$4="周",--[1]!td(A1136-7),--[1]!td(A1136-30))),""))</f>
        <v/>
      </c>
      <c r="B1137" s="1" t="str">
        <f ca="1">IF(A1137="","",[1]!s_dq_close($B$1,A1137,$M$4))</f>
        <v/>
      </c>
      <c r="C1137" s="1" t="str">
        <f ca="1">IF(A1137="","",[1]!s_dq_close($C$1,A1137,$M$4))</f>
        <v/>
      </c>
      <c r="D1137" s="6" t="str">
        <f ca="1">IF($A1137="","",[1]!s_dq_close(D$1,$A1137,$M$4))</f>
        <v/>
      </c>
      <c r="E1137" s="6" t="str">
        <f ca="1">IF($A1137="","",[1]!s_dq_close(E$1,$A1137,$M$4))</f>
        <v/>
      </c>
      <c r="F1137" s="6" t="str">
        <f ca="1">IF($A1137="","",[1]!s_dq_close(F$1,$A1137,$M$4))</f>
        <v/>
      </c>
      <c r="G1137" s="6"/>
      <c r="H1137" s="6" t="str">
        <f ca="1">IF($A1137="","",[1]!s_dq_close(H$1,$A1137,$M$4))</f>
        <v/>
      </c>
      <c r="I1137" s="6" t="str">
        <f ca="1">IF($A1137="","",[1]!s_dq_close(I$1,$A1137,$M$4))</f>
        <v/>
      </c>
      <c r="J1137" s="6" t="str">
        <f t="shared" ca="1" si="18"/>
        <v/>
      </c>
    </row>
    <row r="1138" spans="1:10">
      <c r="A1138" s="2" t="str">
        <f ca="1">IF(A1137="","",IF(IF(价差分析!$W$4="日",--[1]!td(A1137-1),IF(价差分析!$W$4="周",--[1]!td(A1137-7),--[1]!td(A1137-30)))-价差分析!$T$4&gt;0,IF(价差分析!$W$4="日",--[1]!td(A1137-1),IF(价差分析!$W$4="周",--[1]!td(A1137-7),--[1]!td(A1137-30))),""))</f>
        <v/>
      </c>
      <c r="B1138" s="1" t="str">
        <f ca="1">IF(A1138="","",[1]!s_dq_close($B$1,A1138,$M$4))</f>
        <v/>
      </c>
      <c r="C1138" s="1" t="str">
        <f ca="1">IF(A1138="","",[1]!s_dq_close($C$1,A1138,$M$4))</f>
        <v/>
      </c>
      <c r="D1138" s="6" t="str">
        <f ca="1">IF($A1138="","",[1]!s_dq_close(D$1,$A1138,$M$4))</f>
        <v/>
      </c>
      <c r="E1138" s="6" t="str">
        <f ca="1">IF($A1138="","",[1]!s_dq_close(E$1,$A1138,$M$4))</f>
        <v/>
      </c>
      <c r="F1138" s="6" t="str">
        <f ca="1">IF($A1138="","",[1]!s_dq_close(F$1,$A1138,$M$4))</f>
        <v/>
      </c>
      <c r="G1138" s="6"/>
      <c r="H1138" s="6" t="str">
        <f ca="1">IF($A1138="","",[1]!s_dq_close(H$1,$A1138,$M$4))</f>
        <v/>
      </c>
      <c r="I1138" s="6" t="str">
        <f ca="1">IF($A1138="","",[1]!s_dq_close(I$1,$A1138,$M$4))</f>
        <v/>
      </c>
      <c r="J1138" s="6" t="str">
        <f t="shared" ca="1" si="18"/>
        <v/>
      </c>
    </row>
    <row r="1139" spans="1:10">
      <c r="A1139" s="2" t="str">
        <f ca="1">IF(A1138="","",IF(IF(价差分析!$W$4="日",--[1]!td(A1138-1),IF(价差分析!$W$4="周",--[1]!td(A1138-7),--[1]!td(A1138-30)))-价差分析!$T$4&gt;0,IF(价差分析!$W$4="日",--[1]!td(A1138-1),IF(价差分析!$W$4="周",--[1]!td(A1138-7),--[1]!td(A1138-30))),""))</f>
        <v/>
      </c>
      <c r="B1139" s="1" t="str">
        <f ca="1">IF(A1139="","",[1]!s_dq_close($B$1,A1139,$M$4))</f>
        <v/>
      </c>
      <c r="C1139" s="1" t="str">
        <f ca="1">IF(A1139="","",[1]!s_dq_close($C$1,A1139,$M$4))</f>
        <v/>
      </c>
      <c r="D1139" s="6" t="str">
        <f ca="1">IF($A1139="","",[1]!s_dq_close(D$1,$A1139,$M$4))</f>
        <v/>
      </c>
      <c r="E1139" s="6" t="str">
        <f ca="1">IF($A1139="","",[1]!s_dq_close(E$1,$A1139,$M$4))</f>
        <v/>
      </c>
      <c r="F1139" s="6" t="str">
        <f ca="1">IF($A1139="","",[1]!s_dq_close(F$1,$A1139,$M$4))</f>
        <v/>
      </c>
      <c r="G1139" s="6"/>
      <c r="H1139" s="6" t="str">
        <f ca="1">IF($A1139="","",[1]!s_dq_close(H$1,$A1139,$M$4))</f>
        <v/>
      </c>
      <c r="I1139" s="6" t="str">
        <f ca="1">IF($A1139="","",[1]!s_dq_close(I$1,$A1139,$M$4))</f>
        <v/>
      </c>
      <c r="J1139" s="6" t="str">
        <f t="shared" ca="1" si="18"/>
        <v/>
      </c>
    </row>
    <row r="1140" spans="1:10">
      <c r="A1140" s="2" t="str">
        <f ca="1">IF(A1139="","",IF(IF(价差分析!$W$4="日",--[1]!td(A1139-1),IF(价差分析!$W$4="周",--[1]!td(A1139-7),--[1]!td(A1139-30)))-价差分析!$T$4&gt;0,IF(价差分析!$W$4="日",--[1]!td(A1139-1),IF(价差分析!$W$4="周",--[1]!td(A1139-7),--[1]!td(A1139-30))),""))</f>
        <v/>
      </c>
      <c r="B1140" s="1" t="str">
        <f ca="1">IF(A1140="","",[1]!s_dq_close($B$1,A1140,$M$4))</f>
        <v/>
      </c>
      <c r="C1140" s="1" t="str">
        <f ca="1">IF(A1140="","",[1]!s_dq_close($C$1,A1140,$M$4))</f>
        <v/>
      </c>
      <c r="D1140" s="6" t="str">
        <f ca="1">IF($A1140="","",[1]!s_dq_close(D$1,$A1140,$M$4))</f>
        <v/>
      </c>
      <c r="E1140" s="6" t="str">
        <f ca="1">IF($A1140="","",[1]!s_dq_close(E$1,$A1140,$M$4))</f>
        <v/>
      </c>
      <c r="F1140" s="6" t="str">
        <f ca="1">IF($A1140="","",[1]!s_dq_close(F$1,$A1140,$M$4))</f>
        <v/>
      </c>
      <c r="G1140" s="6"/>
      <c r="H1140" s="6" t="str">
        <f ca="1">IF($A1140="","",[1]!s_dq_close(H$1,$A1140,$M$4))</f>
        <v/>
      </c>
      <c r="I1140" s="6" t="str">
        <f ca="1">IF($A1140="","",[1]!s_dq_close(I$1,$A1140,$M$4))</f>
        <v/>
      </c>
      <c r="J1140" s="6" t="str">
        <f t="shared" ca="1" si="18"/>
        <v/>
      </c>
    </row>
    <row r="1141" spans="1:10">
      <c r="A1141" s="2" t="str">
        <f ca="1">IF(A1140="","",IF(IF(价差分析!$W$4="日",--[1]!td(A1140-1),IF(价差分析!$W$4="周",--[1]!td(A1140-7),--[1]!td(A1140-30)))-价差分析!$T$4&gt;0,IF(价差分析!$W$4="日",--[1]!td(A1140-1),IF(价差分析!$W$4="周",--[1]!td(A1140-7),--[1]!td(A1140-30))),""))</f>
        <v/>
      </c>
      <c r="B1141" s="1" t="str">
        <f ca="1">IF(A1141="","",[1]!s_dq_close($B$1,A1141,$M$4))</f>
        <v/>
      </c>
      <c r="C1141" s="1" t="str">
        <f ca="1">IF(A1141="","",[1]!s_dq_close($C$1,A1141,$M$4))</f>
        <v/>
      </c>
      <c r="D1141" s="6" t="str">
        <f ca="1">IF($A1141="","",[1]!s_dq_close(D$1,$A1141,$M$4))</f>
        <v/>
      </c>
      <c r="E1141" s="6" t="str">
        <f ca="1">IF($A1141="","",[1]!s_dq_close(E$1,$A1141,$M$4))</f>
        <v/>
      </c>
      <c r="F1141" s="6" t="str">
        <f ca="1">IF($A1141="","",[1]!s_dq_close(F$1,$A1141,$M$4))</f>
        <v/>
      </c>
      <c r="G1141" s="6"/>
      <c r="H1141" s="6" t="str">
        <f ca="1">IF($A1141="","",[1]!s_dq_close(H$1,$A1141,$M$4))</f>
        <v/>
      </c>
      <c r="I1141" s="6" t="str">
        <f ca="1">IF($A1141="","",[1]!s_dq_close(I$1,$A1141,$M$4))</f>
        <v/>
      </c>
      <c r="J1141" s="6" t="str">
        <f t="shared" ca="1" si="18"/>
        <v/>
      </c>
    </row>
    <row r="1142" spans="1:10">
      <c r="A1142" s="2" t="str">
        <f ca="1">IF(A1141="","",IF(IF(价差分析!$W$4="日",--[1]!td(A1141-1),IF(价差分析!$W$4="周",--[1]!td(A1141-7),--[1]!td(A1141-30)))-价差分析!$T$4&gt;0,IF(价差分析!$W$4="日",--[1]!td(A1141-1),IF(价差分析!$W$4="周",--[1]!td(A1141-7),--[1]!td(A1141-30))),""))</f>
        <v/>
      </c>
      <c r="B1142" s="1" t="str">
        <f ca="1">IF(A1142="","",[1]!s_dq_close($B$1,A1142,$M$4))</f>
        <v/>
      </c>
      <c r="C1142" s="1" t="str">
        <f ca="1">IF(A1142="","",[1]!s_dq_close($C$1,A1142,$M$4))</f>
        <v/>
      </c>
      <c r="D1142" s="6" t="str">
        <f ca="1">IF($A1142="","",[1]!s_dq_close(D$1,$A1142,$M$4))</f>
        <v/>
      </c>
      <c r="E1142" s="6" t="str">
        <f ca="1">IF($A1142="","",[1]!s_dq_close(E$1,$A1142,$M$4))</f>
        <v/>
      </c>
      <c r="F1142" s="6" t="str">
        <f ca="1">IF($A1142="","",[1]!s_dq_close(F$1,$A1142,$M$4))</f>
        <v/>
      </c>
      <c r="G1142" s="6"/>
      <c r="H1142" s="6" t="str">
        <f ca="1">IF($A1142="","",[1]!s_dq_close(H$1,$A1142,$M$4))</f>
        <v/>
      </c>
      <c r="I1142" s="6" t="str">
        <f ca="1">IF($A1142="","",[1]!s_dq_close(I$1,$A1142,$M$4))</f>
        <v/>
      </c>
      <c r="J1142" s="6" t="str">
        <f t="shared" ca="1" si="18"/>
        <v/>
      </c>
    </row>
    <row r="1143" spans="1:10">
      <c r="A1143" s="2" t="str">
        <f ca="1">IF(A1142="","",IF(IF(价差分析!$W$4="日",--[1]!td(A1142-1),IF(价差分析!$W$4="周",--[1]!td(A1142-7),--[1]!td(A1142-30)))-价差分析!$T$4&gt;0,IF(价差分析!$W$4="日",--[1]!td(A1142-1),IF(价差分析!$W$4="周",--[1]!td(A1142-7),--[1]!td(A1142-30))),""))</f>
        <v/>
      </c>
      <c r="B1143" s="1" t="str">
        <f ca="1">IF(A1143="","",[1]!s_dq_close($B$1,A1143,$M$4))</f>
        <v/>
      </c>
      <c r="C1143" s="1" t="str">
        <f ca="1">IF(A1143="","",[1]!s_dq_close($C$1,A1143,$M$4))</f>
        <v/>
      </c>
      <c r="D1143" s="6" t="str">
        <f ca="1">IF($A1143="","",[1]!s_dq_close(D$1,$A1143,$M$4))</f>
        <v/>
      </c>
      <c r="E1143" s="6" t="str">
        <f ca="1">IF($A1143="","",[1]!s_dq_close(E$1,$A1143,$M$4))</f>
        <v/>
      </c>
      <c r="F1143" s="6" t="str">
        <f ca="1">IF($A1143="","",[1]!s_dq_close(F$1,$A1143,$M$4))</f>
        <v/>
      </c>
      <c r="G1143" s="6"/>
      <c r="H1143" s="6" t="str">
        <f ca="1">IF($A1143="","",[1]!s_dq_close(H$1,$A1143,$M$4))</f>
        <v/>
      </c>
      <c r="I1143" s="6" t="str">
        <f ca="1">IF($A1143="","",[1]!s_dq_close(I$1,$A1143,$M$4))</f>
        <v/>
      </c>
      <c r="J1143" s="6" t="str">
        <f t="shared" ca="1" si="18"/>
        <v/>
      </c>
    </row>
    <row r="1144" spans="1:10">
      <c r="A1144" s="2" t="str">
        <f ca="1">IF(A1143="","",IF(IF(价差分析!$W$4="日",--[1]!td(A1143-1),IF(价差分析!$W$4="周",--[1]!td(A1143-7),--[1]!td(A1143-30)))-价差分析!$T$4&gt;0,IF(价差分析!$W$4="日",--[1]!td(A1143-1),IF(价差分析!$W$4="周",--[1]!td(A1143-7),--[1]!td(A1143-30))),""))</f>
        <v/>
      </c>
      <c r="B1144" s="1" t="str">
        <f ca="1">IF(A1144="","",[1]!s_dq_close($B$1,A1144,$M$4))</f>
        <v/>
      </c>
      <c r="C1144" s="1" t="str">
        <f ca="1">IF(A1144="","",[1]!s_dq_close($C$1,A1144,$M$4))</f>
        <v/>
      </c>
      <c r="D1144" s="6" t="str">
        <f ca="1">IF($A1144="","",[1]!s_dq_close(D$1,$A1144,$M$4))</f>
        <v/>
      </c>
      <c r="E1144" s="6" t="str">
        <f ca="1">IF($A1144="","",[1]!s_dq_close(E$1,$A1144,$M$4))</f>
        <v/>
      </c>
      <c r="F1144" s="6" t="str">
        <f ca="1">IF($A1144="","",[1]!s_dq_close(F$1,$A1144,$M$4))</f>
        <v/>
      </c>
      <c r="G1144" s="6"/>
      <c r="H1144" s="6" t="str">
        <f ca="1">IF($A1144="","",[1]!s_dq_close(H$1,$A1144,$M$4))</f>
        <v/>
      </c>
      <c r="I1144" s="6" t="str">
        <f ca="1">IF($A1144="","",[1]!s_dq_close(I$1,$A1144,$M$4))</f>
        <v/>
      </c>
      <c r="J1144" s="6" t="str">
        <f t="shared" ca="1" si="18"/>
        <v/>
      </c>
    </row>
    <row r="1145" spans="1:10">
      <c r="A1145" s="2" t="str">
        <f ca="1">IF(A1144="","",IF(IF(价差分析!$W$4="日",--[1]!td(A1144-1),IF(价差分析!$W$4="周",--[1]!td(A1144-7),--[1]!td(A1144-30)))-价差分析!$T$4&gt;0,IF(价差分析!$W$4="日",--[1]!td(A1144-1),IF(价差分析!$W$4="周",--[1]!td(A1144-7),--[1]!td(A1144-30))),""))</f>
        <v/>
      </c>
      <c r="B1145" s="1" t="str">
        <f ca="1">IF(A1145="","",[1]!s_dq_close($B$1,A1145,$M$4))</f>
        <v/>
      </c>
      <c r="C1145" s="1" t="str">
        <f ca="1">IF(A1145="","",[1]!s_dq_close($C$1,A1145,$M$4))</f>
        <v/>
      </c>
      <c r="D1145" s="6" t="str">
        <f ca="1">IF($A1145="","",[1]!s_dq_close(D$1,$A1145,$M$4))</f>
        <v/>
      </c>
      <c r="E1145" s="6" t="str">
        <f ca="1">IF($A1145="","",[1]!s_dq_close(E$1,$A1145,$M$4))</f>
        <v/>
      </c>
      <c r="F1145" s="6" t="str">
        <f ca="1">IF($A1145="","",[1]!s_dq_close(F$1,$A1145,$M$4))</f>
        <v/>
      </c>
      <c r="G1145" s="6"/>
      <c r="H1145" s="6" t="str">
        <f ca="1">IF($A1145="","",[1]!s_dq_close(H$1,$A1145,$M$4))</f>
        <v/>
      </c>
      <c r="I1145" s="6" t="str">
        <f ca="1">IF($A1145="","",[1]!s_dq_close(I$1,$A1145,$M$4))</f>
        <v/>
      </c>
      <c r="J1145" s="6" t="str">
        <f t="shared" ca="1" si="18"/>
        <v/>
      </c>
    </row>
    <row r="1146" spans="1:10">
      <c r="A1146" s="2" t="str">
        <f ca="1">IF(A1145="","",IF(IF(价差分析!$W$4="日",--[1]!td(A1145-1),IF(价差分析!$W$4="周",--[1]!td(A1145-7),--[1]!td(A1145-30)))-价差分析!$T$4&gt;0,IF(价差分析!$W$4="日",--[1]!td(A1145-1),IF(价差分析!$W$4="周",--[1]!td(A1145-7),--[1]!td(A1145-30))),""))</f>
        <v/>
      </c>
      <c r="B1146" s="1" t="str">
        <f ca="1">IF(A1146="","",[1]!s_dq_close($B$1,A1146,$M$4))</f>
        <v/>
      </c>
      <c r="C1146" s="1" t="str">
        <f ca="1">IF(A1146="","",[1]!s_dq_close($C$1,A1146,$M$4))</f>
        <v/>
      </c>
      <c r="D1146" s="6" t="str">
        <f ca="1">IF($A1146="","",[1]!s_dq_close(D$1,$A1146,$M$4))</f>
        <v/>
      </c>
      <c r="E1146" s="6" t="str">
        <f ca="1">IF($A1146="","",[1]!s_dq_close(E$1,$A1146,$M$4))</f>
        <v/>
      </c>
      <c r="F1146" s="6" t="str">
        <f ca="1">IF($A1146="","",[1]!s_dq_close(F$1,$A1146,$M$4))</f>
        <v/>
      </c>
      <c r="G1146" s="6"/>
      <c r="H1146" s="6" t="str">
        <f ca="1">IF($A1146="","",[1]!s_dq_close(H$1,$A1146,$M$4))</f>
        <v/>
      </c>
      <c r="I1146" s="6" t="str">
        <f ca="1">IF($A1146="","",[1]!s_dq_close(I$1,$A1146,$M$4))</f>
        <v/>
      </c>
      <c r="J1146" s="6" t="str">
        <f t="shared" ca="1" si="18"/>
        <v/>
      </c>
    </row>
    <row r="1147" spans="1:10">
      <c r="A1147" s="2" t="str">
        <f ca="1">IF(A1146="","",IF(IF(价差分析!$W$4="日",--[1]!td(A1146-1),IF(价差分析!$W$4="周",--[1]!td(A1146-7),--[1]!td(A1146-30)))-价差分析!$T$4&gt;0,IF(价差分析!$W$4="日",--[1]!td(A1146-1),IF(价差分析!$W$4="周",--[1]!td(A1146-7),--[1]!td(A1146-30))),""))</f>
        <v/>
      </c>
      <c r="B1147" s="1" t="str">
        <f ca="1">IF(A1147="","",[1]!s_dq_close($B$1,A1147,$M$4))</f>
        <v/>
      </c>
      <c r="C1147" s="1" t="str">
        <f ca="1">IF(A1147="","",[1]!s_dq_close($C$1,A1147,$M$4))</f>
        <v/>
      </c>
      <c r="D1147" s="6" t="str">
        <f ca="1">IF($A1147="","",[1]!s_dq_close(D$1,$A1147,$M$4))</f>
        <v/>
      </c>
      <c r="E1147" s="6" t="str">
        <f ca="1">IF($A1147="","",[1]!s_dq_close(E$1,$A1147,$M$4))</f>
        <v/>
      </c>
      <c r="F1147" s="6" t="str">
        <f ca="1">IF($A1147="","",[1]!s_dq_close(F$1,$A1147,$M$4))</f>
        <v/>
      </c>
      <c r="G1147" s="6"/>
      <c r="H1147" s="6" t="str">
        <f ca="1">IF($A1147="","",[1]!s_dq_close(H$1,$A1147,$M$4))</f>
        <v/>
      </c>
      <c r="I1147" s="6" t="str">
        <f ca="1">IF($A1147="","",[1]!s_dq_close(I$1,$A1147,$M$4))</f>
        <v/>
      </c>
      <c r="J1147" s="6" t="str">
        <f t="shared" ca="1" si="18"/>
        <v/>
      </c>
    </row>
    <row r="1148" spans="1:10">
      <c r="A1148" s="2" t="str">
        <f ca="1">IF(A1147="","",IF(IF(价差分析!$W$4="日",--[1]!td(A1147-1),IF(价差分析!$W$4="周",--[1]!td(A1147-7),--[1]!td(A1147-30)))-价差分析!$T$4&gt;0,IF(价差分析!$W$4="日",--[1]!td(A1147-1),IF(价差分析!$W$4="周",--[1]!td(A1147-7),--[1]!td(A1147-30))),""))</f>
        <v/>
      </c>
      <c r="B1148" s="1" t="str">
        <f ca="1">IF(A1148="","",[1]!s_dq_close($B$1,A1148,$M$4))</f>
        <v/>
      </c>
      <c r="C1148" s="1" t="str">
        <f ca="1">IF(A1148="","",[1]!s_dq_close($C$1,A1148,$M$4))</f>
        <v/>
      </c>
      <c r="D1148" s="6" t="str">
        <f ca="1">IF($A1148="","",[1]!s_dq_close(D$1,$A1148,$M$4))</f>
        <v/>
      </c>
      <c r="E1148" s="6" t="str">
        <f ca="1">IF($A1148="","",[1]!s_dq_close(E$1,$A1148,$M$4))</f>
        <v/>
      </c>
      <c r="F1148" s="6" t="str">
        <f ca="1">IF($A1148="","",[1]!s_dq_close(F$1,$A1148,$M$4))</f>
        <v/>
      </c>
      <c r="G1148" s="6"/>
      <c r="H1148" s="6" t="str">
        <f ca="1">IF($A1148="","",[1]!s_dq_close(H$1,$A1148,$M$4))</f>
        <v/>
      </c>
      <c r="I1148" s="6" t="str">
        <f ca="1">IF($A1148="","",[1]!s_dq_close(I$1,$A1148,$M$4))</f>
        <v/>
      </c>
      <c r="J1148" s="6" t="str">
        <f t="shared" ca="1" si="18"/>
        <v/>
      </c>
    </row>
    <row r="1149" spans="1:10">
      <c r="A1149" s="2" t="str">
        <f ca="1">IF(A1148="","",IF(IF(价差分析!$W$4="日",--[1]!td(A1148-1),IF(价差分析!$W$4="周",--[1]!td(A1148-7),--[1]!td(A1148-30)))-价差分析!$T$4&gt;0,IF(价差分析!$W$4="日",--[1]!td(A1148-1),IF(价差分析!$W$4="周",--[1]!td(A1148-7),--[1]!td(A1148-30))),""))</f>
        <v/>
      </c>
      <c r="B1149" s="1" t="str">
        <f ca="1">IF(A1149="","",[1]!s_dq_close($B$1,A1149,$M$4))</f>
        <v/>
      </c>
      <c r="C1149" s="1" t="str">
        <f ca="1">IF(A1149="","",[1]!s_dq_close($C$1,A1149,$M$4))</f>
        <v/>
      </c>
      <c r="D1149" s="6" t="str">
        <f ca="1">IF($A1149="","",[1]!s_dq_close(D$1,$A1149,$M$4))</f>
        <v/>
      </c>
      <c r="E1149" s="6" t="str">
        <f ca="1">IF($A1149="","",[1]!s_dq_close(E$1,$A1149,$M$4))</f>
        <v/>
      </c>
      <c r="F1149" s="6" t="str">
        <f ca="1">IF($A1149="","",[1]!s_dq_close(F$1,$A1149,$M$4))</f>
        <v/>
      </c>
      <c r="G1149" s="6"/>
      <c r="H1149" s="6" t="str">
        <f ca="1">IF($A1149="","",[1]!s_dq_close(H$1,$A1149,$M$4))</f>
        <v/>
      </c>
      <c r="I1149" s="6" t="str">
        <f ca="1">IF($A1149="","",[1]!s_dq_close(I$1,$A1149,$M$4))</f>
        <v/>
      </c>
      <c r="J1149" s="6" t="str">
        <f t="shared" ca="1" si="18"/>
        <v/>
      </c>
    </row>
    <row r="1150" spans="1:10">
      <c r="A1150" s="2" t="str">
        <f ca="1">IF(A1149="","",IF(IF(价差分析!$W$4="日",--[1]!td(A1149-1),IF(价差分析!$W$4="周",--[1]!td(A1149-7),--[1]!td(A1149-30)))-价差分析!$T$4&gt;0,IF(价差分析!$W$4="日",--[1]!td(A1149-1),IF(价差分析!$W$4="周",--[1]!td(A1149-7),--[1]!td(A1149-30))),""))</f>
        <v/>
      </c>
      <c r="B1150" s="1" t="str">
        <f ca="1">IF(A1150="","",[1]!s_dq_close($B$1,A1150,$M$4))</f>
        <v/>
      </c>
      <c r="C1150" s="1" t="str">
        <f ca="1">IF(A1150="","",[1]!s_dq_close($C$1,A1150,$M$4))</f>
        <v/>
      </c>
      <c r="D1150" s="6" t="str">
        <f ca="1">IF($A1150="","",[1]!s_dq_close(D$1,$A1150,$M$4))</f>
        <v/>
      </c>
      <c r="E1150" s="6" t="str">
        <f ca="1">IF($A1150="","",[1]!s_dq_close(E$1,$A1150,$M$4))</f>
        <v/>
      </c>
      <c r="F1150" s="6" t="str">
        <f ca="1">IF($A1150="","",[1]!s_dq_close(F$1,$A1150,$M$4))</f>
        <v/>
      </c>
      <c r="G1150" s="6"/>
      <c r="H1150" s="6" t="str">
        <f ca="1">IF($A1150="","",[1]!s_dq_close(H$1,$A1150,$M$4))</f>
        <v/>
      </c>
      <c r="I1150" s="6" t="str">
        <f ca="1">IF($A1150="","",[1]!s_dq_close(I$1,$A1150,$M$4))</f>
        <v/>
      </c>
      <c r="J1150" s="6" t="str">
        <f t="shared" ca="1" si="18"/>
        <v/>
      </c>
    </row>
    <row r="1151" spans="1:10">
      <c r="A1151" s="2" t="str">
        <f ca="1">IF(A1150="","",IF(IF(价差分析!$W$4="日",--[1]!td(A1150-1),IF(价差分析!$W$4="周",--[1]!td(A1150-7),--[1]!td(A1150-30)))-价差分析!$T$4&gt;0,IF(价差分析!$W$4="日",--[1]!td(A1150-1),IF(价差分析!$W$4="周",--[1]!td(A1150-7),--[1]!td(A1150-30))),""))</f>
        <v/>
      </c>
      <c r="B1151" s="1" t="str">
        <f ca="1">IF(A1151="","",[1]!s_dq_close($B$1,A1151,$M$4))</f>
        <v/>
      </c>
      <c r="C1151" s="1" t="str">
        <f ca="1">IF(A1151="","",[1]!s_dq_close($C$1,A1151,$M$4))</f>
        <v/>
      </c>
      <c r="D1151" s="6" t="str">
        <f ca="1">IF($A1151="","",[1]!s_dq_close(D$1,$A1151,$M$4))</f>
        <v/>
      </c>
      <c r="E1151" s="6" t="str">
        <f ca="1">IF($A1151="","",[1]!s_dq_close(E$1,$A1151,$M$4))</f>
        <v/>
      </c>
      <c r="F1151" s="6" t="str">
        <f ca="1">IF($A1151="","",[1]!s_dq_close(F$1,$A1151,$M$4))</f>
        <v/>
      </c>
      <c r="G1151" s="6"/>
      <c r="H1151" s="6" t="str">
        <f ca="1">IF($A1151="","",[1]!s_dq_close(H$1,$A1151,$M$4))</f>
        <v/>
      </c>
      <c r="I1151" s="6" t="str">
        <f ca="1">IF($A1151="","",[1]!s_dq_close(I$1,$A1151,$M$4))</f>
        <v/>
      </c>
      <c r="J1151" s="6" t="str">
        <f t="shared" ca="1" si="18"/>
        <v/>
      </c>
    </row>
    <row r="1152" spans="1:10">
      <c r="A1152" s="2" t="str">
        <f ca="1">IF(A1151="","",IF(IF(价差分析!$W$4="日",--[1]!td(A1151-1),IF(价差分析!$W$4="周",--[1]!td(A1151-7),--[1]!td(A1151-30)))-价差分析!$T$4&gt;0,IF(价差分析!$W$4="日",--[1]!td(A1151-1),IF(价差分析!$W$4="周",--[1]!td(A1151-7),--[1]!td(A1151-30))),""))</f>
        <v/>
      </c>
      <c r="B1152" s="1" t="str">
        <f ca="1">IF(A1152="","",[1]!s_dq_close($B$1,A1152,$M$4))</f>
        <v/>
      </c>
      <c r="C1152" s="1" t="str">
        <f ca="1">IF(A1152="","",[1]!s_dq_close($C$1,A1152,$M$4))</f>
        <v/>
      </c>
      <c r="D1152" s="6" t="str">
        <f ca="1">IF($A1152="","",[1]!s_dq_close(D$1,$A1152,$M$4))</f>
        <v/>
      </c>
      <c r="E1152" s="6" t="str">
        <f ca="1">IF($A1152="","",[1]!s_dq_close(E$1,$A1152,$M$4))</f>
        <v/>
      </c>
      <c r="F1152" s="6" t="str">
        <f ca="1">IF($A1152="","",[1]!s_dq_close(F$1,$A1152,$M$4))</f>
        <v/>
      </c>
      <c r="G1152" s="6"/>
      <c r="H1152" s="6" t="str">
        <f ca="1">IF($A1152="","",[1]!s_dq_close(H$1,$A1152,$M$4))</f>
        <v/>
      </c>
      <c r="I1152" s="6" t="str">
        <f ca="1">IF($A1152="","",[1]!s_dq_close(I$1,$A1152,$M$4))</f>
        <v/>
      </c>
      <c r="J1152" s="6" t="str">
        <f t="shared" ca="1" si="18"/>
        <v/>
      </c>
    </row>
    <row r="1153" spans="1:10">
      <c r="A1153" s="2" t="str">
        <f ca="1">IF(A1152="","",IF(IF(价差分析!$W$4="日",--[1]!td(A1152-1),IF(价差分析!$W$4="周",--[1]!td(A1152-7),--[1]!td(A1152-30)))-价差分析!$T$4&gt;0,IF(价差分析!$W$4="日",--[1]!td(A1152-1),IF(价差分析!$W$4="周",--[1]!td(A1152-7),--[1]!td(A1152-30))),""))</f>
        <v/>
      </c>
      <c r="B1153" s="1" t="str">
        <f ca="1">IF(A1153="","",[1]!s_dq_close($B$1,A1153,$M$4))</f>
        <v/>
      </c>
      <c r="C1153" s="1" t="str">
        <f ca="1">IF(A1153="","",[1]!s_dq_close($C$1,A1153,$M$4))</f>
        <v/>
      </c>
      <c r="D1153" s="6" t="str">
        <f ca="1">IF($A1153="","",[1]!s_dq_close(D$1,$A1153,$M$4))</f>
        <v/>
      </c>
      <c r="E1153" s="6" t="str">
        <f ca="1">IF($A1153="","",[1]!s_dq_close(E$1,$A1153,$M$4))</f>
        <v/>
      </c>
      <c r="F1153" s="6" t="str">
        <f ca="1">IF($A1153="","",[1]!s_dq_close(F$1,$A1153,$M$4))</f>
        <v/>
      </c>
      <c r="G1153" s="6"/>
      <c r="H1153" s="6" t="str">
        <f ca="1">IF($A1153="","",[1]!s_dq_close(H$1,$A1153,$M$4))</f>
        <v/>
      </c>
      <c r="I1153" s="6" t="str">
        <f ca="1">IF($A1153="","",[1]!s_dq_close(I$1,$A1153,$M$4))</f>
        <v/>
      </c>
      <c r="J1153" s="6" t="str">
        <f t="shared" ca="1" si="18"/>
        <v/>
      </c>
    </row>
    <row r="1154" spans="1:10">
      <c r="A1154" s="2" t="str">
        <f ca="1">IF(A1153="","",IF(IF(价差分析!$W$4="日",--[1]!td(A1153-1),IF(价差分析!$W$4="周",--[1]!td(A1153-7),--[1]!td(A1153-30)))-价差分析!$T$4&gt;0,IF(价差分析!$W$4="日",--[1]!td(A1153-1),IF(价差分析!$W$4="周",--[1]!td(A1153-7),--[1]!td(A1153-30))),""))</f>
        <v/>
      </c>
      <c r="B1154" s="1" t="str">
        <f ca="1">IF(A1154="","",[1]!s_dq_close($B$1,A1154,$M$4))</f>
        <v/>
      </c>
      <c r="C1154" s="1" t="str">
        <f ca="1">IF(A1154="","",[1]!s_dq_close($C$1,A1154,$M$4))</f>
        <v/>
      </c>
      <c r="D1154" s="6" t="str">
        <f ca="1">IF($A1154="","",[1]!s_dq_close(D$1,$A1154,$M$4))</f>
        <v/>
      </c>
      <c r="E1154" s="6" t="str">
        <f ca="1">IF($A1154="","",[1]!s_dq_close(E$1,$A1154,$M$4))</f>
        <v/>
      </c>
      <c r="F1154" s="6" t="str">
        <f ca="1">IF($A1154="","",[1]!s_dq_close(F$1,$A1154,$M$4))</f>
        <v/>
      </c>
      <c r="G1154" s="6"/>
      <c r="H1154" s="6" t="str">
        <f ca="1">IF($A1154="","",[1]!s_dq_close(H$1,$A1154,$M$4))</f>
        <v/>
      </c>
      <c r="I1154" s="6" t="str">
        <f ca="1">IF($A1154="","",[1]!s_dq_close(I$1,$A1154,$M$4))</f>
        <v/>
      </c>
      <c r="J1154" s="6" t="str">
        <f t="shared" ca="1" si="18"/>
        <v/>
      </c>
    </row>
    <row r="1155" spans="1:10">
      <c r="A1155" s="2" t="str">
        <f ca="1">IF(A1154="","",IF(IF(价差分析!$W$4="日",--[1]!td(A1154-1),IF(价差分析!$W$4="周",--[1]!td(A1154-7),--[1]!td(A1154-30)))-价差分析!$T$4&gt;0,IF(价差分析!$W$4="日",--[1]!td(A1154-1),IF(价差分析!$W$4="周",--[1]!td(A1154-7),--[1]!td(A1154-30))),""))</f>
        <v/>
      </c>
      <c r="B1155" s="1" t="str">
        <f ca="1">IF(A1155="","",[1]!s_dq_close($B$1,A1155,$M$4))</f>
        <v/>
      </c>
      <c r="C1155" s="1" t="str">
        <f ca="1">IF(A1155="","",[1]!s_dq_close($C$1,A1155,$M$4))</f>
        <v/>
      </c>
      <c r="D1155" s="6" t="str">
        <f ca="1">IF($A1155="","",[1]!s_dq_close(D$1,$A1155,$M$4))</f>
        <v/>
      </c>
      <c r="E1155" s="6" t="str">
        <f ca="1">IF($A1155="","",[1]!s_dq_close(E$1,$A1155,$M$4))</f>
        <v/>
      </c>
      <c r="F1155" s="6" t="str">
        <f ca="1">IF($A1155="","",[1]!s_dq_close(F$1,$A1155,$M$4))</f>
        <v/>
      </c>
      <c r="G1155" s="6"/>
      <c r="H1155" s="6" t="str">
        <f ca="1">IF($A1155="","",[1]!s_dq_close(H$1,$A1155,$M$4))</f>
        <v/>
      </c>
      <c r="I1155" s="6" t="str">
        <f ca="1">IF($A1155="","",[1]!s_dq_close(I$1,$A1155,$M$4))</f>
        <v/>
      </c>
      <c r="J1155" s="6" t="str">
        <f t="shared" ca="1" si="18"/>
        <v/>
      </c>
    </row>
    <row r="1156" spans="1:10">
      <c r="A1156" s="2" t="str">
        <f ca="1">IF(A1155="","",IF(IF(价差分析!$W$4="日",--[1]!td(A1155-1),IF(价差分析!$W$4="周",--[1]!td(A1155-7),--[1]!td(A1155-30)))-价差分析!$T$4&gt;0,IF(价差分析!$W$4="日",--[1]!td(A1155-1),IF(价差分析!$W$4="周",--[1]!td(A1155-7),--[1]!td(A1155-30))),""))</f>
        <v/>
      </c>
      <c r="B1156" s="1" t="str">
        <f ca="1">IF(A1156="","",[1]!s_dq_close($B$1,A1156,$M$4))</f>
        <v/>
      </c>
      <c r="C1156" s="1" t="str">
        <f ca="1">IF(A1156="","",[1]!s_dq_close($C$1,A1156,$M$4))</f>
        <v/>
      </c>
      <c r="D1156" s="6" t="str">
        <f ca="1">IF($A1156="","",[1]!s_dq_close(D$1,$A1156,$M$4))</f>
        <v/>
      </c>
      <c r="E1156" s="6" t="str">
        <f ca="1">IF($A1156="","",[1]!s_dq_close(E$1,$A1156,$M$4))</f>
        <v/>
      </c>
      <c r="F1156" s="6" t="str">
        <f ca="1">IF($A1156="","",[1]!s_dq_close(F$1,$A1156,$M$4))</f>
        <v/>
      </c>
      <c r="G1156" s="6"/>
      <c r="H1156" s="6" t="str">
        <f ca="1">IF($A1156="","",[1]!s_dq_close(H$1,$A1156,$M$4))</f>
        <v/>
      </c>
      <c r="I1156" s="6" t="str">
        <f ca="1">IF($A1156="","",[1]!s_dq_close(I$1,$A1156,$M$4))</f>
        <v/>
      </c>
      <c r="J1156" s="6" t="str">
        <f t="shared" ca="1" si="18"/>
        <v/>
      </c>
    </row>
    <row r="1157" spans="1:10">
      <c r="A1157" s="2" t="str">
        <f ca="1">IF(A1156="","",IF(IF(价差分析!$W$4="日",--[1]!td(A1156-1),IF(价差分析!$W$4="周",--[1]!td(A1156-7),--[1]!td(A1156-30)))-价差分析!$T$4&gt;0,IF(价差分析!$W$4="日",--[1]!td(A1156-1),IF(价差分析!$W$4="周",--[1]!td(A1156-7),--[1]!td(A1156-30))),""))</f>
        <v/>
      </c>
      <c r="B1157" s="1" t="str">
        <f ca="1">IF(A1157="","",[1]!s_dq_close($B$1,A1157,$M$4))</f>
        <v/>
      </c>
      <c r="C1157" s="1" t="str">
        <f ca="1">IF(A1157="","",[1]!s_dq_close($C$1,A1157,$M$4))</f>
        <v/>
      </c>
      <c r="D1157" s="6" t="str">
        <f ca="1">IF($A1157="","",[1]!s_dq_close(D$1,$A1157,$M$4))</f>
        <v/>
      </c>
      <c r="E1157" s="6" t="str">
        <f ca="1">IF($A1157="","",[1]!s_dq_close(E$1,$A1157,$M$4))</f>
        <v/>
      </c>
      <c r="F1157" s="6" t="str">
        <f ca="1">IF($A1157="","",[1]!s_dq_close(F$1,$A1157,$M$4))</f>
        <v/>
      </c>
      <c r="G1157" s="6"/>
      <c r="H1157" s="6" t="str">
        <f ca="1">IF($A1157="","",[1]!s_dq_close(H$1,$A1157,$M$4))</f>
        <v/>
      </c>
      <c r="I1157" s="6" t="str">
        <f ca="1">IF($A1157="","",[1]!s_dq_close(I$1,$A1157,$M$4))</f>
        <v/>
      </c>
      <c r="J1157" s="6" t="str">
        <f t="shared" ref="J1157:J1220" ca="1" si="19">IF(H1157="","",H1157-I1157)</f>
        <v/>
      </c>
    </row>
    <row r="1158" spans="1:10">
      <c r="A1158" s="2" t="str">
        <f ca="1">IF(A1157="","",IF(IF(价差分析!$W$4="日",--[1]!td(A1157-1),IF(价差分析!$W$4="周",--[1]!td(A1157-7),--[1]!td(A1157-30)))-价差分析!$T$4&gt;0,IF(价差分析!$W$4="日",--[1]!td(A1157-1),IF(价差分析!$W$4="周",--[1]!td(A1157-7),--[1]!td(A1157-30))),""))</f>
        <v/>
      </c>
      <c r="B1158" s="1" t="str">
        <f ca="1">IF(A1158="","",[1]!s_dq_close($B$1,A1158,$M$4))</f>
        <v/>
      </c>
      <c r="C1158" s="1" t="str">
        <f ca="1">IF(A1158="","",[1]!s_dq_close($C$1,A1158,$M$4))</f>
        <v/>
      </c>
      <c r="D1158" s="6" t="str">
        <f ca="1">IF($A1158="","",[1]!s_dq_close(D$1,$A1158,$M$4))</f>
        <v/>
      </c>
      <c r="E1158" s="6" t="str">
        <f ca="1">IF($A1158="","",[1]!s_dq_close(E$1,$A1158,$M$4))</f>
        <v/>
      </c>
      <c r="F1158" s="6" t="str">
        <f ca="1">IF($A1158="","",[1]!s_dq_close(F$1,$A1158,$M$4))</f>
        <v/>
      </c>
      <c r="G1158" s="6"/>
      <c r="H1158" s="6" t="str">
        <f ca="1">IF($A1158="","",[1]!s_dq_close(H$1,$A1158,$M$4))</f>
        <v/>
      </c>
      <c r="I1158" s="6" t="str">
        <f ca="1">IF($A1158="","",[1]!s_dq_close(I$1,$A1158,$M$4))</f>
        <v/>
      </c>
      <c r="J1158" s="6" t="str">
        <f t="shared" ca="1" si="19"/>
        <v/>
      </c>
    </row>
    <row r="1159" spans="1:10">
      <c r="A1159" s="2" t="str">
        <f ca="1">IF(A1158="","",IF(IF(价差分析!$W$4="日",--[1]!td(A1158-1),IF(价差分析!$W$4="周",--[1]!td(A1158-7),--[1]!td(A1158-30)))-价差分析!$T$4&gt;0,IF(价差分析!$W$4="日",--[1]!td(A1158-1),IF(价差分析!$W$4="周",--[1]!td(A1158-7),--[1]!td(A1158-30))),""))</f>
        <v/>
      </c>
      <c r="B1159" s="1" t="str">
        <f ca="1">IF(A1159="","",[1]!s_dq_close($B$1,A1159,$M$4))</f>
        <v/>
      </c>
      <c r="C1159" s="1" t="str">
        <f ca="1">IF(A1159="","",[1]!s_dq_close($C$1,A1159,$M$4))</f>
        <v/>
      </c>
      <c r="D1159" s="6" t="str">
        <f ca="1">IF($A1159="","",[1]!s_dq_close(D$1,$A1159,$M$4))</f>
        <v/>
      </c>
      <c r="E1159" s="6" t="str">
        <f ca="1">IF($A1159="","",[1]!s_dq_close(E$1,$A1159,$M$4))</f>
        <v/>
      </c>
      <c r="F1159" s="6" t="str">
        <f ca="1">IF($A1159="","",[1]!s_dq_close(F$1,$A1159,$M$4))</f>
        <v/>
      </c>
      <c r="G1159" s="6"/>
      <c r="H1159" s="6" t="str">
        <f ca="1">IF($A1159="","",[1]!s_dq_close(H$1,$A1159,$M$4))</f>
        <v/>
      </c>
      <c r="I1159" s="6" t="str">
        <f ca="1">IF($A1159="","",[1]!s_dq_close(I$1,$A1159,$M$4))</f>
        <v/>
      </c>
      <c r="J1159" s="6" t="str">
        <f t="shared" ca="1" si="19"/>
        <v/>
      </c>
    </row>
    <row r="1160" spans="1:10">
      <c r="A1160" s="2" t="str">
        <f ca="1">IF(A1159="","",IF(IF(价差分析!$W$4="日",--[1]!td(A1159-1),IF(价差分析!$W$4="周",--[1]!td(A1159-7),--[1]!td(A1159-30)))-价差分析!$T$4&gt;0,IF(价差分析!$W$4="日",--[1]!td(A1159-1),IF(价差分析!$W$4="周",--[1]!td(A1159-7),--[1]!td(A1159-30))),""))</f>
        <v/>
      </c>
      <c r="B1160" s="1" t="str">
        <f ca="1">IF(A1160="","",[1]!s_dq_close($B$1,A1160,$M$4))</f>
        <v/>
      </c>
      <c r="C1160" s="1" t="str">
        <f ca="1">IF(A1160="","",[1]!s_dq_close($C$1,A1160,$M$4))</f>
        <v/>
      </c>
      <c r="D1160" s="6" t="str">
        <f ca="1">IF($A1160="","",[1]!s_dq_close(D$1,$A1160,$M$4))</f>
        <v/>
      </c>
      <c r="E1160" s="6" t="str">
        <f ca="1">IF($A1160="","",[1]!s_dq_close(E$1,$A1160,$M$4))</f>
        <v/>
      </c>
      <c r="F1160" s="6" t="str">
        <f ca="1">IF($A1160="","",[1]!s_dq_close(F$1,$A1160,$M$4))</f>
        <v/>
      </c>
      <c r="G1160" s="6"/>
      <c r="H1160" s="6" t="str">
        <f ca="1">IF($A1160="","",[1]!s_dq_close(H$1,$A1160,$M$4))</f>
        <v/>
      </c>
      <c r="I1160" s="6" t="str">
        <f ca="1">IF($A1160="","",[1]!s_dq_close(I$1,$A1160,$M$4))</f>
        <v/>
      </c>
      <c r="J1160" s="6" t="str">
        <f t="shared" ca="1" si="19"/>
        <v/>
      </c>
    </row>
    <row r="1161" spans="1:10">
      <c r="A1161" s="2" t="str">
        <f ca="1">IF(A1160="","",IF(IF(价差分析!$W$4="日",--[1]!td(A1160-1),IF(价差分析!$W$4="周",--[1]!td(A1160-7),--[1]!td(A1160-30)))-价差分析!$T$4&gt;0,IF(价差分析!$W$4="日",--[1]!td(A1160-1),IF(价差分析!$W$4="周",--[1]!td(A1160-7),--[1]!td(A1160-30))),""))</f>
        <v/>
      </c>
      <c r="B1161" s="1" t="str">
        <f ca="1">IF(A1161="","",[1]!s_dq_close($B$1,A1161,$M$4))</f>
        <v/>
      </c>
      <c r="C1161" s="1" t="str">
        <f ca="1">IF(A1161="","",[1]!s_dq_close($C$1,A1161,$M$4))</f>
        <v/>
      </c>
      <c r="D1161" s="6" t="str">
        <f ca="1">IF($A1161="","",[1]!s_dq_close(D$1,$A1161,$M$4))</f>
        <v/>
      </c>
      <c r="E1161" s="6" t="str">
        <f ca="1">IF($A1161="","",[1]!s_dq_close(E$1,$A1161,$M$4))</f>
        <v/>
      </c>
      <c r="F1161" s="6" t="str">
        <f ca="1">IF($A1161="","",[1]!s_dq_close(F$1,$A1161,$M$4))</f>
        <v/>
      </c>
      <c r="G1161" s="6"/>
      <c r="H1161" s="6" t="str">
        <f ca="1">IF($A1161="","",[1]!s_dq_close(H$1,$A1161,$M$4))</f>
        <v/>
      </c>
      <c r="I1161" s="6" t="str">
        <f ca="1">IF($A1161="","",[1]!s_dq_close(I$1,$A1161,$M$4))</f>
        <v/>
      </c>
      <c r="J1161" s="6" t="str">
        <f t="shared" ca="1" si="19"/>
        <v/>
      </c>
    </row>
    <row r="1162" spans="1:10">
      <c r="A1162" s="2" t="str">
        <f ca="1">IF(A1161="","",IF(IF(价差分析!$W$4="日",--[1]!td(A1161-1),IF(价差分析!$W$4="周",--[1]!td(A1161-7),--[1]!td(A1161-30)))-价差分析!$T$4&gt;0,IF(价差分析!$W$4="日",--[1]!td(A1161-1),IF(价差分析!$W$4="周",--[1]!td(A1161-7),--[1]!td(A1161-30))),""))</f>
        <v/>
      </c>
      <c r="B1162" s="1" t="str">
        <f ca="1">IF(A1162="","",[1]!s_dq_close($B$1,A1162,$M$4))</f>
        <v/>
      </c>
      <c r="C1162" s="1" t="str">
        <f ca="1">IF(A1162="","",[1]!s_dq_close($C$1,A1162,$M$4))</f>
        <v/>
      </c>
      <c r="D1162" s="6" t="str">
        <f ca="1">IF($A1162="","",[1]!s_dq_close(D$1,$A1162,$M$4))</f>
        <v/>
      </c>
      <c r="E1162" s="6" t="str">
        <f ca="1">IF($A1162="","",[1]!s_dq_close(E$1,$A1162,$M$4))</f>
        <v/>
      </c>
      <c r="F1162" s="6" t="str">
        <f ca="1">IF($A1162="","",[1]!s_dq_close(F$1,$A1162,$M$4))</f>
        <v/>
      </c>
      <c r="G1162" s="6"/>
      <c r="H1162" s="6" t="str">
        <f ca="1">IF($A1162="","",[1]!s_dq_close(H$1,$A1162,$M$4))</f>
        <v/>
      </c>
      <c r="I1162" s="6" t="str">
        <f ca="1">IF($A1162="","",[1]!s_dq_close(I$1,$A1162,$M$4))</f>
        <v/>
      </c>
      <c r="J1162" s="6" t="str">
        <f t="shared" ca="1" si="19"/>
        <v/>
      </c>
    </row>
    <row r="1163" spans="1:10">
      <c r="A1163" s="2" t="str">
        <f ca="1">IF(A1162="","",IF(IF(价差分析!$W$4="日",--[1]!td(A1162-1),IF(价差分析!$W$4="周",--[1]!td(A1162-7),--[1]!td(A1162-30)))-价差分析!$T$4&gt;0,IF(价差分析!$W$4="日",--[1]!td(A1162-1),IF(价差分析!$W$4="周",--[1]!td(A1162-7),--[1]!td(A1162-30))),""))</f>
        <v/>
      </c>
      <c r="B1163" s="1" t="str">
        <f ca="1">IF(A1163="","",[1]!s_dq_close($B$1,A1163,$M$4))</f>
        <v/>
      </c>
      <c r="C1163" s="1" t="str">
        <f ca="1">IF(A1163="","",[1]!s_dq_close($C$1,A1163,$M$4))</f>
        <v/>
      </c>
      <c r="D1163" s="6" t="str">
        <f ca="1">IF($A1163="","",[1]!s_dq_close(D$1,$A1163,$M$4))</f>
        <v/>
      </c>
      <c r="E1163" s="6" t="str">
        <f ca="1">IF($A1163="","",[1]!s_dq_close(E$1,$A1163,$M$4))</f>
        <v/>
      </c>
      <c r="F1163" s="6" t="str">
        <f ca="1">IF($A1163="","",[1]!s_dq_close(F$1,$A1163,$M$4))</f>
        <v/>
      </c>
      <c r="G1163" s="6"/>
      <c r="H1163" s="6" t="str">
        <f ca="1">IF($A1163="","",[1]!s_dq_close(H$1,$A1163,$M$4))</f>
        <v/>
      </c>
      <c r="I1163" s="6" t="str">
        <f ca="1">IF($A1163="","",[1]!s_dq_close(I$1,$A1163,$M$4))</f>
        <v/>
      </c>
      <c r="J1163" s="6" t="str">
        <f t="shared" ca="1" si="19"/>
        <v/>
      </c>
    </row>
    <row r="1164" spans="1:10">
      <c r="A1164" s="2" t="str">
        <f ca="1">IF(A1163="","",IF(IF(价差分析!$W$4="日",--[1]!td(A1163-1),IF(价差分析!$W$4="周",--[1]!td(A1163-7),--[1]!td(A1163-30)))-价差分析!$T$4&gt;0,IF(价差分析!$W$4="日",--[1]!td(A1163-1),IF(价差分析!$W$4="周",--[1]!td(A1163-7),--[1]!td(A1163-30))),""))</f>
        <v/>
      </c>
      <c r="B1164" s="1" t="str">
        <f ca="1">IF(A1164="","",[1]!s_dq_close($B$1,A1164,$M$4))</f>
        <v/>
      </c>
      <c r="C1164" s="1" t="str">
        <f ca="1">IF(A1164="","",[1]!s_dq_close($C$1,A1164,$M$4))</f>
        <v/>
      </c>
      <c r="D1164" s="6" t="str">
        <f ca="1">IF($A1164="","",[1]!s_dq_close(D$1,$A1164,$M$4))</f>
        <v/>
      </c>
      <c r="E1164" s="6" t="str">
        <f ca="1">IF($A1164="","",[1]!s_dq_close(E$1,$A1164,$M$4))</f>
        <v/>
      </c>
      <c r="F1164" s="6" t="str">
        <f ca="1">IF($A1164="","",[1]!s_dq_close(F$1,$A1164,$M$4))</f>
        <v/>
      </c>
      <c r="G1164" s="6"/>
      <c r="H1164" s="6" t="str">
        <f ca="1">IF($A1164="","",[1]!s_dq_close(H$1,$A1164,$M$4))</f>
        <v/>
      </c>
      <c r="I1164" s="6" t="str">
        <f ca="1">IF($A1164="","",[1]!s_dq_close(I$1,$A1164,$M$4))</f>
        <v/>
      </c>
      <c r="J1164" s="6" t="str">
        <f t="shared" ca="1" si="19"/>
        <v/>
      </c>
    </row>
    <row r="1165" spans="1:10">
      <c r="A1165" s="2" t="str">
        <f ca="1">IF(A1164="","",IF(IF(价差分析!$W$4="日",--[1]!td(A1164-1),IF(价差分析!$W$4="周",--[1]!td(A1164-7),--[1]!td(A1164-30)))-价差分析!$T$4&gt;0,IF(价差分析!$W$4="日",--[1]!td(A1164-1),IF(价差分析!$W$4="周",--[1]!td(A1164-7),--[1]!td(A1164-30))),""))</f>
        <v/>
      </c>
      <c r="B1165" s="1" t="str">
        <f ca="1">IF(A1165="","",[1]!s_dq_close($B$1,A1165,$M$4))</f>
        <v/>
      </c>
      <c r="C1165" s="1" t="str">
        <f ca="1">IF(A1165="","",[1]!s_dq_close($C$1,A1165,$M$4))</f>
        <v/>
      </c>
      <c r="D1165" s="6" t="str">
        <f ca="1">IF($A1165="","",[1]!s_dq_close(D$1,$A1165,$M$4))</f>
        <v/>
      </c>
      <c r="E1165" s="6" t="str">
        <f ca="1">IF($A1165="","",[1]!s_dq_close(E$1,$A1165,$M$4))</f>
        <v/>
      </c>
      <c r="F1165" s="6" t="str">
        <f ca="1">IF($A1165="","",[1]!s_dq_close(F$1,$A1165,$M$4))</f>
        <v/>
      </c>
      <c r="G1165" s="6"/>
      <c r="H1165" s="6" t="str">
        <f ca="1">IF($A1165="","",[1]!s_dq_close(H$1,$A1165,$M$4))</f>
        <v/>
      </c>
      <c r="I1165" s="6" t="str">
        <f ca="1">IF($A1165="","",[1]!s_dq_close(I$1,$A1165,$M$4))</f>
        <v/>
      </c>
      <c r="J1165" s="6" t="str">
        <f t="shared" ca="1" si="19"/>
        <v/>
      </c>
    </row>
    <row r="1166" spans="1:10">
      <c r="A1166" s="2" t="str">
        <f ca="1">IF(A1165="","",IF(IF(价差分析!$W$4="日",--[1]!td(A1165-1),IF(价差分析!$W$4="周",--[1]!td(A1165-7),--[1]!td(A1165-30)))-价差分析!$T$4&gt;0,IF(价差分析!$W$4="日",--[1]!td(A1165-1),IF(价差分析!$W$4="周",--[1]!td(A1165-7),--[1]!td(A1165-30))),""))</f>
        <v/>
      </c>
      <c r="B1166" s="1" t="str">
        <f ca="1">IF(A1166="","",[1]!s_dq_close($B$1,A1166,$M$4))</f>
        <v/>
      </c>
      <c r="C1166" s="1" t="str">
        <f ca="1">IF(A1166="","",[1]!s_dq_close($C$1,A1166,$M$4))</f>
        <v/>
      </c>
      <c r="D1166" s="6" t="str">
        <f ca="1">IF($A1166="","",[1]!s_dq_close(D$1,$A1166,$M$4))</f>
        <v/>
      </c>
      <c r="E1166" s="6" t="str">
        <f ca="1">IF($A1166="","",[1]!s_dq_close(E$1,$A1166,$M$4))</f>
        <v/>
      </c>
      <c r="F1166" s="6" t="str">
        <f ca="1">IF($A1166="","",[1]!s_dq_close(F$1,$A1166,$M$4))</f>
        <v/>
      </c>
      <c r="G1166" s="6"/>
      <c r="H1166" s="6" t="str">
        <f ca="1">IF($A1166="","",[1]!s_dq_close(H$1,$A1166,$M$4))</f>
        <v/>
      </c>
      <c r="I1166" s="6" t="str">
        <f ca="1">IF($A1166="","",[1]!s_dq_close(I$1,$A1166,$M$4))</f>
        <v/>
      </c>
      <c r="J1166" s="6" t="str">
        <f t="shared" ca="1" si="19"/>
        <v/>
      </c>
    </row>
    <row r="1167" spans="1:10">
      <c r="A1167" s="2" t="str">
        <f ca="1">IF(A1166="","",IF(IF(价差分析!$W$4="日",--[1]!td(A1166-1),IF(价差分析!$W$4="周",--[1]!td(A1166-7),--[1]!td(A1166-30)))-价差分析!$T$4&gt;0,IF(价差分析!$W$4="日",--[1]!td(A1166-1),IF(价差分析!$W$4="周",--[1]!td(A1166-7),--[1]!td(A1166-30))),""))</f>
        <v/>
      </c>
      <c r="B1167" s="1" t="str">
        <f ca="1">IF(A1167="","",[1]!s_dq_close($B$1,A1167,$M$4))</f>
        <v/>
      </c>
      <c r="C1167" s="1" t="str">
        <f ca="1">IF(A1167="","",[1]!s_dq_close($C$1,A1167,$M$4))</f>
        <v/>
      </c>
      <c r="D1167" s="6" t="str">
        <f ca="1">IF($A1167="","",[1]!s_dq_close(D$1,$A1167,$M$4))</f>
        <v/>
      </c>
      <c r="E1167" s="6" t="str">
        <f ca="1">IF($A1167="","",[1]!s_dq_close(E$1,$A1167,$M$4))</f>
        <v/>
      </c>
      <c r="F1167" s="6" t="str">
        <f ca="1">IF($A1167="","",[1]!s_dq_close(F$1,$A1167,$M$4))</f>
        <v/>
      </c>
      <c r="G1167" s="6"/>
      <c r="H1167" s="6" t="str">
        <f ca="1">IF($A1167="","",[1]!s_dq_close(H$1,$A1167,$M$4))</f>
        <v/>
      </c>
      <c r="I1167" s="6" t="str">
        <f ca="1">IF($A1167="","",[1]!s_dq_close(I$1,$A1167,$M$4))</f>
        <v/>
      </c>
      <c r="J1167" s="6" t="str">
        <f t="shared" ca="1" si="19"/>
        <v/>
      </c>
    </row>
    <row r="1168" spans="1:10">
      <c r="A1168" s="2" t="str">
        <f ca="1">IF(A1167="","",IF(IF(价差分析!$W$4="日",--[1]!td(A1167-1),IF(价差分析!$W$4="周",--[1]!td(A1167-7),--[1]!td(A1167-30)))-价差分析!$T$4&gt;0,IF(价差分析!$W$4="日",--[1]!td(A1167-1),IF(价差分析!$W$4="周",--[1]!td(A1167-7),--[1]!td(A1167-30))),""))</f>
        <v/>
      </c>
      <c r="B1168" s="1" t="str">
        <f ca="1">IF(A1168="","",[1]!s_dq_close($B$1,A1168,$M$4))</f>
        <v/>
      </c>
      <c r="C1168" s="1" t="str">
        <f ca="1">IF(A1168="","",[1]!s_dq_close($C$1,A1168,$M$4))</f>
        <v/>
      </c>
      <c r="D1168" s="6" t="str">
        <f ca="1">IF($A1168="","",[1]!s_dq_close(D$1,$A1168,$M$4))</f>
        <v/>
      </c>
      <c r="E1168" s="6" t="str">
        <f ca="1">IF($A1168="","",[1]!s_dq_close(E$1,$A1168,$M$4))</f>
        <v/>
      </c>
      <c r="F1168" s="6" t="str">
        <f ca="1">IF($A1168="","",[1]!s_dq_close(F$1,$A1168,$M$4))</f>
        <v/>
      </c>
      <c r="G1168" s="6"/>
      <c r="H1168" s="6" t="str">
        <f ca="1">IF($A1168="","",[1]!s_dq_close(H$1,$A1168,$M$4))</f>
        <v/>
      </c>
      <c r="I1168" s="6" t="str">
        <f ca="1">IF($A1168="","",[1]!s_dq_close(I$1,$A1168,$M$4))</f>
        <v/>
      </c>
      <c r="J1168" s="6" t="str">
        <f t="shared" ca="1" si="19"/>
        <v/>
      </c>
    </row>
    <row r="1169" spans="1:10">
      <c r="A1169" s="2" t="str">
        <f ca="1">IF(A1168="","",IF(IF(价差分析!$W$4="日",--[1]!td(A1168-1),IF(价差分析!$W$4="周",--[1]!td(A1168-7),--[1]!td(A1168-30)))-价差分析!$T$4&gt;0,IF(价差分析!$W$4="日",--[1]!td(A1168-1),IF(价差分析!$W$4="周",--[1]!td(A1168-7),--[1]!td(A1168-30))),""))</f>
        <v/>
      </c>
      <c r="B1169" s="1" t="str">
        <f ca="1">IF(A1169="","",[1]!s_dq_close($B$1,A1169,$M$4))</f>
        <v/>
      </c>
      <c r="C1169" s="1" t="str">
        <f ca="1">IF(A1169="","",[1]!s_dq_close($C$1,A1169,$M$4))</f>
        <v/>
      </c>
      <c r="D1169" s="6" t="str">
        <f ca="1">IF($A1169="","",[1]!s_dq_close(D$1,$A1169,$M$4))</f>
        <v/>
      </c>
      <c r="E1169" s="6" t="str">
        <f ca="1">IF($A1169="","",[1]!s_dq_close(E$1,$A1169,$M$4))</f>
        <v/>
      </c>
      <c r="F1169" s="6" t="str">
        <f ca="1">IF($A1169="","",[1]!s_dq_close(F$1,$A1169,$M$4))</f>
        <v/>
      </c>
      <c r="G1169" s="6"/>
      <c r="H1169" s="6" t="str">
        <f ca="1">IF($A1169="","",[1]!s_dq_close(H$1,$A1169,$M$4))</f>
        <v/>
      </c>
      <c r="I1169" s="6" t="str">
        <f ca="1">IF($A1169="","",[1]!s_dq_close(I$1,$A1169,$M$4))</f>
        <v/>
      </c>
      <c r="J1169" s="6" t="str">
        <f t="shared" ca="1" si="19"/>
        <v/>
      </c>
    </row>
    <row r="1170" spans="1:10">
      <c r="A1170" s="2" t="str">
        <f ca="1">IF(A1169="","",IF(IF(价差分析!$W$4="日",--[1]!td(A1169-1),IF(价差分析!$W$4="周",--[1]!td(A1169-7),--[1]!td(A1169-30)))-价差分析!$T$4&gt;0,IF(价差分析!$W$4="日",--[1]!td(A1169-1),IF(价差分析!$W$4="周",--[1]!td(A1169-7),--[1]!td(A1169-30))),""))</f>
        <v/>
      </c>
      <c r="B1170" s="1" t="str">
        <f ca="1">IF(A1170="","",[1]!s_dq_close($B$1,A1170,$M$4))</f>
        <v/>
      </c>
      <c r="C1170" s="1" t="str">
        <f ca="1">IF(A1170="","",[1]!s_dq_close($C$1,A1170,$M$4))</f>
        <v/>
      </c>
      <c r="D1170" s="6" t="str">
        <f ca="1">IF($A1170="","",[1]!s_dq_close(D$1,$A1170,$M$4))</f>
        <v/>
      </c>
      <c r="E1170" s="6" t="str">
        <f ca="1">IF($A1170="","",[1]!s_dq_close(E$1,$A1170,$M$4))</f>
        <v/>
      </c>
      <c r="F1170" s="6" t="str">
        <f ca="1">IF($A1170="","",[1]!s_dq_close(F$1,$A1170,$M$4))</f>
        <v/>
      </c>
      <c r="G1170" s="6"/>
      <c r="H1170" s="6" t="str">
        <f ca="1">IF($A1170="","",[1]!s_dq_close(H$1,$A1170,$M$4))</f>
        <v/>
      </c>
      <c r="I1170" s="6" t="str">
        <f ca="1">IF($A1170="","",[1]!s_dq_close(I$1,$A1170,$M$4))</f>
        <v/>
      </c>
      <c r="J1170" s="6" t="str">
        <f t="shared" ca="1" si="19"/>
        <v/>
      </c>
    </row>
    <row r="1171" spans="1:10">
      <c r="A1171" s="2" t="str">
        <f ca="1">IF(A1170="","",IF(IF(价差分析!$W$4="日",--[1]!td(A1170-1),IF(价差分析!$W$4="周",--[1]!td(A1170-7),--[1]!td(A1170-30)))-价差分析!$T$4&gt;0,IF(价差分析!$W$4="日",--[1]!td(A1170-1),IF(价差分析!$W$4="周",--[1]!td(A1170-7),--[1]!td(A1170-30))),""))</f>
        <v/>
      </c>
      <c r="B1171" s="1" t="str">
        <f ca="1">IF(A1171="","",[1]!s_dq_close($B$1,A1171,$M$4))</f>
        <v/>
      </c>
      <c r="C1171" s="1" t="str">
        <f ca="1">IF(A1171="","",[1]!s_dq_close($C$1,A1171,$M$4))</f>
        <v/>
      </c>
      <c r="D1171" s="6" t="str">
        <f ca="1">IF($A1171="","",[1]!s_dq_close(D$1,$A1171,$M$4))</f>
        <v/>
      </c>
      <c r="E1171" s="6" t="str">
        <f ca="1">IF($A1171="","",[1]!s_dq_close(E$1,$A1171,$M$4))</f>
        <v/>
      </c>
      <c r="F1171" s="6" t="str">
        <f ca="1">IF($A1171="","",[1]!s_dq_close(F$1,$A1171,$M$4))</f>
        <v/>
      </c>
      <c r="G1171" s="6"/>
      <c r="H1171" s="6" t="str">
        <f ca="1">IF($A1171="","",[1]!s_dq_close(H$1,$A1171,$M$4))</f>
        <v/>
      </c>
      <c r="I1171" s="6" t="str">
        <f ca="1">IF($A1171="","",[1]!s_dq_close(I$1,$A1171,$M$4))</f>
        <v/>
      </c>
      <c r="J1171" s="6" t="str">
        <f t="shared" ca="1" si="19"/>
        <v/>
      </c>
    </row>
    <row r="1172" spans="1:10">
      <c r="A1172" s="2" t="str">
        <f ca="1">IF(A1171="","",IF(IF(价差分析!$W$4="日",--[1]!td(A1171-1),IF(价差分析!$W$4="周",--[1]!td(A1171-7),--[1]!td(A1171-30)))-价差分析!$T$4&gt;0,IF(价差分析!$W$4="日",--[1]!td(A1171-1),IF(价差分析!$W$4="周",--[1]!td(A1171-7),--[1]!td(A1171-30))),""))</f>
        <v/>
      </c>
      <c r="B1172" s="1" t="str">
        <f ca="1">IF(A1172="","",[1]!s_dq_close($B$1,A1172,$M$4))</f>
        <v/>
      </c>
      <c r="C1172" s="1" t="str">
        <f ca="1">IF(A1172="","",[1]!s_dq_close($C$1,A1172,$M$4))</f>
        <v/>
      </c>
      <c r="D1172" s="6" t="str">
        <f ca="1">IF($A1172="","",[1]!s_dq_close(D$1,$A1172,$M$4))</f>
        <v/>
      </c>
      <c r="E1172" s="6" t="str">
        <f ca="1">IF($A1172="","",[1]!s_dq_close(E$1,$A1172,$M$4))</f>
        <v/>
      </c>
      <c r="F1172" s="6" t="str">
        <f ca="1">IF($A1172="","",[1]!s_dq_close(F$1,$A1172,$M$4))</f>
        <v/>
      </c>
      <c r="G1172" s="6"/>
      <c r="H1172" s="6" t="str">
        <f ca="1">IF($A1172="","",[1]!s_dq_close(H$1,$A1172,$M$4))</f>
        <v/>
      </c>
      <c r="I1172" s="6" t="str">
        <f ca="1">IF($A1172="","",[1]!s_dq_close(I$1,$A1172,$M$4))</f>
        <v/>
      </c>
      <c r="J1172" s="6" t="str">
        <f t="shared" ca="1" si="19"/>
        <v/>
      </c>
    </row>
    <row r="1173" spans="1:10">
      <c r="A1173" s="2" t="str">
        <f ca="1">IF(A1172="","",IF(IF(价差分析!$W$4="日",--[1]!td(A1172-1),IF(价差分析!$W$4="周",--[1]!td(A1172-7),--[1]!td(A1172-30)))-价差分析!$T$4&gt;0,IF(价差分析!$W$4="日",--[1]!td(A1172-1),IF(价差分析!$W$4="周",--[1]!td(A1172-7),--[1]!td(A1172-30))),""))</f>
        <v/>
      </c>
      <c r="B1173" s="1" t="str">
        <f ca="1">IF(A1173="","",[1]!s_dq_close($B$1,A1173,$M$4))</f>
        <v/>
      </c>
      <c r="C1173" s="1" t="str">
        <f ca="1">IF(A1173="","",[1]!s_dq_close($C$1,A1173,$M$4))</f>
        <v/>
      </c>
      <c r="D1173" s="6" t="str">
        <f ca="1">IF($A1173="","",[1]!s_dq_close(D$1,$A1173,$M$4))</f>
        <v/>
      </c>
      <c r="E1173" s="6" t="str">
        <f ca="1">IF($A1173="","",[1]!s_dq_close(E$1,$A1173,$M$4))</f>
        <v/>
      </c>
      <c r="F1173" s="6" t="str">
        <f ca="1">IF($A1173="","",[1]!s_dq_close(F$1,$A1173,$M$4))</f>
        <v/>
      </c>
      <c r="G1173" s="6"/>
      <c r="H1173" s="6" t="str">
        <f ca="1">IF($A1173="","",[1]!s_dq_close(H$1,$A1173,$M$4))</f>
        <v/>
      </c>
      <c r="I1173" s="6" t="str">
        <f ca="1">IF($A1173="","",[1]!s_dq_close(I$1,$A1173,$M$4))</f>
        <v/>
      </c>
      <c r="J1173" s="6" t="str">
        <f t="shared" ca="1" si="19"/>
        <v/>
      </c>
    </row>
    <row r="1174" spans="1:10">
      <c r="A1174" s="2" t="str">
        <f ca="1">IF(A1173="","",IF(IF(价差分析!$W$4="日",--[1]!td(A1173-1),IF(价差分析!$W$4="周",--[1]!td(A1173-7),--[1]!td(A1173-30)))-价差分析!$T$4&gt;0,IF(价差分析!$W$4="日",--[1]!td(A1173-1),IF(价差分析!$W$4="周",--[1]!td(A1173-7),--[1]!td(A1173-30))),""))</f>
        <v/>
      </c>
      <c r="B1174" s="1" t="str">
        <f ca="1">IF(A1174="","",[1]!s_dq_close($B$1,A1174,$M$4))</f>
        <v/>
      </c>
      <c r="C1174" s="1" t="str">
        <f ca="1">IF(A1174="","",[1]!s_dq_close($C$1,A1174,$M$4))</f>
        <v/>
      </c>
      <c r="D1174" s="6" t="str">
        <f ca="1">IF($A1174="","",[1]!s_dq_close(D$1,$A1174,$M$4))</f>
        <v/>
      </c>
      <c r="E1174" s="6" t="str">
        <f ca="1">IF($A1174="","",[1]!s_dq_close(E$1,$A1174,$M$4))</f>
        <v/>
      </c>
      <c r="F1174" s="6" t="str">
        <f ca="1">IF($A1174="","",[1]!s_dq_close(F$1,$A1174,$M$4))</f>
        <v/>
      </c>
      <c r="G1174" s="6"/>
      <c r="H1174" s="6" t="str">
        <f ca="1">IF($A1174="","",[1]!s_dq_close(H$1,$A1174,$M$4))</f>
        <v/>
      </c>
      <c r="I1174" s="6" t="str">
        <f ca="1">IF($A1174="","",[1]!s_dq_close(I$1,$A1174,$M$4))</f>
        <v/>
      </c>
      <c r="J1174" s="6" t="str">
        <f t="shared" ca="1" si="19"/>
        <v/>
      </c>
    </row>
    <row r="1175" spans="1:10">
      <c r="A1175" s="2" t="str">
        <f ca="1">IF(A1174="","",IF(IF(价差分析!$W$4="日",--[1]!td(A1174-1),IF(价差分析!$W$4="周",--[1]!td(A1174-7),--[1]!td(A1174-30)))-价差分析!$T$4&gt;0,IF(价差分析!$W$4="日",--[1]!td(A1174-1),IF(价差分析!$W$4="周",--[1]!td(A1174-7),--[1]!td(A1174-30))),""))</f>
        <v/>
      </c>
      <c r="B1175" s="1" t="str">
        <f ca="1">IF(A1175="","",[1]!s_dq_close($B$1,A1175,$M$4))</f>
        <v/>
      </c>
      <c r="C1175" s="1" t="str">
        <f ca="1">IF(A1175="","",[1]!s_dq_close($C$1,A1175,$M$4))</f>
        <v/>
      </c>
      <c r="D1175" s="6" t="str">
        <f ca="1">IF($A1175="","",[1]!s_dq_close(D$1,$A1175,$M$4))</f>
        <v/>
      </c>
      <c r="E1175" s="6" t="str">
        <f ca="1">IF($A1175="","",[1]!s_dq_close(E$1,$A1175,$M$4))</f>
        <v/>
      </c>
      <c r="F1175" s="6" t="str">
        <f ca="1">IF($A1175="","",[1]!s_dq_close(F$1,$A1175,$M$4))</f>
        <v/>
      </c>
      <c r="G1175" s="6"/>
      <c r="H1175" s="6" t="str">
        <f ca="1">IF($A1175="","",[1]!s_dq_close(H$1,$A1175,$M$4))</f>
        <v/>
      </c>
      <c r="I1175" s="6" t="str">
        <f ca="1">IF($A1175="","",[1]!s_dq_close(I$1,$A1175,$M$4))</f>
        <v/>
      </c>
      <c r="J1175" s="6" t="str">
        <f t="shared" ca="1" si="19"/>
        <v/>
      </c>
    </row>
    <row r="1176" spans="1:10">
      <c r="A1176" s="2" t="str">
        <f ca="1">IF(A1175="","",IF(IF(价差分析!$W$4="日",--[1]!td(A1175-1),IF(价差分析!$W$4="周",--[1]!td(A1175-7),--[1]!td(A1175-30)))-价差分析!$T$4&gt;0,IF(价差分析!$W$4="日",--[1]!td(A1175-1),IF(价差分析!$W$4="周",--[1]!td(A1175-7),--[1]!td(A1175-30))),""))</f>
        <v/>
      </c>
      <c r="B1176" s="1" t="str">
        <f ca="1">IF(A1176="","",[1]!s_dq_close($B$1,A1176,$M$4))</f>
        <v/>
      </c>
      <c r="C1176" s="1" t="str">
        <f ca="1">IF(A1176="","",[1]!s_dq_close($C$1,A1176,$M$4))</f>
        <v/>
      </c>
      <c r="D1176" s="6" t="str">
        <f ca="1">IF($A1176="","",[1]!s_dq_close(D$1,$A1176,$M$4))</f>
        <v/>
      </c>
      <c r="E1176" s="6" t="str">
        <f ca="1">IF($A1176="","",[1]!s_dq_close(E$1,$A1176,$M$4))</f>
        <v/>
      </c>
      <c r="F1176" s="6" t="str">
        <f ca="1">IF($A1176="","",[1]!s_dq_close(F$1,$A1176,$M$4))</f>
        <v/>
      </c>
      <c r="G1176" s="6"/>
      <c r="H1176" s="6" t="str">
        <f ca="1">IF($A1176="","",[1]!s_dq_close(H$1,$A1176,$M$4))</f>
        <v/>
      </c>
      <c r="I1176" s="6" t="str">
        <f ca="1">IF($A1176="","",[1]!s_dq_close(I$1,$A1176,$M$4))</f>
        <v/>
      </c>
      <c r="J1176" s="6" t="str">
        <f t="shared" ca="1" si="19"/>
        <v/>
      </c>
    </row>
    <row r="1177" spans="1:10">
      <c r="A1177" s="2" t="str">
        <f ca="1">IF(A1176="","",IF(IF(价差分析!$W$4="日",--[1]!td(A1176-1),IF(价差分析!$W$4="周",--[1]!td(A1176-7),--[1]!td(A1176-30)))-价差分析!$T$4&gt;0,IF(价差分析!$W$4="日",--[1]!td(A1176-1),IF(价差分析!$W$4="周",--[1]!td(A1176-7),--[1]!td(A1176-30))),""))</f>
        <v/>
      </c>
      <c r="B1177" s="1" t="str">
        <f ca="1">IF(A1177="","",[1]!s_dq_close($B$1,A1177,$M$4))</f>
        <v/>
      </c>
      <c r="C1177" s="1" t="str">
        <f ca="1">IF(A1177="","",[1]!s_dq_close($C$1,A1177,$M$4))</f>
        <v/>
      </c>
      <c r="D1177" s="6" t="str">
        <f ca="1">IF($A1177="","",[1]!s_dq_close(D$1,$A1177,$M$4))</f>
        <v/>
      </c>
      <c r="E1177" s="6" t="str">
        <f ca="1">IF($A1177="","",[1]!s_dq_close(E$1,$A1177,$M$4))</f>
        <v/>
      </c>
      <c r="F1177" s="6" t="str">
        <f ca="1">IF($A1177="","",[1]!s_dq_close(F$1,$A1177,$M$4))</f>
        <v/>
      </c>
      <c r="G1177" s="6"/>
      <c r="H1177" s="6" t="str">
        <f ca="1">IF($A1177="","",[1]!s_dq_close(H$1,$A1177,$M$4))</f>
        <v/>
      </c>
      <c r="I1177" s="6" t="str">
        <f ca="1">IF($A1177="","",[1]!s_dq_close(I$1,$A1177,$M$4))</f>
        <v/>
      </c>
      <c r="J1177" s="6" t="str">
        <f t="shared" ca="1" si="19"/>
        <v/>
      </c>
    </row>
    <row r="1178" spans="1:10">
      <c r="A1178" s="2" t="str">
        <f ca="1">IF(A1177="","",IF(IF(价差分析!$W$4="日",--[1]!td(A1177-1),IF(价差分析!$W$4="周",--[1]!td(A1177-7),--[1]!td(A1177-30)))-价差分析!$T$4&gt;0,IF(价差分析!$W$4="日",--[1]!td(A1177-1),IF(价差分析!$W$4="周",--[1]!td(A1177-7),--[1]!td(A1177-30))),""))</f>
        <v/>
      </c>
      <c r="B1178" s="1" t="str">
        <f ca="1">IF(A1178="","",[1]!s_dq_close($B$1,A1178,$M$4))</f>
        <v/>
      </c>
      <c r="C1178" s="1" t="str">
        <f ca="1">IF(A1178="","",[1]!s_dq_close($C$1,A1178,$M$4))</f>
        <v/>
      </c>
      <c r="D1178" s="6" t="str">
        <f ca="1">IF($A1178="","",[1]!s_dq_close(D$1,$A1178,$M$4))</f>
        <v/>
      </c>
      <c r="E1178" s="6" t="str">
        <f ca="1">IF($A1178="","",[1]!s_dq_close(E$1,$A1178,$M$4))</f>
        <v/>
      </c>
      <c r="F1178" s="6" t="str">
        <f ca="1">IF($A1178="","",[1]!s_dq_close(F$1,$A1178,$M$4))</f>
        <v/>
      </c>
      <c r="G1178" s="6"/>
      <c r="H1178" s="6" t="str">
        <f ca="1">IF($A1178="","",[1]!s_dq_close(H$1,$A1178,$M$4))</f>
        <v/>
      </c>
      <c r="I1178" s="6" t="str">
        <f ca="1">IF($A1178="","",[1]!s_dq_close(I$1,$A1178,$M$4))</f>
        <v/>
      </c>
      <c r="J1178" s="6" t="str">
        <f t="shared" ca="1" si="19"/>
        <v/>
      </c>
    </row>
    <row r="1179" spans="1:10">
      <c r="A1179" s="2" t="str">
        <f ca="1">IF(A1178="","",IF(IF(价差分析!$W$4="日",--[1]!td(A1178-1),IF(价差分析!$W$4="周",--[1]!td(A1178-7),--[1]!td(A1178-30)))-价差分析!$T$4&gt;0,IF(价差分析!$W$4="日",--[1]!td(A1178-1),IF(价差分析!$W$4="周",--[1]!td(A1178-7),--[1]!td(A1178-30))),""))</f>
        <v/>
      </c>
      <c r="B1179" s="1" t="str">
        <f ca="1">IF(A1179="","",[1]!s_dq_close($B$1,A1179,$M$4))</f>
        <v/>
      </c>
      <c r="C1179" s="1" t="str">
        <f ca="1">IF(A1179="","",[1]!s_dq_close($C$1,A1179,$M$4))</f>
        <v/>
      </c>
      <c r="D1179" s="6" t="str">
        <f ca="1">IF($A1179="","",[1]!s_dq_close(D$1,$A1179,$M$4))</f>
        <v/>
      </c>
      <c r="E1179" s="6" t="str">
        <f ca="1">IF($A1179="","",[1]!s_dq_close(E$1,$A1179,$M$4))</f>
        <v/>
      </c>
      <c r="F1179" s="6" t="str">
        <f ca="1">IF($A1179="","",[1]!s_dq_close(F$1,$A1179,$M$4))</f>
        <v/>
      </c>
      <c r="G1179" s="6"/>
      <c r="H1179" s="6" t="str">
        <f ca="1">IF($A1179="","",[1]!s_dq_close(H$1,$A1179,$M$4))</f>
        <v/>
      </c>
      <c r="I1179" s="6" t="str">
        <f ca="1">IF($A1179="","",[1]!s_dq_close(I$1,$A1179,$M$4))</f>
        <v/>
      </c>
      <c r="J1179" s="6" t="str">
        <f t="shared" ca="1" si="19"/>
        <v/>
      </c>
    </row>
    <row r="1180" spans="1:10">
      <c r="A1180" s="2" t="str">
        <f ca="1">IF(A1179="","",IF(IF(价差分析!$W$4="日",--[1]!td(A1179-1),IF(价差分析!$W$4="周",--[1]!td(A1179-7),--[1]!td(A1179-30)))-价差分析!$T$4&gt;0,IF(价差分析!$W$4="日",--[1]!td(A1179-1),IF(价差分析!$W$4="周",--[1]!td(A1179-7),--[1]!td(A1179-30))),""))</f>
        <v/>
      </c>
      <c r="B1180" s="1" t="str">
        <f ca="1">IF(A1180="","",[1]!s_dq_close($B$1,A1180,$M$4))</f>
        <v/>
      </c>
      <c r="C1180" s="1" t="str">
        <f ca="1">IF(A1180="","",[1]!s_dq_close($C$1,A1180,$M$4))</f>
        <v/>
      </c>
      <c r="D1180" s="6" t="str">
        <f ca="1">IF($A1180="","",[1]!s_dq_close(D$1,$A1180,$M$4))</f>
        <v/>
      </c>
      <c r="E1180" s="6" t="str">
        <f ca="1">IF($A1180="","",[1]!s_dq_close(E$1,$A1180,$M$4))</f>
        <v/>
      </c>
      <c r="F1180" s="6" t="str">
        <f ca="1">IF($A1180="","",[1]!s_dq_close(F$1,$A1180,$M$4))</f>
        <v/>
      </c>
      <c r="G1180" s="6"/>
      <c r="H1180" s="6" t="str">
        <f ca="1">IF($A1180="","",[1]!s_dq_close(H$1,$A1180,$M$4))</f>
        <v/>
      </c>
      <c r="I1180" s="6" t="str">
        <f ca="1">IF($A1180="","",[1]!s_dq_close(I$1,$A1180,$M$4))</f>
        <v/>
      </c>
      <c r="J1180" s="6" t="str">
        <f t="shared" ca="1" si="19"/>
        <v/>
      </c>
    </row>
    <row r="1181" spans="1:10">
      <c r="A1181" s="2" t="str">
        <f ca="1">IF(A1180="","",IF(IF(价差分析!$W$4="日",--[1]!td(A1180-1),IF(价差分析!$W$4="周",--[1]!td(A1180-7),--[1]!td(A1180-30)))-价差分析!$T$4&gt;0,IF(价差分析!$W$4="日",--[1]!td(A1180-1),IF(价差分析!$W$4="周",--[1]!td(A1180-7),--[1]!td(A1180-30))),""))</f>
        <v/>
      </c>
      <c r="B1181" s="1" t="str">
        <f ca="1">IF(A1181="","",[1]!s_dq_close($B$1,A1181,$M$4))</f>
        <v/>
      </c>
      <c r="C1181" s="1" t="str">
        <f ca="1">IF(A1181="","",[1]!s_dq_close($C$1,A1181,$M$4))</f>
        <v/>
      </c>
      <c r="D1181" s="6" t="str">
        <f ca="1">IF($A1181="","",[1]!s_dq_close(D$1,$A1181,$M$4))</f>
        <v/>
      </c>
      <c r="E1181" s="6" t="str">
        <f ca="1">IF($A1181="","",[1]!s_dq_close(E$1,$A1181,$M$4))</f>
        <v/>
      </c>
      <c r="F1181" s="6" t="str">
        <f ca="1">IF($A1181="","",[1]!s_dq_close(F$1,$A1181,$M$4))</f>
        <v/>
      </c>
      <c r="G1181" s="6"/>
      <c r="H1181" s="6" t="str">
        <f ca="1">IF($A1181="","",[1]!s_dq_close(H$1,$A1181,$M$4))</f>
        <v/>
      </c>
      <c r="I1181" s="6" t="str">
        <f ca="1">IF($A1181="","",[1]!s_dq_close(I$1,$A1181,$M$4))</f>
        <v/>
      </c>
      <c r="J1181" s="6" t="str">
        <f t="shared" ca="1" si="19"/>
        <v/>
      </c>
    </row>
    <row r="1182" spans="1:10">
      <c r="A1182" s="2" t="str">
        <f ca="1">IF(A1181="","",IF(IF(价差分析!$W$4="日",--[1]!td(A1181-1),IF(价差分析!$W$4="周",--[1]!td(A1181-7),--[1]!td(A1181-30)))-价差分析!$T$4&gt;0,IF(价差分析!$W$4="日",--[1]!td(A1181-1),IF(价差分析!$W$4="周",--[1]!td(A1181-7),--[1]!td(A1181-30))),""))</f>
        <v/>
      </c>
      <c r="B1182" s="1" t="str">
        <f ca="1">IF(A1182="","",[1]!s_dq_close($B$1,A1182,$M$4))</f>
        <v/>
      </c>
      <c r="C1182" s="1" t="str">
        <f ca="1">IF(A1182="","",[1]!s_dq_close($C$1,A1182,$M$4))</f>
        <v/>
      </c>
      <c r="D1182" s="6" t="str">
        <f ca="1">IF($A1182="","",[1]!s_dq_close(D$1,$A1182,$M$4))</f>
        <v/>
      </c>
      <c r="E1182" s="6" t="str">
        <f ca="1">IF($A1182="","",[1]!s_dq_close(E$1,$A1182,$M$4))</f>
        <v/>
      </c>
      <c r="F1182" s="6" t="str">
        <f ca="1">IF($A1182="","",[1]!s_dq_close(F$1,$A1182,$M$4))</f>
        <v/>
      </c>
      <c r="G1182" s="6"/>
      <c r="H1182" s="6" t="str">
        <f ca="1">IF($A1182="","",[1]!s_dq_close(H$1,$A1182,$M$4))</f>
        <v/>
      </c>
      <c r="I1182" s="6" t="str">
        <f ca="1">IF($A1182="","",[1]!s_dq_close(I$1,$A1182,$M$4))</f>
        <v/>
      </c>
      <c r="J1182" s="6" t="str">
        <f t="shared" ca="1" si="19"/>
        <v/>
      </c>
    </row>
    <row r="1183" spans="1:10">
      <c r="A1183" s="2" t="str">
        <f ca="1">IF(A1182="","",IF(IF(价差分析!$W$4="日",--[1]!td(A1182-1),IF(价差分析!$W$4="周",--[1]!td(A1182-7),--[1]!td(A1182-30)))-价差分析!$T$4&gt;0,IF(价差分析!$W$4="日",--[1]!td(A1182-1),IF(价差分析!$W$4="周",--[1]!td(A1182-7),--[1]!td(A1182-30))),""))</f>
        <v/>
      </c>
      <c r="B1183" s="1" t="str">
        <f ca="1">IF(A1183="","",[1]!s_dq_close($B$1,A1183,$M$4))</f>
        <v/>
      </c>
      <c r="C1183" s="1" t="str">
        <f ca="1">IF(A1183="","",[1]!s_dq_close($C$1,A1183,$M$4))</f>
        <v/>
      </c>
      <c r="D1183" s="6" t="str">
        <f ca="1">IF($A1183="","",[1]!s_dq_close(D$1,$A1183,$M$4))</f>
        <v/>
      </c>
      <c r="E1183" s="6" t="str">
        <f ca="1">IF($A1183="","",[1]!s_dq_close(E$1,$A1183,$M$4))</f>
        <v/>
      </c>
      <c r="F1183" s="6" t="str">
        <f ca="1">IF($A1183="","",[1]!s_dq_close(F$1,$A1183,$M$4))</f>
        <v/>
      </c>
      <c r="G1183" s="6"/>
      <c r="H1183" s="6" t="str">
        <f ca="1">IF($A1183="","",[1]!s_dq_close(H$1,$A1183,$M$4))</f>
        <v/>
      </c>
      <c r="I1183" s="6" t="str">
        <f ca="1">IF($A1183="","",[1]!s_dq_close(I$1,$A1183,$M$4))</f>
        <v/>
      </c>
      <c r="J1183" s="6" t="str">
        <f t="shared" ca="1" si="19"/>
        <v/>
      </c>
    </row>
    <row r="1184" spans="1:10">
      <c r="A1184" s="2" t="str">
        <f ca="1">IF(A1183="","",IF(IF(价差分析!$W$4="日",--[1]!td(A1183-1),IF(价差分析!$W$4="周",--[1]!td(A1183-7),--[1]!td(A1183-30)))-价差分析!$T$4&gt;0,IF(价差分析!$W$4="日",--[1]!td(A1183-1),IF(价差分析!$W$4="周",--[1]!td(A1183-7),--[1]!td(A1183-30))),""))</f>
        <v/>
      </c>
      <c r="B1184" s="1" t="str">
        <f ca="1">IF(A1184="","",[1]!s_dq_close($B$1,A1184,$M$4))</f>
        <v/>
      </c>
      <c r="C1184" s="1" t="str">
        <f ca="1">IF(A1184="","",[1]!s_dq_close($C$1,A1184,$M$4))</f>
        <v/>
      </c>
      <c r="D1184" s="6" t="str">
        <f ca="1">IF($A1184="","",[1]!s_dq_close(D$1,$A1184,$M$4))</f>
        <v/>
      </c>
      <c r="E1184" s="6" t="str">
        <f ca="1">IF($A1184="","",[1]!s_dq_close(E$1,$A1184,$M$4))</f>
        <v/>
      </c>
      <c r="F1184" s="6" t="str">
        <f ca="1">IF($A1184="","",[1]!s_dq_close(F$1,$A1184,$M$4))</f>
        <v/>
      </c>
      <c r="G1184" s="6"/>
      <c r="H1184" s="6" t="str">
        <f ca="1">IF($A1184="","",[1]!s_dq_close(H$1,$A1184,$M$4))</f>
        <v/>
      </c>
      <c r="I1184" s="6" t="str">
        <f ca="1">IF($A1184="","",[1]!s_dq_close(I$1,$A1184,$M$4))</f>
        <v/>
      </c>
      <c r="J1184" s="6" t="str">
        <f t="shared" ca="1" si="19"/>
        <v/>
      </c>
    </row>
    <row r="1185" spans="1:10">
      <c r="A1185" s="2" t="str">
        <f ca="1">IF(A1184="","",IF(IF(价差分析!$W$4="日",--[1]!td(A1184-1),IF(价差分析!$W$4="周",--[1]!td(A1184-7),--[1]!td(A1184-30)))-价差分析!$T$4&gt;0,IF(价差分析!$W$4="日",--[1]!td(A1184-1),IF(价差分析!$W$4="周",--[1]!td(A1184-7),--[1]!td(A1184-30))),""))</f>
        <v/>
      </c>
      <c r="B1185" s="1" t="str">
        <f ca="1">IF(A1185="","",[1]!s_dq_close($B$1,A1185,$M$4))</f>
        <v/>
      </c>
      <c r="C1185" s="1" t="str">
        <f ca="1">IF(A1185="","",[1]!s_dq_close($C$1,A1185,$M$4))</f>
        <v/>
      </c>
      <c r="D1185" s="6" t="str">
        <f ca="1">IF($A1185="","",[1]!s_dq_close(D$1,$A1185,$M$4))</f>
        <v/>
      </c>
      <c r="E1185" s="6" t="str">
        <f ca="1">IF($A1185="","",[1]!s_dq_close(E$1,$A1185,$M$4))</f>
        <v/>
      </c>
      <c r="F1185" s="6" t="str">
        <f ca="1">IF($A1185="","",[1]!s_dq_close(F$1,$A1185,$M$4))</f>
        <v/>
      </c>
      <c r="G1185" s="6"/>
      <c r="H1185" s="6" t="str">
        <f ca="1">IF($A1185="","",[1]!s_dq_close(H$1,$A1185,$M$4))</f>
        <v/>
      </c>
      <c r="I1185" s="6" t="str">
        <f ca="1">IF($A1185="","",[1]!s_dq_close(I$1,$A1185,$M$4))</f>
        <v/>
      </c>
      <c r="J1185" s="6" t="str">
        <f t="shared" ca="1" si="19"/>
        <v/>
      </c>
    </row>
    <row r="1186" spans="1:10">
      <c r="A1186" s="2" t="str">
        <f ca="1">IF(A1185="","",IF(IF(价差分析!$W$4="日",--[1]!td(A1185-1),IF(价差分析!$W$4="周",--[1]!td(A1185-7),--[1]!td(A1185-30)))-价差分析!$T$4&gt;0,IF(价差分析!$W$4="日",--[1]!td(A1185-1),IF(价差分析!$W$4="周",--[1]!td(A1185-7),--[1]!td(A1185-30))),""))</f>
        <v/>
      </c>
      <c r="B1186" s="1" t="str">
        <f ca="1">IF(A1186="","",[1]!s_dq_close($B$1,A1186,$M$4))</f>
        <v/>
      </c>
      <c r="C1186" s="1" t="str">
        <f ca="1">IF(A1186="","",[1]!s_dq_close($C$1,A1186,$M$4))</f>
        <v/>
      </c>
      <c r="D1186" s="6" t="str">
        <f ca="1">IF($A1186="","",[1]!s_dq_close(D$1,$A1186,$M$4))</f>
        <v/>
      </c>
      <c r="E1186" s="6" t="str">
        <f ca="1">IF($A1186="","",[1]!s_dq_close(E$1,$A1186,$M$4))</f>
        <v/>
      </c>
      <c r="F1186" s="6" t="str">
        <f ca="1">IF($A1186="","",[1]!s_dq_close(F$1,$A1186,$M$4))</f>
        <v/>
      </c>
      <c r="G1186" s="6"/>
      <c r="H1186" s="6" t="str">
        <f ca="1">IF($A1186="","",[1]!s_dq_close(H$1,$A1186,$M$4))</f>
        <v/>
      </c>
      <c r="I1186" s="6" t="str">
        <f ca="1">IF($A1186="","",[1]!s_dq_close(I$1,$A1186,$M$4))</f>
        <v/>
      </c>
      <c r="J1186" s="6" t="str">
        <f t="shared" ca="1" si="19"/>
        <v/>
      </c>
    </row>
    <row r="1187" spans="1:10">
      <c r="A1187" s="2" t="str">
        <f ca="1">IF(A1186="","",IF(IF(价差分析!$W$4="日",--[1]!td(A1186-1),IF(价差分析!$W$4="周",--[1]!td(A1186-7),--[1]!td(A1186-30)))-价差分析!$T$4&gt;0,IF(价差分析!$W$4="日",--[1]!td(A1186-1),IF(价差分析!$W$4="周",--[1]!td(A1186-7),--[1]!td(A1186-30))),""))</f>
        <v/>
      </c>
      <c r="B1187" s="1" t="str">
        <f ca="1">IF(A1187="","",[1]!s_dq_close($B$1,A1187,$M$4))</f>
        <v/>
      </c>
      <c r="C1187" s="1" t="str">
        <f ca="1">IF(A1187="","",[1]!s_dq_close($C$1,A1187,$M$4))</f>
        <v/>
      </c>
      <c r="D1187" s="6" t="str">
        <f ca="1">IF($A1187="","",[1]!s_dq_close(D$1,$A1187,$M$4))</f>
        <v/>
      </c>
      <c r="E1187" s="6" t="str">
        <f ca="1">IF($A1187="","",[1]!s_dq_close(E$1,$A1187,$M$4))</f>
        <v/>
      </c>
      <c r="F1187" s="6" t="str">
        <f ca="1">IF($A1187="","",[1]!s_dq_close(F$1,$A1187,$M$4))</f>
        <v/>
      </c>
      <c r="G1187" s="6"/>
      <c r="H1187" s="6" t="str">
        <f ca="1">IF($A1187="","",[1]!s_dq_close(H$1,$A1187,$M$4))</f>
        <v/>
      </c>
      <c r="I1187" s="6" t="str">
        <f ca="1">IF($A1187="","",[1]!s_dq_close(I$1,$A1187,$M$4))</f>
        <v/>
      </c>
      <c r="J1187" s="6" t="str">
        <f t="shared" ca="1" si="19"/>
        <v/>
      </c>
    </row>
    <row r="1188" spans="1:10">
      <c r="A1188" s="2" t="str">
        <f ca="1">IF(A1187="","",IF(IF(价差分析!$W$4="日",--[1]!td(A1187-1),IF(价差分析!$W$4="周",--[1]!td(A1187-7),--[1]!td(A1187-30)))-价差分析!$T$4&gt;0,IF(价差分析!$W$4="日",--[1]!td(A1187-1),IF(价差分析!$W$4="周",--[1]!td(A1187-7),--[1]!td(A1187-30))),""))</f>
        <v/>
      </c>
      <c r="B1188" s="1" t="str">
        <f ca="1">IF(A1188="","",[1]!s_dq_close($B$1,A1188,$M$4))</f>
        <v/>
      </c>
      <c r="C1188" s="1" t="str">
        <f ca="1">IF(A1188="","",[1]!s_dq_close($C$1,A1188,$M$4))</f>
        <v/>
      </c>
      <c r="D1188" s="6" t="str">
        <f ca="1">IF($A1188="","",[1]!s_dq_close(D$1,$A1188,$M$4))</f>
        <v/>
      </c>
      <c r="E1188" s="6" t="str">
        <f ca="1">IF($A1188="","",[1]!s_dq_close(E$1,$A1188,$M$4))</f>
        <v/>
      </c>
      <c r="F1188" s="6" t="str">
        <f ca="1">IF($A1188="","",[1]!s_dq_close(F$1,$A1188,$M$4))</f>
        <v/>
      </c>
      <c r="G1188" s="6"/>
      <c r="H1188" s="6" t="str">
        <f ca="1">IF($A1188="","",[1]!s_dq_close(H$1,$A1188,$M$4))</f>
        <v/>
      </c>
      <c r="I1188" s="6" t="str">
        <f ca="1">IF($A1188="","",[1]!s_dq_close(I$1,$A1188,$M$4))</f>
        <v/>
      </c>
      <c r="J1188" s="6" t="str">
        <f t="shared" ca="1" si="19"/>
        <v/>
      </c>
    </row>
    <row r="1189" spans="1:10">
      <c r="A1189" s="2" t="str">
        <f ca="1">IF(A1188="","",IF(IF(价差分析!$W$4="日",--[1]!td(A1188-1),IF(价差分析!$W$4="周",--[1]!td(A1188-7),--[1]!td(A1188-30)))-价差分析!$T$4&gt;0,IF(价差分析!$W$4="日",--[1]!td(A1188-1),IF(价差分析!$W$4="周",--[1]!td(A1188-7),--[1]!td(A1188-30))),""))</f>
        <v/>
      </c>
      <c r="B1189" s="1" t="str">
        <f ca="1">IF(A1189="","",[1]!s_dq_close($B$1,A1189,$M$4))</f>
        <v/>
      </c>
      <c r="C1189" s="1" t="str">
        <f ca="1">IF(A1189="","",[1]!s_dq_close($C$1,A1189,$M$4))</f>
        <v/>
      </c>
      <c r="D1189" s="6" t="str">
        <f ca="1">IF($A1189="","",[1]!s_dq_close(D$1,$A1189,$M$4))</f>
        <v/>
      </c>
      <c r="E1189" s="6" t="str">
        <f ca="1">IF($A1189="","",[1]!s_dq_close(E$1,$A1189,$M$4))</f>
        <v/>
      </c>
      <c r="F1189" s="6" t="str">
        <f ca="1">IF($A1189="","",[1]!s_dq_close(F$1,$A1189,$M$4))</f>
        <v/>
      </c>
      <c r="G1189" s="6"/>
      <c r="H1189" s="6" t="str">
        <f ca="1">IF($A1189="","",[1]!s_dq_close(H$1,$A1189,$M$4))</f>
        <v/>
      </c>
      <c r="I1189" s="6" t="str">
        <f ca="1">IF($A1189="","",[1]!s_dq_close(I$1,$A1189,$M$4))</f>
        <v/>
      </c>
      <c r="J1189" s="6" t="str">
        <f t="shared" ca="1" si="19"/>
        <v/>
      </c>
    </row>
    <row r="1190" spans="1:10">
      <c r="A1190" s="2" t="str">
        <f ca="1">IF(A1189="","",IF(IF(价差分析!$W$4="日",--[1]!td(A1189-1),IF(价差分析!$W$4="周",--[1]!td(A1189-7),--[1]!td(A1189-30)))-价差分析!$T$4&gt;0,IF(价差分析!$W$4="日",--[1]!td(A1189-1),IF(价差分析!$W$4="周",--[1]!td(A1189-7),--[1]!td(A1189-30))),""))</f>
        <v/>
      </c>
      <c r="B1190" s="1" t="str">
        <f ca="1">IF(A1190="","",[1]!s_dq_close($B$1,A1190,$M$4))</f>
        <v/>
      </c>
      <c r="C1190" s="1" t="str">
        <f ca="1">IF(A1190="","",[1]!s_dq_close($C$1,A1190,$M$4))</f>
        <v/>
      </c>
      <c r="D1190" s="6" t="str">
        <f ca="1">IF($A1190="","",[1]!s_dq_close(D$1,$A1190,$M$4))</f>
        <v/>
      </c>
      <c r="E1190" s="6" t="str">
        <f ca="1">IF($A1190="","",[1]!s_dq_close(E$1,$A1190,$M$4))</f>
        <v/>
      </c>
      <c r="F1190" s="6" t="str">
        <f ca="1">IF($A1190="","",[1]!s_dq_close(F$1,$A1190,$M$4))</f>
        <v/>
      </c>
      <c r="G1190" s="6"/>
      <c r="H1190" s="6" t="str">
        <f ca="1">IF($A1190="","",[1]!s_dq_close(H$1,$A1190,$M$4))</f>
        <v/>
      </c>
      <c r="I1190" s="6" t="str">
        <f ca="1">IF($A1190="","",[1]!s_dq_close(I$1,$A1190,$M$4))</f>
        <v/>
      </c>
      <c r="J1190" s="6" t="str">
        <f t="shared" ca="1" si="19"/>
        <v/>
      </c>
    </row>
    <row r="1191" spans="1:10">
      <c r="A1191" s="2" t="str">
        <f ca="1">IF(A1190="","",IF(IF(价差分析!$W$4="日",--[1]!td(A1190-1),IF(价差分析!$W$4="周",--[1]!td(A1190-7),--[1]!td(A1190-30)))-价差分析!$T$4&gt;0,IF(价差分析!$W$4="日",--[1]!td(A1190-1),IF(价差分析!$W$4="周",--[1]!td(A1190-7),--[1]!td(A1190-30))),""))</f>
        <v/>
      </c>
      <c r="B1191" s="1" t="str">
        <f ca="1">IF(A1191="","",[1]!s_dq_close($B$1,A1191,$M$4))</f>
        <v/>
      </c>
      <c r="C1191" s="1" t="str">
        <f ca="1">IF(A1191="","",[1]!s_dq_close($C$1,A1191,$M$4))</f>
        <v/>
      </c>
      <c r="D1191" s="6" t="str">
        <f ca="1">IF($A1191="","",[1]!s_dq_close(D$1,$A1191,$M$4))</f>
        <v/>
      </c>
      <c r="E1191" s="6" t="str">
        <f ca="1">IF($A1191="","",[1]!s_dq_close(E$1,$A1191,$M$4))</f>
        <v/>
      </c>
      <c r="F1191" s="6" t="str">
        <f ca="1">IF($A1191="","",[1]!s_dq_close(F$1,$A1191,$M$4))</f>
        <v/>
      </c>
      <c r="G1191" s="6"/>
      <c r="H1191" s="6" t="str">
        <f ca="1">IF($A1191="","",[1]!s_dq_close(H$1,$A1191,$M$4))</f>
        <v/>
      </c>
      <c r="I1191" s="6" t="str">
        <f ca="1">IF($A1191="","",[1]!s_dq_close(I$1,$A1191,$M$4))</f>
        <v/>
      </c>
      <c r="J1191" s="6" t="str">
        <f t="shared" ca="1" si="19"/>
        <v/>
      </c>
    </row>
    <row r="1192" spans="1:10">
      <c r="A1192" s="2" t="str">
        <f ca="1">IF(A1191="","",IF(IF(价差分析!$W$4="日",--[1]!td(A1191-1),IF(价差分析!$W$4="周",--[1]!td(A1191-7),--[1]!td(A1191-30)))-价差分析!$T$4&gt;0,IF(价差分析!$W$4="日",--[1]!td(A1191-1),IF(价差分析!$W$4="周",--[1]!td(A1191-7),--[1]!td(A1191-30))),""))</f>
        <v/>
      </c>
      <c r="B1192" s="1" t="str">
        <f ca="1">IF(A1192="","",[1]!s_dq_close($B$1,A1192,$M$4))</f>
        <v/>
      </c>
      <c r="C1192" s="1" t="str">
        <f ca="1">IF(A1192="","",[1]!s_dq_close($C$1,A1192,$M$4))</f>
        <v/>
      </c>
      <c r="D1192" s="6" t="str">
        <f ca="1">IF($A1192="","",[1]!s_dq_close(D$1,$A1192,$M$4))</f>
        <v/>
      </c>
      <c r="E1192" s="6" t="str">
        <f ca="1">IF($A1192="","",[1]!s_dq_close(E$1,$A1192,$M$4))</f>
        <v/>
      </c>
      <c r="F1192" s="6" t="str">
        <f ca="1">IF($A1192="","",[1]!s_dq_close(F$1,$A1192,$M$4))</f>
        <v/>
      </c>
      <c r="G1192" s="6"/>
      <c r="H1192" s="6" t="str">
        <f ca="1">IF($A1192="","",[1]!s_dq_close(H$1,$A1192,$M$4))</f>
        <v/>
      </c>
      <c r="I1192" s="6" t="str">
        <f ca="1">IF($A1192="","",[1]!s_dq_close(I$1,$A1192,$M$4))</f>
        <v/>
      </c>
      <c r="J1192" s="6" t="str">
        <f t="shared" ca="1" si="19"/>
        <v/>
      </c>
    </row>
    <row r="1193" spans="1:10">
      <c r="A1193" s="2" t="str">
        <f ca="1">IF(A1192="","",IF(IF(价差分析!$W$4="日",--[1]!td(A1192-1),IF(价差分析!$W$4="周",--[1]!td(A1192-7),--[1]!td(A1192-30)))-价差分析!$T$4&gt;0,IF(价差分析!$W$4="日",--[1]!td(A1192-1),IF(价差分析!$W$4="周",--[1]!td(A1192-7),--[1]!td(A1192-30))),""))</f>
        <v/>
      </c>
      <c r="B1193" s="1" t="str">
        <f ca="1">IF(A1193="","",[1]!s_dq_close($B$1,A1193,$M$4))</f>
        <v/>
      </c>
      <c r="C1193" s="1" t="str">
        <f ca="1">IF(A1193="","",[1]!s_dq_close($C$1,A1193,$M$4))</f>
        <v/>
      </c>
      <c r="D1193" s="6" t="str">
        <f ca="1">IF($A1193="","",[1]!s_dq_close(D$1,$A1193,$M$4))</f>
        <v/>
      </c>
      <c r="E1193" s="6" t="str">
        <f ca="1">IF($A1193="","",[1]!s_dq_close(E$1,$A1193,$M$4))</f>
        <v/>
      </c>
      <c r="F1193" s="6" t="str">
        <f ca="1">IF($A1193="","",[1]!s_dq_close(F$1,$A1193,$M$4))</f>
        <v/>
      </c>
      <c r="G1193" s="6"/>
      <c r="H1193" s="6" t="str">
        <f ca="1">IF($A1193="","",[1]!s_dq_close(H$1,$A1193,$M$4))</f>
        <v/>
      </c>
      <c r="I1193" s="6" t="str">
        <f ca="1">IF($A1193="","",[1]!s_dq_close(I$1,$A1193,$M$4))</f>
        <v/>
      </c>
      <c r="J1193" s="6" t="str">
        <f t="shared" ca="1" si="19"/>
        <v/>
      </c>
    </row>
    <row r="1194" spans="1:10">
      <c r="A1194" s="2" t="str">
        <f ca="1">IF(A1193="","",IF(IF(价差分析!$W$4="日",--[1]!td(A1193-1),IF(价差分析!$W$4="周",--[1]!td(A1193-7),--[1]!td(A1193-30)))-价差分析!$T$4&gt;0,IF(价差分析!$W$4="日",--[1]!td(A1193-1),IF(价差分析!$W$4="周",--[1]!td(A1193-7),--[1]!td(A1193-30))),""))</f>
        <v/>
      </c>
      <c r="B1194" s="1" t="str">
        <f ca="1">IF(A1194="","",[1]!s_dq_close($B$1,A1194,$M$4))</f>
        <v/>
      </c>
      <c r="C1194" s="1" t="str">
        <f ca="1">IF(A1194="","",[1]!s_dq_close($C$1,A1194,$M$4))</f>
        <v/>
      </c>
      <c r="D1194" s="6" t="str">
        <f ca="1">IF($A1194="","",[1]!s_dq_close(D$1,$A1194,$M$4))</f>
        <v/>
      </c>
      <c r="E1194" s="6" t="str">
        <f ca="1">IF($A1194="","",[1]!s_dq_close(E$1,$A1194,$M$4))</f>
        <v/>
      </c>
      <c r="F1194" s="6" t="str">
        <f ca="1">IF($A1194="","",[1]!s_dq_close(F$1,$A1194,$M$4))</f>
        <v/>
      </c>
      <c r="G1194" s="6"/>
      <c r="H1194" s="6" t="str">
        <f ca="1">IF($A1194="","",[1]!s_dq_close(H$1,$A1194,$M$4))</f>
        <v/>
      </c>
      <c r="I1194" s="6" t="str">
        <f ca="1">IF($A1194="","",[1]!s_dq_close(I$1,$A1194,$M$4))</f>
        <v/>
      </c>
      <c r="J1194" s="6" t="str">
        <f t="shared" ca="1" si="19"/>
        <v/>
      </c>
    </row>
    <row r="1195" spans="1:10">
      <c r="A1195" s="2" t="str">
        <f ca="1">IF(A1194="","",IF(IF(价差分析!$W$4="日",--[1]!td(A1194-1),IF(价差分析!$W$4="周",--[1]!td(A1194-7),--[1]!td(A1194-30)))-价差分析!$T$4&gt;0,IF(价差分析!$W$4="日",--[1]!td(A1194-1),IF(价差分析!$W$4="周",--[1]!td(A1194-7),--[1]!td(A1194-30))),""))</f>
        <v/>
      </c>
      <c r="B1195" s="1" t="str">
        <f ca="1">IF(A1195="","",[1]!s_dq_close($B$1,A1195,$M$4))</f>
        <v/>
      </c>
      <c r="C1195" s="1" t="str">
        <f ca="1">IF(A1195="","",[1]!s_dq_close($C$1,A1195,$M$4))</f>
        <v/>
      </c>
      <c r="D1195" s="6" t="str">
        <f ca="1">IF($A1195="","",[1]!s_dq_close(D$1,$A1195,$M$4))</f>
        <v/>
      </c>
      <c r="E1195" s="6" t="str">
        <f ca="1">IF($A1195="","",[1]!s_dq_close(E$1,$A1195,$M$4))</f>
        <v/>
      </c>
      <c r="F1195" s="6" t="str">
        <f ca="1">IF($A1195="","",[1]!s_dq_close(F$1,$A1195,$M$4))</f>
        <v/>
      </c>
      <c r="G1195" s="6"/>
      <c r="H1195" s="6" t="str">
        <f ca="1">IF($A1195="","",[1]!s_dq_close(H$1,$A1195,$M$4))</f>
        <v/>
      </c>
      <c r="I1195" s="6" t="str">
        <f ca="1">IF($A1195="","",[1]!s_dq_close(I$1,$A1195,$M$4))</f>
        <v/>
      </c>
      <c r="J1195" s="6" t="str">
        <f t="shared" ca="1" si="19"/>
        <v/>
      </c>
    </row>
    <row r="1196" spans="1:10">
      <c r="A1196" s="2" t="str">
        <f ca="1">IF(A1195="","",IF(IF(价差分析!$W$4="日",--[1]!td(A1195-1),IF(价差分析!$W$4="周",--[1]!td(A1195-7),--[1]!td(A1195-30)))-价差分析!$T$4&gt;0,IF(价差分析!$W$4="日",--[1]!td(A1195-1),IF(价差分析!$W$4="周",--[1]!td(A1195-7),--[1]!td(A1195-30))),""))</f>
        <v/>
      </c>
      <c r="B1196" s="1" t="str">
        <f ca="1">IF(A1196="","",[1]!s_dq_close($B$1,A1196,$M$4))</f>
        <v/>
      </c>
      <c r="C1196" s="1" t="str">
        <f ca="1">IF(A1196="","",[1]!s_dq_close($C$1,A1196,$M$4))</f>
        <v/>
      </c>
      <c r="D1196" s="6" t="str">
        <f ca="1">IF($A1196="","",[1]!s_dq_close(D$1,$A1196,$M$4))</f>
        <v/>
      </c>
      <c r="E1196" s="6" t="str">
        <f ca="1">IF($A1196="","",[1]!s_dq_close(E$1,$A1196,$M$4))</f>
        <v/>
      </c>
      <c r="F1196" s="6" t="str">
        <f ca="1">IF($A1196="","",[1]!s_dq_close(F$1,$A1196,$M$4))</f>
        <v/>
      </c>
      <c r="G1196" s="6"/>
      <c r="H1196" s="6" t="str">
        <f ca="1">IF($A1196="","",[1]!s_dq_close(H$1,$A1196,$M$4))</f>
        <v/>
      </c>
      <c r="I1196" s="6" t="str">
        <f ca="1">IF($A1196="","",[1]!s_dq_close(I$1,$A1196,$M$4))</f>
        <v/>
      </c>
      <c r="J1196" s="6" t="str">
        <f t="shared" ca="1" si="19"/>
        <v/>
      </c>
    </row>
    <row r="1197" spans="1:10">
      <c r="A1197" s="2" t="str">
        <f ca="1">IF(A1196="","",IF(IF(价差分析!$W$4="日",--[1]!td(A1196-1),IF(价差分析!$W$4="周",--[1]!td(A1196-7),--[1]!td(A1196-30)))-价差分析!$T$4&gt;0,IF(价差分析!$W$4="日",--[1]!td(A1196-1),IF(价差分析!$W$4="周",--[1]!td(A1196-7),--[1]!td(A1196-30))),""))</f>
        <v/>
      </c>
      <c r="B1197" s="1" t="str">
        <f ca="1">IF(A1197="","",[1]!s_dq_close($B$1,A1197,$M$4))</f>
        <v/>
      </c>
      <c r="C1197" s="1" t="str">
        <f ca="1">IF(A1197="","",[1]!s_dq_close($C$1,A1197,$M$4))</f>
        <v/>
      </c>
      <c r="D1197" s="6" t="str">
        <f ca="1">IF($A1197="","",[1]!s_dq_close(D$1,$A1197,$M$4))</f>
        <v/>
      </c>
      <c r="E1197" s="6" t="str">
        <f ca="1">IF($A1197="","",[1]!s_dq_close(E$1,$A1197,$M$4))</f>
        <v/>
      </c>
      <c r="F1197" s="6" t="str">
        <f ca="1">IF($A1197="","",[1]!s_dq_close(F$1,$A1197,$M$4))</f>
        <v/>
      </c>
      <c r="G1197" s="6"/>
      <c r="H1197" s="6" t="str">
        <f ca="1">IF($A1197="","",[1]!s_dq_close(H$1,$A1197,$M$4))</f>
        <v/>
      </c>
      <c r="I1197" s="6" t="str">
        <f ca="1">IF($A1197="","",[1]!s_dq_close(I$1,$A1197,$M$4))</f>
        <v/>
      </c>
      <c r="J1197" s="6" t="str">
        <f t="shared" ca="1" si="19"/>
        <v/>
      </c>
    </row>
    <row r="1198" spans="1:10">
      <c r="A1198" s="2" t="str">
        <f ca="1">IF(A1197="","",IF(IF(价差分析!$W$4="日",--[1]!td(A1197-1),IF(价差分析!$W$4="周",--[1]!td(A1197-7),--[1]!td(A1197-30)))-价差分析!$T$4&gt;0,IF(价差分析!$W$4="日",--[1]!td(A1197-1),IF(价差分析!$W$4="周",--[1]!td(A1197-7),--[1]!td(A1197-30))),""))</f>
        <v/>
      </c>
      <c r="B1198" s="1" t="str">
        <f ca="1">IF(A1198="","",[1]!s_dq_close($B$1,A1198,$M$4))</f>
        <v/>
      </c>
      <c r="C1198" s="1" t="str">
        <f ca="1">IF(A1198="","",[1]!s_dq_close($C$1,A1198,$M$4))</f>
        <v/>
      </c>
      <c r="D1198" s="6" t="str">
        <f ca="1">IF($A1198="","",[1]!s_dq_close(D$1,$A1198,$M$4))</f>
        <v/>
      </c>
      <c r="E1198" s="6" t="str">
        <f ca="1">IF($A1198="","",[1]!s_dq_close(E$1,$A1198,$M$4))</f>
        <v/>
      </c>
      <c r="F1198" s="6" t="str">
        <f ca="1">IF($A1198="","",[1]!s_dq_close(F$1,$A1198,$M$4))</f>
        <v/>
      </c>
      <c r="G1198" s="6"/>
      <c r="H1198" s="6" t="str">
        <f ca="1">IF($A1198="","",[1]!s_dq_close(H$1,$A1198,$M$4))</f>
        <v/>
      </c>
      <c r="I1198" s="6" t="str">
        <f ca="1">IF($A1198="","",[1]!s_dq_close(I$1,$A1198,$M$4))</f>
        <v/>
      </c>
      <c r="J1198" s="6" t="str">
        <f t="shared" ca="1" si="19"/>
        <v/>
      </c>
    </row>
    <row r="1199" spans="1:10">
      <c r="A1199" s="2" t="str">
        <f ca="1">IF(A1198="","",IF(IF(价差分析!$W$4="日",--[1]!td(A1198-1),IF(价差分析!$W$4="周",--[1]!td(A1198-7),--[1]!td(A1198-30)))-价差分析!$T$4&gt;0,IF(价差分析!$W$4="日",--[1]!td(A1198-1),IF(价差分析!$W$4="周",--[1]!td(A1198-7),--[1]!td(A1198-30))),""))</f>
        <v/>
      </c>
      <c r="B1199" s="1" t="str">
        <f ca="1">IF(A1199="","",[1]!s_dq_close($B$1,A1199,$M$4))</f>
        <v/>
      </c>
      <c r="C1199" s="1" t="str">
        <f ca="1">IF(A1199="","",[1]!s_dq_close($C$1,A1199,$M$4))</f>
        <v/>
      </c>
      <c r="D1199" s="6" t="str">
        <f ca="1">IF($A1199="","",[1]!s_dq_close(D$1,$A1199,$M$4))</f>
        <v/>
      </c>
      <c r="E1199" s="6" t="str">
        <f ca="1">IF($A1199="","",[1]!s_dq_close(E$1,$A1199,$M$4))</f>
        <v/>
      </c>
      <c r="F1199" s="6" t="str">
        <f ca="1">IF($A1199="","",[1]!s_dq_close(F$1,$A1199,$M$4))</f>
        <v/>
      </c>
      <c r="G1199" s="6"/>
      <c r="H1199" s="6" t="str">
        <f ca="1">IF($A1199="","",[1]!s_dq_close(H$1,$A1199,$M$4))</f>
        <v/>
      </c>
      <c r="I1199" s="6" t="str">
        <f ca="1">IF($A1199="","",[1]!s_dq_close(I$1,$A1199,$M$4))</f>
        <v/>
      </c>
      <c r="J1199" s="6" t="str">
        <f t="shared" ca="1" si="19"/>
        <v/>
      </c>
    </row>
    <row r="1200" spans="1:10">
      <c r="A1200" s="2" t="str">
        <f ca="1">IF(A1199="","",IF(IF(价差分析!$W$4="日",--[1]!td(A1199-1),IF(价差分析!$W$4="周",--[1]!td(A1199-7),--[1]!td(A1199-30)))-价差分析!$T$4&gt;0,IF(价差分析!$W$4="日",--[1]!td(A1199-1),IF(价差分析!$W$4="周",--[1]!td(A1199-7),--[1]!td(A1199-30))),""))</f>
        <v/>
      </c>
      <c r="B1200" s="1" t="str">
        <f ca="1">IF(A1200="","",[1]!s_dq_close($B$1,A1200,$M$4))</f>
        <v/>
      </c>
      <c r="C1200" s="1" t="str">
        <f ca="1">IF(A1200="","",[1]!s_dq_close($C$1,A1200,$M$4))</f>
        <v/>
      </c>
      <c r="D1200" s="6" t="str">
        <f ca="1">IF($A1200="","",[1]!s_dq_close(D$1,$A1200,$M$4))</f>
        <v/>
      </c>
      <c r="E1200" s="6" t="str">
        <f ca="1">IF($A1200="","",[1]!s_dq_close(E$1,$A1200,$M$4))</f>
        <v/>
      </c>
      <c r="F1200" s="6" t="str">
        <f ca="1">IF($A1200="","",[1]!s_dq_close(F$1,$A1200,$M$4))</f>
        <v/>
      </c>
      <c r="G1200" s="6"/>
      <c r="H1200" s="6" t="str">
        <f ca="1">IF($A1200="","",[1]!s_dq_close(H$1,$A1200,$M$4))</f>
        <v/>
      </c>
      <c r="I1200" s="6" t="str">
        <f ca="1">IF($A1200="","",[1]!s_dq_close(I$1,$A1200,$M$4))</f>
        <v/>
      </c>
      <c r="J1200" s="6" t="str">
        <f t="shared" ca="1" si="19"/>
        <v/>
      </c>
    </row>
    <row r="1201" spans="1:10">
      <c r="A1201" s="2" t="str">
        <f ca="1">IF(A1200="","",IF(IF(价差分析!$W$4="日",--[1]!td(A1200-1),IF(价差分析!$W$4="周",--[1]!td(A1200-7),--[1]!td(A1200-30)))-价差分析!$T$4&gt;0,IF(价差分析!$W$4="日",--[1]!td(A1200-1),IF(价差分析!$W$4="周",--[1]!td(A1200-7),--[1]!td(A1200-30))),""))</f>
        <v/>
      </c>
      <c r="B1201" s="1" t="str">
        <f ca="1">IF(A1201="","",[1]!s_dq_close($B$1,A1201,$M$4))</f>
        <v/>
      </c>
      <c r="C1201" s="1" t="str">
        <f ca="1">IF(A1201="","",[1]!s_dq_close($C$1,A1201,$M$4))</f>
        <v/>
      </c>
      <c r="D1201" s="6" t="str">
        <f ca="1">IF($A1201="","",[1]!s_dq_close(D$1,$A1201,$M$4))</f>
        <v/>
      </c>
      <c r="E1201" s="6" t="str">
        <f ca="1">IF($A1201="","",[1]!s_dq_close(E$1,$A1201,$M$4))</f>
        <v/>
      </c>
      <c r="F1201" s="6" t="str">
        <f ca="1">IF($A1201="","",[1]!s_dq_close(F$1,$A1201,$M$4))</f>
        <v/>
      </c>
      <c r="G1201" s="6"/>
      <c r="H1201" s="6" t="str">
        <f ca="1">IF($A1201="","",[1]!s_dq_close(H$1,$A1201,$M$4))</f>
        <v/>
      </c>
      <c r="I1201" s="6" t="str">
        <f ca="1">IF($A1201="","",[1]!s_dq_close(I$1,$A1201,$M$4))</f>
        <v/>
      </c>
      <c r="J1201" s="6" t="str">
        <f t="shared" ca="1" si="19"/>
        <v/>
      </c>
    </row>
    <row r="1202" spans="1:10">
      <c r="A1202" s="2" t="str">
        <f ca="1">IF(A1201="","",IF(IF(价差分析!$W$4="日",--[1]!td(A1201-1),IF(价差分析!$W$4="周",--[1]!td(A1201-7),--[1]!td(A1201-30)))-价差分析!$T$4&gt;0,IF(价差分析!$W$4="日",--[1]!td(A1201-1),IF(价差分析!$W$4="周",--[1]!td(A1201-7),--[1]!td(A1201-30))),""))</f>
        <v/>
      </c>
      <c r="B1202" s="1" t="str">
        <f ca="1">IF(A1202="","",[1]!s_dq_close($B$1,A1202,$M$4))</f>
        <v/>
      </c>
      <c r="C1202" s="1" t="str">
        <f ca="1">IF(A1202="","",[1]!s_dq_close($C$1,A1202,$M$4))</f>
        <v/>
      </c>
      <c r="D1202" s="6" t="str">
        <f ca="1">IF($A1202="","",[1]!s_dq_close(D$1,$A1202,$M$4))</f>
        <v/>
      </c>
      <c r="E1202" s="6" t="str">
        <f ca="1">IF($A1202="","",[1]!s_dq_close(E$1,$A1202,$M$4))</f>
        <v/>
      </c>
      <c r="F1202" s="6" t="str">
        <f ca="1">IF($A1202="","",[1]!s_dq_close(F$1,$A1202,$M$4))</f>
        <v/>
      </c>
      <c r="G1202" s="6"/>
      <c r="H1202" s="6" t="str">
        <f ca="1">IF($A1202="","",[1]!s_dq_close(H$1,$A1202,$M$4))</f>
        <v/>
      </c>
      <c r="I1202" s="6" t="str">
        <f ca="1">IF($A1202="","",[1]!s_dq_close(I$1,$A1202,$M$4))</f>
        <v/>
      </c>
      <c r="J1202" s="6" t="str">
        <f t="shared" ca="1" si="19"/>
        <v/>
      </c>
    </row>
    <row r="1203" spans="1:10">
      <c r="A1203" s="2" t="str">
        <f ca="1">IF(A1202="","",IF(IF(价差分析!$W$4="日",--[1]!td(A1202-1),IF(价差分析!$W$4="周",--[1]!td(A1202-7),--[1]!td(A1202-30)))-价差分析!$T$4&gt;0,IF(价差分析!$W$4="日",--[1]!td(A1202-1),IF(价差分析!$W$4="周",--[1]!td(A1202-7),--[1]!td(A1202-30))),""))</f>
        <v/>
      </c>
      <c r="B1203" s="1" t="str">
        <f ca="1">IF(A1203="","",[1]!s_dq_close($B$1,A1203,$M$4))</f>
        <v/>
      </c>
      <c r="C1203" s="1" t="str">
        <f ca="1">IF(A1203="","",[1]!s_dq_close($C$1,A1203,$M$4))</f>
        <v/>
      </c>
      <c r="D1203" s="6" t="str">
        <f ca="1">IF($A1203="","",[1]!s_dq_close(D$1,$A1203,$M$4))</f>
        <v/>
      </c>
      <c r="E1203" s="6" t="str">
        <f ca="1">IF($A1203="","",[1]!s_dq_close(E$1,$A1203,$M$4))</f>
        <v/>
      </c>
      <c r="F1203" s="6" t="str">
        <f ca="1">IF($A1203="","",[1]!s_dq_close(F$1,$A1203,$M$4))</f>
        <v/>
      </c>
      <c r="G1203" s="6"/>
      <c r="H1203" s="6" t="str">
        <f ca="1">IF($A1203="","",[1]!s_dq_close(H$1,$A1203,$M$4))</f>
        <v/>
      </c>
      <c r="I1203" s="6" t="str">
        <f ca="1">IF($A1203="","",[1]!s_dq_close(I$1,$A1203,$M$4))</f>
        <v/>
      </c>
      <c r="J1203" s="6" t="str">
        <f t="shared" ca="1" si="19"/>
        <v/>
      </c>
    </row>
    <row r="1204" spans="1:10">
      <c r="A1204" s="2" t="str">
        <f ca="1">IF(A1203="","",IF(IF(价差分析!$W$4="日",--[1]!td(A1203-1),IF(价差分析!$W$4="周",--[1]!td(A1203-7),--[1]!td(A1203-30)))-价差分析!$T$4&gt;0,IF(价差分析!$W$4="日",--[1]!td(A1203-1),IF(价差分析!$W$4="周",--[1]!td(A1203-7),--[1]!td(A1203-30))),""))</f>
        <v/>
      </c>
      <c r="B1204" s="1" t="str">
        <f ca="1">IF(A1204="","",[1]!s_dq_close($B$1,A1204,$M$4))</f>
        <v/>
      </c>
      <c r="C1204" s="1" t="str">
        <f ca="1">IF(A1204="","",[1]!s_dq_close($C$1,A1204,$M$4))</f>
        <v/>
      </c>
      <c r="D1204" s="6" t="str">
        <f ca="1">IF($A1204="","",[1]!s_dq_close(D$1,$A1204,$M$4))</f>
        <v/>
      </c>
      <c r="E1204" s="6" t="str">
        <f ca="1">IF($A1204="","",[1]!s_dq_close(E$1,$A1204,$M$4))</f>
        <v/>
      </c>
      <c r="F1204" s="6" t="str">
        <f ca="1">IF($A1204="","",[1]!s_dq_close(F$1,$A1204,$M$4))</f>
        <v/>
      </c>
      <c r="G1204" s="6"/>
      <c r="H1204" s="6" t="str">
        <f ca="1">IF($A1204="","",[1]!s_dq_close(H$1,$A1204,$M$4))</f>
        <v/>
      </c>
      <c r="I1204" s="6" t="str">
        <f ca="1">IF($A1204="","",[1]!s_dq_close(I$1,$A1204,$M$4))</f>
        <v/>
      </c>
      <c r="J1204" s="6" t="str">
        <f t="shared" ca="1" si="19"/>
        <v/>
      </c>
    </row>
    <row r="1205" spans="1:10">
      <c r="A1205" s="2" t="str">
        <f ca="1">IF(A1204="","",IF(IF(价差分析!$W$4="日",--[1]!td(A1204-1),IF(价差分析!$W$4="周",--[1]!td(A1204-7),--[1]!td(A1204-30)))-价差分析!$T$4&gt;0,IF(价差分析!$W$4="日",--[1]!td(A1204-1),IF(价差分析!$W$4="周",--[1]!td(A1204-7),--[1]!td(A1204-30))),""))</f>
        <v/>
      </c>
      <c r="B1205" s="1" t="str">
        <f ca="1">IF(A1205="","",[1]!s_dq_close($B$1,A1205,$M$4))</f>
        <v/>
      </c>
      <c r="C1205" s="1" t="str">
        <f ca="1">IF(A1205="","",[1]!s_dq_close($C$1,A1205,$M$4))</f>
        <v/>
      </c>
      <c r="D1205" s="6" t="str">
        <f ca="1">IF($A1205="","",[1]!s_dq_close(D$1,$A1205,$M$4))</f>
        <v/>
      </c>
      <c r="E1205" s="6" t="str">
        <f ca="1">IF($A1205="","",[1]!s_dq_close(E$1,$A1205,$M$4))</f>
        <v/>
      </c>
      <c r="F1205" s="6" t="str">
        <f ca="1">IF($A1205="","",[1]!s_dq_close(F$1,$A1205,$M$4))</f>
        <v/>
      </c>
      <c r="G1205" s="6"/>
      <c r="H1205" s="6" t="str">
        <f ca="1">IF($A1205="","",[1]!s_dq_close(H$1,$A1205,$M$4))</f>
        <v/>
      </c>
      <c r="I1205" s="6" t="str">
        <f ca="1">IF($A1205="","",[1]!s_dq_close(I$1,$A1205,$M$4))</f>
        <v/>
      </c>
      <c r="J1205" s="6" t="str">
        <f t="shared" ca="1" si="19"/>
        <v/>
      </c>
    </row>
    <row r="1206" spans="1:10">
      <c r="A1206" s="2" t="str">
        <f ca="1">IF(A1205="","",IF(IF(价差分析!$W$4="日",--[1]!td(A1205-1),IF(价差分析!$W$4="周",--[1]!td(A1205-7),--[1]!td(A1205-30)))-价差分析!$T$4&gt;0,IF(价差分析!$W$4="日",--[1]!td(A1205-1),IF(价差分析!$W$4="周",--[1]!td(A1205-7),--[1]!td(A1205-30))),""))</f>
        <v/>
      </c>
      <c r="B1206" s="1" t="str">
        <f ca="1">IF(A1206="","",[1]!s_dq_close($B$1,A1206,$M$4))</f>
        <v/>
      </c>
      <c r="C1206" s="1" t="str">
        <f ca="1">IF(A1206="","",[1]!s_dq_close($C$1,A1206,$M$4))</f>
        <v/>
      </c>
      <c r="D1206" s="6" t="str">
        <f ca="1">IF($A1206="","",[1]!s_dq_close(D$1,$A1206,$M$4))</f>
        <v/>
      </c>
      <c r="E1206" s="6" t="str">
        <f ca="1">IF($A1206="","",[1]!s_dq_close(E$1,$A1206,$M$4))</f>
        <v/>
      </c>
      <c r="F1206" s="6" t="str">
        <f ca="1">IF($A1206="","",[1]!s_dq_close(F$1,$A1206,$M$4))</f>
        <v/>
      </c>
      <c r="G1206" s="6"/>
      <c r="H1206" s="6" t="str">
        <f ca="1">IF($A1206="","",[1]!s_dq_close(H$1,$A1206,$M$4))</f>
        <v/>
      </c>
      <c r="I1206" s="6" t="str">
        <f ca="1">IF($A1206="","",[1]!s_dq_close(I$1,$A1206,$M$4))</f>
        <v/>
      </c>
      <c r="J1206" s="6" t="str">
        <f t="shared" ca="1" si="19"/>
        <v/>
      </c>
    </row>
    <row r="1207" spans="1:10">
      <c r="A1207" s="2" t="str">
        <f ca="1">IF(A1206="","",IF(IF(价差分析!$W$4="日",--[1]!td(A1206-1),IF(价差分析!$W$4="周",--[1]!td(A1206-7),--[1]!td(A1206-30)))-价差分析!$T$4&gt;0,IF(价差分析!$W$4="日",--[1]!td(A1206-1),IF(价差分析!$W$4="周",--[1]!td(A1206-7),--[1]!td(A1206-30))),""))</f>
        <v/>
      </c>
      <c r="B1207" s="1" t="str">
        <f ca="1">IF(A1207="","",[1]!s_dq_close($B$1,A1207,$M$4))</f>
        <v/>
      </c>
      <c r="C1207" s="1" t="str">
        <f ca="1">IF(A1207="","",[1]!s_dq_close($C$1,A1207,$M$4))</f>
        <v/>
      </c>
      <c r="D1207" s="6" t="str">
        <f ca="1">IF($A1207="","",[1]!s_dq_close(D$1,$A1207,$M$4))</f>
        <v/>
      </c>
      <c r="E1207" s="6" t="str">
        <f ca="1">IF($A1207="","",[1]!s_dq_close(E$1,$A1207,$M$4))</f>
        <v/>
      </c>
      <c r="F1207" s="6" t="str">
        <f ca="1">IF($A1207="","",[1]!s_dq_close(F$1,$A1207,$M$4))</f>
        <v/>
      </c>
      <c r="G1207" s="6"/>
      <c r="H1207" s="6" t="str">
        <f ca="1">IF($A1207="","",[1]!s_dq_close(H$1,$A1207,$M$4))</f>
        <v/>
      </c>
      <c r="I1207" s="6" t="str">
        <f ca="1">IF($A1207="","",[1]!s_dq_close(I$1,$A1207,$M$4))</f>
        <v/>
      </c>
      <c r="J1207" s="6" t="str">
        <f t="shared" ca="1" si="19"/>
        <v/>
      </c>
    </row>
    <row r="1208" spans="1:10">
      <c r="A1208" s="2" t="str">
        <f ca="1">IF(A1207="","",IF(IF(价差分析!$W$4="日",--[1]!td(A1207-1),IF(价差分析!$W$4="周",--[1]!td(A1207-7),--[1]!td(A1207-30)))-价差分析!$T$4&gt;0,IF(价差分析!$W$4="日",--[1]!td(A1207-1),IF(价差分析!$W$4="周",--[1]!td(A1207-7),--[1]!td(A1207-30))),""))</f>
        <v/>
      </c>
      <c r="B1208" s="1" t="str">
        <f ca="1">IF(A1208="","",[1]!s_dq_close($B$1,A1208,$M$4))</f>
        <v/>
      </c>
      <c r="C1208" s="1" t="str">
        <f ca="1">IF(A1208="","",[1]!s_dq_close($C$1,A1208,$M$4))</f>
        <v/>
      </c>
      <c r="D1208" s="6" t="str">
        <f ca="1">IF($A1208="","",[1]!s_dq_close(D$1,$A1208,$M$4))</f>
        <v/>
      </c>
      <c r="E1208" s="6" t="str">
        <f ca="1">IF($A1208="","",[1]!s_dq_close(E$1,$A1208,$M$4))</f>
        <v/>
      </c>
      <c r="F1208" s="6" t="str">
        <f ca="1">IF($A1208="","",[1]!s_dq_close(F$1,$A1208,$M$4))</f>
        <v/>
      </c>
      <c r="G1208" s="6"/>
      <c r="H1208" s="6" t="str">
        <f ca="1">IF($A1208="","",[1]!s_dq_close(H$1,$A1208,$M$4))</f>
        <v/>
      </c>
      <c r="I1208" s="6" t="str">
        <f ca="1">IF($A1208="","",[1]!s_dq_close(I$1,$A1208,$M$4))</f>
        <v/>
      </c>
      <c r="J1208" s="6" t="str">
        <f t="shared" ca="1" si="19"/>
        <v/>
      </c>
    </row>
    <row r="1209" spans="1:10">
      <c r="A1209" s="2" t="str">
        <f ca="1">IF(A1208="","",IF(IF(价差分析!$W$4="日",--[1]!td(A1208-1),IF(价差分析!$W$4="周",--[1]!td(A1208-7),--[1]!td(A1208-30)))-价差分析!$T$4&gt;0,IF(价差分析!$W$4="日",--[1]!td(A1208-1),IF(价差分析!$W$4="周",--[1]!td(A1208-7),--[1]!td(A1208-30))),""))</f>
        <v/>
      </c>
      <c r="B1209" s="1" t="str">
        <f ca="1">IF(A1209="","",[1]!s_dq_close($B$1,A1209,$M$4))</f>
        <v/>
      </c>
      <c r="C1209" s="1" t="str">
        <f ca="1">IF(A1209="","",[1]!s_dq_close($C$1,A1209,$M$4))</f>
        <v/>
      </c>
      <c r="D1209" s="6" t="str">
        <f ca="1">IF($A1209="","",[1]!s_dq_close(D$1,$A1209,$M$4))</f>
        <v/>
      </c>
      <c r="E1209" s="6" t="str">
        <f ca="1">IF($A1209="","",[1]!s_dq_close(E$1,$A1209,$M$4))</f>
        <v/>
      </c>
      <c r="F1209" s="6" t="str">
        <f ca="1">IF($A1209="","",[1]!s_dq_close(F$1,$A1209,$M$4))</f>
        <v/>
      </c>
      <c r="G1209" s="6"/>
      <c r="H1209" s="6" t="str">
        <f ca="1">IF($A1209="","",[1]!s_dq_close(H$1,$A1209,$M$4))</f>
        <v/>
      </c>
      <c r="I1209" s="6" t="str">
        <f ca="1">IF($A1209="","",[1]!s_dq_close(I$1,$A1209,$M$4))</f>
        <v/>
      </c>
      <c r="J1209" s="6" t="str">
        <f t="shared" ca="1" si="19"/>
        <v/>
      </c>
    </row>
    <row r="1210" spans="1:10">
      <c r="A1210" s="2" t="str">
        <f ca="1">IF(A1209="","",IF(IF(价差分析!$W$4="日",--[1]!td(A1209-1),IF(价差分析!$W$4="周",--[1]!td(A1209-7),--[1]!td(A1209-30)))-价差分析!$T$4&gt;0,IF(价差分析!$W$4="日",--[1]!td(A1209-1),IF(价差分析!$W$4="周",--[1]!td(A1209-7),--[1]!td(A1209-30))),""))</f>
        <v/>
      </c>
      <c r="B1210" s="1" t="str">
        <f ca="1">IF(A1210="","",[1]!s_dq_close($B$1,A1210,$M$4))</f>
        <v/>
      </c>
      <c r="C1210" s="1" t="str">
        <f ca="1">IF(A1210="","",[1]!s_dq_close($C$1,A1210,$M$4))</f>
        <v/>
      </c>
      <c r="D1210" s="6" t="str">
        <f ca="1">IF($A1210="","",[1]!s_dq_close(D$1,$A1210,$M$4))</f>
        <v/>
      </c>
      <c r="E1210" s="6" t="str">
        <f ca="1">IF($A1210="","",[1]!s_dq_close(E$1,$A1210,$M$4))</f>
        <v/>
      </c>
      <c r="F1210" s="6" t="str">
        <f ca="1">IF($A1210="","",[1]!s_dq_close(F$1,$A1210,$M$4))</f>
        <v/>
      </c>
      <c r="G1210" s="6"/>
      <c r="H1210" s="6" t="str">
        <f ca="1">IF($A1210="","",[1]!s_dq_close(H$1,$A1210,$M$4))</f>
        <v/>
      </c>
      <c r="I1210" s="6" t="str">
        <f ca="1">IF($A1210="","",[1]!s_dq_close(I$1,$A1210,$M$4))</f>
        <v/>
      </c>
      <c r="J1210" s="6" t="str">
        <f t="shared" ca="1" si="19"/>
        <v/>
      </c>
    </row>
    <row r="1211" spans="1:10">
      <c r="A1211" s="2" t="str">
        <f ca="1">IF(A1210="","",IF(IF(价差分析!$W$4="日",--[1]!td(A1210-1),IF(价差分析!$W$4="周",--[1]!td(A1210-7),--[1]!td(A1210-30)))-价差分析!$T$4&gt;0,IF(价差分析!$W$4="日",--[1]!td(A1210-1),IF(价差分析!$W$4="周",--[1]!td(A1210-7),--[1]!td(A1210-30))),""))</f>
        <v/>
      </c>
      <c r="B1211" s="1" t="str">
        <f ca="1">IF(A1211="","",[1]!s_dq_close($B$1,A1211,$M$4))</f>
        <v/>
      </c>
      <c r="C1211" s="1" t="str">
        <f ca="1">IF(A1211="","",[1]!s_dq_close($C$1,A1211,$M$4))</f>
        <v/>
      </c>
      <c r="D1211" s="6" t="str">
        <f ca="1">IF($A1211="","",[1]!s_dq_close(D$1,$A1211,$M$4))</f>
        <v/>
      </c>
      <c r="E1211" s="6" t="str">
        <f ca="1">IF($A1211="","",[1]!s_dq_close(E$1,$A1211,$M$4))</f>
        <v/>
      </c>
      <c r="F1211" s="6" t="str">
        <f ca="1">IF($A1211="","",[1]!s_dq_close(F$1,$A1211,$M$4))</f>
        <v/>
      </c>
      <c r="G1211" s="6"/>
      <c r="H1211" s="6" t="str">
        <f ca="1">IF($A1211="","",[1]!s_dq_close(H$1,$A1211,$M$4))</f>
        <v/>
      </c>
      <c r="I1211" s="6" t="str">
        <f ca="1">IF($A1211="","",[1]!s_dq_close(I$1,$A1211,$M$4))</f>
        <v/>
      </c>
      <c r="J1211" s="6" t="str">
        <f t="shared" ca="1" si="19"/>
        <v/>
      </c>
    </row>
    <row r="1212" spans="1:10">
      <c r="A1212" s="2" t="str">
        <f ca="1">IF(A1211="","",IF(IF(价差分析!$W$4="日",--[1]!td(A1211-1),IF(价差分析!$W$4="周",--[1]!td(A1211-7),--[1]!td(A1211-30)))-价差分析!$T$4&gt;0,IF(价差分析!$W$4="日",--[1]!td(A1211-1),IF(价差分析!$W$4="周",--[1]!td(A1211-7),--[1]!td(A1211-30))),""))</f>
        <v/>
      </c>
      <c r="B1212" s="1" t="str">
        <f ca="1">IF(A1212="","",[1]!s_dq_close($B$1,A1212,$M$4))</f>
        <v/>
      </c>
      <c r="C1212" s="1" t="str">
        <f ca="1">IF(A1212="","",[1]!s_dq_close($C$1,A1212,$M$4))</f>
        <v/>
      </c>
      <c r="D1212" s="6" t="str">
        <f ca="1">IF($A1212="","",[1]!s_dq_close(D$1,$A1212,$M$4))</f>
        <v/>
      </c>
      <c r="E1212" s="6" t="str">
        <f ca="1">IF($A1212="","",[1]!s_dq_close(E$1,$A1212,$M$4))</f>
        <v/>
      </c>
      <c r="F1212" s="6" t="str">
        <f ca="1">IF($A1212="","",[1]!s_dq_close(F$1,$A1212,$M$4))</f>
        <v/>
      </c>
      <c r="G1212" s="6"/>
      <c r="H1212" s="6" t="str">
        <f ca="1">IF($A1212="","",[1]!s_dq_close(H$1,$A1212,$M$4))</f>
        <v/>
      </c>
      <c r="I1212" s="6" t="str">
        <f ca="1">IF($A1212="","",[1]!s_dq_close(I$1,$A1212,$M$4))</f>
        <v/>
      </c>
      <c r="J1212" s="6" t="str">
        <f t="shared" ca="1" si="19"/>
        <v/>
      </c>
    </row>
    <row r="1213" spans="1:10">
      <c r="A1213" s="2" t="str">
        <f ca="1">IF(A1212="","",IF(IF(价差分析!$W$4="日",--[1]!td(A1212-1),IF(价差分析!$W$4="周",--[1]!td(A1212-7),--[1]!td(A1212-30)))-价差分析!$T$4&gt;0,IF(价差分析!$W$4="日",--[1]!td(A1212-1),IF(价差分析!$W$4="周",--[1]!td(A1212-7),--[1]!td(A1212-30))),""))</f>
        <v/>
      </c>
      <c r="B1213" s="1" t="str">
        <f ca="1">IF(A1213="","",[1]!s_dq_close($B$1,A1213,$M$4))</f>
        <v/>
      </c>
      <c r="C1213" s="1" t="str">
        <f ca="1">IF(A1213="","",[1]!s_dq_close($C$1,A1213,$M$4))</f>
        <v/>
      </c>
      <c r="D1213" s="6" t="str">
        <f ca="1">IF($A1213="","",[1]!s_dq_close(D$1,$A1213,$M$4))</f>
        <v/>
      </c>
      <c r="E1213" s="6" t="str">
        <f ca="1">IF($A1213="","",[1]!s_dq_close(E$1,$A1213,$M$4))</f>
        <v/>
      </c>
      <c r="F1213" s="6" t="str">
        <f ca="1">IF($A1213="","",[1]!s_dq_close(F$1,$A1213,$M$4))</f>
        <v/>
      </c>
      <c r="G1213" s="6"/>
      <c r="H1213" s="6" t="str">
        <f ca="1">IF($A1213="","",[1]!s_dq_close(H$1,$A1213,$M$4))</f>
        <v/>
      </c>
      <c r="I1213" s="6" t="str">
        <f ca="1">IF($A1213="","",[1]!s_dq_close(I$1,$A1213,$M$4))</f>
        <v/>
      </c>
      <c r="J1213" s="6" t="str">
        <f t="shared" ca="1" si="19"/>
        <v/>
      </c>
    </row>
    <row r="1214" spans="1:10">
      <c r="A1214" s="2" t="str">
        <f ca="1">IF(A1213="","",IF(IF(价差分析!$W$4="日",--[1]!td(A1213-1),IF(价差分析!$W$4="周",--[1]!td(A1213-7),--[1]!td(A1213-30)))-价差分析!$T$4&gt;0,IF(价差分析!$W$4="日",--[1]!td(A1213-1),IF(价差分析!$W$4="周",--[1]!td(A1213-7),--[1]!td(A1213-30))),""))</f>
        <v/>
      </c>
      <c r="B1214" s="1" t="str">
        <f ca="1">IF(A1214="","",[1]!s_dq_close($B$1,A1214,$M$4))</f>
        <v/>
      </c>
      <c r="C1214" s="1" t="str">
        <f ca="1">IF(A1214="","",[1]!s_dq_close($C$1,A1214,$M$4))</f>
        <v/>
      </c>
      <c r="D1214" s="6" t="str">
        <f ca="1">IF($A1214="","",[1]!s_dq_close(D$1,$A1214,$M$4))</f>
        <v/>
      </c>
      <c r="E1214" s="6" t="str">
        <f ca="1">IF($A1214="","",[1]!s_dq_close(E$1,$A1214,$M$4))</f>
        <v/>
      </c>
      <c r="F1214" s="6" t="str">
        <f ca="1">IF($A1214="","",[1]!s_dq_close(F$1,$A1214,$M$4))</f>
        <v/>
      </c>
      <c r="G1214" s="6"/>
      <c r="H1214" s="6" t="str">
        <f ca="1">IF($A1214="","",[1]!s_dq_close(H$1,$A1214,$M$4))</f>
        <v/>
      </c>
      <c r="I1214" s="6" t="str">
        <f ca="1">IF($A1214="","",[1]!s_dq_close(I$1,$A1214,$M$4))</f>
        <v/>
      </c>
      <c r="J1214" s="6" t="str">
        <f t="shared" ca="1" si="19"/>
        <v/>
      </c>
    </row>
    <row r="1215" spans="1:10">
      <c r="A1215" s="2" t="str">
        <f ca="1">IF(A1214="","",IF(IF(价差分析!$W$4="日",--[1]!td(A1214-1),IF(价差分析!$W$4="周",--[1]!td(A1214-7),--[1]!td(A1214-30)))-价差分析!$T$4&gt;0,IF(价差分析!$W$4="日",--[1]!td(A1214-1),IF(价差分析!$W$4="周",--[1]!td(A1214-7),--[1]!td(A1214-30))),""))</f>
        <v/>
      </c>
      <c r="B1215" s="1" t="str">
        <f ca="1">IF(A1215="","",[1]!s_dq_close($B$1,A1215,$M$4))</f>
        <v/>
      </c>
      <c r="C1215" s="1" t="str">
        <f ca="1">IF(A1215="","",[1]!s_dq_close($C$1,A1215,$M$4))</f>
        <v/>
      </c>
      <c r="D1215" s="6" t="str">
        <f ca="1">IF($A1215="","",[1]!s_dq_close(D$1,$A1215,$M$4))</f>
        <v/>
      </c>
      <c r="E1215" s="6" t="str">
        <f ca="1">IF($A1215="","",[1]!s_dq_close(E$1,$A1215,$M$4))</f>
        <v/>
      </c>
      <c r="F1215" s="6" t="str">
        <f ca="1">IF($A1215="","",[1]!s_dq_close(F$1,$A1215,$M$4))</f>
        <v/>
      </c>
      <c r="G1215" s="6"/>
      <c r="H1215" s="6" t="str">
        <f ca="1">IF($A1215="","",[1]!s_dq_close(H$1,$A1215,$M$4))</f>
        <v/>
      </c>
      <c r="I1215" s="6" t="str">
        <f ca="1">IF($A1215="","",[1]!s_dq_close(I$1,$A1215,$M$4))</f>
        <v/>
      </c>
      <c r="J1215" s="6" t="str">
        <f t="shared" ca="1" si="19"/>
        <v/>
      </c>
    </row>
    <row r="1216" spans="1:10">
      <c r="A1216" s="2" t="str">
        <f ca="1">IF(A1215="","",IF(IF(价差分析!$W$4="日",--[1]!td(A1215-1),IF(价差分析!$W$4="周",--[1]!td(A1215-7),--[1]!td(A1215-30)))-价差分析!$T$4&gt;0,IF(价差分析!$W$4="日",--[1]!td(A1215-1),IF(价差分析!$W$4="周",--[1]!td(A1215-7),--[1]!td(A1215-30))),""))</f>
        <v/>
      </c>
      <c r="B1216" s="1" t="str">
        <f ca="1">IF(A1216="","",[1]!s_dq_close($B$1,A1216,$M$4))</f>
        <v/>
      </c>
      <c r="C1216" s="1" t="str">
        <f ca="1">IF(A1216="","",[1]!s_dq_close($C$1,A1216,$M$4))</f>
        <v/>
      </c>
      <c r="D1216" s="6" t="str">
        <f ca="1">IF($A1216="","",[1]!s_dq_close(D$1,$A1216,$M$4))</f>
        <v/>
      </c>
      <c r="E1216" s="6" t="str">
        <f ca="1">IF($A1216="","",[1]!s_dq_close(E$1,$A1216,$M$4))</f>
        <v/>
      </c>
      <c r="F1216" s="6" t="str">
        <f ca="1">IF($A1216="","",[1]!s_dq_close(F$1,$A1216,$M$4))</f>
        <v/>
      </c>
      <c r="G1216" s="6"/>
      <c r="H1216" s="6" t="str">
        <f ca="1">IF($A1216="","",[1]!s_dq_close(H$1,$A1216,$M$4))</f>
        <v/>
      </c>
      <c r="I1216" s="6" t="str">
        <f ca="1">IF($A1216="","",[1]!s_dq_close(I$1,$A1216,$M$4))</f>
        <v/>
      </c>
      <c r="J1216" s="6" t="str">
        <f t="shared" ca="1" si="19"/>
        <v/>
      </c>
    </row>
    <row r="1217" spans="1:10">
      <c r="A1217" s="2" t="str">
        <f ca="1">IF(A1216="","",IF(IF(价差分析!$W$4="日",--[1]!td(A1216-1),IF(价差分析!$W$4="周",--[1]!td(A1216-7),--[1]!td(A1216-30)))-价差分析!$T$4&gt;0,IF(价差分析!$W$4="日",--[1]!td(A1216-1),IF(价差分析!$W$4="周",--[1]!td(A1216-7),--[1]!td(A1216-30))),""))</f>
        <v/>
      </c>
      <c r="B1217" s="1" t="str">
        <f ca="1">IF(A1217="","",[1]!s_dq_close($B$1,A1217,$M$4))</f>
        <v/>
      </c>
      <c r="C1217" s="1" t="str">
        <f ca="1">IF(A1217="","",[1]!s_dq_close($C$1,A1217,$M$4))</f>
        <v/>
      </c>
      <c r="D1217" s="6" t="str">
        <f ca="1">IF($A1217="","",[1]!s_dq_close(D$1,$A1217,$M$4))</f>
        <v/>
      </c>
      <c r="E1217" s="6" t="str">
        <f ca="1">IF($A1217="","",[1]!s_dq_close(E$1,$A1217,$M$4))</f>
        <v/>
      </c>
      <c r="F1217" s="6" t="str">
        <f ca="1">IF($A1217="","",[1]!s_dq_close(F$1,$A1217,$M$4))</f>
        <v/>
      </c>
      <c r="G1217" s="6"/>
      <c r="H1217" s="6" t="str">
        <f ca="1">IF($A1217="","",[1]!s_dq_close(H$1,$A1217,$M$4))</f>
        <v/>
      </c>
      <c r="I1217" s="6" t="str">
        <f ca="1">IF($A1217="","",[1]!s_dq_close(I$1,$A1217,$M$4))</f>
        <v/>
      </c>
      <c r="J1217" s="6" t="str">
        <f t="shared" ca="1" si="19"/>
        <v/>
      </c>
    </row>
    <row r="1218" spans="1:10">
      <c r="A1218" s="2" t="str">
        <f ca="1">IF(A1217="","",IF(IF(价差分析!$W$4="日",--[1]!td(A1217-1),IF(价差分析!$W$4="周",--[1]!td(A1217-7),--[1]!td(A1217-30)))-价差分析!$T$4&gt;0,IF(价差分析!$W$4="日",--[1]!td(A1217-1),IF(价差分析!$W$4="周",--[1]!td(A1217-7),--[1]!td(A1217-30))),""))</f>
        <v/>
      </c>
      <c r="B1218" s="1" t="str">
        <f ca="1">IF(A1218="","",[1]!s_dq_close($B$1,A1218,$M$4))</f>
        <v/>
      </c>
      <c r="C1218" s="1" t="str">
        <f ca="1">IF(A1218="","",[1]!s_dq_close($C$1,A1218,$M$4))</f>
        <v/>
      </c>
      <c r="D1218" s="6" t="str">
        <f ca="1">IF($A1218="","",[1]!s_dq_close(D$1,$A1218,$M$4))</f>
        <v/>
      </c>
      <c r="E1218" s="6" t="str">
        <f ca="1">IF($A1218="","",[1]!s_dq_close(E$1,$A1218,$M$4))</f>
        <v/>
      </c>
      <c r="F1218" s="6" t="str">
        <f ca="1">IF($A1218="","",[1]!s_dq_close(F$1,$A1218,$M$4))</f>
        <v/>
      </c>
      <c r="G1218" s="6"/>
      <c r="H1218" s="6" t="str">
        <f ca="1">IF($A1218="","",[1]!s_dq_close(H$1,$A1218,$M$4))</f>
        <v/>
      </c>
      <c r="I1218" s="6" t="str">
        <f ca="1">IF($A1218="","",[1]!s_dq_close(I$1,$A1218,$M$4))</f>
        <v/>
      </c>
      <c r="J1218" s="6" t="str">
        <f t="shared" ca="1" si="19"/>
        <v/>
      </c>
    </row>
    <row r="1219" spans="1:10">
      <c r="A1219" s="2" t="str">
        <f ca="1">IF(A1218="","",IF(IF(价差分析!$W$4="日",--[1]!td(A1218-1),IF(价差分析!$W$4="周",--[1]!td(A1218-7),--[1]!td(A1218-30)))-价差分析!$T$4&gt;0,IF(价差分析!$W$4="日",--[1]!td(A1218-1),IF(价差分析!$W$4="周",--[1]!td(A1218-7),--[1]!td(A1218-30))),""))</f>
        <v/>
      </c>
      <c r="B1219" s="1" t="str">
        <f ca="1">IF(A1219="","",[1]!s_dq_close($B$1,A1219,$M$4))</f>
        <v/>
      </c>
      <c r="C1219" s="1" t="str">
        <f ca="1">IF(A1219="","",[1]!s_dq_close($C$1,A1219,$M$4))</f>
        <v/>
      </c>
      <c r="D1219" s="6" t="str">
        <f ca="1">IF($A1219="","",[1]!s_dq_close(D$1,$A1219,$M$4))</f>
        <v/>
      </c>
      <c r="E1219" s="6" t="str">
        <f ca="1">IF($A1219="","",[1]!s_dq_close(E$1,$A1219,$M$4))</f>
        <v/>
      </c>
      <c r="F1219" s="6" t="str">
        <f ca="1">IF($A1219="","",[1]!s_dq_close(F$1,$A1219,$M$4))</f>
        <v/>
      </c>
      <c r="G1219" s="6"/>
      <c r="H1219" s="6" t="str">
        <f ca="1">IF($A1219="","",[1]!s_dq_close(H$1,$A1219,$M$4))</f>
        <v/>
      </c>
      <c r="I1219" s="6" t="str">
        <f ca="1">IF($A1219="","",[1]!s_dq_close(I$1,$A1219,$M$4))</f>
        <v/>
      </c>
      <c r="J1219" s="6" t="str">
        <f t="shared" ca="1" si="19"/>
        <v/>
      </c>
    </row>
    <row r="1220" spans="1:10">
      <c r="A1220" s="2" t="str">
        <f ca="1">IF(A1219="","",IF(IF(价差分析!$W$4="日",--[1]!td(A1219-1),IF(价差分析!$W$4="周",--[1]!td(A1219-7),--[1]!td(A1219-30)))-价差分析!$T$4&gt;0,IF(价差分析!$W$4="日",--[1]!td(A1219-1),IF(价差分析!$W$4="周",--[1]!td(A1219-7),--[1]!td(A1219-30))),""))</f>
        <v/>
      </c>
      <c r="B1220" s="1" t="str">
        <f ca="1">IF(A1220="","",[1]!s_dq_close($B$1,A1220,$M$4))</f>
        <v/>
      </c>
      <c r="C1220" s="1" t="str">
        <f ca="1">IF(A1220="","",[1]!s_dq_close($C$1,A1220,$M$4))</f>
        <v/>
      </c>
      <c r="D1220" s="6" t="str">
        <f ca="1">IF($A1220="","",[1]!s_dq_close(D$1,$A1220,$M$4))</f>
        <v/>
      </c>
      <c r="E1220" s="6" t="str">
        <f ca="1">IF($A1220="","",[1]!s_dq_close(E$1,$A1220,$M$4))</f>
        <v/>
      </c>
      <c r="F1220" s="6" t="str">
        <f ca="1">IF($A1220="","",[1]!s_dq_close(F$1,$A1220,$M$4))</f>
        <v/>
      </c>
      <c r="G1220" s="6"/>
      <c r="H1220" s="6" t="str">
        <f ca="1">IF($A1220="","",[1]!s_dq_close(H$1,$A1220,$M$4))</f>
        <v/>
      </c>
      <c r="I1220" s="6" t="str">
        <f ca="1">IF($A1220="","",[1]!s_dq_close(I$1,$A1220,$M$4))</f>
        <v/>
      </c>
      <c r="J1220" s="6" t="str">
        <f t="shared" ca="1" si="19"/>
        <v/>
      </c>
    </row>
    <row r="1221" spans="1:10">
      <c r="A1221" s="2" t="str">
        <f ca="1">IF(A1220="","",IF(IF(价差分析!$W$4="日",--[1]!td(A1220-1),IF(价差分析!$W$4="周",--[1]!td(A1220-7),--[1]!td(A1220-30)))-价差分析!$T$4&gt;0,IF(价差分析!$W$4="日",--[1]!td(A1220-1),IF(价差分析!$W$4="周",--[1]!td(A1220-7),--[1]!td(A1220-30))),""))</f>
        <v/>
      </c>
      <c r="B1221" s="1" t="str">
        <f ca="1">IF(A1221="","",[1]!s_dq_close($B$1,A1221,$M$4))</f>
        <v/>
      </c>
      <c r="C1221" s="1" t="str">
        <f ca="1">IF(A1221="","",[1]!s_dq_close($C$1,A1221,$M$4))</f>
        <v/>
      </c>
      <c r="D1221" s="6" t="str">
        <f ca="1">IF($A1221="","",[1]!s_dq_close(D$1,$A1221,$M$4))</f>
        <v/>
      </c>
      <c r="E1221" s="6" t="str">
        <f ca="1">IF($A1221="","",[1]!s_dq_close(E$1,$A1221,$M$4))</f>
        <v/>
      </c>
      <c r="F1221" s="6" t="str">
        <f ca="1">IF($A1221="","",[1]!s_dq_close(F$1,$A1221,$M$4))</f>
        <v/>
      </c>
      <c r="G1221" s="6"/>
      <c r="H1221" s="6" t="str">
        <f ca="1">IF($A1221="","",[1]!s_dq_close(H$1,$A1221,$M$4))</f>
        <v/>
      </c>
      <c r="I1221" s="6" t="str">
        <f ca="1">IF($A1221="","",[1]!s_dq_close(I$1,$A1221,$M$4))</f>
        <v/>
      </c>
      <c r="J1221" s="6" t="str">
        <f t="shared" ref="J1221:J1284" ca="1" si="20">IF(H1221="","",H1221-I1221)</f>
        <v/>
      </c>
    </row>
    <row r="1222" spans="1:10">
      <c r="A1222" s="2" t="str">
        <f ca="1">IF(A1221="","",IF(IF(价差分析!$W$4="日",--[1]!td(A1221-1),IF(价差分析!$W$4="周",--[1]!td(A1221-7),--[1]!td(A1221-30)))-价差分析!$T$4&gt;0,IF(价差分析!$W$4="日",--[1]!td(A1221-1),IF(价差分析!$W$4="周",--[1]!td(A1221-7),--[1]!td(A1221-30))),""))</f>
        <v/>
      </c>
      <c r="B1222" s="1" t="str">
        <f ca="1">IF(A1222="","",[1]!s_dq_close($B$1,A1222,$M$4))</f>
        <v/>
      </c>
      <c r="C1222" s="1" t="str">
        <f ca="1">IF(A1222="","",[1]!s_dq_close($C$1,A1222,$M$4))</f>
        <v/>
      </c>
      <c r="D1222" s="6" t="str">
        <f ca="1">IF($A1222="","",[1]!s_dq_close(D$1,$A1222,$M$4))</f>
        <v/>
      </c>
      <c r="E1222" s="6" t="str">
        <f ca="1">IF($A1222="","",[1]!s_dq_close(E$1,$A1222,$M$4))</f>
        <v/>
      </c>
      <c r="F1222" s="6" t="str">
        <f ca="1">IF($A1222="","",[1]!s_dq_close(F$1,$A1222,$M$4))</f>
        <v/>
      </c>
      <c r="G1222" s="6"/>
      <c r="H1222" s="6" t="str">
        <f ca="1">IF($A1222="","",[1]!s_dq_close(H$1,$A1222,$M$4))</f>
        <v/>
      </c>
      <c r="I1222" s="6" t="str">
        <f ca="1">IF($A1222="","",[1]!s_dq_close(I$1,$A1222,$M$4))</f>
        <v/>
      </c>
      <c r="J1222" s="6" t="str">
        <f t="shared" ca="1" si="20"/>
        <v/>
      </c>
    </row>
    <row r="1223" spans="1:10">
      <c r="A1223" s="2" t="str">
        <f ca="1">IF(A1222="","",IF(IF(价差分析!$W$4="日",--[1]!td(A1222-1),IF(价差分析!$W$4="周",--[1]!td(A1222-7),--[1]!td(A1222-30)))-价差分析!$T$4&gt;0,IF(价差分析!$W$4="日",--[1]!td(A1222-1),IF(价差分析!$W$4="周",--[1]!td(A1222-7),--[1]!td(A1222-30))),""))</f>
        <v/>
      </c>
      <c r="B1223" s="1" t="str">
        <f ca="1">IF(A1223="","",[1]!s_dq_close($B$1,A1223,$M$4))</f>
        <v/>
      </c>
      <c r="C1223" s="1" t="str">
        <f ca="1">IF(A1223="","",[1]!s_dq_close($C$1,A1223,$M$4))</f>
        <v/>
      </c>
      <c r="D1223" s="6" t="str">
        <f ca="1">IF($A1223="","",[1]!s_dq_close(D$1,$A1223,$M$4))</f>
        <v/>
      </c>
      <c r="E1223" s="6" t="str">
        <f ca="1">IF($A1223="","",[1]!s_dq_close(E$1,$A1223,$M$4))</f>
        <v/>
      </c>
      <c r="F1223" s="6" t="str">
        <f ca="1">IF($A1223="","",[1]!s_dq_close(F$1,$A1223,$M$4))</f>
        <v/>
      </c>
      <c r="G1223" s="6"/>
      <c r="H1223" s="6" t="str">
        <f ca="1">IF($A1223="","",[1]!s_dq_close(H$1,$A1223,$M$4))</f>
        <v/>
      </c>
      <c r="I1223" s="6" t="str">
        <f ca="1">IF($A1223="","",[1]!s_dq_close(I$1,$A1223,$M$4))</f>
        <v/>
      </c>
      <c r="J1223" s="6" t="str">
        <f t="shared" ca="1" si="20"/>
        <v/>
      </c>
    </row>
    <row r="1224" spans="1:10">
      <c r="A1224" s="2" t="str">
        <f ca="1">IF(A1223="","",IF(IF(价差分析!$W$4="日",--[1]!td(A1223-1),IF(价差分析!$W$4="周",--[1]!td(A1223-7),--[1]!td(A1223-30)))-价差分析!$T$4&gt;0,IF(价差分析!$W$4="日",--[1]!td(A1223-1),IF(价差分析!$W$4="周",--[1]!td(A1223-7),--[1]!td(A1223-30))),""))</f>
        <v/>
      </c>
      <c r="B1224" s="1" t="str">
        <f ca="1">IF(A1224="","",[1]!s_dq_close($B$1,A1224,$M$4))</f>
        <v/>
      </c>
      <c r="C1224" s="1" t="str">
        <f ca="1">IF(A1224="","",[1]!s_dq_close($C$1,A1224,$M$4))</f>
        <v/>
      </c>
      <c r="D1224" s="6" t="str">
        <f ca="1">IF($A1224="","",[1]!s_dq_close(D$1,$A1224,$M$4))</f>
        <v/>
      </c>
      <c r="E1224" s="6" t="str">
        <f ca="1">IF($A1224="","",[1]!s_dq_close(E$1,$A1224,$M$4))</f>
        <v/>
      </c>
      <c r="F1224" s="6" t="str">
        <f ca="1">IF($A1224="","",[1]!s_dq_close(F$1,$A1224,$M$4))</f>
        <v/>
      </c>
      <c r="G1224" s="6"/>
      <c r="H1224" s="6" t="str">
        <f ca="1">IF($A1224="","",[1]!s_dq_close(H$1,$A1224,$M$4))</f>
        <v/>
      </c>
      <c r="I1224" s="6" t="str">
        <f ca="1">IF($A1224="","",[1]!s_dq_close(I$1,$A1224,$M$4))</f>
        <v/>
      </c>
      <c r="J1224" s="6" t="str">
        <f t="shared" ca="1" si="20"/>
        <v/>
      </c>
    </row>
    <row r="1225" spans="1:10">
      <c r="A1225" s="2" t="str">
        <f ca="1">IF(A1224="","",IF(IF(价差分析!$W$4="日",--[1]!td(A1224-1),IF(价差分析!$W$4="周",--[1]!td(A1224-7),--[1]!td(A1224-30)))-价差分析!$T$4&gt;0,IF(价差分析!$W$4="日",--[1]!td(A1224-1),IF(价差分析!$W$4="周",--[1]!td(A1224-7),--[1]!td(A1224-30))),""))</f>
        <v/>
      </c>
      <c r="B1225" s="1" t="str">
        <f ca="1">IF(A1225="","",[1]!s_dq_close($B$1,A1225,$M$4))</f>
        <v/>
      </c>
      <c r="C1225" s="1" t="str">
        <f ca="1">IF(A1225="","",[1]!s_dq_close($C$1,A1225,$M$4))</f>
        <v/>
      </c>
      <c r="D1225" s="6" t="str">
        <f ca="1">IF($A1225="","",[1]!s_dq_close(D$1,$A1225,$M$4))</f>
        <v/>
      </c>
      <c r="E1225" s="6" t="str">
        <f ca="1">IF($A1225="","",[1]!s_dq_close(E$1,$A1225,$M$4))</f>
        <v/>
      </c>
      <c r="F1225" s="6" t="str">
        <f ca="1">IF($A1225="","",[1]!s_dq_close(F$1,$A1225,$M$4))</f>
        <v/>
      </c>
      <c r="G1225" s="6"/>
      <c r="H1225" s="6" t="str">
        <f ca="1">IF($A1225="","",[1]!s_dq_close(H$1,$A1225,$M$4))</f>
        <v/>
      </c>
      <c r="I1225" s="6" t="str">
        <f ca="1">IF($A1225="","",[1]!s_dq_close(I$1,$A1225,$M$4))</f>
        <v/>
      </c>
      <c r="J1225" s="6" t="str">
        <f t="shared" ca="1" si="20"/>
        <v/>
      </c>
    </row>
    <row r="1226" spans="1:10">
      <c r="A1226" s="2" t="str">
        <f ca="1">IF(A1225="","",IF(IF(价差分析!$W$4="日",--[1]!td(A1225-1),IF(价差分析!$W$4="周",--[1]!td(A1225-7),--[1]!td(A1225-30)))-价差分析!$T$4&gt;0,IF(价差分析!$W$4="日",--[1]!td(A1225-1),IF(价差分析!$W$4="周",--[1]!td(A1225-7),--[1]!td(A1225-30))),""))</f>
        <v/>
      </c>
      <c r="B1226" s="1" t="str">
        <f ca="1">IF(A1226="","",[1]!s_dq_close($B$1,A1226,$M$4))</f>
        <v/>
      </c>
      <c r="C1226" s="1" t="str">
        <f ca="1">IF(A1226="","",[1]!s_dq_close($C$1,A1226,$M$4))</f>
        <v/>
      </c>
      <c r="D1226" s="6" t="str">
        <f ca="1">IF($A1226="","",[1]!s_dq_close(D$1,$A1226,$M$4))</f>
        <v/>
      </c>
      <c r="E1226" s="6" t="str">
        <f ca="1">IF($A1226="","",[1]!s_dq_close(E$1,$A1226,$M$4))</f>
        <v/>
      </c>
      <c r="F1226" s="6" t="str">
        <f ca="1">IF($A1226="","",[1]!s_dq_close(F$1,$A1226,$M$4))</f>
        <v/>
      </c>
      <c r="G1226" s="6"/>
      <c r="H1226" s="6" t="str">
        <f ca="1">IF($A1226="","",[1]!s_dq_close(H$1,$A1226,$M$4))</f>
        <v/>
      </c>
      <c r="I1226" s="6" t="str">
        <f ca="1">IF($A1226="","",[1]!s_dq_close(I$1,$A1226,$M$4))</f>
        <v/>
      </c>
      <c r="J1226" s="6" t="str">
        <f t="shared" ca="1" si="20"/>
        <v/>
      </c>
    </row>
    <row r="1227" spans="1:10">
      <c r="A1227" s="2" t="str">
        <f ca="1">IF(A1226="","",IF(IF(价差分析!$W$4="日",--[1]!td(A1226-1),IF(价差分析!$W$4="周",--[1]!td(A1226-7),--[1]!td(A1226-30)))-价差分析!$T$4&gt;0,IF(价差分析!$W$4="日",--[1]!td(A1226-1),IF(价差分析!$W$4="周",--[1]!td(A1226-7),--[1]!td(A1226-30))),""))</f>
        <v/>
      </c>
      <c r="B1227" s="1" t="str">
        <f ca="1">IF(A1227="","",[1]!s_dq_close($B$1,A1227,$M$4))</f>
        <v/>
      </c>
      <c r="C1227" s="1" t="str">
        <f ca="1">IF(A1227="","",[1]!s_dq_close($C$1,A1227,$M$4))</f>
        <v/>
      </c>
      <c r="D1227" s="6" t="str">
        <f ca="1">IF($A1227="","",[1]!s_dq_close(D$1,$A1227,$M$4))</f>
        <v/>
      </c>
      <c r="E1227" s="6" t="str">
        <f ca="1">IF($A1227="","",[1]!s_dq_close(E$1,$A1227,$M$4))</f>
        <v/>
      </c>
      <c r="F1227" s="6" t="str">
        <f ca="1">IF($A1227="","",[1]!s_dq_close(F$1,$A1227,$M$4))</f>
        <v/>
      </c>
      <c r="G1227" s="6"/>
      <c r="H1227" s="6" t="str">
        <f ca="1">IF($A1227="","",[1]!s_dq_close(H$1,$A1227,$M$4))</f>
        <v/>
      </c>
      <c r="I1227" s="6" t="str">
        <f ca="1">IF($A1227="","",[1]!s_dq_close(I$1,$A1227,$M$4))</f>
        <v/>
      </c>
      <c r="J1227" s="6" t="str">
        <f t="shared" ca="1" si="20"/>
        <v/>
      </c>
    </row>
    <row r="1228" spans="1:10">
      <c r="A1228" s="2" t="str">
        <f ca="1">IF(A1227="","",IF(IF(价差分析!$W$4="日",--[1]!td(A1227-1),IF(价差分析!$W$4="周",--[1]!td(A1227-7),--[1]!td(A1227-30)))-价差分析!$T$4&gt;0,IF(价差分析!$W$4="日",--[1]!td(A1227-1),IF(价差分析!$W$4="周",--[1]!td(A1227-7),--[1]!td(A1227-30))),""))</f>
        <v/>
      </c>
      <c r="B1228" s="1" t="str">
        <f ca="1">IF(A1228="","",[1]!s_dq_close($B$1,A1228,$M$4))</f>
        <v/>
      </c>
      <c r="C1228" s="1" t="str">
        <f ca="1">IF(A1228="","",[1]!s_dq_close($C$1,A1228,$M$4))</f>
        <v/>
      </c>
      <c r="D1228" s="6" t="str">
        <f ca="1">IF($A1228="","",[1]!s_dq_close(D$1,$A1228,$M$4))</f>
        <v/>
      </c>
      <c r="E1228" s="6" t="str">
        <f ca="1">IF($A1228="","",[1]!s_dq_close(E$1,$A1228,$M$4))</f>
        <v/>
      </c>
      <c r="F1228" s="6" t="str">
        <f ca="1">IF($A1228="","",[1]!s_dq_close(F$1,$A1228,$M$4))</f>
        <v/>
      </c>
      <c r="G1228" s="6"/>
      <c r="H1228" s="6" t="str">
        <f ca="1">IF($A1228="","",[1]!s_dq_close(H$1,$A1228,$M$4))</f>
        <v/>
      </c>
      <c r="I1228" s="6" t="str">
        <f ca="1">IF($A1228="","",[1]!s_dq_close(I$1,$A1228,$M$4))</f>
        <v/>
      </c>
      <c r="J1228" s="6" t="str">
        <f t="shared" ca="1" si="20"/>
        <v/>
      </c>
    </row>
    <row r="1229" spans="1:10">
      <c r="A1229" s="2" t="str">
        <f ca="1">IF(A1228="","",IF(IF(价差分析!$W$4="日",--[1]!td(A1228-1),IF(价差分析!$W$4="周",--[1]!td(A1228-7),--[1]!td(A1228-30)))-价差分析!$T$4&gt;0,IF(价差分析!$W$4="日",--[1]!td(A1228-1),IF(价差分析!$W$4="周",--[1]!td(A1228-7),--[1]!td(A1228-30))),""))</f>
        <v/>
      </c>
      <c r="B1229" s="1" t="str">
        <f ca="1">IF(A1229="","",[1]!s_dq_close($B$1,A1229,$M$4))</f>
        <v/>
      </c>
      <c r="C1229" s="1" t="str">
        <f ca="1">IF(A1229="","",[1]!s_dq_close($C$1,A1229,$M$4))</f>
        <v/>
      </c>
      <c r="D1229" s="6" t="str">
        <f ca="1">IF($A1229="","",[1]!s_dq_close(D$1,$A1229,$M$4))</f>
        <v/>
      </c>
      <c r="E1229" s="6" t="str">
        <f ca="1">IF($A1229="","",[1]!s_dq_close(E$1,$A1229,$M$4))</f>
        <v/>
      </c>
      <c r="F1229" s="6" t="str">
        <f ca="1">IF($A1229="","",[1]!s_dq_close(F$1,$A1229,$M$4))</f>
        <v/>
      </c>
      <c r="G1229" s="6"/>
      <c r="H1229" s="6" t="str">
        <f ca="1">IF($A1229="","",[1]!s_dq_close(H$1,$A1229,$M$4))</f>
        <v/>
      </c>
      <c r="I1229" s="6" t="str">
        <f ca="1">IF($A1229="","",[1]!s_dq_close(I$1,$A1229,$M$4))</f>
        <v/>
      </c>
      <c r="J1229" s="6" t="str">
        <f t="shared" ca="1" si="20"/>
        <v/>
      </c>
    </row>
    <row r="1230" spans="1:10">
      <c r="A1230" s="2" t="str">
        <f ca="1">IF(A1229="","",IF(IF(价差分析!$W$4="日",--[1]!td(A1229-1),IF(价差分析!$W$4="周",--[1]!td(A1229-7),--[1]!td(A1229-30)))-价差分析!$T$4&gt;0,IF(价差分析!$W$4="日",--[1]!td(A1229-1),IF(价差分析!$W$4="周",--[1]!td(A1229-7),--[1]!td(A1229-30))),""))</f>
        <v/>
      </c>
      <c r="B1230" s="1" t="str">
        <f ca="1">IF(A1230="","",[1]!s_dq_close($B$1,A1230,$M$4))</f>
        <v/>
      </c>
      <c r="C1230" s="1" t="str">
        <f ca="1">IF(A1230="","",[1]!s_dq_close($C$1,A1230,$M$4))</f>
        <v/>
      </c>
      <c r="D1230" s="6" t="str">
        <f ca="1">IF($A1230="","",[1]!s_dq_close(D$1,$A1230,$M$4))</f>
        <v/>
      </c>
      <c r="E1230" s="6" t="str">
        <f ca="1">IF($A1230="","",[1]!s_dq_close(E$1,$A1230,$M$4))</f>
        <v/>
      </c>
      <c r="F1230" s="6" t="str">
        <f ca="1">IF($A1230="","",[1]!s_dq_close(F$1,$A1230,$M$4))</f>
        <v/>
      </c>
      <c r="G1230" s="6"/>
      <c r="H1230" s="6" t="str">
        <f ca="1">IF($A1230="","",[1]!s_dq_close(H$1,$A1230,$M$4))</f>
        <v/>
      </c>
      <c r="I1230" s="6" t="str">
        <f ca="1">IF($A1230="","",[1]!s_dq_close(I$1,$A1230,$M$4))</f>
        <v/>
      </c>
      <c r="J1230" s="6" t="str">
        <f t="shared" ca="1" si="20"/>
        <v/>
      </c>
    </row>
    <row r="1231" spans="1:10">
      <c r="A1231" s="2" t="str">
        <f ca="1">IF(A1230="","",IF(IF(价差分析!$W$4="日",--[1]!td(A1230-1),IF(价差分析!$W$4="周",--[1]!td(A1230-7),--[1]!td(A1230-30)))-价差分析!$T$4&gt;0,IF(价差分析!$W$4="日",--[1]!td(A1230-1),IF(价差分析!$W$4="周",--[1]!td(A1230-7),--[1]!td(A1230-30))),""))</f>
        <v/>
      </c>
      <c r="B1231" s="1" t="str">
        <f ca="1">IF(A1231="","",[1]!s_dq_close($B$1,A1231,$M$4))</f>
        <v/>
      </c>
      <c r="C1231" s="1" t="str">
        <f ca="1">IF(A1231="","",[1]!s_dq_close($C$1,A1231,$M$4))</f>
        <v/>
      </c>
      <c r="D1231" s="6" t="str">
        <f ca="1">IF($A1231="","",[1]!s_dq_close(D$1,$A1231,$M$4))</f>
        <v/>
      </c>
      <c r="E1231" s="6" t="str">
        <f ca="1">IF($A1231="","",[1]!s_dq_close(E$1,$A1231,$M$4))</f>
        <v/>
      </c>
      <c r="F1231" s="6" t="str">
        <f ca="1">IF($A1231="","",[1]!s_dq_close(F$1,$A1231,$M$4))</f>
        <v/>
      </c>
      <c r="G1231" s="6"/>
      <c r="H1231" s="6" t="str">
        <f ca="1">IF($A1231="","",[1]!s_dq_close(H$1,$A1231,$M$4))</f>
        <v/>
      </c>
      <c r="I1231" s="6" t="str">
        <f ca="1">IF($A1231="","",[1]!s_dq_close(I$1,$A1231,$M$4))</f>
        <v/>
      </c>
      <c r="J1231" s="6" t="str">
        <f t="shared" ca="1" si="20"/>
        <v/>
      </c>
    </row>
    <row r="1232" spans="1:10">
      <c r="A1232" s="2" t="str">
        <f ca="1">IF(A1231="","",IF(IF(价差分析!$W$4="日",--[1]!td(A1231-1),IF(价差分析!$W$4="周",--[1]!td(A1231-7),--[1]!td(A1231-30)))-价差分析!$T$4&gt;0,IF(价差分析!$W$4="日",--[1]!td(A1231-1),IF(价差分析!$W$4="周",--[1]!td(A1231-7),--[1]!td(A1231-30))),""))</f>
        <v/>
      </c>
      <c r="B1232" s="1" t="str">
        <f ca="1">IF(A1232="","",[1]!s_dq_close($B$1,A1232,$M$4))</f>
        <v/>
      </c>
      <c r="C1232" s="1" t="str">
        <f ca="1">IF(A1232="","",[1]!s_dq_close($C$1,A1232,$M$4))</f>
        <v/>
      </c>
      <c r="D1232" s="6" t="str">
        <f ca="1">IF($A1232="","",[1]!s_dq_close(D$1,$A1232,$M$4))</f>
        <v/>
      </c>
      <c r="E1232" s="6" t="str">
        <f ca="1">IF($A1232="","",[1]!s_dq_close(E$1,$A1232,$M$4))</f>
        <v/>
      </c>
      <c r="F1232" s="6" t="str">
        <f ca="1">IF($A1232="","",[1]!s_dq_close(F$1,$A1232,$M$4))</f>
        <v/>
      </c>
      <c r="G1232" s="6"/>
      <c r="H1232" s="6" t="str">
        <f ca="1">IF($A1232="","",[1]!s_dq_close(H$1,$A1232,$M$4))</f>
        <v/>
      </c>
      <c r="I1232" s="6" t="str">
        <f ca="1">IF($A1232="","",[1]!s_dq_close(I$1,$A1232,$M$4))</f>
        <v/>
      </c>
      <c r="J1232" s="6" t="str">
        <f t="shared" ca="1" si="20"/>
        <v/>
      </c>
    </row>
    <row r="1233" spans="1:10">
      <c r="A1233" s="2" t="str">
        <f ca="1">IF(A1232="","",IF(IF(价差分析!$W$4="日",--[1]!td(A1232-1),IF(价差分析!$W$4="周",--[1]!td(A1232-7),--[1]!td(A1232-30)))-价差分析!$T$4&gt;0,IF(价差分析!$W$4="日",--[1]!td(A1232-1),IF(价差分析!$W$4="周",--[1]!td(A1232-7),--[1]!td(A1232-30))),""))</f>
        <v/>
      </c>
      <c r="B1233" s="1" t="str">
        <f ca="1">IF(A1233="","",[1]!s_dq_close($B$1,A1233,$M$4))</f>
        <v/>
      </c>
      <c r="C1233" s="1" t="str">
        <f ca="1">IF(A1233="","",[1]!s_dq_close($C$1,A1233,$M$4))</f>
        <v/>
      </c>
      <c r="D1233" s="6" t="str">
        <f ca="1">IF($A1233="","",[1]!s_dq_close(D$1,$A1233,$M$4))</f>
        <v/>
      </c>
      <c r="E1233" s="6" t="str">
        <f ca="1">IF($A1233="","",[1]!s_dq_close(E$1,$A1233,$M$4))</f>
        <v/>
      </c>
      <c r="F1233" s="6" t="str">
        <f ca="1">IF($A1233="","",[1]!s_dq_close(F$1,$A1233,$M$4))</f>
        <v/>
      </c>
      <c r="G1233" s="6"/>
      <c r="H1233" s="6" t="str">
        <f ca="1">IF($A1233="","",[1]!s_dq_close(H$1,$A1233,$M$4))</f>
        <v/>
      </c>
      <c r="I1233" s="6" t="str">
        <f ca="1">IF($A1233="","",[1]!s_dq_close(I$1,$A1233,$M$4))</f>
        <v/>
      </c>
      <c r="J1233" s="6" t="str">
        <f t="shared" ca="1" si="20"/>
        <v/>
      </c>
    </row>
    <row r="1234" spans="1:10">
      <c r="A1234" s="2" t="str">
        <f ca="1">IF(A1233="","",IF(IF(价差分析!$W$4="日",--[1]!td(A1233-1),IF(价差分析!$W$4="周",--[1]!td(A1233-7),--[1]!td(A1233-30)))-价差分析!$T$4&gt;0,IF(价差分析!$W$4="日",--[1]!td(A1233-1),IF(价差分析!$W$4="周",--[1]!td(A1233-7),--[1]!td(A1233-30))),""))</f>
        <v/>
      </c>
      <c r="B1234" s="1" t="str">
        <f ca="1">IF(A1234="","",[1]!s_dq_close($B$1,A1234,$M$4))</f>
        <v/>
      </c>
      <c r="C1234" s="1" t="str">
        <f ca="1">IF(A1234="","",[1]!s_dq_close($C$1,A1234,$M$4))</f>
        <v/>
      </c>
      <c r="D1234" s="6" t="str">
        <f ca="1">IF($A1234="","",[1]!s_dq_close(D$1,$A1234,$M$4))</f>
        <v/>
      </c>
      <c r="E1234" s="6" t="str">
        <f ca="1">IF($A1234="","",[1]!s_dq_close(E$1,$A1234,$M$4))</f>
        <v/>
      </c>
      <c r="F1234" s="6" t="str">
        <f ca="1">IF($A1234="","",[1]!s_dq_close(F$1,$A1234,$M$4))</f>
        <v/>
      </c>
      <c r="G1234" s="6"/>
      <c r="H1234" s="6" t="str">
        <f ca="1">IF($A1234="","",[1]!s_dq_close(H$1,$A1234,$M$4))</f>
        <v/>
      </c>
      <c r="I1234" s="6" t="str">
        <f ca="1">IF($A1234="","",[1]!s_dq_close(I$1,$A1234,$M$4))</f>
        <v/>
      </c>
      <c r="J1234" s="6" t="str">
        <f t="shared" ca="1" si="20"/>
        <v/>
      </c>
    </row>
    <row r="1235" spans="1:10">
      <c r="A1235" s="2" t="str">
        <f ca="1">IF(A1234="","",IF(IF(价差分析!$W$4="日",--[1]!td(A1234-1),IF(价差分析!$W$4="周",--[1]!td(A1234-7),--[1]!td(A1234-30)))-价差分析!$T$4&gt;0,IF(价差分析!$W$4="日",--[1]!td(A1234-1),IF(价差分析!$W$4="周",--[1]!td(A1234-7),--[1]!td(A1234-30))),""))</f>
        <v/>
      </c>
      <c r="B1235" s="1" t="str">
        <f ca="1">IF(A1235="","",[1]!s_dq_close($B$1,A1235,$M$4))</f>
        <v/>
      </c>
      <c r="C1235" s="1" t="str">
        <f ca="1">IF(A1235="","",[1]!s_dq_close($C$1,A1235,$M$4))</f>
        <v/>
      </c>
      <c r="D1235" s="6" t="str">
        <f ca="1">IF($A1235="","",[1]!s_dq_close(D$1,$A1235,$M$4))</f>
        <v/>
      </c>
      <c r="E1235" s="6" t="str">
        <f ca="1">IF($A1235="","",[1]!s_dq_close(E$1,$A1235,$M$4))</f>
        <v/>
      </c>
      <c r="F1235" s="6" t="str">
        <f ca="1">IF($A1235="","",[1]!s_dq_close(F$1,$A1235,$M$4))</f>
        <v/>
      </c>
      <c r="G1235" s="6"/>
      <c r="H1235" s="6" t="str">
        <f ca="1">IF($A1235="","",[1]!s_dq_close(H$1,$A1235,$M$4))</f>
        <v/>
      </c>
      <c r="I1235" s="6" t="str">
        <f ca="1">IF($A1235="","",[1]!s_dq_close(I$1,$A1235,$M$4))</f>
        <v/>
      </c>
      <c r="J1235" s="6" t="str">
        <f t="shared" ca="1" si="20"/>
        <v/>
      </c>
    </row>
    <row r="1236" spans="1:10">
      <c r="A1236" s="2" t="str">
        <f ca="1">IF(A1235="","",IF(IF(价差分析!$W$4="日",--[1]!td(A1235-1),IF(价差分析!$W$4="周",--[1]!td(A1235-7),--[1]!td(A1235-30)))-价差分析!$T$4&gt;0,IF(价差分析!$W$4="日",--[1]!td(A1235-1),IF(价差分析!$W$4="周",--[1]!td(A1235-7),--[1]!td(A1235-30))),""))</f>
        <v/>
      </c>
      <c r="B1236" s="1" t="str">
        <f ca="1">IF(A1236="","",[1]!s_dq_close($B$1,A1236,$M$4))</f>
        <v/>
      </c>
      <c r="C1236" s="1" t="str">
        <f ca="1">IF(A1236="","",[1]!s_dq_close($C$1,A1236,$M$4))</f>
        <v/>
      </c>
      <c r="D1236" s="6" t="str">
        <f ca="1">IF($A1236="","",[1]!s_dq_close(D$1,$A1236,$M$4))</f>
        <v/>
      </c>
      <c r="E1236" s="6" t="str">
        <f ca="1">IF($A1236="","",[1]!s_dq_close(E$1,$A1236,$M$4))</f>
        <v/>
      </c>
      <c r="F1236" s="6" t="str">
        <f ca="1">IF($A1236="","",[1]!s_dq_close(F$1,$A1236,$M$4))</f>
        <v/>
      </c>
      <c r="G1236" s="6"/>
      <c r="H1236" s="6" t="str">
        <f ca="1">IF($A1236="","",[1]!s_dq_close(H$1,$A1236,$M$4))</f>
        <v/>
      </c>
      <c r="I1236" s="6" t="str">
        <f ca="1">IF($A1236="","",[1]!s_dq_close(I$1,$A1236,$M$4))</f>
        <v/>
      </c>
      <c r="J1236" s="6" t="str">
        <f t="shared" ca="1" si="20"/>
        <v/>
      </c>
    </row>
    <row r="1237" spans="1:10">
      <c r="A1237" s="2" t="str">
        <f ca="1">IF(A1236="","",IF(IF(价差分析!$W$4="日",--[1]!td(A1236-1),IF(价差分析!$W$4="周",--[1]!td(A1236-7),--[1]!td(A1236-30)))-价差分析!$T$4&gt;0,IF(价差分析!$W$4="日",--[1]!td(A1236-1),IF(价差分析!$W$4="周",--[1]!td(A1236-7),--[1]!td(A1236-30))),""))</f>
        <v/>
      </c>
      <c r="B1237" s="1" t="str">
        <f ca="1">IF(A1237="","",[1]!s_dq_close($B$1,A1237,$M$4))</f>
        <v/>
      </c>
      <c r="C1237" s="1" t="str">
        <f ca="1">IF(A1237="","",[1]!s_dq_close($C$1,A1237,$M$4))</f>
        <v/>
      </c>
      <c r="D1237" s="6" t="str">
        <f ca="1">IF($A1237="","",[1]!s_dq_close(D$1,$A1237,$M$4))</f>
        <v/>
      </c>
      <c r="E1237" s="6" t="str">
        <f ca="1">IF($A1237="","",[1]!s_dq_close(E$1,$A1237,$M$4))</f>
        <v/>
      </c>
      <c r="F1237" s="6" t="str">
        <f ca="1">IF($A1237="","",[1]!s_dq_close(F$1,$A1237,$M$4))</f>
        <v/>
      </c>
      <c r="G1237" s="6"/>
      <c r="H1237" s="6" t="str">
        <f ca="1">IF($A1237="","",[1]!s_dq_close(H$1,$A1237,$M$4))</f>
        <v/>
      </c>
      <c r="I1237" s="6" t="str">
        <f ca="1">IF($A1237="","",[1]!s_dq_close(I$1,$A1237,$M$4))</f>
        <v/>
      </c>
      <c r="J1237" s="6" t="str">
        <f t="shared" ca="1" si="20"/>
        <v/>
      </c>
    </row>
    <row r="1238" spans="1:10">
      <c r="A1238" s="2" t="str">
        <f ca="1">IF(A1237="","",IF(IF(价差分析!$W$4="日",--[1]!td(A1237-1),IF(价差分析!$W$4="周",--[1]!td(A1237-7),--[1]!td(A1237-30)))-价差分析!$T$4&gt;0,IF(价差分析!$W$4="日",--[1]!td(A1237-1),IF(价差分析!$W$4="周",--[1]!td(A1237-7),--[1]!td(A1237-30))),""))</f>
        <v/>
      </c>
      <c r="B1238" s="1" t="str">
        <f ca="1">IF(A1238="","",[1]!s_dq_close($B$1,A1238,$M$4))</f>
        <v/>
      </c>
      <c r="C1238" s="1" t="str">
        <f ca="1">IF(A1238="","",[1]!s_dq_close($C$1,A1238,$M$4))</f>
        <v/>
      </c>
      <c r="D1238" s="6" t="str">
        <f ca="1">IF($A1238="","",[1]!s_dq_close(D$1,$A1238,$M$4))</f>
        <v/>
      </c>
      <c r="E1238" s="6" t="str">
        <f ca="1">IF($A1238="","",[1]!s_dq_close(E$1,$A1238,$M$4))</f>
        <v/>
      </c>
      <c r="F1238" s="6" t="str">
        <f ca="1">IF($A1238="","",[1]!s_dq_close(F$1,$A1238,$M$4))</f>
        <v/>
      </c>
      <c r="G1238" s="6"/>
      <c r="H1238" s="6" t="str">
        <f ca="1">IF($A1238="","",[1]!s_dq_close(H$1,$A1238,$M$4))</f>
        <v/>
      </c>
      <c r="I1238" s="6" t="str">
        <f ca="1">IF($A1238="","",[1]!s_dq_close(I$1,$A1238,$M$4))</f>
        <v/>
      </c>
      <c r="J1238" s="6" t="str">
        <f t="shared" ca="1" si="20"/>
        <v/>
      </c>
    </row>
    <row r="1239" spans="1:10">
      <c r="A1239" s="2" t="str">
        <f ca="1">IF(A1238="","",IF(IF(价差分析!$W$4="日",--[1]!td(A1238-1),IF(价差分析!$W$4="周",--[1]!td(A1238-7),--[1]!td(A1238-30)))-价差分析!$T$4&gt;0,IF(价差分析!$W$4="日",--[1]!td(A1238-1),IF(价差分析!$W$4="周",--[1]!td(A1238-7),--[1]!td(A1238-30))),""))</f>
        <v/>
      </c>
      <c r="B1239" s="1" t="str">
        <f ca="1">IF(A1239="","",[1]!s_dq_close($B$1,A1239,$M$4))</f>
        <v/>
      </c>
      <c r="C1239" s="1" t="str">
        <f ca="1">IF(A1239="","",[1]!s_dq_close($C$1,A1239,$M$4))</f>
        <v/>
      </c>
      <c r="D1239" s="6" t="str">
        <f ca="1">IF($A1239="","",[1]!s_dq_close(D$1,$A1239,$M$4))</f>
        <v/>
      </c>
      <c r="E1239" s="6" t="str">
        <f ca="1">IF($A1239="","",[1]!s_dq_close(E$1,$A1239,$M$4))</f>
        <v/>
      </c>
      <c r="F1239" s="6" t="str">
        <f ca="1">IF($A1239="","",[1]!s_dq_close(F$1,$A1239,$M$4))</f>
        <v/>
      </c>
      <c r="G1239" s="6"/>
      <c r="H1239" s="6" t="str">
        <f ca="1">IF($A1239="","",[1]!s_dq_close(H$1,$A1239,$M$4))</f>
        <v/>
      </c>
      <c r="I1239" s="6" t="str">
        <f ca="1">IF($A1239="","",[1]!s_dq_close(I$1,$A1239,$M$4))</f>
        <v/>
      </c>
      <c r="J1239" s="6" t="str">
        <f t="shared" ca="1" si="20"/>
        <v/>
      </c>
    </row>
    <row r="1240" spans="1:10">
      <c r="A1240" s="2" t="str">
        <f ca="1">IF(A1239="","",IF(IF(价差分析!$W$4="日",--[1]!td(A1239-1),IF(价差分析!$W$4="周",--[1]!td(A1239-7),--[1]!td(A1239-30)))-价差分析!$T$4&gt;0,IF(价差分析!$W$4="日",--[1]!td(A1239-1),IF(价差分析!$W$4="周",--[1]!td(A1239-7),--[1]!td(A1239-30))),""))</f>
        <v/>
      </c>
      <c r="B1240" s="1" t="str">
        <f ca="1">IF(A1240="","",[1]!s_dq_close($B$1,A1240,$M$4))</f>
        <v/>
      </c>
      <c r="C1240" s="1" t="str">
        <f ca="1">IF(A1240="","",[1]!s_dq_close($C$1,A1240,$M$4))</f>
        <v/>
      </c>
      <c r="D1240" s="6" t="str">
        <f ca="1">IF($A1240="","",[1]!s_dq_close(D$1,$A1240,$M$4))</f>
        <v/>
      </c>
      <c r="E1240" s="6" t="str">
        <f ca="1">IF($A1240="","",[1]!s_dq_close(E$1,$A1240,$M$4))</f>
        <v/>
      </c>
      <c r="F1240" s="6" t="str">
        <f ca="1">IF($A1240="","",[1]!s_dq_close(F$1,$A1240,$M$4))</f>
        <v/>
      </c>
      <c r="G1240" s="6"/>
      <c r="H1240" s="6" t="str">
        <f ca="1">IF($A1240="","",[1]!s_dq_close(H$1,$A1240,$M$4))</f>
        <v/>
      </c>
      <c r="I1240" s="6" t="str">
        <f ca="1">IF($A1240="","",[1]!s_dq_close(I$1,$A1240,$M$4))</f>
        <v/>
      </c>
      <c r="J1240" s="6" t="str">
        <f t="shared" ca="1" si="20"/>
        <v/>
      </c>
    </row>
    <row r="1241" spans="1:10">
      <c r="A1241" s="2" t="str">
        <f ca="1">IF(A1240="","",IF(IF(价差分析!$W$4="日",--[1]!td(A1240-1),IF(价差分析!$W$4="周",--[1]!td(A1240-7),--[1]!td(A1240-30)))-价差分析!$T$4&gt;0,IF(价差分析!$W$4="日",--[1]!td(A1240-1),IF(价差分析!$W$4="周",--[1]!td(A1240-7),--[1]!td(A1240-30))),""))</f>
        <v/>
      </c>
      <c r="B1241" s="1" t="str">
        <f ca="1">IF(A1241="","",[1]!s_dq_close($B$1,A1241,$M$4))</f>
        <v/>
      </c>
      <c r="C1241" s="1" t="str">
        <f ca="1">IF(A1241="","",[1]!s_dq_close($C$1,A1241,$M$4))</f>
        <v/>
      </c>
      <c r="D1241" s="6" t="str">
        <f ca="1">IF($A1241="","",[1]!s_dq_close(D$1,$A1241,$M$4))</f>
        <v/>
      </c>
      <c r="E1241" s="6" t="str">
        <f ca="1">IF($A1241="","",[1]!s_dq_close(E$1,$A1241,$M$4))</f>
        <v/>
      </c>
      <c r="F1241" s="6" t="str">
        <f ca="1">IF($A1241="","",[1]!s_dq_close(F$1,$A1241,$M$4))</f>
        <v/>
      </c>
      <c r="G1241" s="6"/>
      <c r="H1241" s="6" t="str">
        <f ca="1">IF($A1241="","",[1]!s_dq_close(H$1,$A1241,$M$4))</f>
        <v/>
      </c>
      <c r="I1241" s="6" t="str">
        <f ca="1">IF($A1241="","",[1]!s_dq_close(I$1,$A1241,$M$4))</f>
        <v/>
      </c>
      <c r="J1241" s="6" t="str">
        <f t="shared" ca="1" si="20"/>
        <v/>
      </c>
    </row>
    <row r="1242" spans="1:10">
      <c r="A1242" s="2" t="str">
        <f ca="1">IF(A1241="","",IF(IF(价差分析!$W$4="日",--[1]!td(A1241-1),IF(价差分析!$W$4="周",--[1]!td(A1241-7),--[1]!td(A1241-30)))-价差分析!$T$4&gt;0,IF(价差分析!$W$4="日",--[1]!td(A1241-1),IF(价差分析!$W$4="周",--[1]!td(A1241-7),--[1]!td(A1241-30))),""))</f>
        <v/>
      </c>
      <c r="B1242" s="1" t="str">
        <f ca="1">IF(A1242="","",[1]!s_dq_close($B$1,A1242,$M$4))</f>
        <v/>
      </c>
      <c r="C1242" s="1" t="str">
        <f ca="1">IF(A1242="","",[1]!s_dq_close($C$1,A1242,$M$4))</f>
        <v/>
      </c>
      <c r="D1242" s="6" t="str">
        <f ca="1">IF($A1242="","",[1]!s_dq_close(D$1,$A1242,$M$4))</f>
        <v/>
      </c>
      <c r="E1242" s="6" t="str">
        <f ca="1">IF($A1242="","",[1]!s_dq_close(E$1,$A1242,$M$4))</f>
        <v/>
      </c>
      <c r="F1242" s="6" t="str">
        <f ca="1">IF($A1242="","",[1]!s_dq_close(F$1,$A1242,$M$4))</f>
        <v/>
      </c>
      <c r="G1242" s="6"/>
      <c r="H1242" s="6" t="str">
        <f ca="1">IF($A1242="","",[1]!s_dq_close(H$1,$A1242,$M$4))</f>
        <v/>
      </c>
      <c r="I1242" s="6" t="str">
        <f ca="1">IF($A1242="","",[1]!s_dq_close(I$1,$A1242,$M$4))</f>
        <v/>
      </c>
      <c r="J1242" s="6" t="str">
        <f t="shared" ca="1" si="20"/>
        <v/>
      </c>
    </row>
    <row r="1243" spans="1:10">
      <c r="A1243" s="2" t="str">
        <f ca="1">IF(A1242="","",IF(IF(价差分析!$W$4="日",--[1]!td(A1242-1),IF(价差分析!$W$4="周",--[1]!td(A1242-7),--[1]!td(A1242-30)))-价差分析!$T$4&gt;0,IF(价差分析!$W$4="日",--[1]!td(A1242-1),IF(价差分析!$W$4="周",--[1]!td(A1242-7),--[1]!td(A1242-30))),""))</f>
        <v/>
      </c>
      <c r="B1243" s="1" t="str">
        <f ca="1">IF(A1243="","",[1]!s_dq_close($B$1,A1243,$M$4))</f>
        <v/>
      </c>
      <c r="C1243" s="1" t="str">
        <f ca="1">IF(A1243="","",[1]!s_dq_close($C$1,A1243,$M$4))</f>
        <v/>
      </c>
      <c r="D1243" s="6" t="str">
        <f ca="1">IF($A1243="","",[1]!s_dq_close(D$1,$A1243,$M$4))</f>
        <v/>
      </c>
      <c r="E1243" s="6" t="str">
        <f ca="1">IF($A1243="","",[1]!s_dq_close(E$1,$A1243,$M$4))</f>
        <v/>
      </c>
      <c r="F1243" s="6" t="str">
        <f ca="1">IF($A1243="","",[1]!s_dq_close(F$1,$A1243,$M$4))</f>
        <v/>
      </c>
      <c r="G1243" s="6"/>
      <c r="H1243" s="6" t="str">
        <f ca="1">IF($A1243="","",[1]!s_dq_close(H$1,$A1243,$M$4))</f>
        <v/>
      </c>
      <c r="I1243" s="6" t="str">
        <f ca="1">IF($A1243="","",[1]!s_dq_close(I$1,$A1243,$M$4))</f>
        <v/>
      </c>
      <c r="J1243" s="6" t="str">
        <f t="shared" ca="1" si="20"/>
        <v/>
      </c>
    </row>
    <row r="1244" spans="1:10">
      <c r="A1244" s="2" t="str">
        <f ca="1">IF(A1243="","",IF(IF(价差分析!$W$4="日",--[1]!td(A1243-1),IF(价差分析!$W$4="周",--[1]!td(A1243-7),--[1]!td(A1243-30)))-价差分析!$T$4&gt;0,IF(价差分析!$W$4="日",--[1]!td(A1243-1),IF(价差分析!$W$4="周",--[1]!td(A1243-7),--[1]!td(A1243-30))),""))</f>
        <v/>
      </c>
      <c r="B1244" s="1" t="str">
        <f ca="1">IF(A1244="","",[1]!s_dq_close($B$1,A1244,$M$4))</f>
        <v/>
      </c>
      <c r="C1244" s="1" t="str">
        <f ca="1">IF(A1244="","",[1]!s_dq_close($C$1,A1244,$M$4))</f>
        <v/>
      </c>
      <c r="D1244" s="6" t="str">
        <f ca="1">IF($A1244="","",[1]!s_dq_close(D$1,$A1244,$M$4))</f>
        <v/>
      </c>
      <c r="E1244" s="6" t="str">
        <f ca="1">IF($A1244="","",[1]!s_dq_close(E$1,$A1244,$M$4))</f>
        <v/>
      </c>
      <c r="F1244" s="6" t="str">
        <f ca="1">IF($A1244="","",[1]!s_dq_close(F$1,$A1244,$M$4))</f>
        <v/>
      </c>
      <c r="G1244" s="6"/>
      <c r="H1244" s="6" t="str">
        <f ca="1">IF($A1244="","",[1]!s_dq_close(H$1,$A1244,$M$4))</f>
        <v/>
      </c>
      <c r="I1244" s="6" t="str">
        <f ca="1">IF($A1244="","",[1]!s_dq_close(I$1,$A1244,$M$4))</f>
        <v/>
      </c>
      <c r="J1244" s="6" t="str">
        <f t="shared" ca="1" si="20"/>
        <v/>
      </c>
    </row>
    <row r="1245" spans="1:10">
      <c r="A1245" s="2" t="str">
        <f ca="1">IF(A1244="","",IF(IF(价差分析!$W$4="日",--[1]!td(A1244-1),IF(价差分析!$W$4="周",--[1]!td(A1244-7),--[1]!td(A1244-30)))-价差分析!$T$4&gt;0,IF(价差分析!$W$4="日",--[1]!td(A1244-1),IF(价差分析!$W$4="周",--[1]!td(A1244-7),--[1]!td(A1244-30))),""))</f>
        <v/>
      </c>
      <c r="B1245" s="1" t="str">
        <f ca="1">IF(A1245="","",[1]!s_dq_close($B$1,A1245,$M$4))</f>
        <v/>
      </c>
      <c r="C1245" s="1" t="str">
        <f ca="1">IF(A1245="","",[1]!s_dq_close($C$1,A1245,$M$4))</f>
        <v/>
      </c>
      <c r="D1245" s="6" t="str">
        <f ca="1">IF($A1245="","",[1]!s_dq_close(D$1,$A1245,$M$4))</f>
        <v/>
      </c>
      <c r="E1245" s="6" t="str">
        <f ca="1">IF($A1245="","",[1]!s_dq_close(E$1,$A1245,$M$4))</f>
        <v/>
      </c>
      <c r="F1245" s="6" t="str">
        <f ca="1">IF($A1245="","",[1]!s_dq_close(F$1,$A1245,$M$4))</f>
        <v/>
      </c>
      <c r="G1245" s="6"/>
      <c r="H1245" s="6" t="str">
        <f ca="1">IF($A1245="","",[1]!s_dq_close(H$1,$A1245,$M$4))</f>
        <v/>
      </c>
      <c r="I1245" s="6" t="str">
        <f ca="1">IF($A1245="","",[1]!s_dq_close(I$1,$A1245,$M$4))</f>
        <v/>
      </c>
      <c r="J1245" s="6" t="str">
        <f t="shared" ca="1" si="20"/>
        <v/>
      </c>
    </row>
    <row r="1246" spans="1:10">
      <c r="A1246" s="2" t="str">
        <f ca="1">IF(A1245="","",IF(IF(价差分析!$W$4="日",--[1]!td(A1245-1),IF(价差分析!$W$4="周",--[1]!td(A1245-7),--[1]!td(A1245-30)))-价差分析!$T$4&gt;0,IF(价差分析!$W$4="日",--[1]!td(A1245-1),IF(价差分析!$W$4="周",--[1]!td(A1245-7),--[1]!td(A1245-30))),""))</f>
        <v/>
      </c>
      <c r="B1246" s="1" t="str">
        <f ca="1">IF(A1246="","",[1]!s_dq_close($B$1,A1246,$M$4))</f>
        <v/>
      </c>
      <c r="C1246" s="1" t="str">
        <f ca="1">IF(A1246="","",[1]!s_dq_close($C$1,A1246,$M$4))</f>
        <v/>
      </c>
      <c r="D1246" s="6" t="str">
        <f ca="1">IF($A1246="","",[1]!s_dq_close(D$1,$A1246,$M$4))</f>
        <v/>
      </c>
      <c r="E1246" s="6" t="str">
        <f ca="1">IF($A1246="","",[1]!s_dq_close(E$1,$A1246,$M$4))</f>
        <v/>
      </c>
      <c r="F1246" s="6" t="str">
        <f ca="1">IF($A1246="","",[1]!s_dq_close(F$1,$A1246,$M$4))</f>
        <v/>
      </c>
      <c r="G1246" s="6"/>
      <c r="H1246" s="6" t="str">
        <f ca="1">IF($A1246="","",[1]!s_dq_close(H$1,$A1246,$M$4))</f>
        <v/>
      </c>
      <c r="I1246" s="6" t="str">
        <f ca="1">IF($A1246="","",[1]!s_dq_close(I$1,$A1246,$M$4))</f>
        <v/>
      </c>
      <c r="J1246" s="6" t="str">
        <f t="shared" ca="1" si="20"/>
        <v/>
      </c>
    </row>
    <row r="1247" spans="1:10">
      <c r="A1247" s="2" t="str">
        <f ca="1">IF(A1246="","",IF(IF(价差分析!$W$4="日",--[1]!td(A1246-1),IF(价差分析!$W$4="周",--[1]!td(A1246-7),--[1]!td(A1246-30)))-价差分析!$T$4&gt;0,IF(价差分析!$W$4="日",--[1]!td(A1246-1),IF(价差分析!$W$4="周",--[1]!td(A1246-7),--[1]!td(A1246-30))),""))</f>
        <v/>
      </c>
      <c r="B1247" s="1" t="str">
        <f ca="1">IF(A1247="","",[1]!s_dq_close($B$1,A1247,$M$4))</f>
        <v/>
      </c>
      <c r="C1247" s="1" t="str">
        <f ca="1">IF(A1247="","",[1]!s_dq_close($C$1,A1247,$M$4))</f>
        <v/>
      </c>
      <c r="D1247" s="6" t="str">
        <f ca="1">IF($A1247="","",[1]!s_dq_close(D$1,$A1247,$M$4))</f>
        <v/>
      </c>
      <c r="E1247" s="6" t="str">
        <f ca="1">IF($A1247="","",[1]!s_dq_close(E$1,$A1247,$M$4))</f>
        <v/>
      </c>
      <c r="F1247" s="6" t="str">
        <f ca="1">IF($A1247="","",[1]!s_dq_close(F$1,$A1247,$M$4))</f>
        <v/>
      </c>
      <c r="G1247" s="6"/>
      <c r="H1247" s="6" t="str">
        <f ca="1">IF($A1247="","",[1]!s_dq_close(H$1,$A1247,$M$4))</f>
        <v/>
      </c>
      <c r="I1247" s="6" t="str">
        <f ca="1">IF($A1247="","",[1]!s_dq_close(I$1,$A1247,$M$4))</f>
        <v/>
      </c>
      <c r="J1247" s="6" t="str">
        <f t="shared" ca="1" si="20"/>
        <v/>
      </c>
    </row>
    <row r="1248" spans="1:10">
      <c r="A1248" s="2" t="str">
        <f ca="1">IF(A1247="","",IF(IF(价差分析!$W$4="日",--[1]!td(A1247-1),IF(价差分析!$W$4="周",--[1]!td(A1247-7),--[1]!td(A1247-30)))-价差分析!$T$4&gt;0,IF(价差分析!$W$4="日",--[1]!td(A1247-1),IF(价差分析!$W$4="周",--[1]!td(A1247-7),--[1]!td(A1247-30))),""))</f>
        <v/>
      </c>
      <c r="B1248" s="1" t="str">
        <f ca="1">IF(A1248="","",[1]!s_dq_close($B$1,A1248,$M$4))</f>
        <v/>
      </c>
      <c r="C1248" s="1" t="str">
        <f ca="1">IF(A1248="","",[1]!s_dq_close($C$1,A1248,$M$4))</f>
        <v/>
      </c>
      <c r="D1248" s="6" t="str">
        <f ca="1">IF($A1248="","",[1]!s_dq_close(D$1,$A1248,$M$4))</f>
        <v/>
      </c>
      <c r="E1248" s="6" t="str">
        <f ca="1">IF($A1248="","",[1]!s_dq_close(E$1,$A1248,$M$4))</f>
        <v/>
      </c>
      <c r="F1248" s="6" t="str">
        <f ca="1">IF($A1248="","",[1]!s_dq_close(F$1,$A1248,$M$4))</f>
        <v/>
      </c>
      <c r="G1248" s="6"/>
      <c r="H1248" s="6" t="str">
        <f ca="1">IF($A1248="","",[1]!s_dq_close(H$1,$A1248,$M$4))</f>
        <v/>
      </c>
      <c r="I1248" s="6" t="str">
        <f ca="1">IF($A1248="","",[1]!s_dq_close(I$1,$A1248,$M$4))</f>
        <v/>
      </c>
      <c r="J1248" s="6" t="str">
        <f t="shared" ca="1" si="20"/>
        <v/>
      </c>
    </row>
    <row r="1249" spans="1:10">
      <c r="A1249" s="2" t="str">
        <f ca="1">IF(A1248="","",IF(IF(价差分析!$W$4="日",--[1]!td(A1248-1),IF(价差分析!$W$4="周",--[1]!td(A1248-7),--[1]!td(A1248-30)))-价差分析!$T$4&gt;0,IF(价差分析!$W$4="日",--[1]!td(A1248-1),IF(价差分析!$W$4="周",--[1]!td(A1248-7),--[1]!td(A1248-30))),""))</f>
        <v/>
      </c>
      <c r="B1249" s="1" t="str">
        <f ca="1">IF(A1249="","",[1]!s_dq_close($B$1,A1249,$M$4))</f>
        <v/>
      </c>
      <c r="C1249" s="1" t="str">
        <f ca="1">IF(A1249="","",[1]!s_dq_close($C$1,A1249,$M$4))</f>
        <v/>
      </c>
      <c r="D1249" s="6" t="str">
        <f ca="1">IF($A1249="","",[1]!s_dq_close(D$1,$A1249,$M$4))</f>
        <v/>
      </c>
      <c r="E1249" s="6" t="str">
        <f ca="1">IF($A1249="","",[1]!s_dq_close(E$1,$A1249,$M$4))</f>
        <v/>
      </c>
      <c r="F1249" s="6" t="str">
        <f ca="1">IF($A1249="","",[1]!s_dq_close(F$1,$A1249,$M$4))</f>
        <v/>
      </c>
      <c r="G1249" s="6"/>
      <c r="H1249" s="6" t="str">
        <f ca="1">IF($A1249="","",[1]!s_dq_close(H$1,$A1249,$M$4))</f>
        <v/>
      </c>
      <c r="I1249" s="6" t="str">
        <f ca="1">IF($A1249="","",[1]!s_dq_close(I$1,$A1249,$M$4))</f>
        <v/>
      </c>
      <c r="J1249" s="6" t="str">
        <f t="shared" ca="1" si="20"/>
        <v/>
      </c>
    </row>
    <row r="1250" spans="1:10">
      <c r="A1250" s="2" t="str">
        <f ca="1">IF(A1249="","",IF(IF(价差分析!$W$4="日",--[1]!td(A1249-1),IF(价差分析!$W$4="周",--[1]!td(A1249-7),--[1]!td(A1249-30)))-价差分析!$T$4&gt;0,IF(价差分析!$W$4="日",--[1]!td(A1249-1),IF(价差分析!$W$4="周",--[1]!td(A1249-7),--[1]!td(A1249-30))),""))</f>
        <v/>
      </c>
      <c r="B1250" s="1" t="str">
        <f ca="1">IF(A1250="","",[1]!s_dq_close($B$1,A1250,$M$4))</f>
        <v/>
      </c>
      <c r="C1250" s="1" t="str">
        <f ca="1">IF(A1250="","",[1]!s_dq_close($C$1,A1250,$M$4))</f>
        <v/>
      </c>
      <c r="D1250" s="6" t="str">
        <f ca="1">IF($A1250="","",[1]!s_dq_close(D$1,$A1250,$M$4))</f>
        <v/>
      </c>
      <c r="E1250" s="6" t="str">
        <f ca="1">IF($A1250="","",[1]!s_dq_close(E$1,$A1250,$M$4))</f>
        <v/>
      </c>
      <c r="F1250" s="6" t="str">
        <f ca="1">IF($A1250="","",[1]!s_dq_close(F$1,$A1250,$M$4))</f>
        <v/>
      </c>
      <c r="G1250" s="6"/>
      <c r="H1250" s="6" t="str">
        <f ca="1">IF($A1250="","",[1]!s_dq_close(H$1,$A1250,$M$4))</f>
        <v/>
      </c>
      <c r="I1250" s="6" t="str">
        <f ca="1">IF($A1250="","",[1]!s_dq_close(I$1,$A1250,$M$4))</f>
        <v/>
      </c>
      <c r="J1250" s="6" t="str">
        <f t="shared" ca="1" si="20"/>
        <v/>
      </c>
    </row>
    <row r="1251" spans="1:10">
      <c r="A1251" s="2" t="str">
        <f ca="1">IF(A1250="","",IF(IF(价差分析!$W$4="日",--[1]!td(A1250-1),IF(价差分析!$W$4="周",--[1]!td(A1250-7),--[1]!td(A1250-30)))-价差分析!$T$4&gt;0,IF(价差分析!$W$4="日",--[1]!td(A1250-1),IF(价差分析!$W$4="周",--[1]!td(A1250-7),--[1]!td(A1250-30))),""))</f>
        <v/>
      </c>
      <c r="B1251" s="1" t="str">
        <f ca="1">IF(A1251="","",[1]!s_dq_close($B$1,A1251,$M$4))</f>
        <v/>
      </c>
      <c r="C1251" s="1" t="str">
        <f ca="1">IF(A1251="","",[1]!s_dq_close($C$1,A1251,$M$4))</f>
        <v/>
      </c>
      <c r="D1251" s="6" t="str">
        <f ca="1">IF($A1251="","",[1]!s_dq_close(D$1,$A1251,$M$4))</f>
        <v/>
      </c>
      <c r="E1251" s="6" t="str">
        <f ca="1">IF($A1251="","",[1]!s_dq_close(E$1,$A1251,$M$4))</f>
        <v/>
      </c>
      <c r="F1251" s="6" t="str">
        <f ca="1">IF($A1251="","",[1]!s_dq_close(F$1,$A1251,$M$4))</f>
        <v/>
      </c>
      <c r="G1251" s="6"/>
      <c r="H1251" s="6" t="str">
        <f ca="1">IF($A1251="","",[1]!s_dq_close(H$1,$A1251,$M$4))</f>
        <v/>
      </c>
      <c r="I1251" s="6" t="str">
        <f ca="1">IF($A1251="","",[1]!s_dq_close(I$1,$A1251,$M$4))</f>
        <v/>
      </c>
      <c r="J1251" s="6" t="str">
        <f t="shared" ca="1" si="20"/>
        <v/>
      </c>
    </row>
    <row r="1252" spans="1:10">
      <c r="A1252" s="2" t="str">
        <f ca="1">IF(A1251="","",IF(IF(价差分析!$W$4="日",--[1]!td(A1251-1),IF(价差分析!$W$4="周",--[1]!td(A1251-7),--[1]!td(A1251-30)))-价差分析!$T$4&gt;0,IF(价差分析!$W$4="日",--[1]!td(A1251-1),IF(价差分析!$W$4="周",--[1]!td(A1251-7),--[1]!td(A1251-30))),""))</f>
        <v/>
      </c>
      <c r="B1252" s="1" t="str">
        <f ca="1">IF(A1252="","",[1]!s_dq_close($B$1,A1252,$M$4))</f>
        <v/>
      </c>
      <c r="C1252" s="1" t="str">
        <f ca="1">IF(A1252="","",[1]!s_dq_close($C$1,A1252,$M$4))</f>
        <v/>
      </c>
      <c r="D1252" s="6" t="str">
        <f ca="1">IF($A1252="","",[1]!s_dq_close(D$1,$A1252,$M$4))</f>
        <v/>
      </c>
      <c r="E1252" s="6" t="str">
        <f ca="1">IF($A1252="","",[1]!s_dq_close(E$1,$A1252,$M$4))</f>
        <v/>
      </c>
      <c r="F1252" s="6" t="str">
        <f ca="1">IF($A1252="","",[1]!s_dq_close(F$1,$A1252,$M$4))</f>
        <v/>
      </c>
      <c r="G1252" s="6"/>
      <c r="H1252" s="6" t="str">
        <f ca="1">IF($A1252="","",[1]!s_dq_close(H$1,$A1252,$M$4))</f>
        <v/>
      </c>
      <c r="I1252" s="6" t="str">
        <f ca="1">IF($A1252="","",[1]!s_dq_close(I$1,$A1252,$M$4))</f>
        <v/>
      </c>
      <c r="J1252" s="6" t="str">
        <f t="shared" ca="1" si="20"/>
        <v/>
      </c>
    </row>
    <row r="1253" spans="1:10">
      <c r="A1253" s="2" t="str">
        <f ca="1">IF(A1252="","",IF(IF(价差分析!$W$4="日",--[1]!td(A1252-1),IF(价差分析!$W$4="周",--[1]!td(A1252-7),--[1]!td(A1252-30)))-价差分析!$T$4&gt;0,IF(价差分析!$W$4="日",--[1]!td(A1252-1),IF(价差分析!$W$4="周",--[1]!td(A1252-7),--[1]!td(A1252-30))),""))</f>
        <v/>
      </c>
      <c r="B1253" s="1" t="str">
        <f ca="1">IF(A1253="","",[1]!s_dq_close($B$1,A1253,$M$4))</f>
        <v/>
      </c>
      <c r="C1253" s="1" t="str">
        <f ca="1">IF(A1253="","",[1]!s_dq_close($C$1,A1253,$M$4))</f>
        <v/>
      </c>
      <c r="D1253" s="6" t="str">
        <f ca="1">IF($A1253="","",[1]!s_dq_close(D$1,$A1253,$M$4))</f>
        <v/>
      </c>
      <c r="E1253" s="6" t="str">
        <f ca="1">IF($A1253="","",[1]!s_dq_close(E$1,$A1253,$M$4))</f>
        <v/>
      </c>
      <c r="F1253" s="6" t="str">
        <f ca="1">IF($A1253="","",[1]!s_dq_close(F$1,$A1253,$M$4))</f>
        <v/>
      </c>
      <c r="G1253" s="6"/>
      <c r="H1253" s="6" t="str">
        <f ca="1">IF($A1253="","",[1]!s_dq_close(H$1,$A1253,$M$4))</f>
        <v/>
      </c>
      <c r="I1253" s="6" t="str">
        <f ca="1">IF($A1253="","",[1]!s_dq_close(I$1,$A1253,$M$4))</f>
        <v/>
      </c>
      <c r="J1253" s="6" t="str">
        <f t="shared" ca="1" si="20"/>
        <v/>
      </c>
    </row>
    <row r="1254" spans="1:10">
      <c r="A1254" s="2" t="str">
        <f ca="1">IF(A1253="","",IF(IF(价差分析!$W$4="日",--[1]!td(A1253-1),IF(价差分析!$W$4="周",--[1]!td(A1253-7),--[1]!td(A1253-30)))-价差分析!$T$4&gt;0,IF(价差分析!$W$4="日",--[1]!td(A1253-1),IF(价差分析!$W$4="周",--[1]!td(A1253-7),--[1]!td(A1253-30))),""))</f>
        <v/>
      </c>
      <c r="B1254" s="1" t="str">
        <f ca="1">IF(A1254="","",[1]!s_dq_close($B$1,A1254,$M$4))</f>
        <v/>
      </c>
      <c r="C1254" s="1" t="str">
        <f ca="1">IF(A1254="","",[1]!s_dq_close($C$1,A1254,$M$4))</f>
        <v/>
      </c>
      <c r="D1254" s="6" t="str">
        <f ca="1">IF($A1254="","",[1]!s_dq_close(D$1,$A1254,$M$4))</f>
        <v/>
      </c>
      <c r="E1254" s="6" t="str">
        <f ca="1">IF($A1254="","",[1]!s_dq_close(E$1,$A1254,$M$4))</f>
        <v/>
      </c>
      <c r="F1254" s="6" t="str">
        <f ca="1">IF($A1254="","",[1]!s_dq_close(F$1,$A1254,$M$4))</f>
        <v/>
      </c>
      <c r="G1254" s="6"/>
      <c r="H1254" s="6" t="str">
        <f ca="1">IF($A1254="","",[1]!s_dq_close(H$1,$A1254,$M$4))</f>
        <v/>
      </c>
      <c r="I1254" s="6" t="str">
        <f ca="1">IF($A1254="","",[1]!s_dq_close(I$1,$A1254,$M$4))</f>
        <v/>
      </c>
      <c r="J1254" s="6" t="str">
        <f t="shared" ca="1" si="20"/>
        <v/>
      </c>
    </row>
    <row r="1255" spans="1:10">
      <c r="A1255" s="2" t="str">
        <f ca="1">IF(A1254="","",IF(IF(价差分析!$W$4="日",--[1]!td(A1254-1),IF(价差分析!$W$4="周",--[1]!td(A1254-7),--[1]!td(A1254-30)))-价差分析!$T$4&gt;0,IF(价差分析!$W$4="日",--[1]!td(A1254-1),IF(价差分析!$W$4="周",--[1]!td(A1254-7),--[1]!td(A1254-30))),""))</f>
        <v/>
      </c>
      <c r="B1255" s="1" t="str">
        <f ca="1">IF(A1255="","",[1]!s_dq_close($B$1,A1255,$M$4))</f>
        <v/>
      </c>
      <c r="C1255" s="1" t="str">
        <f ca="1">IF(A1255="","",[1]!s_dq_close($C$1,A1255,$M$4))</f>
        <v/>
      </c>
      <c r="D1255" s="6" t="str">
        <f ca="1">IF($A1255="","",[1]!s_dq_close(D$1,$A1255,$M$4))</f>
        <v/>
      </c>
      <c r="E1255" s="6" t="str">
        <f ca="1">IF($A1255="","",[1]!s_dq_close(E$1,$A1255,$M$4))</f>
        <v/>
      </c>
      <c r="F1255" s="6" t="str">
        <f ca="1">IF($A1255="","",[1]!s_dq_close(F$1,$A1255,$M$4))</f>
        <v/>
      </c>
      <c r="G1255" s="6"/>
      <c r="H1255" s="6" t="str">
        <f ca="1">IF($A1255="","",[1]!s_dq_close(H$1,$A1255,$M$4))</f>
        <v/>
      </c>
      <c r="I1255" s="6" t="str">
        <f ca="1">IF($A1255="","",[1]!s_dq_close(I$1,$A1255,$M$4))</f>
        <v/>
      </c>
      <c r="J1255" s="6" t="str">
        <f t="shared" ca="1" si="20"/>
        <v/>
      </c>
    </row>
    <row r="1256" spans="1:10">
      <c r="A1256" s="2" t="str">
        <f ca="1">IF(A1255="","",IF(IF(价差分析!$W$4="日",--[1]!td(A1255-1),IF(价差分析!$W$4="周",--[1]!td(A1255-7),--[1]!td(A1255-30)))-价差分析!$T$4&gt;0,IF(价差分析!$W$4="日",--[1]!td(A1255-1),IF(价差分析!$W$4="周",--[1]!td(A1255-7),--[1]!td(A1255-30))),""))</f>
        <v/>
      </c>
      <c r="B1256" s="1" t="str">
        <f ca="1">IF(A1256="","",[1]!s_dq_close($B$1,A1256,$M$4))</f>
        <v/>
      </c>
      <c r="C1256" s="1" t="str">
        <f ca="1">IF(A1256="","",[1]!s_dq_close($C$1,A1256,$M$4))</f>
        <v/>
      </c>
      <c r="D1256" s="6" t="str">
        <f ca="1">IF($A1256="","",[1]!s_dq_close(D$1,$A1256,$M$4))</f>
        <v/>
      </c>
      <c r="E1256" s="6" t="str">
        <f ca="1">IF($A1256="","",[1]!s_dq_close(E$1,$A1256,$M$4))</f>
        <v/>
      </c>
      <c r="F1256" s="6" t="str">
        <f ca="1">IF($A1256="","",[1]!s_dq_close(F$1,$A1256,$M$4))</f>
        <v/>
      </c>
      <c r="G1256" s="6"/>
      <c r="H1256" s="6" t="str">
        <f ca="1">IF($A1256="","",[1]!s_dq_close(H$1,$A1256,$M$4))</f>
        <v/>
      </c>
      <c r="I1256" s="6" t="str">
        <f ca="1">IF($A1256="","",[1]!s_dq_close(I$1,$A1256,$M$4))</f>
        <v/>
      </c>
      <c r="J1256" s="6" t="str">
        <f t="shared" ca="1" si="20"/>
        <v/>
      </c>
    </row>
    <row r="1257" spans="1:10">
      <c r="A1257" s="2" t="str">
        <f ca="1">IF(A1256="","",IF(IF(价差分析!$W$4="日",--[1]!td(A1256-1),IF(价差分析!$W$4="周",--[1]!td(A1256-7),--[1]!td(A1256-30)))-价差分析!$T$4&gt;0,IF(价差分析!$W$4="日",--[1]!td(A1256-1),IF(价差分析!$W$4="周",--[1]!td(A1256-7),--[1]!td(A1256-30))),""))</f>
        <v/>
      </c>
      <c r="B1257" s="1" t="str">
        <f ca="1">IF(A1257="","",[1]!s_dq_close($B$1,A1257,$M$4))</f>
        <v/>
      </c>
      <c r="C1257" s="1" t="str">
        <f ca="1">IF(A1257="","",[1]!s_dq_close($C$1,A1257,$M$4))</f>
        <v/>
      </c>
      <c r="D1257" s="6" t="str">
        <f ca="1">IF($A1257="","",[1]!s_dq_close(D$1,$A1257,$M$4))</f>
        <v/>
      </c>
      <c r="E1257" s="6" t="str">
        <f ca="1">IF($A1257="","",[1]!s_dq_close(E$1,$A1257,$M$4))</f>
        <v/>
      </c>
      <c r="F1257" s="6" t="str">
        <f ca="1">IF($A1257="","",[1]!s_dq_close(F$1,$A1257,$M$4))</f>
        <v/>
      </c>
      <c r="G1257" s="6"/>
      <c r="H1257" s="6" t="str">
        <f ca="1">IF($A1257="","",[1]!s_dq_close(H$1,$A1257,$M$4))</f>
        <v/>
      </c>
      <c r="I1257" s="6" t="str">
        <f ca="1">IF($A1257="","",[1]!s_dq_close(I$1,$A1257,$M$4))</f>
        <v/>
      </c>
      <c r="J1257" s="6" t="str">
        <f t="shared" ca="1" si="20"/>
        <v/>
      </c>
    </row>
    <row r="1258" spans="1:10">
      <c r="A1258" s="2" t="str">
        <f ca="1">IF(A1257="","",IF(IF(价差分析!$W$4="日",--[1]!td(A1257-1),IF(价差分析!$W$4="周",--[1]!td(A1257-7),--[1]!td(A1257-30)))-价差分析!$T$4&gt;0,IF(价差分析!$W$4="日",--[1]!td(A1257-1),IF(价差分析!$W$4="周",--[1]!td(A1257-7),--[1]!td(A1257-30))),""))</f>
        <v/>
      </c>
      <c r="B1258" s="1" t="str">
        <f ca="1">IF(A1258="","",[1]!s_dq_close($B$1,A1258,$M$4))</f>
        <v/>
      </c>
      <c r="C1258" s="1" t="str">
        <f ca="1">IF(A1258="","",[1]!s_dq_close($C$1,A1258,$M$4))</f>
        <v/>
      </c>
      <c r="D1258" s="6" t="str">
        <f ca="1">IF($A1258="","",[1]!s_dq_close(D$1,$A1258,$M$4))</f>
        <v/>
      </c>
      <c r="E1258" s="6" t="str">
        <f ca="1">IF($A1258="","",[1]!s_dq_close(E$1,$A1258,$M$4))</f>
        <v/>
      </c>
      <c r="F1258" s="6" t="str">
        <f ca="1">IF($A1258="","",[1]!s_dq_close(F$1,$A1258,$M$4))</f>
        <v/>
      </c>
      <c r="G1258" s="6"/>
      <c r="H1258" s="6" t="str">
        <f ca="1">IF($A1258="","",[1]!s_dq_close(H$1,$A1258,$M$4))</f>
        <v/>
      </c>
      <c r="I1258" s="6" t="str">
        <f ca="1">IF($A1258="","",[1]!s_dq_close(I$1,$A1258,$M$4))</f>
        <v/>
      </c>
      <c r="J1258" s="6" t="str">
        <f t="shared" ca="1" si="20"/>
        <v/>
      </c>
    </row>
    <row r="1259" spans="1:10">
      <c r="A1259" s="2" t="str">
        <f ca="1">IF(A1258="","",IF(IF(价差分析!$W$4="日",--[1]!td(A1258-1),IF(价差分析!$W$4="周",--[1]!td(A1258-7),--[1]!td(A1258-30)))-价差分析!$T$4&gt;0,IF(价差分析!$W$4="日",--[1]!td(A1258-1),IF(价差分析!$W$4="周",--[1]!td(A1258-7),--[1]!td(A1258-30))),""))</f>
        <v/>
      </c>
      <c r="B1259" s="1" t="str">
        <f ca="1">IF(A1259="","",[1]!s_dq_close($B$1,A1259,$M$4))</f>
        <v/>
      </c>
      <c r="C1259" s="1" t="str">
        <f ca="1">IF(A1259="","",[1]!s_dq_close($C$1,A1259,$M$4))</f>
        <v/>
      </c>
      <c r="D1259" s="6" t="str">
        <f ca="1">IF($A1259="","",[1]!s_dq_close(D$1,$A1259,$M$4))</f>
        <v/>
      </c>
      <c r="E1259" s="6" t="str">
        <f ca="1">IF($A1259="","",[1]!s_dq_close(E$1,$A1259,$M$4))</f>
        <v/>
      </c>
      <c r="F1259" s="6" t="str">
        <f ca="1">IF($A1259="","",[1]!s_dq_close(F$1,$A1259,$M$4))</f>
        <v/>
      </c>
      <c r="G1259" s="6"/>
      <c r="H1259" s="6" t="str">
        <f ca="1">IF($A1259="","",[1]!s_dq_close(H$1,$A1259,$M$4))</f>
        <v/>
      </c>
      <c r="I1259" s="6" t="str">
        <f ca="1">IF($A1259="","",[1]!s_dq_close(I$1,$A1259,$M$4))</f>
        <v/>
      </c>
      <c r="J1259" s="6" t="str">
        <f t="shared" ca="1" si="20"/>
        <v/>
      </c>
    </row>
    <row r="1260" spans="1:10">
      <c r="A1260" s="2" t="str">
        <f ca="1">IF(A1259="","",IF(IF(价差分析!$W$4="日",--[1]!td(A1259-1),IF(价差分析!$W$4="周",--[1]!td(A1259-7),--[1]!td(A1259-30)))-价差分析!$T$4&gt;0,IF(价差分析!$W$4="日",--[1]!td(A1259-1),IF(价差分析!$W$4="周",--[1]!td(A1259-7),--[1]!td(A1259-30))),""))</f>
        <v/>
      </c>
      <c r="B1260" s="1" t="str">
        <f ca="1">IF(A1260="","",[1]!s_dq_close($B$1,A1260,$M$4))</f>
        <v/>
      </c>
      <c r="C1260" s="1" t="str">
        <f ca="1">IF(A1260="","",[1]!s_dq_close($C$1,A1260,$M$4))</f>
        <v/>
      </c>
      <c r="D1260" s="6" t="str">
        <f ca="1">IF($A1260="","",[1]!s_dq_close(D$1,$A1260,$M$4))</f>
        <v/>
      </c>
      <c r="E1260" s="6" t="str">
        <f ca="1">IF($A1260="","",[1]!s_dq_close(E$1,$A1260,$M$4))</f>
        <v/>
      </c>
      <c r="F1260" s="6" t="str">
        <f ca="1">IF($A1260="","",[1]!s_dq_close(F$1,$A1260,$M$4))</f>
        <v/>
      </c>
      <c r="G1260" s="6"/>
      <c r="H1260" s="6" t="str">
        <f ca="1">IF($A1260="","",[1]!s_dq_close(H$1,$A1260,$M$4))</f>
        <v/>
      </c>
      <c r="I1260" s="6" t="str">
        <f ca="1">IF($A1260="","",[1]!s_dq_close(I$1,$A1260,$M$4))</f>
        <v/>
      </c>
      <c r="J1260" s="6" t="str">
        <f t="shared" ca="1" si="20"/>
        <v/>
      </c>
    </row>
    <row r="1261" spans="1:10">
      <c r="A1261" s="2" t="str">
        <f ca="1">IF(A1260="","",IF(IF(价差分析!$W$4="日",--[1]!td(A1260-1),IF(价差分析!$W$4="周",--[1]!td(A1260-7),--[1]!td(A1260-30)))-价差分析!$T$4&gt;0,IF(价差分析!$W$4="日",--[1]!td(A1260-1),IF(价差分析!$W$4="周",--[1]!td(A1260-7),--[1]!td(A1260-30))),""))</f>
        <v/>
      </c>
      <c r="B1261" s="1" t="str">
        <f ca="1">IF(A1261="","",[1]!s_dq_close($B$1,A1261,$M$4))</f>
        <v/>
      </c>
      <c r="C1261" s="1" t="str">
        <f ca="1">IF(A1261="","",[1]!s_dq_close($C$1,A1261,$M$4))</f>
        <v/>
      </c>
      <c r="D1261" s="6" t="str">
        <f ca="1">IF($A1261="","",[1]!s_dq_close(D$1,$A1261,$M$4))</f>
        <v/>
      </c>
      <c r="E1261" s="6" t="str">
        <f ca="1">IF($A1261="","",[1]!s_dq_close(E$1,$A1261,$M$4))</f>
        <v/>
      </c>
      <c r="F1261" s="6" t="str">
        <f ca="1">IF($A1261="","",[1]!s_dq_close(F$1,$A1261,$M$4))</f>
        <v/>
      </c>
      <c r="G1261" s="6"/>
      <c r="H1261" s="6" t="str">
        <f ca="1">IF($A1261="","",[1]!s_dq_close(H$1,$A1261,$M$4))</f>
        <v/>
      </c>
      <c r="I1261" s="6" t="str">
        <f ca="1">IF($A1261="","",[1]!s_dq_close(I$1,$A1261,$M$4))</f>
        <v/>
      </c>
      <c r="J1261" s="6" t="str">
        <f t="shared" ca="1" si="20"/>
        <v/>
      </c>
    </row>
    <row r="1262" spans="1:10">
      <c r="A1262" s="2" t="str">
        <f ca="1">IF(A1261="","",IF(IF(价差分析!$W$4="日",--[1]!td(A1261-1),IF(价差分析!$W$4="周",--[1]!td(A1261-7),--[1]!td(A1261-30)))-价差分析!$T$4&gt;0,IF(价差分析!$W$4="日",--[1]!td(A1261-1),IF(价差分析!$W$4="周",--[1]!td(A1261-7),--[1]!td(A1261-30))),""))</f>
        <v/>
      </c>
      <c r="B1262" s="1" t="str">
        <f ca="1">IF(A1262="","",[1]!s_dq_close($B$1,A1262,$M$4))</f>
        <v/>
      </c>
      <c r="C1262" s="1" t="str">
        <f ca="1">IF(A1262="","",[1]!s_dq_close($C$1,A1262,$M$4))</f>
        <v/>
      </c>
      <c r="D1262" s="6" t="str">
        <f ca="1">IF($A1262="","",[1]!s_dq_close(D$1,$A1262,$M$4))</f>
        <v/>
      </c>
      <c r="E1262" s="6" t="str">
        <f ca="1">IF($A1262="","",[1]!s_dq_close(E$1,$A1262,$M$4))</f>
        <v/>
      </c>
      <c r="F1262" s="6" t="str">
        <f ca="1">IF($A1262="","",[1]!s_dq_close(F$1,$A1262,$M$4))</f>
        <v/>
      </c>
      <c r="G1262" s="6"/>
      <c r="H1262" s="6" t="str">
        <f ca="1">IF($A1262="","",[1]!s_dq_close(H$1,$A1262,$M$4))</f>
        <v/>
      </c>
      <c r="I1262" s="6" t="str">
        <f ca="1">IF($A1262="","",[1]!s_dq_close(I$1,$A1262,$M$4))</f>
        <v/>
      </c>
      <c r="J1262" s="6" t="str">
        <f t="shared" ca="1" si="20"/>
        <v/>
      </c>
    </row>
    <row r="1263" spans="1:10">
      <c r="A1263" s="2" t="str">
        <f ca="1">IF(A1262="","",IF(IF(价差分析!$W$4="日",--[1]!td(A1262-1),IF(价差分析!$W$4="周",--[1]!td(A1262-7),--[1]!td(A1262-30)))-价差分析!$T$4&gt;0,IF(价差分析!$W$4="日",--[1]!td(A1262-1),IF(价差分析!$W$4="周",--[1]!td(A1262-7),--[1]!td(A1262-30))),""))</f>
        <v/>
      </c>
      <c r="B1263" s="1" t="str">
        <f ca="1">IF(A1263="","",[1]!s_dq_close($B$1,A1263,$M$4))</f>
        <v/>
      </c>
      <c r="C1263" s="1" t="str">
        <f ca="1">IF(A1263="","",[1]!s_dq_close($C$1,A1263,$M$4))</f>
        <v/>
      </c>
      <c r="D1263" s="6" t="str">
        <f ca="1">IF($A1263="","",[1]!s_dq_close(D$1,$A1263,$M$4))</f>
        <v/>
      </c>
      <c r="E1263" s="6" t="str">
        <f ca="1">IF($A1263="","",[1]!s_dq_close(E$1,$A1263,$M$4))</f>
        <v/>
      </c>
      <c r="F1263" s="6" t="str">
        <f ca="1">IF($A1263="","",[1]!s_dq_close(F$1,$A1263,$M$4))</f>
        <v/>
      </c>
      <c r="G1263" s="6"/>
      <c r="H1263" s="6" t="str">
        <f ca="1">IF($A1263="","",[1]!s_dq_close(H$1,$A1263,$M$4))</f>
        <v/>
      </c>
      <c r="I1263" s="6" t="str">
        <f ca="1">IF($A1263="","",[1]!s_dq_close(I$1,$A1263,$M$4))</f>
        <v/>
      </c>
      <c r="J1263" s="6" t="str">
        <f t="shared" ca="1" si="20"/>
        <v/>
      </c>
    </row>
    <row r="1264" spans="1:10">
      <c r="A1264" s="2" t="str">
        <f ca="1">IF(A1263="","",IF(IF(价差分析!$W$4="日",--[1]!td(A1263-1),IF(价差分析!$W$4="周",--[1]!td(A1263-7),--[1]!td(A1263-30)))-价差分析!$T$4&gt;0,IF(价差分析!$W$4="日",--[1]!td(A1263-1),IF(价差分析!$W$4="周",--[1]!td(A1263-7),--[1]!td(A1263-30))),""))</f>
        <v/>
      </c>
      <c r="B1264" s="1" t="str">
        <f ca="1">IF(A1264="","",[1]!s_dq_close($B$1,A1264,$M$4))</f>
        <v/>
      </c>
      <c r="C1264" s="1" t="str">
        <f ca="1">IF(A1264="","",[1]!s_dq_close($C$1,A1264,$M$4))</f>
        <v/>
      </c>
      <c r="D1264" s="6" t="str">
        <f ca="1">IF($A1264="","",[1]!s_dq_close(D$1,$A1264,$M$4))</f>
        <v/>
      </c>
      <c r="E1264" s="6" t="str">
        <f ca="1">IF($A1264="","",[1]!s_dq_close(E$1,$A1264,$M$4))</f>
        <v/>
      </c>
      <c r="F1264" s="6" t="str">
        <f ca="1">IF($A1264="","",[1]!s_dq_close(F$1,$A1264,$M$4))</f>
        <v/>
      </c>
      <c r="G1264" s="6"/>
      <c r="H1264" s="6" t="str">
        <f ca="1">IF($A1264="","",[1]!s_dq_close(H$1,$A1264,$M$4))</f>
        <v/>
      </c>
      <c r="I1264" s="6" t="str">
        <f ca="1">IF($A1264="","",[1]!s_dq_close(I$1,$A1264,$M$4))</f>
        <v/>
      </c>
      <c r="J1264" s="6" t="str">
        <f t="shared" ca="1" si="20"/>
        <v/>
      </c>
    </row>
    <row r="1265" spans="1:10">
      <c r="A1265" s="2" t="str">
        <f ca="1">IF(A1264="","",IF(IF(价差分析!$W$4="日",--[1]!td(A1264-1),IF(价差分析!$W$4="周",--[1]!td(A1264-7),--[1]!td(A1264-30)))-价差分析!$T$4&gt;0,IF(价差分析!$W$4="日",--[1]!td(A1264-1),IF(价差分析!$W$4="周",--[1]!td(A1264-7),--[1]!td(A1264-30))),""))</f>
        <v/>
      </c>
      <c r="B1265" s="1" t="str">
        <f ca="1">IF(A1265="","",[1]!s_dq_close($B$1,A1265,$M$4))</f>
        <v/>
      </c>
      <c r="C1265" s="1" t="str">
        <f ca="1">IF(A1265="","",[1]!s_dq_close($C$1,A1265,$M$4))</f>
        <v/>
      </c>
      <c r="D1265" s="6" t="str">
        <f ca="1">IF($A1265="","",[1]!s_dq_close(D$1,$A1265,$M$4))</f>
        <v/>
      </c>
      <c r="E1265" s="6" t="str">
        <f ca="1">IF($A1265="","",[1]!s_dq_close(E$1,$A1265,$M$4))</f>
        <v/>
      </c>
      <c r="F1265" s="6" t="str">
        <f ca="1">IF($A1265="","",[1]!s_dq_close(F$1,$A1265,$M$4))</f>
        <v/>
      </c>
      <c r="G1265" s="6"/>
      <c r="H1265" s="6" t="str">
        <f ca="1">IF($A1265="","",[1]!s_dq_close(H$1,$A1265,$M$4))</f>
        <v/>
      </c>
      <c r="I1265" s="6" t="str">
        <f ca="1">IF($A1265="","",[1]!s_dq_close(I$1,$A1265,$M$4))</f>
        <v/>
      </c>
      <c r="J1265" s="6" t="str">
        <f t="shared" ca="1" si="20"/>
        <v/>
      </c>
    </row>
    <row r="1266" spans="1:10">
      <c r="A1266" s="2" t="str">
        <f ca="1">IF(A1265="","",IF(IF(价差分析!$W$4="日",--[1]!td(A1265-1),IF(价差分析!$W$4="周",--[1]!td(A1265-7),--[1]!td(A1265-30)))-价差分析!$T$4&gt;0,IF(价差分析!$W$4="日",--[1]!td(A1265-1),IF(价差分析!$W$4="周",--[1]!td(A1265-7),--[1]!td(A1265-30))),""))</f>
        <v/>
      </c>
      <c r="B1266" s="1" t="str">
        <f ca="1">IF(A1266="","",[1]!s_dq_close($B$1,A1266,$M$4))</f>
        <v/>
      </c>
      <c r="C1266" s="1" t="str">
        <f ca="1">IF(A1266="","",[1]!s_dq_close($C$1,A1266,$M$4))</f>
        <v/>
      </c>
      <c r="D1266" s="6" t="str">
        <f ca="1">IF($A1266="","",[1]!s_dq_close(D$1,$A1266,$M$4))</f>
        <v/>
      </c>
      <c r="E1266" s="6" t="str">
        <f ca="1">IF($A1266="","",[1]!s_dq_close(E$1,$A1266,$M$4))</f>
        <v/>
      </c>
      <c r="F1266" s="6" t="str">
        <f ca="1">IF($A1266="","",[1]!s_dq_close(F$1,$A1266,$M$4))</f>
        <v/>
      </c>
      <c r="G1266" s="6"/>
      <c r="H1266" s="6" t="str">
        <f ca="1">IF($A1266="","",[1]!s_dq_close(H$1,$A1266,$M$4))</f>
        <v/>
      </c>
      <c r="I1266" s="6" t="str">
        <f ca="1">IF($A1266="","",[1]!s_dq_close(I$1,$A1266,$M$4))</f>
        <v/>
      </c>
      <c r="J1266" s="6" t="str">
        <f t="shared" ca="1" si="20"/>
        <v/>
      </c>
    </row>
    <row r="1267" spans="1:10">
      <c r="A1267" s="2" t="str">
        <f ca="1">IF(A1266="","",IF(IF(价差分析!$W$4="日",--[1]!td(A1266-1),IF(价差分析!$W$4="周",--[1]!td(A1266-7),--[1]!td(A1266-30)))-价差分析!$T$4&gt;0,IF(价差分析!$W$4="日",--[1]!td(A1266-1),IF(价差分析!$W$4="周",--[1]!td(A1266-7),--[1]!td(A1266-30))),""))</f>
        <v/>
      </c>
      <c r="B1267" s="1" t="str">
        <f ca="1">IF(A1267="","",[1]!s_dq_close($B$1,A1267,$M$4))</f>
        <v/>
      </c>
      <c r="C1267" s="1" t="str">
        <f ca="1">IF(A1267="","",[1]!s_dq_close($C$1,A1267,$M$4))</f>
        <v/>
      </c>
      <c r="D1267" s="6" t="str">
        <f ca="1">IF($A1267="","",[1]!s_dq_close(D$1,$A1267,$M$4))</f>
        <v/>
      </c>
      <c r="E1267" s="6" t="str">
        <f ca="1">IF($A1267="","",[1]!s_dq_close(E$1,$A1267,$M$4))</f>
        <v/>
      </c>
      <c r="F1267" s="6" t="str">
        <f ca="1">IF($A1267="","",[1]!s_dq_close(F$1,$A1267,$M$4))</f>
        <v/>
      </c>
      <c r="G1267" s="6"/>
      <c r="H1267" s="6" t="str">
        <f ca="1">IF($A1267="","",[1]!s_dq_close(H$1,$A1267,$M$4))</f>
        <v/>
      </c>
      <c r="I1267" s="6" t="str">
        <f ca="1">IF($A1267="","",[1]!s_dq_close(I$1,$A1267,$M$4))</f>
        <v/>
      </c>
      <c r="J1267" s="6" t="str">
        <f t="shared" ca="1" si="20"/>
        <v/>
      </c>
    </row>
    <row r="1268" spans="1:10">
      <c r="A1268" s="2" t="str">
        <f ca="1">IF(A1267="","",IF(IF(价差分析!$W$4="日",--[1]!td(A1267-1),IF(价差分析!$W$4="周",--[1]!td(A1267-7),--[1]!td(A1267-30)))-价差分析!$T$4&gt;0,IF(价差分析!$W$4="日",--[1]!td(A1267-1),IF(价差分析!$W$4="周",--[1]!td(A1267-7),--[1]!td(A1267-30))),""))</f>
        <v/>
      </c>
      <c r="B1268" s="1" t="str">
        <f ca="1">IF(A1268="","",[1]!s_dq_close($B$1,A1268,$M$4))</f>
        <v/>
      </c>
      <c r="C1268" s="1" t="str">
        <f ca="1">IF(A1268="","",[1]!s_dq_close($C$1,A1268,$M$4))</f>
        <v/>
      </c>
      <c r="D1268" s="6" t="str">
        <f ca="1">IF($A1268="","",[1]!s_dq_close(D$1,$A1268,$M$4))</f>
        <v/>
      </c>
      <c r="E1268" s="6" t="str">
        <f ca="1">IF($A1268="","",[1]!s_dq_close(E$1,$A1268,$M$4))</f>
        <v/>
      </c>
      <c r="F1268" s="6" t="str">
        <f ca="1">IF($A1268="","",[1]!s_dq_close(F$1,$A1268,$M$4))</f>
        <v/>
      </c>
      <c r="G1268" s="6"/>
      <c r="H1268" s="6" t="str">
        <f ca="1">IF($A1268="","",[1]!s_dq_close(H$1,$A1268,$M$4))</f>
        <v/>
      </c>
      <c r="I1268" s="6" t="str">
        <f ca="1">IF($A1268="","",[1]!s_dq_close(I$1,$A1268,$M$4))</f>
        <v/>
      </c>
      <c r="J1268" s="6" t="str">
        <f t="shared" ca="1" si="20"/>
        <v/>
      </c>
    </row>
    <row r="1269" spans="1:10">
      <c r="A1269" s="2" t="str">
        <f ca="1">IF(A1268="","",IF(IF(价差分析!$W$4="日",--[1]!td(A1268-1),IF(价差分析!$W$4="周",--[1]!td(A1268-7),--[1]!td(A1268-30)))-价差分析!$T$4&gt;0,IF(价差分析!$W$4="日",--[1]!td(A1268-1),IF(价差分析!$W$4="周",--[1]!td(A1268-7),--[1]!td(A1268-30))),""))</f>
        <v/>
      </c>
      <c r="B1269" s="1" t="str">
        <f ca="1">IF(A1269="","",[1]!s_dq_close($B$1,A1269,$M$4))</f>
        <v/>
      </c>
      <c r="C1269" s="1" t="str">
        <f ca="1">IF(A1269="","",[1]!s_dq_close($C$1,A1269,$M$4))</f>
        <v/>
      </c>
      <c r="D1269" s="6" t="str">
        <f ca="1">IF($A1269="","",[1]!s_dq_close(D$1,$A1269,$M$4))</f>
        <v/>
      </c>
      <c r="E1269" s="6" t="str">
        <f ca="1">IF($A1269="","",[1]!s_dq_close(E$1,$A1269,$M$4))</f>
        <v/>
      </c>
      <c r="F1269" s="6" t="str">
        <f ca="1">IF($A1269="","",[1]!s_dq_close(F$1,$A1269,$M$4))</f>
        <v/>
      </c>
      <c r="G1269" s="6"/>
      <c r="H1269" s="6" t="str">
        <f ca="1">IF($A1269="","",[1]!s_dq_close(H$1,$A1269,$M$4))</f>
        <v/>
      </c>
      <c r="I1269" s="6" t="str">
        <f ca="1">IF($A1269="","",[1]!s_dq_close(I$1,$A1269,$M$4))</f>
        <v/>
      </c>
      <c r="J1269" s="6" t="str">
        <f t="shared" ca="1" si="20"/>
        <v/>
      </c>
    </row>
    <row r="1270" spans="1:10">
      <c r="A1270" s="2" t="str">
        <f ca="1">IF(A1269="","",IF(IF(价差分析!$W$4="日",--[1]!td(A1269-1),IF(价差分析!$W$4="周",--[1]!td(A1269-7),--[1]!td(A1269-30)))-价差分析!$T$4&gt;0,IF(价差分析!$W$4="日",--[1]!td(A1269-1),IF(价差分析!$W$4="周",--[1]!td(A1269-7),--[1]!td(A1269-30))),""))</f>
        <v/>
      </c>
      <c r="B1270" s="1" t="str">
        <f ca="1">IF(A1270="","",[1]!s_dq_close($B$1,A1270,$M$4))</f>
        <v/>
      </c>
      <c r="C1270" s="1" t="str">
        <f ca="1">IF(A1270="","",[1]!s_dq_close($C$1,A1270,$M$4))</f>
        <v/>
      </c>
      <c r="D1270" s="6" t="str">
        <f ca="1">IF($A1270="","",[1]!s_dq_close(D$1,$A1270,$M$4))</f>
        <v/>
      </c>
      <c r="E1270" s="6" t="str">
        <f ca="1">IF($A1270="","",[1]!s_dq_close(E$1,$A1270,$M$4))</f>
        <v/>
      </c>
      <c r="F1270" s="6" t="str">
        <f ca="1">IF($A1270="","",[1]!s_dq_close(F$1,$A1270,$M$4))</f>
        <v/>
      </c>
      <c r="G1270" s="6"/>
      <c r="H1270" s="6" t="str">
        <f ca="1">IF($A1270="","",[1]!s_dq_close(H$1,$A1270,$M$4))</f>
        <v/>
      </c>
      <c r="I1270" s="6" t="str">
        <f ca="1">IF($A1270="","",[1]!s_dq_close(I$1,$A1270,$M$4))</f>
        <v/>
      </c>
      <c r="J1270" s="6" t="str">
        <f t="shared" ca="1" si="20"/>
        <v/>
      </c>
    </row>
    <row r="1271" spans="1:10">
      <c r="A1271" s="2" t="str">
        <f ca="1">IF(A1270="","",IF(IF(价差分析!$W$4="日",--[1]!td(A1270-1),IF(价差分析!$W$4="周",--[1]!td(A1270-7),--[1]!td(A1270-30)))-价差分析!$T$4&gt;0,IF(价差分析!$W$4="日",--[1]!td(A1270-1),IF(价差分析!$W$4="周",--[1]!td(A1270-7),--[1]!td(A1270-30))),""))</f>
        <v/>
      </c>
      <c r="B1271" s="1" t="str">
        <f ca="1">IF(A1271="","",[1]!s_dq_close($B$1,A1271,$M$4))</f>
        <v/>
      </c>
      <c r="C1271" s="1" t="str">
        <f ca="1">IF(A1271="","",[1]!s_dq_close($C$1,A1271,$M$4))</f>
        <v/>
      </c>
      <c r="D1271" s="6" t="str">
        <f ca="1">IF($A1271="","",[1]!s_dq_close(D$1,$A1271,$M$4))</f>
        <v/>
      </c>
      <c r="E1271" s="6" t="str">
        <f ca="1">IF($A1271="","",[1]!s_dq_close(E$1,$A1271,$M$4))</f>
        <v/>
      </c>
      <c r="F1271" s="6" t="str">
        <f ca="1">IF($A1271="","",[1]!s_dq_close(F$1,$A1271,$M$4))</f>
        <v/>
      </c>
      <c r="G1271" s="6"/>
      <c r="H1271" s="6" t="str">
        <f ca="1">IF($A1271="","",[1]!s_dq_close(H$1,$A1271,$M$4))</f>
        <v/>
      </c>
      <c r="I1271" s="6" t="str">
        <f ca="1">IF($A1271="","",[1]!s_dq_close(I$1,$A1271,$M$4))</f>
        <v/>
      </c>
      <c r="J1271" s="6" t="str">
        <f t="shared" ca="1" si="20"/>
        <v/>
      </c>
    </row>
    <row r="1272" spans="1:10">
      <c r="A1272" s="2" t="str">
        <f ca="1">IF(A1271="","",IF(IF(价差分析!$W$4="日",--[1]!td(A1271-1),IF(价差分析!$W$4="周",--[1]!td(A1271-7),--[1]!td(A1271-30)))-价差分析!$T$4&gt;0,IF(价差分析!$W$4="日",--[1]!td(A1271-1),IF(价差分析!$W$4="周",--[1]!td(A1271-7),--[1]!td(A1271-30))),""))</f>
        <v/>
      </c>
      <c r="B1272" s="1" t="str">
        <f ca="1">IF(A1272="","",[1]!s_dq_close($B$1,A1272,$M$4))</f>
        <v/>
      </c>
      <c r="C1272" s="1" t="str">
        <f ca="1">IF(A1272="","",[1]!s_dq_close($C$1,A1272,$M$4))</f>
        <v/>
      </c>
      <c r="D1272" s="6" t="str">
        <f ca="1">IF($A1272="","",[1]!s_dq_close(D$1,$A1272,$M$4))</f>
        <v/>
      </c>
      <c r="E1272" s="6" t="str">
        <f ca="1">IF($A1272="","",[1]!s_dq_close(E$1,$A1272,$M$4))</f>
        <v/>
      </c>
      <c r="F1272" s="6" t="str">
        <f ca="1">IF($A1272="","",[1]!s_dq_close(F$1,$A1272,$M$4))</f>
        <v/>
      </c>
      <c r="G1272" s="6"/>
      <c r="H1272" s="6" t="str">
        <f ca="1">IF($A1272="","",[1]!s_dq_close(H$1,$A1272,$M$4))</f>
        <v/>
      </c>
      <c r="I1272" s="6" t="str">
        <f ca="1">IF($A1272="","",[1]!s_dq_close(I$1,$A1272,$M$4))</f>
        <v/>
      </c>
      <c r="J1272" s="6" t="str">
        <f t="shared" ca="1" si="20"/>
        <v/>
      </c>
    </row>
    <row r="1273" spans="1:10">
      <c r="A1273" s="2" t="str">
        <f ca="1">IF(A1272="","",IF(IF(价差分析!$W$4="日",--[1]!td(A1272-1),IF(价差分析!$W$4="周",--[1]!td(A1272-7),--[1]!td(A1272-30)))-价差分析!$T$4&gt;0,IF(价差分析!$W$4="日",--[1]!td(A1272-1),IF(价差分析!$W$4="周",--[1]!td(A1272-7),--[1]!td(A1272-30))),""))</f>
        <v/>
      </c>
      <c r="B1273" s="1" t="str">
        <f ca="1">IF(A1273="","",[1]!s_dq_close($B$1,A1273,$M$4))</f>
        <v/>
      </c>
      <c r="C1273" s="1" t="str">
        <f ca="1">IF(A1273="","",[1]!s_dq_close($C$1,A1273,$M$4))</f>
        <v/>
      </c>
      <c r="D1273" s="6" t="str">
        <f ca="1">IF($A1273="","",[1]!s_dq_close(D$1,$A1273,$M$4))</f>
        <v/>
      </c>
      <c r="E1273" s="6" t="str">
        <f ca="1">IF($A1273="","",[1]!s_dq_close(E$1,$A1273,$M$4))</f>
        <v/>
      </c>
      <c r="F1273" s="6" t="str">
        <f ca="1">IF($A1273="","",[1]!s_dq_close(F$1,$A1273,$M$4))</f>
        <v/>
      </c>
      <c r="G1273" s="6"/>
      <c r="H1273" s="6" t="str">
        <f ca="1">IF($A1273="","",[1]!s_dq_close(H$1,$A1273,$M$4))</f>
        <v/>
      </c>
      <c r="I1273" s="6" t="str">
        <f ca="1">IF($A1273="","",[1]!s_dq_close(I$1,$A1273,$M$4))</f>
        <v/>
      </c>
      <c r="J1273" s="6" t="str">
        <f t="shared" ca="1" si="20"/>
        <v/>
      </c>
    </row>
    <row r="1274" spans="1:10">
      <c r="A1274" s="2" t="str">
        <f ca="1">IF(A1273="","",IF(IF(价差分析!$W$4="日",--[1]!td(A1273-1),IF(价差分析!$W$4="周",--[1]!td(A1273-7),--[1]!td(A1273-30)))-价差分析!$T$4&gt;0,IF(价差分析!$W$4="日",--[1]!td(A1273-1),IF(价差分析!$W$4="周",--[1]!td(A1273-7),--[1]!td(A1273-30))),""))</f>
        <v/>
      </c>
      <c r="B1274" s="1" t="str">
        <f ca="1">IF(A1274="","",[1]!s_dq_close($B$1,A1274,$M$4))</f>
        <v/>
      </c>
      <c r="C1274" s="1" t="str">
        <f ca="1">IF(A1274="","",[1]!s_dq_close($C$1,A1274,$M$4))</f>
        <v/>
      </c>
      <c r="D1274" s="6" t="str">
        <f ca="1">IF($A1274="","",[1]!s_dq_close(D$1,$A1274,$M$4))</f>
        <v/>
      </c>
      <c r="E1274" s="6" t="str">
        <f ca="1">IF($A1274="","",[1]!s_dq_close(E$1,$A1274,$M$4))</f>
        <v/>
      </c>
      <c r="F1274" s="6" t="str">
        <f ca="1">IF($A1274="","",[1]!s_dq_close(F$1,$A1274,$M$4))</f>
        <v/>
      </c>
      <c r="G1274" s="6"/>
      <c r="H1274" s="6" t="str">
        <f ca="1">IF($A1274="","",[1]!s_dq_close(H$1,$A1274,$M$4))</f>
        <v/>
      </c>
      <c r="I1274" s="6" t="str">
        <f ca="1">IF($A1274="","",[1]!s_dq_close(I$1,$A1274,$M$4))</f>
        <v/>
      </c>
      <c r="J1274" s="6" t="str">
        <f t="shared" ca="1" si="20"/>
        <v/>
      </c>
    </row>
    <row r="1275" spans="1:10">
      <c r="A1275" s="2" t="str">
        <f ca="1">IF(A1274="","",IF(IF(价差分析!$W$4="日",--[1]!td(A1274-1),IF(价差分析!$W$4="周",--[1]!td(A1274-7),--[1]!td(A1274-30)))-价差分析!$T$4&gt;0,IF(价差分析!$W$4="日",--[1]!td(A1274-1),IF(价差分析!$W$4="周",--[1]!td(A1274-7),--[1]!td(A1274-30))),""))</f>
        <v/>
      </c>
      <c r="B1275" s="1" t="str">
        <f ca="1">IF(A1275="","",[1]!s_dq_close($B$1,A1275,$M$4))</f>
        <v/>
      </c>
      <c r="C1275" s="1" t="str">
        <f ca="1">IF(A1275="","",[1]!s_dq_close($C$1,A1275,$M$4))</f>
        <v/>
      </c>
      <c r="D1275" s="6" t="str">
        <f ca="1">IF($A1275="","",[1]!s_dq_close(D$1,$A1275,$M$4))</f>
        <v/>
      </c>
      <c r="E1275" s="6" t="str">
        <f ca="1">IF($A1275="","",[1]!s_dq_close(E$1,$A1275,$M$4))</f>
        <v/>
      </c>
      <c r="F1275" s="6" t="str">
        <f ca="1">IF($A1275="","",[1]!s_dq_close(F$1,$A1275,$M$4))</f>
        <v/>
      </c>
      <c r="G1275" s="6"/>
      <c r="H1275" s="6" t="str">
        <f ca="1">IF($A1275="","",[1]!s_dq_close(H$1,$A1275,$M$4))</f>
        <v/>
      </c>
      <c r="I1275" s="6" t="str">
        <f ca="1">IF($A1275="","",[1]!s_dq_close(I$1,$A1275,$M$4))</f>
        <v/>
      </c>
      <c r="J1275" s="6" t="str">
        <f t="shared" ca="1" si="20"/>
        <v/>
      </c>
    </row>
    <row r="1276" spans="1:10">
      <c r="A1276" s="2" t="str">
        <f ca="1">IF(A1275="","",IF(IF(价差分析!$W$4="日",--[1]!td(A1275-1),IF(价差分析!$W$4="周",--[1]!td(A1275-7),--[1]!td(A1275-30)))-价差分析!$T$4&gt;0,IF(价差分析!$W$4="日",--[1]!td(A1275-1),IF(价差分析!$W$4="周",--[1]!td(A1275-7),--[1]!td(A1275-30))),""))</f>
        <v/>
      </c>
      <c r="B1276" s="1" t="str">
        <f ca="1">IF(A1276="","",[1]!s_dq_close($B$1,A1276,$M$4))</f>
        <v/>
      </c>
      <c r="C1276" s="1" t="str">
        <f ca="1">IF(A1276="","",[1]!s_dq_close($C$1,A1276,$M$4))</f>
        <v/>
      </c>
      <c r="D1276" s="6" t="str">
        <f ca="1">IF($A1276="","",[1]!s_dq_close(D$1,$A1276,$M$4))</f>
        <v/>
      </c>
      <c r="E1276" s="6" t="str">
        <f ca="1">IF($A1276="","",[1]!s_dq_close(E$1,$A1276,$M$4))</f>
        <v/>
      </c>
      <c r="F1276" s="6" t="str">
        <f ca="1">IF($A1276="","",[1]!s_dq_close(F$1,$A1276,$M$4))</f>
        <v/>
      </c>
      <c r="G1276" s="6"/>
      <c r="H1276" s="6" t="str">
        <f ca="1">IF($A1276="","",[1]!s_dq_close(H$1,$A1276,$M$4))</f>
        <v/>
      </c>
      <c r="I1276" s="6" t="str">
        <f ca="1">IF($A1276="","",[1]!s_dq_close(I$1,$A1276,$M$4))</f>
        <v/>
      </c>
      <c r="J1276" s="6" t="str">
        <f t="shared" ca="1" si="20"/>
        <v/>
      </c>
    </row>
    <row r="1277" spans="1:10">
      <c r="A1277" s="2" t="str">
        <f ca="1">IF(A1276="","",IF(IF(价差分析!$W$4="日",--[1]!td(A1276-1),IF(价差分析!$W$4="周",--[1]!td(A1276-7),--[1]!td(A1276-30)))-价差分析!$T$4&gt;0,IF(价差分析!$W$4="日",--[1]!td(A1276-1),IF(价差分析!$W$4="周",--[1]!td(A1276-7),--[1]!td(A1276-30))),""))</f>
        <v/>
      </c>
      <c r="B1277" s="1" t="str">
        <f ca="1">IF(A1277="","",[1]!s_dq_close($B$1,A1277,$M$4))</f>
        <v/>
      </c>
      <c r="C1277" s="1" t="str">
        <f ca="1">IF(A1277="","",[1]!s_dq_close($C$1,A1277,$M$4))</f>
        <v/>
      </c>
      <c r="D1277" s="6" t="str">
        <f ca="1">IF($A1277="","",[1]!s_dq_close(D$1,$A1277,$M$4))</f>
        <v/>
      </c>
      <c r="E1277" s="6" t="str">
        <f ca="1">IF($A1277="","",[1]!s_dq_close(E$1,$A1277,$M$4))</f>
        <v/>
      </c>
      <c r="F1277" s="6" t="str">
        <f ca="1">IF($A1277="","",[1]!s_dq_close(F$1,$A1277,$M$4))</f>
        <v/>
      </c>
      <c r="G1277" s="6"/>
      <c r="H1277" s="6" t="str">
        <f ca="1">IF($A1277="","",[1]!s_dq_close(H$1,$A1277,$M$4))</f>
        <v/>
      </c>
      <c r="I1277" s="6" t="str">
        <f ca="1">IF($A1277="","",[1]!s_dq_close(I$1,$A1277,$M$4))</f>
        <v/>
      </c>
      <c r="J1277" s="6" t="str">
        <f t="shared" ca="1" si="20"/>
        <v/>
      </c>
    </row>
    <row r="1278" spans="1:10">
      <c r="A1278" s="2" t="str">
        <f ca="1">IF(A1277="","",IF(IF(价差分析!$W$4="日",--[1]!td(A1277-1),IF(价差分析!$W$4="周",--[1]!td(A1277-7),--[1]!td(A1277-30)))-价差分析!$T$4&gt;0,IF(价差分析!$W$4="日",--[1]!td(A1277-1),IF(价差分析!$W$4="周",--[1]!td(A1277-7),--[1]!td(A1277-30))),""))</f>
        <v/>
      </c>
      <c r="B1278" s="1" t="str">
        <f ca="1">IF(A1278="","",[1]!s_dq_close($B$1,A1278,$M$4))</f>
        <v/>
      </c>
      <c r="C1278" s="1" t="str">
        <f ca="1">IF(A1278="","",[1]!s_dq_close($C$1,A1278,$M$4))</f>
        <v/>
      </c>
      <c r="D1278" s="6" t="str">
        <f ca="1">IF($A1278="","",[1]!s_dq_close(D$1,$A1278,$M$4))</f>
        <v/>
      </c>
      <c r="E1278" s="6" t="str">
        <f ca="1">IF($A1278="","",[1]!s_dq_close(E$1,$A1278,$M$4))</f>
        <v/>
      </c>
      <c r="F1278" s="6" t="str">
        <f ca="1">IF($A1278="","",[1]!s_dq_close(F$1,$A1278,$M$4))</f>
        <v/>
      </c>
      <c r="G1278" s="6"/>
      <c r="H1278" s="6" t="str">
        <f ca="1">IF($A1278="","",[1]!s_dq_close(H$1,$A1278,$M$4))</f>
        <v/>
      </c>
      <c r="I1278" s="6" t="str">
        <f ca="1">IF($A1278="","",[1]!s_dq_close(I$1,$A1278,$M$4))</f>
        <v/>
      </c>
      <c r="J1278" s="6" t="str">
        <f t="shared" ca="1" si="20"/>
        <v/>
      </c>
    </row>
    <row r="1279" spans="1:10">
      <c r="A1279" s="2" t="str">
        <f ca="1">IF(A1278="","",IF(IF(价差分析!$W$4="日",--[1]!td(A1278-1),IF(价差分析!$W$4="周",--[1]!td(A1278-7),--[1]!td(A1278-30)))-价差分析!$T$4&gt;0,IF(价差分析!$W$4="日",--[1]!td(A1278-1),IF(价差分析!$W$4="周",--[1]!td(A1278-7),--[1]!td(A1278-30))),""))</f>
        <v/>
      </c>
      <c r="B1279" s="1" t="str">
        <f ca="1">IF(A1279="","",[1]!s_dq_close($B$1,A1279,$M$4))</f>
        <v/>
      </c>
      <c r="C1279" s="1" t="str">
        <f ca="1">IF(A1279="","",[1]!s_dq_close($C$1,A1279,$M$4))</f>
        <v/>
      </c>
      <c r="D1279" s="6" t="str">
        <f ca="1">IF($A1279="","",[1]!s_dq_close(D$1,$A1279,$M$4))</f>
        <v/>
      </c>
      <c r="E1279" s="6" t="str">
        <f ca="1">IF($A1279="","",[1]!s_dq_close(E$1,$A1279,$M$4))</f>
        <v/>
      </c>
      <c r="F1279" s="6" t="str">
        <f ca="1">IF($A1279="","",[1]!s_dq_close(F$1,$A1279,$M$4))</f>
        <v/>
      </c>
      <c r="G1279" s="6"/>
      <c r="H1279" s="6" t="str">
        <f ca="1">IF($A1279="","",[1]!s_dq_close(H$1,$A1279,$M$4))</f>
        <v/>
      </c>
      <c r="I1279" s="6" t="str">
        <f ca="1">IF($A1279="","",[1]!s_dq_close(I$1,$A1279,$M$4))</f>
        <v/>
      </c>
      <c r="J1279" s="6" t="str">
        <f t="shared" ca="1" si="20"/>
        <v/>
      </c>
    </row>
    <row r="1280" spans="1:10">
      <c r="A1280" s="2" t="str">
        <f ca="1">IF(A1279="","",IF(IF(价差分析!$W$4="日",--[1]!td(A1279-1),IF(价差分析!$W$4="周",--[1]!td(A1279-7),--[1]!td(A1279-30)))-价差分析!$T$4&gt;0,IF(价差分析!$W$4="日",--[1]!td(A1279-1),IF(价差分析!$W$4="周",--[1]!td(A1279-7),--[1]!td(A1279-30))),""))</f>
        <v/>
      </c>
      <c r="B1280" s="1" t="str">
        <f ca="1">IF(A1280="","",[1]!s_dq_close($B$1,A1280,$M$4))</f>
        <v/>
      </c>
      <c r="C1280" s="1" t="str">
        <f ca="1">IF(A1280="","",[1]!s_dq_close($C$1,A1280,$M$4))</f>
        <v/>
      </c>
      <c r="D1280" s="6" t="str">
        <f ca="1">IF($A1280="","",[1]!s_dq_close(D$1,$A1280,$M$4))</f>
        <v/>
      </c>
      <c r="E1280" s="6" t="str">
        <f ca="1">IF($A1280="","",[1]!s_dq_close(E$1,$A1280,$M$4))</f>
        <v/>
      </c>
      <c r="F1280" s="6" t="str">
        <f ca="1">IF($A1280="","",[1]!s_dq_close(F$1,$A1280,$M$4))</f>
        <v/>
      </c>
      <c r="G1280" s="6"/>
      <c r="H1280" s="6" t="str">
        <f ca="1">IF($A1280="","",[1]!s_dq_close(H$1,$A1280,$M$4))</f>
        <v/>
      </c>
      <c r="I1280" s="6" t="str">
        <f ca="1">IF($A1280="","",[1]!s_dq_close(I$1,$A1280,$M$4))</f>
        <v/>
      </c>
      <c r="J1280" s="6" t="str">
        <f t="shared" ca="1" si="20"/>
        <v/>
      </c>
    </row>
    <row r="1281" spans="1:10">
      <c r="A1281" s="2" t="str">
        <f ca="1">IF(A1280="","",IF(IF(价差分析!$W$4="日",--[1]!td(A1280-1),IF(价差分析!$W$4="周",--[1]!td(A1280-7),--[1]!td(A1280-30)))-价差分析!$T$4&gt;0,IF(价差分析!$W$4="日",--[1]!td(A1280-1),IF(价差分析!$W$4="周",--[1]!td(A1280-7),--[1]!td(A1280-30))),""))</f>
        <v/>
      </c>
      <c r="B1281" s="1" t="str">
        <f ca="1">IF(A1281="","",[1]!s_dq_close($B$1,A1281,$M$4))</f>
        <v/>
      </c>
      <c r="C1281" s="1" t="str">
        <f ca="1">IF(A1281="","",[1]!s_dq_close($C$1,A1281,$M$4))</f>
        <v/>
      </c>
      <c r="D1281" s="6" t="str">
        <f ca="1">IF($A1281="","",[1]!s_dq_close(D$1,$A1281,$M$4))</f>
        <v/>
      </c>
      <c r="E1281" s="6" t="str">
        <f ca="1">IF($A1281="","",[1]!s_dq_close(E$1,$A1281,$M$4))</f>
        <v/>
      </c>
      <c r="F1281" s="6" t="str">
        <f ca="1">IF($A1281="","",[1]!s_dq_close(F$1,$A1281,$M$4))</f>
        <v/>
      </c>
      <c r="G1281" s="6"/>
      <c r="H1281" s="6" t="str">
        <f ca="1">IF($A1281="","",[1]!s_dq_close(H$1,$A1281,$M$4))</f>
        <v/>
      </c>
      <c r="I1281" s="6" t="str">
        <f ca="1">IF($A1281="","",[1]!s_dq_close(I$1,$A1281,$M$4))</f>
        <v/>
      </c>
      <c r="J1281" s="6" t="str">
        <f t="shared" ca="1" si="20"/>
        <v/>
      </c>
    </row>
    <row r="1282" spans="1:10">
      <c r="A1282" s="2" t="str">
        <f ca="1">IF(A1281="","",IF(IF(价差分析!$W$4="日",--[1]!td(A1281-1),IF(价差分析!$W$4="周",--[1]!td(A1281-7),--[1]!td(A1281-30)))-价差分析!$T$4&gt;0,IF(价差分析!$W$4="日",--[1]!td(A1281-1),IF(价差分析!$W$4="周",--[1]!td(A1281-7),--[1]!td(A1281-30))),""))</f>
        <v/>
      </c>
      <c r="B1282" s="1" t="str">
        <f ca="1">IF(A1282="","",[1]!s_dq_close($B$1,A1282,$M$4))</f>
        <v/>
      </c>
      <c r="C1282" s="1" t="str">
        <f ca="1">IF(A1282="","",[1]!s_dq_close($C$1,A1282,$M$4))</f>
        <v/>
      </c>
      <c r="D1282" s="6" t="str">
        <f ca="1">IF($A1282="","",[1]!s_dq_close(D$1,$A1282,$M$4))</f>
        <v/>
      </c>
      <c r="E1282" s="6" t="str">
        <f ca="1">IF($A1282="","",[1]!s_dq_close(E$1,$A1282,$M$4))</f>
        <v/>
      </c>
      <c r="F1282" s="6" t="str">
        <f ca="1">IF($A1282="","",[1]!s_dq_close(F$1,$A1282,$M$4))</f>
        <v/>
      </c>
      <c r="G1282" s="6"/>
      <c r="H1282" s="6" t="str">
        <f ca="1">IF($A1282="","",[1]!s_dq_close(H$1,$A1282,$M$4))</f>
        <v/>
      </c>
      <c r="I1282" s="6" t="str">
        <f ca="1">IF($A1282="","",[1]!s_dq_close(I$1,$A1282,$M$4))</f>
        <v/>
      </c>
      <c r="J1282" s="6" t="str">
        <f t="shared" ca="1" si="20"/>
        <v/>
      </c>
    </row>
    <row r="1283" spans="1:10">
      <c r="A1283" s="2" t="str">
        <f ca="1">IF(A1282="","",IF(IF(价差分析!$W$4="日",--[1]!td(A1282-1),IF(价差分析!$W$4="周",--[1]!td(A1282-7),--[1]!td(A1282-30)))-价差分析!$T$4&gt;0,IF(价差分析!$W$4="日",--[1]!td(A1282-1),IF(价差分析!$W$4="周",--[1]!td(A1282-7),--[1]!td(A1282-30))),""))</f>
        <v/>
      </c>
      <c r="B1283" s="1" t="str">
        <f ca="1">IF(A1283="","",[1]!s_dq_close($B$1,A1283,$M$4))</f>
        <v/>
      </c>
      <c r="C1283" s="1" t="str">
        <f ca="1">IF(A1283="","",[1]!s_dq_close($C$1,A1283,$M$4))</f>
        <v/>
      </c>
      <c r="D1283" s="6" t="str">
        <f ca="1">IF($A1283="","",[1]!s_dq_close(D$1,$A1283,$M$4))</f>
        <v/>
      </c>
      <c r="E1283" s="6" t="str">
        <f ca="1">IF($A1283="","",[1]!s_dq_close(E$1,$A1283,$M$4))</f>
        <v/>
      </c>
      <c r="F1283" s="6" t="str">
        <f ca="1">IF($A1283="","",[1]!s_dq_close(F$1,$A1283,$M$4))</f>
        <v/>
      </c>
      <c r="G1283" s="6"/>
      <c r="H1283" s="6" t="str">
        <f ca="1">IF($A1283="","",[1]!s_dq_close(H$1,$A1283,$M$4))</f>
        <v/>
      </c>
      <c r="I1283" s="6" t="str">
        <f ca="1">IF($A1283="","",[1]!s_dq_close(I$1,$A1283,$M$4))</f>
        <v/>
      </c>
      <c r="J1283" s="6" t="str">
        <f t="shared" ca="1" si="20"/>
        <v/>
      </c>
    </row>
    <row r="1284" spans="1:10">
      <c r="A1284" s="2" t="str">
        <f ca="1">IF(A1283="","",IF(IF(价差分析!$W$4="日",--[1]!td(A1283-1),IF(价差分析!$W$4="周",--[1]!td(A1283-7),--[1]!td(A1283-30)))-价差分析!$T$4&gt;0,IF(价差分析!$W$4="日",--[1]!td(A1283-1),IF(价差分析!$W$4="周",--[1]!td(A1283-7),--[1]!td(A1283-30))),""))</f>
        <v/>
      </c>
      <c r="B1284" s="1" t="str">
        <f ca="1">IF(A1284="","",[1]!s_dq_close($B$1,A1284,$M$4))</f>
        <v/>
      </c>
      <c r="C1284" s="1" t="str">
        <f ca="1">IF(A1284="","",[1]!s_dq_close($C$1,A1284,$M$4))</f>
        <v/>
      </c>
      <c r="D1284" s="6" t="str">
        <f ca="1">IF($A1284="","",[1]!s_dq_close(D$1,$A1284,$M$4))</f>
        <v/>
      </c>
      <c r="E1284" s="6" t="str">
        <f ca="1">IF($A1284="","",[1]!s_dq_close(E$1,$A1284,$M$4))</f>
        <v/>
      </c>
      <c r="F1284" s="6" t="str">
        <f ca="1">IF($A1284="","",[1]!s_dq_close(F$1,$A1284,$M$4))</f>
        <v/>
      </c>
      <c r="G1284" s="6"/>
      <c r="H1284" s="6" t="str">
        <f ca="1">IF($A1284="","",[1]!s_dq_close(H$1,$A1284,$M$4))</f>
        <v/>
      </c>
      <c r="I1284" s="6" t="str">
        <f ca="1">IF($A1284="","",[1]!s_dq_close(I$1,$A1284,$M$4))</f>
        <v/>
      </c>
      <c r="J1284" s="6" t="str">
        <f t="shared" ca="1" si="20"/>
        <v/>
      </c>
    </row>
    <row r="1285" spans="1:10">
      <c r="A1285" s="2" t="str">
        <f ca="1">IF(A1284="","",IF(IF(价差分析!$W$4="日",--[1]!td(A1284-1),IF(价差分析!$W$4="周",--[1]!td(A1284-7),--[1]!td(A1284-30)))-价差分析!$T$4&gt;0,IF(价差分析!$W$4="日",--[1]!td(A1284-1),IF(价差分析!$W$4="周",--[1]!td(A1284-7),--[1]!td(A1284-30))),""))</f>
        <v/>
      </c>
      <c r="B1285" s="1" t="str">
        <f ca="1">IF(A1285="","",[1]!s_dq_close($B$1,A1285,$M$4))</f>
        <v/>
      </c>
      <c r="C1285" s="1" t="str">
        <f ca="1">IF(A1285="","",[1]!s_dq_close($C$1,A1285,$M$4))</f>
        <v/>
      </c>
      <c r="D1285" s="6" t="str">
        <f ca="1">IF($A1285="","",[1]!s_dq_close(D$1,$A1285,$M$4))</f>
        <v/>
      </c>
      <c r="E1285" s="6" t="str">
        <f ca="1">IF($A1285="","",[1]!s_dq_close(E$1,$A1285,$M$4))</f>
        <v/>
      </c>
      <c r="F1285" s="6" t="str">
        <f ca="1">IF($A1285="","",[1]!s_dq_close(F$1,$A1285,$M$4))</f>
        <v/>
      </c>
      <c r="G1285" s="6"/>
      <c r="H1285" s="6" t="str">
        <f ca="1">IF($A1285="","",[1]!s_dq_close(H$1,$A1285,$M$4))</f>
        <v/>
      </c>
      <c r="I1285" s="6" t="str">
        <f ca="1">IF($A1285="","",[1]!s_dq_close(I$1,$A1285,$M$4))</f>
        <v/>
      </c>
      <c r="J1285" s="6" t="str">
        <f t="shared" ref="J1285:J1348" ca="1" si="21">IF(H1285="","",H1285-I1285)</f>
        <v/>
      </c>
    </row>
    <row r="1286" spans="1:10">
      <c r="A1286" s="2" t="str">
        <f ca="1">IF(A1285="","",IF(IF(价差分析!$W$4="日",--[1]!td(A1285-1),IF(价差分析!$W$4="周",--[1]!td(A1285-7),--[1]!td(A1285-30)))-价差分析!$T$4&gt;0,IF(价差分析!$W$4="日",--[1]!td(A1285-1),IF(价差分析!$W$4="周",--[1]!td(A1285-7),--[1]!td(A1285-30))),""))</f>
        <v/>
      </c>
      <c r="B1286" s="1" t="str">
        <f ca="1">IF(A1286="","",[1]!s_dq_close($B$1,A1286,$M$4))</f>
        <v/>
      </c>
      <c r="C1286" s="1" t="str">
        <f ca="1">IF(A1286="","",[1]!s_dq_close($C$1,A1286,$M$4))</f>
        <v/>
      </c>
      <c r="D1286" s="6" t="str">
        <f ca="1">IF($A1286="","",[1]!s_dq_close(D$1,$A1286,$M$4))</f>
        <v/>
      </c>
      <c r="E1286" s="6" t="str">
        <f ca="1">IF($A1286="","",[1]!s_dq_close(E$1,$A1286,$M$4))</f>
        <v/>
      </c>
      <c r="F1286" s="6" t="str">
        <f ca="1">IF($A1286="","",[1]!s_dq_close(F$1,$A1286,$M$4))</f>
        <v/>
      </c>
      <c r="G1286" s="6"/>
      <c r="H1286" s="6" t="str">
        <f ca="1">IF($A1286="","",[1]!s_dq_close(H$1,$A1286,$M$4))</f>
        <v/>
      </c>
      <c r="I1286" s="6" t="str">
        <f ca="1">IF($A1286="","",[1]!s_dq_close(I$1,$A1286,$M$4))</f>
        <v/>
      </c>
      <c r="J1286" s="6" t="str">
        <f t="shared" ca="1" si="21"/>
        <v/>
      </c>
    </row>
    <row r="1287" spans="1:10">
      <c r="A1287" s="2" t="str">
        <f ca="1">IF(A1286="","",IF(IF(价差分析!$W$4="日",--[1]!td(A1286-1),IF(价差分析!$W$4="周",--[1]!td(A1286-7),--[1]!td(A1286-30)))-价差分析!$T$4&gt;0,IF(价差分析!$W$4="日",--[1]!td(A1286-1),IF(价差分析!$W$4="周",--[1]!td(A1286-7),--[1]!td(A1286-30))),""))</f>
        <v/>
      </c>
      <c r="B1287" s="1" t="str">
        <f ca="1">IF(A1287="","",[1]!s_dq_close($B$1,A1287,$M$4))</f>
        <v/>
      </c>
      <c r="C1287" s="1" t="str">
        <f ca="1">IF(A1287="","",[1]!s_dq_close($C$1,A1287,$M$4))</f>
        <v/>
      </c>
      <c r="D1287" s="6" t="str">
        <f ca="1">IF($A1287="","",[1]!s_dq_close(D$1,$A1287,$M$4))</f>
        <v/>
      </c>
      <c r="E1287" s="6" t="str">
        <f ca="1">IF($A1287="","",[1]!s_dq_close(E$1,$A1287,$M$4))</f>
        <v/>
      </c>
      <c r="F1287" s="6" t="str">
        <f ca="1">IF($A1287="","",[1]!s_dq_close(F$1,$A1287,$M$4))</f>
        <v/>
      </c>
      <c r="G1287" s="6"/>
      <c r="H1287" s="6" t="str">
        <f ca="1">IF($A1287="","",[1]!s_dq_close(H$1,$A1287,$M$4))</f>
        <v/>
      </c>
      <c r="I1287" s="6" t="str">
        <f ca="1">IF($A1287="","",[1]!s_dq_close(I$1,$A1287,$M$4))</f>
        <v/>
      </c>
      <c r="J1287" s="6" t="str">
        <f t="shared" ca="1" si="21"/>
        <v/>
      </c>
    </row>
    <row r="1288" spans="1:10">
      <c r="A1288" s="2" t="str">
        <f ca="1">IF(A1287="","",IF(IF(价差分析!$W$4="日",--[1]!td(A1287-1),IF(价差分析!$W$4="周",--[1]!td(A1287-7),--[1]!td(A1287-30)))-价差分析!$T$4&gt;0,IF(价差分析!$W$4="日",--[1]!td(A1287-1),IF(价差分析!$W$4="周",--[1]!td(A1287-7),--[1]!td(A1287-30))),""))</f>
        <v/>
      </c>
      <c r="B1288" s="1" t="str">
        <f ca="1">IF(A1288="","",[1]!s_dq_close($B$1,A1288,$M$4))</f>
        <v/>
      </c>
      <c r="C1288" s="1" t="str">
        <f ca="1">IF(A1288="","",[1]!s_dq_close($C$1,A1288,$M$4))</f>
        <v/>
      </c>
      <c r="D1288" s="6" t="str">
        <f ca="1">IF($A1288="","",[1]!s_dq_close(D$1,$A1288,$M$4))</f>
        <v/>
      </c>
      <c r="E1288" s="6" t="str">
        <f ca="1">IF($A1288="","",[1]!s_dq_close(E$1,$A1288,$M$4))</f>
        <v/>
      </c>
      <c r="F1288" s="6" t="str">
        <f ca="1">IF($A1288="","",[1]!s_dq_close(F$1,$A1288,$M$4))</f>
        <v/>
      </c>
      <c r="G1288" s="6"/>
      <c r="H1288" s="6" t="str">
        <f ca="1">IF($A1288="","",[1]!s_dq_close(H$1,$A1288,$M$4))</f>
        <v/>
      </c>
      <c r="I1288" s="6" t="str">
        <f ca="1">IF($A1288="","",[1]!s_dq_close(I$1,$A1288,$M$4))</f>
        <v/>
      </c>
      <c r="J1288" s="6" t="str">
        <f t="shared" ca="1" si="21"/>
        <v/>
      </c>
    </row>
    <row r="1289" spans="1:10">
      <c r="A1289" s="2" t="str">
        <f ca="1">IF(A1288="","",IF(IF(价差分析!$W$4="日",--[1]!td(A1288-1),IF(价差分析!$W$4="周",--[1]!td(A1288-7),--[1]!td(A1288-30)))-价差分析!$T$4&gt;0,IF(价差分析!$W$4="日",--[1]!td(A1288-1),IF(价差分析!$W$4="周",--[1]!td(A1288-7),--[1]!td(A1288-30))),""))</f>
        <v/>
      </c>
      <c r="B1289" s="1" t="str">
        <f ca="1">IF(A1289="","",[1]!s_dq_close($B$1,A1289,$M$4))</f>
        <v/>
      </c>
      <c r="C1289" s="1" t="str">
        <f ca="1">IF(A1289="","",[1]!s_dq_close($C$1,A1289,$M$4))</f>
        <v/>
      </c>
      <c r="D1289" s="6" t="str">
        <f ca="1">IF($A1289="","",[1]!s_dq_close(D$1,$A1289,$M$4))</f>
        <v/>
      </c>
      <c r="E1289" s="6" t="str">
        <f ca="1">IF($A1289="","",[1]!s_dq_close(E$1,$A1289,$M$4))</f>
        <v/>
      </c>
      <c r="F1289" s="6" t="str">
        <f ca="1">IF($A1289="","",[1]!s_dq_close(F$1,$A1289,$M$4))</f>
        <v/>
      </c>
      <c r="G1289" s="6"/>
      <c r="H1289" s="6" t="str">
        <f ca="1">IF($A1289="","",[1]!s_dq_close(H$1,$A1289,$M$4))</f>
        <v/>
      </c>
      <c r="I1289" s="6" t="str">
        <f ca="1">IF($A1289="","",[1]!s_dq_close(I$1,$A1289,$M$4))</f>
        <v/>
      </c>
      <c r="J1289" s="6" t="str">
        <f t="shared" ca="1" si="21"/>
        <v/>
      </c>
    </row>
    <row r="1290" spans="1:10">
      <c r="A1290" s="2" t="str">
        <f ca="1">IF(A1289="","",IF(IF(价差分析!$W$4="日",--[1]!td(A1289-1),IF(价差分析!$W$4="周",--[1]!td(A1289-7),--[1]!td(A1289-30)))-价差分析!$T$4&gt;0,IF(价差分析!$W$4="日",--[1]!td(A1289-1),IF(价差分析!$W$4="周",--[1]!td(A1289-7),--[1]!td(A1289-30))),""))</f>
        <v/>
      </c>
      <c r="B1290" s="1" t="str">
        <f ca="1">IF(A1290="","",[1]!s_dq_close($B$1,A1290,$M$4))</f>
        <v/>
      </c>
      <c r="C1290" s="1" t="str">
        <f ca="1">IF(A1290="","",[1]!s_dq_close($C$1,A1290,$M$4))</f>
        <v/>
      </c>
      <c r="D1290" s="6" t="str">
        <f ca="1">IF($A1290="","",[1]!s_dq_close(D$1,$A1290,$M$4))</f>
        <v/>
      </c>
      <c r="E1290" s="6" t="str">
        <f ca="1">IF($A1290="","",[1]!s_dq_close(E$1,$A1290,$M$4))</f>
        <v/>
      </c>
      <c r="F1290" s="6" t="str">
        <f ca="1">IF($A1290="","",[1]!s_dq_close(F$1,$A1290,$M$4))</f>
        <v/>
      </c>
      <c r="G1290" s="6"/>
      <c r="H1290" s="6" t="str">
        <f ca="1">IF($A1290="","",[1]!s_dq_close(H$1,$A1290,$M$4))</f>
        <v/>
      </c>
      <c r="I1290" s="6" t="str">
        <f ca="1">IF($A1290="","",[1]!s_dq_close(I$1,$A1290,$M$4))</f>
        <v/>
      </c>
      <c r="J1290" s="6" t="str">
        <f t="shared" ca="1" si="21"/>
        <v/>
      </c>
    </row>
    <row r="1291" spans="1:10">
      <c r="A1291" s="2" t="str">
        <f ca="1">IF(A1290="","",IF(IF(价差分析!$W$4="日",--[1]!td(A1290-1),IF(价差分析!$W$4="周",--[1]!td(A1290-7),--[1]!td(A1290-30)))-价差分析!$T$4&gt;0,IF(价差分析!$W$4="日",--[1]!td(A1290-1),IF(价差分析!$W$4="周",--[1]!td(A1290-7),--[1]!td(A1290-30))),""))</f>
        <v/>
      </c>
      <c r="B1291" s="1" t="str">
        <f ca="1">IF(A1291="","",[1]!s_dq_close($B$1,A1291,$M$4))</f>
        <v/>
      </c>
      <c r="C1291" s="1" t="str">
        <f ca="1">IF(A1291="","",[1]!s_dq_close($C$1,A1291,$M$4))</f>
        <v/>
      </c>
      <c r="D1291" s="6" t="str">
        <f ca="1">IF($A1291="","",[1]!s_dq_close(D$1,$A1291,$M$4))</f>
        <v/>
      </c>
      <c r="E1291" s="6" t="str">
        <f ca="1">IF($A1291="","",[1]!s_dq_close(E$1,$A1291,$M$4))</f>
        <v/>
      </c>
      <c r="F1291" s="6" t="str">
        <f ca="1">IF($A1291="","",[1]!s_dq_close(F$1,$A1291,$M$4))</f>
        <v/>
      </c>
      <c r="G1291" s="6"/>
      <c r="H1291" s="6" t="str">
        <f ca="1">IF($A1291="","",[1]!s_dq_close(H$1,$A1291,$M$4))</f>
        <v/>
      </c>
      <c r="I1291" s="6" t="str">
        <f ca="1">IF($A1291="","",[1]!s_dq_close(I$1,$A1291,$M$4))</f>
        <v/>
      </c>
      <c r="J1291" s="6" t="str">
        <f t="shared" ca="1" si="21"/>
        <v/>
      </c>
    </row>
    <row r="1292" spans="1:10">
      <c r="A1292" s="2" t="str">
        <f ca="1">IF(A1291="","",IF(IF(价差分析!$W$4="日",--[1]!td(A1291-1),IF(价差分析!$W$4="周",--[1]!td(A1291-7),--[1]!td(A1291-30)))-价差分析!$T$4&gt;0,IF(价差分析!$W$4="日",--[1]!td(A1291-1),IF(价差分析!$W$4="周",--[1]!td(A1291-7),--[1]!td(A1291-30))),""))</f>
        <v/>
      </c>
      <c r="B1292" s="1" t="str">
        <f ca="1">IF(A1292="","",[1]!s_dq_close($B$1,A1292,$M$4))</f>
        <v/>
      </c>
      <c r="C1292" s="1" t="str">
        <f ca="1">IF(A1292="","",[1]!s_dq_close($C$1,A1292,$M$4))</f>
        <v/>
      </c>
      <c r="D1292" s="6" t="str">
        <f ca="1">IF($A1292="","",[1]!s_dq_close(D$1,$A1292,$M$4))</f>
        <v/>
      </c>
      <c r="E1292" s="6" t="str">
        <f ca="1">IF($A1292="","",[1]!s_dq_close(E$1,$A1292,$M$4))</f>
        <v/>
      </c>
      <c r="F1292" s="6" t="str">
        <f ca="1">IF($A1292="","",[1]!s_dq_close(F$1,$A1292,$M$4))</f>
        <v/>
      </c>
      <c r="G1292" s="6"/>
      <c r="H1292" s="6" t="str">
        <f ca="1">IF($A1292="","",[1]!s_dq_close(H$1,$A1292,$M$4))</f>
        <v/>
      </c>
      <c r="I1292" s="6" t="str">
        <f ca="1">IF($A1292="","",[1]!s_dq_close(I$1,$A1292,$M$4))</f>
        <v/>
      </c>
      <c r="J1292" s="6" t="str">
        <f t="shared" ca="1" si="21"/>
        <v/>
      </c>
    </row>
    <row r="1293" spans="1:10">
      <c r="A1293" s="2" t="str">
        <f ca="1">IF(A1292="","",IF(IF(价差分析!$W$4="日",--[1]!td(A1292-1),IF(价差分析!$W$4="周",--[1]!td(A1292-7),--[1]!td(A1292-30)))-价差分析!$T$4&gt;0,IF(价差分析!$W$4="日",--[1]!td(A1292-1),IF(价差分析!$W$4="周",--[1]!td(A1292-7),--[1]!td(A1292-30))),""))</f>
        <v/>
      </c>
      <c r="B1293" s="1" t="str">
        <f ca="1">IF(A1293="","",[1]!s_dq_close($B$1,A1293,$M$4))</f>
        <v/>
      </c>
      <c r="C1293" s="1" t="str">
        <f ca="1">IF(A1293="","",[1]!s_dq_close($C$1,A1293,$M$4))</f>
        <v/>
      </c>
      <c r="D1293" s="6" t="str">
        <f ca="1">IF($A1293="","",[1]!s_dq_close(D$1,$A1293,$M$4))</f>
        <v/>
      </c>
      <c r="E1293" s="6" t="str">
        <f ca="1">IF($A1293="","",[1]!s_dq_close(E$1,$A1293,$M$4))</f>
        <v/>
      </c>
      <c r="F1293" s="6" t="str">
        <f ca="1">IF($A1293="","",[1]!s_dq_close(F$1,$A1293,$M$4))</f>
        <v/>
      </c>
      <c r="G1293" s="6"/>
      <c r="H1293" s="6" t="str">
        <f ca="1">IF($A1293="","",[1]!s_dq_close(H$1,$A1293,$M$4))</f>
        <v/>
      </c>
      <c r="I1293" s="6" t="str">
        <f ca="1">IF($A1293="","",[1]!s_dq_close(I$1,$A1293,$M$4))</f>
        <v/>
      </c>
      <c r="J1293" s="6" t="str">
        <f t="shared" ca="1" si="21"/>
        <v/>
      </c>
    </row>
    <row r="1294" spans="1:10">
      <c r="A1294" s="2" t="str">
        <f ca="1">IF(A1293="","",IF(IF(价差分析!$W$4="日",--[1]!td(A1293-1),IF(价差分析!$W$4="周",--[1]!td(A1293-7),--[1]!td(A1293-30)))-价差分析!$T$4&gt;0,IF(价差分析!$W$4="日",--[1]!td(A1293-1),IF(价差分析!$W$4="周",--[1]!td(A1293-7),--[1]!td(A1293-30))),""))</f>
        <v/>
      </c>
      <c r="B1294" s="1" t="str">
        <f ca="1">IF(A1294="","",[1]!s_dq_close($B$1,A1294,$M$4))</f>
        <v/>
      </c>
      <c r="C1294" s="1" t="str">
        <f ca="1">IF(A1294="","",[1]!s_dq_close($C$1,A1294,$M$4))</f>
        <v/>
      </c>
      <c r="D1294" s="6" t="str">
        <f ca="1">IF($A1294="","",[1]!s_dq_close(D$1,$A1294,$M$4))</f>
        <v/>
      </c>
      <c r="E1294" s="6" t="str">
        <f ca="1">IF($A1294="","",[1]!s_dq_close(E$1,$A1294,$M$4))</f>
        <v/>
      </c>
      <c r="F1294" s="6" t="str">
        <f ca="1">IF($A1294="","",[1]!s_dq_close(F$1,$A1294,$M$4))</f>
        <v/>
      </c>
      <c r="G1294" s="6"/>
      <c r="H1294" s="6" t="str">
        <f ca="1">IF($A1294="","",[1]!s_dq_close(H$1,$A1294,$M$4))</f>
        <v/>
      </c>
      <c r="I1294" s="6" t="str">
        <f ca="1">IF($A1294="","",[1]!s_dq_close(I$1,$A1294,$M$4))</f>
        <v/>
      </c>
      <c r="J1294" s="6" t="str">
        <f t="shared" ca="1" si="21"/>
        <v/>
      </c>
    </row>
    <row r="1295" spans="1:10">
      <c r="A1295" s="2" t="str">
        <f ca="1">IF(A1294="","",IF(IF(价差分析!$W$4="日",--[1]!td(A1294-1),IF(价差分析!$W$4="周",--[1]!td(A1294-7),--[1]!td(A1294-30)))-价差分析!$T$4&gt;0,IF(价差分析!$W$4="日",--[1]!td(A1294-1),IF(价差分析!$W$4="周",--[1]!td(A1294-7),--[1]!td(A1294-30))),""))</f>
        <v/>
      </c>
      <c r="B1295" s="1" t="str">
        <f ca="1">IF(A1295="","",[1]!s_dq_close($B$1,A1295,$M$4))</f>
        <v/>
      </c>
      <c r="C1295" s="1" t="str">
        <f ca="1">IF(A1295="","",[1]!s_dq_close($C$1,A1295,$M$4))</f>
        <v/>
      </c>
      <c r="D1295" s="6" t="str">
        <f ca="1">IF($A1295="","",[1]!s_dq_close(D$1,$A1295,$M$4))</f>
        <v/>
      </c>
      <c r="E1295" s="6" t="str">
        <f ca="1">IF($A1295="","",[1]!s_dq_close(E$1,$A1295,$M$4))</f>
        <v/>
      </c>
      <c r="F1295" s="6" t="str">
        <f ca="1">IF($A1295="","",[1]!s_dq_close(F$1,$A1295,$M$4))</f>
        <v/>
      </c>
      <c r="G1295" s="6"/>
      <c r="H1295" s="6" t="str">
        <f ca="1">IF($A1295="","",[1]!s_dq_close(H$1,$A1295,$M$4))</f>
        <v/>
      </c>
      <c r="I1295" s="6" t="str">
        <f ca="1">IF($A1295="","",[1]!s_dq_close(I$1,$A1295,$M$4))</f>
        <v/>
      </c>
      <c r="J1295" s="6" t="str">
        <f t="shared" ca="1" si="21"/>
        <v/>
      </c>
    </row>
    <row r="1296" spans="1:10">
      <c r="A1296" s="2" t="str">
        <f ca="1">IF(A1295="","",IF(IF(价差分析!$W$4="日",--[1]!td(A1295-1),IF(价差分析!$W$4="周",--[1]!td(A1295-7),--[1]!td(A1295-30)))-价差分析!$T$4&gt;0,IF(价差分析!$W$4="日",--[1]!td(A1295-1),IF(价差分析!$W$4="周",--[1]!td(A1295-7),--[1]!td(A1295-30))),""))</f>
        <v/>
      </c>
      <c r="B1296" s="1" t="str">
        <f ca="1">IF(A1296="","",[1]!s_dq_close($B$1,A1296,$M$4))</f>
        <v/>
      </c>
      <c r="C1296" s="1" t="str">
        <f ca="1">IF(A1296="","",[1]!s_dq_close($C$1,A1296,$M$4))</f>
        <v/>
      </c>
      <c r="D1296" s="6" t="str">
        <f ca="1">IF($A1296="","",[1]!s_dq_close(D$1,$A1296,$M$4))</f>
        <v/>
      </c>
      <c r="E1296" s="6" t="str">
        <f ca="1">IF($A1296="","",[1]!s_dq_close(E$1,$A1296,$M$4))</f>
        <v/>
      </c>
      <c r="F1296" s="6" t="str">
        <f ca="1">IF($A1296="","",[1]!s_dq_close(F$1,$A1296,$M$4))</f>
        <v/>
      </c>
      <c r="G1296" s="6"/>
      <c r="H1296" s="6" t="str">
        <f ca="1">IF($A1296="","",[1]!s_dq_close(H$1,$A1296,$M$4))</f>
        <v/>
      </c>
      <c r="I1296" s="6" t="str">
        <f ca="1">IF($A1296="","",[1]!s_dq_close(I$1,$A1296,$M$4))</f>
        <v/>
      </c>
      <c r="J1296" s="6" t="str">
        <f t="shared" ca="1" si="21"/>
        <v/>
      </c>
    </row>
    <row r="1297" spans="1:10">
      <c r="A1297" s="2" t="str">
        <f ca="1">IF(A1296="","",IF(IF(价差分析!$W$4="日",--[1]!td(A1296-1),IF(价差分析!$W$4="周",--[1]!td(A1296-7),--[1]!td(A1296-30)))-价差分析!$T$4&gt;0,IF(价差分析!$W$4="日",--[1]!td(A1296-1),IF(价差分析!$W$4="周",--[1]!td(A1296-7),--[1]!td(A1296-30))),""))</f>
        <v/>
      </c>
      <c r="B1297" s="1" t="str">
        <f ca="1">IF(A1297="","",[1]!s_dq_close($B$1,A1297,$M$4))</f>
        <v/>
      </c>
      <c r="C1297" s="1" t="str">
        <f ca="1">IF(A1297="","",[1]!s_dq_close($C$1,A1297,$M$4))</f>
        <v/>
      </c>
      <c r="D1297" s="6" t="str">
        <f ca="1">IF($A1297="","",[1]!s_dq_close(D$1,$A1297,$M$4))</f>
        <v/>
      </c>
      <c r="E1297" s="6" t="str">
        <f ca="1">IF($A1297="","",[1]!s_dq_close(E$1,$A1297,$M$4))</f>
        <v/>
      </c>
      <c r="F1297" s="6" t="str">
        <f ca="1">IF($A1297="","",[1]!s_dq_close(F$1,$A1297,$M$4))</f>
        <v/>
      </c>
      <c r="G1297" s="6"/>
      <c r="H1297" s="6" t="str">
        <f ca="1">IF($A1297="","",[1]!s_dq_close(H$1,$A1297,$M$4))</f>
        <v/>
      </c>
      <c r="I1297" s="6" t="str">
        <f ca="1">IF($A1297="","",[1]!s_dq_close(I$1,$A1297,$M$4))</f>
        <v/>
      </c>
      <c r="J1297" s="6" t="str">
        <f t="shared" ca="1" si="21"/>
        <v/>
      </c>
    </row>
    <row r="1298" spans="1:10">
      <c r="A1298" s="2" t="str">
        <f ca="1">IF(A1297="","",IF(IF(价差分析!$W$4="日",--[1]!td(A1297-1),IF(价差分析!$W$4="周",--[1]!td(A1297-7),--[1]!td(A1297-30)))-价差分析!$T$4&gt;0,IF(价差分析!$W$4="日",--[1]!td(A1297-1),IF(价差分析!$W$4="周",--[1]!td(A1297-7),--[1]!td(A1297-30))),""))</f>
        <v/>
      </c>
      <c r="B1298" s="1" t="str">
        <f ca="1">IF(A1298="","",[1]!s_dq_close($B$1,A1298,$M$4))</f>
        <v/>
      </c>
      <c r="C1298" s="1" t="str">
        <f ca="1">IF(A1298="","",[1]!s_dq_close($C$1,A1298,$M$4))</f>
        <v/>
      </c>
      <c r="D1298" s="6" t="str">
        <f ca="1">IF($A1298="","",[1]!s_dq_close(D$1,$A1298,$M$4))</f>
        <v/>
      </c>
      <c r="E1298" s="6" t="str">
        <f ca="1">IF($A1298="","",[1]!s_dq_close(E$1,$A1298,$M$4))</f>
        <v/>
      </c>
      <c r="F1298" s="6" t="str">
        <f ca="1">IF($A1298="","",[1]!s_dq_close(F$1,$A1298,$M$4))</f>
        <v/>
      </c>
      <c r="G1298" s="6"/>
      <c r="H1298" s="6" t="str">
        <f ca="1">IF($A1298="","",[1]!s_dq_close(H$1,$A1298,$M$4))</f>
        <v/>
      </c>
      <c r="I1298" s="6" t="str">
        <f ca="1">IF($A1298="","",[1]!s_dq_close(I$1,$A1298,$M$4))</f>
        <v/>
      </c>
      <c r="J1298" s="6" t="str">
        <f t="shared" ca="1" si="21"/>
        <v/>
      </c>
    </row>
    <row r="1299" spans="1:10">
      <c r="A1299" s="2" t="str">
        <f ca="1">IF(A1298="","",IF(IF(价差分析!$W$4="日",--[1]!td(A1298-1),IF(价差分析!$W$4="周",--[1]!td(A1298-7),--[1]!td(A1298-30)))-价差分析!$T$4&gt;0,IF(价差分析!$W$4="日",--[1]!td(A1298-1),IF(价差分析!$W$4="周",--[1]!td(A1298-7),--[1]!td(A1298-30))),""))</f>
        <v/>
      </c>
      <c r="B1299" s="1" t="str">
        <f ca="1">IF(A1299="","",[1]!s_dq_close($B$1,A1299,$M$4))</f>
        <v/>
      </c>
      <c r="C1299" s="1" t="str">
        <f ca="1">IF(A1299="","",[1]!s_dq_close($C$1,A1299,$M$4))</f>
        <v/>
      </c>
      <c r="D1299" s="6" t="str">
        <f ca="1">IF($A1299="","",[1]!s_dq_close(D$1,$A1299,$M$4))</f>
        <v/>
      </c>
      <c r="E1299" s="6" t="str">
        <f ca="1">IF($A1299="","",[1]!s_dq_close(E$1,$A1299,$M$4))</f>
        <v/>
      </c>
      <c r="F1299" s="6" t="str">
        <f ca="1">IF($A1299="","",[1]!s_dq_close(F$1,$A1299,$M$4))</f>
        <v/>
      </c>
      <c r="G1299" s="6"/>
      <c r="H1299" s="6" t="str">
        <f ca="1">IF($A1299="","",[1]!s_dq_close(H$1,$A1299,$M$4))</f>
        <v/>
      </c>
      <c r="I1299" s="6" t="str">
        <f ca="1">IF($A1299="","",[1]!s_dq_close(I$1,$A1299,$M$4))</f>
        <v/>
      </c>
      <c r="J1299" s="6" t="str">
        <f t="shared" ca="1" si="21"/>
        <v/>
      </c>
    </row>
    <row r="1300" spans="1:10">
      <c r="A1300" s="2" t="str">
        <f ca="1">IF(A1299="","",IF(IF(价差分析!$W$4="日",--[1]!td(A1299-1),IF(价差分析!$W$4="周",--[1]!td(A1299-7),--[1]!td(A1299-30)))-价差分析!$T$4&gt;0,IF(价差分析!$W$4="日",--[1]!td(A1299-1),IF(价差分析!$W$4="周",--[1]!td(A1299-7),--[1]!td(A1299-30))),""))</f>
        <v/>
      </c>
      <c r="B1300" s="1" t="str">
        <f ca="1">IF(A1300="","",[1]!s_dq_close($B$1,A1300,$M$4))</f>
        <v/>
      </c>
      <c r="C1300" s="1" t="str">
        <f ca="1">IF(A1300="","",[1]!s_dq_close($C$1,A1300,$M$4))</f>
        <v/>
      </c>
      <c r="D1300" s="6" t="str">
        <f ca="1">IF($A1300="","",[1]!s_dq_close(D$1,$A1300,$M$4))</f>
        <v/>
      </c>
      <c r="E1300" s="6" t="str">
        <f ca="1">IF($A1300="","",[1]!s_dq_close(E$1,$A1300,$M$4))</f>
        <v/>
      </c>
      <c r="F1300" s="6" t="str">
        <f ca="1">IF($A1300="","",[1]!s_dq_close(F$1,$A1300,$M$4))</f>
        <v/>
      </c>
      <c r="G1300" s="6"/>
      <c r="H1300" s="6" t="str">
        <f ca="1">IF($A1300="","",[1]!s_dq_close(H$1,$A1300,$M$4))</f>
        <v/>
      </c>
      <c r="I1300" s="6" t="str">
        <f ca="1">IF($A1300="","",[1]!s_dq_close(I$1,$A1300,$M$4))</f>
        <v/>
      </c>
      <c r="J1300" s="6" t="str">
        <f t="shared" ca="1" si="21"/>
        <v/>
      </c>
    </row>
    <row r="1301" spans="1:10">
      <c r="A1301" s="2" t="str">
        <f ca="1">IF(A1300="","",IF(IF(价差分析!$W$4="日",--[1]!td(A1300-1),IF(价差分析!$W$4="周",--[1]!td(A1300-7),--[1]!td(A1300-30)))-价差分析!$T$4&gt;0,IF(价差分析!$W$4="日",--[1]!td(A1300-1),IF(价差分析!$W$4="周",--[1]!td(A1300-7),--[1]!td(A1300-30))),""))</f>
        <v/>
      </c>
      <c r="B1301" s="1" t="str">
        <f ca="1">IF(A1301="","",[1]!s_dq_close($B$1,A1301,$M$4))</f>
        <v/>
      </c>
      <c r="C1301" s="1" t="str">
        <f ca="1">IF(A1301="","",[1]!s_dq_close($C$1,A1301,$M$4))</f>
        <v/>
      </c>
      <c r="D1301" s="6" t="str">
        <f ca="1">IF($A1301="","",[1]!s_dq_close(D$1,$A1301,$M$4))</f>
        <v/>
      </c>
      <c r="E1301" s="6" t="str">
        <f ca="1">IF($A1301="","",[1]!s_dq_close(E$1,$A1301,$M$4))</f>
        <v/>
      </c>
      <c r="F1301" s="6" t="str">
        <f ca="1">IF($A1301="","",[1]!s_dq_close(F$1,$A1301,$M$4))</f>
        <v/>
      </c>
      <c r="G1301" s="6"/>
      <c r="H1301" s="6" t="str">
        <f ca="1">IF($A1301="","",[1]!s_dq_close(H$1,$A1301,$M$4))</f>
        <v/>
      </c>
      <c r="I1301" s="6" t="str">
        <f ca="1">IF($A1301="","",[1]!s_dq_close(I$1,$A1301,$M$4))</f>
        <v/>
      </c>
      <c r="J1301" s="6" t="str">
        <f t="shared" ca="1" si="21"/>
        <v/>
      </c>
    </row>
    <row r="1302" spans="1:10">
      <c r="A1302" s="2" t="str">
        <f ca="1">IF(A1301="","",IF(IF(价差分析!$W$4="日",--[1]!td(A1301-1),IF(价差分析!$W$4="周",--[1]!td(A1301-7),--[1]!td(A1301-30)))-价差分析!$T$4&gt;0,IF(价差分析!$W$4="日",--[1]!td(A1301-1),IF(价差分析!$W$4="周",--[1]!td(A1301-7),--[1]!td(A1301-30))),""))</f>
        <v/>
      </c>
      <c r="B1302" s="1" t="str">
        <f ca="1">IF(A1302="","",[1]!s_dq_close($B$1,A1302,$M$4))</f>
        <v/>
      </c>
      <c r="C1302" s="1" t="str">
        <f ca="1">IF(A1302="","",[1]!s_dq_close($C$1,A1302,$M$4))</f>
        <v/>
      </c>
      <c r="D1302" s="6" t="str">
        <f ca="1">IF($A1302="","",[1]!s_dq_close(D$1,$A1302,$M$4))</f>
        <v/>
      </c>
      <c r="E1302" s="6" t="str">
        <f ca="1">IF($A1302="","",[1]!s_dq_close(E$1,$A1302,$M$4))</f>
        <v/>
      </c>
      <c r="F1302" s="6" t="str">
        <f ca="1">IF($A1302="","",[1]!s_dq_close(F$1,$A1302,$M$4))</f>
        <v/>
      </c>
      <c r="G1302" s="6"/>
      <c r="H1302" s="6" t="str">
        <f ca="1">IF($A1302="","",[1]!s_dq_close(H$1,$A1302,$M$4))</f>
        <v/>
      </c>
      <c r="I1302" s="6" t="str">
        <f ca="1">IF($A1302="","",[1]!s_dq_close(I$1,$A1302,$M$4))</f>
        <v/>
      </c>
      <c r="J1302" s="6" t="str">
        <f t="shared" ca="1" si="21"/>
        <v/>
      </c>
    </row>
    <row r="1303" spans="1:10">
      <c r="A1303" s="2" t="str">
        <f ca="1">IF(A1302="","",IF(IF(价差分析!$W$4="日",--[1]!td(A1302-1),IF(价差分析!$W$4="周",--[1]!td(A1302-7),--[1]!td(A1302-30)))-价差分析!$T$4&gt;0,IF(价差分析!$W$4="日",--[1]!td(A1302-1),IF(价差分析!$W$4="周",--[1]!td(A1302-7),--[1]!td(A1302-30))),""))</f>
        <v/>
      </c>
      <c r="B1303" s="1" t="str">
        <f ca="1">IF(A1303="","",[1]!s_dq_close($B$1,A1303,$M$4))</f>
        <v/>
      </c>
      <c r="C1303" s="1" t="str">
        <f ca="1">IF(A1303="","",[1]!s_dq_close($C$1,A1303,$M$4))</f>
        <v/>
      </c>
      <c r="D1303" s="6" t="str">
        <f ca="1">IF($A1303="","",[1]!s_dq_close(D$1,$A1303,$M$4))</f>
        <v/>
      </c>
      <c r="E1303" s="6" t="str">
        <f ca="1">IF($A1303="","",[1]!s_dq_close(E$1,$A1303,$M$4))</f>
        <v/>
      </c>
      <c r="F1303" s="6" t="str">
        <f ca="1">IF($A1303="","",[1]!s_dq_close(F$1,$A1303,$M$4))</f>
        <v/>
      </c>
      <c r="G1303" s="6"/>
      <c r="H1303" s="6" t="str">
        <f ca="1">IF($A1303="","",[1]!s_dq_close(H$1,$A1303,$M$4))</f>
        <v/>
      </c>
      <c r="I1303" s="6" t="str">
        <f ca="1">IF($A1303="","",[1]!s_dq_close(I$1,$A1303,$M$4))</f>
        <v/>
      </c>
      <c r="J1303" s="6" t="str">
        <f t="shared" ca="1" si="21"/>
        <v/>
      </c>
    </row>
    <row r="1304" spans="1:10">
      <c r="A1304" s="2" t="str">
        <f ca="1">IF(A1303="","",IF(IF(价差分析!$W$4="日",--[1]!td(A1303-1),IF(价差分析!$W$4="周",--[1]!td(A1303-7),--[1]!td(A1303-30)))-价差分析!$T$4&gt;0,IF(价差分析!$W$4="日",--[1]!td(A1303-1),IF(价差分析!$W$4="周",--[1]!td(A1303-7),--[1]!td(A1303-30))),""))</f>
        <v/>
      </c>
      <c r="B1304" s="1" t="str">
        <f ca="1">IF(A1304="","",[1]!s_dq_close($B$1,A1304,$M$4))</f>
        <v/>
      </c>
      <c r="C1304" s="1" t="str">
        <f ca="1">IF(A1304="","",[1]!s_dq_close($C$1,A1304,$M$4))</f>
        <v/>
      </c>
      <c r="D1304" s="6" t="str">
        <f ca="1">IF($A1304="","",[1]!s_dq_close(D$1,$A1304,$M$4))</f>
        <v/>
      </c>
      <c r="E1304" s="6" t="str">
        <f ca="1">IF($A1304="","",[1]!s_dq_close(E$1,$A1304,$M$4))</f>
        <v/>
      </c>
      <c r="F1304" s="6" t="str">
        <f ca="1">IF($A1304="","",[1]!s_dq_close(F$1,$A1304,$M$4))</f>
        <v/>
      </c>
      <c r="G1304" s="6"/>
      <c r="H1304" s="6" t="str">
        <f ca="1">IF($A1304="","",[1]!s_dq_close(H$1,$A1304,$M$4))</f>
        <v/>
      </c>
      <c r="I1304" s="6" t="str">
        <f ca="1">IF($A1304="","",[1]!s_dq_close(I$1,$A1304,$M$4))</f>
        <v/>
      </c>
      <c r="J1304" s="6" t="str">
        <f t="shared" ca="1" si="21"/>
        <v/>
      </c>
    </row>
    <row r="1305" spans="1:10">
      <c r="A1305" s="2" t="str">
        <f ca="1">IF(A1304="","",IF(IF(价差分析!$W$4="日",--[1]!td(A1304-1),IF(价差分析!$W$4="周",--[1]!td(A1304-7),--[1]!td(A1304-30)))-价差分析!$T$4&gt;0,IF(价差分析!$W$4="日",--[1]!td(A1304-1),IF(价差分析!$W$4="周",--[1]!td(A1304-7),--[1]!td(A1304-30))),""))</f>
        <v/>
      </c>
      <c r="B1305" s="1" t="str">
        <f ca="1">IF(A1305="","",[1]!s_dq_close($B$1,A1305,$M$4))</f>
        <v/>
      </c>
      <c r="C1305" s="1" t="str">
        <f ca="1">IF(A1305="","",[1]!s_dq_close($C$1,A1305,$M$4))</f>
        <v/>
      </c>
      <c r="D1305" s="6" t="str">
        <f ca="1">IF($A1305="","",[1]!s_dq_close(D$1,$A1305,$M$4))</f>
        <v/>
      </c>
      <c r="E1305" s="6" t="str">
        <f ca="1">IF($A1305="","",[1]!s_dq_close(E$1,$A1305,$M$4))</f>
        <v/>
      </c>
      <c r="F1305" s="6" t="str">
        <f ca="1">IF($A1305="","",[1]!s_dq_close(F$1,$A1305,$M$4))</f>
        <v/>
      </c>
      <c r="G1305" s="6"/>
      <c r="H1305" s="6" t="str">
        <f ca="1">IF($A1305="","",[1]!s_dq_close(H$1,$A1305,$M$4))</f>
        <v/>
      </c>
      <c r="I1305" s="6" t="str">
        <f ca="1">IF($A1305="","",[1]!s_dq_close(I$1,$A1305,$M$4))</f>
        <v/>
      </c>
      <c r="J1305" s="6" t="str">
        <f t="shared" ca="1" si="21"/>
        <v/>
      </c>
    </row>
    <row r="1306" spans="1:10">
      <c r="A1306" s="2" t="str">
        <f ca="1">IF(A1305="","",IF(IF(价差分析!$W$4="日",--[1]!td(A1305-1),IF(价差分析!$W$4="周",--[1]!td(A1305-7),--[1]!td(A1305-30)))-价差分析!$T$4&gt;0,IF(价差分析!$W$4="日",--[1]!td(A1305-1),IF(价差分析!$W$4="周",--[1]!td(A1305-7),--[1]!td(A1305-30))),""))</f>
        <v/>
      </c>
      <c r="B1306" s="1" t="str">
        <f ca="1">IF(A1306="","",[1]!s_dq_close($B$1,A1306,$M$4))</f>
        <v/>
      </c>
      <c r="C1306" s="1" t="str">
        <f ca="1">IF(A1306="","",[1]!s_dq_close($C$1,A1306,$M$4))</f>
        <v/>
      </c>
      <c r="D1306" s="6" t="str">
        <f ca="1">IF($A1306="","",[1]!s_dq_close(D$1,$A1306,$M$4))</f>
        <v/>
      </c>
      <c r="E1306" s="6" t="str">
        <f ca="1">IF($A1306="","",[1]!s_dq_close(E$1,$A1306,$M$4))</f>
        <v/>
      </c>
      <c r="F1306" s="6" t="str">
        <f ca="1">IF($A1306="","",[1]!s_dq_close(F$1,$A1306,$M$4))</f>
        <v/>
      </c>
      <c r="G1306" s="6"/>
      <c r="H1306" s="6" t="str">
        <f ca="1">IF($A1306="","",[1]!s_dq_close(H$1,$A1306,$M$4))</f>
        <v/>
      </c>
      <c r="I1306" s="6" t="str">
        <f ca="1">IF($A1306="","",[1]!s_dq_close(I$1,$A1306,$M$4))</f>
        <v/>
      </c>
      <c r="J1306" s="6" t="str">
        <f t="shared" ca="1" si="21"/>
        <v/>
      </c>
    </row>
    <row r="1307" spans="1:10">
      <c r="A1307" s="2" t="str">
        <f ca="1">IF(A1306="","",IF(IF(价差分析!$W$4="日",--[1]!td(A1306-1),IF(价差分析!$W$4="周",--[1]!td(A1306-7),--[1]!td(A1306-30)))-价差分析!$T$4&gt;0,IF(价差分析!$W$4="日",--[1]!td(A1306-1),IF(价差分析!$W$4="周",--[1]!td(A1306-7),--[1]!td(A1306-30))),""))</f>
        <v/>
      </c>
      <c r="B1307" s="1" t="str">
        <f ca="1">IF(A1307="","",[1]!s_dq_close($B$1,A1307,$M$4))</f>
        <v/>
      </c>
      <c r="C1307" s="1" t="str">
        <f ca="1">IF(A1307="","",[1]!s_dq_close($C$1,A1307,$M$4))</f>
        <v/>
      </c>
      <c r="D1307" s="6" t="str">
        <f ca="1">IF($A1307="","",[1]!s_dq_close(D$1,$A1307,$M$4))</f>
        <v/>
      </c>
      <c r="E1307" s="6" t="str">
        <f ca="1">IF($A1307="","",[1]!s_dq_close(E$1,$A1307,$M$4))</f>
        <v/>
      </c>
      <c r="F1307" s="6" t="str">
        <f ca="1">IF($A1307="","",[1]!s_dq_close(F$1,$A1307,$M$4))</f>
        <v/>
      </c>
      <c r="G1307" s="6"/>
      <c r="H1307" s="6" t="str">
        <f ca="1">IF($A1307="","",[1]!s_dq_close(H$1,$A1307,$M$4))</f>
        <v/>
      </c>
      <c r="I1307" s="6" t="str">
        <f ca="1">IF($A1307="","",[1]!s_dq_close(I$1,$A1307,$M$4))</f>
        <v/>
      </c>
      <c r="J1307" s="6" t="str">
        <f t="shared" ca="1" si="21"/>
        <v/>
      </c>
    </row>
    <row r="1308" spans="1:10">
      <c r="A1308" s="2" t="str">
        <f ca="1">IF(A1307="","",IF(IF(价差分析!$W$4="日",--[1]!td(A1307-1),IF(价差分析!$W$4="周",--[1]!td(A1307-7),--[1]!td(A1307-30)))-价差分析!$T$4&gt;0,IF(价差分析!$W$4="日",--[1]!td(A1307-1),IF(价差分析!$W$4="周",--[1]!td(A1307-7),--[1]!td(A1307-30))),""))</f>
        <v/>
      </c>
      <c r="B1308" s="1" t="str">
        <f ca="1">IF(A1308="","",[1]!s_dq_close($B$1,A1308,$M$4))</f>
        <v/>
      </c>
      <c r="C1308" s="1" t="str">
        <f ca="1">IF(A1308="","",[1]!s_dq_close($C$1,A1308,$M$4))</f>
        <v/>
      </c>
      <c r="D1308" s="6" t="str">
        <f ca="1">IF($A1308="","",[1]!s_dq_close(D$1,$A1308,$M$4))</f>
        <v/>
      </c>
      <c r="E1308" s="6" t="str">
        <f ca="1">IF($A1308="","",[1]!s_dq_close(E$1,$A1308,$M$4))</f>
        <v/>
      </c>
      <c r="F1308" s="6" t="str">
        <f ca="1">IF($A1308="","",[1]!s_dq_close(F$1,$A1308,$M$4))</f>
        <v/>
      </c>
      <c r="G1308" s="6"/>
      <c r="H1308" s="6" t="str">
        <f ca="1">IF($A1308="","",[1]!s_dq_close(H$1,$A1308,$M$4))</f>
        <v/>
      </c>
      <c r="I1308" s="6" t="str">
        <f ca="1">IF($A1308="","",[1]!s_dq_close(I$1,$A1308,$M$4))</f>
        <v/>
      </c>
      <c r="J1308" s="6" t="str">
        <f t="shared" ca="1" si="21"/>
        <v/>
      </c>
    </row>
    <row r="1309" spans="1:10">
      <c r="A1309" s="2" t="str">
        <f ca="1">IF(A1308="","",IF(IF(价差分析!$W$4="日",--[1]!td(A1308-1),IF(价差分析!$W$4="周",--[1]!td(A1308-7),--[1]!td(A1308-30)))-价差分析!$T$4&gt;0,IF(价差分析!$W$4="日",--[1]!td(A1308-1),IF(价差分析!$W$4="周",--[1]!td(A1308-7),--[1]!td(A1308-30))),""))</f>
        <v/>
      </c>
      <c r="B1309" s="1" t="str">
        <f ca="1">IF(A1309="","",[1]!s_dq_close($B$1,A1309,$M$4))</f>
        <v/>
      </c>
      <c r="C1309" s="1" t="str">
        <f ca="1">IF(A1309="","",[1]!s_dq_close($C$1,A1309,$M$4))</f>
        <v/>
      </c>
      <c r="D1309" s="6" t="str">
        <f ca="1">IF($A1309="","",[1]!s_dq_close(D$1,$A1309,$M$4))</f>
        <v/>
      </c>
      <c r="E1309" s="6" t="str">
        <f ca="1">IF($A1309="","",[1]!s_dq_close(E$1,$A1309,$M$4))</f>
        <v/>
      </c>
      <c r="F1309" s="6" t="str">
        <f ca="1">IF($A1309="","",[1]!s_dq_close(F$1,$A1309,$M$4))</f>
        <v/>
      </c>
      <c r="G1309" s="6"/>
      <c r="H1309" s="6" t="str">
        <f ca="1">IF($A1309="","",[1]!s_dq_close(H$1,$A1309,$M$4))</f>
        <v/>
      </c>
      <c r="I1309" s="6" t="str">
        <f ca="1">IF($A1309="","",[1]!s_dq_close(I$1,$A1309,$M$4))</f>
        <v/>
      </c>
      <c r="J1309" s="6" t="str">
        <f t="shared" ca="1" si="21"/>
        <v/>
      </c>
    </row>
    <row r="1310" spans="1:10">
      <c r="A1310" s="2" t="str">
        <f ca="1">IF(A1309="","",IF(IF(价差分析!$W$4="日",--[1]!td(A1309-1),IF(价差分析!$W$4="周",--[1]!td(A1309-7),--[1]!td(A1309-30)))-价差分析!$T$4&gt;0,IF(价差分析!$W$4="日",--[1]!td(A1309-1),IF(价差分析!$W$4="周",--[1]!td(A1309-7),--[1]!td(A1309-30))),""))</f>
        <v/>
      </c>
      <c r="B1310" s="1" t="str">
        <f ca="1">IF(A1310="","",[1]!s_dq_close($B$1,A1310,$M$4))</f>
        <v/>
      </c>
      <c r="C1310" s="1" t="str">
        <f ca="1">IF(A1310="","",[1]!s_dq_close($C$1,A1310,$M$4))</f>
        <v/>
      </c>
      <c r="D1310" s="6" t="str">
        <f ca="1">IF($A1310="","",[1]!s_dq_close(D$1,$A1310,$M$4))</f>
        <v/>
      </c>
      <c r="E1310" s="6" t="str">
        <f ca="1">IF($A1310="","",[1]!s_dq_close(E$1,$A1310,$M$4))</f>
        <v/>
      </c>
      <c r="F1310" s="6" t="str">
        <f ca="1">IF($A1310="","",[1]!s_dq_close(F$1,$A1310,$M$4))</f>
        <v/>
      </c>
      <c r="G1310" s="6"/>
      <c r="H1310" s="6" t="str">
        <f ca="1">IF($A1310="","",[1]!s_dq_close(H$1,$A1310,$M$4))</f>
        <v/>
      </c>
      <c r="I1310" s="6" t="str">
        <f ca="1">IF($A1310="","",[1]!s_dq_close(I$1,$A1310,$M$4))</f>
        <v/>
      </c>
      <c r="J1310" s="6" t="str">
        <f t="shared" ca="1" si="21"/>
        <v/>
      </c>
    </row>
    <row r="1311" spans="1:10">
      <c r="A1311" s="2" t="str">
        <f ca="1">IF(A1310="","",IF(IF(价差分析!$W$4="日",--[1]!td(A1310-1),IF(价差分析!$W$4="周",--[1]!td(A1310-7),--[1]!td(A1310-30)))-价差分析!$T$4&gt;0,IF(价差分析!$W$4="日",--[1]!td(A1310-1),IF(价差分析!$W$4="周",--[1]!td(A1310-7),--[1]!td(A1310-30))),""))</f>
        <v/>
      </c>
      <c r="B1311" s="1" t="str">
        <f ca="1">IF(A1311="","",[1]!s_dq_close($B$1,A1311,$M$4))</f>
        <v/>
      </c>
      <c r="C1311" s="1" t="str">
        <f ca="1">IF(A1311="","",[1]!s_dq_close($C$1,A1311,$M$4))</f>
        <v/>
      </c>
      <c r="D1311" s="6" t="str">
        <f ca="1">IF($A1311="","",[1]!s_dq_close(D$1,$A1311,$M$4))</f>
        <v/>
      </c>
      <c r="E1311" s="6" t="str">
        <f ca="1">IF($A1311="","",[1]!s_dq_close(E$1,$A1311,$M$4))</f>
        <v/>
      </c>
      <c r="F1311" s="6" t="str">
        <f ca="1">IF($A1311="","",[1]!s_dq_close(F$1,$A1311,$M$4))</f>
        <v/>
      </c>
      <c r="G1311" s="6"/>
      <c r="H1311" s="6" t="str">
        <f ca="1">IF($A1311="","",[1]!s_dq_close(H$1,$A1311,$M$4))</f>
        <v/>
      </c>
      <c r="I1311" s="6" t="str">
        <f ca="1">IF($A1311="","",[1]!s_dq_close(I$1,$A1311,$M$4))</f>
        <v/>
      </c>
      <c r="J1311" s="6" t="str">
        <f t="shared" ca="1" si="21"/>
        <v/>
      </c>
    </row>
    <row r="1312" spans="1:10">
      <c r="A1312" s="2" t="str">
        <f ca="1">IF(A1311="","",IF(IF(价差分析!$W$4="日",--[1]!td(A1311-1),IF(价差分析!$W$4="周",--[1]!td(A1311-7),--[1]!td(A1311-30)))-价差分析!$T$4&gt;0,IF(价差分析!$W$4="日",--[1]!td(A1311-1),IF(价差分析!$W$4="周",--[1]!td(A1311-7),--[1]!td(A1311-30))),""))</f>
        <v/>
      </c>
      <c r="B1312" s="1" t="str">
        <f ca="1">IF(A1312="","",[1]!s_dq_close($B$1,A1312,$M$4))</f>
        <v/>
      </c>
      <c r="C1312" s="1" t="str">
        <f ca="1">IF(A1312="","",[1]!s_dq_close($C$1,A1312,$M$4))</f>
        <v/>
      </c>
      <c r="D1312" s="6" t="str">
        <f ca="1">IF($A1312="","",[1]!s_dq_close(D$1,$A1312,$M$4))</f>
        <v/>
      </c>
      <c r="E1312" s="6" t="str">
        <f ca="1">IF($A1312="","",[1]!s_dq_close(E$1,$A1312,$M$4))</f>
        <v/>
      </c>
      <c r="F1312" s="6" t="str">
        <f ca="1">IF($A1312="","",[1]!s_dq_close(F$1,$A1312,$M$4))</f>
        <v/>
      </c>
      <c r="G1312" s="6"/>
      <c r="H1312" s="6" t="str">
        <f ca="1">IF($A1312="","",[1]!s_dq_close(H$1,$A1312,$M$4))</f>
        <v/>
      </c>
      <c r="I1312" s="6" t="str">
        <f ca="1">IF($A1312="","",[1]!s_dq_close(I$1,$A1312,$M$4))</f>
        <v/>
      </c>
      <c r="J1312" s="6" t="str">
        <f t="shared" ca="1" si="21"/>
        <v/>
      </c>
    </row>
    <row r="1313" spans="1:10">
      <c r="A1313" s="2" t="str">
        <f ca="1">IF(A1312="","",IF(IF(价差分析!$W$4="日",--[1]!td(A1312-1),IF(价差分析!$W$4="周",--[1]!td(A1312-7),--[1]!td(A1312-30)))-价差分析!$T$4&gt;0,IF(价差分析!$W$4="日",--[1]!td(A1312-1),IF(价差分析!$W$4="周",--[1]!td(A1312-7),--[1]!td(A1312-30))),""))</f>
        <v/>
      </c>
      <c r="B1313" s="1" t="str">
        <f ca="1">IF(A1313="","",[1]!s_dq_close($B$1,A1313,$M$4))</f>
        <v/>
      </c>
      <c r="C1313" s="1" t="str">
        <f ca="1">IF(A1313="","",[1]!s_dq_close($C$1,A1313,$M$4))</f>
        <v/>
      </c>
      <c r="D1313" s="6" t="str">
        <f ca="1">IF($A1313="","",[1]!s_dq_close(D$1,$A1313,$M$4))</f>
        <v/>
      </c>
      <c r="E1313" s="6" t="str">
        <f ca="1">IF($A1313="","",[1]!s_dq_close(E$1,$A1313,$M$4))</f>
        <v/>
      </c>
      <c r="F1313" s="6" t="str">
        <f ca="1">IF($A1313="","",[1]!s_dq_close(F$1,$A1313,$M$4))</f>
        <v/>
      </c>
      <c r="G1313" s="6"/>
      <c r="H1313" s="6" t="str">
        <f ca="1">IF($A1313="","",[1]!s_dq_close(H$1,$A1313,$M$4))</f>
        <v/>
      </c>
      <c r="I1313" s="6" t="str">
        <f ca="1">IF($A1313="","",[1]!s_dq_close(I$1,$A1313,$M$4))</f>
        <v/>
      </c>
      <c r="J1313" s="6" t="str">
        <f t="shared" ca="1" si="21"/>
        <v/>
      </c>
    </row>
    <row r="1314" spans="1:10">
      <c r="A1314" s="2" t="str">
        <f ca="1">IF(A1313="","",IF(IF(价差分析!$W$4="日",--[1]!td(A1313-1),IF(价差分析!$W$4="周",--[1]!td(A1313-7),--[1]!td(A1313-30)))-价差分析!$T$4&gt;0,IF(价差分析!$W$4="日",--[1]!td(A1313-1),IF(价差分析!$W$4="周",--[1]!td(A1313-7),--[1]!td(A1313-30))),""))</f>
        <v/>
      </c>
      <c r="B1314" s="1" t="str">
        <f ca="1">IF(A1314="","",[1]!s_dq_close($B$1,A1314,$M$4))</f>
        <v/>
      </c>
      <c r="C1314" s="1" t="str">
        <f ca="1">IF(A1314="","",[1]!s_dq_close($C$1,A1314,$M$4))</f>
        <v/>
      </c>
      <c r="D1314" s="6" t="str">
        <f ca="1">IF($A1314="","",[1]!s_dq_close(D$1,$A1314,$M$4))</f>
        <v/>
      </c>
      <c r="E1314" s="6" t="str">
        <f ca="1">IF($A1314="","",[1]!s_dq_close(E$1,$A1314,$M$4))</f>
        <v/>
      </c>
      <c r="F1314" s="6" t="str">
        <f ca="1">IF($A1314="","",[1]!s_dq_close(F$1,$A1314,$M$4))</f>
        <v/>
      </c>
      <c r="G1314" s="6"/>
      <c r="H1314" s="6" t="str">
        <f ca="1">IF($A1314="","",[1]!s_dq_close(H$1,$A1314,$M$4))</f>
        <v/>
      </c>
      <c r="I1314" s="6" t="str">
        <f ca="1">IF($A1314="","",[1]!s_dq_close(I$1,$A1314,$M$4))</f>
        <v/>
      </c>
      <c r="J1314" s="6" t="str">
        <f t="shared" ca="1" si="21"/>
        <v/>
      </c>
    </row>
    <row r="1315" spans="1:10">
      <c r="A1315" s="2" t="str">
        <f ca="1">IF(A1314="","",IF(IF(价差分析!$W$4="日",--[1]!td(A1314-1),IF(价差分析!$W$4="周",--[1]!td(A1314-7),--[1]!td(A1314-30)))-价差分析!$T$4&gt;0,IF(价差分析!$W$4="日",--[1]!td(A1314-1),IF(价差分析!$W$4="周",--[1]!td(A1314-7),--[1]!td(A1314-30))),""))</f>
        <v/>
      </c>
      <c r="B1315" s="1" t="str">
        <f ca="1">IF(A1315="","",[1]!s_dq_close($B$1,A1315,$M$4))</f>
        <v/>
      </c>
      <c r="C1315" s="1" t="str">
        <f ca="1">IF(A1315="","",[1]!s_dq_close($C$1,A1315,$M$4))</f>
        <v/>
      </c>
      <c r="D1315" s="6" t="str">
        <f ca="1">IF($A1315="","",[1]!s_dq_close(D$1,$A1315,$M$4))</f>
        <v/>
      </c>
      <c r="E1315" s="6" t="str">
        <f ca="1">IF($A1315="","",[1]!s_dq_close(E$1,$A1315,$M$4))</f>
        <v/>
      </c>
      <c r="F1315" s="6" t="str">
        <f ca="1">IF($A1315="","",[1]!s_dq_close(F$1,$A1315,$M$4))</f>
        <v/>
      </c>
      <c r="G1315" s="6"/>
      <c r="H1315" s="6" t="str">
        <f ca="1">IF($A1315="","",[1]!s_dq_close(H$1,$A1315,$M$4))</f>
        <v/>
      </c>
      <c r="I1315" s="6" t="str">
        <f ca="1">IF($A1315="","",[1]!s_dq_close(I$1,$A1315,$M$4))</f>
        <v/>
      </c>
      <c r="J1315" s="6" t="str">
        <f t="shared" ca="1" si="21"/>
        <v/>
      </c>
    </row>
    <row r="1316" spans="1:10">
      <c r="A1316" s="2" t="str">
        <f ca="1">IF(A1315="","",IF(IF(价差分析!$W$4="日",--[1]!td(A1315-1),IF(价差分析!$W$4="周",--[1]!td(A1315-7),--[1]!td(A1315-30)))-价差分析!$T$4&gt;0,IF(价差分析!$W$4="日",--[1]!td(A1315-1),IF(价差分析!$W$4="周",--[1]!td(A1315-7),--[1]!td(A1315-30))),""))</f>
        <v/>
      </c>
      <c r="B1316" s="1" t="str">
        <f ca="1">IF(A1316="","",[1]!s_dq_close($B$1,A1316,$M$4))</f>
        <v/>
      </c>
      <c r="C1316" s="1" t="str">
        <f ca="1">IF(A1316="","",[1]!s_dq_close($C$1,A1316,$M$4))</f>
        <v/>
      </c>
      <c r="D1316" s="6" t="str">
        <f ca="1">IF($A1316="","",[1]!s_dq_close(D$1,$A1316,$M$4))</f>
        <v/>
      </c>
      <c r="E1316" s="6" t="str">
        <f ca="1">IF($A1316="","",[1]!s_dq_close(E$1,$A1316,$M$4))</f>
        <v/>
      </c>
      <c r="F1316" s="6" t="str">
        <f ca="1">IF($A1316="","",[1]!s_dq_close(F$1,$A1316,$M$4))</f>
        <v/>
      </c>
      <c r="G1316" s="6"/>
      <c r="H1316" s="6" t="str">
        <f ca="1">IF($A1316="","",[1]!s_dq_close(H$1,$A1316,$M$4))</f>
        <v/>
      </c>
      <c r="I1316" s="6" t="str">
        <f ca="1">IF($A1316="","",[1]!s_dq_close(I$1,$A1316,$M$4))</f>
        <v/>
      </c>
      <c r="J1316" s="6" t="str">
        <f t="shared" ca="1" si="21"/>
        <v/>
      </c>
    </row>
    <row r="1317" spans="1:10">
      <c r="A1317" s="2" t="str">
        <f ca="1">IF(A1316="","",IF(IF(价差分析!$W$4="日",--[1]!td(A1316-1),IF(价差分析!$W$4="周",--[1]!td(A1316-7),--[1]!td(A1316-30)))-价差分析!$T$4&gt;0,IF(价差分析!$W$4="日",--[1]!td(A1316-1),IF(价差分析!$W$4="周",--[1]!td(A1316-7),--[1]!td(A1316-30))),""))</f>
        <v/>
      </c>
      <c r="B1317" s="1" t="str">
        <f ca="1">IF(A1317="","",[1]!s_dq_close($B$1,A1317,$M$4))</f>
        <v/>
      </c>
      <c r="C1317" s="1" t="str">
        <f ca="1">IF(A1317="","",[1]!s_dq_close($C$1,A1317,$M$4))</f>
        <v/>
      </c>
      <c r="D1317" s="6" t="str">
        <f ca="1">IF($A1317="","",[1]!s_dq_close(D$1,$A1317,$M$4))</f>
        <v/>
      </c>
      <c r="E1317" s="6" t="str">
        <f ca="1">IF($A1317="","",[1]!s_dq_close(E$1,$A1317,$M$4))</f>
        <v/>
      </c>
      <c r="F1317" s="6" t="str">
        <f ca="1">IF($A1317="","",[1]!s_dq_close(F$1,$A1317,$M$4))</f>
        <v/>
      </c>
      <c r="G1317" s="6"/>
      <c r="H1317" s="6" t="str">
        <f ca="1">IF($A1317="","",[1]!s_dq_close(H$1,$A1317,$M$4))</f>
        <v/>
      </c>
      <c r="I1317" s="6" t="str">
        <f ca="1">IF($A1317="","",[1]!s_dq_close(I$1,$A1317,$M$4))</f>
        <v/>
      </c>
      <c r="J1317" s="6" t="str">
        <f t="shared" ca="1" si="21"/>
        <v/>
      </c>
    </row>
    <row r="1318" spans="1:10">
      <c r="A1318" s="2" t="str">
        <f ca="1">IF(A1317="","",IF(IF(价差分析!$W$4="日",--[1]!td(A1317-1),IF(价差分析!$W$4="周",--[1]!td(A1317-7),--[1]!td(A1317-30)))-价差分析!$T$4&gt;0,IF(价差分析!$W$4="日",--[1]!td(A1317-1),IF(价差分析!$W$4="周",--[1]!td(A1317-7),--[1]!td(A1317-30))),""))</f>
        <v/>
      </c>
      <c r="B1318" s="1" t="str">
        <f ca="1">IF(A1318="","",[1]!s_dq_close($B$1,A1318,$M$4))</f>
        <v/>
      </c>
      <c r="C1318" s="1" t="str">
        <f ca="1">IF(A1318="","",[1]!s_dq_close($C$1,A1318,$M$4))</f>
        <v/>
      </c>
      <c r="D1318" s="6" t="str">
        <f ca="1">IF($A1318="","",[1]!s_dq_close(D$1,$A1318,$M$4))</f>
        <v/>
      </c>
      <c r="E1318" s="6" t="str">
        <f ca="1">IF($A1318="","",[1]!s_dq_close(E$1,$A1318,$M$4))</f>
        <v/>
      </c>
      <c r="F1318" s="6" t="str">
        <f ca="1">IF($A1318="","",[1]!s_dq_close(F$1,$A1318,$M$4))</f>
        <v/>
      </c>
      <c r="G1318" s="6"/>
      <c r="H1318" s="6" t="str">
        <f ca="1">IF($A1318="","",[1]!s_dq_close(H$1,$A1318,$M$4))</f>
        <v/>
      </c>
      <c r="I1318" s="6" t="str">
        <f ca="1">IF($A1318="","",[1]!s_dq_close(I$1,$A1318,$M$4))</f>
        <v/>
      </c>
      <c r="J1318" s="6" t="str">
        <f t="shared" ca="1" si="21"/>
        <v/>
      </c>
    </row>
    <row r="1319" spans="1:10">
      <c r="A1319" s="2" t="str">
        <f ca="1">IF(A1318="","",IF(IF(价差分析!$W$4="日",--[1]!td(A1318-1),IF(价差分析!$W$4="周",--[1]!td(A1318-7),--[1]!td(A1318-30)))-价差分析!$T$4&gt;0,IF(价差分析!$W$4="日",--[1]!td(A1318-1),IF(价差分析!$W$4="周",--[1]!td(A1318-7),--[1]!td(A1318-30))),""))</f>
        <v/>
      </c>
      <c r="B1319" s="1" t="str">
        <f ca="1">IF(A1319="","",[1]!s_dq_close($B$1,A1319,$M$4))</f>
        <v/>
      </c>
      <c r="C1319" s="1" t="str">
        <f ca="1">IF(A1319="","",[1]!s_dq_close($C$1,A1319,$M$4))</f>
        <v/>
      </c>
      <c r="D1319" s="6" t="str">
        <f ca="1">IF($A1319="","",[1]!s_dq_close(D$1,$A1319,$M$4))</f>
        <v/>
      </c>
      <c r="E1319" s="6" t="str">
        <f ca="1">IF($A1319="","",[1]!s_dq_close(E$1,$A1319,$M$4))</f>
        <v/>
      </c>
      <c r="F1319" s="6" t="str">
        <f ca="1">IF($A1319="","",[1]!s_dq_close(F$1,$A1319,$M$4))</f>
        <v/>
      </c>
      <c r="G1319" s="6"/>
      <c r="H1319" s="6" t="str">
        <f ca="1">IF($A1319="","",[1]!s_dq_close(H$1,$A1319,$M$4))</f>
        <v/>
      </c>
      <c r="I1319" s="6" t="str">
        <f ca="1">IF($A1319="","",[1]!s_dq_close(I$1,$A1319,$M$4))</f>
        <v/>
      </c>
      <c r="J1319" s="6" t="str">
        <f t="shared" ca="1" si="21"/>
        <v/>
      </c>
    </row>
    <row r="1320" spans="1:10">
      <c r="A1320" s="2" t="str">
        <f ca="1">IF(A1319="","",IF(IF(价差分析!$W$4="日",--[1]!td(A1319-1),IF(价差分析!$W$4="周",--[1]!td(A1319-7),--[1]!td(A1319-30)))-价差分析!$T$4&gt;0,IF(价差分析!$W$4="日",--[1]!td(A1319-1),IF(价差分析!$W$4="周",--[1]!td(A1319-7),--[1]!td(A1319-30))),""))</f>
        <v/>
      </c>
      <c r="B1320" s="1" t="str">
        <f ca="1">IF(A1320="","",[1]!s_dq_close($B$1,A1320,$M$4))</f>
        <v/>
      </c>
      <c r="C1320" s="1" t="str">
        <f ca="1">IF(A1320="","",[1]!s_dq_close($C$1,A1320,$M$4))</f>
        <v/>
      </c>
      <c r="D1320" s="6" t="str">
        <f ca="1">IF($A1320="","",[1]!s_dq_close(D$1,$A1320,$M$4))</f>
        <v/>
      </c>
      <c r="E1320" s="6" t="str">
        <f ca="1">IF($A1320="","",[1]!s_dq_close(E$1,$A1320,$M$4))</f>
        <v/>
      </c>
      <c r="F1320" s="6" t="str">
        <f ca="1">IF($A1320="","",[1]!s_dq_close(F$1,$A1320,$M$4))</f>
        <v/>
      </c>
      <c r="G1320" s="6"/>
      <c r="H1320" s="6" t="str">
        <f ca="1">IF($A1320="","",[1]!s_dq_close(H$1,$A1320,$M$4))</f>
        <v/>
      </c>
      <c r="I1320" s="6" t="str">
        <f ca="1">IF($A1320="","",[1]!s_dq_close(I$1,$A1320,$M$4))</f>
        <v/>
      </c>
      <c r="J1320" s="6" t="str">
        <f t="shared" ca="1" si="21"/>
        <v/>
      </c>
    </row>
    <row r="1321" spans="1:10">
      <c r="A1321" s="2" t="str">
        <f ca="1">IF(A1320="","",IF(IF(价差分析!$W$4="日",--[1]!td(A1320-1),IF(价差分析!$W$4="周",--[1]!td(A1320-7),--[1]!td(A1320-30)))-价差分析!$T$4&gt;0,IF(价差分析!$W$4="日",--[1]!td(A1320-1),IF(价差分析!$W$4="周",--[1]!td(A1320-7),--[1]!td(A1320-30))),""))</f>
        <v/>
      </c>
      <c r="B1321" s="1" t="str">
        <f ca="1">IF(A1321="","",[1]!s_dq_close($B$1,A1321,$M$4))</f>
        <v/>
      </c>
      <c r="C1321" s="1" t="str">
        <f ca="1">IF(A1321="","",[1]!s_dq_close($C$1,A1321,$M$4))</f>
        <v/>
      </c>
      <c r="D1321" s="6" t="str">
        <f ca="1">IF($A1321="","",[1]!s_dq_close(D$1,$A1321,$M$4))</f>
        <v/>
      </c>
      <c r="E1321" s="6" t="str">
        <f ca="1">IF($A1321="","",[1]!s_dq_close(E$1,$A1321,$M$4))</f>
        <v/>
      </c>
      <c r="F1321" s="6" t="str">
        <f ca="1">IF($A1321="","",[1]!s_dq_close(F$1,$A1321,$M$4))</f>
        <v/>
      </c>
      <c r="G1321" s="6"/>
      <c r="H1321" s="6" t="str">
        <f ca="1">IF($A1321="","",[1]!s_dq_close(H$1,$A1321,$M$4))</f>
        <v/>
      </c>
      <c r="I1321" s="6" t="str">
        <f ca="1">IF($A1321="","",[1]!s_dq_close(I$1,$A1321,$M$4))</f>
        <v/>
      </c>
      <c r="J1321" s="6" t="str">
        <f t="shared" ca="1" si="21"/>
        <v/>
      </c>
    </row>
    <row r="1322" spans="1:10">
      <c r="A1322" s="2" t="str">
        <f ca="1">IF(A1321="","",IF(IF(价差分析!$W$4="日",--[1]!td(A1321-1),IF(价差分析!$W$4="周",--[1]!td(A1321-7),--[1]!td(A1321-30)))-价差分析!$T$4&gt;0,IF(价差分析!$W$4="日",--[1]!td(A1321-1),IF(价差分析!$W$4="周",--[1]!td(A1321-7),--[1]!td(A1321-30))),""))</f>
        <v/>
      </c>
      <c r="B1322" s="1" t="str">
        <f ca="1">IF(A1322="","",[1]!s_dq_close($B$1,A1322,$M$4))</f>
        <v/>
      </c>
      <c r="C1322" s="1" t="str">
        <f ca="1">IF(A1322="","",[1]!s_dq_close($C$1,A1322,$M$4))</f>
        <v/>
      </c>
      <c r="D1322" s="6" t="str">
        <f ca="1">IF($A1322="","",[1]!s_dq_close(D$1,$A1322,$M$4))</f>
        <v/>
      </c>
      <c r="E1322" s="6" t="str">
        <f ca="1">IF($A1322="","",[1]!s_dq_close(E$1,$A1322,$M$4))</f>
        <v/>
      </c>
      <c r="F1322" s="6" t="str">
        <f ca="1">IF($A1322="","",[1]!s_dq_close(F$1,$A1322,$M$4))</f>
        <v/>
      </c>
      <c r="G1322" s="6"/>
      <c r="H1322" s="6" t="str">
        <f ca="1">IF($A1322="","",[1]!s_dq_close(H$1,$A1322,$M$4))</f>
        <v/>
      </c>
      <c r="I1322" s="6" t="str">
        <f ca="1">IF($A1322="","",[1]!s_dq_close(I$1,$A1322,$M$4))</f>
        <v/>
      </c>
      <c r="J1322" s="6" t="str">
        <f t="shared" ca="1" si="21"/>
        <v/>
      </c>
    </row>
    <row r="1323" spans="1:10">
      <c r="A1323" s="2" t="str">
        <f ca="1">IF(A1322="","",IF(IF(价差分析!$W$4="日",--[1]!td(A1322-1),IF(价差分析!$W$4="周",--[1]!td(A1322-7),--[1]!td(A1322-30)))-价差分析!$T$4&gt;0,IF(价差分析!$W$4="日",--[1]!td(A1322-1),IF(价差分析!$W$4="周",--[1]!td(A1322-7),--[1]!td(A1322-30))),""))</f>
        <v/>
      </c>
      <c r="B1323" s="1" t="str">
        <f ca="1">IF(A1323="","",[1]!s_dq_close($B$1,A1323,$M$4))</f>
        <v/>
      </c>
      <c r="C1323" s="1" t="str">
        <f ca="1">IF(A1323="","",[1]!s_dq_close($C$1,A1323,$M$4))</f>
        <v/>
      </c>
      <c r="D1323" s="6" t="str">
        <f ca="1">IF($A1323="","",[1]!s_dq_close(D$1,$A1323,$M$4))</f>
        <v/>
      </c>
      <c r="E1323" s="6" t="str">
        <f ca="1">IF($A1323="","",[1]!s_dq_close(E$1,$A1323,$M$4))</f>
        <v/>
      </c>
      <c r="F1323" s="6" t="str">
        <f ca="1">IF($A1323="","",[1]!s_dq_close(F$1,$A1323,$M$4))</f>
        <v/>
      </c>
      <c r="G1323" s="6"/>
      <c r="H1323" s="6" t="str">
        <f ca="1">IF($A1323="","",[1]!s_dq_close(H$1,$A1323,$M$4))</f>
        <v/>
      </c>
      <c r="I1323" s="6" t="str">
        <f ca="1">IF($A1323="","",[1]!s_dq_close(I$1,$A1323,$M$4))</f>
        <v/>
      </c>
      <c r="J1323" s="6" t="str">
        <f t="shared" ca="1" si="21"/>
        <v/>
      </c>
    </row>
    <row r="1324" spans="1:10">
      <c r="A1324" s="2" t="str">
        <f ca="1">IF(A1323="","",IF(IF(价差分析!$W$4="日",--[1]!td(A1323-1),IF(价差分析!$W$4="周",--[1]!td(A1323-7),--[1]!td(A1323-30)))-价差分析!$T$4&gt;0,IF(价差分析!$W$4="日",--[1]!td(A1323-1),IF(价差分析!$W$4="周",--[1]!td(A1323-7),--[1]!td(A1323-30))),""))</f>
        <v/>
      </c>
      <c r="B1324" s="1" t="str">
        <f ca="1">IF(A1324="","",[1]!s_dq_close($B$1,A1324,$M$4))</f>
        <v/>
      </c>
      <c r="C1324" s="1" t="str">
        <f ca="1">IF(A1324="","",[1]!s_dq_close($C$1,A1324,$M$4))</f>
        <v/>
      </c>
      <c r="D1324" s="6" t="str">
        <f ca="1">IF($A1324="","",[1]!s_dq_close(D$1,$A1324,$M$4))</f>
        <v/>
      </c>
      <c r="E1324" s="6" t="str">
        <f ca="1">IF($A1324="","",[1]!s_dq_close(E$1,$A1324,$M$4))</f>
        <v/>
      </c>
      <c r="F1324" s="6" t="str">
        <f ca="1">IF($A1324="","",[1]!s_dq_close(F$1,$A1324,$M$4))</f>
        <v/>
      </c>
      <c r="G1324" s="6"/>
      <c r="H1324" s="6" t="str">
        <f ca="1">IF($A1324="","",[1]!s_dq_close(H$1,$A1324,$M$4))</f>
        <v/>
      </c>
      <c r="I1324" s="6" t="str">
        <f ca="1">IF($A1324="","",[1]!s_dq_close(I$1,$A1324,$M$4))</f>
        <v/>
      </c>
      <c r="J1324" s="6" t="str">
        <f t="shared" ca="1" si="21"/>
        <v/>
      </c>
    </row>
    <row r="1325" spans="1:10">
      <c r="A1325" s="2" t="str">
        <f ca="1">IF(A1324="","",IF(IF(价差分析!$W$4="日",--[1]!td(A1324-1),IF(价差分析!$W$4="周",--[1]!td(A1324-7),--[1]!td(A1324-30)))-价差分析!$T$4&gt;0,IF(价差分析!$W$4="日",--[1]!td(A1324-1),IF(价差分析!$W$4="周",--[1]!td(A1324-7),--[1]!td(A1324-30))),""))</f>
        <v/>
      </c>
      <c r="B1325" s="1" t="str">
        <f ca="1">IF(A1325="","",[1]!s_dq_close($B$1,A1325,$M$4))</f>
        <v/>
      </c>
      <c r="C1325" s="1" t="str">
        <f ca="1">IF(A1325="","",[1]!s_dq_close($C$1,A1325,$M$4))</f>
        <v/>
      </c>
      <c r="D1325" s="6" t="str">
        <f ca="1">IF($A1325="","",[1]!s_dq_close(D$1,$A1325,$M$4))</f>
        <v/>
      </c>
      <c r="E1325" s="6" t="str">
        <f ca="1">IF($A1325="","",[1]!s_dq_close(E$1,$A1325,$M$4))</f>
        <v/>
      </c>
      <c r="F1325" s="6" t="str">
        <f ca="1">IF($A1325="","",[1]!s_dq_close(F$1,$A1325,$M$4))</f>
        <v/>
      </c>
      <c r="G1325" s="6"/>
      <c r="H1325" s="6" t="str">
        <f ca="1">IF($A1325="","",[1]!s_dq_close(H$1,$A1325,$M$4))</f>
        <v/>
      </c>
      <c r="I1325" s="6" t="str">
        <f ca="1">IF($A1325="","",[1]!s_dq_close(I$1,$A1325,$M$4))</f>
        <v/>
      </c>
      <c r="J1325" s="6" t="str">
        <f t="shared" ca="1" si="21"/>
        <v/>
      </c>
    </row>
    <row r="1326" spans="1:10">
      <c r="A1326" s="2" t="str">
        <f ca="1">IF(A1325="","",IF(IF(价差分析!$W$4="日",--[1]!td(A1325-1),IF(价差分析!$W$4="周",--[1]!td(A1325-7),--[1]!td(A1325-30)))-价差分析!$T$4&gt;0,IF(价差分析!$W$4="日",--[1]!td(A1325-1),IF(价差分析!$W$4="周",--[1]!td(A1325-7),--[1]!td(A1325-30))),""))</f>
        <v/>
      </c>
      <c r="B1326" s="1" t="str">
        <f ca="1">IF(A1326="","",[1]!s_dq_close($B$1,A1326,$M$4))</f>
        <v/>
      </c>
      <c r="C1326" s="1" t="str">
        <f ca="1">IF(A1326="","",[1]!s_dq_close($C$1,A1326,$M$4))</f>
        <v/>
      </c>
      <c r="D1326" s="6" t="str">
        <f ca="1">IF($A1326="","",[1]!s_dq_close(D$1,$A1326,$M$4))</f>
        <v/>
      </c>
      <c r="E1326" s="6" t="str">
        <f ca="1">IF($A1326="","",[1]!s_dq_close(E$1,$A1326,$M$4))</f>
        <v/>
      </c>
      <c r="F1326" s="6" t="str">
        <f ca="1">IF($A1326="","",[1]!s_dq_close(F$1,$A1326,$M$4))</f>
        <v/>
      </c>
      <c r="G1326" s="6"/>
      <c r="H1326" s="6" t="str">
        <f ca="1">IF($A1326="","",[1]!s_dq_close(H$1,$A1326,$M$4))</f>
        <v/>
      </c>
      <c r="I1326" s="6" t="str">
        <f ca="1">IF($A1326="","",[1]!s_dq_close(I$1,$A1326,$M$4))</f>
        <v/>
      </c>
      <c r="J1326" s="6" t="str">
        <f t="shared" ca="1" si="21"/>
        <v/>
      </c>
    </row>
    <row r="1327" spans="1:10">
      <c r="A1327" s="2" t="str">
        <f ca="1">IF(A1326="","",IF(IF(价差分析!$W$4="日",--[1]!td(A1326-1),IF(价差分析!$W$4="周",--[1]!td(A1326-7),--[1]!td(A1326-30)))-价差分析!$T$4&gt;0,IF(价差分析!$W$4="日",--[1]!td(A1326-1),IF(价差分析!$W$4="周",--[1]!td(A1326-7),--[1]!td(A1326-30))),""))</f>
        <v/>
      </c>
      <c r="B1327" s="1" t="str">
        <f ca="1">IF(A1327="","",[1]!s_dq_close($B$1,A1327,$M$4))</f>
        <v/>
      </c>
      <c r="C1327" s="1" t="str">
        <f ca="1">IF(A1327="","",[1]!s_dq_close($C$1,A1327,$M$4))</f>
        <v/>
      </c>
      <c r="D1327" s="6" t="str">
        <f ca="1">IF($A1327="","",[1]!s_dq_close(D$1,$A1327,$M$4))</f>
        <v/>
      </c>
      <c r="E1327" s="6" t="str">
        <f ca="1">IF($A1327="","",[1]!s_dq_close(E$1,$A1327,$M$4))</f>
        <v/>
      </c>
      <c r="F1327" s="6" t="str">
        <f ca="1">IF($A1327="","",[1]!s_dq_close(F$1,$A1327,$M$4))</f>
        <v/>
      </c>
      <c r="G1327" s="6"/>
      <c r="H1327" s="6" t="str">
        <f ca="1">IF($A1327="","",[1]!s_dq_close(H$1,$A1327,$M$4))</f>
        <v/>
      </c>
      <c r="I1327" s="6" t="str">
        <f ca="1">IF($A1327="","",[1]!s_dq_close(I$1,$A1327,$M$4))</f>
        <v/>
      </c>
      <c r="J1327" s="6" t="str">
        <f t="shared" ca="1" si="21"/>
        <v/>
      </c>
    </row>
    <row r="1328" spans="1:10">
      <c r="A1328" s="2" t="str">
        <f ca="1">IF(A1327="","",IF(IF(价差分析!$W$4="日",--[1]!td(A1327-1),IF(价差分析!$W$4="周",--[1]!td(A1327-7),--[1]!td(A1327-30)))-价差分析!$T$4&gt;0,IF(价差分析!$W$4="日",--[1]!td(A1327-1),IF(价差分析!$W$4="周",--[1]!td(A1327-7),--[1]!td(A1327-30))),""))</f>
        <v/>
      </c>
      <c r="B1328" s="1" t="str">
        <f ca="1">IF(A1328="","",[1]!s_dq_close($B$1,A1328,$M$4))</f>
        <v/>
      </c>
      <c r="C1328" s="1" t="str">
        <f ca="1">IF(A1328="","",[1]!s_dq_close($C$1,A1328,$M$4))</f>
        <v/>
      </c>
      <c r="D1328" s="6" t="str">
        <f ca="1">IF($A1328="","",[1]!s_dq_close(D$1,$A1328,$M$4))</f>
        <v/>
      </c>
      <c r="E1328" s="6" t="str">
        <f ca="1">IF($A1328="","",[1]!s_dq_close(E$1,$A1328,$M$4))</f>
        <v/>
      </c>
      <c r="F1328" s="6" t="str">
        <f ca="1">IF($A1328="","",[1]!s_dq_close(F$1,$A1328,$M$4))</f>
        <v/>
      </c>
      <c r="G1328" s="6"/>
      <c r="H1328" s="6" t="str">
        <f ca="1">IF($A1328="","",[1]!s_dq_close(H$1,$A1328,$M$4))</f>
        <v/>
      </c>
      <c r="I1328" s="6" t="str">
        <f ca="1">IF($A1328="","",[1]!s_dq_close(I$1,$A1328,$M$4))</f>
        <v/>
      </c>
      <c r="J1328" s="6" t="str">
        <f t="shared" ca="1" si="21"/>
        <v/>
      </c>
    </row>
    <row r="1329" spans="1:10">
      <c r="A1329" s="2" t="str">
        <f ca="1">IF(A1328="","",IF(IF(价差分析!$W$4="日",--[1]!td(A1328-1),IF(价差分析!$W$4="周",--[1]!td(A1328-7),--[1]!td(A1328-30)))-价差分析!$T$4&gt;0,IF(价差分析!$W$4="日",--[1]!td(A1328-1),IF(价差分析!$W$4="周",--[1]!td(A1328-7),--[1]!td(A1328-30))),""))</f>
        <v/>
      </c>
      <c r="B1329" s="1" t="str">
        <f ca="1">IF(A1329="","",[1]!s_dq_close($B$1,A1329,$M$4))</f>
        <v/>
      </c>
      <c r="C1329" s="1" t="str">
        <f ca="1">IF(A1329="","",[1]!s_dq_close($C$1,A1329,$M$4))</f>
        <v/>
      </c>
      <c r="D1329" s="6" t="str">
        <f ca="1">IF($A1329="","",[1]!s_dq_close(D$1,$A1329,$M$4))</f>
        <v/>
      </c>
      <c r="E1329" s="6" t="str">
        <f ca="1">IF($A1329="","",[1]!s_dq_close(E$1,$A1329,$M$4))</f>
        <v/>
      </c>
      <c r="F1329" s="6" t="str">
        <f ca="1">IF($A1329="","",[1]!s_dq_close(F$1,$A1329,$M$4))</f>
        <v/>
      </c>
      <c r="G1329" s="6"/>
      <c r="H1329" s="6" t="str">
        <f ca="1">IF($A1329="","",[1]!s_dq_close(H$1,$A1329,$M$4))</f>
        <v/>
      </c>
      <c r="I1329" s="6" t="str">
        <f ca="1">IF($A1329="","",[1]!s_dq_close(I$1,$A1329,$M$4))</f>
        <v/>
      </c>
      <c r="J1329" s="6" t="str">
        <f t="shared" ca="1" si="21"/>
        <v/>
      </c>
    </row>
    <row r="1330" spans="1:10">
      <c r="A1330" s="2" t="str">
        <f ca="1">IF(A1329="","",IF(IF(价差分析!$W$4="日",--[1]!td(A1329-1),IF(价差分析!$W$4="周",--[1]!td(A1329-7),--[1]!td(A1329-30)))-价差分析!$T$4&gt;0,IF(价差分析!$W$4="日",--[1]!td(A1329-1),IF(价差分析!$W$4="周",--[1]!td(A1329-7),--[1]!td(A1329-30))),""))</f>
        <v/>
      </c>
      <c r="B1330" s="1" t="str">
        <f ca="1">IF(A1330="","",[1]!s_dq_close($B$1,A1330,$M$4))</f>
        <v/>
      </c>
      <c r="C1330" s="1" t="str">
        <f ca="1">IF(A1330="","",[1]!s_dq_close($C$1,A1330,$M$4))</f>
        <v/>
      </c>
      <c r="D1330" s="6" t="str">
        <f ca="1">IF($A1330="","",[1]!s_dq_close(D$1,$A1330,$M$4))</f>
        <v/>
      </c>
      <c r="E1330" s="6" t="str">
        <f ca="1">IF($A1330="","",[1]!s_dq_close(E$1,$A1330,$M$4))</f>
        <v/>
      </c>
      <c r="F1330" s="6" t="str">
        <f ca="1">IF($A1330="","",[1]!s_dq_close(F$1,$A1330,$M$4))</f>
        <v/>
      </c>
      <c r="G1330" s="6"/>
      <c r="H1330" s="6" t="str">
        <f ca="1">IF($A1330="","",[1]!s_dq_close(H$1,$A1330,$M$4))</f>
        <v/>
      </c>
      <c r="I1330" s="6" t="str">
        <f ca="1">IF($A1330="","",[1]!s_dq_close(I$1,$A1330,$M$4))</f>
        <v/>
      </c>
      <c r="J1330" s="6" t="str">
        <f t="shared" ca="1" si="21"/>
        <v/>
      </c>
    </row>
    <row r="1331" spans="1:10">
      <c r="A1331" s="2" t="str">
        <f ca="1">IF(A1330="","",IF(IF(价差分析!$W$4="日",--[1]!td(A1330-1),IF(价差分析!$W$4="周",--[1]!td(A1330-7),--[1]!td(A1330-30)))-价差分析!$T$4&gt;0,IF(价差分析!$W$4="日",--[1]!td(A1330-1),IF(价差分析!$W$4="周",--[1]!td(A1330-7),--[1]!td(A1330-30))),""))</f>
        <v/>
      </c>
      <c r="B1331" s="1" t="str">
        <f ca="1">IF(A1331="","",[1]!s_dq_close($B$1,A1331,$M$4))</f>
        <v/>
      </c>
      <c r="C1331" s="1" t="str">
        <f ca="1">IF(A1331="","",[1]!s_dq_close($C$1,A1331,$M$4))</f>
        <v/>
      </c>
      <c r="D1331" s="6" t="str">
        <f ca="1">IF($A1331="","",[1]!s_dq_close(D$1,$A1331,$M$4))</f>
        <v/>
      </c>
      <c r="E1331" s="6" t="str">
        <f ca="1">IF($A1331="","",[1]!s_dq_close(E$1,$A1331,$M$4))</f>
        <v/>
      </c>
      <c r="F1331" s="6" t="str">
        <f ca="1">IF($A1331="","",[1]!s_dq_close(F$1,$A1331,$M$4))</f>
        <v/>
      </c>
      <c r="G1331" s="6"/>
      <c r="H1331" s="6" t="str">
        <f ca="1">IF($A1331="","",[1]!s_dq_close(H$1,$A1331,$M$4))</f>
        <v/>
      </c>
      <c r="I1331" s="6" t="str">
        <f ca="1">IF($A1331="","",[1]!s_dq_close(I$1,$A1331,$M$4))</f>
        <v/>
      </c>
      <c r="J1331" s="6" t="str">
        <f t="shared" ca="1" si="21"/>
        <v/>
      </c>
    </row>
    <row r="1332" spans="1:10">
      <c r="A1332" s="2" t="str">
        <f ca="1">IF(A1331="","",IF(IF(价差分析!$W$4="日",--[1]!td(A1331-1),IF(价差分析!$W$4="周",--[1]!td(A1331-7),--[1]!td(A1331-30)))-价差分析!$T$4&gt;0,IF(价差分析!$W$4="日",--[1]!td(A1331-1),IF(价差分析!$W$4="周",--[1]!td(A1331-7),--[1]!td(A1331-30))),""))</f>
        <v/>
      </c>
      <c r="B1332" s="1" t="str">
        <f ca="1">IF(A1332="","",[1]!s_dq_close($B$1,A1332,$M$4))</f>
        <v/>
      </c>
      <c r="C1332" s="1" t="str">
        <f ca="1">IF(A1332="","",[1]!s_dq_close($C$1,A1332,$M$4))</f>
        <v/>
      </c>
      <c r="D1332" s="6" t="str">
        <f ca="1">IF($A1332="","",[1]!s_dq_close(D$1,$A1332,$M$4))</f>
        <v/>
      </c>
      <c r="E1332" s="6" t="str">
        <f ca="1">IF($A1332="","",[1]!s_dq_close(E$1,$A1332,$M$4))</f>
        <v/>
      </c>
      <c r="F1332" s="6" t="str">
        <f ca="1">IF($A1332="","",[1]!s_dq_close(F$1,$A1332,$M$4))</f>
        <v/>
      </c>
      <c r="G1332" s="6"/>
      <c r="H1332" s="6" t="str">
        <f ca="1">IF($A1332="","",[1]!s_dq_close(H$1,$A1332,$M$4))</f>
        <v/>
      </c>
      <c r="I1332" s="6" t="str">
        <f ca="1">IF($A1332="","",[1]!s_dq_close(I$1,$A1332,$M$4))</f>
        <v/>
      </c>
      <c r="J1332" s="6" t="str">
        <f t="shared" ca="1" si="21"/>
        <v/>
      </c>
    </row>
    <row r="1333" spans="1:10">
      <c r="A1333" s="2" t="str">
        <f ca="1">IF(A1332="","",IF(IF(价差分析!$W$4="日",--[1]!td(A1332-1),IF(价差分析!$W$4="周",--[1]!td(A1332-7),--[1]!td(A1332-30)))-价差分析!$T$4&gt;0,IF(价差分析!$W$4="日",--[1]!td(A1332-1),IF(价差分析!$W$4="周",--[1]!td(A1332-7),--[1]!td(A1332-30))),""))</f>
        <v/>
      </c>
      <c r="B1333" s="1" t="str">
        <f ca="1">IF(A1333="","",[1]!s_dq_close($B$1,A1333,$M$4))</f>
        <v/>
      </c>
      <c r="C1333" s="1" t="str">
        <f ca="1">IF(A1333="","",[1]!s_dq_close($C$1,A1333,$M$4))</f>
        <v/>
      </c>
      <c r="D1333" s="6" t="str">
        <f ca="1">IF($A1333="","",[1]!s_dq_close(D$1,$A1333,$M$4))</f>
        <v/>
      </c>
      <c r="E1333" s="6" t="str">
        <f ca="1">IF($A1333="","",[1]!s_dq_close(E$1,$A1333,$M$4))</f>
        <v/>
      </c>
      <c r="F1333" s="6" t="str">
        <f ca="1">IF($A1333="","",[1]!s_dq_close(F$1,$A1333,$M$4))</f>
        <v/>
      </c>
      <c r="G1333" s="6"/>
      <c r="H1333" s="6" t="str">
        <f ca="1">IF($A1333="","",[1]!s_dq_close(H$1,$A1333,$M$4))</f>
        <v/>
      </c>
      <c r="I1333" s="6" t="str">
        <f ca="1">IF($A1333="","",[1]!s_dq_close(I$1,$A1333,$M$4))</f>
        <v/>
      </c>
      <c r="J1333" s="6" t="str">
        <f t="shared" ca="1" si="21"/>
        <v/>
      </c>
    </row>
    <row r="1334" spans="1:10">
      <c r="A1334" s="2" t="str">
        <f ca="1">IF(A1333="","",IF(IF(价差分析!$W$4="日",--[1]!td(A1333-1),IF(价差分析!$W$4="周",--[1]!td(A1333-7),--[1]!td(A1333-30)))-价差分析!$T$4&gt;0,IF(价差分析!$W$4="日",--[1]!td(A1333-1),IF(价差分析!$W$4="周",--[1]!td(A1333-7),--[1]!td(A1333-30))),""))</f>
        <v/>
      </c>
      <c r="B1334" s="1" t="str">
        <f ca="1">IF(A1334="","",[1]!s_dq_close($B$1,A1334,$M$4))</f>
        <v/>
      </c>
      <c r="C1334" s="1" t="str">
        <f ca="1">IF(A1334="","",[1]!s_dq_close($C$1,A1334,$M$4))</f>
        <v/>
      </c>
      <c r="D1334" s="6" t="str">
        <f ca="1">IF($A1334="","",[1]!s_dq_close(D$1,$A1334,$M$4))</f>
        <v/>
      </c>
      <c r="E1334" s="6" t="str">
        <f ca="1">IF($A1334="","",[1]!s_dq_close(E$1,$A1334,$M$4))</f>
        <v/>
      </c>
      <c r="F1334" s="6" t="str">
        <f ca="1">IF($A1334="","",[1]!s_dq_close(F$1,$A1334,$M$4))</f>
        <v/>
      </c>
      <c r="G1334" s="6"/>
      <c r="H1334" s="6" t="str">
        <f ca="1">IF($A1334="","",[1]!s_dq_close(H$1,$A1334,$M$4))</f>
        <v/>
      </c>
      <c r="I1334" s="6" t="str">
        <f ca="1">IF($A1334="","",[1]!s_dq_close(I$1,$A1334,$M$4))</f>
        <v/>
      </c>
      <c r="J1334" s="6" t="str">
        <f t="shared" ca="1" si="21"/>
        <v/>
      </c>
    </row>
    <row r="1335" spans="1:10">
      <c r="A1335" s="2" t="str">
        <f ca="1">IF(A1334="","",IF(IF(价差分析!$W$4="日",--[1]!td(A1334-1),IF(价差分析!$W$4="周",--[1]!td(A1334-7),--[1]!td(A1334-30)))-价差分析!$T$4&gt;0,IF(价差分析!$W$4="日",--[1]!td(A1334-1),IF(价差分析!$W$4="周",--[1]!td(A1334-7),--[1]!td(A1334-30))),""))</f>
        <v/>
      </c>
      <c r="B1335" s="1" t="str">
        <f ca="1">IF(A1335="","",[1]!s_dq_close($B$1,A1335,$M$4))</f>
        <v/>
      </c>
      <c r="C1335" s="1" t="str">
        <f ca="1">IF(A1335="","",[1]!s_dq_close($C$1,A1335,$M$4))</f>
        <v/>
      </c>
      <c r="D1335" s="6" t="str">
        <f ca="1">IF($A1335="","",[1]!s_dq_close(D$1,$A1335,$M$4))</f>
        <v/>
      </c>
      <c r="E1335" s="6" t="str">
        <f ca="1">IF($A1335="","",[1]!s_dq_close(E$1,$A1335,$M$4))</f>
        <v/>
      </c>
      <c r="F1335" s="6" t="str">
        <f ca="1">IF($A1335="","",[1]!s_dq_close(F$1,$A1335,$M$4))</f>
        <v/>
      </c>
      <c r="G1335" s="6"/>
      <c r="H1335" s="6" t="str">
        <f ca="1">IF($A1335="","",[1]!s_dq_close(H$1,$A1335,$M$4))</f>
        <v/>
      </c>
      <c r="I1335" s="6" t="str">
        <f ca="1">IF($A1335="","",[1]!s_dq_close(I$1,$A1335,$M$4))</f>
        <v/>
      </c>
      <c r="J1335" s="6" t="str">
        <f t="shared" ca="1" si="21"/>
        <v/>
      </c>
    </row>
    <row r="1336" spans="1:10">
      <c r="A1336" s="2" t="str">
        <f ca="1">IF(A1335="","",IF(IF(价差分析!$W$4="日",--[1]!td(A1335-1),IF(价差分析!$W$4="周",--[1]!td(A1335-7),--[1]!td(A1335-30)))-价差分析!$T$4&gt;0,IF(价差分析!$W$4="日",--[1]!td(A1335-1),IF(价差分析!$W$4="周",--[1]!td(A1335-7),--[1]!td(A1335-30))),""))</f>
        <v/>
      </c>
      <c r="B1336" s="1" t="str">
        <f ca="1">IF(A1336="","",[1]!s_dq_close($B$1,A1336,$M$4))</f>
        <v/>
      </c>
      <c r="C1336" s="1" t="str">
        <f ca="1">IF(A1336="","",[1]!s_dq_close($C$1,A1336,$M$4))</f>
        <v/>
      </c>
      <c r="D1336" s="6" t="str">
        <f ca="1">IF($A1336="","",[1]!s_dq_close(D$1,$A1336,$M$4))</f>
        <v/>
      </c>
      <c r="E1336" s="6" t="str">
        <f ca="1">IF($A1336="","",[1]!s_dq_close(E$1,$A1336,$M$4))</f>
        <v/>
      </c>
      <c r="F1336" s="6" t="str">
        <f ca="1">IF($A1336="","",[1]!s_dq_close(F$1,$A1336,$M$4))</f>
        <v/>
      </c>
      <c r="G1336" s="6"/>
      <c r="H1336" s="6" t="str">
        <f ca="1">IF($A1336="","",[1]!s_dq_close(H$1,$A1336,$M$4))</f>
        <v/>
      </c>
      <c r="I1336" s="6" t="str">
        <f ca="1">IF($A1336="","",[1]!s_dq_close(I$1,$A1336,$M$4))</f>
        <v/>
      </c>
      <c r="J1336" s="6" t="str">
        <f t="shared" ca="1" si="21"/>
        <v/>
      </c>
    </row>
    <row r="1337" spans="1:10">
      <c r="A1337" s="2" t="str">
        <f ca="1">IF(A1336="","",IF(IF(价差分析!$W$4="日",--[1]!td(A1336-1),IF(价差分析!$W$4="周",--[1]!td(A1336-7),--[1]!td(A1336-30)))-价差分析!$T$4&gt;0,IF(价差分析!$W$4="日",--[1]!td(A1336-1),IF(价差分析!$W$4="周",--[1]!td(A1336-7),--[1]!td(A1336-30))),""))</f>
        <v/>
      </c>
      <c r="B1337" s="1" t="str">
        <f ca="1">IF(A1337="","",[1]!s_dq_close($B$1,A1337,$M$4))</f>
        <v/>
      </c>
      <c r="C1337" s="1" t="str">
        <f ca="1">IF(A1337="","",[1]!s_dq_close($C$1,A1337,$M$4))</f>
        <v/>
      </c>
      <c r="D1337" s="6" t="str">
        <f ca="1">IF($A1337="","",[1]!s_dq_close(D$1,$A1337,$M$4))</f>
        <v/>
      </c>
      <c r="E1337" s="6" t="str">
        <f ca="1">IF($A1337="","",[1]!s_dq_close(E$1,$A1337,$M$4))</f>
        <v/>
      </c>
      <c r="F1337" s="6" t="str">
        <f ca="1">IF($A1337="","",[1]!s_dq_close(F$1,$A1337,$M$4))</f>
        <v/>
      </c>
      <c r="G1337" s="6"/>
      <c r="H1337" s="6" t="str">
        <f ca="1">IF($A1337="","",[1]!s_dq_close(H$1,$A1337,$M$4))</f>
        <v/>
      </c>
      <c r="I1337" s="6" t="str">
        <f ca="1">IF($A1337="","",[1]!s_dq_close(I$1,$A1337,$M$4))</f>
        <v/>
      </c>
      <c r="J1337" s="6" t="str">
        <f t="shared" ca="1" si="21"/>
        <v/>
      </c>
    </row>
    <row r="1338" spans="1:10">
      <c r="A1338" s="2" t="str">
        <f ca="1">IF(A1337="","",IF(IF(价差分析!$W$4="日",--[1]!td(A1337-1),IF(价差分析!$W$4="周",--[1]!td(A1337-7),--[1]!td(A1337-30)))-价差分析!$T$4&gt;0,IF(价差分析!$W$4="日",--[1]!td(A1337-1),IF(价差分析!$W$4="周",--[1]!td(A1337-7),--[1]!td(A1337-30))),""))</f>
        <v/>
      </c>
      <c r="B1338" s="1" t="str">
        <f ca="1">IF(A1338="","",[1]!s_dq_close($B$1,A1338,$M$4))</f>
        <v/>
      </c>
      <c r="C1338" s="1" t="str">
        <f ca="1">IF(A1338="","",[1]!s_dq_close($C$1,A1338,$M$4))</f>
        <v/>
      </c>
      <c r="D1338" s="6" t="str">
        <f ca="1">IF($A1338="","",[1]!s_dq_close(D$1,$A1338,$M$4))</f>
        <v/>
      </c>
      <c r="E1338" s="6" t="str">
        <f ca="1">IF($A1338="","",[1]!s_dq_close(E$1,$A1338,$M$4))</f>
        <v/>
      </c>
      <c r="F1338" s="6" t="str">
        <f ca="1">IF($A1338="","",[1]!s_dq_close(F$1,$A1338,$M$4))</f>
        <v/>
      </c>
      <c r="G1338" s="6"/>
      <c r="H1338" s="6" t="str">
        <f ca="1">IF($A1338="","",[1]!s_dq_close(H$1,$A1338,$M$4))</f>
        <v/>
      </c>
      <c r="I1338" s="6" t="str">
        <f ca="1">IF($A1338="","",[1]!s_dq_close(I$1,$A1338,$M$4))</f>
        <v/>
      </c>
      <c r="J1338" s="6" t="str">
        <f t="shared" ca="1" si="21"/>
        <v/>
      </c>
    </row>
    <row r="1339" spans="1:10">
      <c r="A1339" s="2" t="str">
        <f ca="1">IF(A1338="","",IF(IF(价差分析!$W$4="日",--[1]!td(A1338-1),IF(价差分析!$W$4="周",--[1]!td(A1338-7),--[1]!td(A1338-30)))-价差分析!$T$4&gt;0,IF(价差分析!$W$4="日",--[1]!td(A1338-1),IF(价差分析!$W$4="周",--[1]!td(A1338-7),--[1]!td(A1338-30))),""))</f>
        <v/>
      </c>
      <c r="B1339" s="1" t="str">
        <f ca="1">IF(A1339="","",[1]!s_dq_close($B$1,A1339,$M$4))</f>
        <v/>
      </c>
      <c r="C1339" s="1" t="str">
        <f ca="1">IF(A1339="","",[1]!s_dq_close($C$1,A1339,$M$4))</f>
        <v/>
      </c>
      <c r="D1339" s="6" t="str">
        <f ca="1">IF($A1339="","",[1]!s_dq_close(D$1,$A1339,$M$4))</f>
        <v/>
      </c>
      <c r="E1339" s="6" t="str">
        <f ca="1">IF($A1339="","",[1]!s_dq_close(E$1,$A1339,$M$4))</f>
        <v/>
      </c>
      <c r="F1339" s="6" t="str">
        <f ca="1">IF($A1339="","",[1]!s_dq_close(F$1,$A1339,$M$4))</f>
        <v/>
      </c>
      <c r="G1339" s="6"/>
      <c r="H1339" s="6" t="str">
        <f ca="1">IF($A1339="","",[1]!s_dq_close(H$1,$A1339,$M$4))</f>
        <v/>
      </c>
      <c r="I1339" s="6" t="str">
        <f ca="1">IF($A1339="","",[1]!s_dq_close(I$1,$A1339,$M$4))</f>
        <v/>
      </c>
      <c r="J1339" s="6" t="str">
        <f t="shared" ca="1" si="21"/>
        <v/>
      </c>
    </row>
    <row r="1340" spans="1:10">
      <c r="A1340" s="2" t="str">
        <f ca="1">IF(A1339="","",IF(IF(价差分析!$W$4="日",--[1]!td(A1339-1),IF(价差分析!$W$4="周",--[1]!td(A1339-7),--[1]!td(A1339-30)))-价差分析!$T$4&gt;0,IF(价差分析!$W$4="日",--[1]!td(A1339-1),IF(价差分析!$W$4="周",--[1]!td(A1339-7),--[1]!td(A1339-30))),""))</f>
        <v/>
      </c>
      <c r="B1340" s="1" t="str">
        <f ca="1">IF(A1340="","",[1]!s_dq_close($B$1,A1340,$M$4))</f>
        <v/>
      </c>
      <c r="C1340" s="1" t="str">
        <f ca="1">IF(A1340="","",[1]!s_dq_close($C$1,A1340,$M$4))</f>
        <v/>
      </c>
      <c r="D1340" s="6" t="str">
        <f ca="1">IF($A1340="","",[1]!s_dq_close(D$1,$A1340,$M$4))</f>
        <v/>
      </c>
      <c r="E1340" s="6" t="str">
        <f ca="1">IF($A1340="","",[1]!s_dq_close(E$1,$A1340,$M$4))</f>
        <v/>
      </c>
      <c r="F1340" s="6" t="str">
        <f ca="1">IF($A1340="","",[1]!s_dq_close(F$1,$A1340,$M$4))</f>
        <v/>
      </c>
      <c r="G1340" s="6"/>
      <c r="H1340" s="6" t="str">
        <f ca="1">IF($A1340="","",[1]!s_dq_close(H$1,$A1340,$M$4))</f>
        <v/>
      </c>
      <c r="I1340" s="6" t="str">
        <f ca="1">IF($A1340="","",[1]!s_dq_close(I$1,$A1340,$M$4))</f>
        <v/>
      </c>
      <c r="J1340" s="6" t="str">
        <f t="shared" ca="1" si="21"/>
        <v/>
      </c>
    </row>
    <row r="1341" spans="1:10">
      <c r="A1341" s="2" t="str">
        <f ca="1">IF(A1340="","",IF(IF(价差分析!$W$4="日",--[1]!td(A1340-1),IF(价差分析!$W$4="周",--[1]!td(A1340-7),--[1]!td(A1340-30)))-价差分析!$T$4&gt;0,IF(价差分析!$W$4="日",--[1]!td(A1340-1),IF(价差分析!$W$4="周",--[1]!td(A1340-7),--[1]!td(A1340-30))),""))</f>
        <v/>
      </c>
      <c r="B1341" s="1" t="str">
        <f ca="1">IF(A1341="","",[1]!s_dq_close($B$1,A1341,$M$4))</f>
        <v/>
      </c>
      <c r="C1341" s="1" t="str">
        <f ca="1">IF(A1341="","",[1]!s_dq_close($C$1,A1341,$M$4))</f>
        <v/>
      </c>
      <c r="D1341" s="6" t="str">
        <f ca="1">IF($A1341="","",[1]!s_dq_close(D$1,$A1341,$M$4))</f>
        <v/>
      </c>
      <c r="E1341" s="6" t="str">
        <f ca="1">IF($A1341="","",[1]!s_dq_close(E$1,$A1341,$M$4))</f>
        <v/>
      </c>
      <c r="F1341" s="6" t="str">
        <f ca="1">IF($A1341="","",[1]!s_dq_close(F$1,$A1341,$M$4))</f>
        <v/>
      </c>
      <c r="G1341" s="6"/>
      <c r="H1341" s="6" t="str">
        <f ca="1">IF($A1341="","",[1]!s_dq_close(H$1,$A1341,$M$4))</f>
        <v/>
      </c>
      <c r="I1341" s="6" t="str">
        <f ca="1">IF($A1341="","",[1]!s_dq_close(I$1,$A1341,$M$4))</f>
        <v/>
      </c>
      <c r="J1341" s="6" t="str">
        <f t="shared" ca="1" si="21"/>
        <v/>
      </c>
    </row>
    <row r="1342" spans="1:10">
      <c r="A1342" s="2" t="str">
        <f ca="1">IF(A1341="","",IF(IF(价差分析!$W$4="日",--[1]!td(A1341-1),IF(价差分析!$W$4="周",--[1]!td(A1341-7),--[1]!td(A1341-30)))-价差分析!$T$4&gt;0,IF(价差分析!$W$4="日",--[1]!td(A1341-1),IF(价差分析!$W$4="周",--[1]!td(A1341-7),--[1]!td(A1341-30))),""))</f>
        <v/>
      </c>
      <c r="B1342" s="1" t="str">
        <f ca="1">IF(A1342="","",[1]!s_dq_close($B$1,A1342,$M$4))</f>
        <v/>
      </c>
      <c r="C1342" s="1" t="str">
        <f ca="1">IF(A1342="","",[1]!s_dq_close($C$1,A1342,$M$4))</f>
        <v/>
      </c>
      <c r="D1342" s="6" t="str">
        <f ca="1">IF($A1342="","",[1]!s_dq_close(D$1,$A1342,$M$4))</f>
        <v/>
      </c>
      <c r="E1342" s="6" t="str">
        <f ca="1">IF($A1342="","",[1]!s_dq_close(E$1,$A1342,$M$4))</f>
        <v/>
      </c>
      <c r="F1342" s="6" t="str">
        <f ca="1">IF($A1342="","",[1]!s_dq_close(F$1,$A1342,$M$4))</f>
        <v/>
      </c>
      <c r="G1342" s="6"/>
      <c r="H1342" s="6" t="str">
        <f ca="1">IF($A1342="","",[1]!s_dq_close(H$1,$A1342,$M$4))</f>
        <v/>
      </c>
      <c r="I1342" s="6" t="str">
        <f ca="1">IF($A1342="","",[1]!s_dq_close(I$1,$A1342,$M$4))</f>
        <v/>
      </c>
      <c r="J1342" s="6" t="str">
        <f t="shared" ca="1" si="21"/>
        <v/>
      </c>
    </row>
    <row r="1343" spans="1:10">
      <c r="A1343" s="2" t="str">
        <f ca="1">IF(A1342="","",IF(IF(价差分析!$W$4="日",--[1]!td(A1342-1),IF(价差分析!$W$4="周",--[1]!td(A1342-7),--[1]!td(A1342-30)))-价差分析!$T$4&gt;0,IF(价差分析!$W$4="日",--[1]!td(A1342-1),IF(价差分析!$W$4="周",--[1]!td(A1342-7),--[1]!td(A1342-30))),""))</f>
        <v/>
      </c>
      <c r="B1343" s="1" t="str">
        <f ca="1">IF(A1343="","",[1]!s_dq_close($B$1,A1343,$M$4))</f>
        <v/>
      </c>
      <c r="C1343" s="1" t="str">
        <f ca="1">IF(A1343="","",[1]!s_dq_close($C$1,A1343,$M$4))</f>
        <v/>
      </c>
      <c r="D1343" s="6" t="str">
        <f ca="1">IF($A1343="","",[1]!s_dq_close(D$1,$A1343,$M$4))</f>
        <v/>
      </c>
      <c r="E1343" s="6" t="str">
        <f ca="1">IF($A1343="","",[1]!s_dq_close(E$1,$A1343,$M$4))</f>
        <v/>
      </c>
      <c r="F1343" s="6" t="str">
        <f ca="1">IF($A1343="","",[1]!s_dq_close(F$1,$A1343,$M$4))</f>
        <v/>
      </c>
      <c r="G1343" s="6"/>
      <c r="H1343" s="6" t="str">
        <f ca="1">IF($A1343="","",[1]!s_dq_close(H$1,$A1343,$M$4))</f>
        <v/>
      </c>
      <c r="I1343" s="6" t="str">
        <f ca="1">IF($A1343="","",[1]!s_dq_close(I$1,$A1343,$M$4))</f>
        <v/>
      </c>
      <c r="J1343" s="6" t="str">
        <f t="shared" ca="1" si="21"/>
        <v/>
      </c>
    </row>
    <row r="1344" spans="1:10">
      <c r="A1344" s="2" t="str">
        <f ca="1">IF(A1343="","",IF(IF(价差分析!$W$4="日",--[1]!td(A1343-1),IF(价差分析!$W$4="周",--[1]!td(A1343-7),--[1]!td(A1343-30)))-价差分析!$T$4&gt;0,IF(价差分析!$W$4="日",--[1]!td(A1343-1),IF(价差分析!$W$4="周",--[1]!td(A1343-7),--[1]!td(A1343-30))),""))</f>
        <v/>
      </c>
      <c r="B1344" s="1" t="str">
        <f ca="1">IF(A1344="","",[1]!s_dq_close($B$1,A1344,$M$4))</f>
        <v/>
      </c>
      <c r="C1344" s="1" t="str">
        <f ca="1">IF(A1344="","",[1]!s_dq_close($C$1,A1344,$M$4))</f>
        <v/>
      </c>
      <c r="D1344" s="6" t="str">
        <f ca="1">IF($A1344="","",[1]!s_dq_close(D$1,$A1344,$M$4))</f>
        <v/>
      </c>
      <c r="E1344" s="6" t="str">
        <f ca="1">IF($A1344="","",[1]!s_dq_close(E$1,$A1344,$M$4))</f>
        <v/>
      </c>
      <c r="F1344" s="6" t="str">
        <f ca="1">IF($A1344="","",[1]!s_dq_close(F$1,$A1344,$M$4))</f>
        <v/>
      </c>
      <c r="G1344" s="6"/>
      <c r="H1344" s="6" t="str">
        <f ca="1">IF($A1344="","",[1]!s_dq_close(H$1,$A1344,$M$4))</f>
        <v/>
      </c>
      <c r="I1344" s="6" t="str">
        <f ca="1">IF($A1344="","",[1]!s_dq_close(I$1,$A1344,$M$4))</f>
        <v/>
      </c>
      <c r="J1344" s="6" t="str">
        <f t="shared" ca="1" si="21"/>
        <v/>
      </c>
    </row>
    <row r="1345" spans="1:10">
      <c r="A1345" s="2" t="str">
        <f ca="1">IF(A1344="","",IF(IF(价差分析!$W$4="日",--[1]!td(A1344-1),IF(价差分析!$W$4="周",--[1]!td(A1344-7),--[1]!td(A1344-30)))-价差分析!$T$4&gt;0,IF(价差分析!$W$4="日",--[1]!td(A1344-1),IF(价差分析!$W$4="周",--[1]!td(A1344-7),--[1]!td(A1344-30))),""))</f>
        <v/>
      </c>
      <c r="B1345" s="1" t="str">
        <f ca="1">IF(A1345="","",[1]!s_dq_close($B$1,A1345,$M$4))</f>
        <v/>
      </c>
      <c r="C1345" s="1" t="str">
        <f ca="1">IF(A1345="","",[1]!s_dq_close($C$1,A1345,$M$4))</f>
        <v/>
      </c>
      <c r="D1345" s="6" t="str">
        <f ca="1">IF($A1345="","",[1]!s_dq_close(D$1,$A1345,$M$4))</f>
        <v/>
      </c>
      <c r="E1345" s="6" t="str">
        <f ca="1">IF($A1345="","",[1]!s_dq_close(E$1,$A1345,$M$4))</f>
        <v/>
      </c>
      <c r="F1345" s="6" t="str">
        <f ca="1">IF($A1345="","",[1]!s_dq_close(F$1,$A1345,$M$4))</f>
        <v/>
      </c>
      <c r="G1345" s="6"/>
      <c r="H1345" s="6" t="str">
        <f ca="1">IF($A1345="","",[1]!s_dq_close(H$1,$A1345,$M$4))</f>
        <v/>
      </c>
      <c r="I1345" s="6" t="str">
        <f ca="1">IF($A1345="","",[1]!s_dq_close(I$1,$A1345,$M$4))</f>
        <v/>
      </c>
      <c r="J1345" s="6" t="str">
        <f t="shared" ca="1" si="21"/>
        <v/>
      </c>
    </row>
    <row r="1346" spans="1:10">
      <c r="A1346" s="2" t="str">
        <f ca="1">IF(A1345="","",IF(IF(价差分析!$W$4="日",--[1]!td(A1345-1),IF(价差分析!$W$4="周",--[1]!td(A1345-7),--[1]!td(A1345-30)))-价差分析!$T$4&gt;0,IF(价差分析!$W$4="日",--[1]!td(A1345-1),IF(价差分析!$W$4="周",--[1]!td(A1345-7),--[1]!td(A1345-30))),""))</f>
        <v/>
      </c>
      <c r="B1346" s="1" t="str">
        <f ca="1">IF(A1346="","",[1]!s_dq_close($B$1,A1346,$M$4))</f>
        <v/>
      </c>
      <c r="C1346" s="1" t="str">
        <f ca="1">IF(A1346="","",[1]!s_dq_close($C$1,A1346,$M$4))</f>
        <v/>
      </c>
      <c r="D1346" s="6" t="str">
        <f ca="1">IF($A1346="","",[1]!s_dq_close(D$1,$A1346,$M$4))</f>
        <v/>
      </c>
      <c r="E1346" s="6" t="str">
        <f ca="1">IF($A1346="","",[1]!s_dq_close(E$1,$A1346,$M$4))</f>
        <v/>
      </c>
      <c r="F1346" s="6" t="str">
        <f ca="1">IF($A1346="","",[1]!s_dq_close(F$1,$A1346,$M$4))</f>
        <v/>
      </c>
      <c r="G1346" s="6"/>
      <c r="H1346" s="6" t="str">
        <f ca="1">IF($A1346="","",[1]!s_dq_close(H$1,$A1346,$M$4))</f>
        <v/>
      </c>
      <c r="I1346" s="6" t="str">
        <f ca="1">IF($A1346="","",[1]!s_dq_close(I$1,$A1346,$M$4))</f>
        <v/>
      </c>
      <c r="J1346" s="6" t="str">
        <f t="shared" ca="1" si="21"/>
        <v/>
      </c>
    </row>
    <row r="1347" spans="1:10">
      <c r="A1347" s="2" t="str">
        <f ca="1">IF(A1346="","",IF(IF(价差分析!$W$4="日",--[1]!td(A1346-1),IF(价差分析!$W$4="周",--[1]!td(A1346-7),--[1]!td(A1346-30)))-价差分析!$T$4&gt;0,IF(价差分析!$W$4="日",--[1]!td(A1346-1),IF(价差分析!$W$4="周",--[1]!td(A1346-7),--[1]!td(A1346-30))),""))</f>
        <v/>
      </c>
      <c r="B1347" s="1" t="str">
        <f ca="1">IF(A1347="","",[1]!s_dq_close($B$1,A1347,$M$4))</f>
        <v/>
      </c>
      <c r="C1347" s="1" t="str">
        <f ca="1">IF(A1347="","",[1]!s_dq_close($C$1,A1347,$M$4))</f>
        <v/>
      </c>
      <c r="D1347" s="6" t="str">
        <f ca="1">IF($A1347="","",[1]!s_dq_close(D$1,$A1347,$M$4))</f>
        <v/>
      </c>
      <c r="E1347" s="6" t="str">
        <f ca="1">IF($A1347="","",[1]!s_dq_close(E$1,$A1347,$M$4))</f>
        <v/>
      </c>
      <c r="F1347" s="6" t="str">
        <f ca="1">IF($A1347="","",[1]!s_dq_close(F$1,$A1347,$M$4))</f>
        <v/>
      </c>
      <c r="G1347" s="6"/>
      <c r="H1347" s="6" t="str">
        <f ca="1">IF($A1347="","",[1]!s_dq_close(H$1,$A1347,$M$4))</f>
        <v/>
      </c>
      <c r="I1347" s="6" t="str">
        <f ca="1">IF($A1347="","",[1]!s_dq_close(I$1,$A1347,$M$4))</f>
        <v/>
      </c>
      <c r="J1347" s="6" t="str">
        <f t="shared" ca="1" si="21"/>
        <v/>
      </c>
    </row>
    <row r="1348" spans="1:10">
      <c r="A1348" s="2" t="str">
        <f ca="1">IF(A1347="","",IF(IF(价差分析!$W$4="日",--[1]!td(A1347-1),IF(价差分析!$W$4="周",--[1]!td(A1347-7),--[1]!td(A1347-30)))-价差分析!$T$4&gt;0,IF(价差分析!$W$4="日",--[1]!td(A1347-1),IF(价差分析!$W$4="周",--[1]!td(A1347-7),--[1]!td(A1347-30))),""))</f>
        <v/>
      </c>
      <c r="B1348" s="1" t="str">
        <f ca="1">IF(A1348="","",[1]!s_dq_close($B$1,A1348,$M$4))</f>
        <v/>
      </c>
      <c r="C1348" s="1" t="str">
        <f ca="1">IF(A1348="","",[1]!s_dq_close($C$1,A1348,$M$4))</f>
        <v/>
      </c>
      <c r="D1348" s="6" t="str">
        <f ca="1">IF($A1348="","",[1]!s_dq_close(D$1,$A1348,$M$4))</f>
        <v/>
      </c>
      <c r="E1348" s="6" t="str">
        <f ca="1">IF($A1348="","",[1]!s_dq_close(E$1,$A1348,$M$4))</f>
        <v/>
      </c>
      <c r="F1348" s="6" t="str">
        <f ca="1">IF($A1348="","",[1]!s_dq_close(F$1,$A1348,$M$4))</f>
        <v/>
      </c>
      <c r="G1348" s="6"/>
      <c r="H1348" s="6" t="str">
        <f ca="1">IF($A1348="","",[1]!s_dq_close(H$1,$A1348,$M$4))</f>
        <v/>
      </c>
      <c r="I1348" s="6" t="str">
        <f ca="1">IF($A1348="","",[1]!s_dq_close(I$1,$A1348,$M$4))</f>
        <v/>
      </c>
      <c r="J1348" s="6" t="str">
        <f t="shared" ca="1" si="21"/>
        <v/>
      </c>
    </row>
    <row r="1349" spans="1:10">
      <c r="A1349" s="2" t="str">
        <f ca="1">IF(A1348="","",IF(IF(价差分析!$W$4="日",--[1]!td(A1348-1),IF(价差分析!$W$4="周",--[1]!td(A1348-7),--[1]!td(A1348-30)))-价差分析!$T$4&gt;0,IF(价差分析!$W$4="日",--[1]!td(A1348-1),IF(价差分析!$W$4="周",--[1]!td(A1348-7),--[1]!td(A1348-30))),""))</f>
        <v/>
      </c>
      <c r="B1349" s="1" t="str">
        <f ca="1">IF(A1349="","",[1]!s_dq_close($B$1,A1349,$M$4))</f>
        <v/>
      </c>
      <c r="C1349" s="1" t="str">
        <f ca="1">IF(A1349="","",[1]!s_dq_close($C$1,A1349,$M$4))</f>
        <v/>
      </c>
      <c r="D1349" s="6" t="str">
        <f ca="1">IF($A1349="","",[1]!s_dq_close(D$1,$A1349,$M$4))</f>
        <v/>
      </c>
      <c r="E1349" s="6" t="str">
        <f ca="1">IF($A1349="","",[1]!s_dq_close(E$1,$A1349,$M$4))</f>
        <v/>
      </c>
      <c r="F1349" s="6" t="str">
        <f ca="1">IF($A1349="","",[1]!s_dq_close(F$1,$A1349,$M$4))</f>
        <v/>
      </c>
      <c r="G1349" s="6"/>
      <c r="H1349" s="6" t="str">
        <f ca="1">IF($A1349="","",[1]!s_dq_close(H$1,$A1349,$M$4))</f>
        <v/>
      </c>
      <c r="I1349" s="6" t="str">
        <f ca="1">IF($A1349="","",[1]!s_dq_close(I$1,$A1349,$M$4))</f>
        <v/>
      </c>
      <c r="J1349" s="6" t="str">
        <f t="shared" ref="J1349:J1412" ca="1" si="22">IF(H1349="","",H1349-I1349)</f>
        <v/>
      </c>
    </row>
    <row r="1350" spans="1:10">
      <c r="A1350" s="2" t="str">
        <f ca="1">IF(A1349="","",IF(IF(价差分析!$W$4="日",--[1]!td(A1349-1),IF(价差分析!$W$4="周",--[1]!td(A1349-7),--[1]!td(A1349-30)))-价差分析!$T$4&gt;0,IF(价差分析!$W$4="日",--[1]!td(A1349-1),IF(价差分析!$W$4="周",--[1]!td(A1349-7),--[1]!td(A1349-30))),""))</f>
        <v/>
      </c>
      <c r="B1350" s="1" t="str">
        <f ca="1">IF(A1350="","",[1]!s_dq_close($B$1,A1350,$M$4))</f>
        <v/>
      </c>
      <c r="C1350" s="1" t="str">
        <f ca="1">IF(A1350="","",[1]!s_dq_close($C$1,A1350,$M$4))</f>
        <v/>
      </c>
      <c r="D1350" s="6" t="str">
        <f ca="1">IF($A1350="","",[1]!s_dq_close(D$1,$A1350,$M$4))</f>
        <v/>
      </c>
      <c r="E1350" s="6" t="str">
        <f ca="1">IF($A1350="","",[1]!s_dq_close(E$1,$A1350,$M$4))</f>
        <v/>
      </c>
      <c r="F1350" s="6" t="str">
        <f ca="1">IF($A1350="","",[1]!s_dq_close(F$1,$A1350,$M$4))</f>
        <v/>
      </c>
      <c r="G1350" s="6"/>
      <c r="H1350" s="6" t="str">
        <f ca="1">IF($A1350="","",[1]!s_dq_close(H$1,$A1350,$M$4))</f>
        <v/>
      </c>
      <c r="I1350" s="6" t="str">
        <f ca="1">IF($A1350="","",[1]!s_dq_close(I$1,$A1350,$M$4))</f>
        <v/>
      </c>
      <c r="J1350" s="6" t="str">
        <f t="shared" ca="1" si="22"/>
        <v/>
      </c>
    </row>
    <row r="1351" spans="1:10">
      <c r="A1351" s="2" t="str">
        <f ca="1">IF(A1350="","",IF(IF(价差分析!$W$4="日",--[1]!td(A1350-1),IF(价差分析!$W$4="周",--[1]!td(A1350-7),--[1]!td(A1350-30)))-价差分析!$T$4&gt;0,IF(价差分析!$W$4="日",--[1]!td(A1350-1),IF(价差分析!$W$4="周",--[1]!td(A1350-7),--[1]!td(A1350-30))),""))</f>
        <v/>
      </c>
      <c r="B1351" s="1" t="str">
        <f ca="1">IF(A1351="","",[1]!s_dq_close($B$1,A1351,$M$4))</f>
        <v/>
      </c>
      <c r="C1351" s="1" t="str">
        <f ca="1">IF(A1351="","",[1]!s_dq_close($C$1,A1351,$M$4))</f>
        <v/>
      </c>
      <c r="D1351" s="6" t="str">
        <f ca="1">IF($A1351="","",[1]!s_dq_close(D$1,$A1351,$M$4))</f>
        <v/>
      </c>
      <c r="E1351" s="6" t="str">
        <f ca="1">IF($A1351="","",[1]!s_dq_close(E$1,$A1351,$M$4))</f>
        <v/>
      </c>
      <c r="F1351" s="6" t="str">
        <f ca="1">IF($A1351="","",[1]!s_dq_close(F$1,$A1351,$M$4))</f>
        <v/>
      </c>
      <c r="G1351" s="6"/>
      <c r="H1351" s="6" t="str">
        <f ca="1">IF($A1351="","",[1]!s_dq_close(H$1,$A1351,$M$4))</f>
        <v/>
      </c>
      <c r="I1351" s="6" t="str">
        <f ca="1">IF($A1351="","",[1]!s_dq_close(I$1,$A1351,$M$4))</f>
        <v/>
      </c>
      <c r="J1351" s="6" t="str">
        <f t="shared" ca="1" si="22"/>
        <v/>
      </c>
    </row>
    <row r="1352" spans="1:10">
      <c r="A1352" s="2" t="str">
        <f ca="1">IF(A1351="","",IF(IF(价差分析!$W$4="日",--[1]!td(A1351-1),IF(价差分析!$W$4="周",--[1]!td(A1351-7),--[1]!td(A1351-30)))-价差分析!$T$4&gt;0,IF(价差分析!$W$4="日",--[1]!td(A1351-1),IF(价差分析!$W$4="周",--[1]!td(A1351-7),--[1]!td(A1351-30))),""))</f>
        <v/>
      </c>
      <c r="B1352" s="1" t="str">
        <f ca="1">IF(A1352="","",[1]!s_dq_close($B$1,A1352,$M$4))</f>
        <v/>
      </c>
      <c r="C1352" s="1" t="str">
        <f ca="1">IF(A1352="","",[1]!s_dq_close($C$1,A1352,$M$4))</f>
        <v/>
      </c>
      <c r="D1352" s="6" t="str">
        <f ca="1">IF($A1352="","",[1]!s_dq_close(D$1,$A1352,$M$4))</f>
        <v/>
      </c>
      <c r="E1352" s="6" t="str">
        <f ca="1">IF($A1352="","",[1]!s_dq_close(E$1,$A1352,$M$4))</f>
        <v/>
      </c>
      <c r="F1352" s="6" t="str">
        <f ca="1">IF($A1352="","",[1]!s_dq_close(F$1,$A1352,$M$4))</f>
        <v/>
      </c>
      <c r="G1352" s="6"/>
      <c r="H1352" s="6" t="str">
        <f ca="1">IF($A1352="","",[1]!s_dq_close(H$1,$A1352,$M$4))</f>
        <v/>
      </c>
      <c r="I1352" s="6" t="str">
        <f ca="1">IF($A1352="","",[1]!s_dq_close(I$1,$A1352,$M$4))</f>
        <v/>
      </c>
      <c r="J1352" s="6" t="str">
        <f t="shared" ca="1" si="22"/>
        <v/>
      </c>
    </row>
    <row r="1353" spans="1:10">
      <c r="A1353" s="2" t="str">
        <f ca="1">IF(A1352="","",IF(IF(价差分析!$W$4="日",--[1]!td(A1352-1),IF(价差分析!$W$4="周",--[1]!td(A1352-7),--[1]!td(A1352-30)))-价差分析!$T$4&gt;0,IF(价差分析!$W$4="日",--[1]!td(A1352-1),IF(价差分析!$W$4="周",--[1]!td(A1352-7),--[1]!td(A1352-30))),""))</f>
        <v/>
      </c>
      <c r="B1353" s="1" t="str">
        <f ca="1">IF(A1353="","",[1]!s_dq_close($B$1,A1353,$M$4))</f>
        <v/>
      </c>
      <c r="C1353" s="1" t="str">
        <f ca="1">IF(A1353="","",[1]!s_dq_close($C$1,A1353,$M$4))</f>
        <v/>
      </c>
      <c r="D1353" s="6" t="str">
        <f ca="1">IF($A1353="","",[1]!s_dq_close(D$1,$A1353,$M$4))</f>
        <v/>
      </c>
      <c r="E1353" s="6" t="str">
        <f ca="1">IF($A1353="","",[1]!s_dq_close(E$1,$A1353,$M$4))</f>
        <v/>
      </c>
      <c r="F1353" s="6" t="str">
        <f ca="1">IF($A1353="","",[1]!s_dq_close(F$1,$A1353,$M$4))</f>
        <v/>
      </c>
      <c r="G1353" s="6"/>
      <c r="H1353" s="6" t="str">
        <f ca="1">IF($A1353="","",[1]!s_dq_close(H$1,$A1353,$M$4))</f>
        <v/>
      </c>
      <c r="I1353" s="6" t="str">
        <f ca="1">IF($A1353="","",[1]!s_dq_close(I$1,$A1353,$M$4))</f>
        <v/>
      </c>
      <c r="J1353" s="6" t="str">
        <f t="shared" ca="1" si="22"/>
        <v/>
      </c>
    </row>
    <row r="1354" spans="1:10">
      <c r="A1354" s="2" t="str">
        <f ca="1">IF(A1353="","",IF(IF(价差分析!$W$4="日",--[1]!td(A1353-1),IF(价差分析!$W$4="周",--[1]!td(A1353-7),--[1]!td(A1353-30)))-价差分析!$T$4&gt;0,IF(价差分析!$W$4="日",--[1]!td(A1353-1),IF(价差分析!$W$4="周",--[1]!td(A1353-7),--[1]!td(A1353-30))),""))</f>
        <v/>
      </c>
      <c r="B1354" s="1" t="str">
        <f ca="1">IF(A1354="","",[1]!s_dq_close($B$1,A1354,$M$4))</f>
        <v/>
      </c>
      <c r="C1354" s="1" t="str">
        <f ca="1">IF(A1354="","",[1]!s_dq_close($C$1,A1354,$M$4))</f>
        <v/>
      </c>
      <c r="D1354" s="6" t="str">
        <f ca="1">IF($A1354="","",[1]!s_dq_close(D$1,$A1354,$M$4))</f>
        <v/>
      </c>
      <c r="E1354" s="6" t="str">
        <f ca="1">IF($A1354="","",[1]!s_dq_close(E$1,$A1354,$M$4))</f>
        <v/>
      </c>
      <c r="F1354" s="6" t="str">
        <f ca="1">IF($A1354="","",[1]!s_dq_close(F$1,$A1354,$M$4))</f>
        <v/>
      </c>
      <c r="G1354" s="6"/>
      <c r="H1354" s="6" t="str">
        <f ca="1">IF($A1354="","",[1]!s_dq_close(H$1,$A1354,$M$4))</f>
        <v/>
      </c>
      <c r="I1354" s="6" t="str">
        <f ca="1">IF($A1354="","",[1]!s_dq_close(I$1,$A1354,$M$4))</f>
        <v/>
      </c>
      <c r="J1354" s="6" t="str">
        <f t="shared" ca="1" si="22"/>
        <v/>
      </c>
    </row>
    <row r="1355" spans="1:10">
      <c r="A1355" s="2" t="str">
        <f ca="1">IF(A1354="","",IF(IF(价差分析!$W$4="日",--[1]!td(A1354-1),IF(价差分析!$W$4="周",--[1]!td(A1354-7),--[1]!td(A1354-30)))-价差分析!$T$4&gt;0,IF(价差分析!$W$4="日",--[1]!td(A1354-1),IF(价差分析!$W$4="周",--[1]!td(A1354-7),--[1]!td(A1354-30))),""))</f>
        <v/>
      </c>
      <c r="B1355" s="1" t="str">
        <f ca="1">IF(A1355="","",[1]!s_dq_close($B$1,A1355,$M$4))</f>
        <v/>
      </c>
      <c r="C1355" s="1" t="str">
        <f ca="1">IF(A1355="","",[1]!s_dq_close($C$1,A1355,$M$4))</f>
        <v/>
      </c>
      <c r="D1355" s="6" t="str">
        <f ca="1">IF($A1355="","",[1]!s_dq_close(D$1,$A1355,$M$4))</f>
        <v/>
      </c>
      <c r="E1355" s="6" t="str">
        <f ca="1">IF($A1355="","",[1]!s_dq_close(E$1,$A1355,$M$4))</f>
        <v/>
      </c>
      <c r="F1355" s="6" t="str">
        <f ca="1">IF($A1355="","",[1]!s_dq_close(F$1,$A1355,$M$4))</f>
        <v/>
      </c>
      <c r="G1355" s="6"/>
      <c r="H1355" s="6" t="str">
        <f ca="1">IF($A1355="","",[1]!s_dq_close(H$1,$A1355,$M$4))</f>
        <v/>
      </c>
      <c r="I1355" s="6" t="str">
        <f ca="1">IF($A1355="","",[1]!s_dq_close(I$1,$A1355,$M$4))</f>
        <v/>
      </c>
      <c r="J1355" s="6" t="str">
        <f t="shared" ca="1" si="22"/>
        <v/>
      </c>
    </row>
    <row r="1356" spans="1:10">
      <c r="A1356" s="2" t="str">
        <f ca="1">IF(A1355="","",IF(IF(价差分析!$W$4="日",--[1]!td(A1355-1),IF(价差分析!$W$4="周",--[1]!td(A1355-7),--[1]!td(A1355-30)))-价差分析!$T$4&gt;0,IF(价差分析!$W$4="日",--[1]!td(A1355-1),IF(价差分析!$W$4="周",--[1]!td(A1355-7),--[1]!td(A1355-30))),""))</f>
        <v/>
      </c>
      <c r="B1356" s="1" t="str">
        <f ca="1">IF(A1356="","",[1]!s_dq_close($B$1,A1356,$M$4))</f>
        <v/>
      </c>
      <c r="C1356" s="1" t="str">
        <f ca="1">IF(A1356="","",[1]!s_dq_close($C$1,A1356,$M$4))</f>
        <v/>
      </c>
      <c r="D1356" s="6" t="str">
        <f ca="1">IF($A1356="","",[1]!s_dq_close(D$1,$A1356,$M$4))</f>
        <v/>
      </c>
      <c r="E1356" s="6" t="str">
        <f ca="1">IF($A1356="","",[1]!s_dq_close(E$1,$A1356,$M$4))</f>
        <v/>
      </c>
      <c r="F1356" s="6" t="str">
        <f ca="1">IF($A1356="","",[1]!s_dq_close(F$1,$A1356,$M$4))</f>
        <v/>
      </c>
      <c r="G1356" s="6"/>
      <c r="H1356" s="6" t="str">
        <f ca="1">IF($A1356="","",[1]!s_dq_close(H$1,$A1356,$M$4))</f>
        <v/>
      </c>
      <c r="I1356" s="6" t="str">
        <f ca="1">IF($A1356="","",[1]!s_dq_close(I$1,$A1356,$M$4))</f>
        <v/>
      </c>
      <c r="J1356" s="6" t="str">
        <f t="shared" ca="1" si="22"/>
        <v/>
      </c>
    </row>
    <row r="1357" spans="1:10">
      <c r="A1357" s="2" t="str">
        <f ca="1">IF(A1356="","",IF(IF(价差分析!$W$4="日",--[1]!td(A1356-1),IF(价差分析!$W$4="周",--[1]!td(A1356-7),--[1]!td(A1356-30)))-价差分析!$T$4&gt;0,IF(价差分析!$W$4="日",--[1]!td(A1356-1),IF(价差分析!$W$4="周",--[1]!td(A1356-7),--[1]!td(A1356-30))),""))</f>
        <v/>
      </c>
      <c r="B1357" s="1" t="str">
        <f ca="1">IF(A1357="","",[1]!s_dq_close($B$1,A1357,$M$4))</f>
        <v/>
      </c>
      <c r="C1357" s="1" t="str">
        <f ca="1">IF(A1357="","",[1]!s_dq_close($C$1,A1357,$M$4))</f>
        <v/>
      </c>
      <c r="D1357" s="6" t="str">
        <f ca="1">IF($A1357="","",[1]!s_dq_close(D$1,$A1357,$M$4))</f>
        <v/>
      </c>
      <c r="E1357" s="6" t="str">
        <f ca="1">IF($A1357="","",[1]!s_dq_close(E$1,$A1357,$M$4))</f>
        <v/>
      </c>
      <c r="F1357" s="6" t="str">
        <f ca="1">IF($A1357="","",[1]!s_dq_close(F$1,$A1357,$M$4))</f>
        <v/>
      </c>
      <c r="G1357" s="6"/>
      <c r="H1357" s="6" t="str">
        <f ca="1">IF($A1357="","",[1]!s_dq_close(H$1,$A1357,$M$4))</f>
        <v/>
      </c>
      <c r="I1357" s="6" t="str">
        <f ca="1">IF($A1357="","",[1]!s_dq_close(I$1,$A1357,$M$4))</f>
        <v/>
      </c>
      <c r="J1357" s="6" t="str">
        <f t="shared" ca="1" si="22"/>
        <v/>
      </c>
    </row>
    <row r="1358" spans="1:10">
      <c r="A1358" s="2" t="str">
        <f ca="1">IF(A1357="","",IF(IF(价差分析!$W$4="日",--[1]!td(A1357-1),IF(价差分析!$W$4="周",--[1]!td(A1357-7),--[1]!td(A1357-30)))-价差分析!$T$4&gt;0,IF(价差分析!$W$4="日",--[1]!td(A1357-1),IF(价差分析!$W$4="周",--[1]!td(A1357-7),--[1]!td(A1357-30))),""))</f>
        <v/>
      </c>
      <c r="B1358" s="1" t="str">
        <f ca="1">IF(A1358="","",[1]!s_dq_close($B$1,A1358,$M$4))</f>
        <v/>
      </c>
      <c r="C1358" s="1" t="str">
        <f ca="1">IF(A1358="","",[1]!s_dq_close($C$1,A1358,$M$4))</f>
        <v/>
      </c>
      <c r="D1358" s="6" t="str">
        <f ca="1">IF($A1358="","",[1]!s_dq_close(D$1,$A1358,$M$4))</f>
        <v/>
      </c>
      <c r="E1358" s="6" t="str">
        <f ca="1">IF($A1358="","",[1]!s_dq_close(E$1,$A1358,$M$4))</f>
        <v/>
      </c>
      <c r="F1358" s="6" t="str">
        <f ca="1">IF($A1358="","",[1]!s_dq_close(F$1,$A1358,$M$4))</f>
        <v/>
      </c>
      <c r="G1358" s="6"/>
      <c r="H1358" s="6" t="str">
        <f ca="1">IF($A1358="","",[1]!s_dq_close(H$1,$A1358,$M$4))</f>
        <v/>
      </c>
      <c r="I1358" s="6" t="str">
        <f ca="1">IF($A1358="","",[1]!s_dq_close(I$1,$A1358,$M$4))</f>
        <v/>
      </c>
      <c r="J1358" s="6" t="str">
        <f t="shared" ca="1" si="22"/>
        <v/>
      </c>
    </row>
    <row r="1359" spans="1:10">
      <c r="A1359" s="2" t="str">
        <f ca="1">IF(A1358="","",IF(IF(价差分析!$W$4="日",--[1]!td(A1358-1),IF(价差分析!$W$4="周",--[1]!td(A1358-7),--[1]!td(A1358-30)))-价差分析!$T$4&gt;0,IF(价差分析!$W$4="日",--[1]!td(A1358-1),IF(价差分析!$W$4="周",--[1]!td(A1358-7),--[1]!td(A1358-30))),""))</f>
        <v/>
      </c>
      <c r="B1359" s="1" t="str">
        <f ca="1">IF(A1359="","",[1]!s_dq_close($B$1,A1359,$M$4))</f>
        <v/>
      </c>
      <c r="C1359" s="1" t="str">
        <f ca="1">IF(A1359="","",[1]!s_dq_close($C$1,A1359,$M$4))</f>
        <v/>
      </c>
      <c r="D1359" s="6" t="str">
        <f ca="1">IF($A1359="","",[1]!s_dq_close(D$1,$A1359,$M$4))</f>
        <v/>
      </c>
      <c r="E1359" s="6" t="str">
        <f ca="1">IF($A1359="","",[1]!s_dq_close(E$1,$A1359,$M$4))</f>
        <v/>
      </c>
      <c r="F1359" s="6" t="str">
        <f ca="1">IF($A1359="","",[1]!s_dq_close(F$1,$A1359,$M$4))</f>
        <v/>
      </c>
      <c r="G1359" s="6"/>
      <c r="H1359" s="6" t="str">
        <f ca="1">IF($A1359="","",[1]!s_dq_close(H$1,$A1359,$M$4))</f>
        <v/>
      </c>
      <c r="I1359" s="6" t="str">
        <f ca="1">IF($A1359="","",[1]!s_dq_close(I$1,$A1359,$M$4))</f>
        <v/>
      </c>
      <c r="J1359" s="6" t="str">
        <f t="shared" ca="1" si="22"/>
        <v/>
      </c>
    </row>
    <row r="1360" spans="1:10">
      <c r="A1360" s="2" t="str">
        <f ca="1">IF(A1359="","",IF(IF(价差分析!$W$4="日",--[1]!td(A1359-1),IF(价差分析!$W$4="周",--[1]!td(A1359-7),--[1]!td(A1359-30)))-价差分析!$T$4&gt;0,IF(价差分析!$W$4="日",--[1]!td(A1359-1),IF(价差分析!$W$4="周",--[1]!td(A1359-7),--[1]!td(A1359-30))),""))</f>
        <v/>
      </c>
      <c r="B1360" s="1" t="str">
        <f ca="1">IF(A1360="","",[1]!s_dq_close($B$1,A1360,$M$4))</f>
        <v/>
      </c>
      <c r="C1360" s="1" t="str">
        <f ca="1">IF(A1360="","",[1]!s_dq_close($C$1,A1360,$M$4))</f>
        <v/>
      </c>
      <c r="D1360" s="6" t="str">
        <f ca="1">IF($A1360="","",[1]!s_dq_close(D$1,$A1360,$M$4))</f>
        <v/>
      </c>
      <c r="E1360" s="6" t="str">
        <f ca="1">IF($A1360="","",[1]!s_dq_close(E$1,$A1360,$M$4))</f>
        <v/>
      </c>
      <c r="F1360" s="6" t="str">
        <f ca="1">IF($A1360="","",[1]!s_dq_close(F$1,$A1360,$M$4))</f>
        <v/>
      </c>
      <c r="G1360" s="6"/>
      <c r="H1360" s="6" t="str">
        <f ca="1">IF($A1360="","",[1]!s_dq_close(H$1,$A1360,$M$4))</f>
        <v/>
      </c>
      <c r="I1360" s="6" t="str">
        <f ca="1">IF($A1360="","",[1]!s_dq_close(I$1,$A1360,$M$4))</f>
        <v/>
      </c>
      <c r="J1360" s="6" t="str">
        <f t="shared" ca="1" si="22"/>
        <v/>
      </c>
    </row>
    <row r="1361" spans="1:10">
      <c r="A1361" s="2" t="str">
        <f ca="1">IF(A1360="","",IF(IF(价差分析!$W$4="日",--[1]!td(A1360-1),IF(价差分析!$W$4="周",--[1]!td(A1360-7),--[1]!td(A1360-30)))-价差分析!$T$4&gt;0,IF(价差分析!$W$4="日",--[1]!td(A1360-1),IF(价差分析!$W$4="周",--[1]!td(A1360-7),--[1]!td(A1360-30))),""))</f>
        <v/>
      </c>
      <c r="B1361" s="1" t="str">
        <f ca="1">IF(A1361="","",[1]!s_dq_close($B$1,A1361,$M$4))</f>
        <v/>
      </c>
      <c r="C1361" s="1" t="str">
        <f ca="1">IF(A1361="","",[1]!s_dq_close($C$1,A1361,$M$4))</f>
        <v/>
      </c>
      <c r="D1361" s="6" t="str">
        <f ca="1">IF($A1361="","",[1]!s_dq_close(D$1,$A1361,$M$4))</f>
        <v/>
      </c>
      <c r="E1361" s="6" t="str">
        <f ca="1">IF($A1361="","",[1]!s_dq_close(E$1,$A1361,$M$4))</f>
        <v/>
      </c>
      <c r="F1361" s="6" t="str">
        <f ca="1">IF($A1361="","",[1]!s_dq_close(F$1,$A1361,$M$4))</f>
        <v/>
      </c>
      <c r="G1361" s="6"/>
      <c r="H1361" s="6" t="str">
        <f ca="1">IF($A1361="","",[1]!s_dq_close(H$1,$A1361,$M$4))</f>
        <v/>
      </c>
      <c r="I1361" s="6" t="str">
        <f ca="1">IF($A1361="","",[1]!s_dq_close(I$1,$A1361,$M$4))</f>
        <v/>
      </c>
      <c r="J1361" s="6" t="str">
        <f t="shared" ca="1" si="22"/>
        <v/>
      </c>
    </row>
    <row r="1362" spans="1:10">
      <c r="A1362" s="2" t="str">
        <f ca="1">IF(A1361="","",IF(IF(价差分析!$W$4="日",--[1]!td(A1361-1),IF(价差分析!$W$4="周",--[1]!td(A1361-7),--[1]!td(A1361-30)))-价差分析!$T$4&gt;0,IF(价差分析!$W$4="日",--[1]!td(A1361-1),IF(价差分析!$W$4="周",--[1]!td(A1361-7),--[1]!td(A1361-30))),""))</f>
        <v/>
      </c>
      <c r="B1362" s="1" t="str">
        <f ca="1">IF(A1362="","",[1]!s_dq_close($B$1,A1362,$M$4))</f>
        <v/>
      </c>
      <c r="C1362" s="1" t="str">
        <f ca="1">IF(A1362="","",[1]!s_dq_close($C$1,A1362,$M$4))</f>
        <v/>
      </c>
      <c r="D1362" s="6" t="str">
        <f ca="1">IF($A1362="","",[1]!s_dq_close(D$1,$A1362,$M$4))</f>
        <v/>
      </c>
      <c r="E1362" s="6" t="str">
        <f ca="1">IF($A1362="","",[1]!s_dq_close(E$1,$A1362,$M$4))</f>
        <v/>
      </c>
      <c r="F1362" s="6" t="str">
        <f ca="1">IF($A1362="","",[1]!s_dq_close(F$1,$A1362,$M$4))</f>
        <v/>
      </c>
      <c r="G1362" s="6"/>
      <c r="H1362" s="6" t="str">
        <f ca="1">IF($A1362="","",[1]!s_dq_close(H$1,$A1362,$M$4))</f>
        <v/>
      </c>
      <c r="I1362" s="6" t="str">
        <f ca="1">IF($A1362="","",[1]!s_dq_close(I$1,$A1362,$M$4))</f>
        <v/>
      </c>
      <c r="J1362" s="6" t="str">
        <f t="shared" ca="1" si="22"/>
        <v/>
      </c>
    </row>
    <row r="1363" spans="1:10">
      <c r="A1363" s="2" t="str">
        <f ca="1">IF(A1362="","",IF(IF(价差分析!$W$4="日",--[1]!td(A1362-1),IF(价差分析!$W$4="周",--[1]!td(A1362-7),--[1]!td(A1362-30)))-价差分析!$T$4&gt;0,IF(价差分析!$W$4="日",--[1]!td(A1362-1),IF(价差分析!$W$4="周",--[1]!td(A1362-7),--[1]!td(A1362-30))),""))</f>
        <v/>
      </c>
      <c r="B1363" s="1" t="str">
        <f ca="1">IF(A1363="","",[1]!s_dq_close($B$1,A1363,$M$4))</f>
        <v/>
      </c>
      <c r="C1363" s="1" t="str">
        <f ca="1">IF(A1363="","",[1]!s_dq_close($C$1,A1363,$M$4))</f>
        <v/>
      </c>
      <c r="D1363" s="6" t="str">
        <f ca="1">IF($A1363="","",[1]!s_dq_close(D$1,$A1363,$M$4))</f>
        <v/>
      </c>
      <c r="E1363" s="6" t="str">
        <f ca="1">IF($A1363="","",[1]!s_dq_close(E$1,$A1363,$M$4))</f>
        <v/>
      </c>
      <c r="F1363" s="6" t="str">
        <f ca="1">IF($A1363="","",[1]!s_dq_close(F$1,$A1363,$M$4))</f>
        <v/>
      </c>
      <c r="G1363" s="6"/>
      <c r="H1363" s="6" t="str">
        <f ca="1">IF($A1363="","",[1]!s_dq_close(H$1,$A1363,$M$4))</f>
        <v/>
      </c>
      <c r="I1363" s="6" t="str">
        <f ca="1">IF($A1363="","",[1]!s_dq_close(I$1,$A1363,$M$4))</f>
        <v/>
      </c>
      <c r="J1363" s="6" t="str">
        <f t="shared" ca="1" si="22"/>
        <v/>
      </c>
    </row>
    <row r="1364" spans="1:10">
      <c r="A1364" s="2" t="str">
        <f ca="1">IF(A1363="","",IF(IF(价差分析!$W$4="日",--[1]!td(A1363-1),IF(价差分析!$W$4="周",--[1]!td(A1363-7),--[1]!td(A1363-30)))-价差分析!$T$4&gt;0,IF(价差分析!$W$4="日",--[1]!td(A1363-1),IF(价差分析!$W$4="周",--[1]!td(A1363-7),--[1]!td(A1363-30))),""))</f>
        <v/>
      </c>
      <c r="B1364" s="1" t="str">
        <f ca="1">IF(A1364="","",[1]!s_dq_close($B$1,A1364,$M$4))</f>
        <v/>
      </c>
      <c r="C1364" s="1" t="str">
        <f ca="1">IF(A1364="","",[1]!s_dq_close($C$1,A1364,$M$4))</f>
        <v/>
      </c>
      <c r="D1364" s="6" t="str">
        <f ca="1">IF($A1364="","",[1]!s_dq_close(D$1,$A1364,$M$4))</f>
        <v/>
      </c>
      <c r="E1364" s="6" t="str">
        <f ca="1">IF($A1364="","",[1]!s_dq_close(E$1,$A1364,$M$4))</f>
        <v/>
      </c>
      <c r="F1364" s="6" t="str">
        <f ca="1">IF($A1364="","",[1]!s_dq_close(F$1,$A1364,$M$4))</f>
        <v/>
      </c>
      <c r="G1364" s="6"/>
      <c r="H1364" s="6" t="str">
        <f ca="1">IF($A1364="","",[1]!s_dq_close(H$1,$A1364,$M$4))</f>
        <v/>
      </c>
      <c r="I1364" s="6" t="str">
        <f ca="1">IF($A1364="","",[1]!s_dq_close(I$1,$A1364,$M$4))</f>
        <v/>
      </c>
      <c r="J1364" s="6" t="str">
        <f t="shared" ca="1" si="22"/>
        <v/>
      </c>
    </row>
    <row r="1365" spans="1:10">
      <c r="A1365" s="2" t="str">
        <f ca="1">IF(A1364="","",IF(IF(价差分析!$W$4="日",--[1]!td(A1364-1),IF(价差分析!$W$4="周",--[1]!td(A1364-7),--[1]!td(A1364-30)))-价差分析!$T$4&gt;0,IF(价差分析!$W$4="日",--[1]!td(A1364-1),IF(价差分析!$W$4="周",--[1]!td(A1364-7),--[1]!td(A1364-30))),""))</f>
        <v/>
      </c>
      <c r="B1365" s="1" t="str">
        <f ca="1">IF(A1365="","",[1]!s_dq_close($B$1,A1365,$M$4))</f>
        <v/>
      </c>
      <c r="C1365" s="1" t="str">
        <f ca="1">IF(A1365="","",[1]!s_dq_close($C$1,A1365,$M$4))</f>
        <v/>
      </c>
      <c r="D1365" s="6" t="str">
        <f ca="1">IF($A1365="","",[1]!s_dq_close(D$1,$A1365,$M$4))</f>
        <v/>
      </c>
      <c r="E1365" s="6" t="str">
        <f ca="1">IF($A1365="","",[1]!s_dq_close(E$1,$A1365,$M$4))</f>
        <v/>
      </c>
      <c r="F1365" s="6" t="str">
        <f ca="1">IF($A1365="","",[1]!s_dq_close(F$1,$A1365,$M$4))</f>
        <v/>
      </c>
      <c r="G1365" s="6"/>
      <c r="H1365" s="6" t="str">
        <f ca="1">IF($A1365="","",[1]!s_dq_close(H$1,$A1365,$M$4))</f>
        <v/>
      </c>
      <c r="I1365" s="6" t="str">
        <f ca="1">IF($A1365="","",[1]!s_dq_close(I$1,$A1365,$M$4))</f>
        <v/>
      </c>
      <c r="J1365" s="6" t="str">
        <f t="shared" ca="1" si="22"/>
        <v/>
      </c>
    </row>
    <row r="1366" spans="1:10">
      <c r="A1366" s="2" t="str">
        <f ca="1">IF(A1365="","",IF(IF(价差分析!$W$4="日",--[1]!td(A1365-1),IF(价差分析!$W$4="周",--[1]!td(A1365-7),--[1]!td(A1365-30)))-价差分析!$T$4&gt;0,IF(价差分析!$W$4="日",--[1]!td(A1365-1),IF(价差分析!$W$4="周",--[1]!td(A1365-7),--[1]!td(A1365-30))),""))</f>
        <v/>
      </c>
      <c r="B1366" s="1" t="str">
        <f ca="1">IF(A1366="","",[1]!s_dq_close($B$1,A1366,$M$4))</f>
        <v/>
      </c>
      <c r="C1366" s="1" t="str">
        <f ca="1">IF(A1366="","",[1]!s_dq_close($C$1,A1366,$M$4))</f>
        <v/>
      </c>
      <c r="D1366" s="6" t="str">
        <f ca="1">IF($A1366="","",[1]!s_dq_close(D$1,$A1366,$M$4))</f>
        <v/>
      </c>
      <c r="E1366" s="6" t="str">
        <f ca="1">IF($A1366="","",[1]!s_dq_close(E$1,$A1366,$M$4))</f>
        <v/>
      </c>
      <c r="F1366" s="6" t="str">
        <f ca="1">IF($A1366="","",[1]!s_dq_close(F$1,$A1366,$M$4))</f>
        <v/>
      </c>
      <c r="G1366" s="6"/>
      <c r="H1366" s="6" t="str">
        <f ca="1">IF($A1366="","",[1]!s_dq_close(H$1,$A1366,$M$4))</f>
        <v/>
      </c>
      <c r="I1366" s="6" t="str">
        <f ca="1">IF($A1366="","",[1]!s_dq_close(I$1,$A1366,$M$4))</f>
        <v/>
      </c>
      <c r="J1366" s="6" t="str">
        <f t="shared" ca="1" si="22"/>
        <v/>
      </c>
    </row>
    <row r="1367" spans="1:10">
      <c r="A1367" s="2" t="str">
        <f ca="1">IF(A1366="","",IF(IF(价差分析!$W$4="日",--[1]!td(A1366-1),IF(价差分析!$W$4="周",--[1]!td(A1366-7),--[1]!td(A1366-30)))-价差分析!$T$4&gt;0,IF(价差分析!$W$4="日",--[1]!td(A1366-1),IF(价差分析!$W$4="周",--[1]!td(A1366-7),--[1]!td(A1366-30))),""))</f>
        <v/>
      </c>
      <c r="B1367" s="1" t="str">
        <f ca="1">IF(A1367="","",[1]!s_dq_close($B$1,A1367,$M$4))</f>
        <v/>
      </c>
      <c r="C1367" s="1" t="str">
        <f ca="1">IF(A1367="","",[1]!s_dq_close($C$1,A1367,$M$4))</f>
        <v/>
      </c>
      <c r="D1367" s="6" t="str">
        <f ca="1">IF($A1367="","",[1]!s_dq_close(D$1,$A1367,$M$4))</f>
        <v/>
      </c>
      <c r="E1367" s="6" t="str">
        <f ca="1">IF($A1367="","",[1]!s_dq_close(E$1,$A1367,$M$4))</f>
        <v/>
      </c>
      <c r="F1367" s="6" t="str">
        <f ca="1">IF($A1367="","",[1]!s_dq_close(F$1,$A1367,$M$4))</f>
        <v/>
      </c>
      <c r="G1367" s="6"/>
      <c r="H1367" s="6" t="str">
        <f ca="1">IF($A1367="","",[1]!s_dq_close(H$1,$A1367,$M$4))</f>
        <v/>
      </c>
      <c r="I1367" s="6" t="str">
        <f ca="1">IF($A1367="","",[1]!s_dq_close(I$1,$A1367,$M$4))</f>
        <v/>
      </c>
      <c r="J1367" s="6" t="str">
        <f t="shared" ca="1" si="22"/>
        <v/>
      </c>
    </row>
    <row r="1368" spans="1:10">
      <c r="A1368" s="2" t="str">
        <f ca="1">IF(A1367="","",IF(IF(价差分析!$W$4="日",--[1]!td(A1367-1),IF(价差分析!$W$4="周",--[1]!td(A1367-7),--[1]!td(A1367-30)))-价差分析!$T$4&gt;0,IF(价差分析!$W$4="日",--[1]!td(A1367-1),IF(价差分析!$W$4="周",--[1]!td(A1367-7),--[1]!td(A1367-30))),""))</f>
        <v/>
      </c>
      <c r="B1368" s="1" t="str">
        <f ca="1">IF(A1368="","",[1]!s_dq_close($B$1,A1368,$M$4))</f>
        <v/>
      </c>
      <c r="C1368" s="1" t="str">
        <f ca="1">IF(A1368="","",[1]!s_dq_close($C$1,A1368,$M$4))</f>
        <v/>
      </c>
      <c r="D1368" s="6" t="str">
        <f ca="1">IF($A1368="","",[1]!s_dq_close(D$1,$A1368,$M$4))</f>
        <v/>
      </c>
      <c r="E1368" s="6" t="str">
        <f ca="1">IF($A1368="","",[1]!s_dq_close(E$1,$A1368,$M$4))</f>
        <v/>
      </c>
      <c r="F1368" s="6" t="str">
        <f ca="1">IF($A1368="","",[1]!s_dq_close(F$1,$A1368,$M$4))</f>
        <v/>
      </c>
      <c r="G1368" s="6"/>
      <c r="H1368" s="6" t="str">
        <f ca="1">IF($A1368="","",[1]!s_dq_close(H$1,$A1368,$M$4))</f>
        <v/>
      </c>
      <c r="I1368" s="6" t="str">
        <f ca="1">IF($A1368="","",[1]!s_dq_close(I$1,$A1368,$M$4))</f>
        <v/>
      </c>
      <c r="J1368" s="6" t="str">
        <f t="shared" ca="1" si="22"/>
        <v/>
      </c>
    </row>
    <row r="1369" spans="1:10">
      <c r="A1369" s="2" t="str">
        <f ca="1">IF(A1368="","",IF(IF(价差分析!$W$4="日",--[1]!td(A1368-1),IF(价差分析!$W$4="周",--[1]!td(A1368-7),--[1]!td(A1368-30)))-价差分析!$T$4&gt;0,IF(价差分析!$W$4="日",--[1]!td(A1368-1),IF(价差分析!$W$4="周",--[1]!td(A1368-7),--[1]!td(A1368-30))),""))</f>
        <v/>
      </c>
      <c r="B1369" s="1" t="str">
        <f ca="1">IF(A1369="","",[1]!s_dq_close($B$1,A1369,$M$4))</f>
        <v/>
      </c>
      <c r="C1369" s="1" t="str">
        <f ca="1">IF(A1369="","",[1]!s_dq_close($C$1,A1369,$M$4))</f>
        <v/>
      </c>
      <c r="D1369" s="6" t="str">
        <f ca="1">IF($A1369="","",[1]!s_dq_close(D$1,$A1369,$M$4))</f>
        <v/>
      </c>
      <c r="E1369" s="6" t="str">
        <f ca="1">IF($A1369="","",[1]!s_dq_close(E$1,$A1369,$M$4))</f>
        <v/>
      </c>
      <c r="F1369" s="6" t="str">
        <f ca="1">IF($A1369="","",[1]!s_dq_close(F$1,$A1369,$M$4))</f>
        <v/>
      </c>
      <c r="G1369" s="6"/>
      <c r="H1369" s="6" t="str">
        <f ca="1">IF($A1369="","",[1]!s_dq_close(H$1,$A1369,$M$4))</f>
        <v/>
      </c>
      <c r="I1369" s="6" t="str">
        <f ca="1">IF($A1369="","",[1]!s_dq_close(I$1,$A1369,$M$4))</f>
        <v/>
      </c>
      <c r="J1369" s="6" t="str">
        <f t="shared" ca="1" si="22"/>
        <v/>
      </c>
    </row>
    <row r="1370" spans="1:10">
      <c r="A1370" s="2" t="str">
        <f ca="1">IF(A1369="","",IF(IF(价差分析!$W$4="日",--[1]!td(A1369-1),IF(价差分析!$W$4="周",--[1]!td(A1369-7),--[1]!td(A1369-30)))-价差分析!$T$4&gt;0,IF(价差分析!$W$4="日",--[1]!td(A1369-1),IF(价差分析!$W$4="周",--[1]!td(A1369-7),--[1]!td(A1369-30))),""))</f>
        <v/>
      </c>
      <c r="B1370" s="1" t="str">
        <f ca="1">IF(A1370="","",[1]!s_dq_close($B$1,A1370,$M$4))</f>
        <v/>
      </c>
      <c r="C1370" s="1" t="str">
        <f ca="1">IF(A1370="","",[1]!s_dq_close($C$1,A1370,$M$4))</f>
        <v/>
      </c>
      <c r="D1370" s="6" t="str">
        <f ca="1">IF($A1370="","",[1]!s_dq_close(D$1,$A1370,$M$4))</f>
        <v/>
      </c>
      <c r="E1370" s="6" t="str">
        <f ca="1">IF($A1370="","",[1]!s_dq_close(E$1,$A1370,$M$4))</f>
        <v/>
      </c>
      <c r="F1370" s="6" t="str">
        <f ca="1">IF($A1370="","",[1]!s_dq_close(F$1,$A1370,$M$4))</f>
        <v/>
      </c>
      <c r="G1370" s="6"/>
      <c r="H1370" s="6" t="str">
        <f ca="1">IF($A1370="","",[1]!s_dq_close(H$1,$A1370,$M$4))</f>
        <v/>
      </c>
      <c r="I1370" s="6" t="str">
        <f ca="1">IF($A1370="","",[1]!s_dq_close(I$1,$A1370,$M$4))</f>
        <v/>
      </c>
      <c r="J1370" s="6" t="str">
        <f t="shared" ca="1" si="22"/>
        <v/>
      </c>
    </row>
    <row r="1371" spans="1:10">
      <c r="A1371" s="2" t="str">
        <f ca="1">IF(A1370="","",IF(IF(价差分析!$W$4="日",--[1]!td(A1370-1),IF(价差分析!$W$4="周",--[1]!td(A1370-7),--[1]!td(A1370-30)))-价差分析!$T$4&gt;0,IF(价差分析!$W$4="日",--[1]!td(A1370-1),IF(价差分析!$W$4="周",--[1]!td(A1370-7),--[1]!td(A1370-30))),""))</f>
        <v/>
      </c>
      <c r="B1371" s="1" t="str">
        <f ca="1">IF(A1371="","",[1]!s_dq_close($B$1,A1371,$M$4))</f>
        <v/>
      </c>
      <c r="C1371" s="1" t="str">
        <f ca="1">IF(A1371="","",[1]!s_dq_close($C$1,A1371,$M$4))</f>
        <v/>
      </c>
      <c r="D1371" s="6" t="str">
        <f ca="1">IF($A1371="","",[1]!s_dq_close(D$1,$A1371,$M$4))</f>
        <v/>
      </c>
      <c r="E1371" s="6" t="str">
        <f ca="1">IF($A1371="","",[1]!s_dq_close(E$1,$A1371,$M$4))</f>
        <v/>
      </c>
      <c r="F1371" s="6" t="str">
        <f ca="1">IF($A1371="","",[1]!s_dq_close(F$1,$A1371,$M$4))</f>
        <v/>
      </c>
      <c r="G1371" s="6"/>
      <c r="H1371" s="6" t="str">
        <f ca="1">IF($A1371="","",[1]!s_dq_close(H$1,$A1371,$M$4))</f>
        <v/>
      </c>
      <c r="I1371" s="6" t="str">
        <f ca="1">IF($A1371="","",[1]!s_dq_close(I$1,$A1371,$M$4))</f>
        <v/>
      </c>
      <c r="J1371" s="6" t="str">
        <f t="shared" ca="1" si="22"/>
        <v/>
      </c>
    </row>
    <row r="1372" spans="1:10">
      <c r="A1372" s="2" t="str">
        <f ca="1">IF(A1371="","",IF(IF(价差分析!$W$4="日",--[1]!td(A1371-1),IF(价差分析!$W$4="周",--[1]!td(A1371-7),--[1]!td(A1371-30)))-价差分析!$T$4&gt;0,IF(价差分析!$W$4="日",--[1]!td(A1371-1),IF(价差分析!$W$4="周",--[1]!td(A1371-7),--[1]!td(A1371-30))),""))</f>
        <v/>
      </c>
      <c r="B1372" s="1" t="str">
        <f ca="1">IF(A1372="","",[1]!s_dq_close($B$1,A1372,$M$4))</f>
        <v/>
      </c>
      <c r="C1372" s="1" t="str">
        <f ca="1">IF(A1372="","",[1]!s_dq_close($C$1,A1372,$M$4))</f>
        <v/>
      </c>
      <c r="D1372" s="6" t="str">
        <f ca="1">IF($A1372="","",[1]!s_dq_close(D$1,$A1372,$M$4))</f>
        <v/>
      </c>
      <c r="E1372" s="6" t="str">
        <f ca="1">IF($A1372="","",[1]!s_dq_close(E$1,$A1372,$M$4))</f>
        <v/>
      </c>
      <c r="F1372" s="6" t="str">
        <f ca="1">IF($A1372="","",[1]!s_dq_close(F$1,$A1372,$M$4))</f>
        <v/>
      </c>
      <c r="G1372" s="6"/>
      <c r="H1372" s="6" t="str">
        <f ca="1">IF($A1372="","",[1]!s_dq_close(H$1,$A1372,$M$4))</f>
        <v/>
      </c>
      <c r="I1372" s="6" t="str">
        <f ca="1">IF($A1372="","",[1]!s_dq_close(I$1,$A1372,$M$4))</f>
        <v/>
      </c>
      <c r="J1372" s="6" t="str">
        <f t="shared" ca="1" si="22"/>
        <v/>
      </c>
    </row>
    <row r="1373" spans="1:10">
      <c r="A1373" s="2" t="str">
        <f ca="1">IF(A1372="","",IF(IF(价差分析!$W$4="日",--[1]!td(A1372-1),IF(价差分析!$W$4="周",--[1]!td(A1372-7),--[1]!td(A1372-30)))-价差分析!$T$4&gt;0,IF(价差分析!$W$4="日",--[1]!td(A1372-1),IF(价差分析!$W$4="周",--[1]!td(A1372-7),--[1]!td(A1372-30))),""))</f>
        <v/>
      </c>
      <c r="B1373" s="1" t="str">
        <f ca="1">IF(A1373="","",[1]!s_dq_close($B$1,A1373,$M$4))</f>
        <v/>
      </c>
      <c r="C1373" s="1" t="str">
        <f ca="1">IF(A1373="","",[1]!s_dq_close($C$1,A1373,$M$4))</f>
        <v/>
      </c>
      <c r="D1373" s="6" t="str">
        <f ca="1">IF($A1373="","",[1]!s_dq_close(D$1,$A1373,$M$4))</f>
        <v/>
      </c>
      <c r="E1373" s="6" t="str">
        <f ca="1">IF($A1373="","",[1]!s_dq_close(E$1,$A1373,$M$4))</f>
        <v/>
      </c>
      <c r="F1373" s="6" t="str">
        <f ca="1">IF($A1373="","",[1]!s_dq_close(F$1,$A1373,$M$4))</f>
        <v/>
      </c>
      <c r="G1373" s="6"/>
      <c r="H1373" s="6" t="str">
        <f ca="1">IF($A1373="","",[1]!s_dq_close(H$1,$A1373,$M$4))</f>
        <v/>
      </c>
      <c r="I1373" s="6" t="str">
        <f ca="1">IF($A1373="","",[1]!s_dq_close(I$1,$A1373,$M$4))</f>
        <v/>
      </c>
      <c r="J1373" s="6" t="str">
        <f t="shared" ca="1" si="22"/>
        <v/>
      </c>
    </row>
    <row r="1374" spans="1:10">
      <c r="A1374" s="2" t="str">
        <f ca="1">IF(A1373="","",IF(IF(价差分析!$W$4="日",--[1]!td(A1373-1),IF(价差分析!$W$4="周",--[1]!td(A1373-7),--[1]!td(A1373-30)))-价差分析!$T$4&gt;0,IF(价差分析!$W$4="日",--[1]!td(A1373-1),IF(价差分析!$W$4="周",--[1]!td(A1373-7),--[1]!td(A1373-30))),""))</f>
        <v/>
      </c>
      <c r="B1374" s="1" t="str">
        <f ca="1">IF(A1374="","",[1]!s_dq_close($B$1,A1374,$M$4))</f>
        <v/>
      </c>
      <c r="C1374" s="1" t="str">
        <f ca="1">IF(A1374="","",[1]!s_dq_close($C$1,A1374,$M$4))</f>
        <v/>
      </c>
      <c r="D1374" s="6" t="str">
        <f ca="1">IF($A1374="","",[1]!s_dq_close(D$1,$A1374,$M$4))</f>
        <v/>
      </c>
      <c r="E1374" s="6" t="str">
        <f ca="1">IF($A1374="","",[1]!s_dq_close(E$1,$A1374,$M$4))</f>
        <v/>
      </c>
      <c r="F1374" s="6" t="str">
        <f ca="1">IF($A1374="","",[1]!s_dq_close(F$1,$A1374,$M$4))</f>
        <v/>
      </c>
      <c r="G1374" s="6"/>
      <c r="H1374" s="6" t="str">
        <f ca="1">IF($A1374="","",[1]!s_dq_close(H$1,$A1374,$M$4))</f>
        <v/>
      </c>
      <c r="I1374" s="6" t="str">
        <f ca="1">IF($A1374="","",[1]!s_dq_close(I$1,$A1374,$M$4))</f>
        <v/>
      </c>
      <c r="J1374" s="6" t="str">
        <f t="shared" ca="1" si="22"/>
        <v/>
      </c>
    </row>
    <row r="1375" spans="1:10">
      <c r="A1375" s="2" t="str">
        <f ca="1">IF(A1374="","",IF(IF(价差分析!$W$4="日",--[1]!td(A1374-1),IF(价差分析!$W$4="周",--[1]!td(A1374-7),--[1]!td(A1374-30)))-价差分析!$T$4&gt;0,IF(价差分析!$W$4="日",--[1]!td(A1374-1),IF(价差分析!$W$4="周",--[1]!td(A1374-7),--[1]!td(A1374-30))),""))</f>
        <v/>
      </c>
      <c r="B1375" s="1" t="str">
        <f ca="1">IF(A1375="","",[1]!s_dq_close($B$1,A1375,$M$4))</f>
        <v/>
      </c>
      <c r="C1375" s="1" t="str">
        <f ca="1">IF(A1375="","",[1]!s_dq_close($C$1,A1375,$M$4))</f>
        <v/>
      </c>
      <c r="D1375" s="6" t="str">
        <f ca="1">IF($A1375="","",[1]!s_dq_close(D$1,$A1375,$M$4))</f>
        <v/>
      </c>
      <c r="E1375" s="6" t="str">
        <f ca="1">IF($A1375="","",[1]!s_dq_close(E$1,$A1375,$M$4))</f>
        <v/>
      </c>
      <c r="F1375" s="6" t="str">
        <f ca="1">IF($A1375="","",[1]!s_dq_close(F$1,$A1375,$M$4))</f>
        <v/>
      </c>
      <c r="G1375" s="6"/>
      <c r="H1375" s="6" t="str">
        <f ca="1">IF($A1375="","",[1]!s_dq_close(H$1,$A1375,$M$4))</f>
        <v/>
      </c>
      <c r="I1375" s="6" t="str">
        <f ca="1">IF($A1375="","",[1]!s_dq_close(I$1,$A1375,$M$4))</f>
        <v/>
      </c>
      <c r="J1375" s="6" t="str">
        <f t="shared" ca="1" si="22"/>
        <v/>
      </c>
    </row>
    <row r="1376" spans="1:10">
      <c r="A1376" s="2" t="str">
        <f ca="1">IF(A1375="","",IF(IF(价差分析!$W$4="日",--[1]!td(A1375-1),IF(价差分析!$W$4="周",--[1]!td(A1375-7),--[1]!td(A1375-30)))-价差分析!$T$4&gt;0,IF(价差分析!$W$4="日",--[1]!td(A1375-1),IF(价差分析!$W$4="周",--[1]!td(A1375-7),--[1]!td(A1375-30))),""))</f>
        <v/>
      </c>
      <c r="B1376" s="1" t="str">
        <f ca="1">IF(A1376="","",[1]!s_dq_close($B$1,A1376,$M$4))</f>
        <v/>
      </c>
      <c r="C1376" s="1" t="str">
        <f ca="1">IF(A1376="","",[1]!s_dq_close($C$1,A1376,$M$4))</f>
        <v/>
      </c>
      <c r="D1376" s="6" t="str">
        <f ca="1">IF($A1376="","",[1]!s_dq_close(D$1,$A1376,$M$4))</f>
        <v/>
      </c>
      <c r="E1376" s="6" t="str">
        <f ca="1">IF($A1376="","",[1]!s_dq_close(E$1,$A1376,$M$4))</f>
        <v/>
      </c>
      <c r="F1376" s="6" t="str">
        <f ca="1">IF($A1376="","",[1]!s_dq_close(F$1,$A1376,$M$4))</f>
        <v/>
      </c>
      <c r="G1376" s="6"/>
      <c r="H1376" s="6" t="str">
        <f ca="1">IF($A1376="","",[1]!s_dq_close(H$1,$A1376,$M$4))</f>
        <v/>
      </c>
      <c r="I1376" s="6" t="str">
        <f ca="1">IF($A1376="","",[1]!s_dq_close(I$1,$A1376,$M$4))</f>
        <v/>
      </c>
      <c r="J1376" s="6" t="str">
        <f t="shared" ca="1" si="22"/>
        <v/>
      </c>
    </row>
    <row r="1377" spans="1:10">
      <c r="A1377" s="2" t="str">
        <f ca="1">IF(A1376="","",IF(IF(价差分析!$W$4="日",--[1]!td(A1376-1),IF(价差分析!$W$4="周",--[1]!td(A1376-7),--[1]!td(A1376-30)))-价差分析!$T$4&gt;0,IF(价差分析!$W$4="日",--[1]!td(A1376-1),IF(价差分析!$W$4="周",--[1]!td(A1376-7),--[1]!td(A1376-30))),""))</f>
        <v/>
      </c>
      <c r="B1377" s="1" t="str">
        <f ca="1">IF(A1377="","",[1]!s_dq_close($B$1,A1377,$M$4))</f>
        <v/>
      </c>
      <c r="C1377" s="1" t="str">
        <f ca="1">IF(A1377="","",[1]!s_dq_close($C$1,A1377,$M$4))</f>
        <v/>
      </c>
      <c r="D1377" s="6" t="str">
        <f ca="1">IF($A1377="","",[1]!s_dq_close(D$1,$A1377,$M$4))</f>
        <v/>
      </c>
      <c r="E1377" s="6" t="str">
        <f ca="1">IF($A1377="","",[1]!s_dq_close(E$1,$A1377,$M$4))</f>
        <v/>
      </c>
      <c r="F1377" s="6" t="str">
        <f ca="1">IF($A1377="","",[1]!s_dq_close(F$1,$A1377,$M$4))</f>
        <v/>
      </c>
      <c r="G1377" s="6"/>
      <c r="H1377" s="6" t="str">
        <f ca="1">IF($A1377="","",[1]!s_dq_close(H$1,$A1377,$M$4))</f>
        <v/>
      </c>
      <c r="I1377" s="6" t="str">
        <f ca="1">IF($A1377="","",[1]!s_dq_close(I$1,$A1377,$M$4))</f>
        <v/>
      </c>
      <c r="J1377" s="6" t="str">
        <f t="shared" ca="1" si="22"/>
        <v/>
      </c>
    </row>
    <row r="1378" spans="1:10">
      <c r="A1378" s="2" t="str">
        <f ca="1">IF(A1377="","",IF(IF(价差分析!$W$4="日",--[1]!td(A1377-1),IF(价差分析!$W$4="周",--[1]!td(A1377-7),--[1]!td(A1377-30)))-价差分析!$T$4&gt;0,IF(价差分析!$W$4="日",--[1]!td(A1377-1),IF(价差分析!$W$4="周",--[1]!td(A1377-7),--[1]!td(A1377-30))),""))</f>
        <v/>
      </c>
      <c r="B1378" s="1" t="str">
        <f ca="1">IF(A1378="","",[1]!s_dq_close($B$1,A1378,$M$4))</f>
        <v/>
      </c>
      <c r="C1378" s="1" t="str">
        <f ca="1">IF(A1378="","",[1]!s_dq_close($C$1,A1378,$M$4))</f>
        <v/>
      </c>
      <c r="D1378" s="6" t="str">
        <f ca="1">IF($A1378="","",[1]!s_dq_close(D$1,$A1378,$M$4))</f>
        <v/>
      </c>
      <c r="E1378" s="6" t="str">
        <f ca="1">IF($A1378="","",[1]!s_dq_close(E$1,$A1378,$M$4))</f>
        <v/>
      </c>
      <c r="F1378" s="6" t="str">
        <f ca="1">IF($A1378="","",[1]!s_dq_close(F$1,$A1378,$M$4))</f>
        <v/>
      </c>
      <c r="G1378" s="6"/>
      <c r="H1378" s="6" t="str">
        <f ca="1">IF($A1378="","",[1]!s_dq_close(H$1,$A1378,$M$4))</f>
        <v/>
      </c>
      <c r="I1378" s="6" t="str">
        <f ca="1">IF($A1378="","",[1]!s_dq_close(I$1,$A1378,$M$4))</f>
        <v/>
      </c>
      <c r="J1378" s="6" t="str">
        <f t="shared" ca="1" si="22"/>
        <v/>
      </c>
    </row>
    <row r="1379" spans="1:10">
      <c r="A1379" s="2" t="str">
        <f ca="1">IF(A1378="","",IF(IF(价差分析!$W$4="日",--[1]!td(A1378-1),IF(价差分析!$W$4="周",--[1]!td(A1378-7),--[1]!td(A1378-30)))-价差分析!$T$4&gt;0,IF(价差分析!$W$4="日",--[1]!td(A1378-1),IF(价差分析!$W$4="周",--[1]!td(A1378-7),--[1]!td(A1378-30))),""))</f>
        <v/>
      </c>
      <c r="B1379" s="1" t="str">
        <f ca="1">IF(A1379="","",[1]!s_dq_close($B$1,A1379,$M$4))</f>
        <v/>
      </c>
      <c r="C1379" s="1" t="str">
        <f ca="1">IF(A1379="","",[1]!s_dq_close($C$1,A1379,$M$4))</f>
        <v/>
      </c>
      <c r="D1379" s="6" t="str">
        <f ca="1">IF($A1379="","",[1]!s_dq_close(D$1,$A1379,$M$4))</f>
        <v/>
      </c>
      <c r="E1379" s="6" t="str">
        <f ca="1">IF($A1379="","",[1]!s_dq_close(E$1,$A1379,$M$4))</f>
        <v/>
      </c>
      <c r="F1379" s="6" t="str">
        <f ca="1">IF($A1379="","",[1]!s_dq_close(F$1,$A1379,$M$4))</f>
        <v/>
      </c>
      <c r="G1379" s="6"/>
      <c r="H1379" s="6" t="str">
        <f ca="1">IF($A1379="","",[1]!s_dq_close(H$1,$A1379,$M$4))</f>
        <v/>
      </c>
      <c r="I1379" s="6" t="str">
        <f ca="1">IF($A1379="","",[1]!s_dq_close(I$1,$A1379,$M$4))</f>
        <v/>
      </c>
      <c r="J1379" s="6" t="str">
        <f t="shared" ca="1" si="22"/>
        <v/>
      </c>
    </row>
    <row r="1380" spans="1:10">
      <c r="A1380" s="2" t="str">
        <f ca="1">IF(A1379="","",IF(IF(价差分析!$W$4="日",--[1]!td(A1379-1),IF(价差分析!$W$4="周",--[1]!td(A1379-7),--[1]!td(A1379-30)))-价差分析!$T$4&gt;0,IF(价差分析!$W$4="日",--[1]!td(A1379-1),IF(价差分析!$W$4="周",--[1]!td(A1379-7),--[1]!td(A1379-30))),""))</f>
        <v/>
      </c>
      <c r="B1380" s="1" t="str">
        <f ca="1">IF(A1380="","",[1]!s_dq_close($B$1,A1380,$M$4))</f>
        <v/>
      </c>
      <c r="C1380" s="1" t="str">
        <f ca="1">IF(A1380="","",[1]!s_dq_close($C$1,A1380,$M$4))</f>
        <v/>
      </c>
      <c r="D1380" s="6" t="str">
        <f ca="1">IF($A1380="","",[1]!s_dq_close(D$1,$A1380,$M$4))</f>
        <v/>
      </c>
      <c r="E1380" s="6" t="str">
        <f ca="1">IF($A1380="","",[1]!s_dq_close(E$1,$A1380,$M$4))</f>
        <v/>
      </c>
      <c r="F1380" s="6" t="str">
        <f ca="1">IF($A1380="","",[1]!s_dq_close(F$1,$A1380,$M$4))</f>
        <v/>
      </c>
      <c r="G1380" s="6"/>
      <c r="H1380" s="6" t="str">
        <f ca="1">IF($A1380="","",[1]!s_dq_close(H$1,$A1380,$M$4))</f>
        <v/>
      </c>
      <c r="I1380" s="6" t="str">
        <f ca="1">IF($A1380="","",[1]!s_dq_close(I$1,$A1380,$M$4))</f>
        <v/>
      </c>
      <c r="J1380" s="6" t="str">
        <f t="shared" ca="1" si="22"/>
        <v/>
      </c>
    </row>
    <row r="1381" spans="1:10">
      <c r="A1381" s="2" t="str">
        <f ca="1">IF(A1380="","",IF(IF(价差分析!$W$4="日",--[1]!td(A1380-1),IF(价差分析!$W$4="周",--[1]!td(A1380-7),--[1]!td(A1380-30)))-价差分析!$T$4&gt;0,IF(价差分析!$W$4="日",--[1]!td(A1380-1),IF(价差分析!$W$4="周",--[1]!td(A1380-7),--[1]!td(A1380-30))),""))</f>
        <v/>
      </c>
      <c r="B1381" s="1" t="str">
        <f ca="1">IF(A1381="","",[1]!s_dq_close($B$1,A1381,$M$4))</f>
        <v/>
      </c>
      <c r="C1381" s="1" t="str">
        <f ca="1">IF(A1381="","",[1]!s_dq_close($C$1,A1381,$M$4))</f>
        <v/>
      </c>
      <c r="D1381" s="6" t="str">
        <f ca="1">IF($A1381="","",[1]!s_dq_close(D$1,$A1381,$M$4))</f>
        <v/>
      </c>
      <c r="E1381" s="6" t="str">
        <f ca="1">IF($A1381="","",[1]!s_dq_close(E$1,$A1381,$M$4))</f>
        <v/>
      </c>
      <c r="F1381" s="6" t="str">
        <f ca="1">IF($A1381="","",[1]!s_dq_close(F$1,$A1381,$M$4))</f>
        <v/>
      </c>
      <c r="G1381" s="6"/>
      <c r="H1381" s="6" t="str">
        <f ca="1">IF($A1381="","",[1]!s_dq_close(H$1,$A1381,$M$4))</f>
        <v/>
      </c>
      <c r="I1381" s="6" t="str">
        <f ca="1">IF($A1381="","",[1]!s_dq_close(I$1,$A1381,$M$4))</f>
        <v/>
      </c>
      <c r="J1381" s="6" t="str">
        <f t="shared" ca="1" si="22"/>
        <v/>
      </c>
    </row>
    <row r="1382" spans="1:10">
      <c r="A1382" s="2" t="str">
        <f ca="1">IF(A1381="","",IF(IF(价差分析!$W$4="日",--[1]!td(A1381-1),IF(价差分析!$W$4="周",--[1]!td(A1381-7),--[1]!td(A1381-30)))-价差分析!$T$4&gt;0,IF(价差分析!$W$4="日",--[1]!td(A1381-1),IF(价差分析!$W$4="周",--[1]!td(A1381-7),--[1]!td(A1381-30))),""))</f>
        <v/>
      </c>
      <c r="B1382" s="1" t="str">
        <f ca="1">IF(A1382="","",[1]!s_dq_close($B$1,A1382,$M$4))</f>
        <v/>
      </c>
      <c r="C1382" s="1" t="str">
        <f ca="1">IF(A1382="","",[1]!s_dq_close($C$1,A1382,$M$4))</f>
        <v/>
      </c>
      <c r="D1382" s="6" t="str">
        <f ca="1">IF($A1382="","",[1]!s_dq_close(D$1,$A1382,$M$4))</f>
        <v/>
      </c>
      <c r="E1382" s="6" t="str">
        <f ca="1">IF($A1382="","",[1]!s_dq_close(E$1,$A1382,$M$4))</f>
        <v/>
      </c>
      <c r="F1382" s="6" t="str">
        <f ca="1">IF($A1382="","",[1]!s_dq_close(F$1,$A1382,$M$4))</f>
        <v/>
      </c>
      <c r="G1382" s="6"/>
      <c r="H1382" s="6" t="str">
        <f ca="1">IF($A1382="","",[1]!s_dq_close(H$1,$A1382,$M$4))</f>
        <v/>
      </c>
      <c r="I1382" s="6" t="str">
        <f ca="1">IF($A1382="","",[1]!s_dq_close(I$1,$A1382,$M$4))</f>
        <v/>
      </c>
      <c r="J1382" s="6" t="str">
        <f t="shared" ca="1" si="22"/>
        <v/>
      </c>
    </row>
    <row r="1383" spans="1:10">
      <c r="A1383" s="2" t="str">
        <f ca="1">IF(A1382="","",IF(IF(价差分析!$W$4="日",--[1]!td(A1382-1),IF(价差分析!$W$4="周",--[1]!td(A1382-7),--[1]!td(A1382-30)))-价差分析!$T$4&gt;0,IF(价差分析!$W$4="日",--[1]!td(A1382-1),IF(价差分析!$W$4="周",--[1]!td(A1382-7),--[1]!td(A1382-30))),""))</f>
        <v/>
      </c>
      <c r="B1383" s="1" t="str">
        <f ca="1">IF(A1383="","",[1]!s_dq_close($B$1,A1383,$M$4))</f>
        <v/>
      </c>
      <c r="C1383" s="1" t="str">
        <f ca="1">IF(A1383="","",[1]!s_dq_close($C$1,A1383,$M$4))</f>
        <v/>
      </c>
      <c r="D1383" s="6" t="str">
        <f ca="1">IF($A1383="","",[1]!s_dq_close(D$1,$A1383,$M$4))</f>
        <v/>
      </c>
      <c r="E1383" s="6" t="str">
        <f ca="1">IF($A1383="","",[1]!s_dq_close(E$1,$A1383,$M$4))</f>
        <v/>
      </c>
      <c r="F1383" s="6" t="str">
        <f ca="1">IF($A1383="","",[1]!s_dq_close(F$1,$A1383,$M$4))</f>
        <v/>
      </c>
      <c r="G1383" s="6"/>
      <c r="H1383" s="6" t="str">
        <f ca="1">IF($A1383="","",[1]!s_dq_close(H$1,$A1383,$M$4))</f>
        <v/>
      </c>
      <c r="I1383" s="6" t="str">
        <f ca="1">IF($A1383="","",[1]!s_dq_close(I$1,$A1383,$M$4))</f>
        <v/>
      </c>
      <c r="J1383" s="6" t="str">
        <f t="shared" ca="1" si="22"/>
        <v/>
      </c>
    </row>
    <row r="1384" spans="1:10">
      <c r="A1384" s="2" t="str">
        <f ca="1">IF(A1383="","",IF(IF(价差分析!$W$4="日",--[1]!td(A1383-1),IF(价差分析!$W$4="周",--[1]!td(A1383-7),--[1]!td(A1383-30)))-价差分析!$T$4&gt;0,IF(价差分析!$W$4="日",--[1]!td(A1383-1),IF(价差分析!$W$4="周",--[1]!td(A1383-7),--[1]!td(A1383-30))),""))</f>
        <v/>
      </c>
      <c r="B1384" s="1" t="str">
        <f ca="1">IF(A1384="","",[1]!s_dq_close($B$1,A1384,$M$4))</f>
        <v/>
      </c>
      <c r="C1384" s="1" t="str">
        <f ca="1">IF(A1384="","",[1]!s_dq_close($C$1,A1384,$M$4))</f>
        <v/>
      </c>
      <c r="D1384" s="6" t="str">
        <f ca="1">IF($A1384="","",[1]!s_dq_close(D$1,$A1384,$M$4))</f>
        <v/>
      </c>
      <c r="E1384" s="6" t="str">
        <f ca="1">IF($A1384="","",[1]!s_dq_close(E$1,$A1384,$M$4))</f>
        <v/>
      </c>
      <c r="F1384" s="6" t="str">
        <f ca="1">IF($A1384="","",[1]!s_dq_close(F$1,$A1384,$M$4))</f>
        <v/>
      </c>
      <c r="G1384" s="6"/>
      <c r="H1384" s="6" t="str">
        <f ca="1">IF($A1384="","",[1]!s_dq_close(H$1,$A1384,$M$4))</f>
        <v/>
      </c>
      <c r="I1384" s="6" t="str">
        <f ca="1">IF($A1384="","",[1]!s_dq_close(I$1,$A1384,$M$4))</f>
        <v/>
      </c>
      <c r="J1384" s="6" t="str">
        <f t="shared" ca="1" si="22"/>
        <v/>
      </c>
    </row>
    <row r="1385" spans="1:10">
      <c r="A1385" s="2" t="str">
        <f ca="1">IF(A1384="","",IF(IF(价差分析!$W$4="日",--[1]!td(A1384-1),IF(价差分析!$W$4="周",--[1]!td(A1384-7),--[1]!td(A1384-30)))-价差分析!$T$4&gt;0,IF(价差分析!$W$4="日",--[1]!td(A1384-1),IF(价差分析!$W$4="周",--[1]!td(A1384-7),--[1]!td(A1384-30))),""))</f>
        <v/>
      </c>
      <c r="B1385" s="1" t="str">
        <f ca="1">IF(A1385="","",[1]!s_dq_close($B$1,A1385,$M$4))</f>
        <v/>
      </c>
      <c r="C1385" s="1" t="str">
        <f ca="1">IF(A1385="","",[1]!s_dq_close($C$1,A1385,$M$4))</f>
        <v/>
      </c>
      <c r="D1385" s="6" t="str">
        <f ca="1">IF($A1385="","",[1]!s_dq_close(D$1,$A1385,$M$4))</f>
        <v/>
      </c>
      <c r="E1385" s="6" t="str">
        <f ca="1">IF($A1385="","",[1]!s_dq_close(E$1,$A1385,$M$4))</f>
        <v/>
      </c>
      <c r="F1385" s="6" t="str">
        <f ca="1">IF($A1385="","",[1]!s_dq_close(F$1,$A1385,$M$4))</f>
        <v/>
      </c>
      <c r="G1385" s="6"/>
      <c r="H1385" s="6" t="str">
        <f ca="1">IF($A1385="","",[1]!s_dq_close(H$1,$A1385,$M$4))</f>
        <v/>
      </c>
      <c r="I1385" s="6" t="str">
        <f ca="1">IF($A1385="","",[1]!s_dq_close(I$1,$A1385,$M$4))</f>
        <v/>
      </c>
      <c r="J1385" s="6" t="str">
        <f t="shared" ca="1" si="22"/>
        <v/>
      </c>
    </row>
    <row r="1386" spans="1:10">
      <c r="A1386" s="2" t="str">
        <f ca="1">IF(A1385="","",IF(IF(价差分析!$W$4="日",--[1]!td(A1385-1),IF(价差分析!$W$4="周",--[1]!td(A1385-7),--[1]!td(A1385-30)))-价差分析!$T$4&gt;0,IF(价差分析!$W$4="日",--[1]!td(A1385-1),IF(价差分析!$W$4="周",--[1]!td(A1385-7),--[1]!td(A1385-30))),""))</f>
        <v/>
      </c>
      <c r="B1386" s="1" t="str">
        <f ca="1">IF(A1386="","",[1]!s_dq_close($B$1,A1386,$M$4))</f>
        <v/>
      </c>
      <c r="C1386" s="1" t="str">
        <f ca="1">IF(A1386="","",[1]!s_dq_close($C$1,A1386,$M$4))</f>
        <v/>
      </c>
      <c r="D1386" s="6" t="str">
        <f ca="1">IF($A1386="","",[1]!s_dq_close(D$1,$A1386,$M$4))</f>
        <v/>
      </c>
      <c r="E1386" s="6" t="str">
        <f ca="1">IF($A1386="","",[1]!s_dq_close(E$1,$A1386,$M$4))</f>
        <v/>
      </c>
      <c r="F1386" s="6" t="str">
        <f ca="1">IF($A1386="","",[1]!s_dq_close(F$1,$A1386,$M$4))</f>
        <v/>
      </c>
      <c r="G1386" s="6"/>
      <c r="H1386" s="6" t="str">
        <f ca="1">IF($A1386="","",[1]!s_dq_close(H$1,$A1386,$M$4))</f>
        <v/>
      </c>
      <c r="I1386" s="6" t="str">
        <f ca="1">IF($A1386="","",[1]!s_dq_close(I$1,$A1386,$M$4))</f>
        <v/>
      </c>
      <c r="J1386" s="6" t="str">
        <f t="shared" ca="1" si="22"/>
        <v/>
      </c>
    </row>
    <row r="1387" spans="1:10">
      <c r="A1387" s="2" t="str">
        <f ca="1">IF(A1386="","",IF(IF(价差分析!$W$4="日",--[1]!td(A1386-1),IF(价差分析!$W$4="周",--[1]!td(A1386-7),--[1]!td(A1386-30)))-价差分析!$T$4&gt;0,IF(价差分析!$W$4="日",--[1]!td(A1386-1),IF(价差分析!$W$4="周",--[1]!td(A1386-7),--[1]!td(A1386-30))),""))</f>
        <v/>
      </c>
      <c r="B1387" s="1" t="str">
        <f ca="1">IF(A1387="","",[1]!s_dq_close($B$1,A1387,$M$4))</f>
        <v/>
      </c>
      <c r="C1387" s="1" t="str">
        <f ca="1">IF(A1387="","",[1]!s_dq_close($C$1,A1387,$M$4))</f>
        <v/>
      </c>
      <c r="D1387" s="6" t="str">
        <f ca="1">IF($A1387="","",[1]!s_dq_close(D$1,$A1387,$M$4))</f>
        <v/>
      </c>
      <c r="E1387" s="6" t="str">
        <f ca="1">IF($A1387="","",[1]!s_dq_close(E$1,$A1387,$M$4))</f>
        <v/>
      </c>
      <c r="F1387" s="6" t="str">
        <f ca="1">IF($A1387="","",[1]!s_dq_close(F$1,$A1387,$M$4))</f>
        <v/>
      </c>
      <c r="G1387" s="6"/>
      <c r="H1387" s="6" t="str">
        <f ca="1">IF($A1387="","",[1]!s_dq_close(H$1,$A1387,$M$4))</f>
        <v/>
      </c>
      <c r="I1387" s="6" t="str">
        <f ca="1">IF($A1387="","",[1]!s_dq_close(I$1,$A1387,$M$4))</f>
        <v/>
      </c>
      <c r="J1387" s="6" t="str">
        <f t="shared" ca="1" si="22"/>
        <v/>
      </c>
    </row>
    <row r="1388" spans="1:10">
      <c r="A1388" s="2" t="str">
        <f ca="1">IF(A1387="","",IF(IF(价差分析!$W$4="日",--[1]!td(A1387-1),IF(价差分析!$W$4="周",--[1]!td(A1387-7),--[1]!td(A1387-30)))-价差分析!$T$4&gt;0,IF(价差分析!$W$4="日",--[1]!td(A1387-1),IF(价差分析!$W$4="周",--[1]!td(A1387-7),--[1]!td(A1387-30))),""))</f>
        <v/>
      </c>
      <c r="B1388" s="1" t="str">
        <f ca="1">IF(A1388="","",[1]!s_dq_close($B$1,A1388,$M$4))</f>
        <v/>
      </c>
      <c r="C1388" s="1" t="str">
        <f ca="1">IF(A1388="","",[1]!s_dq_close($C$1,A1388,$M$4))</f>
        <v/>
      </c>
      <c r="D1388" s="6" t="str">
        <f ca="1">IF($A1388="","",[1]!s_dq_close(D$1,$A1388,$M$4))</f>
        <v/>
      </c>
      <c r="E1388" s="6" t="str">
        <f ca="1">IF($A1388="","",[1]!s_dq_close(E$1,$A1388,$M$4))</f>
        <v/>
      </c>
      <c r="F1388" s="6" t="str">
        <f ca="1">IF($A1388="","",[1]!s_dq_close(F$1,$A1388,$M$4))</f>
        <v/>
      </c>
      <c r="G1388" s="6"/>
      <c r="H1388" s="6" t="str">
        <f ca="1">IF($A1388="","",[1]!s_dq_close(H$1,$A1388,$M$4))</f>
        <v/>
      </c>
      <c r="I1388" s="6" t="str">
        <f ca="1">IF($A1388="","",[1]!s_dq_close(I$1,$A1388,$M$4))</f>
        <v/>
      </c>
      <c r="J1388" s="6" t="str">
        <f t="shared" ca="1" si="22"/>
        <v/>
      </c>
    </row>
    <row r="1389" spans="1:10">
      <c r="A1389" s="2" t="str">
        <f ca="1">IF(A1388="","",IF(IF(价差分析!$W$4="日",--[1]!td(A1388-1),IF(价差分析!$W$4="周",--[1]!td(A1388-7),--[1]!td(A1388-30)))-价差分析!$T$4&gt;0,IF(价差分析!$W$4="日",--[1]!td(A1388-1),IF(价差分析!$W$4="周",--[1]!td(A1388-7),--[1]!td(A1388-30))),""))</f>
        <v/>
      </c>
      <c r="B1389" s="1" t="str">
        <f ca="1">IF(A1389="","",[1]!s_dq_close($B$1,A1389,$M$4))</f>
        <v/>
      </c>
      <c r="C1389" s="1" t="str">
        <f ca="1">IF(A1389="","",[1]!s_dq_close($C$1,A1389,$M$4))</f>
        <v/>
      </c>
      <c r="D1389" s="6" t="str">
        <f ca="1">IF($A1389="","",[1]!s_dq_close(D$1,$A1389,$M$4))</f>
        <v/>
      </c>
      <c r="E1389" s="6" t="str">
        <f ca="1">IF($A1389="","",[1]!s_dq_close(E$1,$A1389,$M$4))</f>
        <v/>
      </c>
      <c r="F1389" s="6" t="str">
        <f ca="1">IF($A1389="","",[1]!s_dq_close(F$1,$A1389,$M$4))</f>
        <v/>
      </c>
      <c r="G1389" s="6"/>
      <c r="H1389" s="6" t="str">
        <f ca="1">IF($A1389="","",[1]!s_dq_close(H$1,$A1389,$M$4))</f>
        <v/>
      </c>
      <c r="I1389" s="6" t="str">
        <f ca="1">IF($A1389="","",[1]!s_dq_close(I$1,$A1389,$M$4))</f>
        <v/>
      </c>
      <c r="J1389" s="6" t="str">
        <f t="shared" ca="1" si="22"/>
        <v/>
      </c>
    </row>
    <row r="1390" spans="1:10">
      <c r="A1390" s="2" t="str">
        <f ca="1">IF(A1389="","",IF(IF(价差分析!$W$4="日",--[1]!td(A1389-1),IF(价差分析!$W$4="周",--[1]!td(A1389-7),--[1]!td(A1389-30)))-价差分析!$T$4&gt;0,IF(价差分析!$W$4="日",--[1]!td(A1389-1),IF(价差分析!$W$4="周",--[1]!td(A1389-7),--[1]!td(A1389-30))),""))</f>
        <v/>
      </c>
      <c r="B1390" s="1" t="str">
        <f ca="1">IF(A1390="","",[1]!s_dq_close($B$1,A1390,$M$4))</f>
        <v/>
      </c>
      <c r="C1390" s="1" t="str">
        <f ca="1">IF(A1390="","",[1]!s_dq_close($C$1,A1390,$M$4))</f>
        <v/>
      </c>
      <c r="D1390" s="6" t="str">
        <f ca="1">IF($A1390="","",[1]!s_dq_close(D$1,$A1390,$M$4))</f>
        <v/>
      </c>
      <c r="E1390" s="6" t="str">
        <f ca="1">IF($A1390="","",[1]!s_dq_close(E$1,$A1390,$M$4))</f>
        <v/>
      </c>
      <c r="F1390" s="6" t="str">
        <f ca="1">IF($A1390="","",[1]!s_dq_close(F$1,$A1390,$M$4))</f>
        <v/>
      </c>
      <c r="G1390" s="6"/>
      <c r="H1390" s="6" t="str">
        <f ca="1">IF($A1390="","",[1]!s_dq_close(H$1,$A1390,$M$4))</f>
        <v/>
      </c>
      <c r="I1390" s="6" t="str">
        <f ca="1">IF($A1390="","",[1]!s_dq_close(I$1,$A1390,$M$4))</f>
        <v/>
      </c>
      <c r="J1390" s="6" t="str">
        <f t="shared" ca="1" si="22"/>
        <v/>
      </c>
    </row>
    <row r="1391" spans="1:10">
      <c r="A1391" s="2" t="str">
        <f ca="1">IF(A1390="","",IF(IF(价差分析!$W$4="日",--[1]!td(A1390-1),IF(价差分析!$W$4="周",--[1]!td(A1390-7),--[1]!td(A1390-30)))-价差分析!$T$4&gt;0,IF(价差分析!$W$4="日",--[1]!td(A1390-1),IF(价差分析!$W$4="周",--[1]!td(A1390-7),--[1]!td(A1390-30))),""))</f>
        <v/>
      </c>
      <c r="B1391" s="1" t="str">
        <f ca="1">IF(A1391="","",[1]!s_dq_close($B$1,A1391,$M$4))</f>
        <v/>
      </c>
      <c r="C1391" s="1" t="str">
        <f ca="1">IF(A1391="","",[1]!s_dq_close($C$1,A1391,$M$4))</f>
        <v/>
      </c>
      <c r="D1391" s="6" t="str">
        <f ca="1">IF($A1391="","",[1]!s_dq_close(D$1,$A1391,$M$4))</f>
        <v/>
      </c>
      <c r="E1391" s="6" t="str">
        <f ca="1">IF($A1391="","",[1]!s_dq_close(E$1,$A1391,$M$4))</f>
        <v/>
      </c>
      <c r="F1391" s="6" t="str">
        <f ca="1">IF($A1391="","",[1]!s_dq_close(F$1,$A1391,$M$4))</f>
        <v/>
      </c>
      <c r="G1391" s="6"/>
      <c r="H1391" s="6" t="str">
        <f ca="1">IF($A1391="","",[1]!s_dq_close(H$1,$A1391,$M$4))</f>
        <v/>
      </c>
      <c r="I1391" s="6" t="str">
        <f ca="1">IF($A1391="","",[1]!s_dq_close(I$1,$A1391,$M$4))</f>
        <v/>
      </c>
      <c r="J1391" s="6" t="str">
        <f t="shared" ca="1" si="22"/>
        <v/>
      </c>
    </row>
    <row r="1392" spans="1:10">
      <c r="A1392" s="2" t="str">
        <f ca="1">IF(A1391="","",IF(IF(价差分析!$W$4="日",--[1]!td(A1391-1),IF(价差分析!$W$4="周",--[1]!td(A1391-7),--[1]!td(A1391-30)))-价差分析!$T$4&gt;0,IF(价差分析!$W$4="日",--[1]!td(A1391-1),IF(价差分析!$W$4="周",--[1]!td(A1391-7),--[1]!td(A1391-30))),""))</f>
        <v/>
      </c>
      <c r="B1392" s="1" t="str">
        <f ca="1">IF(A1392="","",[1]!s_dq_close($B$1,A1392,$M$4))</f>
        <v/>
      </c>
      <c r="C1392" s="1" t="str">
        <f ca="1">IF(A1392="","",[1]!s_dq_close($C$1,A1392,$M$4))</f>
        <v/>
      </c>
      <c r="D1392" s="6" t="str">
        <f ca="1">IF($A1392="","",[1]!s_dq_close(D$1,$A1392,$M$4))</f>
        <v/>
      </c>
      <c r="E1392" s="6" t="str">
        <f ca="1">IF($A1392="","",[1]!s_dq_close(E$1,$A1392,$M$4))</f>
        <v/>
      </c>
      <c r="F1392" s="6" t="str">
        <f ca="1">IF($A1392="","",[1]!s_dq_close(F$1,$A1392,$M$4))</f>
        <v/>
      </c>
      <c r="G1392" s="6"/>
      <c r="H1392" s="6" t="str">
        <f ca="1">IF($A1392="","",[1]!s_dq_close(H$1,$A1392,$M$4))</f>
        <v/>
      </c>
      <c r="I1392" s="6" t="str">
        <f ca="1">IF($A1392="","",[1]!s_dq_close(I$1,$A1392,$M$4))</f>
        <v/>
      </c>
      <c r="J1392" s="6" t="str">
        <f t="shared" ca="1" si="22"/>
        <v/>
      </c>
    </row>
    <row r="1393" spans="1:10">
      <c r="A1393" s="2" t="str">
        <f ca="1">IF(A1392="","",IF(IF(价差分析!$W$4="日",--[1]!td(A1392-1),IF(价差分析!$W$4="周",--[1]!td(A1392-7),--[1]!td(A1392-30)))-价差分析!$T$4&gt;0,IF(价差分析!$W$4="日",--[1]!td(A1392-1),IF(价差分析!$W$4="周",--[1]!td(A1392-7),--[1]!td(A1392-30))),""))</f>
        <v/>
      </c>
      <c r="B1393" s="1" t="str">
        <f ca="1">IF(A1393="","",[1]!s_dq_close($B$1,A1393,$M$4))</f>
        <v/>
      </c>
      <c r="C1393" s="1" t="str">
        <f ca="1">IF(A1393="","",[1]!s_dq_close($C$1,A1393,$M$4))</f>
        <v/>
      </c>
      <c r="D1393" s="6" t="str">
        <f ca="1">IF($A1393="","",[1]!s_dq_close(D$1,$A1393,$M$4))</f>
        <v/>
      </c>
      <c r="E1393" s="6" t="str">
        <f ca="1">IF($A1393="","",[1]!s_dq_close(E$1,$A1393,$M$4))</f>
        <v/>
      </c>
      <c r="F1393" s="6" t="str">
        <f ca="1">IF($A1393="","",[1]!s_dq_close(F$1,$A1393,$M$4))</f>
        <v/>
      </c>
      <c r="G1393" s="6"/>
      <c r="H1393" s="6" t="str">
        <f ca="1">IF($A1393="","",[1]!s_dq_close(H$1,$A1393,$M$4))</f>
        <v/>
      </c>
      <c r="I1393" s="6" t="str">
        <f ca="1">IF($A1393="","",[1]!s_dq_close(I$1,$A1393,$M$4))</f>
        <v/>
      </c>
      <c r="J1393" s="6" t="str">
        <f t="shared" ca="1" si="22"/>
        <v/>
      </c>
    </row>
    <row r="1394" spans="1:10">
      <c r="A1394" s="2" t="str">
        <f ca="1">IF(A1393="","",IF(IF(价差分析!$W$4="日",--[1]!td(A1393-1),IF(价差分析!$W$4="周",--[1]!td(A1393-7),--[1]!td(A1393-30)))-价差分析!$T$4&gt;0,IF(价差分析!$W$4="日",--[1]!td(A1393-1),IF(价差分析!$W$4="周",--[1]!td(A1393-7),--[1]!td(A1393-30))),""))</f>
        <v/>
      </c>
      <c r="B1394" s="1" t="str">
        <f ca="1">IF(A1394="","",[1]!s_dq_close($B$1,A1394,$M$4))</f>
        <v/>
      </c>
      <c r="C1394" s="1" t="str">
        <f ca="1">IF(A1394="","",[1]!s_dq_close($C$1,A1394,$M$4))</f>
        <v/>
      </c>
      <c r="D1394" s="6" t="str">
        <f ca="1">IF($A1394="","",[1]!s_dq_close(D$1,$A1394,$M$4))</f>
        <v/>
      </c>
      <c r="E1394" s="6" t="str">
        <f ca="1">IF($A1394="","",[1]!s_dq_close(E$1,$A1394,$M$4))</f>
        <v/>
      </c>
      <c r="F1394" s="6" t="str">
        <f ca="1">IF($A1394="","",[1]!s_dq_close(F$1,$A1394,$M$4))</f>
        <v/>
      </c>
      <c r="G1394" s="6"/>
      <c r="H1394" s="6" t="str">
        <f ca="1">IF($A1394="","",[1]!s_dq_close(H$1,$A1394,$M$4))</f>
        <v/>
      </c>
      <c r="I1394" s="6" t="str">
        <f ca="1">IF($A1394="","",[1]!s_dq_close(I$1,$A1394,$M$4))</f>
        <v/>
      </c>
      <c r="J1394" s="6" t="str">
        <f t="shared" ca="1" si="22"/>
        <v/>
      </c>
    </row>
    <row r="1395" spans="1:10">
      <c r="A1395" s="2" t="str">
        <f ca="1">IF(A1394="","",IF(IF(价差分析!$W$4="日",--[1]!td(A1394-1),IF(价差分析!$W$4="周",--[1]!td(A1394-7),--[1]!td(A1394-30)))-价差分析!$T$4&gt;0,IF(价差分析!$W$4="日",--[1]!td(A1394-1),IF(价差分析!$W$4="周",--[1]!td(A1394-7),--[1]!td(A1394-30))),""))</f>
        <v/>
      </c>
      <c r="B1395" s="1" t="str">
        <f ca="1">IF(A1395="","",[1]!s_dq_close($B$1,A1395,$M$4))</f>
        <v/>
      </c>
      <c r="C1395" s="1" t="str">
        <f ca="1">IF(A1395="","",[1]!s_dq_close($C$1,A1395,$M$4))</f>
        <v/>
      </c>
      <c r="D1395" s="6" t="str">
        <f ca="1">IF($A1395="","",[1]!s_dq_close(D$1,$A1395,$M$4))</f>
        <v/>
      </c>
      <c r="E1395" s="6" t="str">
        <f ca="1">IF($A1395="","",[1]!s_dq_close(E$1,$A1395,$M$4))</f>
        <v/>
      </c>
      <c r="F1395" s="6" t="str">
        <f ca="1">IF($A1395="","",[1]!s_dq_close(F$1,$A1395,$M$4))</f>
        <v/>
      </c>
      <c r="G1395" s="6"/>
      <c r="H1395" s="6" t="str">
        <f ca="1">IF($A1395="","",[1]!s_dq_close(H$1,$A1395,$M$4))</f>
        <v/>
      </c>
      <c r="I1395" s="6" t="str">
        <f ca="1">IF($A1395="","",[1]!s_dq_close(I$1,$A1395,$M$4))</f>
        <v/>
      </c>
      <c r="J1395" s="6" t="str">
        <f t="shared" ca="1" si="22"/>
        <v/>
      </c>
    </row>
    <row r="1396" spans="1:10">
      <c r="A1396" s="2" t="str">
        <f ca="1">IF(A1395="","",IF(IF(价差分析!$W$4="日",--[1]!td(A1395-1),IF(价差分析!$W$4="周",--[1]!td(A1395-7),--[1]!td(A1395-30)))-价差分析!$T$4&gt;0,IF(价差分析!$W$4="日",--[1]!td(A1395-1),IF(价差分析!$W$4="周",--[1]!td(A1395-7),--[1]!td(A1395-30))),""))</f>
        <v/>
      </c>
      <c r="B1396" s="1" t="str">
        <f ca="1">IF(A1396="","",[1]!s_dq_close($B$1,A1396,$M$4))</f>
        <v/>
      </c>
      <c r="C1396" s="1" t="str">
        <f ca="1">IF(A1396="","",[1]!s_dq_close($C$1,A1396,$M$4))</f>
        <v/>
      </c>
      <c r="D1396" s="6" t="str">
        <f ca="1">IF($A1396="","",[1]!s_dq_close(D$1,$A1396,$M$4))</f>
        <v/>
      </c>
      <c r="E1396" s="6" t="str">
        <f ca="1">IF($A1396="","",[1]!s_dq_close(E$1,$A1396,$M$4))</f>
        <v/>
      </c>
      <c r="F1396" s="6" t="str">
        <f ca="1">IF($A1396="","",[1]!s_dq_close(F$1,$A1396,$M$4))</f>
        <v/>
      </c>
      <c r="G1396" s="6"/>
      <c r="H1396" s="6" t="str">
        <f ca="1">IF($A1396="","",[1]!s_dq_close(H$1,$A1396,$M$4))</f>
        <v/>
      </c>
      <c r="I1396" s="6" t="str">
        <f ca="1">IF($A1396="","",[1]!s_dq_close(I$1,$A1396,$M$4))</f>
        <v/>
      </c>
      <c r="J1396" s="6" t="str">
        <f t="shared" ca="1" si="22"/>
        <v/>
      </c>
    </row>
    <row r="1397" spans="1:10">
      <c r="A1397" s="2" t="str">
        <f ca="1">IF(A1396="","",IF(IF(价差分析!$W$4="日",--[1]!td(A1396-1),IF(价差分析!$W$4="周",--[1]!td(A1396-7),--[1]!td(A1396-30)))-价差分析!$T$4&gt;0,IF(价差分析!$W$4="日",--[1]!td(A1396-1),IF(价差分析!$W$4="周",--[1]!td(A1396-7),--[1]!td(A1396-30))),""))</f>
        <v/>
      </c>
      <c r="B1397" s="1" t="str">
        <f ca="1">IF(A1397="","",[1]!s_dq_close($B$1,A1397,$M$4))</f>
        <v/>
      </c>
      <c r="C1397" s="1" t="str">
        <f ca="1">IF(A1397="","",[1]!s_dq_close($C$1,A1397,$M$4))</f>
        <v/>
      </c>
      <c r="D1397" s="6" t="str">
        <f ca="1">IF($A1397="","",[1]!s_dq_close(D$1,$A1397,$M$4))</f>
        <v/>
      </c>
      <c r="E1397" s="6" t="str">
        <f ca="1">IF($A1397="","",[1]!s_dq_close(E$1,$A1397,$M$4))</f>
        <v/>
      </c>
      <c r="F1397" s="6" t="str">
        <f ca="1">IF($A1397="","",[1]!s_dq_close(F$1,$A1397,$M$4))</f>
        <v/>
      </c>
      <c r="G1397" s="6"/>
      <c r="H1397" s="6" t="str">
        <f ca="1">IF($A1397="","",[1]!s_dq_close(H$1,$A1397,$M$4))</f>
        <v/>
      </c>
      <c r="I1397" s="6" t="str">
        <f ca="1">IF($A1397="","",[1]!s_dq_close(I$1,$A1397,$M$4))</f>
        <v/>
      </c>
      <c r="J1397" s="6" t="str">
        <f t="shared" ca="1" si="22"/>
        <v/>
      </c>
    </row>
    <row r="1398" spans="1:10">
      <c r="A1398" s="2" t="str">
        <f ca="1">IF(A1397="","",IF(IF(价差分析!$W$4="日",--[1]!td(A1397-1),IF(价差分析!$W$4="周",--[1]!td(A1397-7),--[1]!td(A1397-30)))-价差分析!$T$4&gt;0,IF(价差分析!$W$4="日",--[1]!td(A1397-1),IF(价差分析!$W$4="周",--[1]!td(A1397-7),--[1]!td(A1397-30))),""))</f>
        <v/>
      </c>
      <c r="B1398" s="1" t="str">
        <f ca="1">IF(A1398="","",[1]!s_dq_close($B$1,A1398,$M$4))</f>
        <v/>
      </c>
      <c r="C1398" s="1" t="str">
        <f ca="1">IF(A1398="","",[1]!s_dq_close($C$1,A1398,$M$4))</f>
        <v/>
      </c>
      <c r="D1398" s="6" t="str">
        <f ca="1">IF($A1398="","",[1]!s_dq_close(D$1,$A1398,$M$4))</f>
        <v/>
      </c>
      <c r="E1398" s="6" t="str">
        <f ca="1">IF($A1398="","",[1]!s_dq_close(E$1,$A1398,$M$4))</f>
        <v/>
      </c>
      <c r="F1398" s="6" t="str">
        <f ca="1">IF($A1398="","",[1]!s_dq_close(F$1,$A1398,$M$4))</f>
        <v/>
      </c>
      <c r="G1398" s="6"/>
      <c r="H1398" s="6" t="str">
        <f ca="1">IF($A1398="","",[1]!s_dq_close(H$1,$A1398,$M$4))</f>
        <v/>
      </c>
      <c r="I1398" s="6" t="str">
        <f ca="1">IF($A1398="","",[1]!s_dq_close(I$1,$A1398,$M$4))</f>
        <v/>
      </c>
      <c r="J1398" s="6" t="str">
        <f t="shared" ca="1" si="22"/>
        <v/>
      </c>
    </row>
    <row r="1399" spans="1:10">
      <c r="A1399" s="2" t="str">
        <f ca="1">IF(A1398="","",IF(IF(价差分析!$W$4="日",--[1]!td(A1398-1),IF(价差分析!$W$4="周",--[1]!td(A1398-7),--[1]!td(A1398-30)))-价差分析!$T$4&gt;0,IF(价差分析!$W$4="日",--[1]!td(A1398-1),IF(价差分析!$W$4="周",--[1]!td(A1398-7),--[1]!td(A1398-30))),""))</f>
        <v/>
      </c>
      <c r="B1399" s="1" t="str">
        <f ca="1">IF(A1399="","",[1]!s_dq_close($B$1,A1399,$M$4))</f>
        <v/>
      </c>
      <c r="C1399" s="1" t="str">
        <f ca="1">IF(A1399="","",[1]!s_dq_close($C$1,A1399,$M$4))</f>
        <v/>
      </c>
      <c r="D1399" s="6" t="str">
        <f ca="1">IF($A1399="","",[1]!s_dq_close(D$1,$A1399,$M$4))</f>
        <v/>
      </c>
      <c r="E1399" s="6" t="str">
        <f ca="1">IF($A1399="","",[1]!s_dq_close(E$1,$A1399,$M$4))</f>
        <v/>
      </c>
      <c r="F1399" s="6" t="str">
        <f ca="1">IF($A1399="","",[1]!s_dq_close(F$1,$A1399,$M$4))</f>
        <v/>
      </c>
      <c r="G1399" s="6"/>
      <c r="H1399" s="6" t="str">
        <f ca="1">IF($A1399="","",[1]!s_dq_close(H$1,$A1399,$M$4))</f>
        <v/>
      </c>
      <c r="I1399" s="6" t="str">
        <f ca="1">IF($A1399="","",[1]!s_dq_close(I$1,$A1399,$M$4))</f>
        <v/>
      </c>
      <c r="J1399" s="6" t="str">
        <f t="shared" ca="1" si="22"/>
        <v/>
      </c>
    </row>
    <row r="1400" spans="1:10">
      <c r="A1400" s="2" t="str">
        <f ca="1">IF(A1399="","",IF(IF(价差分析!$W$4="日",--[1]!td(A1399-1),IF(价差分析!$W$4="周",--[1]!td(A1399-7),--[1]!td(A1399-30)))-价差分析!$T$4&gt;0,IF(价差分析!$W$4="日",--[1]!td(A1399-1),IF(价差分析!$W$4="周",--[1]!td(A1399-7),--[1]!td(A1399-30))),""))</f>
        <v/>
      </c>
      <c r="B1400" s="1" t="str">
        <f ca="1">IF(A1400="","",[1]!s_dq_close($B$1,A1400,$M$4))</f>
        <v/>
      </c>
      <c r="C1400" s="1" t="str">
        <f ca="1">IF(A1400="","",[1]!s_dq_close($C$1,A1400,$M$4))</f>
        <v/>
      </c>
      <c r="D1400" s="6" t="str">
        <f ca="1">IF($A1400="","",[1]!s_dq_close(D$1,$A1400,$M$4))</f>
        <v/>
      </c>
      <c r="E1400" s="6" t="str">
        <f ca="1">IF($A1400="","",[1]!s_dq_close(E$1,$A1400,$M$4))</f>
        <v/>
      </c>
      <c r="F1400" s="6" t="str">
        <f ca="1">IF($A1400="","",[1]!s_dq_close(F$1,$A1400,$M$4))</f>
        <v/>
      </c>
      <c r="G1400" s="6"/>
      <c r="H1400" s="6" t="str">
        <f ca="1">IF($A1400="","",[1]!s_dq_close(H$1,$A1400,$M$4))</f>
        <v/>
      </c>
      <c r="I1400" s="6" t="str">
        <f ca="1">IF($A1400="","",[1]!s_dq_close(I$1,$A1400,$M$4))</f>
        <v/>
      </c>
      <c r="J1400" s="6" t="str">
        <f t="shared" ca="1" si="22"/>
        <v/>
      </c>
    </row>
    <row r="1401" spans="1:10">
      <c r="A1401" s="2" t="str">
        <f ca="1">IF(A1400="","",IF(IF(价差分析!$W$4="日",--[1]!td(A1400-1),IF(价差分析!$W$4="周",--[1]!td(A1400-7),--[1]!td(A1400-30)))-价差分析!$T$4&gt;0,IF(价差分析!$W$4="日",--[1]!td(A1400-1),IF(价差分析!$W$4="周",--[1]!td(A1400-7),--[1]!td(A1400-30))),""))</f>
        <v/>
      </c>
      <c r="B1401" s="1" t="str">
        <f ca="1">IF(A1401="","",[1]!s_dq_close($B$1,A1401,$M$4))</f>
        <v/>
      </c>
      <c r="C1401" s="1" t="str">
        <f ca="1">IF(A1401="","",[1]!s_dq_close($C$1,A1401,$M$4))</f>
        <v/>
      </c>
      <c r="D1401" s="6" t="str">
        <f ca="1">IF($A1401="","",[1]!s_dq_close(D$1,$A1401,$M$4))</f>
        <v/>
      </c>
      <c r="E1401" s="6" t="str">
        <f ca="1">IF($A1401="","",[1]!s_dq_close(E$1,$A1401,$M$4))</f>
        <v/>
      </c>
      <c r="F1401" s="6" t="str">
        <f ca="1">IF($A1401="","",[1]!s_dq_close(F$1,$A1401,$M$4))</f>
        <v/>
      </c>
      <c r="G1401" s="6"/>
      <c r="H1401" s="6" t="str">
        <f ca="1">IF($A1401="","",[1]!s_dq_close(H$1,$A1401,$M$4))</f>
        <v/>
      </c>
      <c r="I1401" s="6" t="str">
        <f ca="1">IF($A1401="","",[1]!s_dq_close(I$1,$A1401,$M$4))</f>
        <v/>
      </c>
      <c r="J1401" s="6" t="str">
        <f t="shared" ca="1" si="22"/>
        <v/>
      </c>
    </row>
    <row r="1402" spans="1:10">
      <c r="A1402" s="2" t="str">
        <f ca="1">IF(A1401="","",IF(IF(价差分析!$W$4="日",--[1]!td(A1401-1),IF(价差分析!$W$4="周",--[1]!td(A1401-7),--[1]!td(A1401-30)))-价差分析!$T$4&gt;0,IF(价差分析!$W$4="日",--[1]!td(A1401-1),IF(价差分析!$W$4="周",--[1]!td(A1401-7),--[1]!td(A1401-30))),""))</f>
        <v/>
      </c>
      <c r="B1402" s="1" t="str">
        <f ca="1">IF(A1402="","",[1]!s_dq_close($B$1,A1402,$M$4))</f>
        <v/>
      </c>
      <c r="C1402" s="1" t="str">
        <f ca="1">IF(A1402="","",[1]!s_dq_close($C$1,A1402,$M$4))</f>
        <v/>
      </c>
      <c r="D1402" s="6" t="str">
        <f ca="1">IF($A1402="","",[1]!s_dq_close(D$1,$A1402,$M$4))</f>
        <v/>
      </c>
      <c r="E1402" s="6" t="str">
        <f ca="1">IF($A1402="","",[1]!s_dq_close(E$1,$A1402,$M$4))</f>
        <v/>
      </c>
      <c r="F1402" s="6" t="str">
        <f ca="1">IF($A1402="","",[1]!s_dq_close(F$1,$A1402,$M$4))</f>
        <v/>
      </c>
      <c r="G1402" s="6"/>
      <c r="H1402" s="6" t="str">
        <f ca="1">IF($A1402="","",[1]!s_dq_close(H$1,$A1402,$M$4))</f>
        <v/>
      </c>
      <c r="I1402" s="6" t="str">
        <f ca="1">IF($A1402="","",[1]!s_dq_close(I$1,$A1402,$M$4))</f>
        <v/>
      </c>
      <c r="J1402" s="6" t="str">
        <f t="shared" ca="1" si="22"/>
        <v/>
      </c>
    </row>
    <row r="1403" spans="1:10">
      <c r="A1403" s="2" t="str">
        <f ca="1">IF(A1402="","",IF(IF(价差分析!$W$4="日",--[1]!td(A1402-1),IF(价差分析!$W$4="周",--[1]!td(A1402-7),--[1]!td(A1402-30)))-价差分析!$T$4&gt;0,IF(价差分析!$W$4="日",--[1]!td(A1402-1),IF(价差分析!$W$4="周",--[1]!td(A1402-7),--[1]!td(A1402-30))),""))</f>
        <v/>
      </c>
      <c r="B1403" s="1" t="str">
        <f ca="1">IF(A1403="","",[1]!s_dq_close($B$1,A1403,$M$4))</f>
        <v/>
      </c>
      <c r="C1403" s="1" t="str">
        <f ca="1">IF(A1403="","",[1]!s_dq_close($C$1,A1403,$M$4))</f>
        <v/>
      </c>
      <c r="D1403" s="6" t="str">
        <f ca="1">IF($A1403="","",[1]!s_dq_close(D$1,$A1403,$M$4))</f>
        <v/>
      </c>
      <c r="E1403" s="6" t="str">
        <f ca="1">IF($A1403="","",[1]!s_dq_close(E$1,$A1403,$M$4))</f>
        <v/>
      </c>
      <c r="F1403" s="6" t="str">
        <f ca="1">IF($A1403="","",[1]!s_dq_close(F$1,$A1403,$M$4))</f>
        <v/>
      </c>
      <c r="G1403" s="6"/>
      <c r="H1403" s="6" t="str">
        <f ca="1">IF($A1403="","",[1]!s_dq_close(H$1,$A1403,$M$4))</f>
        <v/>
      </c>
      <c r="I1403" s="6" t="str">
        <f ca="1">IF($A1403="","",[1]!s_dq_close(I$1,$A1403,$M$4))</f>
        <v/>
      </c>
      <c r="J1403" s="6" t="str">
        <f t="shared" ca="1" si="22"/>
        <v/>
      </c>
    </row>
    <row r="1404" spans="1:10">
      <c r="A1404" s="2" t="str">
        <f ca="1">IF(A1403="","",IF(IF(价差分析!$W$4="日",--[1]!td(A1403-1),IF(价差分析!$W$4="周",--[1]!td(A1403-7),--[1]!td(A1403-30)))-价差分析!$T$4&gt;0,IF(价差分析!$W$4="日",--[1]!td(A1403-1),IF(价差分析!$W$4="周",--[1]!td(A1403-7),--[1]!td(A1403-30))),""))</f>
        <v/>
      </c>
      <c r="B1404" s="1" t="str">
        <f ca="1">IF(A1404="","",[1]!s_dq_close($B$1,A1404,$M$4))</f>
        <v/>
      </c>
      <c r="C1404" s="1" t="str">
        <f ca="1">IF(A1404="","",[1]!s_dq_close($C$1,A1404,$M$4))</f>
        <v/>
      </c>
      <c r="D1404" s="6" t="str">
        <f ca="1">IF($A1404="","",[1]!s_dq_close(D$1,$A1404,$M$4))</f>
        <v/>
      </c>
      <c r="E1404" s="6" t="str">
        <f ca="1">IF($A1404="","",[1]!s_dq_close(E$1,$A1404,$M$4))</f>
        <v/>
      </c>
      <c r="F1404" s="6" t="str">
        <f ca="1">IF($A1404="","",[1]!s_dq_close(F$1,$A1404,$M$4))</f>
        <v/>
      </c>
      <c r="G1404" s="6"/>
      <c r="H1404" s="6" t="str">
        <f ca="1">IF($A1404="","",[1]!s_dq_close(H$1,$A1404,$M$4))</f>
        <v/>
      </c>
      <c r="I1404" s="6" t="str">
        <f ca="1">IF($A1404="","",[1]!s_dq_close(I$1,$A1404,$M$4))</f>
        <v/>
      </c>
      <c r="J1404" s="6" t="str">
        <f t="shared" ca="1" si="22"/>
        <v/>
      </c>
    </row>
    <row r="1405" spans="1:10">
      <c r="A1405" s="2" t="str">
        <f ca="1">IF(A1404="","",IF(IF(价差分析!$W$4="日",--[1]!td(A1404-1),IF(价差分析!$W$4="周",--[1]!td(A1404-7),--[1]!td(A1404-30)))-价差分析!$T$4&gt;0,IF(价差分析!$W$4="日",--[1]!td(A1404-1),IF(价差分析!$W$4="周",--[1]!td(A1404-7),--[1]!td(A1404-30))),""))</f>
        <v/>
      </c>
      <c r="B1405" s="1" t="str">
        <f ca="1">IF(A1405="","",[1]!s_dq_close($B$1,A1405,$M$4))</f>
        <v/>
      </c>
      <c r="C1405" s="1" t="str">
        <f ca="1">IF(A1405="","",[1]!s_dq_close($C$1,A1405,$M$4))</f>
        <v/>
      </c>
      <c r="D1405" s="6" t="str">
        <f ca="1">IF($A1405="","",[1]!s_dq_close(D$1,$A1405,$M$4))</f>
        <v/>
      </c>
      <c r="E1405" s="6" t="str">
        <f ca="1">IF($A1405="","",[1]!s_dq_close(E$1,$A1405,$M$4))</f>
        <v/>
      </c>
      <c r="F1405" s="6" t="str">
        <f ca="1">IF($A1405="","",[1]!s_dq_close(F$1,$A1405,$M$4))</f>
        <v/>
      </c>
      <c r="G1405" s="6"/>
      <c r="H1405" s="6" t="str">
        <f ca="1">IF($A1405="","",[1]!s_dq_close(H$1,$A1405,$M$4))</f>
        <v/>
      </c>
      <c r="I1405" s="6" t="str">
        <f ca="1">IF($A1405="","",[1]!s_dq_close(I$1,$A1405,$M$4))</f>
        <v/>
      </c>
      <c r="J1405" s="6" t="str">
        <f t="shared" ca="1" si="22"/>
        <v/>
      </c>
    </row>
    <row r="1406" spans="1:10">
      <c r="A1406" s="2" t="str">
        <f ca="1">IF(A1405="","",IF(IF(价差分析!$W$4="日",--[1]!td(A1405-1),IF(价差分析!$W$4="周",--[1]!td(A1405-7),--[1]!td(A1405-30)))-价差分析!$T$4&gt;0,IF(价差分析!$W$4="日",--[1]!td(A1405-1),IF(价差分析!$W$4="周",--[1]!td(A1405-7),--[1]!td(A1405-30))),""))</f>
        <v/>
      </c>
      <c r="B1406" s="1" t="str">
        <f ca="1">IF(A1406="","",[1]!s_dq_close($B$1,A1406,$M$4))</f>
        <v/>
      </c>
      <c r="C1406" s="1" t="str">
        <f ca="1">IF(A1406="","",[1]!s_dq_close($C$1,A1406,$M$4))</f>
        <v/>
      </c>
      <c r="D1406" s="6" t="str">
        <f ca="1">IF($A1406="","",[1]!s_dq_close(D$1,$A1406,$M$4))</f>
        <v/>
      </c>
      <c r="E1406" s="6" t="str">
        <f ca="1">IF($A1406="","",[1]!s_dq_close(E$1,$A1406,$M$4))</f>
        <v/>
      </c>
      <c r="F1406" s="6" t="str">
        <f ca="1">IF($A1406="","",[1]!s_dq_close(F$1,$A1406,$M$4))</f>
        <v/>
      </c>
      <c r="G1406" s="6"/>
      <c r="H1406" s="6" t="str">
        <f ca="1">IF($A1406="","",[1]!s_dq_close(H$1,$A1406,$M$4))</f>
        <v/>
      </c>
      <c r="I1406" s="6" t="str">
        <f ca="1">IF($A1406="","",[1]!s_dq_close(I$1,$A1406,$M$4))</f>
        <v/>
      </c>
      <c r="J1406" s="6" t="str">
        <f t="shared" ca="1" si="22"/>
        <v/>
      </c>
    </row>
    <row r="1407" spans="1:10">
      <c r="A1407" s="2" t="str">
        <f ca="1">IF(A1406="","",IF(IF(价差分析!$W$4="日",--[1]!td(A1406-1),IF(价差分析!$W$4="周",--[1]!td(A1406-7),--[1]!td(A1406-30)))-价差分析!$T$4&gt;0,IF(价差分析!$W$4="日",--[1]!td(A1406-1),IF(价差分析!$W$4="周",--[1]!td(A1406-7),--[1]!td(A1406-30))),""))</f>
        <v/>
      </c>
      <c r="B1407" s="1" t="str">
        <f ca="1">IF(A1407="","",[1]!s_dq_close($B$1,A1407,$M$4))</f>
        <v/>
      </c>
      <c r="C1407" s="1" t="str">
        <f ca="1">IF(A1407="","",[1]!s_dq_close($C$1,A1407,$M$4))</f>
        <v/>
      </c>
      <c r="D1407" s="6" t="str">
        <f ca="1">IF($A1407="","",[1]!s_dq_close(D$1,$A1407,$M$4))</f>
        <v/>
      </c>
      <c r="E1407" s="6" t="str">
        <f ca="1">IF($A1407="","",[1]!s_dq_close(E$1,$A1407,$M$4))</f>
        <v/>
      </c>
      <c r="F1407" s="6" t="str">
        <f ca="1">IF($A1407="","",[1]!s_dq_close(F$1,$A1407,$M$4))</f>
        <v/>
      </c>
      <c r="G1407" s="6"/>
      <c r="H1407" s="6" t="str">
        <f ca="1">IF($A1407="","",[1]!s_dq_close(H$1,$A1407,$M$4))</f>
        <v/>
      </c>
      <c r="I1407" s="6" t="str">
        <f ca="1">IF($A1407="","",[1]!s_dq_close(I$1,$A1407,$M$4))</f>
        <v/>
      </c>
      <c r="J1407" s="6" t="str">
        <f t="shared" ca="1" si="22"/>
        <v/>
      </c>
    </row>
    <row r="1408" spans="1:10">
      <c r="A1408" s="2" t="str">
        <f ca="1">IF(A1407="","",IF(IF(价差分析!$W$4="日",--[1]!td(A1407-1),IF(价差分析!$W$4="周",--[1]!td(A1407-7),--[1]!td(A1407-30)))-价差分析!$T$4&gt;0,IF(价差分析!$W$4="日",--[1]!td(A1407-1),IF(价差分析!$W$4="周",--[1]!td(A1407-7),--[1]!td(A1407-30))),""))</f>
        <v/>
      </c>
      <c r="B1408" s="1" t="str">
        <f ca="1">IF(A1408="","",[1]!s_dq_close($B$1,A1408,$M$4))</f>
        <v/>
      </c>
      <c r="C1408" s="1" t="str">
        <f ca="1">IF(A1408="","",[1]!s_dq_close($C$1,A1408,$M$4))</f>
        <v/>
      </c>
      <c r="D1408" s="6" t="str">
        <f ca="1">IF($A1408="","",[1]!s_dq_close(D$1,$A1408,$M$4))</f>
        <v/>
      </c>
      <c r="E1408" s="6" t="str">
        <f ca="1">IF($A1408="","",[1]!s_dq_close(E$1,$A1408,$M$4))</f>
        <v/>
      </c>
      <c r="F1408" s="6" t="str">
        <f ca="1">IF($A1408="","",[1]!s_dq_close(F$1,$A1408,$M$4))</f>
        <v/>
      </c>
      <c r="G1408" s="6"/>
      <c r="H1408" s="6" t="str">
        <f ca="1">IF($A1408="","",[1]!s_dq_close(H$1,$A1408,$M$4))</f>
        <v/>
      </c>
      <c r="I1408" s="6" t="str">
        <f ca="1">IF($A1408="","",[1]!s_dq_close(I$1,$A1408,$M$4))</f>
        <v/>
      </c>
      <c r="J1408" s="6" t="str">
        <f t="shared" ca="1" si="22"/>
        <v/>
      </c>
    </row>
    <row r="1409" spans="1:10">
      <c r="A1409" s="2" t="str">
        <f ca="1">IF(A1408="","",IF(IF(价差分析!$W$4="日",--[1]!td(A1408-1),IF(价差分析!$W$4="周",--[1]!td(A1408-7),--[1]!td(A1408-30)))-价差分析!$T$4&gt;0,IF(价差分析!$W$4="日",--[1]!td(A1408-1),IF(价差分析!$W$4="周",--[1]!td(A1408-7),--[1]!td(A1408-30))),""))</f>
        <v/>
      </c>
      <c r="B1409" s="1" t="str">
        <f ca="1">IF(A1409="","",[1]!s_dq_close($B$1,A1409,$M$4))</f>
        <v/>
      </c>
      <c r="C1409" s="1" t="str">
        <f ca="1">IF(A1409="","",[1]!s_dq_close($C$1,A1409,$M$4))</f>
        <v/>
      </c>
      <c r="D1409" s="6" t="str">
        <f ca="1">IF($A1409="","",[1]!s_dq_close(D$1,$A1409,$M$4))</f>
        <v/>
      </c>
      <c r="E1409" s="6" t="str">
        <f ca="1">IF($A1409="","",[1]!s_dq_close(E$1,$A1409,$M$4))</f>
        <v/>
      </c>
      <c r="F1409" s="6" t="str">
        <f ca="1">IF($A1409="","",[1]!s_dq_close(F$1,$A1409,$M$4))</f>
        <v/>
      </c>
      <c r="G1409" s="6"/>
      <c r="H1409" s="6" t="str">
        <f ca="1">IF($A1409="","",[1]!s_dq_close(H$1,$A1409,$M$4))</f>
        <v/>
      </c>
      <c r="I1409" s="6" t="str">
        <f ca="1">IF($A1409="","",[1]!s_dq_close(I$1,$A1409,$M$4))</f>
        <v/>
      </c>
      <c r="J1409" s="6" t="str">
        <f t="shared" ca="1" si="22"/>
        <v/>
      </c>
    </row>
    <row r="1410" spans="1:10">
      <c r="A1410" s="2" t="str">
        <f ca="1">IF(A1409="","",IF(IF(价差分析!$W$4="日",--[1]!td(A1409-1),IF(价差分析!$W$4="周",--[1]!td(A1409-7),--[1]!td(A1409-30)))-价差分析!$T$4&gt;0,IF(价差分析!$W$4="日",--[1]!td(A1409-1),IF(价差分析!$W$4="周",--[1]!td(A1409-7),--[1]!td(A1409-30))),""))</f>
        <v/>
      </c>
      <c r="B1410" s="1" t="str">
        <f ca="1">IF(A1410="","",[1]!s_dq_close($B$1,A1410,$M$4))</f>
        <v/>
      </c>
      <c r="C1410" s="1" t="str">
        <f ca="1">IF(A1410="","",[1]!s_dq_close($C$1,A1410,$M$4))</f>
        <v/>
      </c>
      <c r="D1410" s="6" t="str">
        <f ca="1">IF($A1410="","",[1]!s_dq_close(D$1,$A1410,$M$4))</f>
        <v/>
      </c>
      <c r="E1410" s="6" t="str">
        <f ca="1">IF($A1410="","",[1]!s_dq_close(E$1,$A1410,$M$4))</f>
        <v/>
      </c>
      <c r="F1410" s="6" t="str">
        <f ca="1">IF($A1410="","",[1]!s_dq_close(F$1,$A1410,$M$4))</f>
        <v/>
      </c>
      <c r="G1410" s="6"/>
      <c r="H1410" s="6" t="str">
        <f ca="1">IF($A1410="","",[1]!s_dq_close(H$1,$A1410,$M$4))</f>
        <v/>
      </c>
      <c r="I1410" s="6" t="str">
        <f ca="1">IF($A1410="","",[1]!s_dq_close(I$1,$A1410,$M$4))</f>
        <v/>
      </c>
      <c r="J1410" s="6" t="str">
        <f t="shared" ca="1" si="22"/>
        <v/>
      </c>
    </row>
    <row r="1411" spans="1:10">
      <c r="A1411" s="2" t="str">
        <f ca="1">IF(A1410="","",IF(IF(价差分析!$W$4="日",--[1]!td(A1410-1),IF(价差分析!$W$4="周",--[1]!td(A1410-7),--[1]!td(A1410-30)))-价差分析!$T$4&gt;0,IF(价差分析!$W$4="日",--[1]!td(A1410-1),IF(价差分析!$W$4="周",--[1]!td(A1410-7),--[1]!td(A1410-30))),""))</f>
        <v/>
      </c>
      <c r="B1411" s="1" t="str">
        <f ca="1">IF(A1411="","",[1]!s_dq_close($B$1,A1411,$M$4))</f>
        <v/>
      </c>
      <c r="C1411" s="1" t="str">
        <f ca="1">IF(A1411="","",[1]!s_dq_close($C$1,A1411,$M$4))</f>
        <v/>
      </c>
      <c r="D1411" s="6" t="str">
        <f ca="1">IF($A1411="","",[1]!s_dq_close(D$1,$A1411,$M$4))</f>
        <v/>
      </c>
      <c r="E1411" s="6" t="str">
        <f ca="1">IF($A1411="","",[1]!s_dq_close(E$1,$A1411,$M$4))</f>
        <v/>
      </c>
      <c r="F1411" s="6" t="str">
        <f ca="1">IF($A1411="","",[1]!s_dq_close(F$1,$A1411,$M$4))</f>
        <v/>
      </c>
      <c r="G1411" s="6"/>
      <c r="H1411" s="6" t="str">
        <f ca="1">IF($A1411="","",[1]!s_dq_close(H$1,$A1411,$M$4))</f>
        <v/>
      </c>
      <c r="I1411" s="6" t="str">
        <f ca="1">IF($A1411="","",[1]!s_dq_close(I$1,$A1411,$M$4))</f>
        <v/>
      </c>
      <c r="J1411" s="6" t="str">
        <f t="shared" ca="1" si="22"/>
        <v/>
      </c>
    </row>
    <row r="1412" spans="1:10">
      <c r="A1412" s="2" t="str">
        <f ca="1">IF(A1411="","",IF(IF(价差分析!$W$4="日",--[1]!td(A1411-1),IF(价差分析!$W$4="周",--[1]!td(A1411-7),--[1]!td(A1411-30)))-价差分析!$T$4&gt;0,IF(价差分析!$W$4="日",--[1]!td(A1411-1),IF(价差分析!$W$4="周",--[1]!td(A1411-7),--[1]!td(A1411-30))),""))</f>
        <v/>
      </c>
      <c r="B1412" s="1" t="str">
        <f ca="1">IF(A1412="","",[1]!s_dq_close($B$1,A1412,$M$4))</f>
        <v/>
      </c>
      <c r="C1412" s="1" t="str">
        <f ca="1">IF(A1412="","",[1]!s_dq_close($C$1,A1412,$M$4))</f>
        <v/>
      </c>
      <c r="D1412" s="6" t="str">
        <f ca="1">IF($A1412="","",[1]!s_dq_close(D$1,$A1412,$M$4))</f>
        <v/>
      </c>
      <c r="E1412" s="6" t="str">
        <f ca="1">IF($A1412="","",[1]!s_dq_close(E$1,$A1412,$M$4))</f>
        <v/>
      </c>
      <c r="F1412" s="6" t="str">
        <f ca="1">IF($A1412="","",[1]!s_dq_close(F$1,$A1412,$M$4))</f>
        <v/>
      </c>
      <c r="G1412" s="6"/>
      <c r="H1412" s="6" t="str">
        <f ca="1">IF($A1412="","",[1]!s_dq_close(H$1,$A1412,$M$4))</f>
        <v/>
      </c>
      <c r="I1412" s="6" t="str">
        <f ca="1">IF($A1412="","",[1]!s_dq_close(I$1,$A1412,$M$4))</f>
        <v/>
      </c>
      <c r="J1412" s="6" t="str">
        <f t="shared" ca="1" si="22"/>
        <v/>
      </c>
    </row>
    <row r="1413" spans="1:10">
      <c r="A1413" s="2" t="str">
        <f ca="1">IF(A1412="","",IF(IF(价差分析!$W$4="日",--[1]!td(A1412-1),IF(价差分析!$W$4="周",--[1]!td(A1412-7),--[1]!td(A1412-30)))-价差分析!$T$4&gt;0,IF(价差分析!$W$4="日",--[1]!td(A1412-1),IF(价差分析!$W$4="周",--[1]!td(A1412-7),--[1]!td(A1412-30))),""))</f>
        <v/>
      </c>
      <c r="B1413" s="1" t="str">
        <f ca="1">IF(A1413="","",[1]!s_dq_close($B$1,A1413,$M$4))</f>
        <v/>
      </c>
      <c r="C1413" s="1" t="str">
        <f ca="1">IF(A1413="","",[1]!s_dq_close($C$1,A1413,$M$4))</f>
        <v/>
      </c>
      <c r="D1413" s="6" t="str">
        <f ca="1">IF($A1413="","",[1]!s_dq_close(D$1,$A1413,$M$4))</f>
        <v/>
      </c>
      <c r="E1413" s="6" t="str">
        <f ca="1">IF($A1413="","",[1]!s_dq_close(E$1,$A1413,$M$4))</f>
        <v/>
      </c>
      <c r="F1413" s="6" t="str">
        <f ca="1">IF($A1413="","",[1]!s_dq_close(F$1,$A1413,$M$4))</f>
        <v/>
      </c>
      <c r="G1413" s="6"/>
      <c r="H1413" s="6" t="str">
        <f ca="1">IF($A1413="","",[1]!s_dq_close(H$1,$A1413,$M$4))</f>
        <v/>
      </c>
      <c r="I1413" s="6" t="str">
        <f ca="1">IF($A1413="","",[1]!s_dq_close(I$1,$A1413,$M$4))</f>
        <v/>
      </c>
      <c r="J1413" s="6" t="str">
        <f t="shared" ref="J1413:J1476" ca="1" si="23">IF(H1413="","",H1413-I1413)</f>
        <v/>
      </c>
    </row>
    <row r="1414" spans="1:10">
      <c r="A1414" s="2" t="str">
        <f ca="1">IF(A1413="","",IF(IF(价差分析!$W$4="日",--[1]!td(A1413-1),IF(价差分析!$W$4="周",--[1]!td(A1413-7),--[1]!td(A1413-30)))-价差分析!$T$4&gt;0,IF(价差分析!$W$4="日",--[1]!td(A1413-1),IF(价差分析!$W$4="周",--[1]!td(A1413-7),--[1]!td(A1413-30))),""))</f>
        <v/>
      </c>
      <c r="B1414" s="1" t="str">
        <f ca="1">IF(A1414="","",[1]!s_dq_close($B$1,A1414,$M$4))</f>
        <v/>
      </c>
      <c r="C1414" s="1" t="str">
        <f ca="1">IF(A1414="","",[1]!s_dq_close($C$1,A1414,$M$4))</f>
        <v/>
      </c>
      <c r="D1414" s="6" t="str">
        <f ca="1">IF($A1414="","",[1]!s_dq_close(D$1,$A1414,$M$4))</f>
        <v/>
      </c>
      <c r="E1414" s="6" t="str">
        <f ca="1">IF($A1414="","",[1]!s_dq_close(E$1,$A1414,$M$4))</f>
        <v/>
      </c>
      <c r="F1414" s="6" t="str">
        <f ca="1">IF($A1414="","",[1]!s_dq_close(F$1,$A1414,$M$4))</f>
        <v/>
      </c>
      <c r="G1414" s="6"/>
      <c r="H1414" s="6" t="str">
        <f ca="1">IF($A1414="","",[1]!s_dq_close(H$1,$A1414,$M$4))</f>
        <v/>
      </c>
      <c r="I1414" s="6" t="str">
        <f ca="1">IF($A1414="","",[1]!s_dq_close(I$1,$A1414,$M$4))</f>
        <v/>
      </c>
      <c r="J1414" s="6" t="str">
        <f t="shared" ca="1" si="23"/>
        <v/>
      </c>
    </row>
    <row r="1415" spans="1:10">
      <c r="A1415" s="2" t="str">
        <f ca="1">IF(A1414="","",IF(IF(价差分析!$W$4="日",--[1]!td(A1414-1),IF(价差分析!$W$4="周",--[1]!td(A1414-7),--[1]!td(A1414-30)))-价差分析!$T$4&gt;0,IF(价差分析!$W$4="日",--[1]!td(A1414-1),IF(价差分析!$W$4="周",--[1]!td(A1414-7),--[1]!td(A1414-30))),""))</f>
        <v/>
      </c>
      <c r="B1415" s="1" t="str">
        <f ca="1">IF(A1415="","",[1]!s_dq_close($B$1,A1415,$M$4))</f>
        <v/>
      </c>
      <c r="C1415" s="1" t="str">
        <f ca="1">IF(A1415="","",[1]!s_dq_close($C$1,A1415,$M$4))</f>
        <v/>
      </c>
      <c r="D1415" s="6" t="str">
        <f ca="1">IF($A1415="","",[1]!s_dq_close(D$1,$A1415,$M$4))</f>
        <v/>
      </c>
      <c r="E1415" s="6" t="str">
        <f ca="1">IF($A1415="","",[1]!s_dq_close(E$1,$A1415,$M$4))</f>
        <v/>
      </c>
      <c r="F1415" s="6" t="str">
        <f ca="1">IF($A1415="","",[1]!s_dq_close(F$1,$A1415,$M$4))</f>
        <v/>
      </c>
      <c r="G1415" s="6"/>
      <c r="H1415" s="6" t="str">
        <f ca="1">IF($A1415="","",[1]!s_dq_close(H$1,$A1415,$M$4))</f>
        <v/>
      </c>
      <c r="I1415" s="6" t="str">
        <f ca="1">IF($A1415="","",[1]!s_dq_close(I$1,$A1415,$M$4))</f>
        <v/>
      </c>
      <c r="J1415" s="6" t="str">
        <f t="shared" ca="1" si="23"/>
        <v/>
      </c>
    </row>
    <row r="1416" spans="1:10">
      <c r="A1416" s="2" t="str">
        <f ca="1">IF(A1415="","",IF(IF(价差分析!$W$4="日",--[1]!td(A1415-1),IF(价差分析!$W$4="周",--[1]!td(A1415-7),--[1]!td(A1415-30)))-价差分析!$T$4&gt;0,IF(价差分析!$W$4="日",--[1]!td(A1415-1),IF(价差分析!$W$4="周",--[1]!td(A1415-7),--[1]!td(A1415-30))),""))</f>
        <v/>
      </c>
      <c r="B1416" s="1" t="str">
        <f ca="1">IF(A1416="","",[1]!s_dq_close($B$1,A1416,$M$4))</f>
        <v/>
      </c>
      <c r="C1416" s="1" t="str">
        <f ca="1">IF(A1416="","",[1]!s_dq_close($C$1,A1416,$M$4))</f>
        <v/>
      </c>
      <c r="D1416" s="6" t="str">
        <f ca="1">IF($A1416="","",[1]!s_dq_close(D$1,$A1416,$M$4))</f>
        <v/>
      </c>
      <c r="E1416" s="6" t="str">
        <f ca="1">IF($A1416="","",[1]!s_dq_close(E$1,$A1416,$M$4))</f>
        <v/>
      </c>
      <c r="F1416" s="6" t="str">
        <f ca="1">IF($A1416="","",[1]!s_dq_close(F$1,$A1416,$M$4))</f>
        <v/>
      </c>
      <c r="G1416" s="6"/>
      <c r="H1416" s="6" t="str">
        <f ca="1">IF($A1416="","",[1]!s_dq_close(H$1,$A1416,$M$4))</f>
        <v/>
      </c>
      <c r="I1416" s="6" t="str">
        <f ca="1">IF($A1416="","",[1]!s_dq_close(I$1,$A1416,$M$4))</f>
        <v/>
      </c>
      <c r="J1416" s="6" t="str">
        <f t="shared" ca="1" si="23"/>
        <v/>
      </c>
    </row>
    <row r="1417" spans="1:10">
      <c r="A1417" s="2" t="str">
        <f ca="1">IF(A1416="","",IF(IF(价差分析!$W$4="日",--[1]!td(A1416-1),IF(价差分析!$W$4="周",--[1]!td(A1416-7),--[1]!td(A1416-30)))-价差分析!$T$4&gt;0,IF(价差分析!$W$4="日",--[1]!td(A1416-1),IF(价差分析!$W$4="周",--[1]!td(A1416-7),--[1]!td(A1416-30))),""))</f>
        <v/>
      </c>
      <c r="B1417" s="1" t="str">
        <f ca="1">IF(A1417="","",[1]!s_dq_close($B$1,A1417,$M$4))</f>
        <v/>
      </c>
      <c r="C1417" s="1" t="str">
        <f ca="1">IF(A1417="","",[1]!s_dq_close($C$1,A1417,$M$4))</f>
        <v/>
      </c>
      <c r="D1417" s="6" t="str">
        <f ca="1">IF($A1417="","",[1]!s_dq_close(D$1,$A1417,$M$4))</f>
        <v/>
      </c>
      <c r="E1417" s="6" t="str">
        <f ca="1">IF($A1417="","",[1]!s_dq_close(E$1,$A1417,$M$4))</f>
        <v/>
      </c>
      <c r="F1417" s="6" t="str">
        <f ca="1">IF($A1417="","",[1]!s_dq_close(F$1,$A1417,$M$4))</f>
        <v/>
      </c>
      <c r="G1417" s="6"/>
      <c r="H1417" s="6" t="str">
        <f ca="1">IF($A1417="","",[1]!s_dq_close(H$1,$A1417,$M$4))</f>
        <v/>
      </c>
      <c r="I1417" s="6" t="str">
        <f ca="1">IF($A1417="","",[1]!s_dq_close(I$1,$A1417,$M$4))</f>
        <v/>
      </c>
      <c r="J1417" s="6" t="str">
        <f t="shared" ca="1" si="23"/>
        <v/>
      </c>
    </row>
    <row r="1418" spans="1:10">
      <c r="A1418" s="2" t="str">
        <f ca="1">IF(A1417="","",IF(IF(价差分析!$W$4="日",--[1]!td(A1417-1),IF(价差分析!$W$4="周",--[1]!td(A1417-7),--[1]!td(A1417-30)))-价差分析!$T$4&gt;0,IF(价差分析!$W$4="日",--[1]!td(A1417-1),IF(价差分析!$W$4="周",--[1]!td(A1417-7),--[1]!td(A1417-30))),""))</f>
        <v/>
      </c>
      <c r="B1418" s="1" t="str">
        <f ca="1">IF(A1418="","",[1]!s_dq_close($B$1,A1418,$M$4))</f>
        <v/>
      </c>
      <c r="C1418" s="1" t="str">
        <f ca="1">IF(A1418="","",[1]!s_dq_close($C$1,A1418,$M$4))</f>
        <v/>
      </c>
      <c r="D1418" s="6" t="str">
        <f ca="1">IF($A1418="","",[1]!s_dq_close(D$1,$A1418,$M$4))</f>
        <v/>
      </c>
      <c r="E1418" s="6" t="str">
        <f ca="1">IF($A1418="","",[1]!s_dq_close(E$1,$A1418,$M$4))</f>
        <v/>
      </c>
      <c r="F1418" s="6" t="str">
        <f ca="1">IF($A1418="","",[1]!s_dq_close(F$1,$A1418,$M$4))</f>
        <v/>
      </c>
      <c r="G1418" s="6"/>
      <c r="H1418" s="6" t="str">
        <f ca="1">IF($A1418="","",[1]!s_dq_close(H$1,$A1418,$M$4))</f>
        <v/>
      </c>
      <c r="I1418" s="6" t="str">
        <f ca="1">IF($A1418="","",[1]!s_dq_close(I$1,$A1418,$M$4))</f>
        <v/>
      </c>
      <c r="J1418" s="6" t="str">
        <f t="shared" ca="1" si="23"/>
        <v/>
      </c>
    </row>
    <row r="1419" spans="1:10">
      <c r="A1419" s="2" t="str">
        <f ca="1">IF(A1418="","",IF(IF(价差分析!$W$4="日",--[1]!td(A1418-1),IF(价差分析!$W$4="周",--[1]!td(A1418-7),--[1]!td(A1418-30)))-价差分析!$T$4&gt;0,IF(价差分析!$W$4="日",--[1]!td(A1418-1),IF(价差分析!$W$4="周",--[1]!td(A1418-7),--[1]!td(A1418-30))),""))</f>
        <v/>
      </c>
      <c r="B1419" s="1" t="str">
        <f ca="1">IF(A1419="","",[1]!s_dq_close($B$1,A1419,$M$4))</f>
        <v/>
      </c>
      <c r="C1419" s="1" t="str">
        <f ca="1">IF(A1419="","",[1]!s_dq_close($C$1,A1419,$M$4))</f>
        <v/>
      </c>
      <c r="D1419" s="6" t="str">
        <f ca="1">IF($A1419="","",[1]!s_dq_close(D$1,$A1419,$M$4))</f>
        <v/>
      </c>
      <c r="E1419" s="6" t="str">
        <f ca="1">IF($A1419="","",[1]!s_dq_close(E$1,$A1419,$M$4))</f>
        <v/>
      </c>
      <c r="F1419" s="6" t="str">
        <f ca="1">IF($A1419="","",[1]!s_dq_close(F$1,$A1419,$M$4))</f>
        <v/>
      </c>
      <c r="G1419" s="6"/>
      <c r="H1419" s="6" t="str">
        <f ca="1">IF($A1419="","",[1]!s_dq_close(H$1,$A1419,$M$4))</f>
        <v/>
      </c>
      <c r="I1419" s="6" t="str">
        <f ca="1">IF($A1419="","",[1]!s_dq_close(I$1,$A1419,$M$4))</f>
        <v/>
      </c>
      <c r="J1419" s="6" t="str">
        <f t="shared" ca="1" si="23"/>
        <v/>
      </c>
    </row>
    <row r="1420" spans="1:10">
      <c r="A1420" s="2" t="str">
        <f ca="1">IF(A1419="","",IF(IF(价差分析!$W$4="日",--[1]!td(A1419-1),IF(价差分析!$W$4="周",--[1]!td(A1419-7),--[1]!td(A1419-30)))-价差分析!$T$4&gt;0,IF(价差分析!$W$4="日",--[1]!td(A1419-1),IF(价差分析!$W$4="周",--[1]!td(A1419-7),--[1]!td(A1419-30))),""))</f>
        <v/>
      </c>
      <c r="B1420" s="1" t="str">
        <f ca="1">IF(A1420="","",[1]!s_dq_close($B$1,A1420,$M$4))</f>
        <v/>
      </c>
      <c r="C1420" s="1" t="str">
        <f ca="1">IF(A1420="","",[1]!s_dq_close($C$1,A1420,$M$4))</f>
        <v/>
      </c>
      <c r="D1420" s="6" t="str">
        <f ca="1">IF($A1420="","",[1]!s_dq_close(D$1,$A1420,$M$4))</f>
        <v/>
      </c>
      <c r="E1420" s="6" t="str">
        <f ca="1">IF($A1420="","",[1]!s_dq_close(E$1,$A1420,$M$4))</f>
        <v/>
      </c>
      <c r="F1420" s="6" t="str">
        <f ca="1">IF($A1420="","",[1]!s_dq_close(F$1,$A1420,$M$4))</f>
        <v/>
      </c>
      <c r="G1420" s="6"/>
      <c r="H1420" s="6" t="str">
        <f ca="1">IF($A1420="","",[1]!s_dq_close(H$1,$A1420,$M$4))</f>
        <v/>
      </c>
      <c r="I1420" s="6" t="str">
        <f ca="1">IF($A1420="","",[1]!s_dq_close(I$1,$A1420,$M$4))</f>
        <v/>
      </c>
      <c r="J1420" s="6" t="str">
        <f t="shared" ca="1" si="23"/>
        <v/>
      </c>
    </row>
    <row r="1421" spans="1:10">
      <c r="A1421" s="2" t="str">
        <f ca="1">IF(A1420="","",IF(IF(价差分析!$W$4="日",--[1]!td(A1420-1),IF(价差分析!$W$4="周",--[1]!td(A1420-7),--[1]!td(A1420-30)))-价差分析!$T$4&gt;0,IF(价差分析!$W$4="日",--[1]!td(A1420-1),IF(价差分析!$W$4="周",--[1]!td(A1420-7),--[1]!td(A1420-30))),""))</f>
        <v/>
      </c>
      <c r="B1421" s="1" t="str">
        <f ca="1">IF(A1421="","",[1]!s_dq_close($B$1,A1421,$M$4))</f>
        <v/>
      </c>
      <c r="C1421" s="1" t="str">
        <f ca="1">IF(A1421="","",[1]!s_dq_close($C$1,A1421,$M$4))</f>
        <v/>
      </c>
      <c r="D1421" s="6" t="str">
        <f ca="1">IF($A1421="","",[1]!s_dq_close(D$1,$A1421,$M$4))</f>
        <v/>
      </c>
      <c r="E1421" s="6" t="str">
        <f ca="1">IF($A1421="","",[1]!s_dq_close(E$1,$A1421,$M$4))</f>
        <v/>
      </c>
      <c r="F1421" s="6" t="str">
        <f ca="1">IF($A1421="","",[1]!s_dq_close(F$1,$A1421,$M$4))</f>
        <v/>
      </c>
      <c r="G1421" s="6"/>
      <c r="H1421" s="6" t="str">
        <f ca="1">IF($A1421="","",[1]!s_dq_close(H$1,$A1421,$M$4))</f>
        <v/>
      </c>
      <c r="I1421" s="6" t="str">
        <f ca="1">IF($A1421="","",[1]!s_dq_close(I$1,$A1421,$M$4))</f>
        <v/>
      </c>
      <c r="J1421" s="6" t="str">
        <f t="shared" ca="1" si="23"/>
        <v/>
      </c>
    </row>
    <row r="1422" spans="1:10">
      <c r="A1422" s="2" t="str">
        <f ca="1">IF(A1421="","",IF(IF(价差分析!$W$4="日",--[1]!td(A1421-1),IF(价差分析!$W$4="周",--[1]!td(A1421-7),--[1]!td(A1421-30)))-价差分析!$T$4&gt;0,IF(价差分析!$W$4="日",--[1]!td(A1421-1),IF(价差分析!$W$4="周",--[1]!td(A1421-7),--[1]!td(A1421-30))),""))</f>
        <v/>
      </c>
      <c r="B1422" s="1" t="str">
        <f ca="1">IF(A1422="","",[1]!s_dq_close($B$1,A1422,$M$4))</f>
        <v/>
      </c>
      <c r="C1422" s="1" t="str">
        <f ca="1">IF(A1422="","",[1]!s_dq_close($C$1,A1422,$M$4))</f>
        <v/>
      </c>
      <c r="D1422" s="6" t="str">
        <f ca="1">IF($A1422="","",[1]!s_dq_close(D$1,$A1422,$M$4))</f>
        <v/>
      </c>
      <c r="E1422" s="6" t="str">
        <f ca="1">IF($A1422="","",[1]!s_dq_close(E$1,$A1422,$M$4))</f>
        <v/>
      </c>
      <c r="F1422" s="6" t="str">
        <f ca="1">IF($A1422="","",[1]!s_dq_close(F$1,$A1422,$M$4))</f>
        <v/>
      </c>
      <c r="G1422" s="6"/>
      <c r="H1422" s="6" t="str">
        <f ca="1">IF($A1422="","",[1]!s_dq_close(H$1,$A1422,$M$4))</f>
        <v/>
      </c>
      <c r="I1422" s="6" t="str">
        <f ca="1">IF($A1422="","",[1]!s_dq_close(I$1,$A1422,$M$4))</f>
        <v/>
      </c>
      <c r="J1422" s="6" t="str">
        <f t="shared" ca="1" si="23"/>
        <v/>
      </c>
    </row>
    <row r="1423" spans="1:10">
      <c r="A1423" s="2" t="str">
        <f ca="1">IF(A1422="","",IF(IF(价差分析!$W$4="日",--[1]!td(A1422-1),IF(价差分析!$W$4="周",--[1]!td(A1422-7),--[1]!td(A1422-30)))-价差分析!$T$4&gt;0,IF(价差分析!$W$4="日",--[1]!td(A1422-1),IF(价差分析!$W$4="周",--[1]!td(A1422-7),--[1]!td(A1422-30))),""))</f>
        <v/>
      </c>
      <c r="B1423" s="1" t="str">
        <f ca="1">IF(A1423="","",[1]!s_dq_close($B$1,A1423,$M$4))</f>
        <v/>
      </c>
      <c r="C1423" s="1" t="str">
        <f ca="1">IF(A1423="","",[1]!s_dq_close($C$1,A1423,$M$4))</f>
        <v/>
      </c>
      <c r="D1423" s="6" t="str">
        <f ca="1">IF($A1423="","",[1]!s_dq_close(D$1,$A1423,$M$4))</f>
        <v/>
      </c>
      <c r="E1423" s="6" t="str">
        <f ca="1">IF($A1423="","",[1]!s_dq_close(E$1,$A1423,$M$4))</f>
        <v/>
      </c>
      <c r="F1423" s="6" t="str">
        <f ca="1">IF($A1423="","",[1]!s_dq_close(F$1,$A1423,$M$4))</f>
        <v/>
      </c>
      <c r="G1423" s="6"/>
      <c r="H1423" s="6" t="str">
        <f ca="1">IF($A1423="","",[1]!s_dq_close(H$1,$A1423,$M$4))</f>
        <v/>
      </c>
      <c r="I1423" s="6" t="str">
        <f ca="1">IF($A1423="","",[1]!s_dq_close(I$1,$A1423,$M$4))</f>
        <v/>
      </c>
      <c r="J1423" s="6" t="str">
        <f t="shared" ca="1" si="23"/>
        <v/>
      </c>
    </row>
    <row r="1424" spans="1:10">
      <c r="A1424" s="2" t="str">
        <f ca="1">IF(A1423="","",IF(IF(价差分析!$W$4="日",--[1]!td(A1423-1),IF(价差分析!$W$4="周",--[1]!td(A1423-7),--[1]!td(A1423-30)))-价差分析!$T$4&gt;0,IF(价差分析!$W$4="日",--[1]!td(A1423-1),IF(价差分析!$W$4="周",--[1]!td(A1423-7),--[1]!td(A1423-30))),""))</f>
        <v/>
      </c>
      <c r="B1424" s="1" t="str">
        <f ca="1">IF(A1424="","",[1]!s_dq_close($B$1,A1424,$M$4))</f>
        <v/>
      </c>
      <c r="C1424" s="1" t="str">
        <f ca="1">IF(A1424="","",[1]!s_dq_close($C$1,A1424,$M$4))</f>
        <v/>
      </c>
      <c r="D1424" s="6" t="str">
        <f ca="1">IF($A1424="","",[1]!s_dq_close(D$1,$A1424,$M$4))</f>
        <v/>
      </c>
      <c r="E1424" s="6" t="str">
        <f ca="1">IF($A1424="","",[1]!s_dq_close(E$1,$A1424,$M$4))</f>
        <v/>
      </c>
      <c r="F1424" s="6" t="str">
        <f ca="1">IF($A1424="","",[1]!s_dq_close(F$1,$A1424,$M$4))</f>
        <v/>
      </c>
      <c r="G1424" s="6"/>
      <c r="H1424" s="6" t="str">
        <f ca="1">IF($A1424="","",[1]!s_dq_close(H$1,$A1424,$M$4))</f>
        <v/>
      </c>
      <c r="I1424" s="6" t="str">
        <f ca="1">IF($A1424="","",[1]!s_dq_close(I$1,$A1424,$M$4))</f>
        <v/>
      </c>
      <c r="J1424" s="6" t="str">
        <f t="shared" ca="1" si="23"/>
        <v/>
      </c>
    </row>
    <row r="1425" spans="1:10">
      <c r="A1425" s="2" t="str">
        <f ca="1">IF(A1424="","",IF(IF(价差分析!$W$4="日",--[1]!td(A1424-1),IF(价差分析!$W$4="周",--[1]!td(A1424-7),--[1]!td(A1424-30)))-价差分析!$T$4&gt;0,IF(价差分析!$W$4="日",--[1]!td(A1424-1),IF(价差分析!$W$4="周",--[1]!td(A1424-7),--[1]!td(A1424-30))),""))</f>
        <v/>
      </c>
      <c r="B1425" s="1" t="str">
        <f ca="1">IF(A1425="","",[1]!s_dq_close($B$1,A1425,$M$4))</f>
        <v/>
      </c>
      <c r="C1425" s="1" t="str">
        <f ca="1">IF(A1425="","",[1]!s_dq_close($C$1,A1425,$M$4))</f>
        <v/>
      </c>
      <c r="D1425" s="6" t="str">
        <f ca="1">IF($A1425="","",[1]!s_dq_close(D$1,$A1425,$M$4))</f>
        <v/>
      </c>
      <c r="E1425" s="6" t="str">
        <f ca="1">IF($A1425="","",[1]!s_dq_close(E$1,$A1425,$M$4))</f>
        <v/>
      </c>
      <c r="F1425" s="6" t="str">
        <f ca="1">IF($A1425="","",[1]!s_dq_close(F$1,$A1425,$M$4))</f>
        <v/>
      </c>
      <c r="G1425" s="6"/>
      <c r="H1425" s="6" t="str">
        <f ca="1">IF($A1425="","",[1]!s_dq_close(H$1,$A1425,$M$4))</f>
        <v/>
      </c>
      <c r="I1425" s="6" t="str">
        <f ca="1">IF($A1425="","",[1]!s_dq_close(I$1,$A1425,$M$4))</f>
        <v/>
      </c>
      <c r="J1425" s="6" t="str">
        <f t="shared" ca="1" si="23"/>
        <v/>
      </c>
    </row>
    <row r="1426" spans="1:10">
      <c r="A1426" s="2" t="str">
        <f ca="1">IF(A1425="","",IF(IF(价差分析!$W$4="日",--[1]!td(A1425-1),IF(价差分析!$W$4="周",--[1]!td(A1425-7),--[1]!td(A1425-30)))-价差分析!$T$4&gt;0,IF(价差分析!$W$4="日",--[1]!td(A1425-1),IF(价差分析!$W$4="周",--[1]!td(A1425-7),--[1]!td(A1425-30))),""))</f>
        <v/>
      </c>
      <c r="B1426" s="1" t="str">
        <f ca="1">IF(A1426="","",[1]!s_dq_close($B$1,A1426,$M$4))</f>
        <v/>
      </c>
      <c r="C1426" s="1" t="str">
        <f ca="1">IF(A1426="","",[1]!s_dq_close($C$1,A1426,$M$4))</f>
        <v/>
      </c>
      <c r="D1426" s="6" t="str">
        <f ca="1">IF($A1426="","",[1]!s_dq_close(D$1,$A1426,$M$4))</f>
        <v/>
      </c>
      <c r="E1426" s="6" t="str">
        <f ca="1">IF($A1426="","",[1]!s_dq_close(E$1,$A1426,$M$4))</f>
        <v/>
      </c>
      <c r="F1426" s="6" t="str">
        <f ca="1">IF($A1426="","",[1]!s_dq_close(F$1,$A1426,$M$4))</f>
        <v/>
      </c>
      <c r="G1426" s="6"/>
      <c r="H1426" s="6" t="str">
        <f ca="1">IF($A1426="","",[1]!s_dq_close(H$1,$A1426,$M$4))</f>
        <v/>
      </c>
      <c r="I1426" s="6" t="str">
        <f ca="1">IF($A1426="","",[1]!s_dq_close(I$1,$A1426,$M$4))</f>
        <v/>
      </c>
      <c r="J1426" s="6" t="str">
        <f t="shared" ca="1" si="23"/>
        <v/>
      </c>
    </row>
    <row r="1427" spans="1:10">
      <c r="A1427" s="2" t="str">
        <f ca="1">IF(A1426="","",IF(IF(价差分析!$W$4="日",--[1]!td(A1426-1),IF(价差分析!$W$4="周",--[1]!td(A1426-7),--[1]!td(A1426-30)))-价差分析!$T$4&gt;0,IF(价差分析!$W$4="日",--[1]!td(A1426-1),IF(价差分析!$W$4="周",--[1]!td(A1426-7),--[1]!td(A1426-30))),""))</f>
        <v/>
      </c>
      <c r="B1427" s="1" t="str">
        <f ca="1">IF(A1427="","",[1]!s_dq_close($B$1,A1427,$M$4))</f>
        <v/>
      </c>
      <c r="C1427" s="1" t="str">
        <f ca="1">IF(A1427="","",[1]!s_dq_close($C$1,A1427,$M$4))</f>
        <v/>
      </c>
      <c r="D1427" s="6" t="str">
        <f ca="1">IF($A1427="","",[1]!s_dq_close(D$1,$A1427,$M$4))</f>
        <v/>
      </c>
      <c r="E1427" s="6" t="str">
        <f ca="1">IF($A1427="","",[1]!s_dq_close(E$1,$A1427,$M$4))</f>
        <v/>
      </c>
      <c r="F1427" s="6" t="str">
        <f ca="1">IF($A1427="","",[1]!s_dq_close(F$1,$A1427,$M$4))</f>
        <v/>
      </c>
      <c r="G1427" s="6"/>
      <c r="H1427" s="6" t="str">
        <f ca="1">IF($A1427="","",[1]!s_dq_close(H$1,$A1427,$M$4))</f>
        <v/>
      </c>
      <c r="I1427" s="6" t="str">
        <f ca="1">IF($A1427="","",[1]!s_dq_close(I$1,$A1427,$M$4))</f>
        <v/>
      </c>
      <c r="J1427" s="6" t="str">
        <f t="shared" ca="1" si="23"/>
        <v/>
      </c>
    </row>
    <row r="1428" spans="1:10">
      <c r="A1428" s="2" t="str">
        <f ca="1">IF(A1427="","",IF(IF(价差分析!$W$4="日",--[1]!td(A1427-1),IF(价差分析!$W$4="周",--[1]!td(A1427-7),--[1]!td(A1427-30)))-价差分析!$T$4&gt;0,IF(价差分析!$W$4="日",--[1]!td(A1427-1),IF(价差分析!$W$4="周",--[1]!td(A1427-7),--[1]!td(A1427-30))),""))</f>
        <v/>
      </c>
      <c r="B1428" s="1" t="str">
        <f ca="1">IF(A1428="","",[1]!s_dq_close($B$1,A1428,$M$4))</f>
        <v/>
      </c>
      <c r="C1428" s="1" t="str">
        <f ca="1">IF(A1428="","",[1]!s_dq_close($C$1,A1428,$M$4))</f>
        <v/>
      </c>
      <c r="D1428" s="6" t="str">
        <f ca="1">IF($A1428="","",[1]!s_dq_close(D$1,$A1428,$M$4))</f>
        <v/>
      </c>
      <c r="E1428" s="6" t="str">
        <f ca="1">IF($A1428="","",[1]!s_dq_close(E$1,$A1428,$M$4))</f>
        <v/>
      </c>
      <c r="F1428" s="6" t="str">
        <f ca="1">IF($A1428="","",[1]!s_dq_close(F$1,$A1428,$M$4))</f>
        <v/>
      </c>
      <c r="G1428" s="6"/>
      <c r="H1428" s="6" t="str">
        <f ca="1">IF($A1428="","",[1]!s_dq_close(H$1,$A1428,$M$4))</f>
        <v/>
      </c>
      <c r="I1428" s="6" t="str">
        <f ca="1">IF($A1428="","",[1]!s_dq_close(I$1,$A1428,$M$4))</f>
        <v/>
      </c>
      <c r="J1428" s="6" t="str">
        <f t="shared" ca="1" si="23"/>
        <v/>
      </c>
    </row>
    <row r="1429" spans="1:10">
      <c r="A1429" s="2" t="str">
        <f ca="1">IF(A1428="","",IF(IF(价差分析!$W$4="日",--[1]!td(A1428-1),IF(价差分析!$W$4="周",--[1]!td(A1428-7),--[1]!td(A1428-30)))-价差分析!$T$4&gt;0,IF(价差分析!$W$4="日",--[1]!td(A1428-1),IF(价差分析!$W$4="周",--[1]!td(A1428-7),--[1]!td(A1428-30))),""))</f>
        <v/>
      </c>
      <c r="B1429" s="1" t="str">
        <f ca="1">IF(A1429="","",[1]!s_dq_close($B$1,A1429,$M$4))</f>
        <v/>
      </c>
      <c r="C1429" s="1" t="str">
        <f ca="1">IF(A1429="","",[1]!s_dq_close($C$1,A1429,$M$4))</f>
        <v/>
      </c>
      <c r="D1429" s="6" t="str">
        <f ca="1">IF($A1429="","",[1]!s_dq_close(D$1,$A1429,$M$4))</f>
        <v/>
      </c>
      <c r="E1429" s="6" t="str">
        <f ca="1">IF($A1429="","",[1]!s_dq_close(E$1,$A1429,$M$4))</f>
        <v/>
      </c>
      <c r="F1429" s="6" t="str">
        <f ca="1">IF($A1429="","",[1]!s_dq_close(F$1,$A1429,$M$4))</f>
        <v/>
      </c>
      <c r="G1429" s="6"/>
      <c r="H1429" s="6" t="str">
        <f ca="1">IF($A1429="","",[1]!s_dq_close(H$1,$A1429,$M$4))</f>
        <v/>
      </c>
      <c r="I1429" s="6" t="str">
        <f ca="1">IF($A1429="","",[1]!s_dq_close(I$1,$A1429,$M$4))</f>
        <v/>
      </c>
      <c r="J1429" s="6" t="str">
        <f t="shared" ca="1" si="23"/>
        <v/>
      </c>
    </row>
    <row r="1430" spans="1:10">
      <c r="A1430" s="2" t="str">
        <f ca="1">IF(A1429="","",IF(IF(价差分析!$W$4="日",--[1]!td(A1429-1),IF(价差分析!$W$4="周",--[1]!td(A1429-7),--[1]!td(A1429-30)))-价差分析!$T$4&gt;0,IF(价差分析!$W$4="日",--[1]!td(A1429-1),IF(价差分析!$W$4="周",--[1]!td(A1429-7),--[1]!td(A1429-30))),""))</f>
        <v/>
      </c>
      <c r="B1430" s="1" t="str">
        <f ca="1">IF(A1430="","",[1]!s_dq_close($B$1,A1430,$M$4))</f>
        <v/>
      </c>
      <c r="C1430" s="1" t="str">
        <f ca="1">IF(A1430="","",[1]!s_dq_close($C$1,A1430,$M$4))</f>
        <v/>
      </c>
      <c r="D1430" s="6" t="str">
        <f ca="1">IF($A1430="","",[1]!s_dq_close(D$1,$A1430,$M$4))</f>
        <v/>
      </c>
      <c r="E1430" s="6" t="str">
        <f ca="1">IF($A1430="","",[1]!s_dq_close(E$1,$A1430,$M$4))</f>
        <v/>
      </c>
      <c r="F1430" s="6" t="str">
        <f ca="1">IF($A1430="","",[1]!s_dq_close(F$1,$A1430,$M$4))</f>
        <v/>
      </c>
      <c r="G1430" s="6"/>
      <c r="H1430" s="6" t="str">
        <f ca="1">IF($A1430="","",[1]!s_dq_close(H$1,$A1430,$M$4))</f>
        <v/>
      </c>
      <c r="I1430" s="6" t="str">
        <f ca="1">IF($A1430="","",[1]!s_dq_close(I$1,$A1430,$M$4))</f>
        <v/>
      </c>
      <c r="J1430" s="6" t="str">
        <f t="shared" ca="1" si="23"/>
        <v/>
      </c>
    </row>
    <row r="1431" spans="1:10">
      <c r="A1431" s="2" t="str">
        <f ca="1">IF(A1430="","",IF(IF(价差分析!$W$4="日",--[1]!td(A1430-1),IF(价差分析!$W$4="周",--[1]!td(A1430-7),--[1]!td(A1430-30)))-价差分析!$T$4&gt;0,IF(价差分析!$W$4="日",--[1]!td(A1430-1),IF(价差分析!$W$4="周",--[1]!td(A1430-7),--[1]!td(A1430-30))),""))</f>
        <v/>
      </c>
      <c r="B1431" s="1" t="str">
        <f ca="1">IF(A1431="","",[1]!s_dq_close($B$1,A1431,$M$4))</f>
        <v/>
      </c>
      <c r="C1431" s="1" t="str">
        <f ca="1">IF(A1431="","",[1]!s_dq_close($C$1,A1431,$M$4))</f>
        <v/>
      </c>
      <c r="D1431" s="6" t="str">
        <f ca="1">IF($A1431="","",[1]!s_dq_close(D$1,$A1431,$M$4))</f>
        <v/>
      </c>
      <c r="E1431" s="6" t="str">
        <f ca="1">IF($A1431="","",[1]!s_dq_close(E$1,$A1431,$M$4))</f>
        <v/>
      </c>
      <c r="F1431" s="6" t="str">
        <f ca="1">IF($A1431="","",[1]!s_dq_close(F$1,$A1431,$M$4))</f>
        <v/>
      </c>
      <c r="G1431" s="6"/>
      <c r="H1431" s="6" t="str">
        <f ca="1">IF($A1431="","",[1]!s_dq_close(H$1,$A1431,$M$4))</f>
        <v/>
      </c>
      <c r="I1431" s="6" t="str">
        <f ca="1">IF($A1431="","",[1]!s_dq_close(I$1,$A1431,$M$4))</f>
        <v/>
      </c>
      <c r="J1431" s="6" t="str">
        <f t="shared" ca="1" si="23"/>
        <v/>
      </c>
    </row>
    <row r="1432" spans="1:10">
      <c r="A1432" s="2" t="str">
        <f ca="1">IF(A1431="","",IF(IF(价差分析!$W$4="日",--[1]!td(A1431-1),IF(价差分析!$W$4="周",--[1]!td(A1431-7),--[1]!td(A1431-30)))-价差分析!$T$4&gt;0,IF(价差分析!$W$4="日",--[1]!td(A1431-1),IF(价差分析!$W$4="周",--[1]!td(A1431-7),--[1]!td(A1431-30))),""))</f>
        <v/>
      </c>
      <c r="B1432" s="1" t="str">
        <f ca="1">IF(A1432="","",[1]!s_dq_close($B$1,A1432,$M$4))</f>
        <v/>
      </c>
      <c r="C1432" s="1" t="str">
        <f ca="1">IF(A1432="","",[1]!s_dq_close($C$1,A1432,$M$4))</f>
        <v/>
      </c>
      <c r="D1432" s="6" t="str">
        <f ca="1">IF($A1432="","",[1]!s_dq_close(D$1,$A1432,$M$4))</f>
        <v/>
      </c>
      <c r="E1432" s="6" t="str">
        <f ca="1">IF($A1432="","",[1]!s_dq_close(E$1,$A1432,$M$4))</f>
        <v/>
      </c>
      <c r="F1432" s="6" t="str">
        <f ca="1">IF($A1432="","",[1]!s_dq_close(F$1,$A1432,$M$4))</f>
        <v/>
      </c>
      <c r="G1432" s="6"/>
      <c r="H1432" s="6" t="str">
        <f ca="1">IF($A1432="","",[1]!s_dq_close(H$1,$A1432,$M$4))</f>
        <v/>
      </c>
      <c r="I1432" s="6" t="str">
        <f ca="1">IF($A1432="","",[1]!s_dq_close(I$1,$A1432,$M$4))</f>
        <v/>
      </c>
      <c r="J1432" s="6" t="str">
        <f t="shared" ca="1" si="23"/>
        <v/>
      </c>
    </row>
    <row r="1433" spans="1:10">
      <c r="A1433" s="2" t="str">
        <f ca="1">IF(A1432="","",IF(IF(价差分析!$W$4="日",--[1]!td(A1432-1),IF(价差分析!$W$4="周",--[1]!td(A1432-7),--[1]!td(A1432-30)))-价差分析!$T$4&gt;0,IF(价差分析!$W$4="日",--[1]!td(A1432-1),IF(价差分析!$W$4="周",--[1]!td(A1432-7),--[1]!td(A1432-30))),""))</f>
        <v/>
      </c>
      <c r="B1433" s="1" t="str">
        <f ca="1">IF(A1433="","",[1]!s_dq_close($B$1,A1433,$M$4))</f>
        <v/>
      </c>
      <c r="C1433" s="1" t="str">
        <f ca="1">IF(A1433="","",[1]!s_dq_close($C$1,A1433,$M$4))</f>
        <v/>
      </c>
      <c r="D1433" s="6" t="str">
        <f ca="1">IF($A1433="","",[1]!s_dq_close(D$1,$A1433,$M$4))</f>
        <v/>
      </c>
      <c r="E1433" s="6" t="str">
        <f ca="1">IF($A1433="","",[1]!s_dq_close(E$1,$A1433,$M$4))</f>
        <v/>
      </c>
      <c r="F1433" s="6" t="str">
        <f ca="1">IF($A1433="","",[1]!s_dq_close(F$1,$A1433,$M$4))</f>
        <v/>
      </c>
      <c r="G1433" s="6"/>
      <c r="H1433" s="6" t="str">
        <f ca="1">IF($A1433="","",[1]!s_dq_close(H$1,$A1433,$M$4))</f>
        <v/>
      </c>
      <c r="I1433" s="6" t="str">
        <f ca="1">IF($A1433="","",[1]!s_dq_close(I$1,$A1433,$M$4))</f>
        <v/>
      </c>
      <c r="J1433" s="6" t="str">
        <f t="shared" ca="1" si="23"/>
        <v/>
      </c>
    </row>
    <row r="1434" spans="1:10">
      <c r="A1434" s="2" t="str">
        <f ca="1">IF(A1433="","",IF(IF(价差分析!$W$4="日",--[1]!td(A1433-1),IF(价差分析!$W$4="周",--[1]!td(A1433-7),--[1]!td(A1433-30)))-价差分析!$T$4&gt;0,IF(价差分析!$W$4="日",--[1]!td(A1433-1),IF(价差分析!$W$4="周",--[1]!td(A1433-7),--[1]!td(A1433-30))),""))</f>
        <v/>
      </c>
      <c r="B1434" s="1" t="str">
        <f ca="1">IF(A1434="","",[1]!s_dq_close($B$1,A1434,$M$4))</f>
        <v/>
      </c>
      <c r="C1434" s="1" t="str">
        <f ca="1">IF(A1434="","",[1]!s_dq_close($C$1,A1434,$M$4))</f>
        <v/>
      </c>
      <c r="D1434" s="6" t="str">
        <f ca="1">IF($A1434="","",[1]!s_dq_close(D$1,$A1434,$M$4))</f>
        <v/>
      </c>
      <c r="E1434" s="6" t="str">
        <f ca="1">IF($A1434="","",[1]!s_dq_close(E$1,$A1434,$M$4))</f>
        <v/>
      </c>
      <c r="F1434" s="6" t="str">
        <f ca="1">IF($A1434="","",[1]!s_dq_close(F$1,$A1434,$M$4))</f>
        <v/>
      </c>
      <c r="G1434" s="6"/>
      <c r="H1434" s="6" t="str">
        <f ca="1">IF($A1434="","",[1]!s_dq_close(H$1,$A1434,$M$4))</f>
        <v/>
      </c>
      <c r="I1434" s="6" t="str">
        <f ca="1">IF($A1434="","",[1]!s_dq_close(I$1,$A1434,$M$4))</f>
        <v/>
      </c>
      <c r="J1434" s="6" t="str">
        <f t="shared" ca="1" si="23"/>
        <v/>
      </c>
    </row>
    <row r="1435" spans="1:10">
      <c r="A1435" s="2" t="str">
        <f ca="1">IF(A1434="","",IF(IF(价差分析!$W$4="日",--[1]!td(A1434-1),IF(价差分析!$W$4="周",--[1]!td(A1434-7),--[1]!td(A1434-30)))-价差分析!$T$4&gt;0,IF(价差分析!$W$4="日",--[1]!td(A1434-1),IF(价差分析!$W$4="周",--[1]!td(A1434-7),--[1]!td(A1434-30))),""))</f>
        <v/>
      </c>
      <c r="B1435" s="1" t="str">
        <f ca="1">IF(A1435="","",[1]!s_dq_close($B$1,A1435,$M$4))</f>
        <v/>
      </c>
      <c r="C1435" s="1" t="str">
        <f ca="1">IF(A1435="","",[1]!s_dq_close($C$1,A1435,$M$4))</f>
        <v/>
      </c>
      <c r="D1435" s="6" t="str">
        <f ca="1">IF($A1435="","",[1]!s_dq_close(D$1,$A1435,$M$4))</f>
        <v/>
      </c>
      <c r="E1435" s="6" t="str">
        <f ca="1">IF($A1435="","",[1]!s_dq_close(E$1,$A1435,$M$4))</f>
        <v/>
      </c>
      <c r="F1435" s="6" t="str">
        <f ca="1">IF($A1435="","",[1]!s_dq_close(F$1,$A1435,$M$4))</f>
        <v/>
      </c>
      <c r="G1435" s="6"/>
      <c r="H1435" s="6" t="str">
        <f ca="1">IF($A1435="","",[1]!s_dq_close(H$1,$A1435,$M$4))</f>
        <v/>
      </c>
      <c r="I1435" s="6" t="str">
        <f ca="1">IF($A1435="","",[1]!s_dq_close(I$1,$A1435,$M$4))</f>
        <v/>
      </c>
      <c r="J1435" s="6" t="str">
        <f t="shared" ca="1" si="23"/>
        <v/>
      </c>
    </row>
    <row r="1436" spans="1:10">
      <c r="A1436" s="2" t="str">
        <f ca="1">IF(A1435="","",IF(IF(价差分析!$W$4="日",--[1]!td(A1435-1),IF(价差分析!$W$4="周",--[1]!td(A1435-7),--[1]!td(A1435-30)))-价差分析!$T$4&gt;0,IF(价差分析!$W$4="日",--[1]!td(A1435-1),IF(价差分析!$W$4="周",--[1]!td(A1435-7),--[1]!td(A1435-30))),""))</f>
        <v/>
      </c>
      <c r="B1436" s="1" t="str">
        <f ca="1">IF(A1436="","",[1]!s_dq_close($B$1,A1436,$M$4))</f>
        <v/>
      </c>
      <c r="C1436" s="1" t="str">
        <f ca="1">IF(A1436="","",[1]!s_dq_close($C$1,A1436,$M$4))</f>
        <v/>
      </c>
      <c r="D1436" s="6" t="str">
        <f ca="1">IF($A1436="","",[1]!s_dq_close(D$1,$A1436,$M$4))</f>
        <v/>
      </c>
      <c r="E1436" s="6" t="str">
        <f ca="1">IF($A1436="","",[1]!s_dq_close(E$1,$A1436,$M$4))</f>
        <v/>
      </c>
      <c r="F1436" s="6" t="str">
        <f ca="1">IF($A1436="","",[1]!s_dq_close(F$1,$A1436,$M$4))</f>
        <v/>
      </c>
      <c r="G1436" s="6"/>
      <c r="H1436" s="6" t="str">
        <f ca="1">IF($A1436="","",[1]!s_dq_close(H$1,$A1436,$M$4))</f>
        <v/>
      </c>
      <c r="I1436" s="6" t="str">
        <f ca="1">IF($A1436="","",[1]!s_dq_close(I$1,$A1436,$M$4))</f>
        <v/>
      </c>
      <c r="J1436" s="6" t="str">
        <f t="shared" ca="1" si="23"/>
        <v/>
      </c>
    </row>
    <row r="1437" spans="1:10">
      <c r="A1437" s="2" t="str">
        <f ca="1">IF(A1436="","",IF(IF(价差分析!$W$4="日",--[1]!td(A1436-1),IF(价差分析!$W$4="周",--[1]!td(A1436-7),--[1]!td(A1436-30)))-价差分析!$T$4&gt;0,IF(价差分析!$W$4="日",--[1]!td(A1436-1),IF(价差分析!$W$4="周",--[1]!td(A1436-7),--[1]!td(A1436-30))),""))</f>
        <v/>
      </c>
      <c r="B1437" s="1" t="str">
        <f ca="1">IF(A1437="","",[1]!s_dq_close($B$1,A1437,$M$4))</f>
        <v/>
      </c>
      <c r="C1437" s="1" t="str">
        <f ca="1">IF(A1437="","",[1]!s_dq_close($C$1,A1437,$M$4))</f>
        <v/>
      </c>
      <c r="D1437" s="6" t="str">
        <f ca="1">IF($A1437="","",[1]!s_dq_close(D$1,$A1437,$M$4))</f>
        <v/>
      </c>
      <c r="E1437" s="6" t="str">
        <f ca="1">IF($A1437="","",[1]!s_dq_close(E$1,$A1437,$M$4))</f>
        <v/>
      </c>
      <c r="F1437" s="6" t="str">
        <f ca="1">IF($A1437="","",[1]!s_dq_close(F$1,$A1437,$M$4))</f>
        <v/>
      </c>
      <c r="G1437" s="6"/>
      <c r="H1437" s="6" t="str">
        <f ca="1">IF($A1437="","",[1]!s_dq_close(H$1,$A1437,$M$4))</f>
        <v/>
      </c>
      <c r="I1437" s="6" t="str">
        <f ca="1">IF($A1437="","",[1]!s_dq_close(I$1,$A1437,$M$4))</f>
        <v/>
      </c>
      <c r="J1437" s="6" t="str">
        <f t="shared" ca="1" si="23"/>
        <v/>
      </c>
    </row>
    <row r="1438" spans="1:10">
      <c r="A1438" s="2" t="str">
        <f ca="1">IF(A1437="","",IF(IF(价差分析!$W$4="日",--[1]!td(A1437-1),IF(价差分析!$W$4="周",--[1]!td(A1437-7),--[1]!td(A1437-30)))-价差分析!$T$4&gt;0,IF(价差分析!$W$4="日",--[1]!td(A1437-1),IF(价差分析!$W$4="周",--[1]!td(A1437-7),--[1]!td(A1437-30))),""))</f>
        <v/>
      </c>
      <c r="B1438" s="1" t="str">
        <f ca="1">IF(A1438="","",[1]!s_dq_close($B$1,A1438,$M$4))</f>
        <v/>
      </c>
      <c r="C1438" s="1" t="str">
        <f ca="1">IF(A1438="","",[1]!s_dq_close($C$1,A1438,$M$4))</f>
        <v/>
      </c>
      <c r="D1438" s="6" t="str">
        <f ca="1">IF($A1438="","",[1]!s_dq_close(D$1,$A1438,$M$4))</f>
        <v/>
      </c>
      <c r="E1438" s="6" t="str">
        <f ca="1">IF($A1438="","",[1]!s_dq_close(E$1,$A1438,$M$4))</f>
        <v/>
      </c>
      <c r="F1438" s="6" t="str">
        <f ca="1">IF($A1438="","",[1]!s_dq_close(F$1,$A1438,$M$4))</f>
        <v/>
      </c>
      <c r="G1438" s="6"/>
      <c r="H1438" s="6" t="str">
        <f ca="1">IF($A1438="","",[1]!s_dq_close(H$1,$A1438,$M$4))</f>
        <v/>
      </c>
      <c r="I1438" s="6" t="str">
        <f ca="1">IF($A1438="","",[1]!s_dq_close(I$1,$A1438,$M$4))</f>
        <v/>
      </c>
      <c r="J1438" s="6" t="str">
        <f t="shared" ca="1" si="23"/>
        <v/>
      </c>
    </row>
    <row r="1439" spans="1:10">
      <c r="A1439" s="2" t="str">
        <f ca="1">IF(A1438="","",IF(IF(价差分析!$W$4="日",--[1]!td(A1438-1),IF(价差分析!$W$4="周",--[1]!td(A1438-7),--[1]!td(A1438-30)))-价差分析!$T$4&gt;0,IF(价差分析!$W$4="日",--[1]!td(A1438-1),IF(价差分析!$W$4="周",--[1]!td(A1438-7),--[1]!td(A1438-30))),""))</f>
        <v/>
      </c>
      <c r="B1439" s="1" t="str">
        <f ca="1">IF(A1439="","",[1]!s_dq_close($B$1,A1439,$M$4))</f>
        <v/>
      </c>
      <c r="C1439" s="1" t="str">
        <f ca="1">IF(A1439="","",[1]!s_dq_close($C$1,A1439,$M$4))</f>
        <v/>
      </c>
      <c r="D1439" s="6" t="str">
        <f ca="1">IF($A1439="","",[1]!s_dq_close(D$1,$A1439,$M$4))</f>
        <v/>
      </c>
      <c r="E1439" s="6" t="str">
        <f ca="1">IF($A1439="","",[1]!s_dq_close(E$1,$A1439,$M$4))</f>
        <v/>
      </c>
      <c r="F1439" s="6" t="str">
        <f ca="1">IF($A1439="","",[1]!s_dq_close(F$1,$A1439,$M$4))</f>
        <v/>
      </c>
      <c r="G1439" s="6"/>
      <c r="H1439" s="6" t="str">
        <f ca="1">IF($A1439="","",[1]!s_dq_close(H$1,$A1439,$M$4))</f>
        <v/>
      </c>
      <c r="I1439" s="6" t="str">
        <f ca="1">IF($A1439="","",[1]!s_dq_close(I$1,$A1439,$M$4))</f>
        <v/>
      </c>
      <c r="J1439" s="6" t="str">
        <f t="shared" ca="1" si="23"/>
        <v/>
      </c>
    </row>
    <row r="1440" spans="1:10">
      <c r="A1440" s="2" t="str">
        <f ca="1">IF(A1439="","",IF(IF(价差分析!$W$4="日",--[1]!td(A1439-1),IF(价差分析!$W$4="周",--[1]!td(A1439-7),--[1]!td(A1439-30)))-价差分析!$T$4&gt;0,IF(价差分析!$W$4="日",--[1]!td(A1439-1),IF(价差分析!$W$4="周",--[1]!td(A1439-7),--[1]!td(A1439-30))),""))</f>
        <v/>
      </c>
      <c r="B1440" s="1" t="str">
        <f ca="1">IF(A1440="","",[1]!s_dq_close($B$1,A1440,$M$4))</f>
        <v/>
      </c>
      <c r="C1440" s="1" t="str">
        <f ca="1">IF(A1440="","",[1]!s_dq_close($C$1,A1440,$M$4))</f>
        <v/>
      </c>
      <c r="D1440" s="6" t="str">
        <f ca="1">IF($A1440="","",[1]!s_dq_close(D$1,$A1440,$M$4))</f>
        <v/>
      </c>
      <c r="E1440" s="6" t="str">
        <f ca="1">IF($A1440="","",[1]!s_dq_close(E$1,$A1440,$M$4))</f>
        <v/>
      </c>
      <c r="F1440" s="6" t="str">
        <f ca="1">IF($A1440="","",[1]!s_dq_close(F$1,$A1440,$M$4))</f>
        <v/>
      </c>
      <c r="G1440" s="6"/>
      <c r="H1440" s="6" t="str">
        <f ca="1">IF($A1440="","",[1]!s_dq_close(H$1,$A1440,$M$4))</f>
        <v/>
      </c>
      <c r="I1440" s="6" t="str">
        <f ca="1">IF($A1440="","",[1]!s_dq_close(I$1,$A1440,$M$4))</f>
        <v/>
      </c>
      <c r="J1440" s="6" t="str">
        <f t="shared" ca="1" si="23"/>
        <v/>
      </c>
    </row>
    <row r="1441" spans="1:10">
      <c r="A1441" s="2" t="str">
        <f ca="1">IF(A1440="","",IF(IF(价差分析!$W$4="日",--[1]!td(A1440-1),IF(价差分析!$W$4="周",--[1]!td(A1440-7),--[1]!td(A1440-30)))-价差分析!$T$4&gt;0,IF(价差分析!$W$4="日",--[1]!td(A1440-1),IF(价差分析!$W$4="周",--[1]!td(A1440-7),--[1]!td(A1440-30))),""))</f>
        <v/>
      </c>
      <c r="B1441" s="1" t="str">
        <f ca="1">IF(A1441="","",[1]!s_dq_close($B$1,A1441,$M$4))</f>
        <v/>
      </c>
      <c r="C1441" s="1" t="str">
        <f ca="1">IF(A1441="","",[1]!s_dq_close($C$1,A1441,$M$4))</f>
        <v/>
      </c>
      <c r="D1441" s="6" t="str">
        <f ca="1">IF($A1441="","",[1]!s_dq_close(D$1,$A1441,$M$4))</f>
        <v/>
      </c>
      <c r="E1441" s="6" t="str">
        <f ca="1">IF($A1441="","",[1]!s_dq_close(E$1,$A1441,$M$4))</f>
        <v/>
      </c>
      <c r="F1441" s="6" t="str">
        <f ca="1">IF($A1441="","",[1]!s_dq_close(F$1,$A1441,$M$4))</f>
        <v/>
      </c>
      <c r="G1441" s="6"/>
      <c r="H1441" s="6" t="str">
        <f ca="1">IF($A1441="","",[1]!s_dq_close(H$1,$A1441,$M$4))</f>
        <v/>
      </c>
      <c r="I1441" s="6" t="str">
        <f ca="1">IF($A1441="","",[1]!s_dq_close(I$1,$A1441,$M$4))</f>
        <v/>
      </c>
      <c r="J1441" s="6" t="str">
        <f t="shared" ca="1" si="23"/>
        <v/>
      </c>
    </row>
    <row r="1442" spans="1:10">
      <c r="A1442" s="2" t="str">
        <f ca="1">IF(A1441="","",IF(IF(价差分析!$W$4="日",--[1]!td(A1441-1),IF(价差分析!$W$4="周",--[1]!td(A1441-7),--[1]!td(A1441-30)))-价差分析!$T$4&gt;0,IF(价差分析!$W$4="日",--[1]!td(A1441-1),IF(价差分析!$W$4="周",--[1]!td(A1441-7),--[1]!td(A1441-30))),""))</f>
        <v/>
      </c>
      <c r="B1442" s="1" t="str">
        <f ca="1">IF(A1442="","",[1]!s_dq_close($B$1,A1442,$M$4))</f>
        <v/>
      </c>
      <c r="C1442" s="1" t="str">
        <f ca="1">IF(A1442="","",[1]!s_dq_close($C$1,A1442,$M$4))</f>
        <v/>
      </c>
      <c r="D1442" s="6" t="str">
        <f ca="1">IF($A1442="","",[1]!s_dq_close(D$1,$A1442,$M$4))</f>
        <v/>
      </c>
      <c r="E1442" s="6" t="str">
        <f ca="1">IF($A1442="","",[1]!s_dq_close(E$1,$A1442,$M$4))</f>
        <v/>
      </c>
      <c r="F1442" s="6" t="str">
        <f ca="1">IF($A1442="","",[1]!s_dq_close(F$1,$A1442,$M$4))</f>
        <v/>
      </c>
      <c r="G1442" s="6"/>
      <c r="H1442" s="6" t="str">
        <f ca="1">IF($A1442="","",[1]!s_dq_close(H$1,$A1442,$M$4))</f>
        <v/>
      </c>
      <c r="I1442" s="6" t="str">
        <f ca="1">IF($A1442="","",[1]!s_dq_close(I$1,$A1442,$M$4))</f>
        <v/>
      </c>
      <c r="J1442" s="6" t="str">
        <f t="shared" ca="1" si="23"/>
        <v/>
      </c>
    </row>
    <row r="1443" spans="1:10">
      <c r="A1443" s="2" t="str">
        <f ca="1">IF(A1442="","",IF(IF(价差分析!$W$4="日",--[1]!td(A1442-1),IF(价差分析!$W$4="周",--[1]!td(A1442-7),--[1]!td(A1442-30)))-价差分析!$T$4&gt;0,IF(价差分析!$W$4="日",--[1]!td(A1442-1),IF(价差分析!$W$4="周",--[1]!td(A1442-7),--[1]!td(A1442-30))),""))</f>
        <v/>
      </c>
      <c r="B1443" s="1" t="str">
        <f ca="1">IF(A1443="","",[1]!s_dq_close($B$1,A1443,$M$4))</f>
        <v/>
      </c>
      <c r="C1443" s="1" t="str">
        <f ca="1">IF(A1443="","",[1]!s_dq_close($C$1,A1443,$M$4))</f>
        <v/>
      </c>
      <c r="D1443" s="6" t="str">
        <f ca="1">IF($A1443="","",[1]!s_dq_close(D$1,$A1443,$M$4))</f>
        <v/>
      </c>
      <c r="E1443" s="6" t="str">
        <f ca="1">IF($A1443="","",[1]!s_dq_close(E$1,$A1443,$M$4))</f>
        <v/>
      </c>
      <c r="F1443" s="6" t="str">
        <f ca="1">IF($A1443="","",[1]!s_dq_close(F$1,$A1443,$M$4))</f>
        <v/>
      </c>
      <c r="G1443" s="6"/>
      <c r="H1443" s="6" t="str">
        <f ca="1">IF($A1443="","",[1]!s_dq_close(H$1,$A1443,$M$4))</f>
        <v/>
      </c>
      <c r="I1443" s="6" t="str">
        <f ca="1">IF($A1443="","",[1]!s_dq_close(I$1,$A1443,$M$4))</f>
        <v/>
      </c>
      <c r="J1443" s="6" t="str">
        <f t="shared" ca="1" si="23"/>
        <v/>
      </c>
    </row>
    <row r="1444" spans="1:10">
      <c r="A1444" s="2" t="str">
        <f ca="1">IF(A1443="","",IF(IF(价差分析!$W$4="日",--[1]!td(A1443-1),IF(价差分析!$W$4="周",--[1]!td(A1443-7),--[1]!td(A1443-30)))-价差分析!$T$4&gt;0,IF(价差分析!$W$4="日",--[1]!td(A1443-1),IF(价差分析!$W$4="周",--[1]!td(A1443-7),--[1]!td(A1443-30))),""))</f>
        <v/>
      </c>
      <c r="B1444" s="1" t="str">
        <f ca="1">IF(A1444="","",[1]!s_dq_close($B$1,A1444,$M$4))</f>
        <v/>
      </c>
      <c r="C1444" s="1" t="str">
        <f ca="1">IF(A1444="","",[1]!s_dq_close($C$1,A1444,$M$4))</f>
        <v/>
      </c>
      <c r="D1444" s="6" t="str">
        <f ca="1">IF($A1444="","",[1]!s_dq_close(D$1,$A1444,$M$4))</f>
        <v/>
      </c>
      <c r="E1444" s="6" t="str">
        <f ca="1">IF($A1444="","",[1]!s_dq_close(E$1,$A1444,$M$4))</f>
        <v/>
      </c>
      <c r="F1444" s="6" t="str">
        <f ca="1">IF($A1444="","",[1]!s_dq_close(F$1,$A1444,$M$4))</f>
        <v/>
      </c>
      <c r="G1444" s="6"/>
      <c r="H1444" s="6" t="str">
        <f ca="1">IF($A1444="","",[1]!s_dq_close(H$1,$A1444,$M$4))</f>
        <v/>
      </c>
      <c r="I1444" s="6" t="str">
        <f ca="1">IF($A1444="","",[1]!s_dq_close(I$1,$A1444,$M$4))</f>
        <v/>
      </c>
      <c r="J1444" s="6" t="str">
        <f t="shared" ca="1" si="23"/>
        <v/>
      </c>
    </row>
    <row r="1445" spans="1:10">
      <c r="A1445" s="2" t="str">
        <f ca="1">IF(A1444="","",IF(IF(价差分析!$W$4="日",--[1]!td(A1444-1),IF(价差分析!$W$4="周",--[1]!td(A1444-7),--[1]!td(A1444-30)))-价差分析!$T$4&gt;0,IF(价差分析!$W$4="日",--[1]!td(A1444-1),IF(价差分析!$W$4="周",--[1]!td(A1444-7),--[1]!td(A1444-30))),""))</f>
        <v/>
      </c>
      <c r="B1445" s="1" t="str">
        <f ca="1">IF(A1445="","",[1]!s_dq_close($B$1,A1445,$M$4))</f>
        <v/>
      </c>
      <c r="C1445" s="1" t="str">
        <f ca="1">IF(A1445="","",[1]!s_dq_close($C$1,A1445,$M$4))</f>
        <v/>
      </c>
      <c r="D1445" s="6" t="str">
        <f ca="1">IF($A1445="","",[1]!s_dq_close(D$1,$A1445,$M$4))</f>
        <v/>
      </c>
      <c r="E1445" s="6" t="str">
        <f ca="1">IF($A1445="","",[1]!s_dq_close(E$1,$A1445,$M$4))</f>
        <v/>
      </c>
      <c r="F1445" s="6" t="str">
        <f ca="1">IF($A1445="","",[1]!s_dq_close(F$1,$A1445,$M$4))</f>
        <v/>
      </c>
      <c r="G1445" s="6"/>
      <c r="H1445" s="6" t="str">
        <f ca="1">IF($A1445="","",[1]!s_dq_close(H$1,$A1445,$M$4))</f>
        <v/>
      </c>
      <c r="I1445" s="6" t="str">
        <f ca="1">IF($A1445="","",[1]!s_dq_close(I$1,$A1445,$M$4))</f>
        <v/>
      </c>
      <c r="J1445" s="6" t="str">
        <f t="shared" ca="1" si="23"/>
        <v/>
      </c>
    </row>
    <row r="1446" spans="1:10">
      <c r="A1446" s="2" t="str">
        <f ca="1">IF(A1445="","",IF(IF(价差分析!$W$4="日",--[1]!td(A1445-1),IF(价差分析!$W$4="周",--[1]!td(A1445-7),--[1]!td(A1445-30)))-价差分析!$T$4&gt;0,IF(价差分析!$W$4="日",--[1]!td(A1445-1),IF(价差分析!$W$4="周",--[1]!td(A1445-7),--[1]!td(A1445-30))),""))</f>
        <v/>
      </c>
      <c r="B1446" s="1" t="str">
        <f ca="1">IF(A1446="","",[1]!s_dq_close($B$1,A1446,$M$4))</f>
        <v/>
      </c>
      <c r="C1446" s="1" t="str">
        <f ca="1">IF(A1446="","",[1]!s_dq_close($C$1,A1446,$M$4))</f>
        <v/>
      </c>
      <c r="D1446" s="6" t="str">
        <f ca="1">IF($A1446="","",[1]!s_dq_close(D$1,$A1446,$M$4))</f>
        <v/>
      </c>
      <c r="E1446" s="6" t="str">
        <f ca="1">IF($A1446="","",[1]!s_dq_close(E$1,$A1446,$M$4))</f>
        <v/>
      </c>
      <c r="F1446" s="6" t="str">
        <f ca="1">IF($A1446="","",[1]!s_dq_close(F$1,$A1446,$M$4))</f>
        <v/>
      </c>
      <c r="G1446" s="6"/>
      <c r="H1446" s="6" t="str">
        <f ca="1">IF($A1446="","",[1]!s_dq_close(H$1,$A1446,$M$4))</f>
        <v/>
      </c>
      <c r="I1446" s="6" t="str">
        <f ca="1">IF($A1446="","",[1]!s_dq_close(I$1,$A1446,$M$4))</f>
        <v/>
      </c>
      <c r="J1446" s="6" t="str">
        <f t="shared" ca="1" si="23"/>
        <v/>
      </c>
    </row>
    <row r="1447" spans="1:10">
      <c r="A1447" s="2" t="str">
        <f ca="1">IF(A1446="","",IF(IF(价差分析!$W$4="日",--[1]!td(A1446-1),IF(价差分析!$W$4="周",--[1]!td(A1446-7),--[1]!td(A1446-30)))-价差分析!$T$4&gt;0,IF(价差分析!$W$4="日",--[1]!td(A1446-1),IF(价差分析!$W$4="周",--[1]!td(A1446-7),--[1]!td(A1446-30))),""))</f>
        <v/>
      </c>
      <c r="B1447" s="1" t="str">
        <f ca="1">IF(A1447="","",[1]!s_dq_close($B$1,A1447,$M$4))</f>
        <v/>
      </c>
      <c r="C1447" s="1" t="str">
        <f ca="1">IF(A1447="","",[1]!s_dq_close($C$1,A1447,$M$4))</f>
        <v/>
      </c>
      <c r="D1447" s="6" t="str">
        <f ca="1">IF($A1447="","",[1]!s_dq_close(D$1,$A1447,$M$4))</f>
        <v/>
      </c>
      <c r="E1447" s="6" t="str">
        <f ca="1">IF($A1447="","",[1]!s_dq_close(E$1,$A1447,$M$4))</f>
        <v/>
      </c>
      <c r="F1447" s="6" t="str">
        <f ca="1">IF($A1447="","",[1]!s_dq_close(F$1,$A1447,$M$4))</f>
        <v/>
      </c>
      <c r="G1447" s="6"/>
      <c r="H1447" s="6" t="str">
        <f ca="1">IF($A1447="","",[1]!s_dq_close(H$1,$A1447,$M$4))</f>
        <v/>
      </c>
      <c r="I1447" s="6" t="str">
        <f ca="1">IF($A1447="","",[1]!s_dq_close(I$1,$A1447,$M$4))</f>
        <v/>
      </c>
      <c r="J1447" s="6" t="str">
        <f t="shared" ca="1" si="23"/>
        <v/>
      </c>
    </row>
    <row r="1448" spans="1:10">
      <c r="A1448" s="2" t="str">
        <f ca="1">IF(A1447="","",IF(IF(价差分析!$W$4="日",--[1]!td(A1447-1),IF(价差分析!$W$4="周",--[1]!td(A1447-7),--[1]!td(A1447-30)))-价差分析!$T$4&gt;0,IF(价差分析!$W$4="日",--[1]!td(A1447-1),IF(价差分析!$W$4="周",--[1]!td(A1447-7),--[1]!td(A1447-30))),""))</f>
        <v/>
      </c>
      <c r="B1448" s="1" t="str">
        <f ca="1">IF(A1448="","",[1]!s_dq_close($B$1,A1448,$M$4))</f>
        <v/>
      </c>
      <c r="C1448" s="1" t="str">
        <f ca="1">IF(A1448="","",[1]!s_dq_close($C$1,A1448,$M$4))</f>
        <v/>
      </c>
      <c r="D1448" s="6" t="str">
        <f ca="1">IF($A1448="","",[1]!s_dq_close(D$1,$A1448,$M$4))</f>
        <v/>
      </c>
      <c r="E1448" s="6" t="str">
        <f ca="1">IF($A1448="","",[1]!s_dq_close(E$1,$A1448,$M$4))</f>
        <v/>
      </c>
      <c r="F1448" s="6" t="str">
        <f ca="1">IF($A1448="","",[1]!s_dq_close(F$1,$A1448,$M$4))</f>
        <v/>
      </c>
      <c r="G1448" s="6"/>
      <c r="H1448" s="6" t="str">
        <f ca="1">IF($A1448="","",[1]!s_dq_close(H$1,$A1448,$M$4))</f>
        <v/>
      </c>
      <c r="I1448" s="6" t="str">
        <f ca="1">IF($A1448="","",[1]!s_dq_close(I$1,$A1448,$M$4))</f>
        <v/>
      </c>
      <c r="J1448" s="6" t="str">
        <f t="shared" ca="1" si="23"/>
        <v/>
      </c>
    </row>
    <row r="1449" spans="1:10">
      <c r="A1449" s="2" t="str">
        <f ca="1">IF(A1448="","",IF(IF(价差分析!$W$4="日",--[1]!td(A1448-1),IF(价差分析!$W$4="周",--[1]!td(A1448-7),--[1]!td(A1448-30)))-价差分析!$T$4&gt;0,IF(价差分析!$W$4="日",--[1]!td(A1448-1),IF(价差分析!$W$4="周",--[1]!td(A1448-7),--[1]!td(A1448-30))),""))</f>
        <v/>
      </c>
      <c r="B1449" s="1" t="str">
        <f ca="1">IF(A1449="","",[1]!s_dq_close($B$1,A1449,$M$4))</f>
        <v/>
      </c>
      <c r="C1449" s="1" t="str">
        <f ca="1">IF(A1449="","",[1]!s_dq_close($C$1,A1449,$M$4))</f>
        <v/>
      </c>
      <c r="D1449" s="6" t="str">
        <f ca="1">IF($A1449="","",[1]!s_dq_close(D$1,$A1449,$M$4))</f>
        <v/>
      </c>
      <c r="E1449" s="6" t="str">
        <f ca="1">IF($A1449="","",[1]!s_dq_close(E$1,$A1449,$M$4))</f>
        <v/>
      </c>
      <c r="F1449" s="6" t="str">
        <f ca="1">IF($A1449="","",[1]!s_dq_close(F$1,$A1449,$M$4))</f>
        <v/>
      </c>
      <c r="G1449" s="6"/>
      <c r="H1449" s="6" t="str">
        <f ca="1">IF($A1449="","",[1]!s_dq_close(H$1,$A1449,$M$4))</f>
        <v/>
      </c>
      <c r="I1449" s="6" t="str">
        <f ca="1">IF($A1449="","",[1]!s_dq_close(I$1,$A1449,$M$4))</f>
        <v/>
      </c>
      <c r="J1449" s="6" t="str">
        <f t="shared" ca="1" si="23"/>
        <v/>
      </c>
    </row>
    <row r="1450" spans="1:10">
      <c r="A1450" s="2" t="str">
        <f ca="1">IF(A1449="","",IF(IF(价差分析!$W$4="日",--[1]!td(A1449-1),IF(价差分析!$W$4="周",--[1]!td(A1449-7),--[1]!td(A1449-30)))-价差分析!$T$4&gt;0,IF(价差分析!$W$4="日",--[1]!td(A1449-1),IF(价差分析!$W$4="周",--[1]!td(A1449-7),--[1]!td(A1449-30))),""))</f>
        <v/>
      </c>
      <c r="B1450" s="1" t="str">
        <f ca="1">IF(A1450="","",[1]!s_dq_close($B$1,A1450,$M$4))</f>
        <v/>
      </c>
      <c r="C1450" s="1" t="str">
        <f ca="1">IF(A1450="","",[1]!s_dq_close($C$1,A1450,$M$4))</f>
        <v/>
      </c>
      <c r="D1450" s="6" t="str">
        <f ca="1">IF($A1450="","",[1]!s_dq_close(D$1,$A1450,$M$4))</f>
        <v/>
      </c>
      <c r="E1450" s="6" t="str">
        <f ca="1">IF($A1450="","",[1]!s_dq_close(E$1,$A1450,$M$4))</f>
        <v/>
      </c>
      <c r="F1450" s="6" t="str">
        <f ca="1">IF($A1450="","",[1]!s_dq_close(F$1,$A1450,$M$4))</f>
        <v/>
      </c>
      <c r="G1450" s="6"/>
      <c r="H1450" s="6" t="str">
        <f ca="1">IF($A1450="","",[1]!s_dq_close(H$1,$A1450,$M$4))</f>
        <v/>
      </c>
      <c r="I1450" s="6" t="str">
        <f ca="1">IF($A1450="","",[1]!s_dq_close(I$1,$A1450,$M$4))</f>
        <v/>
      </c>
      <c r="J1450" s="6" t="str">
        <f t="shared" ca="1" si="23"/>
        <v/>
      </c>
    </row>
    <row r="1451" spans="1:10">
      <c r="A1451" s="2" t="str">
        <f ca="1">IF(A1450="","",IF(IF(价差分析!$W$4="日",--[1]!td(A1450-1),IF(价差分析!$W$4="周",--[1]!td(A1450-7),--[1]!td(A1450-30)))-价差分析!$T$4&gt;0,IF(价差分析!$W$4="日",--[1]!td(A1450-1),IF(价差分析!$W$4="周",--[1]!td(A1450-7),--[1]!td(A1450-30))),""))</f>
        <v/>
      </c>
      <c r="B1451" s="1" t="str">
        <f ca="1">IF(A1451="","",[1]!s_dq_close($B$1,A1451,$M$4))</f>
        <v/>
      </c>
      <c r="C1451" s="1" t="str">
        <f ca="1">IF(A1451="","",[1]!s_dq_close($C$1,A1451,$M$4))</f>
        <v/>
      </c>
      <c r="D1451" s="6" t="str">
        <f ca="1">IF($A1451="","",[1]!s_dq_close(D$1,$A1451,$M$4))</f>
        <v/>
      </c>
      <c r="E1451" s="6" t="str">
        <f ca="1">IF($A1451="","",[1]!s_dq_close(E$1,$A1451,$M$4))</f>
        <v/>
      </c>
      <c r="F1451" s="6" t="str">
        <f ca="1">IF($A1451="","",[1]!s_dq_close(F$1,$A1451,$M$4))</f>
        <v/>
      </c>
      <c r="G1451" s="6"/>
      <c r="H1451" s="6" t="str">
        <f ca="1">IF($A1451="","",[1]!s_dq_close(H$1,$A1451,$M$4))</f>
        <v/>
      </c>
      <c r="I1451" s="6" t="str">
        <f ca="1">IF($A1451="","",[1]!s_dq_close(I$1,$A1451,$M$4))</f>
        <v/>
      </c>
      <c r="J1451" s="6" t="str">
        <f t="shared" ca="1" si="23"/>
        <v/>
      </c>
    </row>
    <row r="1452" spans="1:10">
      <c r="A1452" s="2" t="str">
        <f ca="1">IF(A1451="","",IF(IF(价差分析!$W$4="日",--[1]!td(A1451-1),IF(价差分析!$W$4="周",--[1]!td(A1451-7),--[1]!td(A1451-30)))-价差分析!$T$4&gt;0,IF(价差分析!$W$4="日",--[1]!td(A1451-1),IF(价差分析!$W$4="周",--[1]!td(A1451-7),--[1]!td(A1451-30))),""))</f>
        <v/>
      </c>
      <c r="B1452" s="1" t="str">
        <f ca="1">IF(A1452="","",[1]!s_dq_close($B$1,A1452,$M$4))</f>
        <v/>
      </c>
      <c r="C1452" s="1" t="str">
        <f ca="1">IF(A1452="","",[1]!s_dq_close($C$1,A1452,$M$4))</f>
        <v/>
      </c>
      <c r="D1452" s="6" t="str">
        <f ca="1">IF($A1452="","",[1]!s_dq_close(D$1,$A1452,$M$4))</f>
        <v/>
      </c>
      <c r="E1452" s="6" t="str">
        <f ca="1">IF($A1452="","",[1]!s_dq_close(E$1,$A1452,$M$4))</f>
        <v/>
      </c>
      <c r="F1452" s="6" t="str">
        <f ca="1">IF($A1452="","",[1]!s_dq_close(F$1,$A1452,$M$4))</f>
        <v/>
      </c>
      <c r="G1452" s="6"/>
      <c r="H1452" s="6" t="str">
        <f ca="1">IF($A1452="","",[1]!s_dq_close(H$1,$A1452,$M$4))</f>
        <v/>
      </c>
      <c r="I1452" s="6" t="str">
        <f ca="1">IF($A1452="","",[1]!s_dq_close(I$1,$A1452,$M$4))</f>
        <v/>
      </c>
      <c r="J1452" s="6" t="str">
        <f t="shared" ca="1" si="23"/>
        <v/>
      </c>
    </row>
    <row r="1453" spans="1:10">
      <c r="A1453" s="2" t="str">
        <f ca="1">IF(A1452="","",IF(IF(价差分析!$W$4="日",--[1]!td(A1452-1),IF(价差分析!$W$4="周",--[1]!td(A1452-7),--[1]!td(A1452-30)))-价差分析!$T$4&gt;0,IF(价差分析!$W$4="日",--[1]!td(A1452-1),IF(价差分析!$W$4="周",--[1]!td(A1452-7),--[1]!td(A1452-30))),""))</f>
        <v/>
      </c>
      <c r="B1453" s="1" t="str">
        <f ca="1">IF(A1453="","",[1]!s_dq_close($B$1,A1453,$M$4))</f>
        <v/>
      </c>
      <c r="C1453" s="1" t="str">
        <f ca="1">IF(A1453="","",[1]!s_dq_close($C$1,A1453,$M$4))</f>
        <v/>
      </c>
      <c r="D1453" s="6" t="str">
        <f ca="1">IF($A1453="","",[1]!s_dq_close(D$1,$A1453,$M$4))</f>
        <v/>
      </c>
      <c r="E1453" s="6" t="str">
        <f ca="1">IF($A1453="","",[1]!s_dq_close(E$1,$A1453,$M$4))</f>
        <v/>
      </c>
      <c r="F1453" s="6" t="str">
        <f ca="1">IF($A1453="","",[1]!s_dq_close(F$1,$A1453,$M$4))</f>
        <v/>
      </c>
      <c r="G1453" s="6"/>
      <c r="H1453" s="6" t="str">
        <f ca="1">IF($A1453="","",[1]!s_dq_close(H$1,$A1453,$M$4))</f>
        <v/>
      </c>
      <c r="I1453" s="6" t="str">
        <f ca="1">IF($A1453="","",[1]!s_dq_close(I$1,$A1453,$M$4))</f>
        <v/>
      </c>
      <c r="J1453" s="6" t="str">
        <f t="shared" ca="1" si="23"/>
        <v/>
      </c>
    </row>
    <row r="1454" spans="1:10">
      <c r="A1454" s="2" t="str">
        <f ca="1">IF(A1453="","",IF(IF(价差分析!$W$4="日",--[1]!td(A1453-1),IF(价差分析!$W$4="周",--[1]!td(A1453-7),--[1]!td(A1453-30)))-价差分析!$T$4&gt;0,IF(价差分析!$W$4="日",--[1]!td(A1453-1),IF(价差分析!$W$4="周",--[1]!td(A1453-7),--[1]!td(A1453-30))),""))</f>
        <v/>
      </c>
      <c r="B1454" s="1" t="str">
        <f ca="1">IF(A1454="","",[1]!s_dq_close($B$1,A1454,$M$4))</f>
        <v/>
      </c>
      <c r="C1454" s="1" t="str">
        <f ca="1">IF(A1454="","",[1]!s_dq_close($C$1,A1454,$M$4))</f>
        <v/>
      </c>
      <c r="D1454" s="6" t="str">
        <f ca="1">IF($A1454="","",[1]!s_dq_close(D$1,$A1454,$M$4))</f>
        <v/>
      </c>
      <c r="E1454" s="6" t="str">
        <f ca="1">IF($A1454="","",[1]!s_dq_close(E$1,$A1454,$M$4))</f>
        <v/>
      </c>
      <c r="F1454" s="6" t="str">
        <f ca="1">IF($A1454="","",[1]!s_dq_close(F$1,$A1454,$M$4))</f>
        <v/>
      </c>
      <c r="G1454" s="6"/>
      <c r="H1454" s="6" t="str">
        <f ca="1">IF($A1454="","",[1]!s_dq_close(H$1,$A1454,$M$4))</f>
        <v/>
      </c>
      <c r="I1454" s="6" t="str">
        <f ca="1">IF($A1454="","",[1]!s_dq_close(I$1,$A1454,$M$4))</f>
        <v/>
      </c>
      <c r="J1454" s="6" t="str">
        <f t="shared" ca="1" si="23"/>
        <v/>
      </c>
    </row>
    <row r="1455" spans="1:10">
      <c r="A1455" s="2" t="str">
        <f ca="1">IF(A1454="","",IF(IF(价差分析!$W$4="日",--[1]!td(A1454-1),IF(价差分析!$W$4="周",--[1]!td(A1454-7),--[1]!td(A1454-30)))-价差分析!$T$4&gt;0,IF(价差分析!$W$4="日",--[1]!td(A1454-1),IF(价差分析!$W$4="周",--[1]!td(A1454-7),--[1]!td(A1454-30))),""))</f>
        <v/>
      </c>
      <c r="B1455" s="1" t="str">
        <f ca="1">IF(A1455="","",[1]!s_dq_close($B$1,A1455,$M$4))</f>
        <v/>
      </c>
      <c r="C1455" s="1" t="str">
        <f ca="1">IF(A1455="","",[1]!s_dq_close($C$1,A1455,$M$4))</f>
        <v/>
      </c>
      <c r="D1455" s="6" t="str">
        <f ca="1">IF($A1455="","",[1]!s_dq_close(D$1,$A1455,$M$4))</f>
        <v/>
      </c>
      <c r="E1455" s="6" t="str">
        <f ca="1">IF($A1455="","",[1]!s_dq_close(E$1,$A1455,$M$4))</f>
        <v/>
      </c>
      <c r="F1455" s="6" t="str">
        <f ca="1">IF($A1455="","",[1]!s_dq_close(F$1,$A1455,$M$4))</f>
        <v/>
      </c>
      <c r="G1455" s="6"/>
      <c r="H1455" s="6" t="str">
        <f ca="1">IF($A1455="","",[1]!s_dq_close(H$1,$A1455,$M$4))</f>
        <v/>
      </c>
      <c r="I1455" s="6" t="str">
        <f ca="1">IF($A1455="","",[1]!s_dq_close(I$1,$A1455,$M$4))</f>
        <v/>
      </c>
      <c r="J1455" s="6" t="str">
        <f t="shared" ca="1" si="23"/>
        <v/>
      </c>
    </row>
    <row r="1456" spans="1:10">
      <c r="A1456" s="2" t="str">
        <f ca="1">IF(A1455="","",IF(IF(价差分析!$W$4="日",--[1]!td(A1455-1),IF(价差分析!$W$4="周",--[1]!td(A1455-7),--[1]!td(A1455-30)))-价差分析!$T$4&gt;0,IF(价差分析!$W$4="日",--[1]!td(A1455-1),IF(价差分析!$W$4="周",--[1]!td(A1455-7),--[1]!td(A1455-30))),""))</f>
        <v/>
      </c>
      <c r="B1456" s="1" t="str">
        <f ca="1">IF(A1456="","",[1]!s_dq_close($B$1,A1456,$M$4))</f>
        <v/>
      </c>
      <c r="C1456" s="1" t="str">
        <f ca="1">IF(A1456="","",[1]!s_dq_close($C$1,A1456,$M$4))</f>
        <v/>
      </c>
      <c r="D1456" s="6" t="str">
        <f ca="1">IF($A1456="","",[1]!s_dq_close(D$1,$A1456,$M$4))</f>
        <v/>
      </c>
      <c r="E1456" s="6" t="str">
        <f ca="1">IF($A1456="","",[1]!s_dq_close(E$1,$A1456,$M$4))</f>
        <v/>
      </c>
      <c r="F1456" s="6" t="str">
        <f ca="1">IF($A1456="","",[1]!s_dq_close(F$1,$A1456,$M$4))</f>
        <v/>
      </c>
      <c r="G1456" s="6"/>
      <c r="H1456" s="6" t="str">
        <f ca="1">IF($A1456="","",[1]!s_dq_close(H$1,$A1456,$M$4))</f>
        <v/>
      </c>
      <c r="I1456" s="6" t="str">
        <f ca="1">IF($A1456="","",[1]!s_dq_close(I$1,$A1456,$M$4))</f>
        <v/>
      </c>
      <c r="J1456" s="6" t="str">
        <f t="shared" ca="1" si="23"/>
        <v/>
      </c>
    </row>
    <row r="1457" spans="1:10">
      <c r="A1457" s="2" t="str">
        <f ca="1">IF(A1456="","",IF(IF(价差分析!$W$4="日",--[1]!td(A1456-1),IF(价差分析!$W$4="周",--[1]!td(A1456-7),--[1]!td(A1456-30)))-价差分析!$T$4&gt;0,IF(价差分析!$W$4="日",--[1]!td(A1456-1),IF(价差分析!$W$4="周",--[1]!td(A1456-7),--[1]!td(A1456-30))),""))</f>
        <v/>
      </c>
      <c r="B1457" s="1" t="str">
        <f ca="1">IF(A1457="","",[1]!s_dq_close($B$1,A1457,$M$4))</f>
        <v/>
      </c>
      <c r="C1457" s="1" t="str">
        <f ca="1">IF(A1457="","",[1]!s_dq_close($C$1,A1457,$M$4))</f>
        <v/>
      </c>
      <c r="D1457" s="6" t="str">
        <f ca="1">IF($A1457="","",[1]!s_dq_close(D$1,$A1457,$M$4))</f>
        <v/>
      </c>
      <c r="E1457" s="6" t="str">
        <f ca="1">IF($A1457="","",[1]!s_dq_close(E$1,$A1457,$M$4))</f>
        <v/>
      </c>
      <c r="F1457" s="6" t="str">
        <f ca="1">IF($A1457="","",[1]!s_dq_close(F$1,$A1457,$M$4))</f>
        <v/>
      </c>
      <c r="G1457" s="6"/>
      <c r="H1457" s="6" t="str">
        <f ca="1">IF($A1457="","",[1]!s_dq_close(H$1,$A1457,$M$4))</f>
        <v/>
      </c>
      <c r="I1457" s="6" t="str">
        <f ca="1">IF($A1457="","",[1]!s_dq_close(I$1,$A1457,$M$4))</f>
        <v/>
      </c>
      <c r="J1457" s="6" t="str">
        <f t="shared" ca="1" si="23"/>
        <v/>
      </c>
    </row>
    <row r="1458" spans="1:10">
      <c r="A1458" s="2" t="str">
        <f ca="1">IF(A1457="","",IF(IF(价差分析!$W$4="日",--[1]!td(A1457-1),IF(价差分析!$W$4="周",--[1]!td(A1457-7),--[1]!td(A1457-30)))-价差分析!$T$4&gt;0,IF(价差分析!$W$4="日",--[1]!td(A1457-1),IF(价差分析!$W$4="周",--[1]!td(A1457-7),--[1]!td(A1457-30))),""))</f>
        <v/>
      </c>
      <c r="B1458" s="1" t="str">
        <f ca="1">IF(A1458="","",[1]!s_dq_close($B$1,A1458,$M$4))</f>
        <v/>
      </c>
      <c r="C1458" s="1" t="str">
        <f ca="1">IF(A1458="","",[1]!s_dq_close($C$1,A1458,$M$4))</f>
        <v/>
      </c>
      <c r="D1458" s="6" t="str">
        <f ca="1">IF($A1458="","",[1]!s_dq_close(D$1,$A1458,$M$4))</f>
        <v/>
      </c>
      <c r="E1458" s="6" t="str">
        <f ca="1">IF($A1458="","",[1]!s_dq_close(E$1,$A1458,$M$4))</f>
        <v/>
      </c>
      <c r="F1458" s="6" t="str">
        <f ca="1">IF($A1458="","",[1]!s_dq_close(F$1,$A1458,$M$4))</f>
        <v/>
      </c>
      <c r="G1458" s="6"/>
      <c r="H1458" s="6" t="str">
        <f ca="1">IF($A1458="","",[1]!s_dq_close(H$1,$A1458,$M$4))</f>
        <v/>
      </c>
      <c r="I1458" s="6" t="str">
        <f ca="1">IF($A1458="","",[1]!s_dq_close(I$1,$A1458,$M$4))</f>
        <v/>
      </c>
      <c r="J1458" s="6" t="str">
        <f t="shared" ca="1" si="23"/>
        <v/>
      </c>
    </row>
    <row r="1459" spans="1:10">
      <c r="A1459" s="2" t="str">
        <f ca="1">IF(A1458="","",IF(IF(价差分析!$W$4="日",--[1]!td(A1458-1),IF(价差分析!$W$4="周",--[1]!td(A1458-7),--[1]!td(A1458-30)))-价差分析!$T$4&gt;0,IF(价差分析!$W$4="日",--[1]!td(A1458-1),IF(价差分析!$W$4="周",--[1]!td(A1458-7),--[1]!td(A1458-30))),""))</f>
        <v/>
      </c>
      <c r="B1459" s="1" t="str">
        <f ca="1">IF(A1459="","",[1]!s_dq_close($B$1,A1459,$M$4))</f>
        <v/>
      </c>
      <c r="C1459" s="1" t="str">
        <f ca="1">IF(A1459="","",[1]!s_dq_close($C$1,A1459,$M$4))</f>
        <v/>
      </c>
      <c r="D1459" s="6" t="str">
        <f ca="1">IF($A1459="","",[1]!s_dq_close(D$1,$A1459,$M$4))</f>
        <v/>
      </c>
      <c r="E1459" s="6" t="str">
        <f ca="1">IF($A1459="","",[1]!s_dq_close(E$1,$A1459,$M$4))</f>
        <v/>
      </c>
      <c r="F1459" s="6" t="str">
        <f ca="1">IF($A1459="","",[1]!s_dq_close(F$1,$A1459,$M$4))</f>
        <v/>
      </c>
      <c r="G1459" s="6"/>
      <c r="H1459" s="6" t="str">
        <f ca="1">IF($A1459="","",[1]!s_dq_close(H$1,$A1459,$M$4))</f>
        <v/>
      </c>
      <c r="I1459" s="6" t="str">
        <f ca="1">IF($A1459="","",[1]!s_dq_close(I$1,$A1459,$M$4))</f>
        <v/>
      </c>
      <c r="J1459" s="6" t="str">
        <f t="shared" ca="1" si="23"/>
        <v/>
      </c>
    </row>
    <row r="1460" spans="1:10">
      <c r="A1460" s="2" t="str">
        <f ca="1">IF(A1459="","",IF(IF(价差分析!$W$4="日",--[1]!td(A1459-1),IF(价差分析!$W$4="周",--[1]!td(A1459-7),--[1]!td(A1459-30)))-价差分析!$T$4&gt;0,IF(价差分析!$W$4="日",--[1]!td(A1459-1),IF(价差分析!$W$4="周",--[1]!td(A1459-7),--[1]!td(A1459-30))),""))</f>
        <v/>
      </c>
      <c r="B1460" s="1" t="str">
        <f ca="1">IF(A1460="","",[1]!s_dq_close($B$1,A1460,$M$4))</f>
        <v/>
      </c>
      <c r="C1460" s="1" t="str">
        <f ca="1">IF(A1460="","",[1]!s_dq_close($C$1,A1460,$M$4))</f>
        <v/>
      </c>
      <c r="D1460" s="6" t="str">
        <f ca="1">IF($A1460="","",[1]!s_dq_close(D$1,$A1460,$M$4))</f>
        <v/>
      </c>
      <c r="E1460" s="6" t="str">
        <f ca="1">IF($A1460="","",[1]!s_dq_close(E$1,$A1460,$M$4))</f>
        <v/>
      </c>
      <c r="F1460" s="6" t="str">
        <f ca="1">IF($A1460="","",[1]!s_dq_close(F$1,$A1460,$M$4))</f>
        <v/>
      </c>
      <c r="G1460" s="6"/>
      <c r="H1460" s="6" t="str">
        <f ca="1">IF($A1460="","",[1]!s_dq_close(H$1,$A1460,$M$4))</f>
        <v/>
      </c>
      <c r="I1460" s="6" t="str">
        <f ca="1">IF($A1460="","",[1]!s_dq_close(I$1,$A1460,$M$4))</f>
        <v/>
      </c>
      <c r="J1460" s="6" t="str">
        <f t="shared" ca="1" si="23"/>
        <v/>
      </c>
    </row>
    <row r="1461" spans="1:10">
      <c r="A1461" s="2" t="str">
        <f ca="1">IF(A1460="","",IF(IF(价差分析!$W$4="日",--[1]!td(A1460-1),IF(价差分析!$W$4="周",--[1]!td(A1460-7),--[1]!td(A1460-30)))-价差分析!$T$4&gt;0,IF(价差分析!$W$4="日",--[1]!td(A1460-1),IF(价差分析!$W$4="周",--[1]!td(A1460-7),--[1]!td(A1460-30))),""))</f>
        <v/>
      </c>
      <c r="B1461" s="1" t="str">
        <f ca="1">IF(A1461="","",[1]!s_dq_close($B$1,A1461,$M$4))</f>
        <v/>
      </c>
      <c r="C1461" s="1" t="str">
        <f ca="1">IF(A1461="","",[1]!s_dq_close($C$1,A1461,$M$4))</f>
        <v/>
      </c>
      <c r="D1461" s="6" t="str">
        <f ca="1">IF($A1461="","",[1]!s_dq_close(D$1,$A1461,$M$4))</f>
        <v/>
      </c>
      <c r="E1461" s="6" t="str">
        <f ca="1">IF($A1461="","",[1]!s_dq_close(E$1,$A1461,$M$4))</f>
        <v/>
      </c>
      <c r="F1461" s="6" t="str">
        <f ca="1">IF($A1461="","",[1]!s_dq_close(F$1,$A1461,$M$4))</f>
        <v/>
      </c>
      <c r="G1461" s="6"/>
      <c r="H1461" s="6" t="str">
        <f ca="1">IF($A1461="","",[1]!s_dq_close(H$1,$A1461,$M$4))</f>
        <v/>
      </c>
      <c r="I1461" s="6" t="str">
        <f ca="1">IF($A1461="","",[1]!s_dq_close(I$1,$A1461,$M$4))</f>
        <v/>
      </c>
      <c r="J1461" s="6" t="str">
        <f t="shared" ca="1" si="23"/>
        <v/>
      </c>
    </row>
    <row r="1462" spans="1:10">
      <c r="A1462" s="2" t="str">
        <f ca="1">IF(A1461="","",IF(IF(价差分析!$W$4="日",--[1]!td(A1461-1),IF(价差分析!$W$4="周",--[1]!td(A1461-7),--[1]!td(A1461-30)))-价差分析!$T$4&gt;0,IF(价差分析!$W$4="日",--[1]!td(A1461-1),IF(价差分析!$W$4="周",--[1]!td(A1461-7),--[1]!td(A1461-30))),""))</f>
        <v/>
      </c>
      <c r="B1462" s="1" t="str">
        <f ca="1">IF(A1462="","",[1]!s_dq_close($B$1,A1462,$M$4))</f>
        <v/>
      </c>
      <c r="C1462" s="1" t="str">
        <f ca="1">IF(A1462="","",[1]!s_dq_close($C$1,A1462,$M$4))</f>
        <v/>
      </c>
      <c r="D1462" s="6" t="str">
        <f ca="1">IF($A1462="","",[1]!s_dq_close(D$1,$A1462,$M$4))</f>
        <v/>
      </c>
      <c r="E1462" s="6" t="str">
        <f ca="1">IF($A1462="","",[1]!s_dq_close(E$1,$A1462,$M$4))</f>
        <v/>
      </c>
      <c r="F1462" s="6" t="str">
        <f ca="1">IF($A1462="","",[1]!s_dq_close(F$1,$A1462,$M$4))</f>
        <v/>
      </c>
      <c r="G1462" s="6"/>
      <c r="H1462" s="6" t="str">
        <f ca="1">IF($A1462="","",[1]!s_dq_close(H$1,$A1462,$M$4))</f>
        <v/>
      </c>
      <c r="I1462" s="6" t="str">
        <f ca="1">IF($A1462="","",[1]!s_dq_close(I$1,$A1462,$M$4))</f>
        <v/>
      </c>
      <c r="J1462" s="6" t="str">
        <f t="shared" ca="1" si="23"/>
        <v/>
      </c>
    </row>
    <row r="1463" spans="1:10">
      <c r="A1463" s="2" t="str">
        <f ca="1">IF(A1462="","",IF(IF(价差分析!$W$4="日",--[1]!td(A1462-1),IF(价差分析!$W$4="周",--[1]!td(A1462-7),--[1]!td(A1462-30)))-价差分析!$T$4&gt;0,IF(价差分析!$W$4="日",--[1]!td(A1462-1),IF(价差分析!$W$4="周",--[1]!td(A1462-7),--[1]!td(A1462-30))),""))</f>
        <v/>
      </c>
      <c r="B1463" s="1" t="str">
        <f ca="1">IF(A1463="","",[1]!s_dq_close($B$1,A1463,$M$4))</f>
        <v/>
      </c>
      <c r="C1463" s="1" t="str">
        <f ca="1">IF(A1463="","",[1]!s_dq_close($C$1,A1463,$M$4))</f>
        <v/>
      </c>
      <c r="D1463" s="6" t="str">
        <f ca="1">IF($A1463="","",[1]!s_dq_close(D$1,$A1463,$M$4))</f>
        <v/>
      </c>
      <c r="E1463" s="6" t="str">
        <f ca="1">IF($A1463="","",[1]!s_dq_close(E$1,$A1463,$M$4))</f>
        <v/>
      </c>
      <c r="F1463" s="6" t="str">
        <f ca="1">IF($A1463="","",[1]!s_dq_close(F$1,$A1463,$M$4))</f>
        <v/>
      </c>
      <c r="G1463" s="6"/>
      <c r="H1463" s="6" t="str">
        <f ca="1">IF($A1463="","",[1]!s_dq_close(H$1,$A1463,$M$4))</f>
        <v/>
      </c>
      <c r="I1463" s="6" t="str">
        <f ca="1">IF($A1463="","",[1]!s_dq_close(I$1,$A1463,$M$4))</f>
        <v/>
      </c>
      <c r="J1463" s="6" t="str">
        <f t="shared" ca="1" si="23"/>
        <v/>
      </c>
    </row>
    <row r="1464" spans="1:10">
      <c r="A1464" s="2" t="str">
        <f ca="1">IF(A1463="","",IF(IF(价差分析!$W$4="日",--[1]!td(A1463-1),IF(价差分析!$W$4="周",--[1]!td(A1463-7),--[1]!td(A1463-30)))-价差分析!$T$4&gt;0,IF(价差分析!$W$4="日",--[1]!td(A1463-1),IF(价差分析!$W$4="周",--[1]!td(A1463-7),--[1]!td(A1463-30))),""))</f>
        <v/>
      </c>
      <c r="B1464" s="1" t="str">
        <f ca="1">IF(A1464="","",[1]!s_dq_close($B$1,A1464,$M$4))</f>
        <v/>
      </c>
      <c r="C1464" s="1" t="str">
        <f ca="1">IF(A1464="","",[1]!s_dq_close($C$1,A1464,$M$4))</f>
        <v/>
      </c>
      <c r="D1464" s="6" t="str">
        <f ca="1">IF($A1464="","",[1]!s_dq_close(D$1,$A1464,$M$4))</f>
        <v/>
      </c>
      <c r="E1464" s="6" t="str">
        <f ca="1">IF($A1464="","",[1]!s_dq_close(E$1,$A1464,$M$4))</f>
        <v/>
      </c>
      <c r="F1464" s="6" t="str">
        <f ca="1">IF($A1464="","",[1]!s_dq_close(F$1,$A1464,$M$4))</f>
        <v/>
      </c>
      <c r="G1464" s="6"/>
      <c r="H1464" s="6" t="str">
        <f ca="1">IF($A1464="","",[1]!s_dq_close(H$1,$A1464,$M$4))</f>
        <v/>
      </c>
      <c r="I1464" s="6" t="str">
        <f ca="1">IF($A1464="","",[1]!s_dq_close(I$1,$A1464,$M$4))</f>
        <v/>
      </c>
      <c r="J1464" s="6" t="str">
        <f t="shared" ca="1" si="23"/>
        <v/>
      </c>
    </row>
    <row r="1465" spans="1:10">
      <c r="A1465" s="2" t="str">
        <f ca="1">IF(A1464="","",IF(IF(价差分析!$W$4="日",--[1]!td(A1464-1),IF(价差分析!$W$4="周",--[1]!td(A1464-7),--[1]!td(A1464-30)))-价差分析!$T$4&gt;0,IF(价差分析!$W$4="日",--[1]!td(A1464-1),IF(价差分析!$W$4="周",--[1]!td(A1464-7),--[1]!td(A1464-30))),""))</f>
        <v/>
      </c>
      <c r="B1465" s="1" t="str">
        <f ca="1">IF(A1465="","",[1]!s_dq_close($B$1,A1465,$M$4))</f>
        <v/>
      </c>
      <c r="C1465" s="1" t="str">
        <f ca="1">IF(A1465="","",[1]!s_dq_close($C$1,A1465,$M$4))</f>
        <v/>
      </c>
      <c r="D1465" s="6" t="str">
        <f ca="1">IF($A1465="","",[1]!s_dq_close(D$1,$A1465,$M$4))</f>
        <v/>
      </c>
      <c r="E1465" s="6" t="str">
        <f ca="1">IF($A1465="","",[1]!s_dq_close(E$1,$A1465,$M$4))</f>
        <v/>
      </c>
      <c r="F1465" s="6" t="str">
        <f ca="1">IF($A1465="","",[1]!s_dq_close(F$1,$A1465,$M$4))</f>
        <v/>
      </c>
      <c r="G1465" s="6"/>
      <c r="H1465" s="6" t="str">
        <f ca="1">IF($A1465="","",[1]!s_dq_close(H$1,$A1465,$M$4))</f>
        <v/>
      </c>
      <c r="I1465" s="6" t="str">
        <f ca="1">IF($A1465="","",[1]!s_dq_close(I$1,$A1465,$M$4))</f>
        <v/>
      </c>
      <c r="J1465" s="6" t="str">
        <f t="shared" ca="1" si="23"/>
        <v/>
      </c>
    </row>
    <row r="1466" spans="1:10">
      <c r="A1466" s="2" t="str">
        <f ca="1">IF(A1465="","",IF(IF(价差分析!$W$4="日",--[1]!td(A1465-1),IF(价差分析!$W$4="周",--[1]!td(A1465-7),--[1]!td(A1465-30)))-价差分析!$T$4&gt;0,IF(价差分析!$W$4="日",--[1]!td(A1465-1),IF(价差分析!$W$4="周",--[1]!td(A1465-7),--[1]!td(A1465-30))),""))</f>
        <v/>
      </c>
      <c r="B1466" s="1" t="str">
        <f ca="1">IF(A1466="","",[1]!s_dq_close($B$1,A1466,$M$4))</f>
        <v/>
      </c>
      <c r="C1466" s="1" t="str">
        <f ca="1">IF(A1466="","",[1]!s_dq_close($C$1,A1466,$M$4))</f>
        <v/>
      </c>
      <c r="D1466" s="6" t="str">
        <f ca="1">IF($A1466="","",[1]!s_dq_close(D$1,$A1466,$M$4))</f>
        <v/>
      </c>
      <c r="E1466" s="6" t="str">
        <f ca="1">IF($A1466="","",[1]!s_dq_close(E$1,$A1466,$M$4))</f>
        <v/>
      </c>
      <c r="F1466" s="6" t="str">
        <f ca="1">IF($A1466="","",[1]!s_dq_close(F$1,$A1466,$M$4))</f>
        <v/>
      </c>
      <c r="G1466" s="6"/>
      <c r="H1466" s="6" t="str">
        <f ca="1">IF($A1466="","",[1]!s_dq_close(H$1,$A1466,$M$4))</f>
        <v/>
      </c>
      <c r="I1466" s="6" t="str">
        <f ca="1">IF($A1466="","",[1]!s_dq_close(I$1,$A1466,$M$4))</f>
        <v/>
      </c>
      <c r="J1466" s="6" t="str">
        <f t="shared" ca="1" si="23"/>
        <v/>
      </c>
    </row>
    <row r="1467" spans="1:10">
      <c r="A1467" s="2" t="str">
        <f ca="1">IF(A1466="","",IF(IF(价差分析!$W$4="日",--[1]!td(A1466-1),IF(价差分析!$W$4="周",--[1]!td(A1466-7),--[1]!td(A1466-30)))-价差分析!$T$4&gt;0,IF(价差分析!$W$4="日",--[1]!td(A1466-1),IF(价差分析!$W$4="周",--[1]!td(A1466-7),--[1]!td(A1466-30))),""))</f>
        <v/>
      </c>
      <c r="B1467" s="1" t="str">
        <f ca="1">IF(A1467="","",[1]!s_dq_close($B$1,A1467,$M$4))</f>
        <v/>
      </c>
      <c r="C1467" s="1" t="str">
        <f ca="1">IF(A1467="","",[1]!s_dq_close($C$1,A1467,$M$4))</f>
        <v/>
      </c>
      <c r="D1467" s="6" t="str">
        <f ca="1">IF($A1467="","",[1]!s_dq_close(D$1,$A1467,$M$4))</f>
        <v/>
      </c>
      <c r="E1467" s="6" t="str">
        <f ca="1">IF($A1467="","",[1]!s_dq_close(E$1,$A1467,$M$4))</f>
        <v/>
      </c>
      <c r="F1467" s="6" t="str">
        <f ca="1">IF($A1467="","",[1]!s_dq_close(F$1,$A1467,$M$4))</f>
        <v/>
      </c>
      <c r="G1467" s="6"/>
      <c r="H1467" s="6" t="str">
        <f ca="1">IF($A1467="","",[1]!s_dq_close(H$1,$A1467,$M$4))</f>
        <v/>
      </c>
      <c r="I1467" s="6" t="str">
        <f ca="1">IF($A1467="","",[1]!s_dq_close(I$1,$A1467,$M$4))</f>
        <v/>
      </c>
      <c r="J1467" s="6" t="str">
        <f t="shared" ca="1" si="23"/>
        <v/>
      </c>
    </row>
    <row r="1468" spans="1:10">
      <c r="A1468" s="2" t="str">
        <f ca="1">IF(A1467="","",IF(IF(价差分析!$W$4="日",--[1]!td(A1467-1),IF(价差分析!$W$4="周",--[1]!td(A1467-7),--[1]!td(A1467-30)))-价差分析!$T$4&gt;0,IF(价差分析!$W$4="日",--[1]!td(A1467-1),IF(价差分析!$W$4="周",--[1]!td(A1467-7),--[1]!td(A1467-30))),""))</f>
        <v/>
      </c>
      <c r="B1468" s="1" t="str">
        <f ca="1">IF(A1468="","",[1]!s_dq_close($B$1,A1468,$M$4))</f>
        <v/>
      </c>
      <c r="C1468" s="1" t="str">
        <f ca="1">IF(A1468="","",[1]!s_dq_close($C$1,A1468,$M$4))</f>
        <v/>
      </c>
      <c r="D1468" s="6" t="str">
        <f ca="1">IF($A1468="","",[1]!s_dq_close(D$1,$A1468,$M$4))</f>
        <v/>
      </c>
      <c r="E1468" s="6" t="str">
        <f ca="1">IF($A1468="","",[1]!s_dq_close(E$1,$A1468,$M$4))</f>
        <v/>
      </c>
      <c r="F1468" s="6" t="str">
        <f ca="1">IF($A1468="","",[1]!s_dq_close(F$1,$A1468,$M$4))</f>
        <v/>
      </c>
      <c r="G1468" s="6"/>
      <c r="H1468" s="6" t="str">
        <f ca="1">IF($A1468="","",[1]!s_dq_close(H$1,$A1468,$M$4))</f>
        <v/>
      </c>
      <c r="I1468" s="6" t="str">
        <f ca="1">IF($A1468="","",[1]!s_dq_close(I$1,$A1468,$M$4))</f>
        <v/>
      </c>
      <c r="J1468" s="6" t="str">
        <f t="shared" ca="1" si="23"/>
        <v/>
      </c>
    </row>
    <row r="1469" spans="1:10">
      <c r="A1469" s="2" t="str">
        <f ca="1">IF(A1468="","",IF(IF(价差分析!$W$4="日",--[1]!td(A1468-1),IF(价差分析!$W$4="周",--[1]!td(A1468-7),--[1]!td(A1468-30)))-价差分析!$T$4&gt;0,IF(价差分析!$W$4="日",--[1]!td(A1468-1),IF(价差分析!$W$4="周",--[1]!td(A1468-7),--[1]!td(A1468-30))),""))</f>
        <v/>
      </c>
      <c r="B1469" s="1" t="str">
        <f ca="1">IF(A1469="","",[1]!s_dq_close($B$1,A1469,$M$4))</f>
        <v/>
      </c>
      <c r="C1469" s="1" t="str">
        <f ca="1">IF(A1469="","",[1]!s_dq_close($C$1,A1469,$M$4))</f>
        <v/>
      </c>
      <c r="D1469" s="6" t="str">
        <f ca="1">IF($A1469="","",[1]!s_dq_close(D$1,$A1469,$M$4))</f>
        <v/>
      </c>
      <c r="E1469" s="6" t="str">
        <f ca="1">IF($A1469="","",[1]!s_dq_close(E$1,$A1469,$M$4))</f>
        <v/>
      </c>
      <c r="F1469" s="6" t="str">
        <f ca="1">IF($A1469="","",[1]!s_dq_close(F$1,$A1469,$M$4))</f>
        <v/>
      </c>
      <c r="G1469" s="6"/>
      <c r="H1469" s="6" t="str">
        <f ca="1">IF($A1469="","",[1]!s_dq_close(H$1,$A1469,$M$4))</f>
        <v/>
      </c>
      <c r="I1469" s="6" t="str">
        <f ca="1">IF($A1469="","",[1]!s_dq_close(I$1,$A1469,$M$4))</f>
        <v/>
      </c>
      <c r="J1469" s="6" t="str">
        <f t="shared" ca="1" si="23"/>
        <v/>
      </c>
    </row>
    <row r="1470" spans="1:10">
      <c r="A1470" s="2" t="str">
        <f ca="1">IF(A1469="","",IF(IF(价差分析!$W$4="日",--[1]!td(A1469-1),IF(价差分析!$W$4="周",--[1]!td(A1469-7),--[1]!td(A1469-30)))-价差分析!$T$4&gt;0,IF(价差分析!$W$4="日",--[1]!td(A1469-1),IF(价差分析!$W$4="周",--[1]!td(A1469-7),--[1]!td(A1469-30))),""))</f>
        <v/>
      </c>
      <c r="B1470" s="1" t="str">
        <f ca="1">IF(A1470="","",[1]!s_dq_close($B$1,A1470,$M$4))</f>
        <v/>
      </c>
      <c r="C1470" s="1" t="str">
        <f ca="1">IF(A1470="","",[1]!s_dq_close($C$1,A1470,$M$4))</f>
        <v/>
      </c>
      <c r="D1470" s="6" t="str">
        <f ca="1">IF($A1470="","",[1]!s_dq_close(D$1,$A1470,$M$4))</f>
        <v/>
      </c>
      <c r="E1470" s="6" t="str">
        <f ca="1">IF($A1470="","",[1]!s_dq_close(E$1,$A1470,$M$4))</f>
        <v/>
      </c>
      <c r="F1470" s="6" t="str">
        <f ca="1">IF($A1470="","",[1]!s_dq_close(F$1,$A1470,$M$4))</f>
        <v/>
      </c>
      <c r="G1470" s="6"/>
      <c r="H1470" s="6" t="str">
        <f ca="1">IF($A1470="","",[1]!s_dq_close(H$1,$A1470,$M$4))</f>
        <v/>
      </c>
      <c r="I1470" s="6" t="str">
        <f ca="1">IF($A1470="","",[1]!s_dq_close(I$1,$A1470,$M$4))</f>
        <v/>
      </c>
      <c r="J1470" s="6" t="str">
        <f t="shared" ca="1" si="23"/>
        <v/>
      </c>
    </row>
    <row r="1471" spans="1:10">
      <c r="A1471" s="2" t="str">
        <f ca="1">IF(A1470="","",IF(IF(价差分析!$W$4="日",--[1]!td(A1470-1),IF(价差分析!$W$4="周",--[1]!td(A1470-7),--[1]!td(A1470-30)))-价差分析!$T$4&gt;0,IF(价差分析!$W$4="日",--[1]!td(A1470-1),IF(价差分析!$W$4="周",--[1]!td(A1470-7),--[1]!td(A1470-30))),""))</f>
        <v/>
      </c>
      <c r="B1471" s="1" t="str">
        <f ca="1">IF(A1471="","",[1]!s_dq_close($B$1,A1471,$M$4))</f>
        <v/>
      </c>
      <c r="C1471" s="1" t="str">
        <f ca="1">IF(A1471="","",[1]!s_dq_close($C$1,A1471,$M$4))</f>
        <v/>
      </c>
      <c r="D1471" s="6" t="str">
        <f ca="1">IF($A1471="","",[1]!s_dq_close(D$1,$A1471,$M$4))</f>
        <v/>
      </c>
      <c r="E1471" s="6" t="str">
        <f ca="1">IF($A1471="","",[1]!s_dq_close(E$1,$A1471,$M$4))</f>
        <v/>
      </c>
      <c r="F1471" s="6" t="str">
        <f ca="1">IF($A1471="","",[1]!s_dq_close(F$1,$A1471,$M$4))</f>
        <v/>
      </c>
      <c r="G1471" s="6"/>
      <c r="H1471" s="6" t="str">
        <f ca="1">IF($A1471="","",[1]!s_dq_close(H$1,$A1471,$M$4))</f>
        <v/>
      </c>
      <c r="I1471" s="6" t="str">
        <f ca="1">IF($A1471="","",[1]!s_dq_close(I$1,$A1471,$M$4))</f>
        <v/>
      </c>
      <c r="J1471" s="6" t="str">
        <f t="shared" ca="1" si="23"/>
        <v/>
      </c>
    </row>
    <row r="1472" spans="1:10">
      <c r="A1472" s="2" t="str">
        <f ca="1">IF(A1471="","",IF(IF(价差分析!$W$4="日",--[1]!td(A1471-1),IF(价差分析!$W$4="周",--[1]!td(A1471-7),--[1]!td(A1471-30)))-价差分析!$T$4&gt;0,IF(价差分析!$W$4="日",--[1]!td(A1471-1),IF(价差分析!$W$4="周",--[1]!td(A1471-7),--[1]!td(A1471-30))),""))</f>
        <v/>
      </c>
      <c r="B1472" s="1" t="str">
        <f ca="1">IF(A1472="","",[1]!s_dq_close($B$1,A1472,$M$4))</f>
        <v/>
      </c>
      <c r="C1472" s="1" t="str">
        <f ca="1">IF(A1472="","",[1]!s_dq_close($C$1,A1472,$M$4))</f>
        <v/>
      </c>
      <c r="D1472" s="6" t="str">
        <f ca="1">IF($A1472="","",[1]!s_dq_close(D$1,$A1472,$M$4))</f>
        <v/>
      </c>
      <c r="E1472" s="6" t="str">
        <f ca="1">IF($A1472="","",[1]!s_dq_close(E$1,$A1472,$M$4))</f>
        <v/>
      </c>
      <c r="F1472" s="6" t="str">
        <f ca="1">IF($A1472="","",[1]!s_dq_close(F$1,$A1472,$M$4))</f>
        <v/>
      </c>
      <c r="G1472" s="6"/>
      <c r="H1472" s="6" t="str">
        <f ca="1">IF($A1472="","",[1]!s_dq_close(H$1,$A1472,$M$4))</f>
        <v/>
      </c>
      <c r="I1472" s="6" t="str">
        <f ca="1">IF($A1472="","",[1]!s_dq_close(I$1,$A1472,$M$4))</f>
        <v/>
      </c>
      <c r="J1472" s="6" t="str">
        <f t="shared" ca="1" si="23"/>
        <v/>
      </c>
    </row>
    <row r="1473" spans="1:10">
      <c r="A1473" s="2" t="str">
        <f ca="1">IF(A1472="","",IF(IF(价差分析!$W$4="日",--[1]!td(A1472-1),IF(价差分析!$W$4="周",--[1]!td(A1472-7),--[1]!td(A1472-30)))-价差分析!$T$4&gt;0,IF(价差分析!$W$4="日",--[1]!td(A1472-1),IF(价差分析!$W$4="周",--[1]!td(A1472-7),--[1]!td(A1472-30))),""))</f>
        <v/>
      </c>
      <c r="B1473" s="1" t="str">
        <f ca="1">IF(A1473="","",[1]!s_dq_close($B$1,A1473,$M$4))</f>
        <v/>
      </c>
      <c r="C1473" s="1" t="str">
        <f ca="1">IF(A1473="","",[1]!s_dq_close($C$1,A1473,$M$4))</f>
        <v/>
      </c>
      <c r="D1473" s="6" t="str">
        <f ca="1">IF($A1473="","",[1]!s_dq_close(D$1,$A1473,$M$4))</f>
        <v/>
      </c>
      <c r="E1473" s="6" t="str">
        <f ca="1">IF($A1473="","",[1]!s_dq_close(E$1,$A1473,$M$4))</f>
        <v/>
      </c>
      <c r="F1473" s="6" t="str">
        <f ca="1">IF($A1473="","",[1]!s_dq_close(F$1,$A1473,$M$4))</f>
        <v/>
      </c>
      <c r="G1473" s="6"/>
      <c r="H1473" s="6" t="str">
        <f ca="1">IF($A1473="","",[1]!s_dq_close(H$1,$A1473,$M$4))</f>
        <v/>
      </c>
      <c r="I1473" s="6" t="str">
        <f ca="1">IF($A1473="","",[1]!s_dq_close(I$1,$A1473,$M$4))</f>
        <v/>
      </c>
      <c r="J1473" s="6" t="str">
        <f t="shared" ca="1" si="23"/>
        <v/>
      </c>
    </row>
    <row r="1474" spans="1:10">
      <c r="A1474" s="2" t="str">
        <f ca="1">IF(A1473="","",IF(IF(价差分析!$W$4="日",--[1]!td(A1473-1),IF(价差分析!$W$4="周",--[1]!td(A1473-7),--[1]!td(A1473-30)))-价差分析!$T$4&gt;0,IF(价差分析!$W$4="日",--[1]!td(A1473-1),IF(价差分析!$W$4="周",--[1]!td(A1473-7),--[1]!td(A1473-30))),""))</f>
        <v/>
      </c>
      <c r="B1474" s="1" t="str">
        <f ca="1">IF(A1474="","",[1]!s_dq_close($B$1,A1474,$M$4))</f>
        <v/>
      </c>
      <c r="C1474" s="1" t="str">
        <f ca="1">IF(A1474="","",[1]!s_dq_close($C$1,A1474,$M$4))</f>
        <v/>
      </c>
      <c r="D1474" s="6" t="str">
        <f ca="1">IF($A1474="","",[1]!s_dq_close(D$1,$A1474,$M$4))</f>
        <v/>
      </c>
      <c r="E1474" s="6" t="str">
        <f ca="1">IF($A1474="","",[1]!s_dq_close(E$1,$A1474,$M$4))</f>
        <v/>
      </c>
      <c r="F1474" s="6" t="str">
        <f ca="1">IF($A1474="","",[1]!s_dq_close(F$1,$A1474,$M$4))</f>
        <v/>
      </c>
      <c r="G1474" s="6"/>
      <c r="H1474" s="6" t="str">
        <f ca="1">IF($A1474="","",[1]!s_dq_close(H$1,$A1474,$M$4))</f>
        <v/>
      </c>
      <c r="I1474" s="6" t="str">
        <f ca="1">IF($A1474="","",[1]!s_dq_close(I$1,$A1474,$M$4))</f>
        <v/>
      </c>
      <c r="J1474" s="6" t="str">
        <f t="shared" ca="1" si="23"/>
        <v/>
      </c>
    </row>
    <row r="1475" spans="1:10">
      <c r="A1475" s="2" t="str">
        <f ca="1">IF(A1474="","",IF(IF(价差分析!$W$4="日",--[1]!td(A1474-1),IF(价差分析!$W$4="周",--[1]!td(A1474-7),--[1]!td(A1474-30)))-价差分析!$T$4&gt;0,IF(价差分析!$W$4="日",--[1]!td(A1474-1),IF(价差分析!$W$4="周",--[1]!td(A1474-7),--[1]!td(A1474-30))),""))</f>
        <v/>
      </c>
      <c r="B1475" s="1" t="str">
        <f ca="1">IF(A1475="","",[1]!s_dq_close($B$1,A1475,$M$4))</f>
        <v/>
      </c>
      <c r="C1475" s="1" t="str">
        <f ca="1">IF(A1475="","",[1]!s_dq_close($C$1,A1475,$M$4))</f>
        <v/>
      </c>
      <c r="D1475" s="6" t="str">
        <f ca="1">IF($A1475="","",[1]!s_dq_close(D$1,$A1475,$M$4))</f>
        <v/>
      </c>
      <c r="E1475" s="6" t="str">
        <f ca="1">IF($A1475="","",[1]!s_dq_close(E$1,$A1475,$M$4))</f>
        <v/>
      </c>
      <c r="F1475" s="6" t="str">
        <f ca="1">IF($A1475="","",[1]!s_dq_close(F$1,$A1475,$M$4))</f>
        <v/>
      </c>
      <c r="G1475" s="6"/>
      <c r="H1475" s="6" t="str">
        <f ca="1">IF($A1475="","",[1]!s_dq_close(H$1,$A1475,$M$4))</f>
        <v/>
      </c>
      <c r="I1475" s="6" t="str">
        <f ca="1">IF($A1475="","",[1]!s_dq_close(I$1,$A1475,$M$4))</f>
        <v/>
      </c>
      <c r="J1475" s="6" t="str">
        <f t="shared" ca="1" si="23"/>
        <v/>
      </c>
    </row>
    <row r="1476" spans="1:10">
      <c r="A1476" s="2" t="str">
        <f ca="1">IF(A1475="","",IF(IF(价差分析!$W$4="日",--[1]!td(A1475-1),IF(价差分析!$W$4="周",--[1]!td(A1475-7),--[1]!td(A1475-30)))-价差分析!$T$4&gt;0,IF(价差分析!$W$4="日",--[1]!td(A1475-1),IF(价差分析!$W$4="周",--[1]!td(A1475-7),--[1]!td(A1475-30))),""))</f>
        <v/>
      </c>
      <c r="B1476" s="1" t="str">
        <f ca="1">IF(A1476="","",[1]!s_dq_close($B$1,A1476,$M$4))</f>
        <v/>
      </c>
      <c r="C1476" s="1" t="str">
        <f ca="1">IF(A1476="","",[1]!s_dq_close($C$1,A1476,$M$4))</f>
        <v/>
      </c>
      <c r="D1476" s="6" t="str">
        <f ca="1">IF($A1476="","",[1]!s_dq_close(D$1,$A1476,$M$4))</f>
        <v/>
      </c>
      <c r="E1476" s="6" t="str">
        <f ca="1">IF($A1476="","",[1]!s_dq_close(E$1,$A1476,$M$4))</f>
        <v/>
      </c>
      <c r="F1476" s="6" t="str">
        <f ca="1">IF($A1476="","",[1]!s_dq_close(F$1,$A1476,$M$4))</f>
        <v/>
      </c>
      <c r="G1476" s="6"/>
      <c r="H1476" s="6" t="str">
        <f ca="1">IF($A1476="","",[1]!s_dq_close(H$1,$A1476,$M$4))</f>
        <v/>
      </c>
      <c r="I1476" s="6" t="str">
        <f ca="1">IF($A1476="","",[1]!s_dq_close(I$1,$A1476,$M$4))</f>
        <v/>
      </c>
      <c r="J1476" s="6" t="str">
        <f t="shared" ca="1" si="23"/>
        <v/>
      </c>
    </row>
    <row r="1477" spans="1:10">
      <c r="A1477" s="2" t="str">
        <f ca="1">IF(A1476="","",IF(IF(价差分析!$W$4="日",--[1]!td(A1476-1),IF(价差分析!$W$4="周",--[1]!td(A1476-7),--[1]!td(A1476-30)))-价差分析!$T$4&gt;0,IF(价差分析!$W$4="日",--[1]!td(A1476-1),IF(价差分析!$W$4="周",--[1]!td(A1476-7),--[1]!td(A1476-30))),""))</f>
        <v/>
      </c>
      <c r="B1477" s="1" t="str">
        <f ca="1">IF(A1477="","",[1]!s_dq_close($B$1,A1477,$M$4))</f>
        <v/>
      </c>
      <c r="C1477" s="1" t="str">
        <f ca="1">IF(A1477="","",[1]!s_dq_close($C$1,A1477,$M$4))</f>
        <v/>
      </c>
      <c r="D1477" s="6" t="str">
        <f ca="1">IF($A1477="","",[1]!s_dq_close(D$1,$A1477,$M$4))</f>
        <v/>
      </c>
      <c r="E1477" s="6" t="str">
        <f ca="1">IF($A1477="","",[1]!s_dq_close(E$1,$A1477,$M$4))</f>
        <v/>
      </c>
      <c r="F1477" s="6" t="str">
        <f ca="1">IF($A1477="","",[1]!s_dq_close(F$1,$A1477,$M$4))</f>
        <v/>
      </c>
      <c r="G1477" s="6"/>
      <c r="H1477" s="6" t="str">
        <f ca="1">IF($A1477="","",[1]!s_dq_close(H$1,$A1477,$M$4))</f>
        <v/>
      </c>
      <c r="I1477" s="6" t="str">
        <f ca="1">IF($A1477="","",[1]!s_dq_close(I$1,$A1477,$M$4))</f>
        <v/>
      </c>
      <c r="J1477" s="6" t="str">
        <f t="shared" ref="J1477:J1503" ca="1" si="24">IF(H1477="","",H1477-I1477)</f>
        <v/>
      </c>
    </row>
    <row r="1478" spans="1:10">
      <c r="A1478" s="2" t="str">
        <f ca="1">IF(A1477="","",IF(IF(价差分析!$W$4="日",--[1]!td(A1477-1),IF(价差分析!$W$4="周",--[1]!td(A1477-7),--[1]!td(A1477-30)))-价差分析!$T$4&gt;0,IF(价差分析!$W$4="日",--[1]!td(A1477-1),IF(价差分析!$W$4="周",--[1]!td(A1477-7),--[1]!td(A1477-30))),""))</f>
        <v/>
      </c>
      <c r="B1478" s="1" t="str">
        <f ca="1">IF(A1478="","",[1]!s_dq_close($B$1,A1478,$M$4))</f>
        <v/>
      </c>
      <c r="C1478" s="1" t="str">
        <f ca="1">IF(A1478="","",[1]!s_dq_close($C$1,A1478,$M$4))</f>
        <v/>
      </c>
      <c r="D1478" s="6" t="str">
        <f ca="1">IF($A1478="","",[1]!s_dq_close(D$1,$A1478,$M$4))</f>
        <v/>
      </c>
      <c r="E1478" s="6" t="str">
        <f ca="1">IF($A1478="","",[1]!s_dq_close(E$1,$A1478,$M$4))</f>
        <v/>
      </c>
      <c r="F1478" s="6" t="str">
        <f ca="1">IF($A1478="","",[1]!s_dq_close(F$1,$A1478,$M$4))</f>
        <v/>
      </c>
      <c r="G1478" s="6"/>
      <c r="H1478" s="6" t="str">
        <f ca="1">IF($A1478="","",[1]!s_dq_close(H$1,$A1478,$M$4))</f>
        <v/>
      </c>
      <c r="I1478" s="6" t="str">
        <f ca="1">IF($A1478="","",[1]!s_dq_close(I$1,$A1478,$M$4))</f>
        <v/>
      </c>
      <c r="J1478" s="6" t="str">
        <f t="shared" ca="1" si="24"/>
        <v/>
      </c>
    </row>
    <row r="1479" spans="1:10">
      <c r="A1479" s="2" t="str">
        <f ca="1">IF(A1478="","",IF(IF(价差分析!$W$4="日",--[1]!td(A1478-1),IF(价差分析!$W$4="周",--[1]!td(A1478-7),--[1]!td(A1478-30)))-价差分析!$T$4&gt;0,IF(价差分析!$W$4="日",--[1]!td(A1478-1),IF(价差分析!$W$4="周",--[1]!td(A1478-7),--[1]!td(A1478-30))),""))</f>
        <v/>
      </c>
      <c r="B1479" s="1" t="str">
        <f ca="1">IF(A1479="","",[1]!s_dq_close($B$1,A1479,$M$4))</f>
        <v/>
      </c>
      <c r="C1479" s="1" t="str">
        <f ca="1">IF(A1479="","",[1]!s_dq_close($C$1,A1479,$M$4))</f>
        <v/>
      </c>
      <c r="D1479" s="6" t="str">
        <f ca="1">IF($A1479="","",[1]!s_dq_close(D$1,$A1479,$M$4))</f>
        <v/>
      </c>
      <c r="E1479" s="6" t="str">
        <f ca="1">IF($A1479="","",[1]!s_dq_close(E$1,$A1479,$M$4))</f>
        <v/>
      </c>
      <c r="F1479" s="6" t="str">
        <f ca="1">IF($A1479="","",[1]!s_dq_close(F$1,$A1479,$M$4))</f>
        <v/>
      </c>
      <c r="G1479" s="6"/>
      <c r="H1479" s="6" t="str">
        <f ca="1">IF($A1479="","",[1]!s_dq_close(H$1,$A1479,$M$4))</f>
        <v/>
      </c>
      <c r="I1479" s="6" t="str">
        <f ca="1">IF($A1479="","",[1]!s_dq_close(I$1,$A1479,$M$4))</f>
        <v/>
      </c>
      <c r="J1479" s="6" t="str">
        <f t="shared" ca="1" si="24"/>
        <v/>
      </c>
    </row>
    <row r="1480" spans="1:10">
      <c r="A1480" s="2" t="str">
        <f ca="1">IF(A1479="","",IF(IF(价差分析!$W$4="日",--[1]!td(A1479-1),IF(价差分析!$W$4="周",--[1]!td(A1479-7),--[1]!td(A1479-30)))-价差分析!$T$4&gt;0,IF(价差分析!$W$4="日",--[1]!td(A1479-1),IF(价差分析!$W$4="周",--[1]!td(A1479-7),--[1]!td(A1479-30))),""))</f>
        <v/>
      </c>
      <c r="B1480" s="1" t="str">
        <f ca="1">IF(A1480="","",[1]!s_dq_close($B$1,A1480,$M$4))</f>
        <v/>
      </c>
      <c r="C1480" s="1" t="str">
        <f ca="1">IF(A1480="","",[1]!s_dq_close($C$1,A1480,$M$4))</f>
        <v/>
      </c>
      <c r="D1480" s="6" t="str">
        <f ca="1">IF($A1480="","",[1]!s_dq_close(D$1,$A1480,$M$4))</f>
        <v/>
      </c>
      <c r="E1480" s="6" t="str">
        <f ca="1">IF($A1480="","",[1]!s_dq_close(E$1,$A1480,$M$4))</f>
        <v/>
      </c>
      <c r="F1480" s="6" t="str">
        <f ca="1">IF($A1480="","",[1]!s_dq_close(F$1,$A1480,$M$4))</f>
        <v/>
      </c>
      <c r="G1480" s="6"/>
      <c r="H1480" s="6" t="str">
        <f ca="1">IF($A1480="","",[1]!s_dq_close(H$1,$A1480,$M$4))</f>
        <v/>
      </c>
      <c r="I1480" s="6" t="str">
        <f ca="1">IF($A1480="","",[1]!s_dq_close(I$1,$A1480,$M$4))</f>
        <v/>
      </c>
      <c r="J1480" s="6" t="str">
        <f t="shared" ca="1" si="24"/>
        <v/>
      </c>
    </row>
    <row r="1481" spans="1:10">
      <c r="A1481" s="2" t="str">
        <f ca="1">IF(A1480="","",IF(IF(价差分析!$W$4="日",--[1]!td(A1480-1),IF(价差分析!$W$4="周",--[1]!td(A1480-7),--[1]!td(A1480-30)))-价差分析!$T$4&gt;0,IF(价差分析!$W$4="日",--[1]!td(A1480-1),IF(价差分析!$W$4="周",--[1]!td(A1480-7),--[1]!td(A1480-30))),""))</f>
        <v/>
      </c>
      <c r="B1481" s="1" t="str">
        <f ca="1">IF(A1481="","",[1]!s_dq_close($B$1,A1481,$M$4))</f>
        <v/>
      </c>
      <c r="C1481" s="1" t="str">
        <f ca="1">IF(A1481="","",[1]!s_dq_close($C$1,A1481,$M$4))</f>
        <v/>
      </c>
      <c r="D1481" s="6" t="str">
        <f ca="1">IF($A1481="","",[1]!s_dq_close(D$1,$A1481,$M$4))</f>
        <v/>
      </c>
      <c r="E1481" s="6" t="str">
        <f ca="1">IF($A1481="","",[1]!s_dq_close(E$1,$A1481,$M$4))</f>
        <v/>
      </c>
      <c r="F1481" s="6" t="str">
        <f ca="1">IF($A1481="","",[1]!s_dq_close(F$1,$A1481,$M$4))</f>
        <v/>
      </c>
      <c r="G1481" s="6"/>
      <c r="H1481" s="6" t="str">
        <f ca="1">IF($A1481="","",[1]!s_dq_close(H$1,$A1481,$M$4))</f>
        <v/>
      </c>
      <c r="I1481" s="6" t="str">
        <f ca="1">IF($A1481="","",[1]!s_dq_close(I$1,$A1481,$M$4))</f>
        <v/>
      </c>
      <c r="J1481" s="6" t="str">
        <f t="shared" ca="1" si="24"/>
        <v/>
      </c>
    </row>
    <row r="1482" spans="1:10">
      <c r="A1482" s="2" t="str">
        <f ca="1">IF(A1481="","",IF(IF(价差分析!$W$4="日",--[1]!td(A1481-1),IF(价差分析!$W$4="周",--[1]!td(A1481-7),--[1]!td(A1481-30)))-价差分析!$T$4&gt;0,IF(价差分析!$W$4="日",--[1]!td(A1481-1),IF(价差分析!$W$4="周",--[1]!td(A1481-7),--[1]!td(A1481-30))),""))</f>
        <v/>
      </c>
      <c r="B1482" s="1" t="str">
        <f ca="1">IF(A1482="","",[1]!s_dq_close($B$1,A1482,$M$4))</f>
        <v/>
      </c>
      <c r="C1482" s="1" t="str">
        <f ca="1">IF(A1482="","",[1]!s_dq_close($C$1,A1482,$M$4))</f>
        <v/>
      </c>
      <c r="D1482" s="6" t="str">
        <f ca="1">IF($A1482="","",[1]!s_dq_close(D$1,$A1482,$M$4))</f>
        <v/>
      </c>
      <c r="E1482" s="6" t="str">
        <f ca="1">IF($A1482="","",[1]!s_dq_close(E$1,$A1482,$M$4))</f>
        <v/>
      </c>
      <c r="F1482" s="6" t="str">
        <f ca="1">IF($A1482="","",[1]!s_dq_close(F$1,$A1482,$M$4))</f>
        <v/>
      </c>
      <c r="G1482" s="6"/>
      <c r="H1482" s="6" t="str">
        <f ca="1">IF($A1482="","",[1]!s_dq_close(H$1,$A1482,$M$4))</f>
        <v/>
      </c>
      <c r="I1482" s="6" t="str">
        <f ca="1">IF($A1482="","",[1]!s_dq_close(I$1,$A1482,$M$4))</f>
        <v/>
      </c>
      <c r="J1482" s="6" t="str">
        <f t="shared" ca="1" si="24"/>
        <v/>
      </c>
    </row>
    <row r="1483" spans="1:10">
      <c r="A1483" s="2" t="str">
        <f ca="1">IF(A1482="","",IF(IF(价差分析!$W$4="日",--[1]!td(A1482-1),IF(价差分析!$W$4="周",--[1]!td(A1482-7),--[1]!td(A1482-30)))-价差分析!$T$4&gt;0,IF(价差分析!$W$4="日",--[1]!td(A1482-1),IF(价差分析!$W$4="周",--[1]!td(A1482-7),--[1]!td(A1482-30))),""))</f>
        <v/>
      </c>
      <c r="B1483" s="1" t="str">
        <f ca="1">IF(A1483="","",[1]!s_dq_close($B$1,A1483,$M$4))</f>
        <v/>
      </c>
      <c r="C1483" s="1" t="str">
        <f ca="1">IF(A1483="","",[1]!s_dq_close($C$1,A1483,$M$4))</f>
        <v/>
      </c>
      <c r="D1483" s="6" t="str">
        <f ca="1">IF($A1483="","",[1]!s_dq_close(D$1,$A1483,$M$4))</f>
        <v/>
      </c>
      <c r="E1483" s="6" t="str">
        <f ca="1">IF($A1483="","",[1]!s_dq_close(E$1,$A1483,$M$4))</f>
        <v/>
      </c>
      <c r="F1483" s="6" t="str">
        <f ca="1">IF($A1483="","",[1]!s_dq_close(F$1,$A1483,$M$4))</f>
        <v/>
      </c>
      <c r="G1483" s="6"/>
      <c r="H1483" s="6" t="str">
        <f ca="1">IF($A1483="","",[1]!s_dq_close(H$1,$A1483,$M$4))</f>
        <v/>
      </c>
      <c r="I1483" s="6" t="str">
        <f ca="1">IF($A1483="","",[1]!s_dq_close(I$1,$A1483,$M$4))</f>
        <v/>
      </c>
      <c r="J1483" s="6" t="str">
        <f t="shared" ca="1" si="24"/>
        <v/>
      </c>
    </row>
    <row r="1484" spans="1:10">
      <c r="A1484" s="2" t="str">
        <f ca="1">IF(A1483="","",IF(IF(价差分析!$W$4="日",--[1]!td(A1483-1),IF(价差分析!$W$4="周",--[1]!td(A1483-7),--[1]!td(A1483-30)))-价差分析!$T$4&gt;0,IF(价差分析!$W$4="日",--[1]!td(A1483-1),IF(价差分析!$W$4="周",--[1]!td(A1483-7),--[1]!td(A1483-30))),""))</f>
        <v/>
      </c>
      <c r="B1484" s="1" t="str">
        <f ca="1">IF(A1484="","",[1]!s_dq_close($B$1,A1484,$M$4))</f>
        <v/>
      </c>
      <c r="C1484" s="1" t="str">
        <f ca="1">IF(A1484="","",[1]!s_dq_close($C$1,A1484,$M$4))</f>
        <v/>
      </c>
      <c r="D1484" s="6" t="str">
        <f ca="1">IF($A1484="","",[1]!s_dq_close(D$1,$A1484,$M$4))</f>
        <v/>
      </c>
      <c r="E1484" s="6" t="str">
        <f ca="1">IF($A1484="","",[1]!s_dq_close(E$1,$A1484,$M$4))</f>
        <v/>
      </c>
      <c r="F1484" s="6" t="str">
        <f ca="1">IF($A1484="","",[1]!s_dq_close(F$1,$A1484,$M$4))</f>
        <v/>
      </c>
      <c r="G1484" s="6"/>
      <c r="H1484" s="6" t="str">
        <f ca="1">IF($A1484="","",[1]!s_dq_close(H$1,$A1484,$M$4))</f>
        <v/>
      </c>
      <c r="I1484" s="6" t="str">
        <f ca="1">IF($A1484="","",[1]!s_dq_close(I$1,$A1484,$M$4))</f>
        <v/>
      </c>
      <c r="J1484" s="6" t="str">
        <f t="shared" ca="1" si="24"/>
        <v/>
      </c>
    </row>
    <row r="1485" spans="1:10">
      <c r="A1485" s="2" t="str">
        <f ca="1">IF(A1484="","",IF(IF(价差分析!$W$4="日",--[1]!td(A1484-1),IF(价差分析!$W$4="周",--[1]!td(A1484-7),--[1]!td(A1484-30)))-价差分析!$T$4&gt;0,IF(价差分析!$W$4="日",--[1]!td(A1484-1),IF(价差分析!$W$4="周",--[1]!td(A1484-7),--[1]!td(A1484-30))),""))</f>
        <v/>
      </c>
      <c r="B1485" s="1" t="str">
        <f ca="1">IF(A1485="","",[1]!s_dq_close($B$1,A1485,$M$4))</f>
        <v/>
      </c>
      <c r="C1485" s="1" t="str">
        <f ca="1">IF(A1485="","",[1]!s_dq_close($C$1,A1485,$M$4))</f>
        <v/>
      </c>
      <c r="D1485" s="6" t="str">
        <f ca="1">IF($A1485="","",[1]!s_dq_close(D$1,$A1485,$M$4))</f>
        <v/>
      </c>
      <c r="E1485" s="6" t="str">
        <f ca="1">IF($A1485="","",[1]!s_dq_close(E$1,$A1485,$M$4))</f>
        <v/>
      </c>
      <c r="F1485" s="6" t="str">
        <f ca="1">IF($A1485="","",[1]!s_dq_close(F$1,$A1485,$M$4))</f>
        <v/>
      </c>
      <c r="G1485" s="6"/>
      <c r="H1485" s="6" t="str">
        <f ca="1">IF($A1485="","",[1]!s_dq_close(H$1,$A1485,$M$4))</f>
        <v/>
      </c>
      <c r="I1485" s="6" t="str">
        <f ca="1">IF($A1485="","",[1]!s_dq_close(I$1,$A1485,$M$4))</f>
        <v/>
      </c>
      <c r="J1485" s="6" t="str">
        <f t="shared" ca="1" si="24"/>
        <v/>
      </c>
    </row>
    <row r="1486" spans="1:10">
      <c r="A1486" s="2" t="str">
        <f ca="1">IF(A1485="","",IF(IF(价差分析!$W$4="日",--[1]!td(A1485-1),IF(价差分析!$W$4="周",--[1]!td(A1485-7),--[1]!td(A1485-30)))-价差分析!$T$4&gt;0,IF(价差分析!$W$4="日",--[1]!td(A1485-1),IF(价差分析!$W$4="周",--[1]!td(A1485-7),--[1]!td(A1485-30))),""))</f>
        <v/>
      </c>
      <c r="B1486" s="1" t="str">
        <f ca="1">IF(A1486="","",[1]!s_dq_close($B$1,A1486,$M$4))</f>
        <v/>
      </c>
      <c r="C1486" s="1" t="str">
        <f ca="1">IF(A1486="","",[1]!s_dq_close($C$1,A1486,$M$4))</f>
        <v/>
      </c>
      <c r="D1486" s="6" t="str">
        <f ca="1">IF($A1486="","",[1]!s_dq_close(D$1,$A1486,$M$4))</f>
        <v/>
      </c>
      <c r="E1486" s="6" t="str">
        <f ca="1">IF($A1486="","",[1]!s_dq_close(E$1,$A1486,$M$4))</f>
        <v/>
      </c>
      <c r="F1486" s="6" t="str">
        <f ca="1">IF($A1486="","",[1]!s_dq_close(F$1,$A1486,$M$4))</f>
        <v/>
      </c>
      <c r="G1486" s="6"/>
      <c r="H1486" s="6" t="str">
        <f ca="1">IF($A1486="","",[1]!s_dq_close(H$1,$A1486,$M$4))</f>
        <v/>
      </c>
      <c r="I1486" s="6" t="str">
        <f ca="1">IF($A1486="","",[1]!s_dq_close(I$1,$A1486,$M$4))</f>
        <v/>
      </c>
      <c r="J1486" s="6" t="str">
        <f t="shared" ca="1" si="24"/>
        <v/>
      </c>
    </row>
    <row r="1487" spans="1:10">
      <c r="A1487" s="2" t="str">
        <f ca="1">IF(A1486="","",IF(IF(价差分析!$W$4="日",--[1]!td(A1486-1),IF(价差分析!$W$4="周",--[1]!td(A1486-7),--[1]!td(A1486-30)))-价差分析!$T$4&gt;0,IF(价差分析!$W$4="日",--[1]!td(A1486-1),IF(价差分析!$W$4="周",--[1]!td(A1486-7),--[1]!td(A1486-30))),""))</f>
        <v/>
      </c>
      <c r="B1487" s="1" t="str">
        <f ca="1">IF(A1487="","",[1]!s_dq_close($B$1,A1487,$M$4))</f>
        <v/>
      </c>
      <c r="C1487" s="1" t="str">
        <f ca="1">IF(A1487="","",[1]!s_dq_close($C$1,A1487,$M$4))</f>
        <v/>
      </c>
      <c r="D1487" s="6" t="str">
        <f ca="1">IF($A1487="","",[1]!s_dq_close(D$1,$A1487,$M$4))</f>
        <v/>
      </c>
      <c r="E1487" s="6" t="str">
        <f ca="1">IF($A1487="","",[1]!s_dq_close(E$1,$A1487,$M$4))</f>
        <v/>
      </c>
      <c r="F1487" s="6" t="str">
        <f ca="1">IF($A1487="","",[1]!s_dq_close(F$1,$A1487,$M$4))</f>
        <v/>
      </c>
      <c r="G1487" s="6"/>
      <c r="H1487" s="6" t="str">
        <f ca="1">IF($A1487="","",[1]!s_dq_close(H$1,$A1487,$M$4))</f>
        <v/>
      </c>
      <c r="I1487" s="6" t="str">
        <f ca="1">IF($A1487="","",[1]!s_dq_close(I$1,$A1487,$M$4))</f>
        <v/>
      </c>
      <c r="J1487" s="6" t="str">
        <f t="shared" ca="1" si="24"/>
        <v/>
      </c>
    </row>
    <row r="1488" spans="1:10">
      <c r="A1488" s="2" t="str">
        <f ca="1">IF(A1487="","",IF(IF(价差分析!$W$4="日",--[1]!td(A1487-1),IF(价差分析!$W$4="周",--[1]!td(A1487-7),--[1]!td(A1487-30)))-价差分析!$T$4&gt;0,IF(价差分析!$W$4="日",--[1]!td(A1487-1),IF(价差分析!$W$4="周",--[1]!td(A1487-7),--[1]!td(A1487-30))),""))</f>
        <v/>
      </c>
      <c r="B1488" s="1" t="str">
        <f ca="1">IF(A1488="","",[1]!s_dq_close($B$1,A1488,$M$4))</f>
        <v/>
      </c>
      <c r="C1488" s="1" t="str">
        <f ca="1">IF(A1488="","",[1]!s_dq_close($C$1,A1488,$M$4))</f>
        <v/>
      </c>
      <c r="D1488" s="6" t="str">
        <f ca="1">IF($A1488="","",[1]!s_dq_close(D$1,$A1488,$M$4))</f>
        <v/>
      </c>
      <c r="E1488" s="6" t="str">
        <f ca="1">IF($A1488="","",[1]!s_dq_close(E$1,$A1488,$M$4))</f>
        <v/>
      </c>
      <c r="F1488" s="6" t="str">
        <f ca="1">IF($A1488="","",[1]!s_dq_close(F$1,$A1488,$M$4))</f>
        <v/>
      </c>
      <c r="G1488" s="6"/>
      <c r="H1488" s="6" t="str">
        <f ca="1">IF($A1488="","",[1]!s_dq_close(H$1,$A1488,$M$4))</f>
        <v/>
      </c>
      <c r="I1488" s="6" t="str">
        <f ca="1">IF($A1488="","",[1]!s_dq_close(I$1,$A1488,$M$4))</f>
        <v/>
      </c>
      <c r="J1488" s="6" t="str">
        <f t="shared" ca="1" si="24"/>
        <v/>
      </c>
    </row>
    <row r="1489" spans="1:20">
      <c r="A1489" s="2" t="str">
        <f ca="1">IF(A1488="","",IF(IF(价差分析!$W$4="日",--[1]!td(A1488-1),IF(价差分析!$W$4="周",--[1]!td(A1488-7),--[1]!td(A1488-30)))-价差分析!$T$4&gt;0,IF(价差分析!$W$4="日",--[1]!td(A1488-1),IF(价差分析!$W$4="周",--[1]!td(A1488-7),--[1]!td(A1488-30))),""))</f>
        <v/>
      </c>
      <c r="B1489" s="1" t="str">
        <f ca="1">IF(A1489="","",[1]!s_dq_close($B$1,A1489,$M$4))</f>
        <v/>
      </c>
      <c r="C1489" s="1" t="str">
        <f ca="1">IF(A1489="","",[1]!s_dq_close($C$1,A1489,$M$4))</f>
        <v/>
      </c>
      <c r="D1489" s="6" t="str">
        <f ca="1">IF($A1489="","",[1]!s_dq_close(D$1,$A1489,$M$4))</f>
        <v/>
      </c>
      <c r="E1489" s="6" t="str">
        <f ca="1">IF($A1489="","",[1]!s_dq_close(E$1,$A1489,$M$4))</f>
        <v/>
      </c>
      <c r="F1489" s="6" t="str">
        <f ca="1">IF($A1489="","",[1]!s_dq_close(F$1,$A1489,$M$4))</f>
        <v/>
      </c>
      <c r="G1489" s="6"/>
      <c r="H1489" s="6" t="str">
        <f ca="1">IF($A1489="","",[1]!s_dq_close(H$1,$A1489,$M$4))</f>
        <v/>
      </c>
      <c r="I1489" s="6" t="str">
        <f ca="1">IF($A1489="","",[1]!s_dq_close(I$1,$A1489,$M$4))</f>
        <v/>
      </c>
      <c r="J1489" s="6" t="str">
        <f t="shared" ca="1" si="24"/>
        <v/>
      </c>
    </row>
    <row r="1490" spans="1:20">
      <c r="A1490" s="2" t="str">
        <f ca="1">IF(A1489="","",IF(IF(价差分析!$W$4="日",--[1]!td(A1489-1),IF(价差分析!$W$4="周",--[1]!td(A1489-7),--[1]!td(A1489-30)))-价差分析!$T$4&gt;0,IF(价差分析!$W$4="日",--[1]!td(A1489-1),IF(价差分析!$W$4="周",--[1]!td(A1489-7),--[1]!td(A1489-30))),""))</f>
        <v/>
      </c>
      <c r="B1490" s="1" t="str">
        <f ca="1">IF(A1490="","",[1]!s_dq_close($B$1,A1490,$M$4))</f>
        <v/>
      </c>
      <c r="C1490" s="1" t="str">
        <f ca="1">IF(A1490="","",[1]!s_dq_close($C$1,A1490,$M$4))</f>
        <v/>
      </c>
      <c r="D1490" s="6" t="str">
        <f ca="1">IF($A1490="","",[1]!s_dq_close(D$1,$A1490,$M$4))</f>
        <v/>
      </c>
      <c r="E1490" s="6" t="str">
        <f ca="1">IF($A1490="","",[1]!s_dq_close(E$1,$A1490,$M$4))</f>
        <v/>
      </c>
      <c r="F1490" s="6" t="str">
        <f ca="1">IF($A1490="","",[1]!s_dq_close(F$1,$A1490,$M$4))</f>
        <v/>
      </c>
      <c r="G1490" s="6"/>
      <c r="H1490" s="6" t="str">
        <f ca="1">IF($A1490="","",[1]!s_dq_close(H$1,$A1490,$M$4))</f>
        <v/>
      </c>
      <c r="I1490" s="6" t="str">
        <f ca="1">IF($A1490="","",[1]!s_dq_close(I$1,$A1490,$M$4))</f>
        <v/>
      </c>
      <c r="J1490" s="6" t="str">
        <f t="shared" ca="1" si="24"/>
        <v/>
      </c>
    </row>
    <row r="1491" spans="1:20">
      <c r="A1491" s="2" t="str">
        <f ca="1">IF(A1490="","",IF(IF(价差分析!$W$4="日",--[1]!td(A1490-1),IF(价差分析!$W$4="周",--[1]!td(A1490-7),--[1]!td(A1490-30)))-价差分析!$T$4&gt;0,IF(价差分析!$W$4="日",--[1]!td(A1490-1),IF(价差分析!$W$4="周",--[1]!td(A1490-7),--[1]!td(A1490-30))),""))</f>
        <v/>
      </c>
      <c r="B1491" s="1" t="str">
        <f ca="1">IF(A1491="","",[1]!s_dq_close($B$1,A1491,$M$4))</f>
        <v/>
      </c>
      <c r="C1491" s="1" t="str">
        <f ca="1">IF(A1491="","",[1]!s_dq_close($C$1,A1491,$M$4))</f>
        <v/>
      </c>
      <c r="D1491" s="6" t="str">
        <f ca="1">IF($A1491="","",[1]!s_dq_close(D$1,$A1491,$M$4))</f>
        <v/>
      </c>
      <c r="E1491" s="6" t="str">
        <f ca="1">IF($A1491="","",[1]!s_dq_close(E$1,$A1491,$M$4))</f>
        <v/>
      </c>
      <c r="F1491" s="6" t="str">
        <f ca="1">IF($A1491="","",[1]!s_dq_close(F$1,$A1491,$M$4))</f>
        <v/>
      </c>
      <c r="G1491" s="6"/>
      <c r="H1491" s="6" t="str">
        <f ca="1">IF($A1491="","",[1]!s_dq_close(H$1,$A1491,$M$4))</f>
        <v/>
      </c>
      <c r="I1491" s="6" t="str">
        <f ca="1">IF($A1491="","",[1]!s_dq_close(I$1,$A1491,$M$4))</f>
        <v/>
      </c>
      <c r="J1491" s="6" t="str">
        <f t="shared" ca="1" si="24"/>
        <v/>
      </c>
    </row>
    <row r="1492" spans="1:20">
      <c r="A1492" s="2" t="str">
        <f ca="1">IF(A1491="","",IF(IF(价差分析!$W$4="日",--[1]!td(A1491-1),IF(价差分析!$W$4="周",--[1]!td(A1491-7),--[1]!td(A1491-30)))-价差分析!$T$4&gt;0,IF(价差分析!$W$4="日",--[1]!td(A1491-1),IF(价差分析!$W$4="周",--[1]!td(A1491-7),--[1]!td(A1491-30))),""))</f>
        <v/>
      </c>
      <c r="B1492" s="1" t="str">
        <f ca="1">IF(A1492="","",[1]!s_dq_close($B$1,A1492,$M$4))</f>
        <v/>
      </c>
      <c r="C1492" s="1" t="str">
        <f ca="1">IF(A1492="","",[1]!s_dq_close($C$1,A1492,$M$4))</f>
        <v/>
      </c>
      <c r="D1492" s="6" t="str">
        <f ca="1">IF($A1492="","",[1]!s_dq_close(D$1,$A1492,$M$4))</f>
        <v/>
      </c>
      <c r="E1492" s="6" t="str">
        <f ca="1">IF($A1492="","",[1]!s_dq_close(E$1,$A1492,$M$4))</f>
        <v/>
      </c>
      <c r="F1492" s="6" t="str">
        <f ca="1">IF($A1492="","",[1]!s_dq_close(F$1,$A1492,$M$4))</f>
        <v/>
      </c>
      <c r="G1492" s="6"/>
      <c r="H1492" s="6" t="str">
        <f ca="1">IF($A1492="","",[1]!s_dq_close(H$1,$A1492,$M$4))</f>
        <v/>
      </c>
      <c r="I1492" s="6" t="str">
        <f ca="1">IF($A1492="","",[1]!s_dq_close(I$1,$A1492,$M$4))</f>
        <v/>
      </c>
      <c r="J1492" s="6" t="str">
        <f t="shared" ca="1" si="24"/>
        <v/>
      </c>
    </row>
    <row r="1493" spans="1:20">
      <c r="A1493" s="2" t="str">
        <f ca="1">IF(A1492="","",IF(IF(价差分析!$W$4="日",--[1]!td(A1492-1),IF(价差分析!$W$4="周",--[1]!td(A1492-7),--[1]!td(A1492-30)))-价差分析!$T$4&gt;0,IF(价差分析!$W$4="日",--[1]!td(A1492-1),IF(价差分析!$W$4="周",--[1]!td(A1492-7),--[1]!td(A1492-30))),""))</f>
        <v/>
      </c>
      <c r="B1493" s="1" t="str">
        <f ca="1">IF(A1493="","",[1]!s_dq_close($B$1,A1493,$M$4))</f>
        <v/>
      </c>
      <c r="C1493" s="1" t="str">
        <f ca="1">IF(A1493="","",[1]!s_dq_close($C$1,A1493,$M$4))</f>
        <v/>
      </c>
      <c r="D1493" s="6" t="str">
        <f ca="1">IF($A1493="","",[1]!s_dq_close(D$1,$A1493,$M$4))</f>
        <v/>
      </c>
      <c r="E1493" s="6" t="str">
        <f ca="1">IF($A1493="","",[1]!s_dq_close(E$1,$A1493,$M$4))</f>
        <v/>
      </c>
      <c r="F1493" s="6" t="str">
        <f ca="1">IF($A1493="","",[1]!s_dq_close(F$1,$A1493,$M$4))</f>
        <v/>
      </c>
      <c r="G1493" s="6"/>
      <c r="H1493" s="6" t="str">
        <f ca="1">IF($A1493="","",[1]!s_dq_close(H$1,$A1493,$M$4))</f>
        <v/>
      </c>
      <c r="I1493" s="6" t="str">
        <f ca="1">IF($A1493="","",[1]!s_dq_close(I$1,$A1493,$M$4))</f>
        <v/>
      </c>
      <c r="J1493" s="6" t="str">
        <f t="shared" ca="1" si="24"/>
        <v/>
      </c>
    </row>
    <row r="1494" spans="1:20">
      <c r="A1494" s="2" t="str">
        <f ca="1">IF(A1493="","",IF(IF(价差分析!$W$4="日",--[1]!td(A1493-1),IF(价差分析!$W$4="周",--[1]!td(A1493-7),--[1]!td(A1493-30)))-价差分析!$T$4&gt;0,IF(价差分析!$W$4="日",--[1]!td(A1493-1),IF(价差分析!$W$4="周",--[1]!td(A1493-7),--[1]!td(A1493-30))),""))</f>
        <v/>
      </c>
      <c r="B1494" s="1" t="str">
        <f ca="1">IF(A1494="","",[1]!s_dq_close($B$1,A1494,$M$4))</f>
        <v/>
      </c>
      <c r="C1494" s="1" t="str">
        <f ca="1">IF(A1494="","",[1]!s_dq_close($C$1,A1494,$M$4))</f>
        <v/>
      </c>
      <c r="D1494" s="6" t="str">
        <f ca="1">IF($A1494="","",[1]!s_dq_close(D$1,$A1494,$M$4))</f>
        <v/>
      </c>
      <c r="E1494" s="6" t="str">
        <f ca="1">IF($A1494="","",[1]!s_dq_close(E$1,$A1494,$M$4))</f>
        <v/>
      </c>
      <c r="F1494" s="6" t="str">
        <f ca="1">IF($A1494="","",[1]!s_dq_close(F$1,$A1494,$M$4))</f>
        <v/>
      </c>
      <c r="G1494" s="6"/>
      <c r="H1494" s="6" t="str">
        <f ca="1">IF($A1494="","",[1]!s_dq_close(H$1,$A1494,$M$4))</f>
        <v/>
      </c>
      <c r="I1494" s="6" t="str">
        <f ca="1">IF($A1494="","",[1]!s_dq_close(I$1,$A1494,$M$4))</f>
        <v/>
      </c>
      <c r="J1494" s="6" t="str">
        <f t="shared" ca="1" si="24"/>
        <v/>
      </c>
    </row>
    <row r="1495" spans="1:20">
      <c r="A1495" s="2" t="str">
        <f ca="1">IF(A1494="","",IF(IF(价差分析!$W$4="日",--[1]!td(A1494-1),IF(价差分析!$W$4="周",--[1]!td(A1494-7),--[1]!td(A1494-30)))-价差分析!$T$4&gt;0,IF(价差分析!$W$4="日",--[1]!td(A1494-1),IF(价差分析!$W$4="周",--[1]!td(A1494-7),--[1]!td(A1494-30))),""))</f>
        <v/>
      </c>
      <c r="B1495" s="1" t="str">
        <f ca="1">IF(A1495="","",[1]!s_dq_close($B$1,A1495,$M$4))</f>
        <v/>
      </c>
      <c r="C1495" s="1" t="str">
        <f ca="1">IF(A1495="","",[1]!s_dq_close($C$1,A1495,$M$4))</f>
        <v/>
      </c>
      <c r="D1495" s="6" t="str">
        <f ca="1">IF($A1495="","",[1]!s_dq_close(D$1,$A1495,$M$4))</f>
        <v/>
      </c>
      <c r="E1495" s="6" t="str">
        <f ca="1">IF($A1495="","",[1]!s_dq_close(E$1,$A1495,$M$4))</f>
        <v/>
      </c>
      <c r="F1495" s="6" t="str">
        <f ca="1">IF($A1495="","",[1]!s_dq_close(F$1,$A1495,$M$4))</f>
        <v/>
      </c>
      <c r="G1495" s="6"/>
      <c r="H1495" s="6" t="str">
        <f ca="1">IF($A1495="","",[1]!s_dq_close(H$1,$A1495,$M$4))</f>
        <v/>
      </c>
      <c r="I1495" s="6" t="str">
        <f ca="1">IF($A1495="","",[1]!s_dq_close(I$1,$A1495,$M$4))</f>
        <v/>
      </c>
      <c r="J1495" s="6" t="str">
        <f t="shared" ca="1" si="24"/>
        <v/>
      </c>
    </row>
    <row r="1496" spans="1:20">
      <c r="A1496" s="2" t="str">
        <f ca="1">IF(A1495="","",IF(IF(价差分析!$W$4="日",--[1]!td(A1495-1),IF(价差分析!$W$4="周",--[1]!td(A1495-7),--[1]!td(A1495-30)))-价差分析!$T$4&gt;0,IF(价差分析!$W$4="日",--[1]!td(A1495-1),IF(价差分析!$W$4="周",--[1]!td(A1495-7),--[1]!td(A1495-30))),""))</f>
        <v/>
      </c>
      <c r="B1496" s="1" t="str">
        <f ca="1">IF(A1496="","",[1]!s_dq_close($B$1,A1496,$M$4))</f>
        <v/>
      </c>
      <c r="C1496" s="1" t="str">
        <f ca="1">IF(A1496="","",[1]!s_dq_close($C$1,A1496,$M$4))</f>
        <v/>
      </c>
      <c r="D1496" s="6" t="str">
        <f ca="1">IF($A1496="","",[1]!s_dq_close(D$1,$A1496,$M$4))</f>
        <v/>
      </c>
      <c r="E1496" s="6" t="str">
        <f ca="1">IF($A1496="","",[1]!s_dq_close(E$1,$A1496,$M$4))</f>
        <v/>
      </c>
      <c r="F1496" s="6" t="str">
        <f ca="1">IF($A1496="","",[1]!s_dq_close(F$1,$A1496,$M$4))</f>
        <v/>
      </c>
      <c r="G1496" s="6"/>
      <c r="H1496" s="6" t="str">
        <f ca="1">IF($A1496="","",[1]!s_dq_close(H$1,$A1496,$M$4))</f>
        <v/>
      </c>
      <c r="I1496" s="6" t="str">
        <f ca="1">IF($A1496="","",[1]!s_dq_close(I$1,$A1496,$M$4))</f>
        <v/>
      </c>
      <c r="J1496" s="6" t="str">
        <f t="shared" ca="1" si="24"/>
        <v/>
      </c>
    </row>
    <row r="1497" spans="1:20">
      <c r="A1497" s="2" t="str">
        <f ca="1">IF(A1496="","",IF(IF(价差分析!$W$4="日",--[1]!td(A1496-1),IF(价差分析!$W$4="周",--[1]!td(A1496-7),--[1]!td(A1496-30)))-价差分析!$T$4&gt;0,IF(价差分析!$W$4="日",--[1]!td(A1496-1),IF(价差分析!$W$4="周",--[1]!td(A1496-7),--[1]!td(A1496-30))),""))</f>
        <v/>
      </c>
      <c r="B1497" s="1" t="str">
        <f ca="1">IF(A1497="","",[1]!s_dq_close($B$1,A1497,$M$4))</f>
        <v/>
      </c>
      <c r="C1497" s="1" t="str">
        <f ca="1">IF(A1497="","",[1]!s_dq_close($C$1,A1497,$M$4))</f>
        <v/>
      </c>
      <c r="D1497" s="6" t="str">
        <f ca="1">IF($A1497="","",[1]!s_dq_close(D$1,$A1497,$M$4))</f>
        <v/>
      </c>
      <c r="E1497" s="6" t="str">
        <f ca="1">IF($A1497="","",[1]!s_dq_close(E$1,$A1497,$M$4))</f>
        <v/>
      </c>
      <c r="F1497" s="6" t="str">
        <f ca="1">IF($A1497="","",[1]!s_dq_close(F$1,$A1497,$M$4))</f>
        <v/>
      </c>
      <c r="G1497" s="6"/>
      <c r="H1497" s="6" t="str">
        <f ca="1">IF($A1497="","",[1]!s_dq_close(H$1,$A1497,$M$4))</f>
        <v/>
      </c>
      <c r="I1497" s="6" t="str">
        <f ca="1">IF($A1497="","",[1]!s_dq_close(I$1,$A1497,$M$4))</f>
        <v/>
      </c>
      <c r="J1497" s="6" t="str">
        <f t="shared" ca="1" si="24"/>
        <v/>
      </c>
    </row>
    <row r="1498" spans="1:20">
      <c r="A1498" s="2" t="str">
        <f ca="1">IF(A1497="","",IF(IF(价差分析!$W$4="日",--[1]!td(A1497-1),IF(价差分析!$W$4="周",--[1]!td(A1497-7),--[1]!td(A1497-30)))-价差分析!$T$4&gt;0,IF(价差分析!$W$4="日",--[1]!td(A1497-1),IF(价差分析!$W$4="周",--[1]!td(A1497-7),--[1]!td(A1497-30))),""))</f>
        <v/>
      </c>
      <c r="B1498" s="1" t="str">
        <f ca="1">IF(A1498="","",[1]!s_dq_close($B$1,A1498,$M$4))</f>
        <v/>
      </c>
      <c r="C1498" s="1" t="str">
        <f ca="1">IF(A1498="","",[1]!s_dq_close($C$1,A1498,$M$4))</f>
        <v/>
      </c>
      <c r="D1498" s="6" t="str">
        <f ca="1">IF($A1498="","",[1]!s_dq_close(D$1,$A1498,$M$4))</f>
        <v/>
      </c>
      <c r="E1498" s="6" t="str">
        <f ca="1">IF($A1498="","",[1]!s_dq_close(E$1,$A1498,$M$4))</f>
        <v/>
      </c>
      <c r="F1498" s="6" t="str">
        <f ca="1">IF($A1498="","",[1]!s_dq_close(F$1,$A1498,$M$4))</f>
        <v/>
      </c>
      <c r="G1498" s="6"/>
      <c r="H1498" s="6" t="str">
        <f ca="1">IF($A1498="","",[1]!s_dq_close(H$1,$A1498,$M$4))</f>
        <v/>
      </c>
      <c r="I1498" s="6" t="str">
        <f ca="1">IF($A1498="","",[1]!s_dq_close(I$1,$A1498,$M$4))</f>
        <v/>
      </c>
      <c r="J1498" s="6" t="str">
        <f t="shared" ca="1" si="24"/>
        <v/>
      </c>
    </row>
    <row r="1499" spans="1:20">
      <c r="A1499" s="2" t="str">
        <f ca="1">IF(A1498="","",IF(IF(价差分析!$W$4="日",--[1]!td(A1498-1),IF(价差分析!$W$4="周",--[1]!td(A1498-7),--[1]!td(A1498-30)))-价差分析!$T$4&gt;0,IF(价差分析!$W$4="日",--[1]!td(A1498-1),IF(价差分析!$W$4="周",--[1]!td(A1498-7),--[1]!td(A1498-30))),""))</f>
        <v/>
      </c>
      <c r="B1499" s="1" t="str">
        <f ca="1">IF(A1499="","",[1]!s_dq_close($B$1,A1499,$M$4))</f>
        <v/>
      </c>
      <c r="C1499" s="1" t="str">
        <f ca="1">IF(A1499="","",[1]!s_dq_close($C$1,A1499,$M$4))</f>
        <v/>
      </c>
      <c r="D1499" s="6" t="str">
        <f ca="1">IF($A1499="","",[1]!s_dq_close(D$1,$A1499,$M$4))</f>
        <v/>
      </c>
      <c r="E1499" s="6" t="str">
        <f ca="1">IF($A1499="","",[1]!s_dq_close(E$1,$A1499,$M$4))</f>
        <v/>
      </c>
      <c r="F1499" s="6" t="str">
        <f ca="1">IF($A1499="","",[1]!s_dq_close(F$1,$A1499,$M$4))</f>
        <v/>
      </c>
      <c r="G1499" s="6"/>
      <c r="H1499" s="6" t="str">
        <f ca="1">IF($A1499="","",[1]!s_dq_close(H$1,$A1499,$M$4))</f>
        <v/>
      </c>
      <c r="I1499" s="6" t="str">
        <f ca="1">IF($A1499="","",[1]!s_dq_close(I$1,$A1499,$M$4))</f>
        <v/>
      </c>
      <c r="J1499" s="6" t="str">
        <f t="shared" ca="1" si="24"/>
        <v/>
      </c>
    </row>
    <row r="1500" spans="1:20">
      <c r="A1500" s="2" t="str">
        <f ca="1">IF(A1499="","",IF(IF(价差分析!$W$4="日",--[1]!td(A1499-1),IF(价差分析!$W$4="周",--[1]!td(A1499-7),--[1]!td(A1499-30)))-价差分析!$T$4&gt;0,IF(价差分析!$W$4="日",--[1]!td(A1499-1),IF(价差分析!$W$4="周",--[1]!td(A1499-7),--[1]!td(A1499-30))),""))</f>
        <v/>
      </c>
      <c r="B1500" s="1" t="str">
        <f ca="1">IF(A1500="","",[1]!s_dq_close($B$1,A1500,$M$4))</f>
        <v/>
      </c>
      <c r="C1500" s="1" t="str">
        <f ca="1">IF(A1500="","",[1]!s_dq_close($C$1,A1500,$M$4))</f>
        <v/>
      </c>
      <c r="D1500" s="6" t="str">
        <f ca="1">IF($A1500="","",[1]!s_dq_close(D$1,$A1500,$M$4))</f>
        <v/>
      </c>
      <c r="E1500" s="6" t="str">
        <f ca="1">IF($A1500="","",[1]!s_dq_close(E$1,$A1500,$M$4))</f>
        <v/>
      </c>
      <c r="F1500" s="6" t="str">
        <f ca="1">IF($A1500="","",[1]!s_dq_close(F$1,$A1500,$M$4))</f>
        <v/>
      </c>
      <c r="G1500" s="6"/>
      <c r="H1500" s="6" t="str">
        <f ca="1">IF($A1500="","",[1]!s_dq_close(H$1,$A1500,$M$4))</f>
        <v/>
      </c>
      <c r="I1500" s="6" t="str">
        <f ca="1">IF($A1500="","",[1]!s_dq_close(I$1,$A1500,$M$4))</f>
        <v/>
      </c>
      <c r="J1500" s="6" t="str">
        <f t="shared" ca="1" si="24"/>
        <v/>
      </c>
    </row>
    <row r="1501" spans="1:20">
      <c r="A1501" s="2" t="str">
        <f ca="1">IF(A1500="","",IF(IF(价差分析!$W$4="日",--[1]!td(A1500-1),IF(价差分析!$W$4="周",--[1]!td(A1500-7),--[1]!td(A1500-30)))-价差分析!$T$4&gt;0,IF(价差分析!$W$4="日",--[1]!td(A1500-1),IF(价差分析!$W$4="周",--[1]!td(A1500-7),--[1]!td(A1500-30))),""))</f>
        <v/>
      </c>
      <c r="B1501" s="1" t="str">
        <f ca="1">IF(A1501="","",[1]!s_dq_close($B$1,A1501,$M$4))</f>
        <v/>
      </c>
      <c r="C1501" s="1" t="str">
        <f ca="1">IF(A1501="","",[1]!s_dq_close($C$1,A1501,$M$4))</f>
        <v/>
      </c>
      <c r="D1501" s="6" t="str">
        <f ca="1">IF($A1501="","",[1]!s_dq_close(D$1,$A1501,$M$4))</f>
        <v/>
      </c>
      <c r="E1501" s="6" t="str">
        <f ca="1">IF($A1501="","",[1]!s_dq_close(E$1,$A1501,$M$4))</f>
        <v/>
      </c>
      <c r="F1501" s="6" t="str">
        <f ca="1">IF($A1501="","",[1]!s_dq_close(F$1,$A1501,$M$4))</f>
        <v/>
      </c>
      <c r="G1501" s="6"/>
      <c r="H1501" s="6" t="str">
        <f ca="1">IF($A1501="","",[1]!s_dq_close(H$1,$A1501,$M$4))</f>
        <v/>
      </c>
      <c r="I1501" s="6" t="str">
        <f ca="1">IF($A1501="","",[1]!s_dq_close(I$1,$A1501,$M$4))</f>
        <v/>
      </c>
      <c r="J1501" s="6" t="str">
        <f t="shared" ca="1" si="24"/>
        <v/>
      </c>
    </row>
    <row r="1502" spans="1:20">
      <c r="A1502" s="2" t="str">
        <f ca="1">IF(A1501="","",IF(IF(价差分析!$W$4="日",--[1]!td(A1501-1),IF(价差分析!$W$4="周",--[1]!td(A1501-7),--[1]!td(A1501-30)))-价差分析!$T$4&gt;0,IF(价差分析!$W$4="日",--[1]!td(A1501-1),IF(价差分析!$W$4="周",--[1]!td(A1501-7),--[1]!td(A1501-30))),""))</f>
        <v/>
      </c>
      <c r="B1502" s="1" t="str">
        <f ca="1">IF(A1502="","",[1]!s_dq_close($B$1,A1502,$M$4))</f>
        <v/>
      </c>
      <c r="C1502" s="1" t="str">
        <f ca="1">IF(A1502="","",[1]!s_dq_close($C$1,A1502,$M$4))</f>
        <v/>
      </c>
      <c r="D1502" s="6" t="str">
        <f ca="1">IF($A1502="","",[1]!s_dq_close(D$1,$A1502,$M$4))</f>
        <v/>
      </c>
      <c r="E1502" s="6" t="str">
        <f ca="1">IF($A1502="","",[1]!s_dq_close(E$1,$A1502,$M$4))</f>
        <v/>
      </c>
      <c r="F1502" s="6" t="str">
        <f ca="1">IF($A1502="","",[1]!s_dq_close(F$1,$A1502,$M$4))</f>
        <v/>
      </c>
      <c r="G1502" s="6"/>
      <c r="H1502" s="6" t="str">
        <f ca="1">IF($A1502="","",[1]!s_dq_close(H$1,$A1502,$M$4))</f>
        <v/>
      </c>
      <c r="I1502" s="6" t="str">
        <f ca="1">IF($A1502="","",[1]!s_dq_close(I$1,$A1502,$M$4))</f>
        <v/>
      </c>
      <c r="J1502" s="6" t="str">
        <f t="shared" ca="1" si="24"/>
        <v/>
      </c>
    </row>
    <row r="1503" spans="1:20">
      <c r="A1503" s="2" t="str">
        <f ca="1">IF(A1502="","",IF(IF(价差分析!$W$4="日",--[1]!td(A1502-1),IF(价差分析!$W$4="周",--[1]!td(A1502-7),--[1]!td(A1502-30)))-价差分析!$T$4&gt;0,IF(价差分析!$W$4="日",--[1]!td(A1502-1),IF(价差分析!$W$4="周",--[1]!td(A1502-7),--[1]!td(A1502-30))),""))</f>
        <v/>
      </c>
      <c r="B1503" s="1" t="str">
        <f ca="1">IF(A1503="","",[1]!s_dq_close($B$1,A1503,$M$4))</f>
        <v/>
      </c>
      <c r="C1503" s="1" t="str">
        <f ca="1">IF(A1503="","",[1]!s_dq_close($C$1,A1503,$M$4))</f>
        <v/>
      </c>
      <c r="D1503" s="6" t="str">
        <f ca="1">IF($A1503="","",[1]!s_dq_close(D$1,$A1503,$M$4))</f>
        <v/>
      </c>
      <c r="E1503" s="6" t="str">
        <f ca="1">IF($A1503="","",[1]!s_dq_close(E$1,$A1503,$M$4))</f>
        <v/>
      </c>
      <c r="F1503" s="6" t="str">
        <f ca="1">IF($A1503="","",[1]!s_dq_close(F$1,$A1503,$M$4))</f>
        <v/>
      </c>
      <c r="G1503" s="6"/>
      <c r="H1503" s="6" t="str">
        <f ca="1">IF($A1503="","",[1]!s_dq_close(H$1,$A1503,$M$4))</f>
        <v/>
      </c>
      <c r="I1503" s="6" t="str">
        <f ca="1">IF($A1503="","",[1]!s_dq_close(I$1,$A1503,$M$4))</f>
        <v/>
      </c>
      <c r="J1503" s="6" t="str">
        <f t="shared" ca="1" si="24"/>
        <v/>
      </c>
    </row>
    <row r="1504" spans="1:20">
      <c r="A1504" s="35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</sheetData>
  <phoneticPr fontId="7" type="noConversion"/>
  <conditionalFormatting sqref="A4:A1503">
    <cfRule type="containsErrors" dxfId="0" priority="1" stopIfTrue="1">
      <formula>ISERROR(A4)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A2" sqref="A2"/>
    </sheetView>
  </sheetViews>
  <sheetFormatPr defaultRowHeight="13.5"/>
  <sheetData>
    <row r="1" spans="1:1">
      <c r="A1" s="12" t="s">
        <v>6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价差分析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股价比较</dc:title>
  <dc:creator/>
  <dc:description>《股价比较》提供目标公司及对比公司的股价及价差走势与分布统计情况</dc:description>
  <cp:lastModifiedBy/>
  <dcterms:created xsi:type="dcterms:W3CDTF">2006-09-13T11:21:51Z</dcterms:created>
  <dcterms:modified xsi:type="dcterms:W3CDTF">2023-12-05T11:11:10Z</dcterms:modified>
  <cp:category>wind模板</cp:category>
</cp:coreProperties>
</file>